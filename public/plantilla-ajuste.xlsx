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wromero_solutionsandpayroll_com/Documents/Carpetas Nominas/Grupo HL/HL Infraestructura SAS/SEGURIDAD SOCIAL/2026/02 - Febrero/"/>
    </mc:Choice>
  </mc:AlternateContent>
  <xr:revisionPtr revIDLastSave="0" documentId="8_{2F48C6FC-9CE7-4DCC-B02C-1BB297BDBD52}" xr6:coauthVersionLast="47" xr6:coauthVersionMax="47" xr10:uidLastSave="{00000000-0000-0000-0000-000000000000}"/>
  <bookViews>
    <workbookView xWindow="-120" yWindow="-120" windowWidth="20730" windowHeight="11040" firstSheet="4" activeTab="4" xr2:uid="{271E314B-2013-405B-958A-DB2A17B63EF2}"/>
  </bookViews>
  <sheets>
    <sheet name="DatosPruebaEmp" sheetId="2" state="veryHidden" r:id="rId1"/>
    <sheet name="CauPag" sheetId="3" r:id="rId2"/>
    <sheet name="Dinamica" sheetId="6" r:id="rId3"/>
    <sheet name="Ajuste" sheetId="7" r:id="rId4"/>
    <sheet name="Hoja1" sheetId="10" r:id="rId5"/>
    <sheet name="Hoja2" sheetId="9" state="hidden" r:id="rId6"/>
  </sheets>
  <definedNames>
    <definedName name="_xlnm._FilterDatabase" localSheetId="3" hidden="1">Ajuste!$A$1:$I$33</definedName>
    <definedName name="_xlnm._FilterDatabase" localSheetId="1" hidden="1">CauPag!$A$1:$CV$1292</definedName>
    <definedName name="_xlnm._FilterDatabase" localSheetId="2" hidden="1">Dinamica!$H$2602:$H$3057</definedName>
    <definedName name="_xlnm._FilterDatabase" localSheetId="4" hidden="1">Hoja1!$A$1:$J$101</definedName>
    <definedName name="_xlnm._FilterDatabase" localSheetId="5" hidden="1">Hoja2!$A$1:$H$14</definedName>
    <definedName name="AMAZONAS">DatosPruebaEmp!$AE$3:$AE$13</definedName>
    <definedName name="ANTIOQUIA">DatosPruebaEmp!$AF$3:$AF$127</definedName>
    <definedName name="ARAUCA">DatosPruebaEmp!$AG$3:$AG$9</definedName>
    <definedName name="ATLANTICO">DatosPruebaEmp!$AH$3:$AH$25</definedName>
    <definedName name="BOGOTA_D.E.">DatosPruebaEmp!$AI$3</definedName>
    <definedName name="BOLIVAR">DatosPruebaEmp!$AJ$3:$AJ$48</definedName>
    <definedName name="BOYACA">DatosPruebaEmp!$AK$3:$AK$125</definedName>
    <definedName name="CALDAS">DatosPruebaEmp!$AL$3:$AL$29</definedName>
    <definedName name="CAQUETA">DatosPruebaEmp!$AM$3:$AM$18</definedName>
    <definedName name="CASANARE">DatosPruebaEmp!$AN$3:$AN$21</definedName>
    <definedName name="CAUCA">DatosPruebaEmp!$AO$3:$AO$44</definedName>
    <definedName name="CESAR">DatosPruebaEmp!$AP$3:$AP$27</definedName>
    <definedName name="CHOCO">DatosPruebaEmp!$AQ$3:$AQ$32</definedName>
    <definedName name="CORDOBA">DatosPruebaEmp!$AR$3:$AR$32</definedName>
    <definedName name="CUNDINAMARCA">DatosPruebaEmp!$AS$3:$AS$118</definedName>
    <definedName name="Encabezados">#REF!</definedName>
    <definedName name="GUAINIA">DatosPruebaEmp!$AT$3:$AT$11</definedName>
    <definedName name="GUAVIARE">DatosPruebaEmp!$AU$3:$AU$6</definedName>
    <definedName name="HUILA">DatosPruebaEmp!$AV$3:$AV$39</definedName>
    <definedName name="LA_GUAJIRA">DatosPruebaEmp!$AW$3:$AW$17</definedName>
    <definedName name="MAGDALENA">DatosPruebaEmp!$AX$3:$AX$32</definedName>
    <definedName name="META">DatosPruebaEmp!$AY$3:$AY$31</definedName>
    <definedName name="NARIÑO">DatosPruebaEmp!$AZ$3:$AZ$66</definedName>
    <definedName name="NORTE_DE_SANTANDER">DatosPruebaEmp!$BA$3:$BA$42</definedName>
    <definedName name="PUTUMAYO">DatosPruebaEmp!$BB$3:$BB$15</definedName>
    <definedName name="QUINDIO">DatosPruebaEmp!$BC$3:$BC$14</definedName>
    <definedName name="RGAFP">DatosPruebaEmp!$G$3:$G$12</definedName>
    <definedName name="RGALTORIESGO">DatosPruebaEmp!$P$3:$P$9</definedName>
    <definedName name="RGARP">DatosPruebaEmp!$K$3:$K$14</definedName>
    <definedName name="RGCCF">DatosPruebaEmp!$J$3:$J$46</definedName>
    <definedName name="RGCENTRABAJO">DatosPruebaEmp!$B$3:$B$27</definedName>
    <definedName name="RGCLASERIESGO">DatosPruebaEmp!$L$3</definedName>
    <definedName name="RGDIVIDEPTO">DatosPruebaEmp!$AD$3:$AD$35</definedName>
    <definedName name="RGEPS">DatosPruebaEmp!$I$3:$I$47</definedName>
    <definedName name="RGETIQUETAS">DatosPruebaEmp!$BR$3</definedName>
    <definedName name="RGGRUPOPOB">DatosPruebaEmp!$AC$3:$AC$16</definedName>
    <definedName name="RGINDALTORIESGO">DatosPruebaEmp!$H$3:$H$7</definedName>
    <definedName name="RGNOVEDADES">DatosPruebaEmp!$BO$3:$BO$15</definedName>
    <definedName name="RGNOVEDADSLN">DatosPruebaEmp!$W$3:$W$5</definedName>
    <definedName name="RGNOVEDADSLN2">DatosPruebaEmp!$X$3:$X$4</definedName>
    <definedName name="RGNOVEDADVAC">DatosPruebaEmp!$BN$3:$BN$5</definedName>
    <definedName name="RGSINO">DatosPruebaEmp!$M$3:$M$4</definedName>
    <definedName name="RGSINOVACIO">DatosPruebaEmp!$N$3:$N$5</definedName>
    <definedName name="RGSUBTIPOSCOT">DatosPruebaEmp!$F$3:$F$13</definedName>
    <definedName name="RGSUCURSALES">DatosPruebaEmp!$A$3:$A$9</definedName>
    <definedName name="RGTARIFAARL">DatosPruebaEmp!$Q$3:$Q$8</definedName>
    <definedName name="RGTARIFAARL2">DatosPruebaEmp!$R$3:$R$8</definedName>
    <definedName name="RGTARIFAPENSION">DatosPruebaEmp!$Y$3:$Y$4</definedName>
    <definedName name="RGTARIFASCCF">DatosPruebaEmp!$O$3:$O$6</definedName>
    <definedName name="RGTIPOCORRECCIONES">DatosPruebaEmp!$V$3:$V$5</definedName>
    <definedName name="RGTIPOING">DatosPruebaEmp!$AA$3:$AA$4</definedName>
    <definedName name="RGTIPOINGLIQ">DatosPruebaEmp!$BL$3:$BL$6</definedName>
    <definedName name="RGTIPOPRESENTACION">DatosPruebaEmp!$BP$3:$BP$6</definedName>
    <definedName name="RGTIPORET">DatosPruebaEmp!$AB$3:$AB$6</definedName>
    <definedName name="RGTIPORETLIQ">DatosPruebaEmp!$BM$3:$BM$7</definedName>
    <definedName name="RGTIPOSAPORTANTES">DatosPruebaEmp!$D$3:$D$10</definedName>
    <definedName name="RGTIPOSCOT">DatosPruebaEmp!$E$3:$E$38</definedName>
    <definedName name="RGTIPOSDOCS">DatosPruebaEmp!$S$3:$S$11</definedName>
    <definedName name="RGTIPOSDOCSNIT">DatosPruebaEmp!$T$3:$T$11</definedName>
    <definedName name="RGTIPOSNOVINGRET">DatosPruebaEmp!$U$3:$U$4</definedName>
    <definedName name="RGTIPOSNOVVSPVST">DatosPruebaEmp!$Z$3:$Z$4</definedName>
    <definedName name="RGTIPOSPLANILLAS">DatosPruebaEmp!$C$3:$C$17</definedName>
    <definedName name="RGTIPOVAC">DatosPruebaEmp!$BQ$3:$BQ$4</definedName>
    <definedName name="RISARALDA">DatosPruebaEmp!$BD$3:$BD$16</definedName>
    <definedName name="SAN_ANDRES">DatosPruebaEmp!$BE$3:$BE$4</definedName>
    <definedName name="SANTANDER">DatosPruebaEmp!$BF$3:$BF$89</definedName>
    <definedName name="SUC_CAJAMAG">DatosPruebaEmp!$S$1</definedName>
    <definedName name="SUC_GUAJIRA">DatosPruebaEmp!$T$1</definedName>
    <definedName name="SUC_MEDELLIN">DatosPruebaEmp!$U$1:$V$1</definedName>
    <definedName name="SUC_PRINCIPAL">DatosPruebaEmp!$A$1:$R$1</definedName>
    <definedName name="SUC_SANTANDER">DatosPruebaEmp!$W$1</definedName>
    <definedName name="SUC_TOLIMA">DatosPruebaEmp!$X$1:$Y$1</definedName>
    <definedName name="SUCRE">DatosPruebaEmp!$BG$3:$BG$28</definedName>
    <definedName name="TitulosColumnas">#REF!</definedName>
    <definedName name="TOLIMA">DatosPruebaEmp!$BH$3:$BH$49</definedName>
    <definedName name="VALLE">DatosPruebaEmp!$BI$3:$BI$44</definedName>
    <definedName name="VAUPES">DatosPruebaEmp!$BJ$3:$BJ$8</definedName>
    <definedName name="VICHADA">DatosPruebaEmp!$BK$3:$BK$6</definedName>
  </definedNames>
  <calcPr calcId="191028"/>
  <pivotCaches>
    <pivotCache cacheId="5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55" i="6" l="1"/>
  <c r="H3054" i="6"/>
  <c r="H3053" i="6"/>
  <c r="H3052" i="6"/>
  <c r="H3051" i="6"/>
  <c r="H3050" i="6"/>
  <c r="H3049" i="6"/>
  <c r="H3048" i="6"/>
  <c r="H3047" i="6"/>
  <c r="H3046" i="6"/>
  <c r="H3045" i="6"/>
  <c r="H3044" i="6"/>
  <c r="H3043" i="6"/>
  <c r="H3042" i="6"/>
  <c r="H3041" i="6"/>
  <c r="H3040" i="6"/>
  <c r="H3039" i="6"/>
  <c r="H3038" i="6"/>
  <c r="H3037" i="6"/>
  <c r="H3036" i="6"/>
  <c r="H3035" i="6"/>
  <c r="H3034" i="6"/>
  <c r="H3033" i="6"/>
  <c r="H3032" i="6"/>
  <c r="H3031" i="6"/>
  <c r="H3030" i="6"/>
  <c r="H3029" i="6"/>
  <c r="H3028" i="6"/>
  <c r="H3027" i="6"/>
  <c r="H3026" i="6"/>
  <c r="H3025" i="6"/>
  <c r="H3024" i="6"/>
  <c r="H3023" i="6"/>
  <c r="H3022" i="6"/>
  <c r="H3021" i="6"/>
  <c r="H3020" i="6"/>
  <c r="H3019" i="6"/>
  <c r="H3018" i="6"/>
  <c r="H3017" i="6"/>
  <c r="H3016" i="6"/>
  <c r="H3015" i="6"/>
  <c r="H3014" i="6"/>
  <c r="H3013" i="6"/>
  <c r="H3012" i="6"/>
  <c r="H3011" i="6"/>
  <c r="H3010" i="6"/>
  <c r="H3009" i="6"/>
  <c r="H3008" i="6"/>
  <c r="H3007" i="6"/>
  <c r="H3006" i="6"/>
  <c r="H3005" i="6"/>
  <c r="H3004" i="6"/>
  <c r="H3003" i="6"/>
  <c r="H3002" i="6"/>
  <c r="H3001" i="6"/>
  <c r="H3000" i="6"/>
  <c r="H2999" i="6"/>
  <c r="H2998" i="6"/>
  <c r="H2997" i="6"/>
  <c r="H2996" i="6"/>
  <c r="H2995" i="6"/>
  <c r="H2994" i="6"/>
  <c r="H2993" i="6"/>
  <c r="H2992" i="6"/>
  <c r="H2991" i="6"/>
  <c r="H2990" i="6"/>
  <c r="H2989" i="6"/>
  <c r="H2988" i="6"/>
  <c r="H2987" i="6"/>
  <c r="H2986" i="6"/>
  <c r="H2985" i="6"/>
  <c r="H2984" i="6"/>
  <c r="H2983" i="6"/>
  <c r="H2982" i="6"/>
  <c r="H2981" i="6"/>
  <c r="H2980" i="6"/>
  <c r="H2979" i="6"/>
  <c r="H2978" i="6"/>
  <c r="H2977" i="6"/>
  <c r="H2976" i="6"/>
  <c r="H2975" i="6"/>
  <c r="H2974" i="6"/>
  <c r="H2973" i="6"/>
  <c r="H2972" i="6"/>
  <c r="H2971" i="6"/>
  <c r="H2970" i="6"/>
  <c r="H2969" i="6"/>
  <c r="H2968" i="6"/>
  <c r="H2967" i="6"/>
  <c r="H2966" i="6"/>
  <c r="H2965" i="6"/>
  <c r="H2964" i="6"/>
  <c r="H2963" i="6"/>
  <c r="H2962" i="6"/>
  <c r="H2961" i="6"/>
  <c r="H2960" i="6"/>
  <c r="H2959" i="6"/>
  <c r="H2958" i="6"/>
  <c r="H2957" i="6"/>
  <c r="H2956" i="6"/>
  <c r="H2955" i="6"/>
  <c r="H2954" i="6"/>
  <c r="H2953" i="6"/>
  <c r="H2952" i="6"/>
  <c r="H2951" i="6"/>
  <c r="H2950" i="6"/>
  <c r="H2949" i="6"/>
  <c r="H2948" i="6"/>
  <c r="H2947" i="6"/>
  <c r="H2946" i="6"/>
  <c r="H2945" i="6"/>
  <c r="H2944" i="6"/>
  <c r="H2943" i="6"/>
  <c r="H2942" i="6"/>
  <c r="H2941" i="6"/>
  <c r="H2940" i="6"/>
  <c r="H2939" i="6"/>
  <c r="H2938" i="6"/>
  <c r="H2937" i="6"/>
  <c r="H2936" i="6"/>
  <c r="H2935" i="6"/>
  <c r="H2934" i="6"/>
  <c r="H2933" i="6"/>
  <c r="H2932" i="6"/>
  <c r="H2931" i="6"/>
  <c r="H2930" i="6"/>
  <c r="H2929" i="6"/>
  <c r="H2928" i="6"/>
  <c r="H2927" i="6"/>
  <c r="H2926" i="6"/>
  <c r="H2925" i="6"/>
  <c r="H2924" i="6"/>
  <c r="H2923" i="6"/>
  <c r="H2922" i="6"/>
  <c r="H2921" i="6"/>
  <c r="H2920" i="6"/>
  <c r="H2919" i="6"/>
  <c r="H2918" i="6"/>
  <c r="H2917" i="6"/>
  <c r="H2916" i="6"/>
  <c r="H2915" i="6"/>
  <c r="H2914" i="6"/>
  <c r="H2913" i="6"/>
  <c r="H2912" i="6"/>
  <c r="H2911" i="6"/>
  <c r="H2910" i="6"/>
  <c r="H2909" i="6"/>
  <c r="H2908" i="6"/>
  <c r="H2907" i="6"/>
  <c r="H2906" i="6"/>
  <c r="H2905" i="6"/>
  <c r="H2904" i="6"/>
  <c r="H2903" i="6"/>
  <c r="H2902" i="6"/>
  <c r="H2901" i="6"/>
  <c r="H2900" i="6"/>
  <c r="H2899" i="6"/>
  <c r="H2898" i="6"/>
  <c r="H2897" i="6"/>
  <c r="H2896" i="6"/>
  <c r="H2895" i="6"/>
  <c r="H2894" i="6"/>
  <c r="H2893" i="6"/>
  <c r="H2892" i="6"/>
  <c r="H2891" i="6"/>
  <c r="H2890" i="6"/>
  <c r="H2889" i="6"/>
  <c r="H2888" i="6"/>
  <c r="H2887" i="6"/>
  <c r="H2886" i="6"/>
  <c r="H2885" i="6"/>
  <c r="H2884" i="6"/>
  <c r="H2883" i="6"/>
  <c r="H2882" i="6"/>
  <c r="H2881" i="6"/>
  <c r="H2880" i="6"/>
  <c r="H2879" i="6"/>
  <c r="H2878" i="6"/>
  <c r="H2877" i="6"/>
  <c r="H2876" i="6"/>
  <c r="H2875" i="6"/>
  <c r="H2874" i="6"/>
  <c r="H2873" i="6"/>
  <c r="H2872" i="6"/>
  <c r="H2871" i="6"/>
  <c r="H2870" i="6"/>
  <c r="H2869" i="6"/>
  <c r="H2868" i="6"/>
  <c r="H2867" i="6"/>
  <c r="H2866" i="6"/>
  <c r="H2865" i="6"/>
  <c r="H2864" i="6"/>
  <c r="H2863" i="6"/>
  <c r="H2862" i="6"/>
  <c r="H2861" i="6"/>
  <c r="H2860" i="6"/>
  <c r="H2859" i="6"/>
  <c r="H2858" i="6"/>
  <c r="H2857" i="6"/>
  <c r="H2856" i="6"/>
  <c r="H2855" i="6"/>
  <c r="H2854" i="6"/>
  <c r="H2853" i="6"/>
  <c r="H2852" i="6"/>
  <c r="H2851" i="6"/>
  <c r="H2850" i="6"/>
  <c r="H2849" i="6"/>
  <c r="H2848" i="6"/>
  <c r="H2847" i="6"/>
  <c r="H2846" i="6"/>
  <c r="H2845" i="6"/>
  <c r="H2844" i="6"/>
  <c r="H2843" i="6"/>
  <c r="H2842" i="6"/>
  <c r="H2841" i="6"/>
  <c r="H2840" i="6"/>
  <c r="H2839" i="6"/>
  <c r="H2838" i="6"/>
  <c r="H2837" i="6"/>
  <c r="H2836" i="6"/>
  <c r="H2835" i="6"/>
  <c r="H2834" i="6"/>
  <c r="H2833" i="6"/>
  <c r="H2832" i="6"/>
  <c r="H2831" i="6"/>
  <c r="H2830" i="6"/>
  <c r="H2829" i="6"/>
  <c r="H2828" i="6"/>
  <c r="H2827" i="6"/>
  <c r="H2826" i="6"/>
  <c r="H2825" i="6"/>
  <c r="H2824" i="6"/>
  <c r="H2823" i="6"/>
  <c r="H2822" i="6"/>
  <c r="H2821" i="6"/>
  <c r="H2820" i="6"/>
  <c r="H2819" i="6"/>
  <c r="H2818" i="6"/>
  <c r="H2817" i="6"/>
  <c r="H2816" i="6"/>
  <c r="H2815" i="6"/>
  <c r="H2814" i="6"/>
  <c r="H2813" i="6"/>
  <c r="H2812" i="6"/>
  <c r="H2811" i="6"/>
  <c r="H2810" i="6"/>
  <c r="H2809" i="6"/>
  <c r="H2808" i="6"/>
  <c r="H2807" i="6"/>
  <c r="H2806" i="6"/>
  <c r="H2805" i="6"/>
  <c r="H2804" i="6"/>
  <c r="H2803" i="6"/>
  <c r="H2802" i="6"/>
  <c r="H2801" i="6"/>
  <c r="H2800" i="6"/>
  <c r="H2799" i="6"/>
  <c r="H2798" i="6"/>
  <c r="H2797" i="6"/>
  <c r="H2796" i="6"/>
  <c r="H2795" i="6"/>
  <c r="H2794" i="6"/>
  <c r="H2793" i="6"/>
  <c r="H2792" i="6"/>
  <c r="H2791" i="6"/>
  <c r="H2790" i="6"/>
  <c r="H2789" i="6"/>
  <c r="H2788" i="6"/>
  <c r="H2787" i="6"/>
  <c r="H2786" i="6"/>
  <c r="H2785" i="6"/>
  <c r="H2784" i="6"/>
  <c r="H2783" i="6"/>
  <c r="H2782" i="6"/>
  <c r="H2781" i="6"/>
  <c r="H2780" i="6"/>
  <c r="H2779" i="6"/>
  <c r="H2778" i="6"/>
  <c r="H2777" i="6"/>
  <c r="H2776" i="6"/>
  <c r="H2775" i="6"/>
  <c r="H2774" i="6"/>
  <c r="H2773" i="6"/>
  <c r="H2772" i="6"/>
  <c r="H2771" i="6"/>
  <c r="H2770" i="6"/>
  <c r="H2769" i="6"/>
  <c r="H2768" i="6"/>
  <c r="H2767" i="6"/>
  <c r="H2766" i="6"/>
  <c r="H2765" i="6"/>
  <c r="H2764" i="6"/>
  <c r="H2763" i="6"/>
  <c r="H2762" i="6"/>
  <c r="H2761" i="6"/>
  <c r="H2760" i="6"/>
  <c r="H2759" i="6"/>
  <c r="H2758" i="6"/>
  <c r="H2757" i="6"/>
  <c r="H2756" i="6"/>
  <c r="H2755" i="6"/>
  <c r="H2754" i="6"/>
  <c r="H2753" i="6"/>
  <c r="H2752" i="6"/>
  <c r="H2751" i="6"/>
  <c r="H2750" i="6"/>
  <c r="H2749" i="6"/>
  <c r="H2748" i="6"/>
  <c r="H2747" i="6"/>
  <c r="H2746" i="6"/>
  <c r="H2745" i="6"/>
  <c r="H2744" i="6"/>
  <c r="H2743" i="6"/>
  <c r="H2742" i="6"/>
  <c r="H2741" i="6"/>
  <c r="H2740" i="6"/>
  <c r="H2739" i="6"/>
  <c r="H2738" i="6"/>
  <c r="H2737" i="6"/>
  <c r="H2736" i="6"/>
  <c r="H2735" i="6"/>
  <c r="H2734" i="6"/>
  <c r="H2733" i="6"/>
  <c r="H2732" i="6"/>
  <c r="H2731" i="6"/>
  <c r="H2730" i="6"/>
  <c r="H2729" i="6"/>
  <c r="H2728" i="6"/>
  <c r="H2727" i="6"/>
  <c r="H2726" i="6"/>
  <c r="H2725" i="6"/>
  <c r="H2724" i="6"/>
  <c r="H2723" i="6"/>
  <c r="H2722" i="6"/>
  <c r="H2721" i="6"/>
  <c r="H2720" i="6"/>
  <c r="H2719" i="6"/>
  <c r="H2718" i="6"/>
  <c r="H2717" i="6"/>
  <c r="H2716" i="6"/>
  <c r="H2715" i="6"/>
  <c r="H2714" i="6"/>
  <c r="H2713" i="6"/>
  <c r="H2712" i="6"/>
  <c r="H2711" i="6"/>
  <c r="H2710" i="6"/>
  <c r="H2709" i="6"/>
  <c r="H2708" i="6"/>
  <c r="H2707" i="6"/>
  <c r="H2706" i="6"/>
  <c r="H2705" i="6"/>
  <c r="H2704" i="6"/>
  <c r="H2703" i="6"/>
  <c r="H2702" i="6"/>
  <c r="H2701" i="6"/>
  <c r="H2700" i="6"/>
  <c r="H2699" i="6"/>
  <c r="H2698" i="6"/>
  <c r="H2697" i="6"/>
  <c r="H2696" i="6"/>
  <c r="H2695" i="6"/>
  <c r="H2694" i="6"/>
  <c r="H2693" i="6"/>
  <c r="H2692" i="6"/>
  <c r="H2691" i="6"/>
  <c r="H2690" i="6"/>
  <c r="H2689" i="6"/>
  <c r="H2688" i="6"/>
  <c r="H2687" i="6"/>
  <c r="H2686" i="6"/>
  <c r="H2685" i="6"/>
  <c r="H2684" i="6"/>
  <c r="H2683" i="6"/>
  <c r="H2682" i="6"/>
  <c r="H2681" i="6"/>
  <c r="H2680" i="6"/>
  <c r="H2679" i="6"/>
  <c r="H2678" i="6"/>
  <c r="H2677" i="6"/>
  <c r="H2676" i="6"/>
  <c r="H2675" i="6"/>
  <c r="H2674" i="6"/>
  <c r="H2673" i="6"/>
  <c r="H2672" i="6"/>
  <c r="H2671" i="6"/>
  <c r="H2670" i="6"/>
  <c r="H2669" i="6"/>
  <c r="H2668" i="6"/>
  <c r="H2667" i="6"/>
  <c r="H2666" i="6"/>
  <c r="H2665" i="6"/>
  <c r="H2664" i="6"/>
  <c r="H2663" i="6"/>
  <c r="H2662" i="6"/>
  <c r="H2661" i="6"/>
  <c r="H2660" i="6"/>
  <c r="H2659" i="6"/>
  <c r="H2658" i="6"/>
  <c r="H2657" i="6"/>
  <c r="H2656" i="6"/>
  <c r="H2655" i="6"/>
  <c r="H2654" i="6"/>
  <c r="H2653" i="6"/>
  <c r="H2652" i="6"/>
  <c r="H2651" i="6"/>
  <c r="H2650" i="6"/>
  <c r="H2649" i="6"/>
  <c r="H2648" i="6"/>
  <c r="H2647" i="6"/>
  <c r="H2646" i="6"/>
  <c r="H2645" i="6"/>
  <c r="H2644" i="6"/>
  <c r="H2643" i="6"/>
  <c r="H2642" i="6"/>
  <c r="H2641" i="6"/>
  <c r="H2640" i="6"/>
  <c r="H2639" i="6"/>
  <c r="H2638" i="6"/>
  <c r="H2637" i="6"/>
  <c r="H2636" i="6"/>
  <c r="H2635" i="6"/>
  <c r="H2634" i="6"/>
  <c r="H2633" i="6"/>
  <c r="H2632" i="6"/>
  <c r="H2631" i="6"/>
  <c r="H2630" i="6"/>
  <c r="H2629" i="6"/>
  <c r="H2628" i="6"/>
  <c r="H2627" i="6"/>
  <c r="H2626" i="6"/>
  <c r="H2625" i="6"/>
  <c r="H2624" i="6"/>
  <c r="H2623" i="6"/>
  <c r="H2622" i="6"/>
  <c r="H2621" i="6"/>
  <c r="H2620" i="6"/>
  <c r="H2619" i="6"/>
  <c r="H2618" i="6"/>
  <c r="H2617" i="6"/>
  <c r="H2616" i="6"/>
  <c r="H2615" i="6"/>
  <c r="H2614" i="6"/>
  <c r="H2613" i="6"/>
  <c r="H2612" i="6"/>
  <c r="H2611" i="6"/>
  <c r="H2610" i="6"/>
  <c r="H2609" i="6"/>
  <c r="H2608" i="6"/>
  <c r="H2607" i="6"/>
  <c r="H2606" i="6"/>
  <c r="H2605" i="6"/>
  <c r="H2604" i="6"/>
  <c r="H2554" i="6"/>
  <c r="H2553" i="6"/>
  <c r="H2552" i="6"/>
  <c r="H2551" i="6"/>
  <c r="H2550" i="6"/>
  <c r="H2549" i="6"/>
  <c r="H2548" i="6"/>
  <c r="H2547" i="6"/>
  <c r="H2546" i="6"/>
  <c r="H2545" i="6"/>
  <c r="H2544" i="6"/>
  <c r="H2543" i="6"/>
  <c r="H2542" i="6"/>
  <c r="H2541" i="6"/>
  <c r="H2540" i="6"/>
  <c r="H2539" i="6"/>
  <c r="H2538" i="6"/>
  <c r="H2537" i="6"/>
  <c r="H2536" i="6"/>
  <c r="H2535" i="6"/>
  <c r="H2534" i="6"/>
  <c r="H2533" i="6"/>
  <c r="H2532" i="6"/>
  <c r="H2531" i="6"/>
  <c r="H2530" i="6"/>
  <c r="H2529" i="6"/>
  <c r="H2528" i="6"/>
  <c r="H2527" i="6"/>
  <c r="H2526" i="6"/>
  <c r="H2525" i="6"/>
  <c r="H2524" i="6"/>
  <c r="H2523" i="6"/>
  <c r="H2522" i="6"/>
  <c r="H2521" i="6"/>
  <c r="H2520" i="6"/>
  <c r="H2519" i="6"/>
  <c r="H2518" i="6"/>
  <c r="H2517" i="6"/>
  <c r="H2516" i="6"/>
  <c r="H2515" i="6"/>
  <c r="H2514" i="6"/>
  <c r="H2513" i="6"/>
  <c r="H2512" i="6"/>
  <c r="H2511" i="6"/>
  <c r="H2510" i="6"/>
  <c r="H2509" i="6"/>
  <c r="H2508" i="6"/>
  <c r="H2507" i="6"/>
  <c r="H2506" i="6"/>
  <c r="H2505" i="6"/>
  <c r="H2504" i="6"/>
  <c r="H2503" i="6"/>
  <c r="H2502" i="6"/>
  <c r="H2501" i="6"/>
  <c r="H2500" i="6"/>
  <c r="H2499" i="6"/>
  <c r="H2498" i="6"/>
  <c r="H2497" i="6"/>
  <c r="H2496" i="6"/>
  <c r="H2495" i="6"/>
  <c r="H2494" i="6"/>
  <c r="H2493" i="6"/>
  <c r="H2492" i="6"/>
  <c r="H2491" i="6"/>
  <c r="H2490" i="6"/>
  <c r="H2489" i="6"/>
  <c r="H2488" i="6"/>
  <c r="H2487" i="6"/>
  <c r="H2486" i="6"/>
  <c r="H2485" i="6"/>
  <c r="H2484" i="6"/>
  <c r="H2483" i="6"/>
  <c r="H2482" i="6"/>
  <c r="H2481" i="6"/>
  <c r="H2480" i="6"/>
  <c r="H2479" i="6"/>
  <c r="H2478" i="6"/>
  <c r="H2477" i="6"/>
  <c r="H2476" i="6"/>
  <c r="H2475" i="6"/>
  <c r="H2474" i="6"/>
  <c r="H2473" i="6"/>
  <c r="H2472" i="6"/>
  <c r="H2471" i="6"/>
  <c r="H2470" i="6"/>
  <c r="H2469" i="6"/>
  <c r="H2468" i="6"/>
  <c r="H2467" i="6"/>
  <c r="H2466" i="6"/>
  <c r="H2465" i="6"/>
  <c r="H2464" i="6"/>
  <c r="H2463" i="6"/>
  <c r="H2462" i="6"/>
  <c r="H2461" i="6"/>
  <c r="H2460" i="6"/>
  <c r="H2459" i="6"/>
  <c r="H2458" i="6"/>
  <c r="H2457" i="6"/>
  <c r="H2456" i="6"/>
  <c r="H2455" i="6"/>
  <c r="H2454" i="6"/>
  <c r="H2453" i="6"/>
  <c r="H2452" i="6"/>
  <c r="H2451" i="6"/>
  <c r="H2450" i="6"/>
  <c r="H2449" i="6"/>
  <c r="H2448" i="6"/>
  <c r="H2447" i="6"/>
  <c r="H2446" i="6"/>
  <c r="H2445" i="6"/>
  <c r="H2444" i="6"/>
  <c r="H2443" i="6"/>
  <c r="H2442" i="6"/>
  <c r="H2441" i="6"/>
  <c r="H2440" i="6"/>
  <c r="H2439" i="6"/>
  <c r="H2438" i="6"/>
  <c r="H2437" i="6"/>
  <c r="H2436" i="6"/>
  <c r="H2435" i="6"/>
  <c r="H2434" i="6"/>
  <c r="H2433" i="6"/>
  <c r="H2432" i="6"/>
  <c r="H2431" i="6"/>
  <c r="H2430" i="6"/>
  <c r="H2429" i="6"/>
  <c r="H2428" i="6"/>
  <c r="H2427" i="6"/>
  <c r="H2426" i="6"/>
  <c r="H2425" i="6"/>
  <c r="H2424" i="6"/>
  <c r="H2423" i="6"/>
  <c r="H2422" i="6"/>
  <c r="H2421" i="6"/>
  <c r="H2420" i="6"/>
  <c r="H2419" i="6"/>
  <c r="H2418" i="6"/>
  <c r="H2417" i="6"/>
  <c r="H2416" i="6"/>
  <c r="H2415" i="6"/>
  <c r="H2414" i="6"/>
  <c r="H2413" i="6"/>
  <c r="H2412" i="6"/>
  <c r="H2411" i="6"/>
  <c r="H2410" i="6"/>
  <c r="H2409" i="6"/>
  <c r="H2408" i="6"/>
  <c r="H2407" i="6"/>
  <c r="H2406" i="6"/>
  <c r="H2405" i="6"/>
  <c r="H2404" i="6"/>
  <c r="H2403" i="6"/>
  <c r="H2402" i="6"/>
  <c r="H2401" i="6"/>
  <c r="H2400" i="6"/>
  <c r="H2399" i="6"/>
  <c r="H2398" i="6"/>
  <c r="H2397" i="6"/>
  <c r="H2396" i="6"/>
  <c r="H2395" i="6"/>
  <c r="H2394" i="6"/>
  <c r="H2393" i="6"/>
  <c r="H2392" i="6"/>
  <c r="H2391" i="6"/>
  <c r="H2390" i="6"/>
  <c r="H2389" i="6"/>
  <c r="H2388" i="6"/>
  <c r="H2387" i="6"/>
  <c r="H2386" i="6"/>
  <c r="H2385" i="6"/>
  <c r="H2384" i="6"/>
  <c r="H2383" i="6"/>
  <c r="H2382" i="6"/>
  <c r="H2381" i="6"/>
  <c r="H2380" i="6"/>
  <c r="H2379" i="6"/>
  <c r="H2378" i="6"/>
  <c r="H2377" i="6"/>
  <c r="H2376" i="6"/>
  <c r="H2375" i="6"/>
  <c r="H2374" i="6"/>
  <c r="H2373" i="6"/>
  <c r="H2372" i="6"/>
  <c r="H2371" i="6"/>
  <c r="H2370" i="6"/>
  <c r="H2369" i="6"/>
  <c r="H2368" i="6"/>
  <c r="H2367" i="6"/>
  <c r="H2366" i="6"/>
  <c r="H2365" i="6"/>
  <c r="H2364" i="6"/>
  <c r="H2363" i="6"/>
  <c r="H2362" i="6"/>
  <c r="H2361" i="6"/>
  <c r="H2360" i="6"/>
  <c r="H2359" i="6"/>
  <c r="H2358" i="6"/>
  <c r="H2357" i="6"/>
  <c r="H2356" i="6"/>
  <c r="H2355" i="6"/>
  <c r="H2354" i="6"/>
  <c r="H2353" i="6"/>
  <c r="H2352" i="6"/>
  <c r="H2351" i="6"/>
  <c r="H2350" i="6"/>
  <c r="H2349" i="6"/>
  <c r="H2348" i="6"/>
  <c r="H2347" i="6"/>
  <c r="H2346" i="6"/>
  <c r="H2345" i="6"/>
  <c r="H2344" i="6"/>
  <c r="H2343" i="6"/>
  <c r="H2342" i="6"/>
  <c r="H2341" i="6"/>
  <c r="H2340" i="6"/>
  <c r="H2339" i="6"/>
  <c r="H2338" i="6"/>
  <c r="H2337" i="6"/>
  <c r="H2336" i="6"/>
  <c r="H2335" i="6"/>
  <c r="H2334" i="6"/>
  <c r="H2333" i="6"/>
  <c r="H2332" i="6"/>
  <c r="H2331" i="6"/>
  <c r="H2330" i="6"/>
  <c r="H2329" i="6"/>
  <c r="H2328" i="6"/>
  <c r="H2327" i="6"/>
  <c r="H2326" i="6"/>
  <c r="H2325" i="6"/>
  <c r="H2324" i="6"/>
  <c r="H2323" i="6"/>
  <c r="H2322" i="6"/>
  <c r="H2321" i="6"/>
  <c r="H2320" i="6"/>
  <c r="H2319" i="6"/>
  <c r="H2318" i="6"/>
  <c r="H2317" i="6"/>
  <c r="H2316" i="6"/>
  <c r="H2315" i="6"/>
  <c r="H2314" i="6"/>
  <c r="H2313" i="6"/>
  <c r="H2312" i="6"/>
  <c r="H2311" i="6"/>
  <c r="H2310" i="6"/>
  <c r="H2309" i="6"/>
  <c r="H2308" i="6"/>
  <c r="H2307" i="6"/>
  <c r="H2306" i="6"/>
  <c r="H2305" i="6"/>
  <c r="H2304" i="6"/>
  <c r="H2303" i="6"/>
  <c r="H2302" i="6"/>
  <c r="H2301" i="6"/>
  <c r="H2300" i="6"/>
  <c r="H2299" i="6"/>
  <c r="H2298" i="6"/>
  <c r="H2297" i="6"/>
  <c r="H2296" i="6"/>
  <c r="H2295" i="6"/>
  <c r="H2294" i="6"/>
  <c r="H2293" i="6"/>
  <c r="H2292" i="6"/>
  <c r="H2291" i="6"/>
  <c r="H2290" i="6"/>
  <c r="H2289" i="6"/>
  <c r="H2288" i="6"/>
  <c r="H2287" i="6"/>
  <c r="H2286" i="6"/>
  <c r="H2285" i="6"/>
  <c r="H2284" i="6"/>
  <c r="H2283" i="6"/>
  <c r="H2282" i="6"/>
  <c r="H2281" i="6"/>
  <c r="H2280" i="6"/>
  <c r="H2279" i="6"/>
  <c r="H2278" i="6"/>
  <c r="H2277" i="6"/>
  <c r="H2276" i="6"/>
  <c r="H2275" i="6"/>
  <c r="H2274" i="6"/>
  <c r="H2273" i="6"/>
  <c r="H2272" i="6"/>
  <c r="H2271" i="6"/>
  <c r="H2270" i="6"/>
  <c r="H2269" i="6"/>
  <c r="H2268" i="6"/>
  <c r="H2267" i="6"/>
  <c r="H2266" i="6"/>
  <c r="H2265" i="6"/>
  <c r="H2264" i="6"/>
  <c r="H2263" i="6"/>
  <c r="H2262" i="6"/>
  <c r="H2261" i="6"/>
  <c r="H2260" i="6"/>
  <c r="H2259" i="6"/>
  <c r="H2258" i="6"/>
  <c r="H2257" i="6"/>
  <c r="H2256" i="6"/>
  <c r="H2255" i="6"/>
  <c r="H2254" i="6"/>
  <c r="H2253" i="6"/>
  <c r="H2252" i="6"/>
  <c r="H2251" i="6"/>
  <c r="H2250" i="6"/>
  <c r="H2249" i="6"/>
  <c r="H2248" i="6"/>
  <c r="H2247" i="6"/>
  <c r="H2246" i="6"/>
  <c r="H2245" i="6"/>
  <c r="H2244" i="6"/>
  <c r="H2243" i="6"/>
  <c r="H2242" i="6"/>
  <c r="H2241" i="6"/>
  <c r="H2240" i="6"/>
  <c r="H2239" i="6"/>
  <c r="H2238" i="6"/>
  <c r="H2237" i="6"/>
  <c r="H2236" i="6"/>
  <c r="H2235" i="6"/>
  <c r="H2234" i="6"/>
  <c r="H2233" i="6"/>
  <c r="H2232" i="6"/>
  <c r="H2231" i="6"/>
  <c r="H2230" i="6"/>
  <c r="H2229" i="6"/>
  <c r="H2228" i="6"/>
  <c r="H2227" i="6"/>
  <c r="H2226" i="6"/>
  <c r="H2225" i="6"/>
  <c r="H2224" i="6"/>
  <c r="H2223" i="6"/>
  <c r="H2222" i="6"/>
  <c r="H2221" i="6"/>
  <c r="H2220" i="6"/>
  <c r="H2219" i="6"/>
  <c r="H2218" i="6"/>
  <c r="H2217" i="6"/>
  <c r="H2216" i="6"/>
  <c r="H2215" i="6"/>
  <c r="H2214" i="6"/>
  <c r="H2213" i="6"/>
  <c r="H2212" i="6"/>
  <c r="H2211" i="6"/>
  <c r="H2210" i="6"/>
  <c r="H2209" i="6"/>
  <c r="H2208" i="6"/>
  <c r="H2207" i="6"/>
  <c r="H2206" i="6"/>
  <c r="H2205" i="6"/>
  <c r="H2204" i="6"/>
  <c r="H2203" i="6"/>
  <c r="H2202" i="6"/>
  <c r="H2201" i="6"/>
  <c r="H2200" i="6"/>
  <c r="H2199" i="6"/>
  <c r="H2198" i="6"/>
  <c r="H2197" i="6"/>
  <c r="H2196" i="6"/>
  <c r="H2195" i="6"/>
  <c r="H2194" i="6"/>
  <c r="H2193" i="6"/>
  <c r="H2192" i="6"/>
  <c r="H2191" i="6"/>
  <c r="H2190" i="6"/>
  <c r="H2189" i="6"/>
  <c r="H2188" i="6"/>
  <c r="H2187" i="6"/>
  <c r="H2186" i="6"/>
  <c r="H2185" i="6"/>
  <c r="H2184" i="6"/>
  <c r="H2183" i="6"/>
  <c r="H2182" i="6"/>
  <c r="H2181" i="6"/>
  <c r="H2180" i="6"/>
  <c r="H2179" i="6"/>
  <c r="H2178" i="6"/>
  <c r="H2177" i="6"/>
  <c r="H2176" i="6"/>
  <c r="H2175" i="6"/>
  <c r="H2174" i="6"/>
  <c r="H2173" i="6"/>
  <c r="H2172" i="6"/>
  <c r="H2171" i="6"/>
  <c r="H2170" i="6"/>
  <c r="H2169" i="6"/>
  <c r="H2168" i="6"/>
  <c r="H2167" i="6"/>
  <c r="H2166" i="6"/>
  <c r="H2165" i="6"/>
  <c r="H2164" i="6"/>
  <c r="H2163" i="6"/>
  <c r="H2162" i="6"/>
  <c r="H2161" i="6"/>
  <c r="H2160" i="6"/>
  <c r="H2159" i="6"/>
  <c r="H2158" i="6"/>
  <c r="H2157" i="6"/>
  <c r="H2156" i="6"/>
  <c r="H2155" i="6"/>
  <c r="H2154" i="6"/>
  <c r="H2153" i="6"/>
  <c r="H2152" i="6"/>
  <c r="H2151" i="6"/>
  <c r="H2150" i="6"/>
  <c r="H2149" i="6"/>
  <c r="H2148" i="6"/>
  <c r="H2147" i="6"/>
  <c r="H2146" i="6"/>
  <c r="H2145" i="6"/>
  <c r="H2144" i="6"/>
  <c r="H2143" i="6"/>
  <c r="H2142" i="6"/>
  <c r="H2141" i="6"/>
  <c r="H2140" i="6"/>
  <c r="H2139" i="6"/>
  <c r="H2138" i="6"/>
  <c r="H2137" i="6"/>
  <c r="H2136" i="6"/>
  <c r="H2135" i="6"/>
  <c r="H2134" i="6"/>
  <c r="H2133" i="6"/>
  <c r="H2132" i="6"/>
  <c r="H2131" i="6"/>
  <c r="H2130" i="6"/>
  <c r="H2129" i="6"/>
  <c r="H2128" i="6"/>
  <c r="H2127" i="6"/>
  <c r="H2126" i="6"/>
  <c r="H2125" i="6"/>
  <c r="H2124" i="6"/>
  <c r="H2123" i="6"/>
  <c r="H2122" i="6"/>
  <c r="H2121" i="6"/>
  <c r="H2120" i="6"/>
  <c r="H2119" i="6"/>
  <c r="H2118" i="6"/>
  <c r="H2117" i="6"/>
  <c r="H2116" i="6"/>
  <c r="H2115" i="6"/>
  <c r="H2114" i="6"/>
  <c r="H2113" i="6"/>
  <c r="H2112" i="6"/>
  <c r="H2111" i="6"/>
  <c r="H2110" i="6"/>
  <c r="H2109" i="6"/>
  <c r="H2108" i="6"/>
  <c r="H2107" i="6"/>
  <c r="H2106" i="6"/>
  <c r="H2105" i="6"/>
  <c r="H2104" i="6"/>
  <c r="H2103" i="6"/>
  <c r="H2102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043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F18" i="7"/>
  <c r="F22" i="7"/>
  <c r="F19" i="7"/>
  <c r="H538" i="6"/>
  <c r="F14" i="7"/>
  <c r="F12" i="7"/>
  <c r="F11" i="7"/>
  <c r="F10" i="7"/>
  <c r="F8" i="7"/>
  <c r="F7" i="7"/>
  <c r="F6" i="7"/>
  <c r="F5" i="7"/>
  <c r="F2" i="7"/>
  <c r="I2" i="10"/>
  <c r="J46" i="10" l="1"/>
  <c r="K17" i="7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K15" i="7"/>
  <c r="K13" i="7"/>
  <c r="K11" i="7"/>
  <c r="K5" i="7"/>
  <c r="K3" i="7"/>
  <c r="K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2" i="7"/>
  <c r="E3057" i="6"/>
  <c r="H2603" i="6"/>
  <c r="H1565" i="6"/>
  <c r="H5" i="6"/>
  <c r="H33" i="7"/>
  <c r="I33" i="7" s="1"/>
  <c r="H32" i="7"/>
  <c r="I32" i="7" s="1"/>
  <c r="H31" i="7"/>
  <c r="I31" i="7" s="1"/>
  <c r="H24" i="7"/>
  <c r="I24" i="7" s="1"/>
  <c r="H25" i="7"/>
  <c r="I25" i="7" s="1"/>
  <c r="H26" i="7"/>
  <c r="I26" i="7" s="1"/>
  <c r="H27" i="7"/>
  <c r="I27" i="7" s="1"/>
  <c r="H28" i="7"/>
  <c r="I28" i="7" s="1"/>
  <c r="H29" i="7"/>
  <c r="I29" i="7" s="1"/>
  <c r="H30" i="7"/>
  <c r="I30" i="7" s="1"/>
  <c r="H18" i="7"/>
  <c r="I18" i="7" s="1"/>
  <c r="H19" i="7"/>
  <c r="I19" i="7" s="1"/>
  <c r="H20" i="7"/>
  <c r="I20" i="7" s="1"/>
  <c r="H21" i="7"/>
  <c r="I21" i="7" s="1"/>
  <c r="H22" i="7"/>
  <c r="I22" i="7" s="1"/>
  <c r="H23" i="7"/>
  <c r="I23" i="7" s="1"/>
  <c r="I15" i="7" l="1"/>
  <c r="I13" i="7"/>
  <c r="I6" i="7"/>
  <c r="I5" i="7"/>
  <c r="I3" i="7"/>
  <c r="I2" i="7"/>
  <c r="I88" i="10"/>
  <c r="I45" i="10"/>
  <c r="I87" i="10"/>
  <c r="I44" i="10"/>
  <c r="I86" i="10"/>
  <c r="I43" i="10"/>
  <c r="I85" i="10"/>
  <c r="I42" i="10"/>
  <c r="I84" i="10"/>
  <c r="I41" i="10"/>
  <c r="I83" i="10"/>
  <c r="I40" i="10"/>
  <c r="I82" i="10"/>
  <c r="I39" i="10"/>
  <c r="I81" i="10"/>
  <c r="I38" i="10"/>
  <c r="I80" i="10"/>
  <c r="I37" i="10"/>
  <c r="I79" i="10"/>
  <c r="I36" i="10"/>
  <c r="I78" i="10"/>
  <c r="I35" i="10"/>
  <c r="I77" i="10"/>
  <c r="I34" i="10"/>
  <c r="I76" i="10"/>
  <c r="I33" i="10"/>
  <c r="I75" i="10"/>
  <c r="I32" i="10"/>
  <c r="I74" i="10"/>
  <c r="I31" i="10"/>
  <c r="I73" i="10"/>
  <c r="I30" i="10"/>
  <c r="I72" i="10"/>
  <c r="I29" i="10"/>
  <c r="I71" i="10"/>
  <c r="I28" i="10"/>
  <c r="I101" i="10"/>
  <c r="I70" i="10"/>
  <c r="I27" i="10"/>
  <c r="I100" i="10"/>
  <c r="I69" i="10"/>
  <c r="I26" i="10"/>
  <c r="I99" i="10"/>
  <c r="I98" i="10"/>
  <c r="I68" i="10"/>
  <c r="I25" i="10"/>
  <c r="K21" i="7" s="1"/>
  <c r="I67" i="10"/>
  <c r="I10" i="10"/>
  <c r="I9" i="10"/>
  <c r="I66" i="10"/>
  <c r="I20" i="10"/>
  <c r="I65" i="10"/>
  <c r="I19" i="10"/>
  <c r="I64" i="10"/>
  <c r="I18" i="10"/>
  <c r="I63" i="10"/>
  <c r="I8" i="10"/>
  <c r="I62" i="10"/>
  <c r="I17" i="10"/>
  <c r="I61" i="10"/>
  <c r="I7" i="10"/>
  <c r="I60" i="10"/>
  <c r="I16" i="10"/>
  <c r="I97" i="10"/>
  <c r="I59" i="10"/>
  <c r="I6" i="10"/>
  <c r="I96" i="10"/>
  <c r="I58" i="10"/>
  <c r="I15" i="10"/>
  <c r="I57" i="10"/>
  <c r="I5" i="10"/>
  <c r="I56" i="10"/>
  <c r="I14" i="10"/>
  <c r="I55" i="10"/>
  <c r="I24" i="10"/>
  <c r="I95" i="10"/>
  <c r="I54" i="10"/>
  <c r="I23" i="10"/>
  <c r="I94" i="10"/>
  <c r="I93" i="10"/>
  <c r="I53" i="10"/>
  <c r="I13" i="10"/>
  <c r="I92" i="10"/>
  <c r="I52" i="10"/>
  <c r="I4" i="10"/>
  <c r="I51" i="10"/>
  <c r="I12" i="10"/>
  <c r="I50" i="10"/>
  <c r="I22" i="10"/>
  <c r="I49" i="10"/>
  <c r="I3" i="10"/>
  <c r="I91" i="10"/>
  <c r="I48" i="10"/>
  <c r="I90" i="10"/>
  <c r="I47" i="10"/>
  <c r="I21" i="10"/>
  <c r="I89" i="10"/>
  <c r="I46" i="10"/>
  <c r="I11" i="10"/>
  <c r="C17" i="9"/>
  <c r="C16" i="9"/>
  <c r="D1014" i="6"/>
  <c r="I12" i="9"/>
  <c r="I10" i="9"/>
  <c r="I8" i="9"/>
  <c r="I6" i="9"/>
  <c r="I4" i="9"/>
  <c r="I2" i="9"/>
  <c r="K18" i="7" l="1"/>
  <c r="K20" i="7"/>
  <c r="K22" i="7"/>
  <c r="K16" i="7"/>
  <c r="I104" i="10"/>
  <c r="I105" i="10" s="1"/>
  <c r="H17" i="7"/>
  <c r="I17" i="7" s="1"/>
  <c r="K23" i="7"/>
  <c r="H16" i="7"/>
  <c r="I16" i="7" s="1"/>
  <c r="K19" i="7"/>
  <c r="K10" i="7"/>
  <c r="K14" i="7"/>
  <c r="K7" i="7"/>
  <c r="K4" i="7"/>
  <c r="K6" i="7"/>
  <c r="K8" i="7"/>
  <c r="K9" i="7"/>
  <c r="K12" i="7"/>
  <c r="I14" i="7"/>
  <c r="I12" i="7"/>
  <c r="I8" i="7"/>
  <c r="I7" i="7"/>
  <c r="I9" i="7"/>
  <c r="I10" i="7"/>
  <c r="I11" i="7"/>
  <c r="G2993" i="6" l="1"/>
  <c r="I4" i="7" l="1"/>
</calcChain>
</file>

<file path=xl/sharedStrings.xml><?xml version="1.0" encoding="utf-8"?>
<sst xmlns="http://schemas.openxmlformats.org/spreadsheetml/2006/main" count="68302" uniqueCount="3143">
  <si>
    <t>0-CENTRO TRABAJO 0</t>
  </si>
  <si>
    <t>1-CENTRO TRABAJO 1</t>
  </si>
  <si>
    <t>10-CENTRO TRABAJO 10</t>
  </si>
  <si>
    <t>15-CENTRO TRABAJO 15</t>
  </si>
  <si>
    <t>24-CENTRO TRABAJO 24</t>
  </si>
  <si>
    <t>3-CENTRO TRABAJO 3</t>
  </si>
  <si>
    <t>30-CENTRO TRABAJO 30</t>
  </si>
  <si>
    <t>33-CENTRO TRABAJO 33</t>
  </si>
  <si>
    <t>4-CENTRO TRABAJO 4</t>
  </si>
  <si>
    <t>40-CENTRO TRABAJO 40</t>
  </si>
  <si>
    <t>50-CENTRO TRABAJO 50</t>
  </si>
  <si>
    <t>57-CENTRO TRABAJO 57</t>
  </si>
  <si>
    <t>6-CENTRO TRABAJO 6</t>
  </si>
  <si>
    <t>67-CENTRO TRABAJO 67</t>
  </si>
  <si>
    <t>696-CENTRO TRABAJO 696</t>
  </si>
  <si>
    <t>8-CENTRO TRABAJO 8</t>
  </si>
  <si>
    <t>01-PRINCIPAL</t>
  </si>
  <si>
    <t>2-ROSAL</t>
  </si>
  <si>
    <t>33-CAJAMAG</t>
  </si>
  <si>
    <t>31-GUA</t>
  </si>
  <si>
    <t>1-RIESGO 01</t>
  </si>
  <si>
    <t>696-RIESGO 5</t>
  </si>
  <si>
    <t>04-SANTANDER</t>
  </si>
  <si>
    <t xml:space="preserve">50-CENTRO 05 </t>
  </si>
  <si>
    <t>05-OBRA</t>
  </si>
  <si>
    <t>NINGUNA</t>
  </si>
  <si>
    <t>CENTRO TRABAJO 0</t>
  </si>
  <si>
    <t>E - Planilla Empleados Empresas</t>
  </si>
  <si>
    <t>EMPLEADOR</t>
  </si>
  <si>
    <t>1. DEPENDIENTE</t>
  </si>
  <si>
    <t>NINGUNO</t>
  </si>
  <si>
    <t>Sin Riesgo</t>
  </si>
  <si>
    <t>NO</t>
  </si>
  <si>
    <t>SIN RIESGO</t>
  </si>
  <si>
    <t>CC</t>
  </si>
  <si>
    <t>INGRESO (ING)</t>
  </si>
  <si>
    <t>ACTUAL</t>
  </si>
  <si>
    <t>LICENCIA NO REMUNERADA</t>
  </si>
  <si>
    <t>TARIFA DEL EMPLEADOR</t>
  </si>
  <si>
    <t>VARIACIÓN PERMANENTE DE SALARIO (VSP)</t>
  </si>
  <si>
    <t>Todos los sistemas (ARL, AFP, CCF, EPS)</t>
  </si>
  <si>
    <t>AMAZONAS</t>
  </si>
  <si>
    <t>EL ENCANTO</t>
  </si>
  <si>
    <t>ABEJORRAL</t>
  </si>
  <si>
    <t>ARAUCA</t>
  </si>
  <si>
    <t>BARANOA</t>
  </si>
  <si>
    <t>BOGOTA</t>
  </si>
  <si>
    <t>ACHI</t>
  </si>
  <si>
    <t>ALMEIDA</t>
  </si>
  <si>
    <t>AGUADAS</t>
  </si>
  <si>
    <t>ALBANIA</t>
  </si>
  <si>
    <t>AGUAZUL</t>
  </si>
  <si>
    <t>ALMAGUER</t>
  </si>
  <si>
    <t>AGUACHICA</t>
  </si>
  <si>
    <t>ACANDI</t>
  </si>
  <si>
    <t>AYAPEL</t>
  </si>
  <si>
    <t>AGUA DE DIOS</t>
  </si>
  <si>
    <t>BARRANCO MINAS</t>
  </si>
  <si>
    <t>CALAMAR</t>
  </si>
  <si>
    <t>ACEVEDO</t>
  </si>
  <si>
    <t>ALGARROBO</t>
  </si>
  <si>
    <t>ACACIAS</t>
  </si>
  <si>
    <t>ALBAN</t>
  </si>
  <si>
    <t>ABREGO</t>
  </si>
  <si>
    <t>COLON</t>
  </si>
  <si>
    <t>ARMENIA</t>
  </si>
  <si>
    <t>APIA</t>
  </si>
  <si>
    <t>PROVIDENCIA</t>
  </si>
  <si>
    <t>AGUADA</t>
  </si>
  <si>
    <t>BUENAVISTA</t>
  </si>
  <si>
    <t>ALPUJARRA</t>
  </si>
  <si>
    <t>ALCALA</t>
  </si>
  <si>
    <t>CARURU</t>
  </si>
  <si>
    <t>CUMARIBO</t>
  </si>
  <si>
    <t>VACACIONES</t>
  </si>
  <si>
    <t>INCAPACIDAD GENERAL (IGE)</t>
  </si>
  <si>
    <t>SUCURSAL</t>
  </si>
  <si>
    <t>PRINCIPAL</t>
  </si>
  <si>
    <t>CENTRO TRABAJO 1</t>
  </si>
  <si>
    <t>A - Planilla Empleados Adicionales</t>
  </si>
  <si>
    <t>INDEPENDIENTE</t>
  </si>
  <si>
    <t>12. APRENDICES EN ETAPA LECTIVA</t>
  </si>
  <si>
    <t>1. DEPENDIENTE PENSIONADO ACTIVO</t>
  </si>
  <si>
    <t>CAXDAC</t>
  </si>
  <si>
    <t>1. Actividades de alto riesgo</t>
  </si>
  <si>
    <t>A.I.C.</t>
  </si>
  <si>
    <t>CAFABA</t>
  </si>
  <si>
    <t>ALFA</t>
  </si>
  <si>
    <t>SI</t>
  </si>
  <si>
    <t>ALTO RIESGO</t>
  </si>
  <si>
    <t>CE</t>
  </si>
  <si>
    <t>RETIRO DE LA EMPRESA (RET)</t>
  </si>
  <si>
    <t>CORRECCIÓN</t>
  </si>
  <si>
    <t>COMISIÓN DE SERVICIO</t>
  </si>
  <si>
    <t>TARIFA TOTAL</t>
  </si>
  <si>
    <t>VARIACIÓN TRANSITORIA DE SALARIO (VST)</t>
  </si>
  <si>
    <t>Administradora de Riesgos Laborales (ARL)</t>
  </si>
  <si>
    <t>Administradora de Fondo de Pensiones (AFP)</t>
  </si>
  <si>
    <t>CONCEJALES I</t>
  </si>
  <si>
    <t>ANTIOQUIA</t>
  </si>
  <si>
    <t>LA CHORRERA</t>
  </si>
  <si>
    <t>ABRIAQUI</t>
  </si>
  <si>
    <t>ARAUQUITA</t>
  </si>
  <si>
    <t>BARRANQUILLA</t>
  </si>
  <si>
    <t>ALTOS DEL ROSARIO</t>
  </si>
  <si>
    <t>AQUITANIA</t>
  </si>
  <si>
    <t>ANSERMA</t>
  </si>
  <si>
    <t>BELEN DE LOS ANDAQUIES</t>
  </si>
  <si>
    <t>CHAMEZA</t>
  </si>
  <si>
    <t>ARGELIA</t>
  </si>
  <si>
    <t>AGUSTIN CODAZZI</t>
  </si>
  <si>
    <t>ALTO BAUDO</t>
  </si>
  <si>
    <t>CACAHUAL</t>
  </si>
  <si>
    <t>EL RETORNO</t>
  </si>
  <si>
    <t>AGRADO</t>
  </si>
  <si>
    <t>BARRANCAS</t>
  </si>
  <si>
    <t>ARACATACA</t>
  </si>
  <si>
    <t>BARRANCA DE UPIA</t>
  </si>
  <si>
    <t>ALDANA</t>
  </si>
  <si>
    <t>ARBOLEDAS</t>
  </si>
  <si>
    <t>LEGUIZAMO</t>
  </si>
  <si>
    <t>BALBOA</t>
  </si>
  <si>
    <t>SAN ANDRES</t>
  </si>
  <si>
    <t>CAIMITO</t>
  </si>
  <si>
    <t>ALVARADO</t>
  </si>
  <si>
    <t>ANDALUCIA</t>
  </si>
  <si>
    <t>MITU</t>
  </si>
  <si>
    <t>LA PRIMAVERA</t>
  </si>
  <si>
    <t>LICENCIA REMUNERADA</t>
  </si>
  <si>
    <t>INCAPACIDAD LABORAL (IRL)</t>
  </si>
  <si>
    <t>ÚNICA</t>
  </si>
  <si>
    <t>CAJAMAG</t>
  </si>
  <si>
    <t>CENTRO TRABAJO 10</t>
  </si>
  <si>
    <t>I - Planilla Independientes</t>
  </si>
  <si>
    <t>ENTIDADES O UNIVERSIDADES PÚBLICAS CON RÉGIMEN ESPECIAL EN SALUD</t>
  </si>
  <si>
    <t>15. DESEMPLEADO CON SUBSIDIO DE CAJA DE COMPENSACIÓN FAMILIAR</t>
  </si>
  <si>
    <t>2. INDEPENDIENTE PENSIONADO ACTIVO</t>
  </si>
  <si>
    <t>COLFONDOS</t>
  </si>
  <si>
    <t>2. Senadores</t>
  </si>
  <si>
    <t>ADRES - CONTRIBUCIÓN SOLIDARIA</t>
  </si>
  <si>
    <t>CAFAM</t>
  </si>
  <si>
    <t>ARL SURA</t>
  </si>
  <si>
    <t xml:space="preserve"> </t>
  </si>
  <si>
    <t>CTI</t>
  </si>
  <si>
    <t>TI</t>
  </si>
  <si>
    <t>NIT</t>
  </si>
  <si>
    <t>CONCEJALES II</t>
  </si>
  <si>
    <t>LA PEDRERA</t>
  </si>
  <si>
    <t>ALEJANDRIA</t>
  </si>
  <si>
    <t>CRAVO NORTE</t>
  </si>
  <si>
    <t>CAMPO DE LA CRUZ</t>
  </si>
  <si>
    <t>ARENAL</t>
  </si>
  <si>
    <t>ARCABUCO</t>
  </si>
  <si>
    <t>ARANZAZU</t>
  </si>
  <si>
    <t>CARTAGENA DEL CHAIRA</t>
  </si>
  <si>
    <t>HATO COROZAL</t>
  </si>
  <si>
    <t>ASTREA</t>
  </si>
  <si>
    <t>ATRATO</t>
  </si>
  <si>
    <t>CANALETE</t>
  </si>
  <si>
    <t>ANAPOIMA</t>
  </si>
  <si>
    <t>INIRIDA</t>
  </si>
  <si>
    <t>MIRAFLORES</t>
  </si>
  <si>
    <t>AIPE</t>
  </si>
  <si>
    <t>DIBULLA</t>
  </si>
  <si>
    <t>ARIGUANI</t>
  </si>
  <si>
    <t>CABUYARO</t>
  </si>
  <si>
    <t>ANCUYA</t>
  </si>
  <si>
    <t>BOCHALEMA</t>
  </si>
  <si>
    <t>MOCOA</t>
  </si>
  <si>
    <t>CALARCA</t>
  </si>
  <si>
    <t>BELEN DE UMBRIA</t>
  </si>
  <si>
    <t>ARATOCA</t>
  </si>
  <si>
    <t>CHALAN</t>
  </si>
  <si>
    <t>AMBALEMA</t>
  </si>
  <si>
    <t>ANSERMANUEVO</t>
  </si>
  <si>
    <t>PACOA</t>
  </si>
  <si>
    <t>PUERTO CARREÑO</t>
  </si>
  <si>
    <t>Caja de Compensación Familiar (CCF)</t>
  </si>
  <si>
    <t>CONSOLIDADO</t>
  </si>
  <si>
    <t>GUAJIRA</t>
  </si>
  <si>
    <t>CENTRO TRABAJO 15</t>
  </si>
  <si>
    <t>Y - Planilla Independientes Empresas</t>
  </si>
  <si>
    <t>COOPERATIVA Y PRE COOPERATIVA DE TRABAJO ASOCIADO</t>
  </si>
  <si>
    <t>16. INDEPENDIENTE AGREMIADO O ASOCIADO</t>
  </si>
  <si>
    <t>3. COTIZANTE NO OBLIGADO A COTIZACIÓN A PENSIONES POR EDAD</t>
  </si>
  <si>
    <t>COLPENSIONES</t>
  </si>
  <si>
    <t>3. CTI</t>
  </si>
  <si>
    <t>ALIANSALUD EPS (ANTES COLMEDICA)</t>
  </si>
  <si>
    <t>CAFAMAZ</t>
  </si>
  <si>
    <t>COLMENA</t>
  </si>
  <si>
    <t>ALTO RIESGO (6%)</t>
  </si>
  <si>
    <t>RC</t>
  </si>
  <si>
    <t>DESEMPLEADOS</t>
  </si>
  <si>
    <t>ATLANTICO</t>
  </si>
  <si>
    <t>LA VICTORIA</t>
  </si>
  <si>
    <t>AMAGA</t>
  </si>
  <si>
    <t>FORTUL</t>
  </si>
  <si>
    <t>CANDELARIA</t>
  </si>
  <si>
    <t>ARJONA</t>
  </si>
  <si>
    <t>BELEN</t>
  </si>
  <si>
    <t>BELALCAZAR</t>
  </si>
  <si>
    <t>CURILLO</t>
  </si>
  <si>
    <t>LA SALINA</t>
  </si>
  <si>
    <t>BOLIVAR</t>
  </si>
  <si>
    <t>BECERRIL</t>
  </si>
  <si>
    <t>BAGADO</t>
  </si>
  <si>
    <t>CERETE</t>
  </si>
  <si>
    <t>ANOLAIMA</t>
  </si>
  <si>
    <t>LA GUADALUPE</t>
  </si>
  <si>
    <t>SAN JOSE DEL GUAVIARE</t>
  </si>
  <si>
    <t>ALGECIRAS</t>
  </si>
  <si>
    <t>DISTRACCION</t>
  </si>
  <si>
    <t>CERRO SAN ANTONIO</t>
  </si>
  <si>
    <t>CASTILLA LA NUEVA</t>
  </si>
  <si>
    <t>ARBOLEDA</t>
  </si>
  <si>
    <t>BUCARASICA</t>
  </si>
  <si>
    <t>ORITO</t>
  </si>
  <si>
    <t>CIRCASIA</t>
  </si>
  <si>
    <t>DOSQUEBRADAS</t>
  </si>
  <si>
    <t>BARBOSA</t>
  </si>
  <si>
    <t>COLOSO</t>
  </si>
  <si>
    <t>ANZOATEGUI</t>
  </si>
  <si>
    <t>PAPUNAUA</t>
  </si>
  <si>
    <t>SANTA ROSALIA</t>
  </si>
  <si>
    <t>INICIO RESIDENCIA EN EL EXTERIOR (IRE)</t>
  </si>
  <si>
    <t>DEPENDENCIA</t>
  </si>
  <si>
    <t>MEDELLIN</t>
  </si>
  <si>
    <t>CENTRO TRABAJO 24</t>
  </si>
  <si>
    <t>S - Planilla Empleados de Independientes</t>
  </si>
  <si>
    <t>MISIÓN DIPLOMÁTICA</t>
  </si>
  <si>
    <t>18. FUNCIONARIOS PÚBLICOS SIN TOPE MÁXIMO EN EL IBC</t>
  </si>
  <si>
    <t>4. COTIZANTE CON REQUISITOS CUMPLIDOS PARA PENSIÓN</t>
  </si>
  <si>
    <t>FONPRECON</t>
  </si>
  <si>
    <t>4. Aviadores</t>
  </si>
  <si>
    <t>ANAS WAYUU</t>
  </si>
  <si>
    <t>CAFASUR</t>
  </si>
  <si>
    <t>COLPATRIA ARP</t>
  </si>
  <si>
    <t>ALTO RIESGO (8.5%)</t>
  </si>
  <si>
    <t>PA</t>
  </si>
  <si>
    <t>DESOCUPADOS</t>
  </si>
  <si>
    <t>BOGOTA_D.E.</t>
  </si>
  <si>
    <t>LETICIA</t>
  </si>
  <si>
    <t>AMALFI</t>
  </si>
  <si>
    <t>PUERTO RONDON</t>
  </si>
  <si>
    <t>GALAPA</t>
  </si>
  <si>
    <t>ARROYOHONDO</t>
  </si>
  <si>
    <t>BERBEO</t>
  </si>
  <si>
    <t>CHINCHINA</t>
  </si>
  <si>
    <t>EL DONCELLO</t>
  </si>
  <si>
    <t>MANI</t>
  </si>
  <si>
    <t>BUENOS AIRES</t>
  </si>
  <si>
    <t>BOSCONIA</t>
  </si>
  <si>
    <t>BAHIA SOLANO</t>
  </si>
  <si>
    <t>CHIMA</t>
  </si>
  <si>
    <t>APULO</t>
  </si>
  <si>
    <t>MAPIRIPANA</t>
  </si>
  <si>
    <t>ALTAMIRA</t>
  </si>
  <si>
    <t>EL MOLINO</t>
  </si>
  <si>
    <t>CHIBOLO</t>
  </si>
  <si>
    <t>CUBARRAL</t>
  </si>
  <si>
    <t>BARBACOAS</t>
  </si>
  <si>
    <t>CACHIRA</t>
  </si>
  <si>
    <t>PUERTO ASIS</t>
  </si>
  <si>
    <t>CORDOBA</t>
  </si>
  <si>
    <t>GUATICA</t>
  </si>
  <si>
    <t>BARICHARA</t>
  </si>
  <si>
    <t>COROZAL</t>
  </si>
  <si>
    <t>ARMERO</t>
  </si>
  <si>
    <t>TARAIRA</t>
  </si>
  <si>
    <t>LICENCIA DE MATERNIDAD (LMA)</t>
  </si>
  <si>
    <t>SANTANDER</t>
  </si>
  <si>
    <t>CENTRO TRABAJO 3</t>
  </si>
  <si>
    <t>N - Planilla Correcciones</t>
  </si>
  <si>
    <t>ORGANIZACIÓN ADMINISTRADORA DEL PROGRAMA DE HOGARES DE BIENESTAR</t>
  </si>
  <si>
    <t>19. APRENDICES EN ETAPA PRODUCTIVA</t>
  </si>
  <si>
    <t>5. COTIZANTE CON INDEMNIZACIÓN SUSTITUTIVA O DEVOLUCIÓN DE SALDOS</t>
  </si>
  <si>
    <t>PENSIONES DE ANTIOQUIA</t>
  </si>
  <si>
    <t>ASMET SALUD EPS SAS</t>
  </si>
  <si>
    <t>CAJACOPI ATLANTICO</t>
  </si>
  <si>
    <t>COLSANITAS ARL</t>
  </si>
  <si>
    <t>AVIADORES</t>
  </si>
  <si>
    <t>CD</t>
  </si>
  <si>
    <t>DISCAPACITADOS</t>
  </si>
  <si>
    <t>MIRITI - PARANA</t>
  </si>
  <si>
    <t>ANDES</t>
  </si>
  <si>
    <t>SARAVENA</t>
  </si>
  <si>
    <t>JUAN DE ACOSTA</t>
  </si>
  <si>
    <t>BARRANCO DE LOBA</t>
  </si>
  <si>
    <t>BETEITIVA</t>
  </si>
  <si>
    <t>FILADELFIA</t>
  </si>
  <si>
    <t>EL PAUJIL</t>
  </si>
  <si>
    <t>MONTERREY</t>
  </si>
  <si>
    <t>CAJIBIO</t>
  </si>
  <si>
    <t>CHIMICHAGUA</t>
  </si>
  <si>
    <t>BAJO BAUDO</t>
  </si>
  <si>
    <t>CHINU</t>
  </si>
  <si>
    <t>ARBELAEZ</t>
  </si>
  <si>
    <t>MORICHAL</t>
  </si>
  <si>
    <t>BARAYA</t>
  </si>
  <si>
    <t>FONSECA</t>
  </si>
  <si>
    <t>CIENAGA</t>
  </si>
  <si>
    <t>CUMARAL</t>
  </si>
  <si>
    <t>CACOTA</t>
  </si>
  <si>
    <t>PUERTO CAICEDO</t>
  </si>
  <si>
    <t>FILANDIA</t>
  </si>
  <si>
    <t>LA CELIA</t>
  </si>
  <si>
    <t>BARRANCABERMEJA</t>
  </si>
  <si>
    <t>COVEÑAS</t>
  </si>
  <si>
    <t>ATACO</t>
  </si>
  <si>
    <t>BUENAVENTURA</t>
  </si>
  <si>
    <t>YAVARATE</t>
  </si>
  <si>
    <t>TOLIMA</t>
  </si>
  <si>
    <t>CENTRO TRABAJO 30</t>
  </si>
  <si>
    <t>M - Planilla Mora</t>
  </si>
  <si>
    <t>AGREMIACIÓN O ASOCIACIÓN</t>
  </si>
  <si>
    <t>20. ESTUDIANTES</t>
  </si>
  <si>
    <t>6. COTIZANTE PERTENECIENTE A UN RÉGIMEN EXCEPTUADO DE PENSIONES</t>
  </si>
  <si>
    <t>PORVENIR</t>
  </si>
  <si>
    <t>FONDO DE RIESGOS LABORALES</t>
  </si>
  <si>
    <t>SENADORES</t>
  </si>
  <si>
    <t>SC</t>
  </si>
  <si>
    <t>INDEPENDIENTES RURALES I</t>
  </si>
  <si>
    <t>BOYACA</t>
  </si>
  <si>
    <t>PUERTO ALEGRIA</t>
  </si>
  <si>
    <t>ANGELOPOLIS</t>
  </si>
  <si>
    <t>TAME</t>
  </si>
  <si>
    <t>LURUACO</t>
  </si>
  <si>
    <t>BOAVITA</t>
  </si>
  <si>
    <t>LA DORADA</t>
  </si>
  <si>
    <t>FLORENCIA</t>
  </si>
  <si>
    <t>NUNCHIA</t>
  </si>
  <si>
    <t>CALDONO</t>
  </si>
  <si>
    <t>CHIRIGUANA</t>
  </si>
  <si>
    <t>BOJAYA</t>
  </si>
  <si>
    <t>CIENAGA DE ORO</t>
  </si>
  <si>
    <t>BELTRAN</t>
  </si>
  <si>
    <t>PANA PANA</t>
  </si>
  <si>
    <t>CAMPOALEGRE</t>
  </si>
  <si>
    <t>HATONUEVO</t>
  </si>
  <si>
    <t>CONCORDIA</t>
  </si>
  <si>
    <t>EL CALVARIO</t>
  </si>
  <si>
    <t>BUESACO</t>
  </si>
  <si>
    <t>CHINACOTA</t>
  </si>
  <si>
    <t>PUERTO GUZMAN</t>
  </si>
  <si>
    <t>GENOVA</t>
  </si>
  <si>
    <t>LA VIRGINIA</t>
  </si>
  <si>
    <t>BETULIA</t>
  </si>
  <si>
    <t>EL ROBLE</t>
  </si>
  <si>
    <t>CAJAMARCA</t>
  </si>
  <si>
    <t>BUGALAGRANDE</t>
  </si>
  <si>
    <t>SUSPENSIÓN TEMPORAL DEL CONTRATO DE TRABAJO (SLN)</t>
  </si>
  <si>
    <t>CENTRO TRABAJO 33</t>
  </si>
  <si>
    <t>H - Plantilla Madres Comunitarias</t>
  </si>
  <si>
    <t>PAGADOR DE APORTES DE LOS CONCEJALES O EDILES</t>
  </si>
  <si>
    <t>21. ESTUDIANTE Y RESIDENTE</t>
  </si>
  <si>
    <t>9. PENSIONADO CON MESADA IGUAL A 25 SMLMV</t>
  </si>
  <si>
    <t>PROTECCION</t>
  </si>
  <si>
    <t>CAPITAL SALUD</t>
  </si>
  <si>
    <t>CAJASAI</t>
  </si>
  <si>
    <t>LA EQUIDAD SEGUROS</t>
  </si>
  <si>
    <t>PE</t>
  </si>
  <si>
    <t>INDEPENDIENTES RURALES II</t>
  </si>
  <si>
    <t>CALDAS</t>
  </si>
  <si>
    <t>PUERTO ARICA</t>
  </si>
  <si>
    <t>ANGOSTURA</t>
  </si>
  <si>
    <t>MALAMBO</t>
  </si>
  <si>
    <t>CANTAGALLO</t>
  </si>
  <si>
    <t>LA MERCED</t>
  </si>
  <si>
    <t>LA MONTAÑITA</t>
  </si>
  <si>
    <t>OROCUE</t>
  </si>
  <si>
    <t>CALOTO</t>
  </si>
  <si>
    <t>CURUMANI</t>
  </si>
  <si>
    <t>CARMEN DEL DARIEN</t>
  </si>
  <si>
    <t>COTORRA</t>
  </si>
  <si>
    <t>BITUIMA</t>
  </si>
  <si>
    <t>PUERTO COLOMBIA</t>
  </si>
  <si>
    <t>COLOMBIA</t>
  </si>
  <si>
    <t>LA JAGUA DEL PILAR</t>
  </si>
  <si>
    <t>EL BANCO</t>
  </si>
  <si>
    <t>EL CASTILLO</t>
  </si>
  <si>
    <t>CHACHAGI</t>
  </si>
  <si>
    <t>CHITAGA</t>
  </si>
  <si>
    <t>SAN FRANCISCO</t>
  </si>
  <si>
    <t>LA TEBAIDA</t>
  </si>
  <si>
    <t>MARSELLA</t>
  </si>
  <si>
    <t>GALERAS</t>
  </si>
  <si>
    <t>CARMEN DE APICALA</t>
  </si>
  <si>
    <t>CAICEDONIA</t>
  </si>
  <si>
    <t>TIEMPO PARCIAL (TPR)</t>
  </si>
  <si>
    <t>CENTRO TRABAJO 4</t>
  </si>
  <si>
    <t>T - Planilla Sistema General de Participación</t>
  </si>
  <si>
    <t>22. PROFESOR DE ESTABLECIMIENTO PARTICULAR</t>
  </si>
  <si>
    <t>10. COLOMBIANO RESIDENTE EN EL EXTERIOR</t>
  </si>
  <si>
    <t>SKANDIA</t>
  </si>
  <si>
    <t>CAPRESOCA</t>
  </si>
  <si>
    <t>CAJASAN</t>
  </si>
  <si>
    <t>MAPFRE COLOMBIA VIDA SEGUROS S.A.</t>
  </si>
  <si>
    <t>PT</t>
  </si>
  <si>
    <t>INDEPENDIENTES RURALES III</t>
  </si>
  <si>
    <t>CAQUETA</t>
  </si>
  <si>
    <t>PUERTO NARIÑO</t>
  </si>
  <si>
    <t>ANORI</t>
  </si>
  <si>
    <t>MANATI</t>
  </si>
  <si>
    <t>CARTAGENA</t>
  </si>
  <si>
    <t>BRICEÑO</t>
  </si>
  <si>
    <t>MANIZALES</t>
  </si>
  <si>
    <t>MILAN</t>
  </si>
  <si>
    <t>PAZ DE ARIPORO</t>
  </si>
  <si>
    <t>CORINTO</t>
  </si>
  <si>
    <t>EL COPEY</t>
  </si>
  <si>
    <t>CERTEGUI</t>
  </si>
  <si>
    <t>LA APARTADA</t>
  </si>
  <si>
    <t>BOJACA</t>
  </si>
  <si>
    <t>SAN FELIPE</t>
  </si>
  <si>
    <t>ELIAS</t>
  </si>
  <si>
    <t>MAICAO</t>
  </si>
  <si>
    <t>EL PIÑON</t>
  </si>
  <si>
    <t>EL DORADO</t>
  </si>
  <si>
    <t>CONVENCION</t>
  </si>
  <si>
    <t>SAN MIGUEL</t>
  </si>
  <si>
    <t>MONTENEGRO</t>
  </si>
  <si>
    <t>MISTRATO</t>
  </si>
  <si>
    <t>BUCARAMANGA</t>
  </si>
  <si>
    <t>GUARANDA</t>
  </si>
  <si>
    <t>CASABIANCA</t>
  </si>
  <si>
    <t>CALI</t>
  </si>
  <si>
    <t>VACACIONES (VAC)</t>
  </si>
  <si>
    <t>CENTRO TRABAJO 40</t>
  </si>
  <si>
    <t>F - Planilla Faltante SGP</t>
  </si>
  <si>
    <t>23. ESTUDIANTES DECRETO 055</t>
  </si>
  <si>
    <t>11. TAXISTA</t>
  </si>
  <si>
    <t>SKANDIA ALTERNATIVO</t>
  </si>
  <si>
    <t>COMFACHOCÓ</t>
  </si>
  <si>
    <t>COFREM</t>
  </si>
  <si>
    <t>POSITIVA COMPAÑIA DE SEGUROS</t>
  </si>
  <si>
    <t>INDEPENDIENTES URBANOS I</t>
  </si>
  <si>
    <t>CASANARE</t>
  </si>
  <si>
    <t>PUERTO SANTANDER</t>
  </si>
  <si>
    <t>ANZA</t>
  </si>
  <si>
    <t>PALMAR DE VARELA</t>
  </si>
  <si>
    <t>CICUCO</t>
  </si>
  <si>
    <t>MANZANARES</t>
  </si>
  <si>
    <t>MORELIA</t>
  </si>
  <si>
    <t>PORE</t>
  </si>
  <si>
    <t>EL TAMBO</t>
  </si>
  <si>
    <t>EL PASO</t>
  </si>
  <si>
    <t>CONDOTO</t>
  </si>
  <si>
    <t>LORICA</t>
  </si>
  <si>
    <t>CABRERA</t>
  </si>
  <si>
    <t>GARZON</t>
  </si>
  <si>
    <t>MANAURE</t>
  </si>
  <si>
    <t>EL RETEN</t>
  </si>
  <si>
    <t>FUENTE DE ORO</t>
  </si>
  <si>
    <t>CONSACA</t>
  </si>
  <si>
    <t>CUCUTA</t>
  </si>
  <si>
    <t>SANTIAGO</t>
  </si>
  <si>
    <t>PIJAO</t>
  </si>
  <si>
    <t>PEREIRA</t>
  </si>
  <si>
    <t>LA UNION</t>
  </si>
  <si>
    <t>CHAPARRAL</t>
  </si>
  <si>
    <t>CALIMA</t>
  </si>
  <si>
    <t>VARIACIÓN HORAS LABORADAS (VHL)</t>
  </si>
  <si>
    <t>CENTRO TRABAJO 50</t>
  </si>
  <si>
    <t>J - Planilla Aportes en Sentencia Judicial</t>
  </si>
  <si>
    <t>3. INDEPENDIENTE</t>
  </si>
  <si>
    <t>12. TAXISTA NO OBLIGADOS A COTIZAR PENSIÓN</t>
  </si>
  <si>
    <t>COMFAMILIAR GUAJIRA</t>
  </si>
  <si>
    <t>COLSUBSIDIO</t>
  </si>
  <si>
    <t>SEGUROS BOLIVAR</t>
  </si>
  <si>
    <t>INDEPENDIENTES URBANOS II</t>
  </si>
  <si>
    <t>CAUCA</t>
  </si>
  <si>
    <t>TARAPACA</t>
  </si>
  <si>
    <t>APARTADO</t>
  </si>
  <si>
    <t>PIOJO</t>
  </si>
  <si>
    <t>CLEMENCIA</t>
  </si>
  <si>
    <t>BUSBANZA</t>
  </si>
  <si>
    <t>MARMATO</t>
  </si>
  <si>
    <t>PUERTO RICO</t>
  </si>
  <si>
    <t>RECETOR</t>
  </si>
  <si>
    <t>GAMARRA</t>
  </si>
  <si>
    <t>EL CANTON DEL SAN PABLO</t>
  </si>
  <si>
    <t>LOS CORDOBAS</t>
  </si>
  <si>
    <t>CACHIPAY</t>
  </si>
  <si>
    <t>GIGANTE</t>
  </si>
  <si>
    <t>RIOHACHA</t>
  </si>
  <si>
    <t>FUNDACION</t>
  </si>
  <si>
    <t>GRANADA</t>
  </si>
  <si>
    <t>CONTADERO</t>
  </si>
  <si>
    <t>CUCUTILLA</t>
  </si>
  <si>
    <t>SIBUNDOY</t>
  </si>
  <si>
    <t>QUIMBAYA</t>
  </si>
  <si>
    <t>PUEBLO RICO</t>
  </si>
  <si>
    <t>CALIFORNIA</t>
  </si>
  <si>
    <t>LOS PALMITOS</t>
  </si>
  <si>
    <t>COELLO</t>
  </si>
  <si>
    <t>VARIACIÓN IBC PARAFISCALES (VIP)</t>
  </si>
  <si>
    <t>CENTRO TRABAJO 57</t>
  </si>
  <si>
    <t>X – Planilla para el pago de empresa liquidada</t>
  </si>
  <si>
    <t>30. DEPENDIENTE ENTIDADES O UNIVERSIDADES PÚBLICAS CON RÉGIMEN ESPECIAL EN SALUD</t>
  </si>
  <si>
    <t>COMFAMILIAR HUILA</t>
  </si>
  <si>
    <t>COMBARRANQUILLA</t>
  </si>
  <si>
    <t>SEGUROS DE VIDA AURORA</t>
  </si>
  <si>
    <t>INDEPENDIENTES URBANOS III</t>
  </si>
  <si>
    <t>CESAR</t>
  </si>
  <si>
    <t>ARBOLETES</t>
  </si>
  <si>
    <t>POLONUEVO</t>
  </si>
  <si>
    <t>MARQUETALIA</t>
  </si>
  <si>
    <t>SAN JOSE DEL FRAGUA</t>
  </si>
  <si>
    <t>SABANALARGA</t>
  </si>
  <si>
    <t>GUACHENÉ</t>
  </si>
  <si>
    <t>GONZALEZ</t>
  </si>
  <si>
    <t>EL CARMEN DE ATRATO</t>
  </si>
  <si>
    <t>MOMIL</t>
  </si>
  <si>
    <t>CAJICA</t>
  </si>
  <si>
    <t>GUADALUPE</t>
  </si>
  <si>
    <t>SAN JUAN DEL CESAR</t>
  </si>
  <si>
    <t>GUAMAL</t>
  </si>
  <si>
    <t>DURANIA</t>
  </si>
  <si>
    <t>VALLE DEL GUAMUEZ</t>
  </si>
  <si>
    <t>SALENTO</t>
  </si>
  <si>
    <t>QUINCHIA</t>
  </si>
  <si>
    <t>CAPITANEJO</t>
  </si>
  <si>
    <t>MAJAGUAL</t>
  </si>
  <si>
    <t>COYAIMA</t>
  </si>
  <si>
    <t>CARTAGO</t>
  </si>
  <si>
    <t>CENTRO TRABAJO 6</t>
  </si>
  <si>
    <t>K - Planilla Estudiantes</t>
  </si>
  <si>
    <t>31. COOPERADO</t>
  </si>
  <si>
    <t>COMFAMILIAR NARIÑO</t>
  </si>
  <si>
    <t>COMCAJA</t>
  </si>
  <si>
    <t>MADRE COMUNITARIA</t>
  </si>
  <si>
    <t>CHOCO</t>
  </si>
  <si>
    <t>PONEDERA</t>
  </si>
  <si>
    <t>EL CARMEN DE BOLIVAR</t>
  </si>
  <si>
    <t>CAMPOHERMOSO</t>
  </si>
  <si>
    <t>MARULANDA</t>
  </si>
  <si>
    <t>SAN VICENTE DEL CAGUAN</t>
  </si>
  <si>
    <t>SACAMA</t>
  </si>
  <si>
    <t>GUAPI</t>
  </si>
  <si>
    <t>LA GLORIA</t>
  </si>
  <si>
    <t>EL LITORAL DEL SAN JUAN</t>
  </si>
  <si>
    <t>MOÑITOS</t>
  </si>
  <si>
    <t>CAPARRAPI</t>
  </si>
  <si>
    <t>HOBO</t>
  </si>
  <si>
    <t>URIBIA</t>
  </si>
  <si>
    <t>NUEVA GRANADA</t>
  </si>
  <si>
    <t>LA MACARENA</t>
  </si>
  <si>
    <t>CUASPUD</t>
  </si>
  <si>
    <t>EL CARMEN</t>
  </si>
  <si>
    <t>VILLAGARZON</t>
  </si>
  <si>
    <t>SANTA ROSA DE CABAL</t>
  </si>
  <si>
    <t>CARCASI</t>
  </si>
  <si>
    <t>MORROA</t>
  </si>
  <si>
    <t>CUNDAY</t>
  </si>
  <si>
    <t>DAGUA</t>
  </si>
  <si>
    <t>CENTRO TRABAJO 67</t>
  </si>
  <si>
    <t>O - Obligaciones Determinadas Por La UGPP</t>
  </si>
  <si>
    <t>32. DIPLOMÁTICO, CONSULAR O FUNCIONARIO NO SOMETIDO A LEGISLACIÓN COLOMBIANA</t>
  </si>
  <si>
    <t>COMFAORIENTE</t>
  </si>
  <si>
    <t>COMFABOY</t>
  </si>
  <si>
    <t>CONCEJALES III</t>
  </si>
  <si>
    <t>EL GUAMO</t>
  </si>
  <si>
    <t>CERINZA</t>
  </si>
  <si>
    <t>NEIRA</t>
  </si>
  <si>
    <t>SOLANO</t>
  </si>
  <si>
    <t>SAN LUIS DE PALENQUE</t>
  </si>
  <si>
    <t>INZA</t>
  </si>
  <si>
    <t>LA JAGUA DE IBIRICO</t>
  </si>
  <si>
    <t>ISTMINA</t>
  </si>
  <si>
    <t>MONTELIBANO</t>
  </si>
  <si>
    <t>CAQUEZA</t>
  </si>
  <si>
    <t>IQUIRA</t>
  </si>
  <si>
    <t>URUMITA</t>
  </si>
  <si>
    <t>PEDRAZA</t>
  </si>
  <si>
    <t>LEJANIAS</t>
  </si>
  <si>
    <t>CUMBAL</t>
  </si>
  <si>
    <t>EL TARRA</t>
  </si>
  <si>
    <t>SANTUARIO</t>
  </si>
  <si>
    <t>CEPITA</t>
  </si>
  <si>
    <t>OVEJAS</t>
  </si>
  <si>
    <t>DOLORES</t>
  </si>
  <si>
    <t>EL AGUILA</t>
  </si>
  <si>
    <t>CENTRO TRABAJO 696</t>
  </si>
  <si>
    <t>B - Piso Protección Total</t>
  </si>
  <si>
    <t>34. CONCEJAL O EDIL DE BOGOTÁ D.C.</t>
  </si>
  <si>
    <t>COMFENALCO VALLE</t>
  </si>
  <si>
    <t>COMFACA</t>
  </si>
  <si>
    <t>CUNDINAMARCA</t>
  </si>
  <si>
    <t>REPELON</t>
  </si>
  <si>
    <t>EL PEÑON</t>
  </si>
  <si>
    <t>CHINAVITA</t>
  </si>
  <si>
    <t>NORCASIA</t>
  </si>
  <si>
    <t>SOLITA</t>
  </si>
  <si>
    <t>TAMARA</t>
  </si>
  <si>
    <t>JAMBALO</t>
  </si>
  <si>
    <t>LA PAZ</t>
  </si>
  <si>
    <t>JURADO</t>
  </si>
  <si>
    <t>MONTERIA</t>
  </si>
  <si>
    <t>CARMEN DE CARUPA</t>
  </si>
  <si>
    <t>ISNOS</t>
  </si>
  <si>
    <t>VILLANUEVA</t>
  </si>
  <si>
    <t>PIJIÑO DEL CARMEN</t>
  </si>
  <si>
    <t>MAPIRIPAN</t>
  </si>
  <si>
    <t>CUMBITARA</t>
  </si>
  <si>
    <t>EL ZULIA</t>
  </si>
  <si>
    <t>CERRITO</t>
  </si>
  <si>
    <t>PALMITO</t>
  </si>
  <si>
    <t>ESPINAL</t>
  </si>
  <si>
    <t>EL CAIRO</t>
  </si>
  <si>
    <t>CENTRO TRABAJO 8</t>
  </si>
  <si>
    <t>35. CONCEJAL NO AMPARADO CON PÓLIZA DE SALUD</t>
  </si>
  <si>
    <t>COMPARTA</t>
  </si>
  <si>
    <t>COMFACASANARE</t>
  </si>
  <si>
    <t>GUAINIA</t>
  </si>
  <si>
    <t>BELLO</t>
  </si>
  <si>
    <t>SABANAGRANDE</t>
  </si>
  <si>
    <t>HATILLO DE LOBA</t>
  </si>
  <si>
    <t>CHIQUINQUIRA</t>
  </si>
  <si>
    <t>PACORA</t>
  </si>
  <si>
    <t>VALPARAISO</t>
  </si>
  <si>
    <t>TAURAMENA</t>
  </si>
  <si>
    <t>LA SIERRA</t>
  </si>
  <si>
    <t>LLORO</t>
  </si>
  <si>
    <t>PLANETA RICA</t>
  </si>
  <si>
    <t>CHAGUANI</t>
  </si>
  <si>
    <t>LA ARGENTINA</t>
  </si>
  <si>
    <t>PIVIJAY</t>
  </si>
  <si>
    <t>MESETAS</t>
  </si>
  <si>
    <t>EL CHARCO</t>
  </si>
  <si>
    <t>GRAMALOTE</t>
  </si>
  <si>
    <t>CHARALA</t>
  </si>
  <si>
    <t>SAMPUES</t>
  </si>
  <si>
    <t>FALAN</t>
  </si>
  <si>
    <t>EL CERRITO</t>
  </si>
  <si>
    <t>36. EDIL SIN PÓLIZA DE SALUD BENEFICIARIO DEL FSP</t>
  </si>
  <si>
    <t>COMPENSAR</t>
  </si>
  <si>
    <t>COMFACAUCA</t>
  </si>
  <si>
    <t>GUAVIARE</t>
  </si>
  <si>
    <t>BELMIRA</t>
  </si>
  <si>
    <t>MAGANGUE</t>
  </si>
  <si>
    <t>CHIQUIZA</t>
  </si>
  <si>
    <t>PALESTINA</t>
  </si>
  <si>
    <t>TRINIDAD</t>
  </si>
  <si>
    <t>LA VEGA</t>
  </si>
  <si>
    <t>PAILITAS</t>
  </si>
  <si>
    <t>MEDIO ATRATO</t>
  </si>
  <si>
    <t>PUEBLO NUEVO</t>
  </si>
  <si>
    <t>CHIA</t>
  </si>
  <si>
    <t>LA PLATA</t>
  </si>
  <si>
    <t>PLATO</t>
  </si>
  <si>
    <t>PUERTO CONCORDIA</t>
  </si>
  <si>
    <t>EL PEÑOL</t>
  </si>
  <si>
    <t>HACARI</t>
  </si>
  <si>
    <t>CHARTA</t>
  </si>
  <si>
    <t>SAN BENITO ABAD</t>
  </si>
  <si>
    <t>FLANDES</t>
  </si>
  <si>
    <t>EL DOVIO</t>
  </si>
  <si>
    <t>ROSAL</t>
  </si>
  <si>
    <t>4. MADRE SUSTITUTA</t>
  </si>
  <si>
    <t>CONVIDA</t>
  </si>
  <si>
    <t>COMFACESAR</t>
  </si>
  <si>
    <t>HUILA</t>
  </si>
  <si>
    <t>BETANIA</t>
  </si>
  <si>
    <t>SANTA LUCIA</t>
  </si>
  <si>
    <t>MAHATES</t>
  </si>
  <si>
    <t>CHISCAS</t>
  </si>
  <si>
    <t>PENSILVANIA</t>
  </si>
  <si>
    <t>LOPEZ</t>
  </si>
  <si>
    <t>PELAYA</t>
  </si>
  <si>
    <t>MEDIO BAUDO</t>
  </si>
  <si>
    <t>PUERTO ESCONDIDO</t>
  </si>
  <si>
    <t>CHIPAQUE</t>
  </si>
  <si>
    <t>NATAGA</t>
  </si>
  <si>
    <t>PUEBLOVIEJO</t>
  </si>
  <si>
    <t>PUERTO GAITAN</t>
  </si>
  <si>
    <t>EL ROSARIO</t>
  </si>
  <si>
    <t>HERRAN</t>
  </si>
  <si>
    <t>SAN JUAN DE BETULIA</t>
  </si>
  <si>
    <t>FRESNO</t>
  </si>
  <si>
    <t>FLORIDA</t>
  </si>
  <si>
    <t>40. BENEFICIARIO DE UPC ADICIONAL</t>
  </si>
  <si>
    <t>COOMEVA</t>
  </si>
  <si>
    <t>LA_GUAJIRA</t>
  </si>
  <si>
    <t>SANTO TOMAS</t>
  </si>
  <si>
    <t>MARGARITA</t>
  </si>
  <si>
    <t>CHITA</t>
  </si>
  <si>
    <t>RIOSUCIO</t>
  </si>
  <si>
    <t>YOPAL</t>
  </si>
  <si>
    <t>MERCADERES</t>
  </si>
  <si>
    <t>PUEBLO BELLO</t>
  </si>
  <si>
    <t>MEDIO SAN JUAN</t>
  </si>
  <si>
    <t>PUERTO LIBERTADOR</t>
  </si>
  <si>
    <t>CHOACHI</t>
  </si>
  <si>
    <t>NEIVA</t>
  </si>
  <si>
    <t>REMOLINO</t>
  </si>
  <si>
    <t>PUERTO LLERAS</t>
  </si>
  <si>
    <t>EL TABLON DE GOMEZ</t>
  </si>
  <si>
    <t>LA ESPERANZA</t>
  </si>
  <si>
    <t>CHIPATA</t>
  </si>
  <si>
    <t>SAN MARCOS</t>
  </si>
  <si>
    <t>GUAMO</t>
  </si>
  <si>
    <t>GINEBRA</t>
  </si>
  <si>
    <t>GUA</t>
  </si>
  <si>
    <t>43. COTIZANTE VOLUNTARIO A PENSIONES CON PAGO POR TERCERO</t>
  </si>
  <si>
    <t>COOSALUD EPS</t>
  </si>
  <si>
    <t>COMFACOR</t>
  </si>
  <si>
    <t>MAGDALENA</t>
  </si>
  <si>
    <t>SOLEDAD</t>
  </si>
  <si>
    <t>MARIA LA BAJA</t>
  </si>
  <si>
    <t>CHITARAQUE</t>
  </si>
  <si>
    <t>RISARALDA</t>
  </si>
  <si>
    <t>MIRANDA</t>
  </si>
  <si>
    <t>RIO DE ORO</t>
  </si>
  <si>
    <t>NOVITA</t>
  </si>
  <si>
    <t>PURISIMA</t>
  </si>
  <si>
    <t>CHOCONTA</t>
  </si>
  <si>
    <t>OPORAPA</t>
  </si>
  <si>
    <t>SABANAS DE SAN ANGEL</t>
  </si>
  <si>
    <t>PUERTO LOPEZ</t>
  </si>
  <si>
    <t>LA PLAYA</t>
  </si>
  <si>
    <t>CIMITARRA</t>
  </si>
  <si>
    <t>SAN ONOFRE</t>
  </si>
  <si>
    <t>HERVEO</t>
  </si>
  <si>
    <t>GUACARI</t>
  </si>
  <si>
    <t>RIESGO 01</t>
  </si>
  <si>
    <t>44. EMPLEO DE EMERGENCIA MAYOR A UN MES</t>
  </si>
  <si>
    <t>COOSALUD MOVILIDAD</t>
  </si>
  <si>
    <t>COMFACUNDI</t>
  </si>
  <si>
    <t>META</t>
  </si>
  <si>
    <t>BURITICA</t>
  </si>
  <si>
    <t>SUAN</t>
  </si>
  <si>
    <t>MOMPOS</t>
  </si>
  <si>
    <t>CHIVATA</t>
  </si>
  <si>
    <t>SALAMINA</t>
  </si>
  <si>
    <t>MORALES</t>
  </si>
  <si>
    <t>SAN ALBERTO</t>
  </si>
  <si>
    <t>NUQUI</t>
  </si>
  <si>
    <t>SAHAGUN</t>
  </si>
  <si>
    <t>COGUA</t>
  </si>
  <si>
    <t>PAICOL</t>
  </si>
  <si>
    <t>FRANCISCO PIZARRO</t>
  </si>
  <si>
    <t>LABATECA</t>
  </si>
  <si>
    <t>CONCEPCION</t>
  </si>
  <si>
    <t>SAN PEDRO</t>
  </si>
  <si>
    <t>HONDA</t>
  </si>
  <si>
    <t>GUADALAJARA DE BUGA</t>
  </si>
  <si>
    <t>RIESGO 5</t>
  </si>
  <si>
    <t>45. EMPLEO DE EMERGENCIA MENOR A UN MES</t>
  </si>
  <si>
    <t>DUSAKAWI</t>
  </si>
  <si>
    <t>COMFAMA</t>
  </si>
  <si>
    <t>NARIÑO</t>
  </si>
  <si>
    <t>CACERES</t>
  </si>
  <si>
    <t>TUBARA</t>
  </si>
  <si>
    <t>MONTECRISTO</t>
  </si>
  <si>
    <t>CHIVOR</t>
  </si>
  <si>
    <t>SAMANA</t>
  </si>
  <si>
    <t>PADILLA</t>
  </si>
  <si>
    <t>SAN DIEGO</t>
  </si>
  <si>
    <t>QUIBDO</t>
  </si>
  <si>
    <t>SAN ANDRES SOTAVENTO</t>
  </si>
  <si>
    <t>COTA</t>
  </si>
  <si>
    <t>PALERMO</t>
  </si>
  <si>
    <t>SAN SEBASTIAN DE BUENAVISTA</t>
  </si>
  <si>
    <t>RESTREPO</t>
  </si>
  <si>
    <t>FUNES</t>
  </si>
  <si>
    <t>LOS PATIOS</t>
  </si>
  <si>
    <t>CONFINES</t>
  </si>
  <si>
    <t>SANTIAGO DE TOLU</t>
  </si>
  <si>
    <t>IBAGUE</t>
  </si>
  <si>
    <t>JAMUNDI</t>
  </si>
  <si>
    <t>47. DEPENDIENTE BENEFICIARIO DEL SISTEMA GENERAL DE PARTICIPACIONES</t>
  </si>
  <si>
    <t>EMPRESAS PUBLICAS DE MEDELLIN DEPARTAMENTO MEDICO</t>
  </si>
  <si>
    <t>COMFAMILIAR ATLANTICO</t>
  </si>
  <si>
    <t>NORTE_DE_SANTANDER</t>
  </si>
  <si>
    <t>CAICEDO</t>
  </si>
  <si>
    <t>USIACURI</t>
  </si>
  <si>
    <t>CIENEGA</t>
  </si>
  <si>
    <t>SAN JOSE</t>
  </si>
  <si>
    <t>PAEZ</t>
  </si>
  <si>
    <t>SAN MARTIN</t>
  </si>
  <si>
    <t>RIO IRO</t>
  </si>
  <si>
    <t>SAN ANTERO</t>
  </si>
  <si>
    <t>CUCUNUBA</t>
  </si>
  <si>
    <t>SAN ZENON</t>
  </si>
  <si>
    <t>SAN CARLOS DE GUAROA</t>
  </si>
  <si>
    <t>GUACHUCAL</t>
  </si>
  <si>
    <t>LOURDES</t>
  </si>
  <si>
    <t>CONTRATACION</t>
  </si>
  <si>
    <t>SINCE</t>
  </si>
  <si>
    <t>ICONONZO</t>
  </si>
  <si>
    <t>LA CUMBRE</t>
  </si>
  <si>
    <t xml:space="preserve">CENTRO 05 </t>
  </si>
  <si>
    <t>51. TRABAJADOR DE TIEMPO PARCIAL</t>
  </si>
  <si>
    <t>EMSSANAR</t>
  </si>
  <si>
    <t>COMFAMILIAR CAMACOL</t>
  </si>
  <si>
    <t>PUTUMAYO</t>
  </si>
  <si>
    <t>NOROSI</t>
  </si>
  <si>
    <t>COMBITA</t>
  </si>
  <si>
    <t>SUPIA</t>
  </si>
  <si>
    <t>PATIA</t>
  </si>
  <si>
    <t>TAMALAMEQUE</t>
  </si>
  <si>
    <t>RIO QUITO</t>
  </si>
  <si>
    <t>SAN BERNARDO DEL VIENTO</t>
  </si>
  <si>
    <t>EL COLEGIO</t>
  </si>
  <si>
    <t>PITAL</t>
  </si>
  <si>
    <t>SANTA ANA</t>
  </si>
  <si>
    <t>SAN JUAN DE ARAMA</t>
  </si>
  <si>
    <t>GUAITARILLA</t>
  </si>
  <si>
    <t>MUTISCUA</t>
  </si>
  <si>
    <t>COROMORO</t>
  </si>
  <si>
    <t>SINCELEJO</t>
  </si>
  <si>
    <t>LERIDA</t>
  </si>
  <si>
    <t>OBRA</t>
  </si>
  <si>
    <t>52. BENEFICIARIO DEL MECANISMO DE PROTECCIÓN AL CESANTE</t>
  </si>
  <si>
    <t>EPS ECOOPSOS S.A.S</t>
  </si>
  <si>
    <t>COMFAMILIAR CARTAGENA</t>
  </si>
  <si>
    <t>QUINDIO</t>
  </si>
  <si>
    <t>CAMPAMENTO</t>
  </si>
  <si>
    <t>PINILLOS</t>
  </si>
  <si>
    <t>COPER</t>
  </si>
  <si>
    <t>VICTORIA</t>
  </si>
  <si>
    <t>PIAMONTE</t>
  </si>
  <si>
    <t>VALLEDUPAR</t>
  </si>
  <si>
    <t>SAN CARLOS</t>
  </si>
  <si>
    <t>PITALITO</t>
  </si>
  <si>
    <t>SANTA BARBARA DE PINTO</t>
  </si>
  <si>
    <t>SAN JUANITO</t>
  </si>
  <si>
    <t>GUALMATAN</t>
  </si>
  <si>
    <t>OCAÑA</t>
  </si>
  <si>
    <t>CURITI</t>
  </si>
  <si>
    <t>SUCRE</t>
  </si>
  <si>
    <t>LIBANO</t>
  </si>
  <si>
    <t>53. AFILIADO PARTICIPE</t>
  </si>
  <si>
    <t>EPS FAMILIAR DE COLOMBIA SAS</t>
  </si>
  <si>
    <t>CAÑASGORDAS</t>
  </si>
  <si>
    <t>REGIDOR</t>
  </si>
  <si>
    <t>CORRALES</t>
  </si>
  <si>
    <t>VILLAMARIA</t>
  </si>
  <si>
    <t>PIENDAMO</t>
  </si>
  <si>
    <t>SAN JOSE DEL PALMAR</t>
  </si>
  <si>
    <t>SAN JOSE DE URE</t>
  </si>
  <si>
    <t>EL ROSAL</t>
  </si>
  <si>
    <t>RIVERA</t>
  </si>
  <si>
    <t>SANTA MARTA</t>
  </si>
  <si>
    <t>ILES</t>
  </si>
  <si>
    <t>PAMPLONA</t>
  </si>
  <si>
    <t>EL CARMEN DE CHUCURI</t>
  </si>
  <si>
    <t>TOLU VIEJO</t>
  </si>
  <si>
    <t>MARIQUITA</t>
  </si>
  <si>
    <t>OBANDO</t>
  </si>
  <si>
    <t>54. PREPENSIONADO DE ENTIDAD EN LIQUIDACIÓN</t>
  </si>
  <si>
    <t>EPS MUTUAL SER</t>
  </si>
  <si>
    <t>SAN_ANDRES</t>
  </si>
  <si>
    <t>CARACOLI</t>
  </si>
  <si>
    <t>RIO VIEJO</t>
  </si>
  <si>
    <t>COVARACHIA</t>
  </si>
  <si>
    <t>VITERBO</t>
  </si>
  <si>
    <t>POPAYAN</t>
  </si>
  <si>
    <t>SIPI</t>
  </si>
  <si>
    <t>SAN PELAYO</t>
  </si>
  <si>
    <t>FACATATIVA</t>
  </si>
  <si>
    <t>SALADOBLANCO</t>
  </si>
  <si>
    <t>SITIONUEVO</t>
  </si>
  <si>
    <t>URIBE</t>
  </si>
  <si>
    <t>IMUES</t>
  </si>
  <si>
    <t>PAMPLONITA</t>
  </si>
  <si>
    <t>EL GUACAMAYO</t>
  </si>
  <si>
    <t>MELGAR</t>
  </si>
  <si>
    <t>PALMIRA</t>
  </si>
  <si>
    <t>55. AFILIADO PARTICIPE – DEPENDIENTE</t>
  </si>
  <si>
    <t>EPS SURA (ANTES SUSALUD)</t>
  </si>
  <si>
    <t>CARAMANTA</t>
  </si>
  <si>
    <t>SAN CRISTOBAL</t>
  </si>
  <si>
    <t>CUBARA</t>
  </si>
  <si>
    <t>PUERTO TEJADA</t>
  </si>
  <si>
    <t>TADO</t>
  </si>
  <si>
    <t>TIERRALTA</t>
  </si>
  <si>
    <t>FOMEQUE</t>
  </si>
  <si>
    <t>SAN AGUSTIN</t>
  </si>
  <si>
    <t>TENERIFE</t>
  </si>
  <si>
    <t>VILLAVICENCIO</t>
  </si>
  <si>
    <t>IPIALES</t>
  </si>
  <si>
    <t>MURILLO</t>
  </si>
  <si>
    <t>PRADERA</t>
  </si>
  <si>
    <t>57. INDEPENDIENTE VOLUNTARIO AL SISTEMA DE RIESGOS LABORALES</t>
  </si>
  <si>
    <t>FAMISANAR</t>
  </si>
  <si>
    <t>COMFAMILIAR PUTUMAYO</t>
  </si>
  <si>
    <t>CAREPA</t>
  </si>
  <si>
    <t>SAN ESTANISLAO</t>
  </si>
  <si>
    <t>CUCAITA</t>
  </si>
  <si>
    <t>PURACE</t>
  </si>
  <si>
    <t>UNGUIA</t>
  </si>
  <si>
    <t>TUCHIN</t>
  </si>
  <si>
    <t>FOSCA</t>
  </si>
  <si>
    <t>SANTA MARIA</t>
  </si>
  <si>
    <t>ZAPAYAN</t>
  </si>
  <si>
    <t>VISTAHERMOSA</t>
  </si>
  <si>
    <t>LA CRUZ</t>
  </si>
  <si>
    <t>RAGONVALIA</t>
  </si>
  <si>
    <t>EL PLAYON</t>
  </si>
  <si>
    <t>NATAGAIMA</t>
  </si>
  <si>
    <t>59. INDEPENDIENTE CON CONTRATO DE PRESTACIÓN DE SERVICIOS SUPERIOR A 1 MES</t>
  </si>
  <si>
    <t>FONDO DE FERROCARRILES NACIONALES DE COLOMBIA</t>
  </si>
  <si>
    <t>COMFAMILIAR RISARALDA</t>
  </si>
  <si>
    <t>CAROLINA</t>
  </si>
  <si>
    <t>SAN FERNANDO</t>
  </si>
  <si>
    <t>CUITIVA</t>
  </si>
  <si>
    <t>ROSAS</t>
  </si>
  <si>
    <t>UNION PANAMERICANA</t>
  </si>
  <si>
    <t>VALENCIA</t>
  </si>
  <si>
    <t>FUNZA</t>
  </si>
  <si>
    <t>SUAZA</t>
  </si>
  <si>
    <t>ZONA BANANERA</t>
  </si>
  <si>
    <t>LA FLORIDA</t>
  </si>
  <si>
    <t>SALAZAR</t>
  </si>
  <si>
    <t>ENCINO</t>
  </si>
  <si>
    <t>ORTEGA</t>
  </si>
  <si>
    <t>RIOFRIO</t>
  </si>
  <si>
    <t>60. EDIL NO BENEFICIARIO DEL FSP</t>
  </si>
  <si>
    <t>FOSYGA</t>
  </si>
  <si>
    <t>COMFANDI</t>
  </si>
  <si>
    <t>VALLE</t>
  </si>
  <si>
    <t>CAUCASIA</t>
  </si>
  <si>
    <t>SAN JACINTO</t>
  </si>
  <si>
    <t>DUITAMA</t>
  </si>
  <si>
    <t>SAN SEBASTIAN</t>
  </si>
  <si>
    <t>FUQUENE</t>
  </si>
  <si>
    <t>TARQUI</t>
  </si>
  <si>
    <t>LA LLANADA</t>
  </si>
  <si>
    <t>SAN CALIXTO</t>
  </si>
  <si>
    <t>ENCISO</t>
  </si>
  <si>
    <t>PALOCABILDO</t>
  </si>
  <si>
    <t>ROLDANILLO</t>
  </si>
  <si>
    <t>62. PERSONAL DEL MAGISTERIO</t>
  </si>
  <si>
    <t>FOSYGA RÉGIMEN DE EXCEPCIÓN</t>
  </si>
  <si>
    <t>COMFANORTE</t>
  </si>
  <si>
    <t>VAUPES</t>
  </si>
  <si>
    <t>CHIGORODO</t>
  </si>
  <si>
    <t>SAN JACINTO DEL CAUCA</t>
  </si>
  <si>
    <t>EL COCUY</t>
  </si>
  <si>
    <t>SANTA ROSA</t>
  </si>
  <si>
    <t>FUSAGASUGA</t>
  </si>
  <si>
    <t>TELLO</t>
  </si>
  <si>
    <t>LA TOLA</t>
  </si>
  <si>
    <t>SAN CAYETANO</t>
  </si>
  <si>
    <t>FLORIAN</t>
  </si>
  <si>
    <t>PIEDRAS</t>
  </si>
  <si>
    <t>65. DEPENDIENTE VINCULADO AL PISO DE PROTECCIÓN SOCIAL</t>
  </si>
  <si>
    <t>FOSYGA RESIDENTE EXTERIOR O RÉGIMEN SUBSIDIADO</t>
  </si>
  <si>
    <t>VICHADA</t>
  </si>
  <si>
    <t>CISNEROS</t>
  </si>
  <si>
    <t>SAN JUAN NEPOMUCENO</t>
  </si>
  <si>
    <t>EL ESPINO</t>
  </si>
  <si>
    <t>SANTANDER DE QUILICHAO</t>
  </si>
  <si>
    <t>GACHALA</t>
  </si>
  <si>
    <t>TERUEL</t>
  </si>
  <si>
    <t>FLORIDABLANCA</t>
  </si>
  <si>
    <t>PLANADAS</t>
  </si>
  <si>
    <t>SEVILLA</t>
  </si>
  <si>
    <t>66. INDEPENDIENTE VINCULADO AL PISO DE PROTECCIÓN SOCIAL</t>
  </si>
  <si>
    <t>MALLAMAS</t>
  </si>
  <si>
    <t>COMFASUCRE</t>
  </si>
  <si>
    <t>CIUDAD BOLIVAR</t>
  </si>
  <si>
    <t>SAN MARTIN DE LOBA</t>
  </si>
  <si>
    <t>FIRAVITOBA</t>
  </si>
  <si>
    <t>SILVIA</t>
  </si>
  <si>
    <t>GACHANCIPA</t>
  </si>
  <si>
    <t>TESALIA</t>
  </si>
  <si>
    <t>LEIVA</t>
  </si>
  <si>
    <t>SARDINATA</t>
  </si>
  <si>
    <t>GALAN</t>
  </si>
  <si>
    <t>PRADO</t>
  </si>
  <si>
    <t>TORO</t>
  </si>
  <si>
    <t>67. VOLUNTARIO EN PRIMERA RESPUESTA</t>
  </si>
  <si>
    <t>MEDIMAS EPS</t>
  </si>
  <si>
    <t>COMFATOLIMA</t>
  </si>
  <si>
    <t>COCORNA</t>
  </si>
  <si>
    <t>SAN PABLO</t>
  </si>
  <si>
    <t>FLORESTA</t>
  </si>
  <si>
    <t>SOTARA</t>
  </si>
  <si>
    <t>GACHETA</t>
  </si>
  <si>
    <t>TIMANA</t>
  </si>
  <si>
    <t>LINARES</t>
  </si>
  <si>
    <t>SILOS</t>
  </si>
  <si>
    <t>GAMBITA</t>
  </si>
  <si>
    <t>PURIFICACION</t>
  </si>
  <si>
    <t>TRUJILLO</t>
  </si>
  <si>
    <t>68. DEPENDIENTE VETERANO DE LA FUERZA PÚBLICA</t>
  </si>
  <si>
    <t>MEDIMAS MOVILIDAD</t>
  </si>
  <si>
    <t>COMFENALCO ANTIOQUIA</t>
  </si>
  <si>
    <t>SANTA CATALINA</t>
  </si>
  <si>
    <t>GACHANTIVA</t>
  </si>
  <si>
    <t>SUAREZ</t>
  </si>
  <si>
    <t>GAMA</t>
  </si>
  <si>
    <t>VILLAVIEJA</t>
  </si>
  <si>
    <t>LOS ANDES</t>
  </si>
  <si>
    <t>TEORAMA</t>
  </si>
  <si>
    <t>GEPSA</t>
  </si>
  <si>
    <t>RIOBLANCO</t>
  </si>
  <si>
    <t>TULUA</t>
  </si>
  <si>
    <t>MUTUAL SER</t>
  </si>
  <si>
    <t>COMFENALCO CARTAGENA</t>
  </si>
  <si>
    <t>GAMEZA</t>
  </si>
  <si>
    <t>GIRARDOT</t>
  </si>
  <si>
    <t>YAGUARA</t>
  </si>
  <si>
    <t>MAGI</t>
  </si>
  <si>
    <t>TIBU</t>
  </si>
  <si>
    <t>GIRON</t>
  </si>
  <si>
    <t>RONCESVALLES</t>
  </si>
  <si>
    <t>ULLOA</t>
  </si>
  <si>
    <t>NUEVA E.P.S.</t>
  </si>
  <si>
    <t>COMFENALCO QUINDIO</t>
  </si>
  <si>
    <t>COPACABANA</t>
  </si>
  <si>
    <t>SANTA ROSA DEL SUR</t>
  </si>
  <si>
    <t>GARAGOA</t>
  </si>
  <si>
    <t>TIMBIO</t>
  </si>
  <si>
    <t>MALLAMA</t>
  </si>
  <si>
    <t>TOLEDO</t>
  </si>
  <si>
    <t>GUACA</t>
  </si>
  <si>
    <t>ROVIRA</t>
  </si>
  <si>
    <t>VERSALLES</t>
  </si>
  <si>
    <t>NUEVA EPS MOVILIDAD</t>
  </si>
  <si>
    <t>COMFENALCO SANTANDER</t>
  </si>
  <si>
    <t>DABEIBA</t>
  </si>
  <si>
    <t>SIMITI</t>
  </si>
  <si>
    <t>GICAN</t>
  </si>
  <si>
    <t>TIMBIQUI</t>
  </si>
  <si>
    <t>GUACHETA</t>
  </si>
  <si>
    <t>MOSQUERA</t>
  </si>
  <si>
    <t>VILLA CARO</t>
  </si>
  <si>
    <t>SALDAÑA</t>
  </si>
  <si>
    <t>VIJES</t>
  </si>
  <si>
    <t>PIJAOSALUD</t>
  </si>
  <si>
    <t>COMFENALCO TOLIMA</t>
  </si>
  <si>
    <t>DON MATIAS</t>
  </si>
  <si>
    <t>SOPLAVIENTO</t>
  </si>
  <si>
    <t>GUACAMAYAS</t>
  </si>
  <si>
    <t>TORIBIO</t>
  </si>
  <si>
    <t>GUADUAS</t>
  </si>
  <si>
    <t>VILLA DEL ROSARIO</t>
  </si>
  <si>
    <t>GUAPOTA</t>
  </si>
  <si>
    <t>SAN ANTONIO</t>
  </si>
  <si>
    <t>YOTOCO</t>
  </si>
  <si>
    <t>S.O.S. SERVICIO OCCIDENTAL DE SALUD S.A.</t>
  </si>
  <si>
    <t>EBEJICO</t>
  </si>
  <si>
    <t>TALAIGUA NUEVO</t>
  </si>
  <si>
    <t>GUATEQUE</t>
  </si>
  <si>
    <t>TOTORO</t>
  </si>
  <si>
    <t>GUASCA</t>
  </si>
  <si>
    <t>OLAYA HERRERA</t>
  </si>
  <si>
    <t>GUAVATA</t>
  </si>
  <si>
    <t>SAN LUIS</t>
  </si>
  <si>
    <t>YUMBO</t>
  </si>
  <si>
    <t>SALUD MIA EPS</t>
  </si>
  <si>
    <t>COMFIAR</t>
  </si>
  <si>
    <t>EL BAGRE</t>
  </si>
  <si>
    <t>TIQUISIO</t>
  </si>
  <si>
    <t>GUAYATA</t>
  </si>
  <si>
    <t>VILLA RICA</t>
  </si>
  <si>
    <t>GUATAQUI</t>
  </si>
  <si>
    <t>OSPINA</t>
  </si>
  <si>
    <t>HATO</t>
  </si>
  <si>
    <t>SANTA ISABEL</t>
  </si>
  <si>
    <t>ZARZAL</t>
  </si>
  <si>
    <t>SALUD TOTAL</t>
  </si>
  <si>
    <t>EL CARMEN DE VIBORAL</t>
  </si>
  <si>
    <t>TURBACO</t>
  </si>
  <si>
    <t>IZA</t>
  </si>
  <si>
    <t>GUATAVITA</t>
  </si>
  <si>
    <t>PASTO</t>
  </si>
  <si>
    <t>JESUS MARIA</t>
  </si>
  <si>
    <t>SANITAS</t>
  </si>
  <si>
    <t>CONFAMILIARES</t>
  </si>
  <si>
    <t>EL SANTUARIO</t>
  </si>
  <si>
    <t>TURBANA</t>
  </si>
  <si>
    <t>JENESANO</t>
  </si>
  <si>
    <t>GUAYABAL DE SIQUIMA</t>
  </si>
  <si>
    <t>POLICARPA</t>
  </si>
  <si>
    <t>JORDAN</t>
  </si>
  <si>
    <t>VALLE DE SAN JUAN</t>
  </si>
  <si>
    <t xml:space="preserve">SAVIA SALUD </t>
  </si>
  <si>
    <t>ENTRERRIOS</t>
  </si>
  <si>
    <t>JERICO</t>
  </si>
  <si>
    <t>GUAYABETAL</t>
  </si>
  <si>
    <t>POTOSI</t>
  </si>
  <si>
    <t>LA BELLEZA</t>
  </si>
  <si>
    <t>VENADILLO</t>
  </si>
  <si>
    <t>ENVIGADO</t>
  </si>
  <si>
    <t>ZAMBRANO</t>
  </si>
  <si>
    <t>LA CAPILLA</t>
  </si>
  <si>
    <t>GUTIERREZ</t>
  </si>
  <si>
    <t>VILLAHERMOSA</t>
  </si>
  <si>
    <t>FREDONIA</t>
  </si>
  <si>
    <t>LA UVITA</t>
  </si>
  <si>
    <t>JERUSALEN</t>
  </si>
  <si>
    <t>PUERRES</t>
  </si>
  <si>
    <t>LANDAZURI</t>
  </si>
  <si>
    <t>VILLARRICA</t>
  </si>
  <si>
    <t>FRONTINO</t>
  </si>
  <si>
    <t>JUNIN</t>
  </si>
  <si>
    <t>PUPIALES</t>
  </si>
  <si>
    <t>LEBRIJA</t>
  </si>
  <si>
    <t>GIRALDO</t>
  </si>
  <si>
    <t>LABRANZAGRANDE</t>
  </si>
  <si>
    <t>LA CALERA</t>
  </si>
  <si>
    <t>RICAURTE</t>
  </si>
  <si>
    <t>LOS SANTOS</t>
  </si>
  <si>
    <t>GIRARDOTA</t>
  </si>
  <si>
    <t>MACANAL</t>
  </si>
  <si>
    <t>LA MESA</t>
  </si>
  <si>
    <t>ROBERTO PAYAN</t>
  </si>
  <si>
    <t>MACARAVITA</t>
  </si>
  <si>
    <t>GOMEZ PLATA</t>
  </si>
  <si>
    <t>MARIPI</t>
  </si>
  <si>
    <t>LA PALMA</t>
  </si>
  <si>
    <t>SAMANIEGO</t>
  </si>
  <si>
    <t>MALAGA</t>
  </si>
  <si>
    <t>LA PEÑA</t>
  </si>
  <si>
    <t>SAN BERNARDO</t>
  </si>
  <si>
    <t>MATANZA</t>
  </si>
  <si>
    <t>MONGUA</t>
  </si>
  <si>
    <t>SAN LORENZO</t>
  </si>
  <si>
    <t>MOGOTES</t>
  </si>
  <si>
    <t>GUARNE</t>
  </si>
  <si>
    <t>MONGUI</t>
  </si>
  <si>
    <t>LENGUAZAQUE</t>
  </si>
  <si>
    <t>MOLAGAVITA</t>
  </si>
  <si>
    <t>GUATAPE</t>
  </si>
  <si>
    <t>MONIQUIRA</t>
  </si>
  <si>
    <t>MACHETA</t>
  </si>
  <si>
    <t>SAN PEDRO DE CARTAGO</t>
  </si>
  <si>
    <t>OCAMONTE</t>
  </si>
  <si>
    <t>HELICONIA</t>
  </si>
  <si>
    <t>MOTAVITA</t>
  </si>
  <si>
    <t>MADRID</t>
  </si>
  <si>
    <t>SANDONA</t>
  </si>
  <si>
    <t>OIBA</t>
  </si>
  <si>
    <t>HISPANIA</t>
  </si>
  <si>
    <t>MUZO</t>
  </si>
  <si>
    <t>MANTA</t>
  </si>
  <si>
    <t>SANTA BARBARA</t>
  </si>
  <si>
    <t>ONZAGA</t>
  </si>
  <si>
    <t>ITAGUI</t>
  </si>
  <si>
    <t>NOBSA</t>
  </si>
  <si>
    <t>MEDINA</t>
  </si>
  <si>
    <t>SANTACRUZ</t>
  </si>
  <si>
    <t>PALMAR</t>
  </si>
  <si>
    <t>ITUANGO</t>
  </si>
  <si>
    <t>NUEVO COLON</t>
  </si>
  <si>
    <t>SAPUYES</t>
  </si>
  <si>
    <t>PALMAS DEL SOCORRO</t>
  </si>
  <si>
    <t>JARDIN</t>
  </si>
  <si>
    <t>OICATA</t>
  </si>
  <si>
    <t>TAMINANGO</t>
  </si>
  <si>
    <t>PARAMO</t>
  </si>
  <si>
    <t>OTANCHE</t>
  </si>
  <si>
    <t>NEMOCON</t>
  </si>
  <si>
    <t>TANGUA</t>
  </si>
  <si>
    <t>PIEDECUESTA</t>
  </si>
  <si>
    <t>LA CEJA</t>
  </si>
  <si>
    <t>PACHAVITA</t>
  </si>
  <si>
    <t>NILO</t>
  </si>
  <si>
    <t>TUMACO</t>
  </si>
  <si>
    <t>PINCHOTE</t>
  </si>
  <si>
    <t>LA ESTRELLA</t>
  </si>
  <si>
    <t>NIMAIMA</t>
  </si>
  <si>
    <t>TUQUERRES</t>
  </si>
  <si>
    <t>PUENTE NACIONAL</t>
  </si>
  <si>
    <t>LA PINTADA</t>
  </si>
  <si>
    <t>PAIPA</t>
  </si>
  <si>
    <t>NOCAIMA</t>
  </si>
  <si>
    <t>YACUANQUER</t>
  </si>
  <si>
    <t>PUERTO PARRA</t>
  </si>
  <si>
    <t>PAJARITO</t>
  </si>
  <si>
    <t>PACHO</t>
  </si>
  <si>
    <t>PUERTO WILCHES</t>
  </si>
  <si>
    <t>LIBORINA</t>
  </si>
  <si>
    <t>PANQUEBA</t>
  </si>
  <si>
    <t>PAIME</t>
  </si>
  <si>
    <t>RIONEGRO</t>
  </si>
  <si>
    <t>MACEO</t>
  </si>
  <si>
    <t>PAUNA</t>
  </si>
  <si>
    <t>PANDI</t>
  </si>
  <si>
    <t>SABANA DE TORRES</t>
  </si>
  <si>
    <t>MARINILLA</t>
  </si>
  <si>
    <t>PAYA</t>
  </si>
  <si>
    <t>PARATEBUENO</t>
  </si>
  <si>
    <t>PAZ DE RIO</t>
  </si>
  <si>
    <t>PASCA</t>
  </si>
  <si>
    <t>SAN BENITO</t>
  </si>
  <si>
    <t>MONTEBELLO</t>
  </si>
  <si>
    <t>PESCA</t>
  </si>
  <si>
    <t>PUERTO SALGAR</t>
  </si>
  <si>
    <t>SAN GIL</t>
  </si>
  <si>
    <t>MURINDO</t>
  </si>
  <si>
    <t>PISBA</t>
  </si>
  <si>
    <t>PULI</t>
  </si>
  <si>
    <t>SAN JOAQUIN</t>
  </si>
  <si>
    <t>MUTATA</t>
  </si>
  <si>
    <t>PUERTO BOYACA</t>
  </si>
  <si>
    <t>QUEBRADANEGRA</t>
  </si>
  <si>
    <t>SAN JOSE DE MIRANDA</t>
  </si>
  <si>
    <t>QUIPAMA</t>
  </si>
  <si>
    <t>QUETAME</t>
  </si>
  <si>
    <t>NECHI</t>
  </si>
  <si>
    <t>RAMIRIQUI</t>
  </si>
  <si>
    <t>QUIPILE</t>
  </si>
  <si>
    <t>SAN VICENTE DE CHUCURI</t>
  </si>
  <si>
    <t>NECOCLI</t>
  </si>
  <si>
    <t>RAQUIRA</t>
  </si>
  <si>
    <t>OLAYA</t>
  </si>
  <si>
    <t>RONDON</t>
  </si>
  <si>
    <t>SAN ANTONIO DEL TEQUENDAMA</t>
  </si>
  <si>
    <t>SANTA HELENA DEL OPON</t>
  </si>
  <si>
    <t>PEÑOL</t>
  </si>
  <si>
    <t>SABOYA</t>
  </si>
  <si>
    <t>SIMACOTA</t>
  </si>
  <si>
    <t>PEQUE</t>
  </si>
  <si>
    <t>SACHICA</t>
  </si>
  <si>
    <t>SOCORRO</t>
  </si>
  <si>
    <t>PUEBLORRICO</t>
  </si>
  <si>
    <t>SAMACA</t>
  </si>
  <si>
    <t>SUAITA</t>
  </si>
  <si>
    <t>PUERTO BERRIO</t>
  </si>
  <si>
    <t>SAN EDUARDO</t>
  </si>
  <si>
    <t>SAN JUAN DE RIO SECO</t>
  </si>
  <si>
    <t>PUERTO NARE</t>
  </si>
  <si>
    <t>SAN JOSE DE PARE</t>
  </si>
  <si>
    <t>SASAIMA</t>
  </si>
  <si>
    <t>SURATA</t>
  </si>
  <si>
    <t>PUERTO TRIUNFO</t>
  </si>
  <si>
    <t>SAN LUIS DE GACENO</t>
  </si>
  <si>
    <t>SESQUILE</t>
  </si>
  <si>
    <t>TONA</t>
  </si>
  <si>
    <t>REMEDIOS</t>
  </si>
  <si>
    <t>SAN MATEO</t>
  </si>
  <si>
    <t>SIBATE</t>
  </si>
  <si>
    <t>VALLE DE SAN JOSE</t>
  </si>
  <si>
    <t>RETIRO</t>
  </si>
  <si>
    <t>SAN MIGUEL DE SEMA</t>
  </si>
  <si>
    <t>SILVANIA</t>
  </si>
  <si>
    <t>VELEZ</t>
  </si>
  <si>
    <t>SAN PABLO DE BORBUR</t>
  </si>
  <si>
    <t>SIMIJACA</t>
  </si>
  <si>
    <t>VETAS</t>
  </si>
  <si>
    <t>SOACHA</t>
  </si>
  <si>
    <t>SABANETA</t>
  </si>
  <si>
    <t>SANTA ROSA DE VITERBO</t>
  </si>
  <si>
    <t>SOPO</t>
  </si>
  <si>
    <t>ZAPATOCA</t>
  </si>
  <si>
    <t>SALGAR</t>
  </si>
  <si>
    <t>SANTA SOFIA</t>
  </si>
  <si>
    <t>SUBACHOQUE</t>
  </si>
  <si>
    <t>SANTANA</t>
  </si>
  <si>
    <t>SUESCA</t>
  </si>
  <si>
    <t>SATIVANORTE</t>
  </si>
  <si>
    <t>SUPATA</t>
  </si>
  <si>
    <t>SATIVASUR</t>
  </si>
  <si>
    <t>SUSA</t>
  </si>
  <si>
    <t>SAN JERONIMO</t>
  </si>
  <si>
    <t>SIACHOQUE</t>
  </si>
  <si>
    <t>SUTATAUSA</t>
  </si>
  <si>
    <t>SAN JOSE DE LA MONTAÑA</t>
  </si>
  <si>
    <t>SOATA</t>
  </si>
  <si>
    <t>TABIO</t>
  </si>
  <si>
    <t>SAN JUAN DE URABA</t>
  </si>
  <si>
    <t>SOCHA</t>
  </si>
  <si>
    <t>TAUSA</t>
  </si>
  <si>
    <t>SOCOTA</t>
  </si>
  <si>
    <t>TENA</t>
  </si>
  <si>
    <t>SOGAMOSO</t>
  </si>
  <si>
    <t>TENJO</t>
  </si>
  <si>
    <t>SAN PEDRO DE URABA</t>
  </si>
  <si>
    <t>SOMONDOCO</t>
  </si>
  <si>
    <t>TIBACUY</t>
  </si>
  <si>
    <t>SAN RAFAEL</t>
  </si>
  <si>
    <t>SORA</t>
  </si>
  <si>
    <t>TIBIRITA</t>
  </si>
  <si>
    <t>SAN ROQUE</t>
  </si>
  <si>
    <t>SORACA</t>
  </si>
  <si>
    <t>TOCAIMA</t>
  </si>
  <si>
    <t>SAN VICENTE</t>
  </si>
  <si>
    <t>SOTAQUIRA</t>
  </si>
  <si>
    <t>TOCANCIPA</t>
  </si>
  <si>
    <t>SUSACON</t>
  </si>
  <si>
    <t>TOPAIPI</t>
  </si>
  <si>
    <t>SANTA ROSA DE OSOS</t>
  </si>
  <si>
    <t>SUTAMARCHAN</t>
  </si>
  <si>
    <t>UBALA</t>
  </si>
  <si>
    <t>SANTAFE DE ANTIOQUIA</t>
  </si>
  <si>
    <t>SUTATENZA</t>
  </si>
  <si>
    <t>UBAQUE</t>
  </si>
  <si>
    <t>SANTO DOMINGO</t>
  </si>
  <si>
    <t>TASCO</t>
  </si>
  <si>
    <t>UNE</t>
  </si>
  <si>
    <t>SEGOVIA</t>
  </si>
  <si>
    <t>TENZA</t>
  </si>
  <si>
    <t>UTICA</t>
  </si>
  <si>
    <t>SONSON</t>
  </si>
  <si>
    <t>TIBANA</t>
  </si>
  <si>
    <t>VENECIA</t>
  </si>
  <si>
    <t>SOPETRAN</t>
  </si>
  <si>
    <t>TIBASOSA</t>
  </si>
  <si>
    <t>VERGARA</t>
  </si>
  <si>
    <t>TAMESIS</t>
  </si>
  <si>
    <t>TINJACA</t>
  </si>
  <si>
    <t>VIANI</t>
  </si>
  <si>
    <t>TARAZA</t>
  </si>
  <si>
    <t>TIPACOQUE</t>
  </si>
  <si>
    <t>VILLA DE SAN DIEGO DE UBATE</t>
  </si>
  <si>
    <t>TARSO</t>
  </si>
  <si>
    <t>TOCA</t>
  </si>
  <si>
    <t>VILLAGOMEZ</t>
  </si>
  <si>
    <t>TITIRIBI</t>
  </si>
  <si>
    <t>TOGI</t>
  </si>
  <si>
    <t>VILLAPINZON</t>
  </si>
  <si>
    <t>TOPAGA</t>
  </si>
  <si>
    <t>VILLETA</t>
  </si>
  <si>
    <t>TURBO</t>
  </si>
  <si>
    <t>TOTA</t>
  </si>
  <si>
    <t>VIOTA</t>
  </si>
  <si>
    <t>URAMITA</t>
  </si>
  <si>
    <t>TUNJA</t>
  </si>
  <si>
    <t>YACOPI</t>
  </si>
  <si>
    <t>URRAO</t>
  </si>
  <si>
    <t>TUNUNGUA</t>
  </si>
  <si>
    <t>ZIPACON</t>
  </si>
  <si>
    <t>VALDIVIA</t>
  </si>
  <si>
    <t>TURMEQUE</t>
  </si>
  <si>
    <t>ZIPAQUIRA</t>
  </si>
  <si>
    <t>TUTA</t>
  </si>
  <si>
    <t>VEGACHI</t>
  </si>
  <si>
    <t>TUTAZA</t>
  </si>
  <si>
    <t>UMBITA</t>
  </si>
  <si>
    <t>VIGIA DEL FUERTE</t>
  </si>
  <si>
    <t>VENTAQUEMADA</t>
  </si>
  <si>
    <t>YALI</t>
  </si>
  <si>
    <t>VILLA DE LEYVA</t>
  </si>
  <si>
    <t>YARUMAL</t>
  </si>
  <si>
    <t>VIRACACHA</t>
  </si>
  <si>
    <t>YOLOMBO</t>
  </si>
  <si>
    <t>ZETAQUIRA</t>
  </si>
  <si>
    <t>YONDO</t>
  </si>
  <si>
    <t>ZARAGOZA</t>
  </si>
  <si>
    <t>No.</t>
  </si>
  <si>
    <t>Tipo ID</t>
  </si>
  <si>
    <t>No ID</t>
  </si>
  <si>
    <t>APELLIDOS Y NOMBRES</t>
  </si>
  <si>
    <t>Primer Apellido</t>
  </si>
  <si>
    <t>Segundo Apellido</t>
  </si>
  <si>
    <t>Primer Nombre</t>
  </si>
  <si>
    <t>Segundo Nombre</t>
  </si>
  <si>
    <t>Departamento</t>
  </si>
  <si>
    <t>Ciudad</t>
  </si>
  <si>
    <t>Tipo de Cotizante</t>
  </si>
  <si>
    <t>Subtipo de Cotizante</t>
  </si>
  <si>
    <t>Horas Laboradas</t>
  </si>
  <si>
    <t>Extranjero</t>
  </si>
  <si>
    <t>Colombiano Temporalmente en el Exterior</t>
  </si>
  <si>
    <t>Fecha Radicación en el Exterior</t>
  </si>
  <si>
    <t>ING</t>
  </si>
  <si>
    <t>Fecha ING</t>
  </si>
  <si>
    <t>RET</t>
  </si>
  <si>
    <t>Fecha RET</t>
  </si>
  <si>
    <t>TDE</t>
  </si>
  <si>
    <t>TAE</t>
  </si>
  <si>
    <t>TDP</t>
  </si>
  <si>
    <t>TAP</t>
  </si>
  <si>
    <t>VSP</t>
  </si>
  <si>
    <t>Fecha VSP</t>
  </si>
  <si>
    <t>VST</t>
  </si>
  <si>
    <t>SLN</t>
  </si>
  <si>
    <t>Inicio SLN</t>
  </si>
  <si>
    <t>Fin SLN</t>
  </si>
  <si>
    <t>IGE</t>
  </si>
  <si>
    <t>Inicio IGE</t>
  </si>
  <si>
    <t>Fin IGE</t>
  </si>
  <si>
    <t>LMA</t>
  </si>
  <si>
    <t>Inicio LMA</t>
  </si>
  <si>
    <t>Fin LMA</t>
  </si>
  <si>
    <t>VAC-LR</t>
  </si>
  <si>
    <t>Inicio VAC-LR</t>
  </si>
  <si>
    <t>Fin VAC-LR</t>
  </si>
  <si>
    <t>AVP</t>
  </si>
  <si>
    <t>VCT</t>
  </si>
  <si>
    <t>Inicio VCT</t>
  </si>
  <si>
    <t>Fin VCT</t>
  </si>
  <si>
    <t>IRL</t>
  </si>
  <si>
    <t>Inicio IRL</t>
  </si>
  <si>
    <t>Fin IRL</t>
  </si>
  <si>
    <t>Correcciones</t>
  </si>
  <si>
    <t>Salario Mensual($)</t>
  </si>
  <si>
    <t>Salario Integral</t>
  </si>
  <si>
    <t xml:space="preserve"> Salario Variable</t>
  </si>
  <si>
    <t>Administradora</t>
  </si>
  <si>
    <t>Días</t>
  </si>
  <si>
    <t>IBC</t>
  </si>
  <si>
    <t>Tarifa</t>
  </si>
  <si>
    <t>Valor Cotización</t>
  </si>
  <si>
    <t>Indicador Alto Riesgo</t>
  </si>
  <si>
    <t>Cotización Voluntaria Afiliado</t>
  </si>
  <si>
    <t>Cotización Voluntaria Empleador</t>
  </si>
  <si>
    <t>Fondo Solidaridad Pensional</t>
  </si>
  <si>
    <t>Fondo Subsistencia</t>
  </si>
  <si>
    <t>Valor no Retenido</t>
  </si>
  <si>
    <t>Total</t>
  </si>
  <si>
    <t>AFP Destino</t>
  </si>
  <si>
    <t>Valor UPC</t>
  </si>
  <si>
    <t>N° Autorización Incapacidad EG</t>
  </si>
  <si>
    <t>Valor Incapacidad EG</t>
  </si>
  <si>
    <t>N° Autorización LMA</t>
  </si>
  <si>
    <t>Valor Licencia Maternidad</t>
  </si>
  <si>
    <t>EPS Destino</t>
  </si>
  <si>
    <t>Clase</t>
  </si>
  <si>
    <t>Centro de Trabajo</t>
  </si>
  <si>
    <t>Actividad Económica</t>
  </si>
  <si>
    <t>Administradora CCF</t>
  </si>
  <si>
    <t>IBC CCF</t>
  </si>
  <si>
    <t>Tarifa CCF</t>
  </si>
  <si>
    <t>Valor Cotización CCF</t>
  </si>
  <si>
    <t>IBC Otros Parafiscales</t>
  </si>
  <si>
    <t>Tarifa SENA</t>
  </si>
  <si>
    <t>Valor Cotización SENA</t>
  </si>
  <si>
    <t>Tarifa ICBF</t>
  </si>
  <si>
    <t>Valor Cotización ICBF</t>
  </si>
  <si>
    <t>Tarifa ESAP</t>
  </si>
  <si>
    <t>Valor Cotización ESAP</t>
  </si>
  <si>
    <t>Tarifa MEN</t>
  </si>
  <si>
    <t>Valor Cotización MEN</t>
  </si>
  <si>
    <t>Exonerado parafiscales y salud</t>
  </si>
  <si>
    <t>N° ID</t>
  </si>
  <si>
    <t>CAUSADO</t>
  </si>
  <si>
    <t>1000621869</t>
  </si>
  <si>
    <t>MENDEZ ROJAS CARLOS ALBERTO</t>
  </si>
  <si>
    <t>MENDEZ</t>
  </si>
  <si>
    <t>ROJAS</t>
  </si>
  <si>
    <t>CARLOS</t>
  </si>
  <si>
    <t>ALBERTO</t>
  </si>
  <si>
    <t xml:space="preserve">               </t>
  </si>
  <si>
    <t>5</t>
  </si>
  <si>
    <t>5711001</t>
  </si>
  <si>
    <t xml:space="preserve">  </t>
  </si>
  <si>
    <t xml:space="preserve">                </t>
  </si>
  <si>
    <t>1000790715</t>
  </si>
  <si>
    <t>MOSQUERA MOSQUERA BRAYAN STIVEN</t>
  </si>
  <si>
    <t>BRAYAN</t>
  </si>
  <si>
    <t>STIVEN</t>
  </si>
  <si>
    <t>1001798417</t>
  </si>
  <si>
    <t>RUA MANGA CARLOS MARIO</t>
  </si>
  <si>
    <t>RUA</t>
  </si>
  <si>
    <t>MANGA</t>
  </si>
  <si>
    <t>MARIO</t>
  </si>
  <si>
    <t>1001836532</t>
  </si>
  <si>
    <t>SANTANA VIDES OSCAR JUNIOR</t>
  </si>
  <si>
    <t>VIDES</t>
  </si>
  <si>
    <t>OSCAR</t>
  </si>
  <si>
    <t>JUNIOR</t>
  </si>
  <si>
    <t>1002143370</t>
  </si>
  <si>
    <t>CANTILLO PERTUZ GIANTKHRLOOS G.</t>
  </si>
  <si>
    <t>CANTILLO</t>
  </si>
  <si>
    <t>PERTUZ</t>
  </si>
  <si>
    <t>GIANTKHRLOOS</t>
  </si>
  <si>
    <t>G.</t>
  </si>
  <si>
    <t>1002487151</t>
  </si>
  <si>
    <t>ZABALETA SALCEDO NEL ENRIQUE</t>
  </si>
  <si>
    <t>ZABALETA</t>
  </si>
  <si>
    <t>SALCEDO</t>
  </si>
  <si>
    <t>NEL</t>
  </si>
  <si>
    <t>ENRIQUE</t>
  </si>
  <si>
    <t>1002559775</t>
  </si>
  <si>
    <t>SANCHEZ VARGAS OMAR ALEJANDRO</t>
  </si>
  <si>
    <t>SANCHEZ</t>
  </si>
  <si>
    <t>VARGAS</t>
  </si>
  <si>
    <t>OMAR</t>
  </si>
  <si>
    <t>ALEJANDRO</t>
  </si>
  <si>
    <t>1003252787</t>
  </si>
  <si>
    <t>MANGA FRIA JUAN LUIS</t>
  </si>
  <si>
    <t>FRIA</t>
  </si>
  <si>
    <t>JUAN</t>
  </si>
  <si>
    <t>LUIS</t>
  </si>
  <si>
    <t>1003557217</t>
  </si>
  <si>
    <t>OSORIO HERNANDEZ KEVIN ALBERTO</t>
  </si>
  <si>
    <t>OSORIO</t>
  </si>
  <si>
    <t>HERNANDEZ</t>
  </si>
  <si>
    <t>KEVIN</t>
  </si>
  <si>
    <t>1003736605</t>
  </si>
  <si>
    <t>ALVAREZ CORREA JOSE ANGEL</t>
  </si>
  <si>
    <t>ALVAREZ</t>
  </si>
  <si>
    <t>CORREA</t>
  </si>
  <si>
    <t>JOSE</t>
  </si>
  <si>
    <t>ANGEL</t>
  </si>
  <si>
    <t>CAJACOPI</t>
  </si>
  <si>
    <t>INCAPACIDAD GENERAL</t>
  </si>
  <si>
    <t>1003903787</t>
  </si>
  <si>
    <t>MALDONADO LOSADA EDINSON ANDRES</t>
  </si>
  <si>
    <t>MALDONADO</t>
  </si>
  <si>
    <t>LOSADA</t>
  </si>
  <si>
    <t>EDINSON</t>
  </si>
  <si>
    <t>ANDRES</t>
  </si>
  <si>
    <t>1004271898</t>
  </si>
  <si>
    <t>DE AVILA ARRIETA BRAYAN RAFAEL</t>
  </si>
  <si>
    <t>DE AVILA</t>
  </si>
  <si>
    <t>ARRIETA</t>
  </si>
  <si>
    <t>RAFAEL</t>
  </si>
  <si>
    <t>1004308195</t>
  </si>
  <si>
    <t>RODRIGUEZ CONTRERAS BLADIMIR JOSE</t>
  </si>
  <si>
    <t>RODRIGUEZ</t>
  </si>
  <si>
    <t>CONTRERAS</t>
  </si>
  <si>
    <t>BLADIMIR</t>
  </si>
  <si>
    <t>1006713857</t>
  </si>
  <si>
    <t>PACHECO AGUDELO DANIEL JOSE</t>
  </si>
  <si>
    <t>PACHECO</t>
  </si>
  <si>
    <t>AGUDELO</t>
  </si>
  <si>
    <t>DANIEL</t>
  </si>
  <si>
    <t>1006727380</t>
  </si>
  <si>
    <t>CERVANTES MUÑOZ ONER DAVID</t>
  </si>
  <si>
    <t>CERVANTES</t>
  </si>
  <si>
    <t>MUÑOZ</t>
  </si>
  <si>
    <t>ONER</t>
  </si>
  <si>
    <t>DAVID</t>
  </si>
  <si>
    <t>1006733914</t>
  </si>
  <si>
    <t>CUEVA CONTRERAS EDAIR ALEJANDRO</t>
  </si>
  <si>
    <t>CUEVA</t>
  </si>
  <si>
    <t>EDAIR</t>
  </si>
  <si>
    <t>1006734131</t>
  </si>
  <si>
    <t>GOMEZ ORTEGA JEINER JOSE</t>
  </si>
  <si>
    <t>GOMEZ</t>
  </si>
  <si>
    <t>JEINER</t>
  </si>
  <si>
    <t>1006734275</t>
  </si>
  <si>
    <t>BRITO BRITO NEIDER IVAN</t>
  </si>
  <si>
    <t>BRITO</t>
  </si>
  <si>
    <t>NEIDER</t>
  </si>
  <si>
    <t>IVAN</t>
  </si>
  <si>
    <t>1006734430</t>
  </si>
  <si>
    <t>MARTINEZ LARA CAMILO ENRIQUE</t>
  </si>
  <si>
    <t>MARTINEZ</t>
  </si>
  <si>
    <t>LARA</t>
  </si>
  <si>
    <t>CAMILO</t>
  </si>
  <si>
    <t>1006734693</t>
  </si>
  <si>
    <t>IPUANA URIANA SAMIR ANTONIO</t>
  </si>
  <si>
    <t>IPUANA</t>
  </si>
  <si>
    <t>URIANA</t>
  </si>
  <si>
    <t>SAMIR</t>
  </si>
  <si>
    <t>ANTONIO</t>
  </si>
  <si>
    <t>1006734779</t>
  </si>
  <si>
    <t>RIZO RIVAS ANDRES MANUEL</t>
  </si>
  <si>
    <t>RIZO</t>
  </si>
  <si>
    <t>RIVAS</t>
  </si>
  <si>
    <t>MANUEL</t>
  </si>
  <si>
    <t>1006817439</t>
  </si>
  <si>
    <t>DIAZ LOPEZ JAIME LUIS</t>
  </si>
  <si>
    <t>DIAZ</t>
  </si>
  <si>
    <t>JAIME</t>
  </si>
  <si>
    <t>1007855319</t>
  </si>
  <si>
    <t xml:space="preserve">MENDOZA VALDEZ ARAMIS </t>
  </si>
  <si>
    <t>MENDOZA</t>
  </si>
  <si>
    <t>VALDEZ</t>
  </si>
  <si>
    <t>ARAMIS</t>
  </si>
  <si>
    <t/>
  </si>
  <si>
    <t>1010049805</t>
  </si>
  <si>
    <t>MEJIA SIERRA ABRAHAN JOSE</t>
  </si>
  <si>
    <t>MEJIA</t>
  </si>
  <si>
    <t>SIERRA</t>
  </si>
  <si>
    <t>ABRAHAN</t>
  </si>
  <si>
    <t>1010102552</t>
  </si>
  <si>
    <t>SIERRA CASTRO JUAN DAVID</t>
  </si>
  <si>
    <t>CASTRO</t>
  </si>
  <si>
    <t>1011020</t>
  </si>
  <si>
    <t>HEREDIA MENDOZA HECTOR YOHAN</t>
  </si>
  <si>
    <t>HEREDIA</t>
  </si>
  <si>
    <t>HECTOR</t>
  </si>
  <si>
    <t>YOHAN</t>
  </si>
  <si>
    <t>CENTRO TRABAJO 56</t>
  </si>
  <si>
    <t>1012373455</t>
  </si>
  <si>
    <t>VARGAS PARRA JUAN MANUEL</t>
  </si>
  <si>
    <t>PARRA</t>
  </si>
  <si>
    <t>1013103308</t>
  </si>
  <si>
    <t>CORREA SANCHEZ LUISA FERNANDA</t>
  </si>
  <si>
    <t>LUISA</t>
  </si>
  <si>
    <t>FERNANDA</t>
  </si>
  <si>
    <t>1013642764</t>
  </si>
  <si>
    <t>GIRALDO MONSALVE JONATHAN ALEXANDER</t>
  </si>
  <si>
    <t>MONSALVE</t>
  </si>
  <si>
    <t>JONATHAN</t>
  </si>
  <si>
    <t>ALEXANDER</t>
  </si>
  <si>
    <t>1013652019</t>
  </si>
  <si>
    <t>VEGA LARA IVAN ENRIQUE</t>
  </si>
  <si>
    <t>VEGA</t>
  </si>
  <si>
    <t>1013658036</t>
  </si>
  <si>
    <t>CONTRERAS LOPEZ MARIA CLARA</t>
  </si>
  <si>
    <t>MARIA</t>
  </si>
  <si>
    <t>CLARA</t>
  </si>
  <si>
    <t>1</t>
  </si>
  <si>
    <t>1711001</t>
  </si>
  <si>
    <t>1014201150</t>
  </si>
  <si>
    <t>MATEUS RUEDA DANIEL RICARDO</t>
  </si>
  <si>
    <t>MATEUS</t>
  </si>
  <si>
    <t>RUEDA</t>
  </si>
  <si>
    <t>RICARDO</t>
  </si>
  <si>
    <t>1014237269</t>
  </si>
  <si>
    <t xml:space="preserve">MORENO MONTAÑO JENIFER </t>
  </si>
  <si>
    <t>MORENO</t>
  </si>
  <si>
    <t>MONTAÑO</t>
  </si>
  <si>
    <t>JENIFER</t>
  </si>
  <si>
    <t>1014246981</t>
  </si>
  <si>
    <t>SAENZ VARGAS FABIO MAURICIO</t>
  </si>
  <si>
    <t>SAENZ</t>
  </si>
  <si>
    <t>FABIO</t>
  </si>
  <si>
    <t>MAURICIO</t>
  </si>
  <si>
    <t>1014292676</t>
  </si>
  <si>
    <t>QUIROGA CASTIBLANCO ANDRES EDUARDO</t>
  </si>
  <si>
    <t>QUIROGA</t>
  </si>
  <si>
    <t>CASTIBLANCO</t>
  </si>
  <si>
    <t>EDUARDO</t>
  </si>
  <si>
    <t>1015436314</t>
  </si>
  <si>
    <t xml:space="preserve">VELASQUEZ SANTIAGO NICOLAS </t>
  </si>
  <si>
    <t>VELASQUEZ</t>
  </si>
  <si>
    <t>NICOLAS</t>
  </si>
  <si>
    <t>1016003023</t>
  </si>
  <si>
    <t xml:space="preserve">TORRES SONZA ANDRES </t>
  </si>
  <si>
    <t>TORRES</t>
  </si>
  <si>
    <t>SONZA</t>
  </si>
  <si>
    <t>1016008194</t>
  </si>
  <si>
    <t>MORENO QUINTANA IVAN ERNESTO</t>
  </si>
  <si>
    <t>QUINTANA</t>
  </si>
  <si>
    <t>ERNESTO</t>
  </si>
  <si>
    <t>1018404223</t>
  </si>
  <si>
    <t>CASTILLO DUARTE DEIBY HERNAN</t>
  </si>
  <si>
    <t>CASTILLO</t>
  </si>
  <si>
    <t>DUARTE</t>
  </si>
  <si>
    <t>DEIBY</t>
  </si>
  <si>
    <t>HERNAN</t>
  </si>
  <si>
    <t>1019021939</t>
  </si>
  <si>
    <t>RAMIREZ RIVADENEIRA EDUARDO ENRIQUE</t>
  </si>
  <si>
    <t>RAMIREZ</t>
  </si>
  <si>
    <t>RIVADENEIRA</t>
  </si>
  <si>
    <t>1019068610</t>
  </si>
  <si>
    <t>QUIJANO ALARCON JOHAN STIVEN</t>
  </si>
  <si>
    <t>QUIJANO</t>
  </si>
  <si>
    <t>ALARCON</t>
  </si>
  <si>
    <t>JOHAN</t>
  </si>
  <si>
    <t>1019088253</t>
  </si>
  <si>
    <t>ANTOLINEZ GARCIA CAMILO ANDRES</t>
  </si>
  <si>
    <t>ANTOLINEZ</t>
  </si>
  <si>
    <t>GARCIA</t>
  </si>
  <si>
    <t>1020712729</t>
  </si>
  <si>
    <t>OLMOS ROMERO NELSON BERNARDO</t>
  </si>
  <si>
    <t>OLMOS</t>
  </si>
  <si>
    <t>ROMERO</t>
  </si>
  <si>
    <t>NELSON</t>
  </si>
  <si>
    <t>BERNARDO</t>
  </si>
  <si>
    <t>1020761014</t>
  </si>
  <si>
    <t xml:space="preserve">OSPINA VILLAMIL ALEJANDRA </t>
  </si>
  <si>
    <t>VILLAMIL</t>
  </si>
  <si>
    <t>ALEJANDRA</t>
  </si>
  <si>
    <t>1020844204</t>
  </si>
  <si>
    <t>MONTOYA VILLAMIZAR MARIA CAMILA</t>
  </si>
  <si>
    <t>MONTOYA</t>
  </si>
  <si>
    <t>VILLAMIZAR</t>
  </si>
  <si>
    <t>CAMILA</t>
  </si>
  <si>
    <t>1022344711</t>
  </si>
  <si>
    <t>MALDONADO MARTINEZ EDWARD ALEXANDER</t>
  </si>
  <si>
    <t>EDWARD</t>
  </si>
  <si>
    <t>1022407941</t>
  </si>
  <si>
    <t>VEGA SANCHEZ DANILO ESTEBAN</t>
  </si>
  <si>
    <t>DANILO</t>
  </si>
  <si>
    <t>ESTEBAN</t>
  </si>
  <si>
    <t>1022934783</t>
  </si>
  <si>
    <t xml:space="preserve">OVALLE LINARES RAMIRO </t>
  </si>
  <si>
    <t>OVALLE</t>
  </si>
  <si>
    <t>RAMIRO</t>
  </si>
  <si>
    <t>1023882608</t>
  </si>
  <si>
    <t>MARTINEZ NEIRA SANDRA MILENA</t>
  </si>
  <si>
    <t>SANDRA</t>
  </si>
  <si>
    <t>MILENA</t>
  </si>
  <si>
    <t>1023927871</t>
  </si>
  <si>
    <t>BECERRA MELGAREJO KAREN JULIETH</t>
  </si>
  <si>
    <t>BECERRA</t>
  </si>
  <si>
    <t>MELGAREJO</t>
  </si>
  <si>
    <t>KAREN</t>
  </si>
  <si>
    <t>JULIETH</t>
  </si>
  <si>
    <t>1023965099</t>
  </si>
  <si>
    <t>SACHICA D'ALEMAN KELLY DANIELA</t>
  </si>
  <si>
    <t>D'ALEMAN</t>
  </si>
  <si>
    <t>KELLY</t>
  </si>
  <si>
    <t>DANIELA</t>
  </si>
  <si>
    <t>1024573844</t>
  </si>
  <si>
    <t>BUSTOS OVIEDO OSCAR EDUARDO</t>
  </si>
  <si>
    <t>BUSTOS</t>
  </si>
  <si>
    <t>OVIEDO</t>
  </si>
  <si>
    <t>1024588921</t>
  </si>
  <si>
    <t>MARTINEZ JARAMILLO ANGIE XIOMARA</t>
  </si>
  <si>
    <t>JARAMILLO</t>
  </si>
  <si>
    <t>ANGIE</t>
  </si>
  <si>
    <t>XIOMARA</t>
  </si>
  <si>
    <t>1024599648</t>
  </si>
  <si>
    <t>SANCHEZ SOSA DUVAN DAVID</t>
  </si>
  <si>
    <t>SOSA</t>
  </si>
  <si>
    <t>DUVAN</t>
  </si>
  <si>
    <t>1026131564</t>
  </si>
  <si>
    <t>PELAEZ TORRES NELSON ALCIDES</t>
  </si>
  <si>
    <t>PELAEZ</t>
  </si>
  <si>
    <t>ALCIDES</t>
  </si>
  <si>
    <t>1026565492</t>
  </si>
  <si>
    <t>AMAYA GARCIA DAVID FABIAN</t>
  </si>
  <si>
    <t>AMAYA</t>
  </si>
  <si>
    <t>FABIAN</t>
  </si>
  <si>
    <t>1030559818</t>
  </si>
  <si>
    <t>SANCHEZ SUAREZ ROBERT JOSE</t>
  </si>
  <si>
    <t>ROBERT</t>
  </si>
  <si>
    <t>1030591724</t>
  </si>
  <si>
    <t>MARTIN RIOS LUIS ANDRES</t>
  </si>
  <si>
    <t>MARTIN</t>
  </si>
  <si>
    <t>RIOS</t>
  </si>
  <si>
    <t>1030601355</t>
  </si>
  <si>
    <t>RIVERA GOMEZ ANGIE LORENA</t>
  </si>
  <si>
    <t>LORENA</t>
  </si>
  <si>
    <t>1030605434</t>
  </si>
  <si>
    <t>LOPEZ HURTADO CARLOS ALEXANDER</t>
  </si>
  <si>
    <t>HURTADO</t>
  </si>
  <si>
    <t>1030624661</t>
  </si>
  <si>
    <t>TAPIA LEAL HARINSON LEONARDO</t>
  </si>
  <si>
    <t>TAPIA</t>
  </si>
  <si>
    <t>LEAL</t>
  </si>
  <si>
    <t>HARINSON</t>
  </si>
  <si>
    <t>LEONARDO</t>
  </si>
  <si>
    <t>1032392951</t>
  </si>
  <si>
    <t>PALACIOS ORJUELA JENNY ALEJANDRA</t>
  </si>
  <si>
    <t>PALACIOS</t>
  </si>
  <si>
    <t>ORJUELA</t>
  </si>
  <si>
    <t>JENNY</t>
  </si>
  <si>
    <t>1032402045</t>
  </si>
  <si>
    <t>OYUELA RODRIGUEZ JUAN PABLO</t>
  </si>
  <si>
    <t>OYUELA</t>
  </si>
  <si>
    <t>PABLO</t>
  </si>
  <si>
    <t>1032403143</t>
  </si>
  <si>
    <t>DIAZ LEGUIZAMON YESID ALEJANDRO</t>
  </si>
  <si>
    <t>LEGUIZAMON</t>
  </si>
  <si>
    <t>YESID</t>
  </si>
  <si>
    <t>1032445329</t>
  </si>
  <si>
    <t>MOLINA PAEZ JOHN EDINSSON</t>
  </si>
  <si>
    <t>MOLINA</t>
  </si>
  <si>
    <t>JOHN</t>
  </si>
  <si>
    <t>EDINSSON</t>
  </si>
  <si>
    <t>1032470870</t>
  </si>
  <si>
    <t>GIRALDO RESTREPO LUISA FERNANDA</t>
  </si>
  <si>
    <t>1032499319</t>
  </si>
  <si>
    <t>PAVA NIÑO ANGIE HASBLEIDY</t>
  </si>
  <si>
    <t>PAVA</t>
  </si>
  <si>
    <t>NIÑO</t>
  </si>
  <si>
    <t>HASBLEIDY</t>
  </si>
  <si>
    <t>1036964545</t>
  </si>
  <si>
    <t>MORALES VANEGAS MARIA FERNANDA</t>
  </si>
  <si>
    <t>VANEGAS</t>
  </si>
  <si>
    <t>1039688356</t>
  </si>
  <si>
    <t>SUAREZ CORDOBA JHONATAN DE JESUS</t>
  </si>
  <si>
    <t>JHONATAN</t>
  </si>
  <si>
    <t>DE JESUS</t>
  </si>
  <si>
    <t>1041971859</t>
  </si>
  <si>
    <t xml:space="preserve">CASTRO MACEA EFREN </t>
  </si>
  <si>
    <t>MACEA</t>
  </si>
  <si>
    <t>EFREN</t>
  </si>
  <si>
    <t>1042420943</t>
  </si>
  <si>
    <t>HERNANDEZ MERCHAN JHONATHAN EDGARDO</t>
  </si>
  <si>
    <t>MERCHAN</t>
  </si>
  <si>
    <t>JHONATHAN</t>
  </si>
  <si>
    <t>EDGARDO</t>
  </si>
  <si>
    <t>1043605841</t>
  </si>
  <si>
    <t>POLO CABALLERO ESTEFER JOSE</t>
  </si>
  <si>
    <t>POLO</t>
  </si>
  <si>
    <t>CABALLERO</t>
  </si>
  <si>
    <t>ESTEFER</t>
  </si>
  <si>
    <t>3</t>
  </si>
  <si>
    <t>3711001</t>
  </si>
  <si>
    <t>1043848010</t>
  </si>
  <si>
    <t>SANDOVAL RODRIGUEZ IRON LUIS</t>
  </si>
  <si>
    <t>SANDOVAL</t>
  </si>
  <si>
    <t>IRON</t>
  </si>
  <si>
    <t>1044609385</t>
  </si>
  <si>
    <t>DIAZ ESCOBAR FERNANDO JOSE</t>
  </si>
  <si>
    <t>ESCOBAR</t>
  </si>
  <si>
    <t>FERNANDO</t>
  </si>
  <si>
    <t>1047371050</t>
  </si>
  <si>
    <t>SALAS GUERRA RONAL RAFAEL</t>
  </si>
  <si>
    <t>SALAS</t>
  </si>
  <si>
    <t>GUERRA</t>
  </si>
  <si>
    <t>RONAL</t>
  </si>
  <si>
    <t>1047375877</t>
  </si>
  <si>
    <t xml:space="preserve">PADILLA PALOMINO HENRY </t>
  </si>
  <si>
    <t>PALOMINO</t>
  </si>
  <si>
    <t>HENRY</t>
  </si>
  <si>
    <t>1047390941</t>
  </si>
  <si>
    <t xml:space="preserve">GOMEZ SIERRA OSWALDO </t>
  </si>
  <si>
    <t>OSWALDO</t>
  </si>
  <si>
    <t>1047466218</t>
  </si>
  <si>
    <t>VILLAREAL MOVILLA GUSTAVO JOSE</t>
  </si>
  <si>
    <t>VILLAREAL</t>
  </si>
  <si>
    <t>MOVILLA</t>
  </si>
  <si>
    <t>GUSTAVO</t>
  </si>
  <si>
    <t>1048215382</t>
  </si>
  <si>
    <t>SANES ANAYA STIVENSON JOSE</t>
  </si>
  <si>
    <t>SANES</t>
  </si>
  <si>
    <t>ANAYA</t>
  </si>
  <si>
    <t>STIVENSON</t>
  </si>
  <si>
    <t>1049603450</t>
  </si>
  <si>
    <t>SUAREZ MENDOZA WILLIAM RICARDO</t>
  </si>
  <si>
    <t>WILLIAM</t>
  </si>
  <si>
    <t>1049649238</t>
  </si>
  <si>
    <t>QUIROZ ROMERO DANIEL FERNANDO</t>
  </si>
  <si>
    <t>QUIROZ</t>
  </si>
  <si>
    <t>10497017</t>
  </si>
  <si>
    <t>LASPRILLA BALANTA HELMER ALEXANDER</t>
  </si>
  <si>
    <t>LASPRILLA</t>
  </si>
  <si>
    <t>BALANTA</t>
  </si>
  <si>
    <t>HELMER</t>
  </si>
  <si>
    <t>1049935949</t>
  </si>
  <si>
    <t xml:space="preserve">GUARDO PUELLO YOIVER </t>
  </si>
  <si>
    <t>GUARDO</t>
  </si>
  <si>
    <t>PUELLO</t>
  </si>
  <si>
    <t>YOIVER</t>
  </si>
  <si>
    <t>1050200050</t>
  </si>
  <si>
    <t xml:space="preserve">ESTEPA REYES EDISON </t>
  </si>
  <si>
    <t>ESTEPA</t>
  </si>
  <si>
    <t>REYES</t>
  </si>
  <si>
    <t>EDISON</t>
  </si>
  <si>
    <t>1050200118</t>
  </si>
  <si>
    <t xml:space="preserve">CARVAJAL ALVAREZ CARLOS </t>
  </si>
  <si>
    <t>CARVAJAL</t>
  </si>
  <si>
    <t>1050200240</t>
  </si>
  <si>
    <t>AMAYA CUCAITA GIOVANY ANTONIO</t>
  </si>
  <si>
    <t>GIOVANY</t>
  </si>
  <si>
    <t>1050200693</t>
  </si>
  <si>
    <t>CUY CUY JOSE ALBEIRO</t>
  </si>
  <si>
    <t>CUY</t>
  </si>
  <si>
    <t>ALBEIRO</t>
  </si>
  <si>
    <t>1050200822</t>
  </si>
  <si>
    <t>ALVAREZ NIÑO HENRY ISIDRO</t>
  </si>
  <si>
    <t>ISIDRO</t>
  </si>
  <si>
    <t>1050200848</t>
  </si>
  <si>
    <t>VEGA LARA DUVAN FELIPE</t>
  </si>
  <si>
    <t>FELIPE</t>
  </si>
  <si>
    <t>1050201056</t>
  </si>
  <si>
    <t>TIGA RODRIGUEZ JHORDAN SNEIDER</t>
  </si>
  <si>
    <t>TIGA</t>
  </si>
  <si>
    <t>JHORDAN</t>
  </si>
  <si>
    <t>SNEIDER</t>
  </si>
  <si>
    <t>1051444380</t>
  </si>
  <si>
    <t>AHUMEDO CARABALLO LUIS ALFREDO</t>
  </si>
  <si>
    <t>AHUMEDO</t>
  </si>
  <si>
    <t>CARABALLO</t>
  </si>
  <si>
    <t>ALFREDO</t>
  </si>
  <si>
    <t>1051447487</t>
  </si>
  <si>
    <t>RODRIGUEZ OROZCO JOSE GUILLERMO</t>
  </si>
  <si>
    <t>OROZCO</t>
  </si>
  <si>
    <t>GUILLERMO</t>
  </si>
  <si>
    <t>1051656145</t>
  </si>
  <si>
    <t>ECHAVEZ VASQUEZ ALVARO JOSE</t>
  </si>
  <si>
    <t>ECHAVEZ</t>
  </si>
  <si>
    <t>VASQUEZ</t>
  </si>
  <si>
    <t>ALVARO</t>
  </si>
  <si>
    <t>1051670217</t>
  </si>
  <si>
    <t>ECHAVEZ VASQUEZ JOSE DANIEL</t>
  </si>
  <si>
    <t>1051676834</t>
  </si>
  <si>
    <t xml:space="preserve">ECHAVEZ AREVALO RICARDO </t>
  </si>
  <si>
    <t>AREVALO</t>
  </si>
  <si>
    <t>1051679578</t>
  </si>
  <si>
    <t>CABRALES GALVAN YAN CARLOS</t>
  </si>
  <si>
    <t>CABRALES</t>
  </si>
  <si>
    <t>GALVAN</t>
  </si>
  <si>
    <t>YAN</t>
  </si>
  <si>
    <t>1051680778</t>
  </si>
  <si>
    <t>CABRALES GALVAN FRANKLIN YOAN</t>
  </si>
  <si>
    <t>FRANKLIN</t>
  </si>
  <si>
    <t>YOAN</t>
  </si>
  <si>
    <t>1052383656</t>
  </si>
  <si>
    <t>ROMERO MARTINEZ JENNY PAOLA</t>
  </si>
  <si>
    <t>PAOLA</t>
  </si>
  <si>
    <t>1052953775</t>
  </si>
  <si>
    <t>ZABALA RICARDO LEONARDO JOSE</t>
  </si>
  <si>
    <t>ZABALA</t>
  </si>
  <si>
    <t>1057413234</t>
  </si>
  <si>
    <t>CARDENAS PAEZ DANIEL STEVEN</t>
  </si>
  <si>
    <t>CARDENAS</t>
  </si>
  <si>
    <t>STEVEN</t>
  </si>
  <si>
    <t>1057582752</t>
  </si>
  <si>
    <t>MORA DIAZ JHONNATAN EDIZON</t>
  </si>
  <si>
    <t>MORA</t>
  </si>
  <si>
    <t>JHONNATAN</t>
  </si>
  <si>
    <t>EDIZON</t>
  </si>
  <si>
    <t>1057591543</t>
  </si>
  <si>
    <t>VELA RODAS KEVIN STEVENSON</t>
  </si>
  <si>
    <t>VELA</t>
  </si>
  <si>
    <t>RODAS</t>
  </si>
  <si>
    <t>STEVENSON</t>
  </si>
  <si>
    <t>1057592503</t>
  </si>
  <si>
    <t xml:space="preserve">FAGUA SALAZAR JULIAN </t>
  </si>
  <si>
    <t>FAGUA</t>
  </si>
  <si>
    <t>JULIAN</t>
  </si>
  <si>
    <t>1061046957</t>
  </si>
  <si>
    <t>FERNANDEZ CONTRERAS DIEGO FERNANDO</t>
  </si>
  <si>
    <t>FERNANDEZ</t>
  </si>
  <si>
    <t>DIEGO</t>
  </si>
  <si>
    <t>1062328066</t>
  </si>
  <si>
    <t xml:space="preserve">QUIGUATENGO ANDELA EIDER </t>
  </si>
  <si>
    <t>QUIGUATENGO</t>
  </si>
  <si>
    <t>ANDELA</t>
  </si>
  <si>
    <t>EIDER</t>
  </si>
  <si>
    <t>1063482070</t>
  </si>
  <si>
    <t xml:space="preserve">OSPINO PALOMINO YILMAR </t>
  </si>
  <si>
    <t>OSPINO</t>
  </si>
  <si>
    <t>YILMAR</t>
  </si>
  <si>
    <t>1064113197</t>
  </si>
  <si>
    <t>GUERRERO NIETO PITER MAICOL</t>
  </si>
  <si>
    <t>GUERRERO</t>
  </si>
  <si>
    <t>NIETO</t>
  </si>
  <si>
    <t>PITER</t>
  </si>
  <si>
    <t>MAICOL</t>
  </si>
  <si>
    <t>1064801105</t>
  </si>
  <si>
    <t>CUADRO ARIAS FABIAN ANDRES</t>
  </si>
  <si>
    <t>CUADRO</t>
  </si>
  <si>
    <t>ARIAS</t>
  </si>
  <si>
    <t>1064801691</t>
  </si>
  <si>
    <t>FLOREZ CAMACHO DEIVYS JOSE</t>
  </si>
  <si>
    <t>FLOREZ</t>
  </si>
  <si>
    <t>CAMACHO</t>
  </si>
  <si>
    <t>DEIVYS</t>
  </si>
  <si>
    <t>1065134281</t>
  </si>
  <si>
    <t>RODRIGUEZ CONTRERAS DANIEL ALFONSO</t>
  </si>
  <si>
    <t>ALFONSO</t>
  </si>
  <si>
    <t>1065593017</t>
  </si>
  <si>
    <t>PLATA LOPEZ EYRA MARCELA</t>
  </si>
  <si>
    <t>PLATA</t>
  </si>
  <si>
    <t>EYRA</t>
  </si>
  <si>
    <t>MARCELA</t>
  </si>
  <si>
    <t>1065848632</t>
  </si>
  <si>
    <t>ARISTIZABAL CORONADO ARLIN JOSE</t>
  </si>
  <si>
    <t>ARISTIZABAL</t>
  </si>
  <si>
    <t>CORONADO</t>
  </si>
  <si>
    <t>ARLIN</t>
  </si>
  <si>
    <t>1065900773</t>
  </si>
  <si>
    <t>BALLESTEROS QUINTERO WILMER YESID</t>
  </si>
  <si>
    <t>BALLESTEROS</t>
  </si>
  <si>
    <t>QUINTERO</t>
  </si>
  <si>
    <t>WILMER</t>
  </si>
  <si>
    <t>1067815675</t>
  </si>
  <si>
    <t>TORRES ZAMBRANO CARLOS ALFREDO</t>
  </si>
  <si>
    <t>1069487851</t>
  </si>
  <si>
    <t>PEREIRA VILLEGAS YONIS MANUEL</t>
  </si>
  <si>
    <t>VILLEGAS</t>
  </si>
  <si>
    <t>YONIS</t>
  </si>
  <si>
    <t>1069765695</t>
  </si>
  <si>
    <t>GALINDO DIMATE STIVEN GIOVANY</t>
  </si>
  <si>
    <t>GALINDO</t>
  </si>
  <si>
    <t>DIMATE</t>
  </si>
  <si>
    <t>1070009253</t>
  </si>
  <si>
    <t>BELLO RODRIGUEZ DANY EDILBERTO</t>
  </si>
  <si>
    <t>DANY</t>
  </si>
  <si>
    <t>EDILBERTO</t>
  </si>
  <si>
    <t>1070020258</t>
  </si>
  <si>
    <t>SANABRIA GUIO JUAN MANUEL</t>
  </si>
  <si>
    <t>SANABRIA</t>
  </si>
  <si>
    <t>GUIO</t>
  </si>
  <si>
    <t>1070304509</t>
  </si>
  <si>
    <t>SANCHEZ PENAGOS WILSON ENRIQUE</t>
  </si>
  <si>
    <t>PENAGOS</t>
  </si>
  <si>
    <t>WILSON</t>
  </si>
  <si>
    <t>1070617065</t>
  </si>
  <si>
    <t>ORTEGA RODRIGUEZ CARLOS AUGUSTO</t>
  </si>
  <si>
    <t>AUGUSTO</t>
  </si>
  <si>
    <t>1070967220</t>
  </si>
  <si>
    <t>AGUIRRE MARIN ERIKA PAOLA</t>
  </si>
  <si>
    <t>AGUIRRE</t>
  </si>
  <si>
    <t>MARIN</t>
  </si>
  <si>
    <t>ERIKA</t>
  </si>
  <si>
    <t>1070988497</t>
  </si>
  <si>
    <t>BARON SILVA ANGELA MARCELA</t>
  </si>
  <si>
    <t>BARON</t>
  </si>
  <si>
    <t>SILVA</t>
  </si>
  <si>
    <t>ANGELA</t>
  </si>
  <si>
    <t>1071941083</t>
  </si>
  <si>
    <t>SALCEDO BARAHONA DIEGO ENRIQUE</t>
  </si>
  <si>
    <t>BARAHONA</t>
  </si>
  <si>
    <t>1072188863</t>
  </si>
  <si>
    <t>GUERRERO GOMEZ LUIS YEISON</t>
  </si>
  <si>
    <t>YEISON</t>
  </si>
  <si>
    <t>1073167599</t>
  </si>
  <si>
    <t>PINO VACA JUAN FELIPE</t>
  </si>
  <si>
    <t>PINO</t>
  </si>
  <si>
    <t>VACA</t>
  </si>
  <si>
    <t>1073323526</t>
  </si>
  <si>
    <t>GONZALEZ GUTIERREZ GABRIEL ANTONIO</t>
  </si>
  <si>
    <t>GABRIEL</t>
  </si>
  <si>
    <t>1073326137</t>
  </si>
  <si>
    <t>CASTILLO QUINCHIA FREDY MANUEL</t>
  </si>
  <si>
    <t>FREDY</t>
  </si>
  <si>
    <t>1073384167</t>
  </si>
  <si>
    <t>RAMIREZ BUSTOS CARLOS ANTONIO</t>
  </si>
  <si>
    <t>1073719324</t>
  </si>
  <si>
    <t>RUIZ TORRES ANDRES FELIPE</t>
  </si>
  <si>
    <t>RUIZ</t>
  </si>
  <si>
    <t>1075226117</t>
  </si>
  <si>
    <t>RONDON PRADA JOHN ALEXANDER</t>
  </si>
  <si>
    <t>PRADA</t>
  </si>
  <si>
    <t>1075655385</t>
  </si>
  <si>
    <t>RODRIGUEZ LIZARAZO CARLOS ANDRES</t>
  </si>
  <si>
    <t>LIZARAZO</t>
  </si>
  <si>
    <t>1075676208</t>
  </si>
  <si>
    <t>DUARTE SALAZAR MIGUEL ANGEL</t>
  </si>
  <si>
    <t>MIGUEL</t>
  </si>
  <si>
    <t>1075689500</t>
  </si>
  <si>
    <t>CAMARGO VERGEL ANGIE PAOLA</t>
  </si>
  <si>
    <t>CAMARGO</t>
  </si>
  <si>
    <t>VERGEL</t>
  </si>
  <si>
    <t>1076243582</t>
  </si>
  <si>
    <t>ROJAS SIERRA VRIYI YULEY</t>
  </si>
  <si>
    <t>VRIYI</t>
  </si>
  <si>
    <t>YULEY</t>
  </si>
  <si>
    <t>1076501961</t>
  </si>
  <si>
    <t>VALDERRAMA CHIMONJA GEOVANNY ANDRES</t>
  </si>
  <si>
    <t>VALDERRAMA</t>
  </si>
  <si>
    <t>CHIMONJA</t>
  </si>
  <si>
    <t>GEOVANNY</t>
  </si>
  <si>
    <t>1076739887</t>
  </si>
  <si>
    <t>CAICEDO QUIMBAY PAULA YOHANA</t>
  </si>
  <si>
    <t>QUIMBAY</t>
  </si>
  <si>
    <t>PAULA</t>
  </si>
  <si>
    <t>YOHANA</t>
  </si>
  <si>
    <t>1077085712</t>
  </si>
  <si>
    <t>PUENTES FLOREZ CLAUDIA LILIANA</t>
  </si>
  <si>
    <t>PUENTES</t>
  </si>
  <si>
    <t>CLAUDIA</t>
  </si>
  <si>
    <t>LILIANA</t>
  </si>
  <si>
    <t>1077966195</t>
  </si>
  <si>
    <t>AVILA BUITRAGO JULIE PAULINE</t>
  </si>
  <si>
    <t>AVILA</t>
  </si>
  <si>
    <t>BUITRAGO</t>
  </si>
  <si>
    <t>JULIE</t>
  </si>
  <si>
    <t>PAULINE</t>
  </si>
  <si>
    <t>1081272545</t>
  </si>
  <si>
    <t>BURBANO BUESAQUILLO MARYORY DANIELA</t>
  </si>
  <si>
    <t>BURBANO</t>
  </si>
  <si>
    <t>BUESAQUILLO</t>
  </si>
  <si>
    <t>MARYORY</t>
  </si>
  <si>
    <t>1081806166</t>
  </si>
  <si>
    <t>LOPEZ LARA MARLON JAVIER</t>
  </si>
  <si>
    <t>MARLON</t>
  </si>
  <si>
    <t>JAVIER</t>
  </si>
  <si>
    <t>1081825041</t>
  </si>
  <si>
    <t>ROMO CERVANTES IVAN DAVID</t>
  </si>
  <si>
    <t>ROMO</t>
  </si>
  <si>
    <t>1081825524</t>
  </si>
  <si>
    <t>ARZUAGA CARIZABALO CARLOS MARIO</t>
  </si>
  <si>
    <t>ARZUAGA</t>
  </si>
  <si>
    <t>CARIZABALO</t>
  </si>
  <si>
    <t>1082866503</t>
  </si>
  <si>
    <t>SOSA GONZALES JOSE DANIEL</t>
  </si>
  <si>
    <t>GONZALES</t>
  </si>
  <si>
    <t>1082917859</t>
  </si>
  <si>
    <t>QUIROZ GARCIA JOSE LUIS</t>
  </si>
  <si>
    <t>1082942279</t>
  </si>
  <si>
    <t>CERVANTES POLO ANTHONY JUNIOR</t>
  </si>
  <si>
    <t>ANTHONY</t>
  </si>
  <si>
    <t>1082948048</t>
  </si>
  <si>
    <t>ANDRADE MUNERA JESUS ALBERTO</t>
  </si>
  <si>
    <t>ANDRADE</t>
  </si>
  <si>
    <t>MUNERA</t>
  </si>
  <si>
    <t>JESUS</t>
  </si>
  <si>
    <t>1083456805</t>
  </si>
  <si>
    <t>CANTILLO SANTOYA JORGE SAMIR</t>
  </si>
  <si>
    <t>SANTOYA</t>
  </si>
  <si>
    <t>JORGE</t>
  </si>
  <si>
    <t>1085043386</t>
  </si>
  <si>
    <t>MERIÑO MARTINEZ SAMUEL ENRIQUE</t>
  </si>
  <si>
    <t>MERIÑO</t>
  </si>
  <si>
    <t>SAMUEL</t>
  </si>
  <si>
    <t>1088322674</t>
  </si>
  <si>
    <t xml:space="preserve">TORO LADINO MIGUEL </t>
  </si>
  <si>
    <t>LADINO</t>
  </si>
  <si>
    <t>1091052333</t>
  </si>
  <si>
    <t>ORTIZ VERA ERVIN ARLEY</t>
  </si>
  <si>
    <t>ORTIZ</t>
  </si>
  <si>
    <t>VERA</t>
  </si>
  <si>
    <t>ERVIN</t>
  </si>
  <si>
    <t>ARLEY</t>
  </si>
  <si>
    <t>1093749089</t>
  </si>
  <si>
    <t>ASCANIO MORA YEISON ALEXIS</t>
  </si>
  <si>
    <t>ASCANIO</t>
  </si>
  <si>
    <t>ALEXIS</t>
  </si>
  <si>
    <t>1095786524</t>
  </si>
  <si>
    <t xml:space="preserve">CASTILLO VALDES JAIR </t>
  </si>
  <si>
    <t>VALDES</t>
  </si>
  <si>
    <t>JAIR</t>
  </si>
  <si>
    <t>1096196927</t>
  </si>
  <si>
    <t>VERA BENAVIDES JHON JADER</t>
  </si>
  <si>
    <t>BENAVIDES</t>
  </si>
  <si>
    <t>JHON</t>
  </si>
  <si>
    <t>JADER</t>
  </si>
  <si>
    <t>1096217252</t>
  </si>
  <si>
    <t>MONTOYA GAVIRIA JORGE ANDRES</t>
  </si>
  <si>
    <t>GAVIRIA</t>
  </si>
  <si>
    <t>1096228888</t>
  </si>
  <si>
    <t>VIDAL LOPEZ EDILBERTO JOSE</t>
  </si>
  <si>
    <t>VIDAL</t>
  </si>
  <si>
    <t>1097396625</t>
  </si>
  <si>
    <t>RAMIREZ OSPINA JULIAN ADOLFO</t>
  </si>
  <si>
    <t>ADOLFO</t>
  </si>
  <si>
    <t>1098639080</t>
  </si>
  <si>
    <t>MARIN FERREIRA NINI JOHANNA</t>
  </si>
  <si>
    <t>FERREIRA</t>
  </si>
  <si>
    <t>NINI</t>
  </si>
  <si>
    <t>JOHANNA</t>
  </si>
  <si>
    <t>1098748730</t>
  </si>
  <si>
    <t>SANDOVAL SUAREZ ANDRES CAMILO</t>
  </si>
  <si>
    <t>1105614035</t>
  </si>
  <si>
    <t>SALAMANCA URREGO RAUL STIDWAR</t>
  </si>
  <si>
    <t>SALAMANCA</t>
  </si>
  <si>
    <t>URREGO</t>
  </si>
  <si>
    <t>RAUL</t>
  </si>
  <si>
    <t>STIDWAR</t>
  </si>
  <si>
    <t>1106396226</t>
  </si>
  <si>
    <t>HOMEZ GONZALEZ JUAN MARTIN</t>
  </si>
  <si>
    <t>HOMEZ</t>
  </si>
  <si>
    <t>1106485447</t>
  </si>
  <si>
    <t>BEJARANO PEREZ WILBER FERLEY</t>
  </si>
  <si>
    <t>BEJARANO</t>
  </si>
  <si>
    <t>PEREZ</t>
  </si>
  <si>
    <t>WILBER</t>
  </si>
  <si>
    <t>FERLEY</t>
  </si>
  <si>
    <t>1109291197</t>
  </si>
  <si>
    <t>TANGARIFE OJEDA WILDER JAVIER</t>
  </si>
  <si>
    <t>TANGARIFE</t>
  </si>
  <si>
    <t>OJEDA</t>
  </si>
  <si>
    <t>WILDER</t>
  </si>
  <si>
    <t>1110454472</t>
  </si>
  <si>
    <t>ROMERO ARIAS CRISTIAN HAROL</t>
  </si>
  <si>
    <t>CRISTIAN</t>
  </si>
  <si>
    <t>HAROL</t>
  </si>
  <si>
    <t>1110501486</t>
  </si>
  <si>
    <t>SERRATO ARIAS WILLIAM ALEXANDER</t>
  </si>
  <si>
    <t>SERRATO</t>
  </si>
  <si>
    <t>1110520877</t>
  </si>
  <si>
    <t>DIAZ HERRERA FABER ANDREY</t>
  </si>
  <si>
    <t>HERRERA</t>
  </si>
  <si>
    <t>FABER</t>
  </si>
  <si>
    <t>ANDREY</t>
  </si>
  <si>
    <t>1115941363</t>
  </si>
  <si>
    <t xml:space="preserve">MORENO DUCUARA ONEIDER </t>
  </si>
  <si>
    <t>DUCUARA</t>
  </si>
  <si>
    <t>ONEIDER</t>
  </si>
  <si>
    <t>1118805884</t>
  </si>
  <si>
    <t xml:space="preserve">MOSCOTE CASTRO EFREN </t>
  </si>
  <si>
    <t>MOSCOTE</t>
  </si>
  <si>
    <t>1118826292</t>
  </si>
  <si>
    <t>SANDOVAL ZAPATEIRO HENRRY ALEXANDER</t>
  </si>
  <si>
    <t>ZAPATEIRO</t>
  </si>
  <si>
    <t>HENRRY</t>
  </si>
  <si>
    <t>1120739868</t>
  </si>
  <si>
    <t>MILLIAN PINTO SANDRA MILENA</t>
  </si>
  <si>
    <t>MILLIAN</t>
  </si>
  <si>
    <t>PINTO</t>
  </si>
  <si>
    <t>1120740098</t>
  </si>
  <si>
    <t xml:space="preserve">MENDOZA SIERRA ELBERT </t>
  </si>
  <si>
    <t>ELBERT</t>
  </si>
  <si>
    <t>1120740943</t>
  </si>
  <si>
    <t>CASTILLO JARABA WILSON OMAR</t>
  </si>
  <si>
    <t>JARABA</t>
  </si>
  <si>
    <t>1120743119</t>
  </si>
  <si>
    <t>OÑATE PACHECO ANGEL DAVID</t>
  </si>
  <si>
    <t>OÑATE</t>
  </si>
  <si>
    <t>1120747316</t>
  </si>
  <si>
    <t>CASTRO SALTAREN JORGE YAIR</t>
  </si>
  <si>
    <t>SALTAREN</t>
  </si>
  <si>
    <t>YAIR</t>
  </si>
  <si>
    <t>1120747452</t>
  </si>
  <si>
    <t>TORRES COBO XABIER ALFONSO</t>
  </si>
  <si>
    <t>COBO</t>
  </si>
  <si>
    <t>XABIER</t>
  </si>
  <si>
    <t>1120748602</t>
  </si>
  <si>
    <t>ARRIETA NIEVES JESUS EDUARDO</t>
  </si>
  <si>
    <t>NIEVES</t>
  </si>
  <si>
    <t>1121040917</t>
  </si>
  <si>
    <t>NIETO EPINAYU YOJANER ANDRES</t>
  </si>
  <si>
    <t>EPINAYU</t>
  </si>
  <si>
    <t>YOJANER</t>
  </si>
  <si>
    <t>1121041870</t>
  </si>
  <si>
    <t>FERNANDEZ DAZA ALVARO JAVIER</t>
  </si>
  <si>
    <t>DAZA</t>
  </si>
  <si>
    <t>1121043380</t>
  </si>
  <si>
    <t>CAMPO DE LIMA LUIS CARLOS</t>
  </si>
  <si>
    <t>CAMPO</t>
  </si>
  <si>
    <t>DE LIMA</t>
  </si>
  <si>
    <t>1121296022</t>
  </si>
  <si>
    <t>PUELLO MADERA FRANCISCO JAVIER</t>
  </si>
  <si>
    <t>MADERA</t>
  </si>
  <si>
    <t>FRANCISCO</t>
  </si>
  <si>
    <t>1121296318</t>
  </si>
  <si>
    <t>OÑATE VALDEBLANQUEZ YOIMER JASIR</t>
  </si>
  <si>
    <t>VALDEBLANQUEZ</t>
  </si>
  <si>
    <t>YOIMER</t>
  </si>
  <si>
    <t>JASIR</t>
  </si>
  <si>
    <t>1121296599</t>
  </si>
  <si>
    <t>ORTIZ LUQUE LUIS FABIAN</t>
  </si>
  <si>
    <t>LUQUE</t>
  </si>
  <si>
    <t>1121296817</t>
  </si>
  <si>
    <t>ORTIZ GUAURIYU CARLOS ANTONIO</t>
  </si>
  <si>
    <t>GUAURIYU</t>
  </si>
  <si>
    <t>1121297352</t>
  </si>
  <si>
    <t>PUCHAINA IPUANA JUAN DAVID</t>
  </si>
  <si>
    <t>PUCHAINA</t>
  </si>
  <si>
    <t>1121298500</t>
  </si>
  <si>
    <t>FUENTES PADILLA ROBINSO RAFAEL</t>
  </si>
  <si>
    <t>FUENTES</t>
  </si>
  <si>
    <t>ROBINSO</t>
  </si>
  <si>
    <t>1121298863</t>
  </si>
  <si>
    <t>VALDEBLANQUEZ DUARTE JORGE ELIECER</t>
  </si>
  <si>
    <t>ELIECER</t>
  </si>
  <si>
    <t>1121299035</t>
  </si>
  <si>
    <t>ALMANZA CUEVA EDER MANUEL</t>
  </si>
  <si>
    <t>ALMANZA</t>
  </si>
  <si>
    <t>EDER</t>
  </si>
  <si>
    <t>1121301353</t>
  </si>
  <si>
    <t xml:space="preserve">URIYU RAMIREZ JHONY </t>
  </si>
  <si>
    <t>URIYU</t>
  </si>
  <si>
    <t>JHONY</t>
  </si>
  <si>
    <t>1121301863</t>
  </si>
  <si>
    <t>LOPEZ BARRANCO CARLOS MARIO</t>
  </si>
  <si>
    <t>BARRANCO</t>
  </si>
  <si>
    <t>1121303103</t>
  </si>
  <si>
    <t xml:space="preserve">DE ARMAS GOMEZ EDILFREDO </t>
  </si>
  <si>
    <t>DE ARMAS</t>
  </si>
  <si>
    <t>EDILFREDO</t>
  </si>
  <si>
    <t>1121304388</t>
  </si>
  <si>
    <t>LUQUEZ ROYERO GABRIEL DAVID</t>
  </si>
  <si>
    <t>LUQUEZ</t>
  </si>
  <si>
    <t>ROYERO</t>
  </si>
  <si>
    <t>1121331877</t>
  </si>
  <si>
    <t>OLIVELLA CORDOBA FERNANDO AUGUSTO</t>
  </si>
  <si>
    <t>OLIVELLA</t>
  </si>
  <si>
    <t>1121921029</t>
  </si>
  <si>
    <t>SAENZ SUAREZ JULIETH FERNANDA</t>
  </si>
  <si>
    <t>1122397878</t>
  </si>
  <si>
    <t>GAMEZ PEÑARANDA CARLOS JUNIOR</t>
  </si>
  <si>
    <t>GAMEZ</t>
  </si>
  <si>
    <t>PEÑARANDA</t>
  </si>
  <si>
    <t>1122408297</t>
  </si>
  <si>
    <t xml:space="preserve">BALLESTA PERTUZ ESNEIDER </t>
  </si>
  <si>
    <t>BALLESTA</t>
  </si>
  <si>
    <t>ESNEIDER</t>
  </si>
  <si>
    <t>1122410625</t>
  </si>
  <si>
    <t>SARMIENTO DAZA CARLOS DARIO</t>
  </si>
  <si>
    <t>SARMIENTO</t>
  </si>
  <si>
    <t>DARIO</t>
  </si>
  <si>
    <t>1122413663</t>
  </si>
  <si>
    <t>ARGUELLES BRITO ANDERSON YESID</t>
  </si>
  <si>
    <t>ARGUELLES</t>
  </si>
  <si>
    <t>ANDERSON</t>
  </si>
  <si>
    <t>1122810248</t>
  </si>
  <si>
    <t>YEPES TOLOZA ALI DAVID</t>
  </si>
  <si>
    <t>YEPES</t>
  </si>
  <si>
    <t>TOLOZA</t>
  </si>
  <si>
    <t>ALI</t>
  </si>
  <si>
    <t>1122814334</t>
  </si>
  <si>
    <t>CAMPUZANO BELTRAN ELIO ENRIQUE</t>
  </si>
  <si>
    <t>CAMPUZANO</t>
  </si>
  <si>
    <t>ELIO</t>
  </si>
  <si>
    <t>1122814726</t>
  </si>
  <si>
    <t>BRITO PUSAINA ALDO ALBERTO</t>
  </si>
  <si>
    <t>PUSAINA</t>
  </si>
  <si>
    <t>ALDO</t>
  </si>
  <si>
    <t>1122820197</t>
  </si>
  <si>
    <t>VIDAL IPUANA FADUL ANDRES</t>
  </si>
  <si>
    <t>FADUL</t>
  </si>
  <si>
    <t>1123410808</t>
  </si>
  <si>
    <t>CURVELO TRILLO FRANCISCO ANTONIO</t>
  </si>
  <si>
    <t>CURVELO</t>
  </si>
  <si>
    <t>TRILLO</t>
  </si>
  <si>
    <t>11234131</t>
  </si>
  <si>
    <t>AVELLANEDA CHOACHI JUAN CARLOS</t>
  </si>
  <si>
    <t>AVELLANEDA</t>
  </si>
  <si>
    <t>1123730911</t>
  </si>
  <si>
    <t>MONTERO DIAZ BERNARDO ALFREDO</t>
  </si>
  <si>
    <t>MONTERO</t>
  </si>
  <si>
    <t>1123970488</t>
  </si>
  <si>
    <t>MORON PINTO HENRY DAVID</t>
  </si>
  <si>
    <t>MORON</t>
  </si>
  <si>
    <t>1124029832</t>
  </si>
  <si>
    <t>LOPEZ FERNANDEZ JOSE JAFETH</t>
  </si>
  <si>
    <t>JAFETH</t>
  </si>
  <si>
    <t>1124412954</t>
  </si>
  <si>
    <t>JARAMILLO AGUILAR IVAN ALEXANDER</t>
  </si>
  <si>
    <t>AGUILAR</t>
  </si>
  <si>
    <t>1128044651</t>
  </si>
  <si>
    <t>ARROYO SANMARTIN JOHAN RICARDO</t>
  </si>
  <si>
    <t>ARROYO</t>
  </si>
  <si>
    <t>SANMARTIN</t>
  </si>
  <si>
    <t>1128060281</t>
  </si>
  <si>
    <t>ROMERO AVILA YORLAN MANUEL</t>
  </si>
  <si>
    <t>YORLAN</t>
  </si>
  <si>
    <t>1128168040</t>
  </si>
  <si>
    <t>MEJIA MEDINA LUISA FERNANDA</t>
  </si>
  <si>
    <t>1128436217</t>
  </si>
  <si>
    <t>VARGAS BERNAL OSWALDO JOSE</t>
  </si>
  <si>
    <t>BERNAL</t>
  </si>
  <si>
    <t>1128625267</t>
  </si>
  <si>
    <t>ZABALA OCAMPO MARIA BERENICE</t>
  </si>
  <si>
    <t>OCAMPO</t>
  </si>
  <si>
    <t>BERENICE</t>
  </si>
  <si>
    <t>1129515560</t>
  </si>
  <si>
    <t>MANOTAS BARRIOS JAIR ANTONIO</t>
  </si>
  <si>
    <t>MANOTAS</t>
  </si>
  <si>
    <t>BARRIOS</t>
  </si>
  <si>
    <t>1130587173</t>
  </si>
  <si>
    <t>RODRIGUEZ HURTADO LINA MARIA</t>
  </si>
  <si>
    <t>LINA</t>
  </si>
  <si>
    <t>1130629273</t>
  </si>
  <si>
    <t>CERON GUTIERREZ LUIS EFREN</t>
  </si>
  <si>
    <t>CERON</t>
  </si>
  <si>
    <t>11338086</t>
  </si>
  <si>
    <t xml:space="preserve">SARMIENTO CASTILLO GERMAN </t>
  </si>
  <si>
    <t>GERMAN</t>
  </si>
  <si>
    <t>11338825</t>
  </si>
  <si>
    <t>PRIETO AMEZQUITA LUIS EDUARDO</t>
  </si>
  <si>
    <t>PRIETO</t>
  </si>
  <si>
    <t>AMEZQUITA</t>
  </si>
  <si>
    <t>11339799</t>
  </si>
  <si>
    <t>GONZALEZ GARZON MARCO ANTONIO</t>
  </si>
  <si>
    <t>MARCO</t>
  </si>
  <si>
    <t>11347571</t>
  </si>
  <si>
    <t>ALVAREZ CAÑON CARLOS EFREN</t>
  </si>
  <si>
    <t>CAÑON</t>
  </si>
  <si>
    <t>11348515</t>
  </si>
  <si>
    <t>ALONSO SANTANA WILSON OSWALDO</t>
  </si>
  <si>
    <t>ALONSO</t>
  </si>
  <si>
    <t>1143338608</t>
  </si>
  <si>
    <t xml:space="preserve">GUERRERO PAREDES JORGE </t>
  </si>
  <si>
    <t>PAREDES</t>
  </si>
  <si>
    <t>1143350898</t>
  </si>
  <si>
    <t>VILLALOBOS DE LA BARRERA ERWIN EMILIO</t>
  </si>
  <si>
    <t>VILLALOBOS</t>
  </si>
  <si>
    <t>DE LA BARRERA</t>
  </si>
  <si>
    <t>ERWIN</t>
  </si>
  <si>
    <t>EMILIO</t>
  </si>
  <si>
    <t>1143390053</t>
  </si>
  <si>
    <t>RAMIREZ GAVIRIA DUVAN ENRIQUE</t>
  </si>
  <si>
    <t>1144148607</t>
  </si>
  <si>
    <t>MANRIQUE QUINTERO JOSE CONRADO</t>
  </si>
  <si>
    <t>MANRIQUE</t>
  </si>
  <si>
    <t>CONRADO</t>
  </si>
  <si>
    <t>11442086</t>
  </si>
  <si>
    <t>OBANDO CORTES LUIS EDSON</t>
  </si>
  <si>
    <t>CORTES</t>
  </si>
  <si>
    <t>EDSON</t>
  </si>
  <si>
    <t>11442343</t>
  </si>
  <si>
    <t>MATEUS ALMONACID GIOVANNI FRANCESCO</t>
  </si>
  <si>
    <t>ALMONACID</t>
  </si>
  <si>
    <t>GIOVANNI</t>
  </si>
  <si>
    <t>FRANCESCO</t>
  </si>
  <si>
    <t>1192768905</t>
  </si>
  <si>
    <t>BRITO EPIAYU ARLEY ALFREDO</t>
  </si>
  <si>
    <t>EPIAYU</t>
  </si>
  <si>
    <t>1192784397</t>
  </si>
  <si>
    <t>EPIAYU EPIAYU JOSE ESNEIDER</t>
  </si>
  <si>
    <t>1192787833</t>
  </si>
  <si>
    <t>VIDAL IPUANA JUAN SEBASTIAN</t>
  </si>
  <si>
    <t>SEBASTIAN</t>
  </si>
  <si>
    <t>1192818361</t>
  </si>
  <si>
    <t xml:space="preserve">SARMIENTO DAZA SANTIAGO </t>
  </si>
  <si>
    <t>1192897058</t>
  </si>
  <si>
    <t>ARREGOCES USTATE MAURICIO ALBERTO</t>
  </si>
  <si>
    <t>ARREGOCES</t>
  </si>
  <si>
    <t>USTATE</t>
  </si>
  <si>
    <t>1192903372</t>
  </si>
  <si>
    <t>SOTO EPIAYU NOLVER SEGUNDO</t>
  </si>
  <si>
    <t>SOTO</t>
  </si>
  <si>
    <t>NOLVER</t>
  </si>
  <si>
    <t>SEGUNDO</t>
  </si>
  <si>
    <t>1192921948</t>
  </si>
  <si>
    <t xml:space="preserve">HERNANDEZ BERNAL DANIEL </t>
  </si>
  <si>
    <t>1193033089</t>
  </si>
  <si>
    <t>ROMERO MELO DANIEL ALEJANDRO</t>
  </si>
  <si>
    <t>MELO</t>
  </si>
  <si>
    <t>1193131012</t>
  </si>
  <si>
    <t>ALMANZA BRANGO WILLIAM DE JESUS</t>
  </si>
  <si>
    <t>BRANGO</t>
  </si>
  <si>
    <t>1193428618</t>
  </si>
  <si>
    <t>EPINAYU SAJAUT JEFREY ALBERTO</t>
  </si>
  <si>
    <t>SAJAUT</t>
  </si>
  <si>
    <t>JEFREY</t>
  </si>
  <si>
    <t>1193485217</t>
  </si>
  <si>
    <t>VIDAL URIANA FABIAN CAMILO</t>
  </si>
  <si>
    <t>1193544479</t>
  </si>
  <si>
    <t>PASTRANA PASTRANA CARLOS MARIO</t>
  </si>
  <si>
    <t>PASTRANA</t>
  </si>
  <si>
    <t>12280057</t>
  </si>
  <si>
    <t>NUÑEZ POLANIA CRISTIAN MANUEL</t>
  </si>
  <si>
    <t>NUÑEZ</t>
  </si>
  <si>
    <t>POLANIA</t>
  </si>
  <si>
    <t>1233911685</t>
  </si>
  <si>
    <t>RODRIGUEZ AMAYA WILKEN NAWELL</t>
  </si>
  <si>
    <t>WILKEN</t>
  </si>
  <si>
    <t>NAWELL</t>
  </si>
  <si>
    <t>1235253332</t>
  </si>
  <si>
    <t>JIMENEZ MORENO JUAN CARLOS</t>
  </si>
  <si>
    <t>JIMENEZ</t>
  </si>
  <si>
    <t>12555524</t>
  </si>
  <si>
    <t>MARTINEZ REYES ALVARO ENRIQUE</t>
  </si>
  <si>
    <t>12625529</t>
  </si>
  <si>
    <t>RUA VILLALOBOS FABIAN DE JESUS</t>
  </si>
  <si>
    <t>12637852</t>
  </si>
  <si>
    <t>SARMIENTO RIVAS JULIO JOSE</t>
  </si>
  <si>
    <t>JULIO</t>
  </si>
  <si>
    <t>13495095</t>
  </si>
  <si>
    <t>JAIMES BALLESTEROS JUAN CARLOS AUGUSTO</t>
  </si>
  <si>
    <t>JAIMES</t>
  </si>
  <si>
    <t>CARLOS AUGUSTO</t>
  </si>
  <si>
    <t>13568418</t>
  </si>
  <si>
    <t>PEREZ ESPEJO JOSE DANIEL</t>
  </si>
  <si>
    <t>ESPEJO</t>
  </si>
  <si>
    <t>13851139</t>
  </si>
  <si>
    <t xml:space="preserve">PEREZ URREA REMBERTO </t>
  </si>
  <si>
    <t>URREA</t>
  </si>
  <si>
    <t>REMBERTO</t>
  </si>
  <si>
    <t>13853972</t>
  </si>
  <si>
    <t>DAZA MACARENO RAFAEL SEGUNDO</t>
  </si>
  <si>
    <t>MACARENO</t>
  </si>
  <si>
    <t>13894001</t>
  </si>
  <si>
    <t xml:space="preserve">PORRAS RAMIREZ LAUREANO </t>
  </si>
  <si>
    <t>PORRAS</t>
  </si>
  <si>
    <t>LAUREANO</t>
  </si>
  <si>
    <t>13894289</t>
  </si>
  <si>
    <t xml:space="preserve">HERRERA  ANDRES </t>
  </si>
  <si>
    <t>14107065</t>
  </si>
  <si>
    <t>CARRILLO AGUDELO CARLOS ALBERTO</t>
  </si>
  <si>
    <t>CARRILLO</t>
  </si>
  <si>
    <t>14296590</t>
  </si>
  <si>
    <t>RAMIREZ  JHOJAN ERIZON</t>
  </si>
  <si>
    <t>JHOJAN</t>
  </si>
  <si>
    <t>ERIZON</t>
  </si>
  <si>
    <t>16895419</t>
  </si>
  <si>
    <t>GONZALEZ MURILLO EDGAR HERNAN</t>
  </si>
  <si>
    <t>EDGAR</t>
  </si>
  <si>
    <t>17956834</t>
  </si>
  <si>
    <t>CAMPO BRITO EFRAIN FRANCISCO</t>
  </si>
  <si>
    <t>EFRAIN</t>
  </si>
  <si>
    <t>17957153</t>
  </si>
  <si>
    <t>ROJAS GUERRA LUIS DAVID</t>
  </si>
  <si>
    <t>17957880</t>
  </si>
  <si>
    <t xml:space="preserve">FORERO CALDERON EDIER </t>
  </si>
  <si>
    <t>FORERO</t>
  </si>
  <si>
    <t>CALDERON</t>
  </si>
  <si>
    <t>EDIER</t>
  </si>
  <si>
    <t>17959473</t>
  </si>
  <si>
    <t>EPINAYU SAJAUT JOHAN DAVID</t>
  </si>
  <si>
    <t>17973465</t>
  </si>
  <si>
    <t>ARGOTE DUARTE LUIS ALFREDO</t>
  </si>
  <si>
    <t>ARGOTE</t>
  </si>
  <si>
    <t>17976741</t>
  </si>
  <si>
    <t>FUENTES CORDOBA RAFAEL ENRIQUE</t>
  </si>
  <si>
    <t>18004125</t>
  </si>
  <si>
    <t>ACUÑA MANRIQUE JOSE JOAQUIN</t>
  </si>
  <si>
    <t>ACUÑA</t>
  </si>
  <si>
    <t>JOAQUIN</t>
  </si>
  <si>
    <t>18973655</t>
  </si>
  <si>
    <t xml:space="preserve">RONDANO MARTINEZ ELIMELETH </t>
  </si>
  <si>
    <t>RONDANO</t>
  </si>
  <si>
    <t>ELIMELETH</t>
  </si>
  <si>
    <t>19593689</t>
  </si>
  <si>
    <t>CASTRO GARCIA MILTON RAFAEL</t>
  </si>
  <si>
    <t>MILTON</t>
  </si>
  <si>
    <t>19593870</t>
  </si>
  <si>
    <t>MEJIA LOPEZ DIDIER GREGORIO</t>
  </si>
  <si>
    <t>DIDIER</t>
  </si>
  <si>
    <t>GREGORIO</t>
  </si>
  <si>
    <t>19595600</t>
  </si>
  <si>
    <t xml:space="preserve">PALACIO GONZALEZ DEIBER </t>
  </si>
  <si>
    <t>PALACIO</t>
  </si>
  <si>
    <t>DEIBER</t>
  </si>
  <si>
    <t>26996654</t>
  </si>
  <si>
    <t xml:space="preserve">MENDOZA SIERRA EILIS </t>
  </si>
  <si>
    <t>EILIS</t>
  </si>
  <si>
    <t>30236463</t>
  </si>
  <si>
    <t>ARANGO GRISALES SANDRA MILENA</t>
  </si>
  <si>
    <t>ARANGO</t>
  </si>
  <si>
    <t>GRISALES</t>
  </si>
  <si>
    <t>38285069</t>
  </si>
  <si>
    <t xml:space="preserve">MUÑOZ SUAREZ NESTY </t>
  </si>
  <si>
    <t>NESTY</t>
  </si>
  <si>
    <t>39786135</t>
  </si>
  <si>
    <t xml:space="preserve">LONDOÑO BRIGARD MONICA </t>
  </si>
  <si>
    <t>LONDOÑO</t>
  </si>
  <si>
    <t>BRIGARD</t>
  </si>
  <si>
    <t>MONICA</t>
  </si>
  <si>
    <t>4079347</t>
  </si>
  <si>
    <t xml:space="preserve">MANOSALVA DIAZ BALVINO </t>
  </si>
  <si>
    <t>MANOSALVA</t>
  </si>
  <si>
    <t>BALVINO</t>
  </si>
  <si>
    <t>4079374</t>
  </si>
  <si>
    <t>ORTIZ CRISTANCHO JOSE HIGINIO</t>
  </si>
  <si>
    <t>CRISTANCHO</t>
  </si>
  <si>
    <t>HIGINIO</t>
  </si>
  <si>
    <t>4079415</t>
  </si>
  <si>
    <t>REYES SILVA OSWALDO DE JESUS</t>
  </si>
  <si>
    <t>4079437</t>
  </si>
  <si>
    <t xml:space="preserve">BENAVIDES RIVERA ALVARO </t>
  </si>
  <si>
    <t>4087336</t>
  </si>
  <si>
    <t xml:space="preserve">RIAÑO DIAZ ARCENIO </t>
  </si>
  <si>
    <t>RIAÑO</t>
  </si>
  <si>
    <t>ARCENIO</t>
  </si>
  <si>
    <t>4147388</t>
  </si>
  <si>
    <t>SAENZ AMADO JAIRO ARMANDO</t>
  </si>
  <si>
    <t>AMADO</t>
  </si>
  <si>
    <t>JAIRO</t>
  </si>
  <si>
    <t>ARMANDO</t>
  </si>
  <si>
    <t>4165737</t>
  </si>
  <si>
    <t>CARDENAS VARGAS HECTOR HERNAN</t>
  </si>
  <si>
    <t>4165990</t>
  </si>
  <si>
    <t>MENDOZA CARVAJAL FLORO VICENTE</t>
  </si>
  <si>
    <t>FLORO</t>
  </si>
  <si>
    <t>VICENTE</t>
  </si>
  <si>
    <t>4178863</t>
  </si>
  <si>
    <t>CALIXTO SOCHA LUIS CARLOS</t>
  </si>
  <si>
    <t>CALIXTO</t>
  </si>
  <si>
    <t>43261488</t>
  </si>
  <si>
    <t>MUÑOZ HERRERA SANDRA MARCELA</t>
  </si>
  <si>
    <t>45545044</t>
  </si>
  <si>
    <t>GAVIRIA MORALES NET TRINIDAD</t>
  </si>
  <si>
    <t>NET</t>
  </si>
  <si>
    <t>46377021</t>
  </si>
  <si>
    <t xml:space="preserve">GUANUMEN MOLINA SANDRA </t>
  </si>
  <si>
    <t>GUANUMEN</t>
  </si>
  <si>
    <t>4912263</t>
  </si>
  <si>
    <t>CHIRINOS ALVARADO HECTOR JOSE</t>
  </si>
  <si>
    <t>CHIRINOS</t>
  </si>
  <si>
    <t>49719359</t>
  </si>
  <si>
    <t>CAMARGO GONZALEZ LEIDIS PAOLA</t>
  </si>
  <si>
    <t>LEIDIS</t>
  </si>
  <si>
    <t>49794465</t>
  </si>
  <si>
    <t>CHINCHILLA BUELVAS YULEMA PATRICIA</t>
  </si>
  <si>
    <t>CHINCHILLA</t>
  </si>
  <si>
    <t>BUELVAS</t>
  </si>
  <si>
    <t>YULEMA</t>
  </si>
  <si>
    <t>PATRICIA</t>
  </si>
  <si>
    <t>5135410</t>
  </si>
  <si>
    <t>ARRIETA MOLINA FREDIS HERNAN</t>
  </si>
  <si>
    <t>FREDIS</t>
  </si>
  <si>
    <t>5176827</t>
  </si>
  <si>
    <t>IGUARAN BELEÑO NORYE IVAN</t>
  </si>
  <si>
    <t>IGUARAN</t>
  </si>
  <si>
    <t>BELEÑO</t>
  </si>
  <si>
    <t>NORYE</t>
  </si>
  <si>
    <t>52169776</t>
  </si>
  <si>
    <t>TRIVIÑO NIETO LUZ DARY</t>
  </si>
  <si>
    <t>TRIVIÑO</t>
  </si>
  <si>
    <t>LUZ</t>
  </si>
  <si>
    <t>DARY</t>
  </si>
  <si>
    <t>52267698</t>
  </si>
  <si>
    <t>TORRES PADILLA LIDIA ESPERANZA</t>
  </si>
  <si>
    <t>LIDIA</t>
  </si>
  <si>
    <t>ESPERANZA</t>
  </si>
  <si>
    <t>52286942</t>
  </si>
  <si>
    <t>MARIN SIERRA ANGELA CONSUELO</t>
  </si>
  <si>
    <t>CONSUELO</t>
  </si>
  <si>
    <t>52428565</t>
  </si>
  <si>
    <t xml:space="preserve">MURAD GUTIERREZ CATHERINE </t>
  </si>
  <si>
    <t>MURAD</t>
  </si>
  <si>
    <t>CATHERINE</t>
  </si>
  <si>
    <t>52530161</t>
  </si>
  <si>
    <t xml:space="preserve">PULIDO GONZALEZ GRETHEL </t>
  </si>
  <si>
    <t>PULIDO</t>
  </si>
  <si>
    <t>GRETHEL</t>
  </si>
  <si>
    <t>52585391</t>
  </si>
  <si>
    <t xml:space="preserve">AREVALO GAMBA JULIA </t>
  </si>
  <si>
    <t>GAMBA</t>
  </si>
  <si>
    <t>JULIA</t>
  </si>
  <si>
    <t>52828229</t>
  </si>
  <si>
    <t xml:space="preserve">DALEMAN CASTILLO MARISOL </t>
  </si>
  <si>
    <t>DALEMAN</t>
  </si>
  <si>
    <t>MARISOL</t>
  </si>
  <si>
    <t>52854295</t>
  </si>
  <si>
    <t>YARA CARDONA LUZ JOHANNA</t>
  </si>
  <si>
    <t>YARA</t>
  </si>
  <si>
    <t>CARDONA</t>
  </si>
  <si>
    <t>52889710</t>
  </si>
  <si>
    <t>ARIAS GARNICA ANDREA MILENA</t>
  </si>
  <si>
    <t>GARNICA</t>
  </si>
  <si>
    <t>ANDREA</t>
  </si>
  <si>
    <t>52978954</t>
  </si>
  <si>
    <t>TORO AVILA EDITH MILENA</t>
  </si>
  <si>
    <t>EDITH</t>
  </si>
  <si>
    <t>5607565</t>
  </si>
  <si>
    <t>COMAS GARCIA FRANK HENRIS</t>
  </si>
  <si>
    <t>COMAS</t>
  </si>
  <si>
    <t>FRANK</t>
  </si>
  <si>
    <t>HENRIS</t>
  </si>
  <si>
    <t>5793656</t>
  </si>
  <si>
    <t>VELEZ MENDOZA LUIS CRISTOBAL</t>
  </si>
  <si>
    <t>CRISTOBAL</t>
  </si>
  <si>
    <t>5829452</t>
  </si>
  <si>
    <t>HERNANDEZ SUAREZ OSCAR MAURICIO</t>
  </si>
  <si>
    <t>5842924</t>
  </si>
  <si>
    <t>ALVAREZ BELIZARIO JOHAN ALEJANDRO</t>
  </si>
  <si>
    <t>BELIZARIO</t>
  </si>
  <si>
    <t>59313414</t>
  </si>
  <si>
    <t>BUESAQUILLO YANGUATIN CLAUDIA LORENA</t>
  </si>
  <si>
    <t>YANGUATIN</t>
  </si>
  <si>
    <t>60446101</t>
  </si>
  <si>
    <t>PALENCIA MORA LUZ AIDEE</t>
  </si>
  <si>
    <t>PALENCIA</t>
  </si>
  <si>
    <t>AIDEE</t>
  </si>
  <si>
    <t>64550520</t>
  </si>
  <si>
    <t>CANOLES PELUFFO KADIS ARELIS DEL CARMEN</t>
  </si>
  <si>
    <t>CANOLES</t>
  </si>
  <si>
    <t>PELUFFO</t>
  </si>
  <si>
    <t>KADIS</t>
  </si>
  <si>
    <t>ARELIS DEL CARMEN</t>
  </si>
  <si>
    <t>65631300</t>
  </si>
  <si>
    <t>ISSAACS GUERRA MARIA ISABEL</t>
  </si>
  <si>
    <t>ISSAACS</t>
  </si>
  <si>
    <t>ISABEL</t>
  </si>
  <si>
    <t>6565638</t>
  </si>
  <si>
    <t>GALLEGO CAICEDO CARLOS EMILIO</t>
  </si>
  <si>
    <t>GALLEGO</t>
  </si>
  <si>
    <t>4</t>
  </si>
  <si>
    <t>4711001</t>
  </si>
  <si>
    <t>65709021</t>
  </si>
  <si>
    <t>ENTENCIPA MENDOZA LUZ ANGELA</t>
  </si>
  <si>
    <t>ENTENCIPA</t>
  </si>
  <si>
    <t>6669741</t>
  </si>
  <si>
    <t>BRICEÑO RINCON DALMIRO JESUS</t>
  </si>
  <si>
    <t>RINCON</t>
  </si>
  <si>
    <t>DALMIRO</t>
  </si>
  <si>
    <t>6686790</t>
  </si>
  <si>
    <t>NELO OCHOA DIANGER RAFAEL</t>
  </si>
  <si>
    <t>NELO</t>
  </si>
  <si>
    <t>OCHOA</t>
  </si>
  <si>
    <t>DIANGER</t>
  </si>
  <si>
    <t>6804041</t>
  </si>
  <si>
    <t xml:space="preserve">MUÑOZ BEDON MARIO </t>
  </si>
  <si>
    <t>BEDON</t>
  </si>
  <si>
    <t>6805232</t>
  </si>
  <si>
    <t xml:space="preserve">CALDON BOLAÑOS JAIRO </t>
  </si>
  <si>
    <t>CALDON</t>
  </si>
  <si>
    <t>BOLAÑOS</t>
  </si>
  <si>
    <t>70326398</t>
  </si>
  <si>
    <t>CATAÑO CADAVID IVAN DARIO</t>
  </si>
  <si>
    <t>CATAÑO</t>
  </si>
  <si>
    <t>CADAVID</t>
  </si>
  <si>
    <t>71191810</t>
  </si>
  <si>
    <t>GOMEZ RUIZ ANDRES ANTONIO</t>
  </si>
  <si>
    <t>71193007</t>
  </si>
  <si>
    <t>ARIAS MONTOYA PEDRO PABLO</t>
  </si>
  <si>
    <t>PEDRO</t>
  </si>
  <si>
    <t>71627222</t>
  </si>
  <si>
    <t>SALDARRIAGA VERGARA GUILLERMO LEON</t>
  </si>
  <si>
    <t>SALDARRIAGA</t>
  </si>
  <si>
    <t>LEON</t>
  </si>
  <si>
    <t>7174635</t>
  </si>
  <si>
    <t>MORENO RODRIGUEZ ZAMIR FERNANDO</t>
  </si>
  <si>
    <t>ZAMIR</t>
  </si>
  <si>
    <t>72143920</t>
  </si>
  <si>
    <t>BARRAZA SOLANO DEBIS ALBERTO</t>
  </si>
  <si>
    <t>BARRAZA</t>
  </si>
  <si>
    <t>DEBIS</t>
  </si>
  <si>
    <t>72173200</t>
  </si>
  <si>
    <t xml:space="preserve">LAVALLE MORENO FIDILBERTO </t>
  </si>
  <si>
    <t>LAVALLE</t>
  </si>
  <si>
    <t>FIDILBERTO</t>
  </si>
  <si>
    <t>72203401</t>
  </si>
  <si>
    <t>URREA PACHECO CARLOS ANDRES</t>
  </si>
  <si>
    <t>72226580</t>
  </si>
  <si>
    <t>CAMARGO OROZCO JAIDEN AUGUSTO</t>
  </si>
  <si>
    <t>JAIDEN</t>
  </si>
  <si>
    <t>7225978</t>
  </si>
  <si>
    <t>NUÑEZ ROJAS JOSE DAVID</t>
  </si>
  <si>
    <t>7227003</t>
  </si>
  <si>
    <t>GOMEZ REYES CARLOS JULIO</t>
  </si>
  <si>
    <t>72279844</t>
  </si>
  <si>
    <t>CANTILLO VELANDIA LUIS MIGUEL</t>
  </si>
  <si>
    <t>VELANDIA</t>
  </si>
  <si>
    <t>7229763</t>
  </si>
  <si>
    <t>TAMAYO PEDRAZA JUAN MANUEL</t>
  </si>
  <si>
    <t>TAMAYO</t>
  </si>
  <si>
    <t>72304210</t>
  </si>
  <si>
    <t>VILLAFAÑE JIMENEZ WILLIAM RAFAEL</t>
  </si>
  <si>
    <t>VILLAFAÑE</t>
  </si>
  <si>
    <t>72307119</t>
  </si>
  <si>
    <t xml:space="preserve">CANTILLO REYES GIANCARLOS </t>
  </si>
  <si>
    <t>GIANCARLOS</t>
  </si>
  <si>
    <t>73007610</t>
  </si>
  <si>
    <t xml:space="preserve">MEDRANO FABRA YESID </t>
  </si>
  <si>
    <t>MEDRANO</t>
  </si>
  <si>
    <t>FABRA</t>
  </si>
  <si>
    <t>73144545</t>
  </si>
  <si>
    <t>VANEGAS PATERNINA JAIRO RAMON</t>
  </si>
  <si>
    <t>PATERNINA</t>
  </si>
  <si>
    <t>RAMON</t>
  </si>
  <si>
    <t>73150886</t>
  </si>
  <si>
    <t>RAMOS MENDOZA JUAN CARLOS</t>
  </si>
  <si>
    <t>RAMOS</t>
  </si>
  <si>
    <t>73194226</t>
  </si>
  <si>
    <t>ORTIZ RICO JORGE WADITH</t>
  </si>
  <si>
    <t>RICO</t>
  </si>
  <si>
    <t>WADITH</t>
  </si>
  <si>
    <t>73194884</t>
  </si>
  <si>
    <t>MEDRANO FABRA JULIO CESAR</t>
  </si>
  <si>
    <t>73199286</t>
  </si>
  <si>
    <t>LEAL RODRIGUEZ GUILLERMO LUIS</t>
  </si>
  <si>
    <t>73211827</t>
  </si>
  <si>
    <t xml:space="preserve">AGUILERA ANGULO CARLOS </t>
  </si>
  <si>
    <t>AGUILERA</t>
  </si>
  <si>
    <t>ANGULO</t>
  </si>
  <si>
    <t>73215997</t>
  </si>
  <si>
    <t>CONTRERAS HERNANDEZ SERGIO LUIS</t>
  </si>
  <si>
    <t>SERGIO</t>
  </si>
  <si>
    <t>73271251</t>
  </si>
  <si>
    <t>ORTIZ CASSIANI EDWIN EDUARDO</t>
  </si>
  <si>
    <t>CASSIANI</t>
  </si>
  <si>
    <t>EDWIN</t>
  </si>
  <si>
    <t>74082074</t>
  </si>
  <si>
    <t>MONTAÑEZ ALARCON JORGE OSVALDO</t>
  </si>
  <si>
    <t>MONTAÑEZ</t>
  </si>
  <si>
    <t>OSVALDO</t>
  </si>
  <si>
    <t>74180431</t>
  </si>
  <si>
    <t>LADINO MESA LUIS FERNEY</t>
  </si>
  <si>
    <t>MESA</t>
  </si>
  <si>
    <t>FERNEY</t>
  </si>
  <si>
    <t>74180780</t>
  </si>
  <si>
    <t>MARTINEZ NOY EDGAR OVIDIO</t>
  </si>
  <si>
    <t>NOY</t>
  </si>
  <si>
    <t>OVIDIO</t>
  </si>
  <si>
    <t>74180943</t>
  </si>
  <si>
    <t>LEON MARTINEZ CARLOS ABEL</t>
  </si>
  <si>
    <t>ABEL</t>
  </si>
  <si>
    <t>74301188</t>
  </si>
  <si>
    <t xml:space="preserve">TORRES LEON ARIOSTO </t>
  </si>
  <si>
    <t>ARIOSTO</t>
  </si>
  <si>
    <t>74324181</t>
  </si>
  <si>
    <t>GARZON OSORIO RODRIGO ALBERTO</t>
  </si>
  <si>
    <t>RODRIGO</t>
  </si>
  <si>
    <t>74365756</t>
  </si>
  <si>
    <t xml:space="preserve">CASTRO DIAZ LIBARDO </t>
  </si>
  <si>
    <t>LIBARDO</t>
  </si>
  <si>
    <t>74365929</t>
  </si>
  <si>
    <t>DOMINGUEZ SILVA OBIDIO LEONEL</t>
  </si>
  <si>
    <t>DOMINGUEZ</t>
  </si>
  <si>
    <t>OBIDIO</t>
  </si>
  <si>
    <t>LEONEL</t>
  </si>
  <si>
    <t>74366010</t>
  </si>
  <si>
    <t xml:space="preserve">CARVAJAL ALVAREZ GUSTAVO </t>
  </si>
  <si>
    <t>74375524</t>
  </si>
  <si>
    <t>REYES OLARTE RAFAEL ANTONIO</t>
  </si>
  <si>
    <t>OLARTE</t>
  </si>
  <si>
    <t>74378398</t>
  </si>
  <si>
    <t>ZAMUDIO MENDOZA CAMILO ANDRES</t>
  </si>
  <si>
    <t>ZAMUDIO</t>
  </si>
  <si>
    <t>77029845</t>
  </si>
  <si>
    <t>MIELES HERRERA VICTOR ELOY</t>
  </si>
  <si>
    <t>MIELES</t>
  </si>
  <si>
    <t>VICTOR</t>
  </si>
  <si>
    <t>ELOY</t>
  </si>
  <si>
    <t>77102253</t>
  </si>
  <si>
    <t>MENDOZA HERNANDEZ JULIO ALEXON</t>
  </si>
  <si>
    <t>ALEXON</t>
  </si>
  <si>
    <t>77102583</t>
  </si>
  <si>
    <t>MIER BARRIOS ANTONIO JOSE</t>
  </si>
  <si>
    <t>MIER</t>
  </si>
  <si>
    <t>77105370</t>
  </si>
  <si>
    <t>MENDOZA HERNANDEZ ADIEL ENRIQUE</t>
  </si>
  <si>
    <t>ADIEL</t>
  </si>
  <si>
    <t>77105862</t>
  </si>
  <si>
    <t>GONZALEZ QUERUZ CARLOS ANDRES</t>
  </si>
  <si>
    <t>QUERUZ</t>
  </si>
  <si>
    <t>77190624</t>
  </si>
  <si>
    <t>CAMARGO MAESTRE JOSE FERNANDO</t>
  </si>
  <si>
    <t>MAESTRE</t>
  </si>
  <si>
    <t>77193353</t>
  </si>
  <si>
    <t>CORZO PACHECO CARLOS GUSTAVO</t>
  </si>
  <si>
    <t>CORZO</t>
  </si>
  <si>
    <t>77195081</t>
  </si>
  <si>
    <t>LOBO BARRIOS SAUL ANTONIO</t>
  </si>
  <si>
    <t>LOBO</t>
  </si>
  <si>
    <t>SAUL</t>
  </si>
  <si>
    <t>7723827</t>
  </si>
  <si>
    <t>DUERO LOSADA JAIRO ENRIQUE</t>
  </si>
  <si>
    <t>DUERO</t>
  </si>
  <si>
    <t>78294704</t>
  </si>
  <si>
    <t>CARMONA ARENAS ORLANDO DE JESUS</t>
  </si>
  <si>
    <t>CARMONA</t>
  </si>
  <si>
    <t>ARENAS</t>
  </si>
  <si>
    <t>ORLANDO</t>
  </si>
  <si>
    <t>7853805</t>
  </si>
  <si>
    <t>VERGARA ARCIA CARLOS ALBERTO</t>
  </si>
  <si>
    <t>ARCIA</t>
  </si>
  <si>
    <t>78734716</t>
  </si>
  <si>
    <t>ALVAREZ PACHECO EDER JULIO</t>
  </si>
  <si>
    <t>79046010</t>
  </si>
  <si>
    <t>HERRERA PEREZ LUIS ALFONSO</t>
  </si>
  <si>
    <t>79119606</t>
  </si>
  <si>
    <t xml:space="preserve">MESTIZO TORRES ANTHONI </t>
  </si>
  <si>
    <t>MESTIZO</t>
  </si>
  <si>
    <t>ANTHONI</t>
  </si>
  <si>
    <t>79127197</t>
  </si>
  <si>
    <t>RINCON GUERRERO HECTOR JAIME</t>
  </si>
  <si>
    <t>79387048</t>
  </si>
  <si>
    <t xml:space="preserve">VELASQUEZ TORRES JOSE </t>
  </si>
  <si>
    <t>79409461</t>
  </si>
  <si>
    <t>PAEZ HERNANDEZ LUIS MARCELO</t>
  </si>
  <si>
    <t>MARCELO</t>
  </si>
  <si>
    <t>79425463</t>
  </si>
  <si>
    <t xml:space="preserve">ZAMUDIO AMAYA MAURICIO </t>
  </si>
  <si>
    <t>79432801</t>
  </si>
  <si>
    <t>MEDINA SILVA JOSE WILSON</t>
  </si>
  <si>
    <t>79529744</t>
  </si>
  <si>
    <t>OLAYA LEIVA HARMAN YAMIR</t>
  </si>
  <si>
    <t>HARMAN</t>
  </si>
  <si>
    <t>YAMIR</t>
  </si>
  <si>
    <t>79544945</t>
  </si>
  <si>
    <t xml:space="preserve">GALEANO RUNZA HAROL </t>
  </si>
  <si>
    <t>GALEANO</t>
  </si>
  <si>
    <t>RUNZA</t>
  </si>
  <si>
    <t>79793811</t>
  </si>
  <si>
    <t>BARAJAS LOPEZ JOSE DE LA CRUZ</t>
  </si>
  <si>
    <t>BARAJAS</t>
  </si>
  <si>
    <t>DE LA CRUZ</t>
  </si>
  <si>
    <t>79836141</t>
  </si>
  <si>
    <t>PEREZ MARIN ERVIN CELEDONIO</t>
  </si>
  <si>
    <t>CELEDONIO</t>
  </si>
  <si>
    <t>79847226</t>
  </si>
  <si>
    <t>TORRES GARCIA JUAN FREDY</t>
  </si>
  <si>
    <t>79936294</t>
  </si>
  <si>
    <t>AROCA CONTRERAS WILLIAM JOSE</t>
  </si>
  <si>
    <t>AROCA</t>
  </si>
  <si>
    <t>79940650</t>
  </si>
  <si>
    <t xml:space="preserve">JIMENEZ CARDENAS HENRY </t>
  </si>
  <si>
    <t>79954804</t>
  </si>
  <si>
    <t xml:space="preserve">CARDONA GOMEZ JAIME </t>
  </si>
  <si>
    <t>79966957</t>
  </si>
  <si>
    <t>MUÑOZ MOSQUERA CAMILO ARTURO</t>
  </si>
  <si>
    <t>ARTURO</t>
  </si>
  <si>
    <t>80171698</t>
  </si>
  <si>
    <t>SANCHEZ SALAMANCA JOHN ALEJANDRO</t>
  </si>
  <si>
    <t>80236757</t>
  </si>
  <si>
    <t>MOYA FUQUENE JOSE ANTONIO</t>
  </si>
  <si>
    <t>MOYA</t>
  </si>
  <si>
    <t>CENTRO TRABAJO 11</t>
  </si>
  <si>
    <t>80237525</t>
  </si>
  <si>
    <t>PEÑA RAMOS EDGAR FABIAN</t>
  </si>
  <si>
    <t>PEÑA</t>
  </si>
  <si>
    <t>80312396</t>
  </si>
  <si>
    <t>CORDOBA HILARION JOHN JAIRO</t>
  </si>
  <si>
    <t>HILARION</t>
  </si>
  <si>
    <t>80374272</t>
  </si>
  <si>
    <t xml:space="preserve">PULIDO MORALES GERMAN </t>
  </si>
  <si>
    <t>80382276</t>
  </si>
  <si>
    <t>ACUÑA CIFUENTES GIOVANNY ANDRES</t>
  </si>
  <si>
    <t>CIFUENTES</t>
  </si>
  <si>
    <t>GIOVANNY</t>
  </si>
  <si>
    <t>8049887</t>
  </si>
  <si>
    <t>MIRA VELASQUEZ HORACIO DE JESUS</t>
  </si>
  <si>
    <t>MIRA</t>
  </si>
  <si>
    <t>HORACIO</t>
  </si>
  <si>
    <t>80538110</t>
  </si>
  <si>
    <t xml:space="preserve">DIAZ GALINDO ALEJANDRO </t>
  </si>
  <si>
    <t>80548733</t>
  </si>
  <si>
    <t>ANGARITA MONTANO OMAR ANDRES</t>
  </si>
  <si>
    <t>ANGARITA</t>
  </si>
  <si>
    <t>MONTANO</t>
  </si>
  <si>
    <t>8057843</t>
  </si>
  <si>
    <t>GARCIA MUJICA EDY YONATAN</t>
  </si>
  <si>
    <t>MUJICA</t>
  </si>
  <si>
    <t>EDY</t>
  </si>
  <si>
    <t>YONATAN</t>
  </si>
  <si>
    <t>80749713</t>
  </si>
  <si>
    <t>SANTACRUZ RODRIGUEZ WILMAR GIOVANNY</t>
  </si>
  <si>
    <t>WILMAR</t>
  </si>
  <si>
    <t>80778929</t>
  </si>
  <si>
    <t>MUÑOZ SARMIENTO ALVARO JAVIER</t>
  </si>
  <si>
    <t>80853243</t>
  </si>
  <si>
    <t>CANTOR CHIA IVAN GIOVANNI</t>
  </si>
  <si>
    <t>CANTOR</t>
  </si>
  <si>
    <t>80903004</t>
  </si>
  <si>
    <t xml:space="preserve">GUTIERREZ PIZA JAVIER </t>
  </si>
  <si>
    <t>PIZA</t>
  </si>
  <si>
    <t>80927908</t>
  </si>
  <si>
    <t>RUIZ VEGA SERGIO ARTURO</t>
  </si>
  <si>
    <t>81720749</t>
  </si>
  <si>
    <t>ESPINOSA VERA JORGE ARMANDO</t>
  </si>
  <si>
    <t>ESPINOSA</t>
  </si>
  <si>
    <t>84089797</t>
  </si>
  <si>
    <t>GUZMAN GARAIS GOHAMIR DAVID</t>
  </si>
  <si>
    <t>GUZMAN</t>
  </si>
  <si>
    <t>GARAIS</t>
  </si>
  <si>
    <t>GOHAMIR</t>
  </si>
  <si>
    <t>84090466</t>
  </si>
  <si>
    <t xml:space="preserve">CONDE RODRIGUEZ GUSTAVO </t>
  </si>
  <si>
    <t>CONDE</t>
  </si>
  <si>
    <t>84091650</t>
  </si>
  <si>
    <t>MENCO TABORDA ALEXANDER RICARDO</t>
  </si>
  <si>
    <t>MENCO</t>
  </si>
  <si>
    <t>TABORDA</t>
  </si>
  <si>
    <t>84091886</t>
  </si>
  <si>
    <t>BOLAÑO BENJUMEA JORGE ENRIQUE</t>
  </si>
  <si>
    <t>BOLAÑO</t>
  </si>
  <si>
    <t>BENJUMEA</t>
  </si>
  <si>
    <t>84092083</t>
  </si>
  <si>
    <t>SANCHEZ RADA BILL MOISES</t>
  </si>
  <si>
    <t>RADA</t>
  </si>
  <si>
    <t>BILL</t>
  </si>
  <si>
    <t>MOISES</t>
  </si>
  <si>
    <t>84095255</t>
  </si>
  <si>
    <t>OROZCO RIVERO JOSE LUIS</t>
  </si>
  <si>
    <t>RIVERO</t>
  </si>
  <si>
    <t>8485443</t>
  </si>
  <si>
    <t>AREVALO MEJIA ALDERSON ENRIQUE</t>
  </si>
  <si>
    <t>ALDERSON</t>
  </si>
  <si>
    <t>85127334</t>
  </si>
  <si>
    <t>CERVERA ALVAREZ DARWIN RAFAEL</t>
  </si>
  <si>
    <t>CERVERA</t>
  </si>
  <si>
    <t>DARWIN</t>
  </si>
  <si>
    <t>85127699</t>
  </si>
  <si>
    <t>CANTILLO DE LA ROSA JOSE RAFAEL</t>
  </si>
  <si>
    <t>DE LA ROSA</t>
  </si>
  <si>
    <t>85372586</t>
  </si>
  <si>
    <t>RODRIGUEZ CARRASCAL MANUEL JOSE</t>
  </si>
  <si>
    <t>CARRASCAL</t>
  </si>
  <si>
    <t>85373136</t>
  </si>
  <si>
    <t>AGUIRRE MERINO VICTOR ALFONSO</t>
  </si>
  <si>
    <t>MERINO</t>
  </si>
  <si>
    <t>85476535</t>
  </si>
  <si>
    <t>MEJIA GIRALDO ROBINSON ENRIQUE</t>
  </si>
  <si>
    <t>ROBINSON</t>
  </si>
  <si>
    <t>85487327</t>
  </si>
  <si>
    <t>DIAZ ANAYA ALEXANDER EMILIO</t>
  </si>
  <si>
    <t>86046740</t>
  </si>
  <si>
    <t>PALACIOS ASPRILLA LUIS ALBERTO</t>
  </si>
  <si>
    <t>ASPRILLA</t>
  </si>
  <si>
    <t>8768395</t>
  </si>
  <si>
    <t>JIMENEZ CAMACHO GUSTAVO ALBERTO</t>
  </si>
  <si>
    <t>8780506</t>
  </si>
  <si>
    <t xml:space="preserve">TAPIAS VILLA EMERSON </t>
  </si>
  <si>
    <t>TAPIAS</t>
  </si>
  <si>
    <t>VILLA</t>
  </si>
  <si>
    <t>EMERSON</t>
  </si>
  <si>
    <t>8786816</t>
  </si>
  <si>
    <t>DUARTE VANEGAS EDGARDO JOSE</t>
  </si>
  <si>
    <t>88266713</t>
  </si>
  <si>
    <t xml:space="preserve">FERREIRA RIVERA FERNANDO </t>
  </si>
  <si>
    <t>91215496</t>
  </si>
  <si>
    <t xml:space="preserve">ANTOLINEZ CRUZ EDGAR </t>
  </si>
  <si>
    <t>CRUZ</t>
  </si>
  <si>
    <t>91275909</t>
  </si>
  <si>
    <t xml:space="preserve">REYES GUERRERO LIBARDO </t>
  </si>
  <si>
    <t>91285079</t>
  </si>
  <si>
    <t xml:space="preserve">MARTINEZ GOMEZ HERNAN </t>
  </si>
  <si>
    <t>91444100</t>
  </si>
  <si>
    <t xml:space="preserve">SANTOS RUEDA TEODORO </t>
  </si>
  <si>
    <t>SANTOS</t>
  </si>
  <si>
    <t>TEODORO</t>
  </si>
  <si>
    <t>91474888</t>
  </si>
  <si>
    <t>CANDELA SANDOVAL JHON ARNULFO</t>
  </si>
  <si>
    <t>CANDELA</t>
  </si>
  <si>
    <t>ARNULFO</t>
  </si>
  <si>
    <t>91479398</t>
  </si>
  <si>
    <t>VANEGAS HERRERA JESUS HADAMO</t>
  </si>
  <si>
    <t>HADAMO</t>
  </si>
  <si>
    <t>91491040</t>
  </si>
  <si>
    <t>CORDOBA DUARTE JOSE MARIA</t>
  </si>
  <si>
    <t>91492307</t>
  </si>
  <si>
    <t xml:space="preserve">HERRERA OTALVAREZ ALEXANDER </t>
  </si>
  <si>
    <t>OTALVAREZ</t>
  </si>
  <si>
    <t>9156863</t>
  </si>
  <si>
    <t xml:space="preserve">URBINA BELLO BEDEL </t>
  </si>
  <si>
    <t>URBINA</t>
  </si>
  <si>
    <t>BEDEL</t>
  </si>
  <si>
    <t>9291695</t>
  </si>
  <si>
    <t>ROMERO DIAZ ROBERTO CARLOS</t>
  </si>
  <si>
    <t>ROBERTO</t>
  </si>
  <si>
    <t>93236289</t>
  </si>
  <si>
    <t>APONTE SIERRA FRANCISCO JAVIER</t>
  </si>
  <si>
    <t>APONTE</t>
  </si>
  <si>
    <t>93296912</t>
  </si>
  <si>
    <t>RAMIREZ CASTILLO JESUS EMILIO</t>
  </si>
  <si>
    <t>93371156</t>
  </si>
  <si>
    <t xml:space="preserve">CALDERON SANCHEZ JOHN </t>
  </si>
  <si>
    <t>93371464</t>
  </si>
  <si>
    <t xml:space="preserve">TORRES BETANCOURT ARISTOBULO </t>
  </si>
  <si>
    <t>BETANCOURT</t>
  </si>
  <si>
    <t>ARISTOBULO</t>
  </si>
  <si>
    <t>93371607</t>
  </si>
  <si>
    <t>BERNAL LEAL HELVER GUSTAVO</t>
  </si>
  <si>
    <t>HELVER</t>
  </si>
  <si>
    <t>93373335</t>
  </si>
  <si>
    <t>MORA CUBILLOS JESUS ELKY</t>
  </si>
  <si>
    <t>CUBILLOS</t>
  </si>
  <si>
    <t>ELKY</t>
  </si>
  <si>
    <t>93375393</t>
  </si>
  <si>
    <t>PADILLA ESPINOSA JHON JAIRO</t>
  </si>
  <si>
    <t>93375510</t>
  </si>
  <si>
    <t xml:space="preserve">MORALES TAFUR HENRY </t>
  </si>
  <si>
    <t>TAFUR</t>
  </si>
  <si>
    <t>93377388</t>
  </si>
  <si>
    <t>SAIZ PINEDA HERMES FERNANDO</t>
  </si>
  <si>
    <t>SAIZ</t>
  </si>
  <si>
    <t>PINEDA</t>
  </si>
  <si>
    <t>HERMES</t>
  </si>
  <si>
    <t>93377560</t>
  </si>
  <si>
    <t>ORJUELA SALINAS HUGO NIVELSON</t>
  </si>
  <si>
    <t>SALINAS</t>
  </si>
  <si>
    <t>HUGO</t>
  </si>
  <si>
    <t>NIVELSON</t>
  </si>
  <si>
    <t>93377621</t>
  </si>
  <si>
    <t>CARDONA SANCHEZ JULIO ENRIQUE</t>
  </si>
  <si>
    <t>93382704</t>
  </si>
  <si>
    <t xml:space="preserve">POVEDA TOBAR ROBERT </t>
  </si>
  <si>
    <t>POVEDA</t>
  </si>
  <si>
    <t>TOBAR</t>
  </si>
  <si>
    <t>93392965</t>
  </si>
  <si>
    <t>BERNAL LOZANO JORGE HUMBERTO</t>
  </si>
  <si>
    <t>LOZANO</t>
  </si>
  <si>
    <t>HUMBERTO</t>
  </si>
  <si>
    <t>93403866</t>
  </si>
  <si>
    <t>PARRA DELGADO JOSE GABRIEL</t>
  </si>
  <si>
    <t>DELGADO</t>
  </si>
  <si>
    <t>93407782</t>
  </si>
  <si>
    <t>HERNANDEZ BOMBITA CARLOS ALBERTO</t>
  </si>
  <si>
    <t>BOMBITA</t>
  </si>
  <si>
    <t>93410252</t>
  </si>
  <si>
    <t>GUZMAN PEÑA JOSE LEONARDO</t>
  </si>
  <si>
    <t>9397188</t>
  </si>
  <si>
    <t>CARDENAS FIGUEROA OSCAR ORLANDO</t>
  </si>
  <si>
    <t>FIGUEROA</t>
  </si>
  <si>
    <t>9398292</t>
  </si>
  <si>
    <t>VILLATE GOMEZ LUIS FRANCISCO</t>
  </si>
  <si>
    <t>VILLATE</t>
  </si>
  <si>
    <t>9398574</t>
  </si>
  <si>
    <t xml:space="preserve">GUZMAN BOHADA MAURICIO </t>
  </si>
  <si>
    <t>BOHADA</t>
  </si>
  <si>
    <t>9533113</t>
  </si>
  <si>
    <t>MORENO CASTRO JOSE ANTONIO</t>
  </si>
  <si>
    <t>98483472</t>
  </si>
  <si>
    <t>LOAIZA GOMEZ IVAN DARIO</t>
  </si>
  <si>
    <t>LOAIZA</t>
  </si>
  <si>
    <t>98496427</t>
  </si>
  <si>
    <t>OSORIO BENJUMEA JHON JAIRO</t>
  </si>
  <si>
    <t>98504675</t>
  </si>
  <si>
    <t>ESPINOSA JARAMILLO OVER ALONSO</t>
  </si>
  <si>
    <t>OVER</t>
  </si>
  <si>
    <t>PAGADO</t>
  </si>
  <si>
    <t>DIAZ LEGUIZAMON YEZID ALEJANDRO</t>
  </si>
  <si>
    <t>YEZID</t>
  </si>
  <si>
    <t>HERNANDEZ MERCHAN JONATHAN EDGARDO</t>
  </si>
  <si>
    <t>VILLARREAL MOVILLA GUSTAVO JOSE</t>
  </si>
  <si>
    <t>VILLARREAL</t>
  </si>
  <si>
    <t>CAMARGO VERGEL ANGY PAOLA</t>
  </si>
  <si>
    <t>ANGY</t>
  </si>
  <si>
    <t>SOSA GONZALEZ JOSE DANIEL</t>
  </si>
  <si>
    <t>CERVANTES POLO ANTONY JUNIOR</t>
  </si>
  <si>
    <t>ANTONY</t>
  </si>
  <si>
    <t>TORRES COBO XAVIER ALFONSO</t>
  </si>
  <si>
    <t>XAVIER</t>
  </si>
  <si>
    <t>PUSHAINA IPUANA JUAN DAVID</t>
  </si>
  <si>
    <t>PUSHAINA</t>
  </si>
  <si>
    <t>FUENTES PADILLA ROBINSON RAFAEL</t>
  </si>
  <si>
    <t xml:space="preserve">BALLESTAS PERTUZ ESNEIDER </t>
  </si>
  <si>
    <t>BALLESTAS</t>
  </si>
  <si>
    <t>ISAACS GUERRA MARIA ISABEL</t>
  </si>
  <si>
    <t>ISAACS</t>
  </si>
  <si>
    <t>4429001</t>
  </si>
  <si>
    <t>PADILLA ESPINOSA JOHN JAIRO</t>
  </si>
  <si>
    <t>1018505650</t>
  </si>
  <si>
    <t xml:space="preserve">ZAMUDIO CORDOVA SANTIAGO </t>
  </si>
  <si>
    <t>CORDOVA</t>
  </si>
  <si>
    <t>0000000</t>
  </si>
  <si>
    <t>AFP</t>
  </si>
  <si>
    <t>Suma de Total</t>
  </si>
  <si>
    <t>Total general</t>
  </si>
  <si>
    <t>(en blanco)</t>
  </si>
  <si>
    <t>EPS</t>
  </si>
  <si>
    <t>Suma de Valor Cotización2</t>
  </si>
  <si>
    <t>Administradora2</t>
  </si>
  <si>
    <t>ARL</t>
  </si>
  <si>
    <t>Suma de Valor Cotización3</t>
  </si>
  <si>
    <t>Administradora3</t>
  </si>
  <si>
    <t>CCF</t>
  </si>
  <si>
    <t>Suma de Valor Cotización CCF</t>
  </si>
  <si>
    <t>SENA</t>
  </si>
  <si>
    <t>Suma de Valor Cotización SENA</t>
  </si>
  <si>
    <t>ICBF</t>
  </si>
  <si>
    <t>Suma de Valor Cotización ICBF</t>
  </si>
  <si>
    <t>Tipo</t>
  </si>
  <si>
    <t>Documento</t>
  </si>
  <si>
    <t>Nombre</t>
  </si>
  <si>
    <t>Entidad Cuasada</t>
  </si>
  <si>
    <t>Entidad Pagada</t>
  </si>
  <si>
    <t>Valor Causado</t>
  </si>
  <si>
    <t>Valor Pagado</t>
  </si>
  <si>
    <t>Dif</t>
  </si>
  <si>
    <t>Observacion</t>
  </si>
  <si>
    <t>PENSIÓN</t>
  </si>
  <si>
    <t>SALUD</t>
  </si>
  <si>
    <t>CONCEPTO</t>
  </si>
  <si>
    <t>NOMBRE CONCEPTO</t>
  </si>
  <si>
    <t>VALOR_SALARIAL</t>
  </si>
  <si>
    <t>Cédula identificación</t>
  </si>
  <si>
    <t>CODIGO_DEL_EMPLEADO</t>
  </si>
  <si>
    <t>NOMBRE</t>
  </si>
  <si>
    <t>PRIMER APELLIDO</t>
  </si>
  <si>
    <t>SEGUNDO APELLIDO</t>
  </si>
  <si>
    <t>C396</t>
  </si>
  <si>
    <t>00117E07</t>
  </si>
  <si>
    <t>EDUARDO ENRIQUE</t>
  </si>
  <si>
    <t>00541E07</t>
  </si>
  <si>
    <t>JAIRO ARMANDO</t>
  </si>
  <si>
    <t>00554E07</t>
  </si>
  <si>
    <t>00555E07</t>
  </si>
  <si>
    <t>JESUS ELKY</t>
  </si>
  <si>
    <t>00690E07</t>
  </si>
  <si>
    <t>CLAUDIA LILIANA</t>
  </si>
  <si>
    <t>00772E07</t>
  </si>
  <si>
    <t>NINI JOHANNA</t>
  </si>
  <si>
    <t>02269E07</t>
  </si>
  <si>
    <t>JOSE DAVID</t>
  </si>
  <si>
    <t>02739E07</t>
  </si>
  <si>
    <t>YESID ALEJANDRO</t>
  </si>
  <si>
    <t>C397</t>
  </si>
  <si>
    <t>02455E07</t>
  </si>
  <si>
    <t>C398</t>
  </si>
  <si>
    <t>APORTE SALUD</t>
  </si>
  <si>
    <t>00550E07</t>
  </si>
  <si>
    <t>RODRIGO ALBERTO</t>
  </si>
  <si>
    <t>APORTE PENSION</t>
  </si>
  <si>
    <t>00695E07</t>
  </si>
  <si>
    <t>JAIRO RAMON</t>
  </si>
  <si>
    <t>01841E07</t>
  </si>
  <si>
    <t>JOSE FERNANDO</t>
  </si>
  <si>
    <t>01986E07</t>
  </si>
  <si>
    <t>LUISA FERNANDA</t>
  </si>
  <si>
    <t>02063E07</t>
  </si>
  <si>
    <t>02183E07</t>
  </si>
  <si>
    <t>WILMER YESID</t>
  </si>
  <si>
    <t>FONDO SOLIDARIDAD</t>
  </si>
  <si>
    <t>02284E07</t>
  </si>
  <si>
    <t>YULEMA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</si>
</sst>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#,##0_ ;[Red]\-#,##0\ "/>
    <numFmt numFmtId="167" formatCode="_-* #,##0_-;\-* #,##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1"/>
      <name val="Calibri"/>
      <family val="2"/>
      <scheme val="minor"/>
    </font>
    <font>
      <b/>
      <sz val="10"/>
      <name val="Calibri Light"/>
      <family val="2"/>
      <scheme val="maj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</cellStyleXfs>
  <cellXfs count="21">
    <xf numFmtId="0" fontId="0" fillId="0" borderId="0" xfId="0"/>
    <xf numFmtId="49" fontId="0" fillId="0" borderId="0" xfId="0" applyNumberFormat="1"/>
    <xf numFmtId="10" fontId="0" fillId="0" borderId="0" xfId="0" applyNumberFormat="1"/>
    <xf numFmtId="167" fontId="0" fillId="0" borderId="0" xfId="2" applyNumberFormat="1" applyFont="1"/>
    <xf numFmtId="167" fontId="0" fillId="0" borderId="0" xfId="0" applyNumberFormat="1"/>
    <xf numFmtId="166" fontId="3" fillId="0" borderId="0" xfId="1" applyNumberFormat="1" applyFont="1" applyFill="1"/>
    <xf numFmtId="166" fontId="4" fillId="0" borderId="0" xfId="1" applyNumberFormat="1" applyFont="1" applyFill="1"/>
    <xf numFmtId="0" fontId="7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0" fillId="3" borderId="0" xfId="0" applyFill="1"/>
    <xf numFmtId="0" fontId="0" fillId="4" borderId="0" xfId="0" applyFill="1"/>
    <xf numFmtId="166" fontId="0" fillId="0" borderId="0" xfId="0" applyNumberFormat="1"/>
    <xf numFmtId="0" fontId="0" fillId="5" borderId="0" xfId="0" applyFill="1"/>
    <xf numFmtId="0" fontId="9" fillId="0" borderId="1" xfId="0" applyFont="1" applyBorder="1"/>
    <xf numFmtId="4" fontId="9" fillId="0" borderId="1" xfId="0" applyNumberFormat="1" applyFont="1" applyBorder="1"/>
    <xf numFmtId="4" fontId="9" fillId="2" borderId="1" xfId="0" applyNumberFormat="1" applyFont="1" applyFill="1" applyBorder="1"/>
    <xf numFmtId="0" fontId="0" fillId="0" borderId="0" xfId="0" applyAlignment="1">
      <alignment horizontal="center"/>
    </xf>
  </cellXfs>
  <cellStyles count="4">
    <cellStyle name="Millares" xfId="2" builtinId="3"/>
    <cellStyle name="Millares [0]" xfId="1" builtinId="6"/>
    <cellStyle name="Normal" xfId="0" builtinId="0"/>
    <cellStyle name="Normal 2" xfId="3" xr:uid="{19E6E5FF-9A2A-4BC0-BDFF-57080D225CB4}"/>
  </cellStyles>
  <dxfs count="111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_-* #,##0.00_-;\-* #,##0.0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issy Preciado" refreshedDate="46094.851430439812" createdVersion="8" refreshedVersion="8" minRefreshableVersion="3" recordCount="1291" xr:uid="{CBFB5502-0931-4578-8028-8F26E7F6E8D1}">
  <cacheSource type="worksheet">
    <worksheetSource ref="A1:CU1292" sheet="CauPag"/>
  </cacheSource>
  <cacheFields count="99">
    <cacheField name="No." numFmtId="0">
      <sharedItems count="2">
        <s v="CAUSADO"/>
        <s v="PAGADO"/>
      </sharedItems>
    </cacheField>
    <cacheField name="Tipo ID" numFmtId="0">
      <sharedItems/>
    </cacheField>
    <cacheField name="No ID" numFmtId="0">
      <sharedItems count="439">
        <s v="1000621869"/>
        <s v="1000790715"/>
        <s v="1001798417"/>
        <s v="1001836532"/>
        <s v="1002143370"/>
        <s v="1002487151"/>
        <s v="1002559775"/>
        <s v="1003252787"/>
        <s v="1003557217"/>
        <s v="1003736605"/>
        <s v="1003903787"/>
        <s v="1004271898"/>
        <s v="1004308195"/>
        <s v="1006713857"/>
        <s v="1006727380"/>
        <s v="1006733914"/>
        <s v="1006734131"/>
        <s v="1006734275"/>
        <s v="1006734430"/>
        <s v="1006734693"/>
        <s v="1006734779"/>
        <s v="1006817439"/>
        <s v="1007855319"/>
        <s v="1010049805"/>
        <s v="1010102552"/>
        <s v="1011020"/>
        <s v="1012373455"/>
        <s v="1013103308"/>
        <s v="1013642764"/>
        <s v="1013652019"/>
        <s v="1013658036"/>
        <s v="1014201150"/>
        <s v="1014237269"/>
        <s v="1014246981"/>
        <s v="1014292676"/>
        <s v="1015436314"/>
        <s v="1016003023"/>
        <s v="1016008194"/>
        <s v="1018404223"/>
        <s v="1019021939"/>
        <s v="1019068610"/>
        <s v="1019088253"/>
        <s v="1020712729"/>
        <s v="1020761014"/>
        <s v="1020844204"/>
        <s v="1022344711"/>
        <s v="1022407941"/>
        <s v="1022934783"/>
        <s v="1023882608"/>
        <s v="1023927871"/>
        <s v="1023965099"/>
        <s v="1024573844"/>
        <s v="1024588921"/>
        <s v="1024599648"/>
        <s v="1026131564"/>
        <s v="1026565492"/>
        <s v="1030559818"/>
        <s v="1030591724"/>
        <s v="1030601355"/>
        <s v="1030605434"/>
        <s v="1030624661"/>
        <s v="1032392951"/>
        <s v="1032402045"/>
        <s v="1032403143"/>
        <s v="1032445329"/>
        <s v="1032470870"/>
        <s v="1032499319"/>
        <s v="1036964545"/>
        <s v="1039688356"/>
        <s v="1041971859"/>
        <s v="1042420943"/>
        <s v="1043605841"/>
        <s v="1043848010"/>
        <s v="1044609385"/>
        <s v="1047371050"/>
        <s v="1047375877"/>
        <s v="1047390941"/>
        <s v="1047466218"/>
        <s v="1048215382"/>
        <s v="1049603450"/>
        <s v="1049649238"/>
        <s v="10497017"/>
        <s v="1049935949"/>
        <s v="1050200050"/>
        <s v="1050200118"/>
        <s v="1050200240"/>
        <s v="1050200693"/>
        <s v="1050200822"/>
        <s v="1050200848"/>
        <s v="1050201056"/>
        <s v="1051444380"/>
        <s v="1051447487"/>
        <s v="1051656145"/>
        <s v="1051670217"/>
        <s v="1051676834"/>
        <s v="1051679578"/>
        <s v="1051680778"/>
        <s v="1052383656"/>
        <s v="1052953775"/>
        <s v="1057413234"/>
        <s v="1057582752"/>
        <s v="1057591543"/>
        <s v="1057592503"/>
        <s v="1061046957"/>
        <s v="1062328066"/>
        <s v="1063482070"/>
        <s v="1064113197"/>
        <s v="1064801105"/>
        <s v="1064801691"/>
        <s v="1065134281"/>
        <s v="1065593017"/>
        <s v="1065848632"/>
        <s v="1065900773"/>
        <s v="1067815675"/>
        <s v="1069487851"/>
        <s v="1069765695"/>
        <s v="1070009253"/>
        <s v="1070020258"/>
        <s v="1070304509"/>
        <s v="1070617065"/>
        <s v="1070967220"/>
        <s v="1070988497"/>
        <s v="1071941083"/>
        <s v="1072188863"/>
        <s v="1073167599"/>
        <s v="1073323526"/>
        <s v="1073326137"/>
        <s v="1073384167"/>
        <s v="1073719324"/>
        <s v="1075226117"/>
        <s v="1075655385"/>
        <s v="1075676208"/>
        <s v="1075689500"/>
        <s v="1076243582"/>
        <s v="1076501961"/>
        <s v="1076739887"/>
        <s v="1077085712"/>
        <s v="1077966195"/>
        <s v="1081272545"/>
        <s v="1081806166"/>
        <s v="1081825041"/>
        <s v="1081825524"/>
        <s v="1082866503"/>
        <s v="1082917859"/>
        <s v="1082942279"/>
        <s v="1082948048"/>
        <s v="1083456805"/>
        <s v="1085043386"/>
        <s v="1088322674"/>
        <s v="1091052333"/>
        <s v="1093749089"/>
        <s v="1095786524"/>
        <s v="1096196927"/>
        <s v="1096217252"/>
        <s v="1096228888"/>
        <s v="1097396625"/>
        <s v="1098639080"/>
        <s v="1098748730"/>
        <s v="1105614035"/>
        <s v="1106396226"/>
        <s v="1106485447"/>
        <s v="1109291197"/>
        <s v="1110454472"/>
        <s v="1110501486"/>
        <s v="1110520877"/>
        <s v="1115941363"/>
        <s v="1118805884"/>
        <s v="1118826292"/>
        <s v="1120739868"/>
        <s v="1120740098"/>
        <s v="1120740943"/>
        <s v="1120743119"/>
        <s v="1120747316"/>
        <s v="1120747452"/>
        <s v="1120748602"/>
        <s v="1121040917"/>
        <s v="1121041870"/>
        <s v="1121043380"/>
        <s v="1121296022"/>
        <s v="1121296318"/>
        <s v="1121296599"/>
        <s v="1121296817"/>
        <s v="1121297352"/>
        <s v="1121298500"/>
        <s v="1121298863"/>
        <s v="1121299035"/>
        <s v="1121301353"/>
        <s v="1121301863"/>
        <s v="1121303103"/>
        <s v="1121304388"/>
        <s v="1121331877"/>
        <s v="1121921029"/>
        <s v="1122397878"/>
        <s v="1122408297"/>
        <s v="1122410625"/>
        <s v="1122413663"/>
        <s v="1122810248"/>
        <s v="1122814334"/>
        <s v="1122814726"/>
        <s v="1122820197"/>
        <s v="1123410808"/>
        <s v="11234131"/>
        <s v="1123730911"/>
        <s v="1123970488"/>
        <s v="1124029832"/>
        <s v="1124412954"/>
        <s v="1128044651"/>
        <s v="1128060281"/>
        <s v="1128168040"/>
        <s v="1128436217"/>
        <s v="1128625267"/>
        <s v="1129515560"/>
        <s v="1130587173"/>
        <s v="1130629273"/>
        <s v="11338086"/>
        <s v="11338825"/>
        <s v="11339799"/>
        <s v="11347571"/>
        <s v="11348515"/>
        <s v="1143338608"/>
        <s v="1143350898"/>
        <s v="1143390053"/>
        <s v="1144148607"/>
        <s v="11442086"/>
        <s v="11442343"/>
        <s v="1192768905"/>
        <s v="1192784397"/>
        <s v="1192787833"/>
        <s v="1192818361"/>
        <s v="1192897058"/>
        <s v="1192903372"/>
        <s v="1192921948"/>
        <s v="1193033089"/>
        <s v="1193131012"/>
        <s v="1193428618"/>
        <s v="1193485217"/>
        <s v="1193544479"/>
        <s v="12280057"/>
        <s v="1233911685"/>
        <s v="1235253332"/>
        <s v="12555524"/>
        <s v="12625529"/>
        <s v="12637852"/>
        <s v="13495095"/>
        <s v="13568418"/>
        <s v="13851139"/>
        <s v="13853972"/>
        <s v="13894001"/>
        <s v="13894289"/>
        <s v="14107065"/>
        <s v="14296590"/>
        <s v="16895419"/>
        <s v="17956834"/>
        <s v="17957153"/>
        <s v="17957880"/>
        <s v="17959473"/>
        <s v="17973465"/>
        <s v="17976741"/>
        <s v="18004125"/>
        <s v="18973655"/>
        <s v="19593689"/>
        <s v="19593870"/>
        <s v="19595600"/>
        <s v="26996654"/>
        <s v="30236463"/>
        <s v="38285069"/>
        <s v="39786135"/>
        <s v="4079347"/>
        <s v="4079374"/>
        <s v="4079415"/>
        <s v="4079437"/>
        <s v="4087336"/>
        <s v="4147388"/>
        <s v="4165737"/>
        <s v="4165990"/>
        <s v="4178863"/>
        <s v="43261488"/>
        <s v="45545044"/>
        <s v="46377021"/>
        <s v="4912263"/>
        <s v="49719359"/>
        <s v="49794465"/>
        <s v="5135410"/>
        <s v="5176827"/>
        <s v="52169776"/>
        <s v="52267698"/>
        <s v="52286942"/>
        <s v="52428565"/>
        <s v="52530161"/>
        <s v="52585391"/>
        <s v="52828229"/>
        <s v="52854295"/>
        <s v="52889710"/>
        <s v="52978954"/>
        <s v="5607565"/>
        <s v="5793656"/>
        <s v="5829452"/>
        <s v="5842924"/>
        <s v="59313414"/>
        <s v="60446101"/>
        <s v="64550520"/>
        <s v="65631300"/>
        <s v="6565638"/>
        <s v="65709021"/>
        <s v="6669741"/>
        <s v="6686790"/>
        <s v="6804041"/>
        <s v="6805232"/>
        <s v="70326398"/>
        <s v="71191810"/>
        <s v="71193007"/>
        <s v="71627222"/>
        <s v="7174635"/>
        <s v="72143920"/>
        <s v="72173200"/>
        <s v="72203401"/>
        <s v="72226580"/>
        <s v="7225978"/>
        <s v="7227003"/>
        <s v="72279844"/>
        <s v="7229763"/>
        <s v="72304210"/>
        <s v="72307119"/>
        <s v="73007610"/>
        <s v="73144545"/>
        <s v="73150886"/>
        <s v="73194226"/>
        <s v="73194884"/>
        <s v="73199286"/>
        <s v="73211827"/>
        <s v="73215997"/>
        <s v="73271251"/>
        <s v="74082074"/>
        <s v="74180431"/>
        <s v="74180780"/>
        <s v="74180943"/>
        <s v="74301188"/>
        <s v="74324181"/>
        <s v="74365756"/>
        <s v="74365929"/>
        <s v="74366010"/>
        <s v="74375524"/>
        <s v="74378398"/>
        <s v="77029845"/>
        <s v="77102253"/>
        <s v="77102583"/>
        <s v="77105370"/>
        <s v="77105862"/>
        <s v="77190624"/>
        <s v="77193353"/>
        <s v="77195081"/>
        <s v="7723827"/>
        <s v="78294704"/>
        <s v="7853805"/>
        <s v="78734716"/>
        <s v="79046010"/>
        <s v="79119606"/>
        <s v="79127197"/>
        <s v="79387048"/>
        <s v="79409461"/>
        <s v="79425463"/>
        <s v="79432801"/>
        <s v="79529744"/>
        <s v="79544945"/>
        <s v="79793811"/>
        <s v="79836141"/>
        <s v="79847226"/>
        <s v="79936294"/>
        <s v="79940650"/>
        <s v="79954804"/>
        <s v="79966957"/>
        <s v="80171698"/>
        <s v="80236757"/>
        <s v="80237525"/>
        <s v="80312396"/>
        <s v="80374272"/>
        <s v="80382276"/>
        <s v="8049887"/>
        <s v="80538110"/>
        <s v="80548733"/>
        <s v="8057843"/>
        <s v="80749713"/>
        <s v="80778929"/>
        <s v="80853243"/>
        <s v="80903004"/>
        <s v="80927908"/>
        <s v="81720749"/>
        <s v="84089797"/>
        <s v="84090466"/>
        <s v="84091650"/>
        <s v="84091886"/>
        <s v="84092083"/>
        <s v="84095255"/>
        <s v="8485443"/>
        <s v="85127334"/>
        <s v="85127699"/>
        <s v="85372586"/>
        <s v="85373136"/>
        <s v="85476535"/>
        <s v="85487327"/>
        <s v="86046740"/>
        <s v="8768395"/>
        <s v="8780506"/>
        <s v="8786816"/>
        <s v="88266713"/>
        <s v="91215496"/>
        <s v="91275909"/>
        <s v="91285079"/>
        <s v="91444100"/>
        <s v="91474888"/>
        <s v="91479398"/>
        <s v="91491040"/>
        <s v="91492307"/>
        <s v="9156863"/>
        <s v="9291695"/>
        <s v="93236289"/>
        <s v="93296912"/>
        <s v="93371156"/>
        <s v="93371464"/>
        <s v="93371607"/>
        <s v="93373335"/>
        <s v="93375393"/>
        <s v="93375510"/>
        <s v="93377388"/>
        <s v="93377560"/>
        <s v="93377621"/>
        <s v="93382704"/>
        <s v="93392965"/>
        <s v="93403866"/>
        <s v="93407782"/>
        <s v="93410252"/>
        <s v="9397188"/>
        <s v="9398292"/>
        <s v="9398574"/>
        <s v="9533113"/>
        <s v="98483472"/>
        <s v="98496427"/>
        <s v="98504675"/>
        <s v="1018505650"/>
      </sharedItems>
    </cacheField>
    <cacheField name="APELLIDOS Y NOMBRES" numFmtId="0">
      <sharedItems count="451">
        <s v="MENDEZ ROJAS CARLOS ALBERTO"/>
        <s v="MOSQUERA MOSQUERA BRAYAN STIVEN"/>
        <s v="RUA MANGA CARLOS MARIO"/>
        <s v="SANTANA VIDES OSCAR JUNIOR"/>
        <s v="CANTILLO PERTUZ GIANTKHRLOOS G."/>
        <s v="ZABALETA SALCEDO NEL ENRIQUE"/>
        <s v="SANCHEZ VARGAS OMAR ALEJANDRO"/>
        <s v="MANGA FRIA JUAN LUIS"/>
        <s v="OSORIO HERNANDEZ KEVIN ALBERTO"/>
        <s v="ALVAREZ CORREA JOSE ANGEL"/>
        <s v="MALDONADO LOSADA EDINSON ANDRES"/>
        <s v="DE AVILA ARRIETA BRAYAN RAFAEL"/>
        <s v="RODRIGUEZ CONTRERAS BLADIMIR JOSE"/>
        <s v="PACHECO AGUDELO DANIEL JOSE"/>
        <s v="CERVANTES MUÑOZ ONER DAVID"/>
        <s v="CUEVA CONTRERAS EDAIR ALEJANDRO"/>
        <s v="GOMEZ ORTEGA JEINER JOSE"/>
        <s v="BRITO BRITO NEIDER IVAN"/>
        <s v="MARTINEZ LARA CAMILO ENRIQUE"/>
        <s v="IPUANA URIANA SAMIR ANTONIO"/>
        <s v="RIZO RIVAS ANDRES MANUEL"/>
        <s v="DIAZ LOPEZ JAIME LUIS"/>
        <s v="MENDOZA VALDEZ ARAMIS "/>
        <s v="MEJIA SIERRA ABRAHAN JOSE"/>
        <s v="SIERRA CASTRO JUAN DAVID"/>
        <s v="HEREDIA MENDOZA HECTOR YOHAN"/>
        <s v="VARGAS PARRA JUAN MANUEL"/>
        <s v="CORREA SANCHEZ LUISA FERNANDA"/>
        <s v="GIRALDO MONSALVE JONATHAN ALEXANDER"/>
        <s v="VEGA LARA IVAN ENRIQUE"/>
        <s v="CONTRERAS LOPEZ MARIA CLARA"/>
        <s v="MATEUS RUEDA DANIEL RICARDO"/>
        <s v="MORENO MONTAÑO JENIFER "/>
        <s v="SAENZ VARGAS FABIO MAURICIO"/>
        <s v="QUIROGA CASTIBLANCO ANDRES EDUARDO"/>
        <s v="VELASQUEZ SANTIAGO NICOLAS "/>
        <s v="TORRES SONZA ANDRES "/>
        <s v="MORENO QUINTANA IVAN ERNESTO"/>
        <s v="CASTILLO DUARTE DEIBY HERNAN"/>
        <s v="RAMIREZ RIVADENEIRA EDUARDO ENRIQUE"/>
        <s v="QUIJANO ALARCON JOHAN STIVEN"/>
        <s v="ANTOLINEZ GARCIA CAMILO ANDRES"/>
        <s v="OLMOS ROMERO NELSON BERNARDO"/>
        <s v="OSPINA VILLAMIL ALEJANDRA "/>
        <s v="MONTOYA VILLAMIZAR MARIA CAMILA"/>
        <s v="MALDONADO MARTINEZ EDWARD ALEXANDER"/>
        <s v="VEGA SANCHEZ DANILO ESTEBAN"/>
        <s v="OVALLE LINARES RAMIRO "/>
        <s v="MARTINEZ NEIRA SANDRA MILENA"/>
        <s v="BECERRA MELGAREJO KAREN JULIETH"/>
        <s v="SACHICA D'ALEMAN KELLY DANIELA"/>
        <s v="BUSTOS OVIEDO OSCAR EDUARDO"/>
        <s v="MARTINEZ JARAMILLO ANGIE XIOMARA"/>
        <s v="SANCHEZ SOSA DUVAN DAVID"/>
        <s v="PELAEZ TORRES NELSON ALCIDES"/>
        <s v="AMAYA GARCIA DAVID FABIAN"/>
        <s v="SANCHEZ SUAREZ ROBERT JOSE"/>
        <s v="MARTIN RIOS LUIS ANDRES"/>
        <s v="RIVERA GOMEZ ANGIE LORENA"/>
        <s v="LOPEZ HURTADO CARLOS ALEXANDER"/>
        <s v="TAPIA LEAL HARINSON LEONARDO"/>
        <s v="PALACIOS ORJUELA JENNY ALEJANDRA"/>
        <s v="OYUELA RODRIGUEZ JUAN PABLO"/>
        <s v="DIAZ LEGUIZAMON YESID ALEJANDRO"/>
        <s v="MOLINA PAEZ JOHN EDINSSON"/>
        <s v="GIRALDO RESTREPO LUISA FERNANDA"/>
        <s v="PAVA NIÑO ANGIE HASBLEIDY"/>
        <s v="MORALES VANEGAS MARIA FERNANDA"/>
        <s v="SUAREZ CORDOBA JHONATAN DE JESUS"/>
        <s v="CASTRO MACEA EFREN "/>
        <s v="HERNANDEZ MERCHAN JHONATHAN EDGARDO"/>
        <s v="POLO CABALLERO ESTEFER JOSE"/>
        <s v="SANDOVAL RODRIGUEZ IRON LUIS"/>
        <s v="DIAZ ESCOBAR FERNANDO JOSE"/>
        <s v="SALAS GUERRA RONAL RAFAEL"/>
        <s v="PADILLA PALOMINO HENRY "/>
        <s v="GOMEZ SIERRA OSWALDO "/>
        <s v="VILLAREAL MOVILLA GUSTAVO JOSE"/>
        <s v="SANES ANAYA STIVENSON JOSE"/>
        <s v="SUAREZ MENDOZA WILLIAM RICARDO"/>
        <s v="QUIROZ ROMERO DANIEL FERNANDO"/>
        <s v="LASPRILLA BALANTA HELMER ALEXANDER"/>
        <s v="GUARDO PUELLO YOIVER "/>
        <s v="ESTEPA REYES EDISON "/>
        <s v="CARVAJAL ALVAREZ CARLOS "/>
        <s v="AMAYA CUCAITA GIOVANY ANTONIO"/>
        <s v="CUY CUY JOSE ALBEIRO"/>
        <s v="ALVAREZ NIÑO HENRY ISIDRO"/>
        <s v="VEGA LARA DUVAN FELIPE"/>
        <s v="TIGA RODRIGUEZ JHORDAN SNEIDER"/>
        <s v="AHUMEDO CARABALLO LUIS ALFREDO"/>
        <s v="RODRIGUEZ OROZCO JOSE GUILLERMO"/>
        <s v="ECHAVEZ VASQUEZ ALVARO JOSE"/>
        <s v="ECHAVEZ VASQUEZ JOSE DANIEL"/>
        <s v="ECHAVEZ AREVALO RICARDO "/>
        <s v="CABRALES GALVAN YAN CARLOS"/>
        <s v="CABRALES GALVAN FRANKLIN YOAN"/>
        <s v="ROMERO MARTINEZ JENNY PAOLA"/>
        <s v="ZABALA RICARDO LEONARDO JOSE"/>
        <s v="CARDENAS PAEZ DANIEL STEVEN"/>
        <s v="MORA DIAZ JHONNATAN EDIZON"/>
        <s v="VELA RODAS KEVIN STEVENSON"/>
        <s v="FAGUA SALAZAR JULIAN "/>
        <s v="FERNANDEZ CONTRERAS DIEGO FERNANDO"/>
        <s v="QUIGUATENGO ANDELA EIDER "/>
        <s v="OSPINO PALOMINO YILMAR "/>
        <s v="GUERRERO NIETO PITER MAICOL"/>
        <s v="CUADRO ARIAS FABIAN ANDRES"/>
        <s v="FLOREZ CAMACHO DEIVYS JOSE"/>
        <s v="RODRIGUEZ CONTRERAS DANIEL ALFONSO"/>
        <s v="PLATA LOPEZ EYRA MARCELA"/>
        <s v="ARISTIZABAL CORONADO ARLIN JOSE"/>
        <s v="BALLESTEROS QUINTERO WILMER YESID"/>
        <s v="TORRES ZAMBRANO CARLOS ALFREDO"/>
        <s v="PEREIRA VILLEGAS YONIS MANUEL"/>
        <s v="GALINDO DIMATE STIVEN GIOVANY"/>
        <s v="BELLO RODRIGUEZ DANY EDILBERTO"/>
        <s v="SANABRIA GUIO JUAN MANUEL"/>
        <s v="SANCHEZ PENAGOS WILSON ENRIQUE"/>
        <s v="ORTEGA RODRIGUEZ CARLOS AUGUSTO"/>
        <s v="AGUIRRE MARIN ERIKA PAOLA"/>
        <s v="BARON SILVA ANGELA MARCELA"/>
        <s v="SALCEDO BARAHONA DIEGO ENRIQUE"/>
        <s v="GUERRERO GOMEZ LUIS YEISON"/>
        <s v="PINO VACA JUAN FELIPE"/>
        <s v="GONZALEZ GUTIERREZ GABRIEL ANTONIO"/>
        <s v="CASTILLO QUINCHIA FREDY MANUEL"/>
        <s v="RAMIREZ BUSTOS CARLOS ANTONIO"/>
        <s v="RUIZ TORRES ANDRES FELIPE"/>
        <s v="RONDON PRADA JOHN ALEXANDER"/>
        <s v="RODRIGUEZ LIZARAZO CARLOS ANDRES"/>
        <s v="DUARTE SALAZAR MIGUEL ANGEL"/>
        <s v="CAMARGO VERGEL ANGIE PAOLA"/>
        <s v="ROJAS SIERRA VRIYI YULEY"/>
        <s v="VALDERRAMA CHIMONJA GEOVANNY ANDRES"/>
        <s v="CAICEDO QUIMBAY PAULA YOHANA"/>
        <s v="PUENTES FLOREZ CLAUDIA LILIANA"/>
        <s v="AVILA BUITRAGO JULIE PAULINE"/>
        <s v="BURBANO BUESAQUILLO MARYORY DANIELA"/>
        <s v="LOPEZ LARA MARLON JAVIER"/>
        <s v="ROMO CERVANTES IVAN DAVID"/>
        <s v="ARZUAGA CARIZABALO CARLOS MARIO"/>
        <s v="SOSA GONZALES JOSE DANIEL"/>
        <s v="QUIROZ GARCIA JOSE LUIS"/>
        <s v="CERVANTES POLO ANTHONY JUNIOR"/>
        <s v="ANDRADE MUNERA JESUS ALBERTO"/>
        <s v="CANTILLO SANTOYA JORGE SAMIR"/>
        <s v="MERIÑO MARTINEZ SAMUEL ENRIQUE"/>
        <s v="TORO LADINO MIGUEL "/>
        <s v="ORTIZ VERA ERVIN ARLEY"/>
        <s v="ASCANIO MORA YEISON ALEXIS"/>
        <s v="CASTILLO VALDES JAIR "/>
        <s v="VERA BENAVIDES JHON JADER"/>
        <s v="MONTOYA GAVIRIA JORGE ANDRES"/>
        <s v="VIDAL LOPEZ EDILBERTO JOSE"/>
        <s v="RAMIREZ OSPINA JULIAN ADOLFO"/>
        <s v="MARIN FERREIRA NINI JOHANNA"/>
        <s v="SANDOVAL SUAREZ ANDRES CAMILO"/>
        <s v="SALAMANCA URREGO RAUL STIDWAR"/>
        <s v="HOMEZ GONZALEZ JUAN MARTIN"/>
        <s v="BEJARANO PEREZ WILBER FERLEY"/>
        <s v="TANGARIFE OJEDA WILDER JAVIER"/>
        <s v="ROMERO ARIAS CRISTIAN HAROL"/>
        <s v="SERRATO ARIAS WILLIAM ALEXANDER"/>
        <s v="DIAZ HERRERA FABER ANDREY"/>
        <s v="MORENO DUCUARA ONEIDER "/>
        <s v="MOSCOTE CASTRO EFREN "/>
        <s v="SANDOVAL ZAPATEIRO HENRRY ALEXANDER"/>
        <s v="MILLIAN PINTO SANDRA MILENA"/>
        <s v="MENDOZA SIERRA ELBERT "/>
        <s v="CASTILLO JARABA WILSON OMAR"/>
        <s v="OÑATE PACHECO ANGEL DAVID"/>
        <s v="CASTRO SALTAREN JORGE YAIR"/>
        <s v="TORRES COBO XABIER ALFONSO"/>
        <s v="ARRIETA NIEVES JESUS EDUARDO"/>
        <s v="NIETO EPINAYU YOJANER ANDRES"/>
        <s v="FERNANDEZ DAZA ALVARO JAVIER"/>
        <s v="CAMPO DE LIMA LUIS CARLOS"/>
        <s v="PUELLO MADERA FRANCISCO JAVIER"/>
        <s v="OÑATE VALDEBLANQUEZ YOIMER JASIR"/>
        <s v="ORTIZ LUQUE LUIS FABIAN"/>
        <s v="ORTIZ GUAURIYU CARLOS ANTONIO"/>
        <s v="PUCHAINA IPUANA JUAN DAVID"/>
        <s v="FUENTES PADILLA ROBINSO RAFAEL"/>
        <s v="VALDEBLANQUEZ DUARTE JORGE ELIECER"/>
        <s v="ALMANZA CUEVA EDER MANUEL"/>
        <s v="URIYU RAMIREZ JHONY "/>
        <s v="LOPEZ BARRANCO CARLOS MARIO"/>
        <s v="DE ARMAS GOMEZ EDILFREDO "/>
        <s v="LUQUEZ ROYERO GABRIEL DAVID"/>
        <s v="OLIVELLA CORDOBA FERNANDO AUGUSTO"/>
        <s v="SAENZ SUAREZ JULIETH FERNANDA"/>
        <s v="GAMEZ PEÑARANDA CARLOS JUNIOR"/>
        <s v="BALLESTA PERTUZ ESNEIDER "/>
        <s v="SARMIENTO DAZA CARLOS DARIO"/>
        <s v="ARGUELLES BRITO ANDERSON YESID"/>
        <s v="YEPES TOLOZA ALI DAVID"/>
        <s v="CAMPUZANO BELTRAN ELIO ENRIQUE"/>
        <s v="BRITO PUSAINA ALDO ALBERTO"/>
        <s v="VIDAL IPUANA FADUL ANDRES"/>
        <s v="CURVELO TRILLO FRANCISCO ANTONIO"/>
        <s v="AVELLANEDA CHOACHI JUAN CARLOS"/>
        <s v="MONTERO DIAZ BERNARDO ALFREDO"/>
        <s v="MORON PINTO HENRY DAVID"/>
        <s v="LOPEZ FERNANDEZ JOSE JAFETH"/>
        <s v="JARAMILLO AGUILAR IVAN ALEXANDER"/>
        <s v="ARROYO SANMARTIN JOHAN RICARDO"/>
        <s v="ROMERO AVILA YORLAN MANUEL"/>
        <s v="MEJIA MEDINA LUISA FERNANDA"/>
        <s v="VARGAS BERNAL OSWALDO JOSE"/>
        <s v="ZABALA OCAMPO MARIA BERENICE"/>
        <s v="MANOTAS BARRIOS JAIR ANTONIO"/>
        <s v="RODRIGUEZ HURTADO LINA MARIA"/>
        <s v="CERON GUTIERREZ LUIS EFREN"/>
        <s v="SARMIENTO CASTILLO GERMAN "/>
        <s v="PRIETO AMEZQUITA LUIS EDUARDO"/>
        <s v="GONZALEZ GARZON MARCO ANTONIO"/>
        <s v="ALVAREZ CAÑON CARLOS EFREN"/>
        <s v="ALONSO SANTANA WILSON OSWALDO"/>
        <s v="GUERRERO PAREDES JORGE "/>
        <s v="VILLALOBOS DE LA BARRERA ERWIN EMILIO"/>
        <s v="RAMIREZ GAVIRIA DUVAN ENRIQUE"/>
        <s v="MANRIQUE QUINTERO JOSE CONRADO"/>
        <s v="OBANDO CORTES LUIS EDSON"/>
        <s v="MATEUS ALMONACID GIOVANNI FRANCESCO"/>
        <s v="BRITO EPIAYU ARLEY ALFREDO"/>
        <s v="EPIAYU EPIAYU JOSE ESNEIDER"/>
        <s v="VIDAL IPUANA JUAN SEBASTIAN"/>
        <s v="SARMIENTO DAZA SANTIAGO "/>
        <s v="ARREGOCES USTATE MAURICIO ALBERTO"/>
        <s v="SOTO EPIAYU NOLVER SEGUNDO"/>
        <s v="HERNANDEZ BERNAL DANIEL "/>
        <s v="ROMERO MELO DANIEL ALEJANDRO"/>
        <s v="ALMANZA BRANGO WILLIAM DE JESUS"/>
        <s v="EPINAYU SAJAUT JEFREY ALBERTO"/>
        <s v="VIDAL URIANA FABIAN CAMILO"/>
        <s v="PASTRANA PASTRANA CARLOS MARIO"/>
        <s v="NUÑEZ POLANIA CRISTIAN MANUEL"/>
        <s v="RODRIGUEZ AMAYA WILKEN NAWELL"/>
        <s v="JIMENEZ MORENO JUAN CARLOS"/>
        <s v="MARTINEZ REYES ALVARO ENRIQUE"/>
        <s v="RUA VILLALOBOS FABIAN DE JESUS"/>
        <s v="SARMIENTO RIVAS JULIO JOSE"/>
        <s v="JAIMES BALLESTEROS JUAN CARLOS AUGUSTO"/>
        <s v="PEREZ ESPEJO JOSE DANIEL"/>
        <s v="PEREZ URREA REMBERTO "/>
        <s v="DAZA MACARENO RAFAEL SEGUNDO"/>
        <s v="PORRAS RAMIREZ LAUREANO "/>
        <s v="HERRERA  ANDRES "/>
        <s v="CARRILLO AGUDELO CARLOS ALBERTO"/>
        <s v="RAMIREZ  JHOJAN ERIZON"/>
        <s v="GONZALEZ MURILLO EDGAR HERNAN"/>
        <s v="CAMPO BRITO EFRAIN FRANCISCO"/>
        <s v="ROJAS GUERRA LUIS DAVID"/>
        <s v="FORERO CALDERON EDIER "/>
        <s v="EPINAYU SAJAUT JOHAN DAVID"/>
        <s v="ARGOTE DUARTE LUIS ALFREDO"/>
        <s v="FUENTES CORDOBA RAFAEL ENRIQUE"/>
        <s v="ACUÑA MANRIQUE JOSE JOAQUIN"/>
        <s v="RONDANO MARTINEZ ELIMELETH "/>
        <s v="CASTRO GARCIA MILTON RAFAEL"/>
        <s v="MEJIA LOPEZ DIDIER GREGORIO"/>
        <s v="PALACIO GONZALEZ DEIBER "/>
        <s v="MENDOZA SIERRA EILIS "/>
        <s v="ARANGO GRISALES SANDRA MILENA"/>
        <s v="MUÑOZ SUAREZ NESTY "/>
        <s v="LONDOÑO BRIGARD MONICA "/>
        <s v="MANOSALVA DIAZ BALVINO "/>
        <s v="ORTIZ CRISTANCHO JOSE HIGINIO"/>
        <s v="REYES SILVA OSWALDO DE JESUS"/>
        <s v="BENAVIDES RIVERA ALVARO "/>
        <s v="RIAÑO DIAZ ARCENIO "/>
        <s v="SAENZ AMADO JAIRO ARMANDO"/>
        <s v="CARDENAS VARGAS HECTOR HERNAN"/>
        <s v="MENDOZA CARVAJAL FLORO VICENTE"/>
        <s v="CALIXTO SOCHA LUIS CARLOS"/>
        <s v="MUÑOZ HERRERA SANDRA MARCELA"/>
        <s v="GAVIRIA MORALES NET TRINIDAD"/>
        <s v="GUANUMEN MOLINA SANDRA "/>
        <s v="CHIRINOS ALVARADO HECTOR JOSE"/>
        <s v="CAMARGO GONZALEZ LEIDIS PAOLA"/>
        <s v="CHINCHILLA BUELVAS YULEMA PATRICIA"/>
        <s v="ARRIETA MOLINA FREDIS HERNAN"/>
        <s v="IGUARAN BELEÑO NORYE IVAN"/>
        <s v="TRIVIÑO NIETO LUZ DARY"/>
        <s v="TORRES PADILLA LIDIA ESPERANZA"/>
        <s v="MARIN SIERRA ANGELA CONSUELO"/>
        <s v="MURAD GUTIERREZ CATHERINE "/>
        <s v="PULIDO GONZALEZ GRETHEL "/>
        <s v="AREVALO GAMBA JULIA "/>
        <s v="DALEMAN CASTILLO MARISOL "/>
        <s v="YARA CARDONA LUZ JOHANNA"/>
        <s v="ARIAS GARNICA ANDREA MILENA"/>
        <s v="TORO AVILA EDITH MILENA"/>
        <s v="COMAS GARCIA FRANK HENRIS"/>
        <s v="VELEZ MENDOZA LUIS CRISTOBAL"/>
        <s v="HERNANDEZ SUAREZ OSCAR MAURICIO"/>
        <s v="ALVAREZ BELIZARIO JOHAN ALEJANDRO"/>
        <s v="BUESAQUILLO YANGUATIN CLAUDIA LORENA"/>
        <s v="PALENCIA MORA LUZ AIDEE"/>
        <s v="CANOLES PELUFFO KADIS ARELIS DEL CARMEN"/>
        <s v="ISSAACS GUERRA MARIA ISABEL"/>
        <s v="GALLEGO CAICEDO CARLOS EMILIO"/>
        <s v="ENTENCIPA MENDOZA LUZ ANGELA"/>
        <s v="BRICEÑO RINCON DALMIRO JESUS"/>
        <s v="NELO OCHOA DIANGER RAFAEL"/>
        <s v="MUÑOZ BEDON MARIO "/>
        <s v="CALDON BOLAÑOS JAIRO "/>
        <s v="CATAÑO CADAVID IVAN DARIO"/>
        <s v="GOMEZ RUIZ ANDRES ANTONIO"/>
        <s v="ARIAS MONTOYA PEDRO PABLO"/>
        <s v="SALDARRIAGA VERGARA GUILLERMO LEON"/>
        <s v="MORENO RODRIGUEZ ZAMIR FERNANDO"/>
        <s v="BARRAZA SOLANO DEBIS ALBERTO"/>
        <s v="LAVALLE MORENO FIDILBERTO "/>
        <s v="URREA PACHECO CARLOS ANDRES"/>
        <s v="CAMARGO OROZCO JAIDEN AUGUSTO"/>
        <s v="NUÑEZ ROJAS JOSE DAVID"/>
        <s v="GOMEZ REYES CARLOS JULIO"/>
        <s v="CANTILLO VELANDIA LUIS MIGUEL"/>
        <s v="TAMAYO PEDRAZA JUAN MANUEL"/>
        <s v="VILLAFAÑE JIMENEZ WILLIAM RAFAEL"/>
        <s v="CANTILLO REYES GIANCARLOS "/>
        <s v="MEDRANO FABRA YESID "/>
        <s v="VANEGAS PATERNINA JAIRO RAMON"/>
        <s v="RAMOS MENDOZA JUAN CARLOS"/>
        <s v="ORTIZ RICO JORGE WADITH"/>
        <s v="MEDRANO FABRA JULIO CESAR"/>
        <s v="LEAL RODRIGUEZ GUILLERMO LUIS"/>
        <s v="AGUILERA ANGULO CARLOS "/>
        <s v="CONTRERAS HERNANDEZ SERGIO LUIS"/>
        <s v="ORTIZ CASSIANI EDWIN EDUARDO"/>
        <s v="MONTAÑEZ ALARCON JORGE OSVALDO"/>
        <s v="LADINO MESA LUIS FERNEY"/>
        <s v="MARTINEZ NOY EDGAR OVIDIO"/>
        <s v="LEON MARTINEZ CARLOS ABEL"/>
        <s v="TORRES LEON ARIOSTO "/>
        <s v="GARZON OSORIO RODRIGO ALBERTO"/>
        <s v="CASTRO DIAZ LIBARDO "/>
        <s v="DOMINGUEZ SILVA OBIDIO LEONEL"/>
        <s v="CARVAJAL ALVAREZ GUSTAVO "/>
        <s v="REYES OLARTE RAFAEL ANTONIO"/>
        <s v="ZAMUDIO MENDOZA CAMILO ANDRES"/>
        <s v="MIELES HERRERA VICTOR ELOY"/>
        <s v="MENDOZA HERNANDEZ JULIO ALEXON"/>
        <s v="MIER BARRIOS ANTONIO JOSE"/>
        <s v="MENDOZA HERNANDEZ ADIEL ENRIQUE"/>
        <s v="GONZALEZ QUERUZ CARLOS ANDRES"/>
        <s v="CAMARGO MAESTRE JOSE FERNANDO"/>
        <s v="CORZO PACHECO CARLOS GUSTAVO"/>
        <s v="LOBO BARRIOS SAUL ANTONIO"/>
        <s v="DUERO LOSADA JAIRO ENRIQUE"/>
        <s v="CARMONA ARENAS ORLANDO DE JESUS"/>
        <s v="VERGARA ARCIA CARLOS ALBERTO"/>
        <s v="ALVAREZ PACHECO EDER JULIO"/>
        <s v="HERRERA PEREZ LUIS ALFONSO"/>
        <s v="MESTIZO TORRES ANTHONI "/>
        <s v="RINCON GUERRERO HECTOR JAIME"/>
        <s v="VELASQUEZ TORRES JOSE "/>
        <s v="PAEZ HERNANDEZ LUIS MARCELO"/>
        <s v="ZAMUDIO AMAYA MAURICIO "/>
        <s v="MEDINA SILVA JOSE WILSON"/>
        <s v="OLAYA LEIVA HARMAN YAMIR"/>
        <s v="GALEANO RUNZA HAROL "/>
        <s v="BARAJAS LOPEZ JOSE DE LA CRUZ"/>
        <s v="PEREZ MARIN ERVIN CELEDONIO"/>
        <s v="TORRES GARCIA JUAN FREDY"/>
        <s v="AROCA CONTRERAS WILLIAM JOSE"/>
        <s v="JIMENEZ CARDENAS HENRY "/>
        <s v="CARDONA GOMEZ JAIME "/>
        <s v="MUÑOZ MOSQUERA CAMILO ARTURO"/>
        <s v="SANCHEZ SALAMANCA JOHN ALEJANDRO"/>
        <s v="MOYA FUQUENE JOSE ANTONIO"/>
        <s v="PEÑA RAMOS EDGAR FABIAN"/>
        <s v="CORDOBA HILARION JOHN JAIRO"/>
        <s v="PULIDO MORALES GERMAN "/>
        <s v="ACUÑA CIFUENTES GIOVANNY ANDRES"/>
        <s v="MIRA VELASQUEZ HORACIO DE JESUS"/>
        <s v="DIAZ GALINDO ALEJANDRO "/>
        <s v="ANGARITA MONTANO OMAR ANDRES"/>
        <s v="GARCIA MUJICA EDY YONATAN"/>
        <s v="SANTACRUZ RODRIGUEZ WILMAR GIOVANNY"/>
        <s v="MUÑOZ SARMIENTO ALVARO JAVIER"/>
        <s v="CANTOR CHIA IVAN GIOVANNI"/>
        <s v="GUTIERREZ PIZA JAVIER "/>
        <s v="RUIZ VEGA SERGIO ARTURO"/>
        <s v="ESPINOSA VERA JORGE ARMANDO"/>
        <s v="GUZMAN GARAIS GOHAMIR DAVID"/>
        <s v="CONDE RODRIGUEZ GUSTAVO "/>
        <s v="MENCO TABORDA ALEXANDER RICARDO"/>
        <s v="BOLAÑO BENJUMEA JORGE ENRIQUE"/>
        <s v="SANCHEZ RADA BILL MOISES"/>
        <s v="OROZCO RIVERO JOSE LUIS"/>
        <s v="AREVALO MEJIA ALDERSON ENRIQUE"/>
        <s v="CERVERA ALVAREZ DARWIN RAFAEL"/>
        <s v="CANTILLO DE LA ROSA JOSE RAFAEL"/>
        <s v="RODRIGUEZ CARRASCAL MANUEL JOSE"/>
        <s v="AGUIRRE MERINO VICTOR ALFONSO"/>
        <s v="MEJIA GIRALDO ROBINSON ENRIQUE"/>
        <s v="DIAZ ANAYA ALEXANDER EMILIO"/>
        <s v="PALACIOS ASPRILLA LUIS ALBERTO"/>
        <s v="JIMENEZ CAMACHO GUSTAVO ALBERTO"/>
        <s v="TAPIAS VILLA EMERSON "/>
        <s v="DUARTE VANEGAS EDGARDO JOSE"/>
        <s v="FERREIRA RIVERA FERNANDO "/>
        <s v="ANTOLINEZ CRUZ EDGAR "/>
        <s v="REYES GUERRERO LIBARDO "/>
        <s v="MARTINEZ GOMEZ HERNAN "/>
        <s v="SANTOS RUEDA TEODORO "/>
        <s v="CANDELA SANDOVAL JHON ARNULFO"/>
        <s v="VANEGAS HERRERA JESUS HADAMO"/>
        <s v="CORDOBA DUARTE JOSE MARIA"/>
        <s v="HERRERA OTALVAREZ ALEXANDER "/>
        <s v="URBINA BELLO BEDEL "/>
        <s v="ROMERO DIAZ ROBERTO CARLOS"/>
        <s v="APONTE SIERRA FRANCISCO JAVIER"/>
        <s v="RAMIREZ CASTILLO JESUS EMILIO"/>
        <s v="CALDERON SANCHEZ JOHN "/>
        <s v="TORRES BETANCOURT ARISTOBULO "/>
        <s v="BERNAL LEAL HELVER GUSTAVO"/>
        <s v="MORA CUBILLOS JESUS ELKY"/>
        <s v="PADILLA ESPINOSA JHON JAIRO"/>
        <s v="MORALES TAFUR HENRY "/>
        <s v="SAIZ PINEDA HERMES FERNANDO"/>
        <s v="ORJUELA SALINAS HUGO NIVELSON"/>
        <s v="CARDONA SANCHEZ JULIO ENRIQUE"/>
        <s v="POVEDA TOBAR ROBERT "/>
        <s v="BERNAL LOZANO JORGE HUMBERTO"/>
        <s v="PARRA DELGADO JOSE GABRIEL"/>
        <s v="HERNANDEZ BOMBITA CARLOS ALBERTO"/>
        <s v="GUZMAN PEÑA JOSE LEONARDO"/>
        <s v="CARDENAS FIGUEROA OSCAR ORLANDO"/>
        <s v="VILLATE GOMEZ LUIS FRANCISCO"/>
        <s v="GUZMAN BOHADA MAURICIO "/>
        <s v="MORENO CASTRO JOSE ANTONIO"/>
        <s v="LOAIZA GOMEZ IVAN DARIO"/>
        <s v="OSORIO BENJUMEA JHON JAIRO"/>
        <s v="ESPINOSA JARAMILLO OVER ALONSO"/>
        <s v="DIAZ LEGUIZAMON YEZID ALEJANDRO"/>
        <s v="HERNANDEZ MERCHAN JONATHAN EDGARDO"/>
        <s v="VILLARREAL MOVILLA GUSTAVO JOSE"/>
        <s v="CAMARGO VERGEL ANGY PAOLA"/>
        <s v="SOSA GONZALEZ JOSE DANIEL"/>
        <s v="CERVANTES POLO ANTONY JUNIOR"/>
        <s v="TORRES COBO XAVIER ALFONSO"/>
        <s v="PUSHAINA IPUANA JUAN DAVID"/>
        <s v="FUENTES PADILLA ROBINSON RAFAEL"/>
        <s v="BALLESTAS PERTUZ ESNEIDER "/>
        <s v="ISAACS GUERRA MARIA ISABEL"/>
        <s v="PADILLA ESPINOSA JOHN JAIRO"/>
        <s v="ZAMUDIO CORDOVA SANTIAGO "/>
      </sharedItems>
    </cacheField>
    <cacheField name="Primer Apellido" numFmtId="0">
      <sharedItems/>
    </cacheField>
    <cacheField name="Segundo Apellido" numFmtId="0">
      <sharedItems/>
    </cacheField>
    <cacheField name="Primer Nombre" numFmtId="0">
      <sharedItems/>
    </cacheField>
    <cacheField name="Segundo Nombre" numFmtId="0">
      <sharedItems/>
    </cacheField>
    <cacheField name="Departamento" numFmtId="0">
      <sharedItems/>
    </cacheField>
    <cacheField name="Ciudad" numFmtId="0">
      <sharedItems/>
    </cacheField>
    <cacheField name="Tipo de Cotizante" numFmtId="0">
      <sharedItems/>
    </cacheField>
    <cacheField name="Subtipo de Cotizante" numFmtId="0">
      <sharedItems/>
    </cacheField>
    <cacheField name="Horas Laboradas" numFmtId="0">
      <sharedItems containsSemiMixedTypes="0" containsString="0" containsNumber="1" containsInteger="1" minValue="0" maxValue="283"/>
    </cacheField>
    <cacheField name="Extranjero" numFmtId="0">
      <sharedItems/>
    </cacheField>
    <cacheField name="Colombiano Temporalmente en el Exterior" numFmtId="0">
      <sharedItems/>
    </cacheField>
    <cacheField name="Fecha Radicación en el Exterior" numFmtId="0">
      <sharedItems containsNonDate="0" containsString="0" containsBlank="1"/>
    </cacheField>
    <cacheField name="ING" numFmtId="0">
      <sharedItems/>
    </cacheField>
    <cacheField name="Fecha ING" numFmtId="0">
      <sharedItems containsString="0" containsBlank="1" containsNumber="1" containsInteger="1" minValue="46055" maxValue="46081"/>
    </cacheField>
    <cacheField name="RET" numFmtId="0">
      <sharedItems/>
    </cacheField>
    <cacheField name="Fecha RET" numFmtId="0">
      <sharedItems containsString="0" containsBlank="1" containsNumber="1" containsInteger="1" minValue="46055" maxValue="46081"/>
    </cacheField>
    <cacheField name="TDE" numFmtId="0">
      <sharedItems/>
    </cacheField>
    <cacheField name="TAE" numFmtId="0">
      <sharedItems/>
    </cacheField>
    <cacheField name="TDP" numFmtId="0">
      <sharedItems/>
    </cacheField>
    <cacheField name="TAP" numFmtId="0">
      <sharedItems/>
    </cacheField>
    <cacheField name="VSP" numFmtId="0">
      <sharedItems/>
    </cacheField>
    <cacheField name="Fecha VSP" numFmtId="0">
      <sharedItems containsString="0" containsBlank="1" containsNumber="1" containsInteger="1" minValue="46054" maxValue="46054"/>
    </cacheField>
    <cacheField name="VST" numFmtId="0">
      <sharedItems/>
    </cacheField>
    <cacheField name="SLN" numFmtId="0">
      <sharedItems/>
    </cacheField>
    <cacheField name="Inicio SLN" numFmtId="0">
      <sharedItems containsString="0" containsBlank="1" containsNumber="1" containsInteger="1" minValue="46054" maxValue="46079"/>
    </cacheField>
    <cacheField name="Fin SLN" numFmtId="0">
      <sharedItems containsString="0" containsBlank="1" containsNumber="1" containsInteger="1" minValue="46054" maxValue="46081"/>
    </cacheField>
    <cacheField name="IGE" numFmtId="0">
      <sharedItems/>
    </cacheField>
    <cacheField name="Inicio IGE" numFmtId="0">
      <sharedItems containsString="0" containsBlank="1" containsNumber="1" containsInteger="1" minValue="46054" maxValue="46078"/>
    </cacheField>
    <cacheField name="Fin IGE" numFmtId="0">
      <sharedItems containsString="0" containsBlank="1" containsNumber="1" containsInteger="1" minValue="46054" maxValue="46081"/>
    </cacheField>
    <cacheField name="LMA" numFmtId="0">
      <sharedItems/>
    </cacheField>
    <cacheField name="Inicio LMA" numFmtId="0">
      <sharedItems containsNonDate="0" containsString="0" containsBlank="1"/>
    </cacheField>
    <cacheField name="Fin LMA" numFmtId="0">
      <sharedItems containsNonDate="0" containsString="0" containsBlank="1"/>
    </cacheField>
    <cacheField name="VAC-LR" numFmtId="0">
      <sharedItems/>
    </cacheField>
    <cacheField name="Inicio VAC-LR" numFmtId="0">
      <sharedItems containsString="0" containsBlank="1" containsNumber="1" containsInteger="1" minValue="46054" maxValue="46079"/>
    </cacheField>
    <cacheField name="Fin VAC-LR" numFmtId="0">
      <sharedItems containsString="0" containsBlank="1" containsNumber="1" containsInteger="1" minValue="46054" maxValue="46081"/>
    </cacheField>
    <cacheField name="AVP" numFmtId="0">
      <sharedItems/>
    </cacheField>
    <cacheField name="VCT" numFmtId="0">
      <sharedItems/>
    </cacheField>
    <cacheField name="Inicio VCT" numFmtId="0">
      <sharedItems containsNonDate="0" containsString="0" containsBlank="1"/>
    </cacheField>
    <cacheField name="Fin VCT" numFmtId="0">
      <sharedItems containsNonDate="0" containsString="0" containsBlank="1"/>
    </cacheField>
    <cacheField name="IRL" numFmtId="0">
      <sharedItems containsSemiMixedTypes="0" containsString="0" containsNumber="1" containsInteger="1" minValue="0" maxValue="10"/>
    </cacheField>
    <cacheField name="Inicio IRL" numFmtId="0">
      <sharedItems containsString="0" containsBlank="1" containsNumber="1" containsInteger="1" minValue="46054" maxValue="46072"/>
    </cacheField>
    <cacheField name="Fin IRL" numFmtId="0">
      <sharedItems containsString="0" containsBlank="1" containsNumber="1" containsInteger="1" minValue="46056" maxValue="46081"/>
    </cacheField>
    <cacheField name="Correcciones" numFmtId="0">
      <sharedItems/>
    </cacheField>
    <cacheField name="Salario Mensual($)" numFmtId="0">
      <sharedItems containsSemiMixedTypes="0" containsString="0" containsNumber="1" containsInteger="1" minValue="0" maxValue="41554091"/>
    </cacheField>
    <cacheField name="Salario Integral" numFmtId="0">
      <sharedItems/>
    </cacheField>
    <cacheField name=" Salario Variable" numFmtId="0">
      <sharedItems/>
    </cacheField>
    <cacheField name="Administradora" numFmtId="0">
      <sharedItems containsBlank="1" count="7">
        <s v="PORVENIR"/>
        <s v="COLPENSIONES"/>
        <s v="PROTECCION"/>
        <s v="SKANDIA"/>
        <s v="COLFONDOS"/>
        <m/>
        <s v="NINGUNA"/>
      </sharedItems>
    </cacheField>
    <cacheField name="Días" numFmtId="0">
      <sharedItems containsSemiMixedTypes="0" containsString="0" containsNumber="1" containsInteger="1" minValue="0" maxValue="30"/>
    </cacheField>
    <cacheField name="IBC" numFmtId="0">
      <sharedItems containsSemiMixedTypes="0" containsString="0" containsNumber="1" containsInteger="1" minValue="0" maxValue="29087864"/>
    </cacheField>
    <cacheField name="Tarifa" numFmtId="0">
      <sharedItems containsSemiMixedTypes="0" containsString="0" containsNumber="1" minValue="0" maxValue="0.16"/>
    </cacheField>
    <cacheField name="Valor Cotización" numFmtId="0">
      <sharedItems containsSemiMixedTypes="0" containsString="0" containsNumber="1" containsInteger="1" minValue="0" maxValue="4654100"/>
    </cacheField>
    <cacheField name="Indicador Alto Riesgo" numFmtId="0">
      <sharedItems/>
    </cacheField>
    <cacheField name="Cotización Voluntaria Afiliado" numFmtId="0">
      <sharedItems containsSemiMixedTypes="0" containsString="0" containsNumber="1" containsInteger="1" minValue="0" maxValue="0"/>
    </cacheField>
    <cacheField name="Cotización Voluntaria Empleador" numFmtId="0">
      <sharedItems containsSemiMixedTypes="0" containsString="0" containsNumber="1" containsInteger="1" minValue="0" maxValue="0"/>
    </cacheField>
    <cacheField name="Fondo Solidaridad Pensional" numFmtId="0">
      <sharedItems containsSemiMixedTypes="0" containsString="0" containsNumber="1" containsInteger="1" minValue="0" maxValue="145500"/>
    </cacheField>
    <cacheField name="Fondo Subsistencia" numFmtId="0">
      <sharedItems containsSemiMixedTypes="0" containsString="0" containsNumber="1" containsInteger="1" minValue="0" maxValue="203700"/>
    </cacheField>
    <cacheField name="Valor no Retenido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containsInteger="1" minValue="0" maxValue="5003300"/>
    </cacheField>
    <cacheField name="AFP Destino" numFmtId="0">
      <sharedItems/>
    </cacheField>
    <cacheField name="Administradora2" numFmtId="0">
      <sharedItems count="17">
        <s v="NUEVA E.P.S."/>
        <s v="ALIANSALUD EPS (ANTES COLMEDICA)"/>
        <s v="SANITAS"/>
        <s v="SALUD TOTAL"/>
        <s v="COOSALUD MOVILIDAD"/>
        <s v="FONDO DE FERROCARRILES NACIONALES DE COLOMBIA"/>
        <s v="CAJACOPI"/>
        <s v="DUSAKAWI"/>
        <s v="COMPENSAR"/>
        <s v="EPS SURA (ANTES SUSALUD)"/>
        <s v="FAMISANAR"/>
        <s v="CAPITAL SALUD"/>
        <s v="MUTUAL SER"/>
        <s v="EMSSANAR"/>
        <s v="S.O.S. SERVICIO OCCIDENTAL DE SALUD S.A."/>
        <s v="EPS FAMILIAR DE COLOMBIA SAS"/>
        <s v="EPS MUTUAL SER" u="1"/>
      </sharedItems>
    </cacheField>
    <cacheField name="Días2" numFmtId="0">
      <sharedItems containsSemiMixedTypes="0" containsString="0" containsNumber="1" containsInteger="1" minValue="0" maxValue="30"/>
    </cacheField>
    <cacheField name="IBC2" numFmtId="0">
      <sharedItems containsSemiMixedTypes="0" containsString="0" containsNumber="1" containsInteger="1" minValue="0" maxValue="29087864"/>
    </cacheField>
    <cacheField name="Tarifa2" numFmtId="0">
      <sharedItems containsSemiMixedTypes="0" containsString="0" containsNumber="1" minValue="0" maxValue="0.125"/>
    </cacheField>
    <cacheField name="Valor Cotización2" numFmtId="0">
      <sharedItems containsSemiMixedTypes="0" containsString="0" containsNumber="1" containsInteger="1" minValue="0" maxValue="3636000"/>
    </cacheField>
    <cacheField name="Valor UPC" numFmtId="0">
      <sharedItems containsSemiMixedTypes="0" containsString="0" containsNumber="1" containsInteger="1" minValue="0" maxValue="99000"/>
    </cacheField>
    <cacheField name="N° Autorización Incapacidad EG" numFmtId="0">
      <sharedItems containsBlank="1"/>
    </cacheField>
    <cacheField name="Valor Incapacidad EG" numFmtId="0">
      <sharedItems containsSemiMixedTypes="0" containsString="0" containsNumber="1" containsInteger="1" minValue="0" maxValue="0"/>
    </cacheField>
    <cacheField name="N° Autorización LMA" numFmtId="0">
      <sharedItems containsBlank="1"/>
    </cacheField>
    <cacheField name="Valor Licencia Maternidad" numFmtId="0">
      <sharedItems containsSemiMixedTypes="0" containsString="0" containsNumber="1" containsInteger="1" minValue="0" maxValue="0"/>
    </cacheField>
    <cacheField name="EPS Destino" numFmtId="0">
      <sharedItems/>
    </cacheField>
    <cacheField name="Administradora3" numFmtId="0">
      <sharedItems count="2">
        <s v="COLMENA"/>
        <s v="NINGUNA"/>
      </sharedItems>
    </cacheField>
    <cacheField name="Días3" numFmtId="0">
      <sharedItems containsSemiMixedTypes="0" containsString="0" containsNumber="1" containsInteger="1" minValue="0" maxValue="30"/>
    </cacheField>
    <cacheField name="IBC3" numFmtId="0">
      <sharedItems containsSemiMixedTypes="0" containsString="0" containsNumber="1" containsInteger="1" minValue="0" maxValue="29087864"/>
    </cacheField>
    <cacheField name="Tarifa3" numFmtId="0">
      <sharedItems containsSemiMixedTypes="0" containsString="0" containsNumber="1" minValue="0" maxValue="6.9600000977516174E-2"/>
    </cacheField>
    <cacheField name="Clase" numFmtId="0">
      <sharedItems/>
    </cacheField>
    <cacheField name="Centro de Trabajo" numFmtId="0">
      <sharedItems/>
    </cacheField>
    <cacheField name="Actividad Económica" numFmtId="0">
      <sharedItems/>
    </cacheField>
    <cacheField name="Valor Cotización3" numFmtId="0">
      <sharedItems containsSemiMixedTypes="0" containsString="0" containsNumber="1" containsInteger="1" minValue="0" maxValue="2024600"/>
    </cacheField>
    <cacheField name="Días4" numFmtId="0">
      <sharedItems containsSemiMixedTypes="0" containsString="0" containsNumber="1" containsInteger="1" minValue="0" maxValue="30"/>
    </cacheField>
    <cacheField name="Administradora CCF" numFmtId="0">
      <sharedItems count="7">
        <s v="COMPENSAR"/>
        <s v="COMFAMILIAR GUAJIRA"/>
        <s v="COMFENALCO CARTAGENA"/>
        <s v="COMFENALCO VALLE"/>
        <s v="COMFAMA"/>
        <s v="CONFAMILIARES"/>
        <s v="NINGUNA"/>
      </sharedItems>
    </cacheField>
    <cacheField name="IBC CCF" numFmtId="0">
      <sharedItems containsSemiMixedTypes="0" containsString="0" containsNumber="1" containsInteger="1" minValue="0" maxValue="29087864"/>
    </cacheField>
    <cacheField name="Tarifa CCF" numFmtId="0">
      <sharedItems containsSemiMixedTypes="0" containsString="0" containsNumber="1" minValue="0" maxValue="0.04"/>
    </cacheField>
    <cacheField name="Valor Cotización CCF" numFmtId="0">
      <sharedItems containsSemiMixedTypes="0" containsString="0" containsNumber="1" containsInteger="1" minValue="0" maxValue="1163600"/>
    </cacheField>
    <cacheField name="IBC Otros Parafiscales" numFmtId="0">
      <sharedItems containsSemiMixedTypes="0" containsString="0" containsNumber="1" containsInteger="1" minValue="0" maxValue="29087864"/>
    </cacheField>
    <cacheField name="Tarifa SENA" numFmtId="0">
      <sharedItems containsSemiMixedTypes="0" containsString="0" containsNumber="1" minValue="0" maxValue="0.02"/>
    </cacheField>
    <cacheField name="Valor Cotización SENA" numFmtId="0">
      <sharedItems containsSemiMixedTypes="0" containsString="0" containsNumber="1" containsInteger="1" minValue="0" maxValue="581800"/>
    </cacheField>
    <cacheField name="Tarifa ICBF" numFmtId="0">
      <sharedItems containsSemiMixedTypes="0" containsString="0" containsNumber="1" minValue="0" maxValue="0.03"/>
    </cacheField>
    <cacheField name="Valor Cotización ICBF" numFmtId="0">
      <sharedItems containsSemiMixedTypes="0" containsString="0" containsNumber="1" containsInteger="1" minValue="0" maxValue="872700"/>
    </cacheField>
    <cacheField name="Tarifa ESAP" numFmtId="0">
      <sharedItems containsSemiMixedTypes="0" containsString="0" containsNumber="1" containsInteger="1" minValue="0" maxValue="0"/>
    </cacheField>
    <cacheField name="Valor Cotización ESAP" numFmtId="0">
      <sharedItems containsSemiMixedTypes="0" containsString="0" containsNumber="1" containsInteger="1" minValue="0" maxValue="0"/>
    </cacheField>
    <cacheField name="Tarifa MEN" numFmtId="0">
      <sharedItems containsSemiMixedTypes="0" containsString="0" containsNumber="1" containsInteger="1" minValue="0" maxValue="0"/>
    </cacheField>
    <cacheField name="Valor Cotización MEN" numFmtId="0">
      <sharedItems containsSemiMixedTypes="0" containsString="0" containsNumber="1" containsInteger="1" minValue="0" maxValue="0"/>
    </cacheField>
    <cacheField name="Exonerado parafiscales y salud" numFmtId="0">
      <sharedItems/>
    </cacheField>
    <cacheField name="Tipo ID2" numFmtId="0">
      <sharedItems/>
    </cacheField>
    <cacheField name="N° ID" numFmtId="0">
      <sharedItems containsMixedTypes="1" containsNumber="1" containsInteger="1" minValue="79425463" maxValue="794254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1">
  <r>
    <x v="0"/>
    <s v="CC"/>
    <x v="0"/>
    <x v="0"/>
    <s v="MENDEZ"/>
    <s v="ROJAS"/>
    <s v="CARLOS"/>
    <s v="ALBERT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32509"/>
    <n v="0.16"/>
    <n v="325300"/>
    <s v=" "/>
    <n v="0"/>
    <n v="0"/>
    <n v="0"/>
    <n v="0"/>
    <n v="0"/>
    <n v="325300"/>
    <s v="NINGUNA"/>
    <x v="0"/>
    <n v="30"/>
    <n v="2032509"/>
    <n v="0.04"/>
    <n v="81400"/>
    <n v="0"/>
    <s v="               "/>
    <n v="0"/>
    <s v="               "/>
    <n v="0"/>
    <s v="NINGUNA"/>
    <x v="0"/>
    <n v="30"/>
    <n v="2032509"/>
    <n v="6.9599999999999995E-2"/>
    <s v="5"/>
    <s v="CENTRO TRABAJO 24"/>
    <s v="5711001"/>
    <n v="141500"/>
    <n v="30"/>
    <x v="0"/>
    <n v="2032509"/>
    <n v="0.04"/>
    <n v="81400"/>
    <n v="2032509"/>
    <n v="0"/>
    <n v="0"/>
    <n v="0"/>
    <n v="0"/>
    <n v="0"/>
    <n v="0"/>
    <n v="0"/>
    <n v="0"/>
    <s v="SI"/>
    <s v="  "/>
    <s v="                "/>
  </r>
  <r>
    <x v="0"/>
    <s v="CC"/>
    <x v="1"/>
    <x v="1"/>
    <s v="MOSQUERA"/>
    <s v="MOSQUERA"/>
    <s v="BRAYAN"/>
    <s v="STIVEN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4"/>
    <n v="233454"/>
    <n v="0.16"/>
    <n v="37400"/>
    <s v=" "/>
    <n v="0"/>
    <n v="0"/>
    <n v="0"/>
    <n v="0"/>
    <n v="0"/>
    <n v="37400"/>
    <s v="NINGUNA"/>
    <x v="1"/>
    <n v="4"/>
    <n v="233454"/>
    <n v="0.04"/>
    <n v="9400"/>
    <n v="0"/>
    <s v="               "/>
    <n v="0"/>
    <s v="               "/>
    <n v="0"/>
    <s v="NINGUNA"/>
    <x v="0"/>
    <n v="4"/>
    <n v="233454"/>
    <n v="6.9599999999999995E-2"/>
    <s v="5"/>
    <s v="CENTRO TRABAJO 24"/>
    <s v="5711001"/>
    <n v="16300"/>
    <n v="4"/>
    <x v="0"/>
    <n v="233454"/>
    <n v="0.04"/>
    <n v="9400"/>
    <n v="233454"/>
    <n v="0"/>
    <n v="0"/>
    <n v="0"/>
    <n v="0"/>
    <n v="0"/>
    <n v="0"/>
    <n v="0"/>
    <n v="0"/>
    <s v="SI"/>
    <s v="  "/>
    <s v="                "/>
  </r>
  <r>
    <x v="0"/>
    <s v="CC"/>
    <x v="2"/>
    <x v="2"/>
    <s v="RUA"/>
    <s v="MANGA"/>
    <s v="CARLOS"/>
    <s v="MARIO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0"/>
    <n v="30"/>
    <n v="2222363"/>
    <n v="0.16"/>
    <n v="355600"/>
    <s v=" "/>
    <n v="0"/>
    <n v="0"/>
    <n v="0"/>
    <n v="0"/>
    <n v="0"/>
    <n v="355600"/>
    <s v="NINGUNA"/>
    <x v="2"/>
    <n v="30"/>
    <n v="2222363"/>
    <n v="0.04"/>
    <n v="88900"/>
    <n v="0"/>
    <s v="               "/>
    <n v="0"/>
    <s v="               "/>
    <n v="0"/>
    <s v="NINGUNA"/>
    <x v="0"/>
    <n v="30"/>
    <n v="2222363"/>
    <n v="6.9599999999999995E-2"/>
    <s v="5"/>
    <s v="CENTRO TRABAJO 30"/>
    <s v="5711001"/>
    <n v="154700"/>
    <n v="30"/>
    <x v="1"/>
    <n v="2222363"/>
    <n v="0.04"/>
    <n v="88900"/>
    <n v="2222363"/>
    <n v="0"/>
    <n v="0"/>
    <n v="0"/>
    <n v="0"/>
    <n v="0"/>
    <n v="0"/>
    <n v="0"/>
    <n v="0"/>
    <s v="SI"/>
    <s v="  "/>
    <s v="                "/>
  </r>
  <r>
    <x v="0"/>
    <s v="CC"/>
    <x v="3"/>
    <x v="3"/>
    <s v="SANTANA"/>
    <s v="VIDES"/>
    <s v="OSCAR"/>
    <s v="JUNIOR"/>
    <s v="BOLIVAR"/>
    <s v="CARTAGENA"/>
    <s v="1. DEPENDIENTE"/>
    <s v="NINGUNO"/>
    <n v="20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308750"/>
    <s v="NO"/>
    <s v="NO"/>
    <x v="0"/>
    <n v="30"/>
    <n v="2643077"/>
    <n v="0.16"/>
    <n v="422900"/>
    <s v=" "/>
    <n v="0"/>
    <n v="0"/>
    <n v="0"/>
    <n v="0"/>
    <n v="0"/>
    <n v="422900"/>
    <s v="NINGUNA"/>
    <x v="0"/>
    <n v="30"/>
    <n v="2643077"/>
    <n v="0.04"/>
    <n v="105800"/>
    <n v="0"/>
    <s v="               "/>
    <n v="0"/>
    <s v="               "/>
    <n v="0"/>
    <s v="NINGUNA"/>
    <x v="0"/>
    <n v="30"/>
    <n v="2643077"/>
    <n v="6.9599999999999995E-2"/>
    <s v="5"/>
    <s v="CENTRO TRABAJO 8"/>
    <s v="5711001"/>
    <n v="184000"/>
    <n v="30"/>
    <x v="2"/>
    <n v="2584226"/>
    <n v="0.04"/>
    <n v="103400"/>
    <n v="2584226"/>
    <n v="0"/>
    <n v="0"/>
    <n v="0"/>
    <n v="0"/>
    <n v="0"/>
    <n v="0"/>
    <n v="0"/>
    <n v="0"/>
    <s v="SI"/>
    <s v="  "/>
    <s v="                "/>
  </r>
  <r>
    <x v="0"/>
    <s v="CC"/>
    <x v="4"/>
    <x v="4"/>
    <s v="CANTILLO"/>
    <s v="PERTUZ"/>
    <s v="GIANTKHRLOOS"/>
    <s v="G.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2"/>
    <n v="1"/>
    <n v="58364"/>
    <n v="0.04"/>
    <n v="240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58364"/>
    <n v="0.04"/>
    <n v="2400"/>
    <n v="58364"/>
    <n v="0"/>
    <n v="0"/>
    <n v="0"/>
    <n v="0"/>
    <n v="0"/>
    <n v="0"/>
    <n v="0"/>
    <n v="0"/>
    <s v="SI"/>
    <s v="  "/>
    <s v="                "/>
  </r>
  <r>
    <x v="0"/>
    <s v="CC"/>
    <x v="4"/>
    <x v="4"/>
    <s v="CANTILLO"/>
    <s v="PERTUZ"/>
    <s v="GIANTKHRLOOS"/>
    <s v="G.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9"/>
    <n v="2073895"/>
    <n v="0.16"/>
    <n v="331900"/>
    <s v=" "/>
    <n v="0"/>
    <n v="0"/>
    <n v="0"/>
    <n v="0"/>
    <n v="0"/>
    <n v="331900"/>
    <s v="NINGUNA"/>
    <x v="2"/>
    <n v="29"/>
    <n v="2073895"/>
    <n v="0.04"/>
    <n v="83000"/>
    <n v="0"/>
    <s v="               "/>
    <n v="0"/>
    <s v="               "/>
    <n v="0"/>
    <s v="NINGUNA"/>
    <x v="0"/>
    <n v="29"/>
    <n v="2073895"/>
    <n v="6.9599999999999995E-2"/>
    <s v="5"/>
    <s v="CENTRO TRABAJO 24"/>
    <s v="5711001"/>
    <n v="144400"/>
    <n v="29"/>
    <x v="0"/>
    <n v="2073895"/>
    <n v="0.04"/>
    <n v="83000"/>
    <n v="2073895"/>
    <n v="0"/>
    <n v="0"/>
    <n v="0"/>
    <n v="0"/>
    <n v="0"/>
    <n v="0"/>
    <n v="0"/>
    <n v="0"/>
    <s v="SI"/>
    <s v="  "/>
    <s v="                "/>
  </r>
  <r>
    <x v="0"/>
    <s v="CC"/>
    <x v="5"/>
    <x v="5"/>
    <s v="ZABALETA"/>
    <s v="SALCEDO"/>
    <s v="NEL"/>
    <s v="ENRIQU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6"/>
    <n v="18700"/>
    <s v=" "/>
    <n v="0"/>
    <n v="0"/>
    <n v="0"/>
    <n v="0"/>
    <n v="0"/>
    <n v="18700"/>
    <s v="NINGUNA"/>
    <x v="3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5"/>
    <x v="5"/>
    <s v="ZABALETA"/>
    <s v="SALCEDO"/>
    <s v="NEL"/>
    <s v="ENRIQU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5"/>
    <n v="46061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7"/>
    <n v="408545"/>
    <n v="0.16"/>
    <n v="65400"/>
    <s v=" "/>
    <n v="0"/>
    <n v="0"/>
    <n v="0"/>
    <n v="0"/>
    <n v="0"/>
    <n v="65400"/>
    <s v="NINGUNA"/>
    <x v="3"/>
    <n v="7"/>
    <n v="408545"/>
    <n v="0"/>
    <n v="0"/>
    <n v="0"/>
    <s v="               "/>
    <n v="0"/>
    <s v="               "/>
    <n v="0"/>
    <s v="NINGUNA"/>
    <x v="0"/>
    <n v="7"/>
    <n v="408545"/>
    <n v="0"/>
    <s v="5"/>
    <s v="CENTRO TRABAJO 24"/>
    <s v="5711001"/>
    <n v="0"/>
    <n v="7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5"/>
    <x v="5"/>
    <s v="ZABALETA"/>
    <s v="SALCEDO"/>
    <s v="NEL"/>
    <s v="ENRIQUE"/>
    <s v="BOGOTA_D.E."/>
    <s v="BOGOTA"/>
    <s v="1. DEPENDIENTE"/>
    <s v="NINGUNO"/>
    <n v="14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1"/>
    <n v="1545572"/>
    <n v="0.16"/>
    <n v="247300"/>
    <s v=" "/>
    <n v="0"/>
    <n v="0"/>
    <n v="0"/>
    <n v="0"/>
    <n v="0"/>
    <n v="247300"/>
    <s v="NINGUNA"/>
    <x v="3"/>
    <n v="21"/>
    <n v="1545572"/>
    <n v="0.04"/>
    <n v="61900"/>
    <n v="0"/>
    <s v="               "/>
    <n v="0"/>
    <s v="               "/>
    <n v="0"/>
    <s v="NINGUNA"/>
    <x v="0"/>
    <n v="21"/>
    <n v="1545572"/>
    <n v="6.9599999999999995E-2"/>
    <s v="5"/>
    <s v="CENTRO TRABAJO 24"/>
    <s v="5711001"/>
    <n v="107600"/>
    <n v="21"/>
    <x v="0"/>
    <n v="1545572"/>
    <n v="0.04"/>
    <n v="61900"/>
    <n v="1545572"/>
    <n v="0"/>
    <n v="0"/>
    <n v="0"/>
    <n v="0"/>
    <n v="0"/>
    <n v="0"/>
    <n v="0"/>
    <n v="0"/>
    <s v="SI"/>
    <s v="  "/>
    <s v="                "/>
  </r>
  <r>
    <x v="0"/>
    <s v="CC"/>
    <x v="6"/>
    <x v="6"/>
    <s v="SANCHEZ"/>
    <s v="VARGAS"/>
    <s v="OMAR"/>
    <s v="ALEJANDRO"/>
    <s v="BOGOTA_D.E."/>
    <s v="BOGOTA"/>
    <s v="1. DEPENDIENTE"/>
    <s v="NINGUNO"/>
    <n v="162"/>
    <s v="NO"/>
    <s v="NO"/>
    <m/>
    <s v="Todos los sistemas (ARL, AFP, CCF, EPS)"/>
    <n v="46059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5"/>
    <n v="2334844"/>
    <n v="0.16"/>
    <n v="373600"/>
    <s v=" "/>
    <n v="0"/>
    <n v="0"/>
    <n v="0"/>
    <n v="0"/>
    <n v="0"/>
    <n v="373600"/>
    <s v="NINGUNA"/>
    <x v="0"/>
    <n v="25"/>
    <n v="2334844"/>
    <n v="0.04"/>
    <n v="93400"/>
    <n v="0"/>
    <s v="               "/>
    <n v="0"/>
    <s v="               "/>
    <n v="0"/>
    <s v="NINGUNA"/>
    <x v="0"/>
    <n v="25"/>
    <n v="2334844"/>
    <n v="6.9599999999999995E-2"/>
    <s v="5"/>
    <s v="CENTRO TRABAJO 24"/>
    <s v="5711001"/>
    <n v="162600"/>
    <n v="25"/>
    <x v="0"/>
    <n v="2334844"/>
    <n v="0.04"/>
    <n v="93400"/>
    <n v="2334844"/>
    <n v="0"/>
    <n v="0"/>
    <n v="0"/>
    <n v="0"/>
    <n v="0"/>
    <n v="0"/>
    <n v="0"/>
    <n v="0"/>
    <s v="SI"/>
    <s v="  "/>
    <s v="                "/>
  </r>
  <r>
    <x v="0"/>
    <s v="CC"/>
    <x v="7"/>
    <x v="7"/>
    <s v="MANGA"/>
    <s v="FRIA"/>
    <s v="JUAN"/>
    <s v="LUIS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4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7"/>
    <x v="7"/>
    <s v="MANGA"/>
    <s v="FRIA"/>
    <s v="JUAN"/>
    <s v="LUIS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4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7"/>
    <x v="7"/>
    <s v="MANGA"/>
    <s v="FRIA"/>
    <s v="JUAN"/>
    <s v="LUIS"/>
    <s v="LA_GUAJIRA"/>
    <s v="RIOHACHA"/>
    <s v="1. DEPENDIENTE"/>
    <s v="NINGUNO"/>
    <n v="19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8"/>
    <n v="1972818"/>
    <n v="0.16"/>
    <n v="315700"/>
    <s v=" "/>
    <n v="0"/>
    <n v="0"/>
    <n v="0"/>
    <n v="0"/>
    <n v="0"/>
    <n v="315700"/>
    <s v="NINGUNA"/>
    <x v="4"/>
    <n v="28"/>
    <n v="1972818"/>
    <n v="0.04"/>
    <n v="79000"/>
    <n v="0"/>
    <s v="               "/>
    <n v="0"/>
    <s v="               "/>
    <n v="0"/>
    <s v="NINGUNA"/>
    <x v="0"/>
    <n v="28"/>
    <n v="1972818"/>
    <n v="6.9599999999999995E-2"/>
    <s v="5"/>
    <s v="CENTRO TRABAJO 30"/>
    <s v="5711001"/>
    <n v="137400"/>
    <n v="28"/>
    <x v="1"/>
    <n v="1972819"/>
    <n v="0.04"/>
    <n v="79000"/>
    <n v="1972819"/>
    <n v="0"/>
    <n v="0"/>
    <n v="0"/>
    <n v="0"/>
    <n v="0"/>
    <n v="0"/>
    <n v="0"/>
    <n v="0"/>
    <s v="SI"/>
    <s v="  "/>
    <s v="                "/>
  </r>
  <r>
    <x v="0"/>
    <s v="CC"/>
    <x v="8"/>
    <x v="8"/>
    <s v="OSORIO"/>
    <s v="HERNANDEZ"/>
    <s v="KEVIN"/>
    <s v="ALBERTO"/>
    <s v="BOGOTA_D.E."/>
    <s v="BOGOTA"/>
    <s v="1. DEPENDIENTE"/>
    <s v="NINGUNO"/>
    <n v="0"/>
    <s v="NO"/>
    <s v="NO"/>
    <m/>
    <s v="Todos los sistemas (ARL, AFP, CCF, EPS)"/>
    <n v="46081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1"/>
    <n v="3"/>
    <n v="178560"/>
    <n v="0.16"/>
    <n v="28600"/>
    <s v=" "/>
    <n v="0"/>
    <n v="0"/>
    <n v="0"/>
    <n v="0"/>
    <n v="0"/>
    <n v="28600"/>
    <s v="NINGUNA"/>
    <x v="5"/>
    <n v="3"/>
    <n v="178560"/>
    <n v="0.04"/>
    <n v="7200"/>
    <n v="0"/>
    <s v="               "/>
    <n v="0"/>
    <s v="               "/>
    <n v="0"/>
    <s v="NINGUNA"/>
    <x v="0"/>
    <n v="3"/>
    <n v="178560"/>
    <n v="6.9599999999999995E-2"/>
    <s v="5"/>
    <s v="CENTRO TRABAJO 24"/>
    <s v="5711001"/>
    <n v="12500"/>
    <n v="3"/>
    <x v="0"/>
    <n v="178560"/>
    <n v="0.04"/>
    <n v="7200"/>
    <n v="178560"/>
    <n v="0"/>
    <n v="0"/>
    <n v="0"/>
    <n v="0"/>
    <n v="0"/>
    <n v="0"/>
    <n v="0"/>
    <n v="0"/>
    <s v="SI"/>
    <s v="  "/>
    <s v="                "/>
  </r>
  <r>
    <x v="0"/>
    <s v="CC"/>
    <x v="9"/>
    <x v="9"/>
    <s v="ALVAREZ"/>
    <s v="CORREA"/>
    <s v="JOSE"/>
    <s v="ANGEL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6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9"/>
    <x v="9"/>
    <s v="ALVAREZ"/>
    <s v="CORREA"/>
    <s v="JOSE"/>
    <s v="ANGEL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6"/>
    <n v="46056"/>
    <s v="NO"/>
    <m/>
    <m/>
    <s v="NO"/>
    <m/>
    <m/>
    <s v="NO"/>
    <s v="NO"/>
    <m/>
    <m/>
    <n v="0"/>
    <m/>
    <m/>
    <s v="NO"/>
    <n v="1785595"/>
    <s v="NO"/>
    <s v="NO"/>
    <x v="0"/>
    <n v="1"/>
    <n v="69937"/>
    <n v="0.16"/>
    <n v="11200"/>
    <s v=" "/>
    <n v="0"/>
    <n v="0"/>
    <n v="0"/>
    <n v="0"/>
    <n v="0"/>
    <n v="11200"/>
    <s v="NINGUNA"/>
    <x v="6"/>
    <n v="1"/>
    <n v="69937"/>
    <n v="0.04"/>
    <n v="2800"/>
    <n v="0"/>
    <s v="               "/>
    <n v="0"/>
    <s v="               "/>
    <n v="0"/>
    <s v="NINGUNA"/>
    <x v="0"/>
    <n v="1"/>
    <n v="69937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9"/>
    <x v="9"/>
    <s v="ALVAREZ"/>
    <s v="CORREA"/>
    <s v="JOSE"/>
    <s v="ANGEL"/>
    <s v="LA_GUAJIRA"/>
    <s v="RIOHACHA"/>
    <s v="1. DEPENDIENTE"/>
    <s v="NINGUNO"/>
    <n v="192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4"/>
    <n v="2913713"/>
    <n v="0.16"/>
    <n v="466200"/>
    <s v=" "/>
    <n v="0"/>
    <n v="0"/>
    <n v="0"/>
    <n v="0"/>
    <n v="0"/>
    <n v="466200"/>
    <s v="NINGUNA"/>
    <x v="6"/>
    <n v="24"/>
    <n v="2913713"/>
    <n v="0.04"/>
    <n v="116600"/>
    <n v="0"/>
    <s v="               "/>
    <n v="0"/>
    <s v="               "/>
    <n v="0"/>
    <s v="NINGUNA"/>
    <x v="0"/>
    <n v="24"/>
    <n v="2913713"/>
    <n v="6.9599999999999995E-2"/>
    <s v="5"/>
    <s v="CENTRO TRABAJO 30"/>
    <s v="5711001"/>
    <n v="202800"/>
    <n v="24"/>
    <x v="1"/>
    <n v="4259565"/>
    <n v="0.04"/>
    <n v="170400"/>
    <n v="4259565"/>
    <n v="0"/>
    <n v="0"/>
    <n v="0"/>
    <n v="0"/>
    <n v="0"/>
    <n v="0"/>
    <n v="0"/>
    <n v="0"/>
    <s v="SI"/>
    <s v="  "/>
    <s v="                "/>
  </r>
  <r>
    <x v="0"/>
    <s v="CC"/>
    <x v="10"/>
    <x v="10"/>
    <s v="MALDONADO"/>
    <s v="LOSADA"/>
    <s v="EDINSON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3"/>
    <n v="1"/>
    <n v="58364"/>
    <n v="0.04"/>
    <n v="240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58364"/>
    <n v="0.04"/>
    <n v="2400"/>
    <n v="58364"/>
    <n v="0"/>
    <n v="0"/>
    <n v="0"/>
    <n v="0"/>
    <n v="0"/>
    <n v="0"/>
    <n v="0"/>
    <n v="0"/>
    <s v="SI"/>
    <s v="  "/>
    <s v="                "/>
  </r>
  <r>
    <x v="0"/>
    <s v="CC"/>
    <x v="10"/>
    <x v="10"/>
    <s v="MALDONADO"/>
    <s v="LOSADA"/>
    <s v="EDINSON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2"/>
    <n v="46063"/>
    <s v="NO"/>
    <m/>
    <m/>
    <s v="NO"/>
    <m/>
    <m/>
    <s v="NO"/>
    <s v="NO"/>
    <m/>
    <m/>
    <n v="0"/>
    <m/>
    <m/>
    <s v="NO"/>
    <n v="1750905"/>
    <s v="NO"/>
    <s v="NO"/>
    <x v="0"/>
    <n v="2"/>
    <n v="205820"/>
    <n v="0.16"/>
    <n v="33000"/>
    <s v=" "/>
    <n v="0"/>
    <n v="0"/>
    <n v="0"/>
    <n v="0"/>
    <n v="0"/>
    <n v="33000"/>
    <s v="NINGUNA"/>
    <x v="3"/>
    <n v="2"/>
    <n v="205820"/>
    <n v="0.04"/>
    <n v="8300"/>
    <n v="0"/>
    <s v="               "/>
    <n v="0"/>
    <s v="               "/>
    <n v="0"/>
    <s v="NINGUNA"/>
    <x v="0"/>
    <n v="2"/>
    <n v="20582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0"/>
    <x v="10"/>
    <s v="MALDONADO"/>
    <s v="LOSADA"/>
    <s v="EDINSON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0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6"/>
    <n v="18700"/>
    <s v=" "/>
    <n v="0"/>
    <n v="0"/>
    <n v="0"/>
    <n v="0"/>
    <n v="0"/>
    <n v="18700"/>
    <s v="NINGUNA"/>
    <x v="3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0"/>
    <x v="10"/>
    <s v="MALDONADO"/>
    <s v="LOSADA"/>
    <s v="EDINSON"/>
    <s v="ANDRES"/>
    <s v="BOGOTA_D.E."/>
    <s v="BOGOTA"/>
    <s v="1. DEPENDIENTE"/>
    <s v="NINGUNO"/>
    <n v="124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6"/>
    <n v="1600632"/>
    <n v="0.16"/>
    <n v="256200"/>
    <s v=" "/>
    <n v="0"/>
    <n v="0"/>
    <n v="0"/>
    <n v="0"/>
    <n v="0"/>
    <n v="256200"/>
    <s v="NINGUNA"/>
    <x v="3"/>
    <n v="16"/>
    <n v="1600632"/>
    <n v="0.04"/>
    <n v="64100"/>
    <n v="0"/>
    <s v="               "/>
    <n v="0"/>
    <s v="               "/>
    <n v="0"/>
    <s v="NINGUNA"/>
    <x v="0"/>
    <n v="16"/>
    <n v="1600632"/>
    <n v="6.9599999999999995E-2"/>
    <s v="5"/>
    <s v="CENTRO TRABAJO 24"/>
    <s v="5711001"/>
    <n v="111500"/>
    <n v="16"/>
    <x v="0"/>
    <n v="2098116"/>
    <n v="0.04"/>
    <n v="84000"/>
    <n v="2098116"/>
    <n v="0"/>
    <n v="0"/>
    <n v="0"/>
    <n v="0"/>
    <n v="0"/>
    <n v="0"/>
    <n v="0"/>
    <n v="0"/>
    <s v="SI"/>
    <s v="  "/>
    <s v="                "/>
  </r>
  <r>
    <x v="0"/>
    <s v="CC"/>
    <x v="11"/>
    <x v="11"/>
    <s v="DE AVILA"/>
    <s v="ARRIETA"/>
    <s v="BRAYAN"/>
    <s v="RAFAEL"/>
    <s v="BOGOTA_D.E."/>
    <s v="BOGOTA"/>
    <s v="1. DEPENDIENTE"/>
    <s v="NINGUNO"/>
    <n v="24"/>
    <s v="NO"/>
    <s v="NO"/>
    <m/>
    <s v="NO"/>
    <m/>
    <s v="Todos los sistemas (ARL, AFP, CCF, EPS)"/>
    <n v="46055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"/>
    <n v="980747"/>
    <n v="0.16"/>
    <n v="157000"/>
    <s v=" "/>
    <n v="0"/>
    <n v="0"/>
    <n v="0"/>
    <n v="0"/>
    <n v="0"/>
    <n v="157000"/>
    <s v="NINGUNA"/>
    <x v="3"/>
    <n v="2"/>
    <n v="980747"/>
    <n v="0.125"/>
    <n v="122600"/>
    <n v="0"/>
    <s v="               "/>
    <n v="0"/>
    <s v="               "/>
    <n v="0"/>
    <s v="NINGUNA"/>
    <x v="0"/>
    <n v="2"/>
    <n v="980747"/>
    <n v="6.9599999999999995E-2"/>
    <s v="5"/>
    <s v="CENTRO TRABAJO 24"/>
    <s v="5711001"/>
    <n v="68300"/>
    <n v="2"/>
    <x v="0"/>
    <n v="1535765"/>
    <n v="0.04"/>
    <n v="61500"/>
    <n v="1535765"/>
    <n v="0.02"/>
    <n v="30800"/>
    <n v="0.03"/>
    <n v="46100"/>
    <n v="0"/>
    <n v="0"/>
    <n v="0"/>
    <n v="0"/>
    <s v="SI"/>
    <s v="  "/>
    <s v="                "/>
  </r>
  <r>
    <x v="0"/>
    <s v="CC"/>
    <x v="12"/>
    <x v="12"/>
    <s v="RODRIGUEZ"/>
    <s v="CONTRERAS"/>
    <s v="BLADIMIR"/>
    <s v="JOSE"/>
    <s v="LA_GUAJIRA"/>
    <s v="RIOHACHA"/>
    <s v="1. DEPENDIENTE"/>
    <s v="NINGUNO"/>
    <n v="20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2602824"/>
    <n v="0.16"/>
    <n v="416500"/>
    <s v=" "/>
    <n v="0"/>
    <n v="0"/>
    <n v="0"/>
    <n v="0"/>
    <n v="0"/>
    <n v="416500"/>
    <s v="NINGUNA"/>
    <x v="3"/>
    <n v="30"/>
    <n v="2602824"/>
    <n v="0.04"/>
    <n v="104200"/>
    <n v="0"/>
    <s v="               "/>
    <n v="0"/>
    <s v="               "/>
    <n v="0"/>
    <s v="NINGUNA"/>
    <x v="0"/>
    <n v="30"/>
    <n v="2602824"/>
    <n v="6.9599999999999995E-2"/>
    <s v="5"/>
    <s v="CENTRO TRABAJO 30"/>
    <s v="5711001"/>
    <n v="181200"/>
    <n v="30"/>
    <x v="1"/>
    <n v="2602824"/>
    <n v="0.04"/>
    <n v="104200"/>
    <n v="2602824"/>
    <n v="0"/>
    <n v="0"/>
    <n v="0"/>
    <n v="0"/>
    <n v="0"/>
    <n v="0"/>
    <n v="0"/>
    <n v="0"/>
    <s v="SI"/>
    <s v="  "/>
    <s v="                "/>
  </r>
  <r>
    <x v="0"/>
    <s v="CC"/>
    <x v="13"/>
    <x v="13"/>
    <s v="PACHECO"/>
    <s v="AGUDELO"/>
    <s v="DANIEL"/>
    <s v="JOSE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59702"/>
    <n v="0.16"/>
    <n v="329600"/>
    <s v=" "/>
    <n v="0"/>
    <n v="0"/>
    <n v="0"/>
    <n v="0"/>
    <n v="0"/>
    <n v="329600"/>
    <s v="NINGUNA"/>
    <x v="0"/>
    <n v="30"/>
    <n v="2059702"/>
    <n v="0.04"/>
    <n v="82400"/>
    <n v="0"/>
    <s v="               "/>
    <n v="0"/>
    <s v="               "/>
    <n v="0"/>
    <s v="NINGUNA"/>
    <x v="0"/>
    <n v="30"/>
    <n v="2059702"/>
    <n v="6.9599999999999995E-2"/>
    <s v="5"/>
    <s v="CENTRO TRABAJO 30"/>
    <s v="5711001"/>
    <n v="143400"/>
    <n v="30"/>
    <x v="1"/>
    <n v="2059702"/>
    <n v="0.04"/>
    <n v="82400"/>
    <n v="2059702"/>
    <n v="0"/>
    <n v="0"/>
    <n v="0"/>
    <n v="0"/>
    <n v="0"/>
    <n v="0"/>
    <n v="0"/>
    <n v="0"/>
    <s v="SI"/>
    <s v="  "/>
    <s v="                "/>
  </r>
  <r>
    <x v="0"/>
    <s v="CC"/>
    <x v="14"/>
    <x v="14"/>
    <s v="CERVANTES"/>
    <s v="MUÑOZ"/>
    <s v="ONER"/>
    <s v="DAVID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"/>
    <n v="116727"/>
    <n v="0.16"/>
    <n v="18700"/>
    <s v=" "/>
    <n v="0"/>
    <n v="0"/>
    <n v="0"/>
    <n v="0"/>
    <n v="0"/>
    <n v="18700"/>
    <s v="NINGUNA"/>
    <x v="3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4"/>
    <x v="14"/>
    <s v="CERVANTES"/>
    <s v="MUÑOZ"/>
    <s v="ONER"/>
    <s v="DAVID"/>
    <s v="BOGOTA_D.E."/>
    <s v="BOGOTA"/>
    <s v="1. DEPENDIENTE"/>
    <s v="NINGUNO"/>
    <n v="24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1"/>
    <n v="721400"/>
    <n v="0.16"/>
    <n v="115500"/>
    <s v=" "/>
    <n v="0"/>
    <n v="0"/>
    <n v="0"/>
    <n v="0"/>
    <n v="0"/>
    <n v="115500"/>
    <s v="NINGUNA"/>
    <x v="3"/>
    <n v="1"/>
    <n v="721400"/>
    <n v="0.04"/>
    <n v="28900"/>
    <n v="0"/>
    <s v="               "/>
    <n v="0"/>
    <s v="               "/>
    <n v="0"/>
    <s v="NINGUNA"/>
    <x v="0"/>
    <n v="1"/>
    <n v="721400"/>
    <n v="6.9599999999999995E-2"/>
    <s v="5"/>
    <s v="CENTRO TRABAJO 24"/>
    <s v="5711001"/>
    <n v="50300"/>
    <n v="1"/>
    <x v="0"/>
    <n v="1302414"/>
    <n v="0.04"/>
    <n v="52100"/>
    <n v="1302414"/>
    <n v="0"/>
    <n v="0"/>
    <n v="0"/>
    <n v="0"/>
    <n v="0"/>
    <n v="0"/>
    <n v="0"/>
    <n v="0"/>
    <s v="SI"/>
    <s v="  "/>
    <s v="                "/>
  </r>
  <r>
    <x v="0"/>
    <s v="CC"/>
    <x v="15"/>
    <x v="15"/>
    <s v="CUEVA"/>
    <s v="CONTRERAS"/>
    <s v="EDAIR"/>
    <s v="ALEJANDR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110655"/>
    <n v="0.16"/>
    <n v="337800"/>
    <s v=" "/>
    <n v="0"/>
    <n v="0"/>
    <n v="0"/>
    <n v="0"/>
    <n v="0"/>
    <n v="337800"/>
    <s v="NINGUNA"/>
    <x v="0"/>
    <n v="30"/>
    <n v="2110655"/>
    <n v="0.04"/>
    <n v="84500"/>
    <n v="0"/>
    <s v="               "/>
    <n v="0"/>
    <s v="               "/>
    <n v="0"/>
    <s v="NINGUNA"/>
    <x v="0"/>
    <n v="30"/>
    <n v="2110655"/>
    <n v="6.9599999999999995E-2"/>
    <s v="5"/>
    <s v="CENTRO TRABAJO 30"/>
    <s v="5711001"/>
    <n v="147000"/>
    <n v="30"/>
    <x v="1"/>
    <n v="2110655"/>
    <n v="0.04"/>
    <n v="84500"/>
    <n v="2110655"/>
    <n v="0"/>
    <n v="0"/>
    <n v="0"/>
    <n v="0"/>
    <n v="0"/>
    <n v="0"/>
    <n v="0"/>
    <n v="0"/>
    <s v="SI"/>
    <s v="  "/>
    <s v="                "/>
  </r>
  <r>
    <x v="0"/>
    <s v="CC"/>
    <x v="16"/>
    <x v="16"/>
    <s v="GOMEZ"/>
    <s v="ORTEGA"/>
    <s v="JEINER"/>
    <s v="JOS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5"/>
    <n v="46056"/>
    <s v="NO"/>
    <m/>
    <m/>
    <s v="NO"/>
    <m/>
    <m/>
    <s v="NO"/>
    <s v="NO"/>
    <m/>
    <m/>
    <n v="0"/>
    <m/>
    <m/>
    <s v="NO"/>
    <n v="2074908"/>
    <s v="NO"/>
    <s v="NO"/>
    <x v="0"/>
    <n v="2"/>
    <n v="162980"/>
    <n v="0.16"/>
    <n v="26100"/>
    <s v=" "/>
    <n v="0"/>
    <n v="0"/>
    <n v="0"/>
    <n v="0"/>
    <n v="0"/>
    <n v="26100"/>
    <s v="NINGUNA"/>
    <x v="0"/>
    <n v="2"/>
    <n v="162980"/>
    <n v="0.04"/>
    <n v="6600"/>
    <n v="0"/>
    <s v="               "/>
    <n v="0"/>
    <s v="               "/>
    <n v="0"/>
    <s v="NINGUNA"/>
    <x v="0"/>
    <n v="2"/>
    <n v="162980"/>
    <n v="0"/>
    <s v="5"/>
    <s v="CENTRO TRABAJO 30"/>
    <s v="5711001"/>
    <n v="0"/>
    <n v="2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6"/>
    <x v="16"/>
    <s v="GOMEZ"/>
    <s v="ORTEGA"/>
    <s v="JEINER"/>
    <s v="JOSE"/>
    <s v="LA_GUAJIRA"/>
    <s v="RIOHACHA"/>
    <s v="1. DEPENDIENTE"/>
    <s v="NINGUNO"/>
    <n v="18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28"/>
    <n v="2237443"/>
    <n v="0.16"/>
    <n v="358000"/>
    <s v=" "/>
    <n v="0"/>
    <n v="0"/>
    <n v="0"/>
    <n v="0"/>
    <n v="0"/>
    <n v="358000"/>
    <s v="NINGUNA"/>
    <x v="0"/>
    <n v="28"/>
    <n v="2237443"/>
    <n v="0.04"/>
    <n v="89500"/>
    <n v="0"/>
    <s v="               "/>
    <n v="0"/>
    <s v="               "/>
    <n v="0"/>
    <s v="NINGUNA"/>
    <x v="0"/>
    <n v="28"/>
    <n v="2237443"/>
    <n v="6.9599999999999995E-2"/>
    <s v="5"/>
    <s v="CENTRO TRABAJO 30"/>
    <s v="5711001"/>
    <n v="155800"/>
    <n v="28"/>
    <x v="1"/>
    <n v="2237443"/>
    <n v="0.04"/>
    <n v="89500"/>
    <n v="2237443"/>
    <n v="0"/>
    <n v="0"/>
    <n v="0"/>
    <n v="0"/>
    <n v="0"/>
    <n v="0"/>
    <n v="0"/>
    <n v="0"/>
    <s v="SI"/>
    <s v="  "/>
    <s v="                "/>
  </r>
  <r>
    <x v="0"/>
    <s v="CC"/>
    <x v="17"/>
    <x v="17"/>
    <s v="BRITO"/>
    <s v="BRITO"/>
    <s v="NEIDER"/>
    <s v="IVAN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69651"/>
    <n v="0.16"/>
    <n v="331200"/>
    <s v=" "/>
    <n v="0"/>
    <n v="0"/>
    <n v="0"/>
    <n v="0"/>
    <n v="0"/>
    <n v="331200"/>
    <s v="NINGUNA"/>
    <x v="0"/>
    <n v="30"/>
    <n v="2069651"/>
    <n v="0.04"/>
    <n v="82800"/>
    <n v="0"/>
    <s v="               "/>
    <n v="0"/>
    <s v="               "/>
    <n v="0"/>
    <s v="NINGUNA"/>
    <x v="0"/>
    <n v="30"/>
    <n v="2069651"/>
    <n v="6.9599999999999995E-2"/>
    <s v="5"/>
    <s v="CENTRO TRABAJO 30"/>
    <s v="5711001"/>
    <n v="144100"/>
    <n v="30"/>
    <x v="1"/>
    <n v="2069651"/>
    <n v="0.04"/>
    <n v="82800"/>
    <n v="2069651"/>
    <n v="0"/>
    <n v="0"/>
    <n v="0"/>
    <n v="0"/>
    <n v="0"/>
    <n v="0"/>
    <n v="0"/>
    <n v="0"/>
    <s v="SI"/>
    <s v="  "/>
    <s v="                "/>
  </r>
  <r>
    <x v="0"/>
    <s v="CC"/>
    <x v="18"/>
    <x v="18"/>
    <s v="MARTINEZ"/>
    <s v="LARA"/>
    <s v="CAMILO"/>
    <s v="ENRIQU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1"/>
    <n v="58364"/>
    <n v="0.16"/>
    <n v="9400"/>
    <s v=" "/>
    <n v="0"/>
    <n v="0"/>
    <n v="0"/>
    <n v="0"/>
    <n v="0"/>
    <n v="9400"/>
    <s v="NINGUNA"/>
    <x v="2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8"/>
    <x v="18"/>
    <s v="MARTINEZ"/>
    <s v="LARA"/>
    <s v="CAMILO"/>
    <s v="ENRIQU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0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"/>
    <n v="116727"/>
    <n v="0.16"/>
    <n v="18700"/>
    <s v=" "/>
    <n v="0"/>
    <n v="0"/>
    <n v="0"/>
    <n v="0"/>
    <n v="0"/>
    <n v="18700"/>
    <s v="NINGUNA"/>
    <x v="2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30"/>
    <s v="5711001"/>
    <n v="0"/>
    <n v="2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8"/>
    <x v="18"/>
    <s v="MARTINEZ"/>
    <s v="LARA"/>
    <s v="CAMILO"/>
    <s v="ENRIQUE"/>
    <s v="LA_GUAJIRA"/>
    <s v="RIOHACHA"/>
    <s v="1. DEPENDIENTE"/>
    <s v="NINGUNO"/>
    <n v="18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7"/>
    <n v="1859541"/>
    <n v="0.16"/>
    <n v="297600"/>
    <s v=" "/>
    <n v="0"/>
    <n v="0"/>
    <n v="0"/>
    <n v="0"/>
    <n v="0"/>
    <n v="297600"/>
    <s v="NINGUNA"/>
    <x v="2"/>
    <n v="27"/>
    <n v="1859541"/>
    <n v="0.04"/>
    <n v="74400"/>
    <n v="0"/>
    <s v="               "/>
    <n v="0"/>
    <s v="               "/>
    <n v="0"/>
    <s v="NINGUNA"/>
    <x v="0"/>
    <n v="27"/>
    <n v="1859541"/>
    <n v="6.9599999999999995E-2"/>
    <s v="5"/>
    <s v="CENTRO TRABAJO 30"/>
    <s v="5711001"/>
    <n v="129500"/>
    <n v="27"/>
    <x v="1"/>
    <n v="1859541"/>
    <n v="0.04"/>
    <n v="74400"/>
    <n v="1859541"/>
    <n v="0"/>
    <n v="0"/>
    <n v="0"/>
    <n v="0"/>
    <n v="0"/>
    <n v="0"/>
    <n v="0"/>
    <n v="0"/>
    <s v="SI"/>
    <s v="  "/>
    <s v="                "/>
  </r>
  <r>
    <x v="0"/>
    <s v="CC"/>
    <x v="19"/>
    <x v="19"/>
    <s v="IPUANA"/>
    <s v="URIANA"/>
    <s v="SAMIR"/>
    <s v="ANTONI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1"/>
    <n v="58364"/>
    <n v="0.16"/>
    <n v="9400"/>
    <s v=" "/>
    <n v="0"/>
    <n v="0"/>
    <n v="0"/>
    <n v="0"/>
    <n v="0"/>
    <n v="9400"/>
    <s v="NINGUNA"/>
    <x v="0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9"/>
    <x v="19"/>
    <s v="IPUANA"/>
    <s v="URIANA"/>
    <s v="SAMIR"/>
    <s v="ANTONIO"/>
    <s v="LA_GUAJIRA"/>
    <s v="RIOHACHA"/>
    <s v="1. DEPENDIENTE"/>
    <s v="NINGUNO"/>
    <n v="21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9"/>
    <n v="2035959"/>
    <n v="0.16"/>
    <n v="325800"/>
    <s v=" "/>
    <n v="0"/>
    <n v="0"/>
    <n v="0"/>
    <n v="0"/>
    <n v="0"/>
    <n v="325800"/>
    <s v="NINGUNA"/>
    <x v="0"/>
    <n v="29"/>
    <n v="2035959"/>
    <n v="0.04"/>
    <n v="81500"/>
    <n v="0"/>
    <s v="               "/>
    <n v="0"/>
    <s v="               "/>
    <n v="0"/>
    <s v="NINGUNA"/>
    <x v="0"/>
    <n v="29"/>
    <n v="2035959"/>
    <n v="6.9599999999999995E-2"/>
    <s v="5"/>
    <s v="CENTRO TRABAJO 30"/>
    <s v="5711001"/>
    <n v="141800"/>
    <n v="29"/>
    <x v="1"/>
    <n v="2035959"/>
    <n v="0.04"/>
    <n v="81500"/>
    <n v="2035959"/>
    <n v="0"/>
    <n v="0"/>
    <n v="0"/>
    <n v="0"/>
    <n v="0"/>
    <n v="0"/>
    <n v="0"/>
    <n v="0"/>
    <s v="SI"/>
    <s v="  "/>
    <s v="                "/>
  </r>
  <r>
    <x v="0"/>
    <s v="CC"/>
    <x v="20"/>
    <x v="20"/>
    <s v="RIZO"/>
    <s v="RIVAS"/>
    <s v="ANDRES"/>
    <s v="MANUEL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"/>
    <n v="116727"/>
    <n v="0.16"/>
    <n v="18700"/>
    <s v=" "/>
    <n v="0"/>
    <n v="0"/>
    <n v="0"/>
    <n v="0"/>
    <n v="0"/>
    <n v="18700"/>
    <s v="NINGUNA"/>
    <x v="7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30"/>
    <s v="5711001"/>
    <n v="0"/>
    <n v="2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0"/>
    <x v="20"/>
    <s v="RIZO"/>
    <s v="RIVAS"/>
    <s v="ANDRES"/>
    <s v="MANUEL"/>
    <s v="LA_GUAJIRA"/>
    <s v="RIOHACHA"/>
    <s v="1. DEPENDIENTE"/>
    <s v="NINGUNO"/>
    <n v="19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8"/>
    <n v="1982769"/>
    <n v="0.16"/>
    <n v="317300"/>
    <s v=" "/>
    <n v="0"/>
    <n v="0"/>
    <n v="0"/>
    <n v="0"/>
    <n v="0"/>
    <n v="317300"/>
    <s v="NINGUNA"/>
    <x v="7"/>
    <n v="28"/>
    <n v="1982769"/>
    <n v="0.04"/>
    <n v="79400"/>
    <n v="0"/>
    <s v="               "/>
    <n v="0"/>
    <s v="               "/>
    <n v="0"/>
    <s v="NINGUNA"/>
    <x v="0"/>
    <n v="28"/>
    <n v="1982769"/>
    <n v="6.9599999999999995E-2"/>
    <s v="5"/>
    <s v="CENTRO TRABAJO 30"/>
    <s v="5711001"/>
    <n v="138100"/>
    <n v="28"/>
    <x v="1"/>
    <n v="1982769"/>
    <n v="0.04"/>
    <n v="79400"/>
    <n v="1982769"/>
    <n v="0"/>
    <n v="0"/>
    <n v="0"/>
    <n v="0"/>
    <n v="0"/>
    <n v="0"/>
    <n v="0"/>
    <n v="0"/>
    <s v="SI"/>
    <s v="  "/>
    <s v="                "/>
  </r>
  <r>
    <x v="0"/>
    <s v="CC"/>
    <x v="21"/>
    <x v="21"/>
    <s v="DIAZ"/>
    <s v="LOPEZ"/>
    <s v="JAIME"/>
    <s v="LUIS"/>
    <s v="LA_GUAJIRA"/>
    <s v="RIOHACHA"/>
    <s v="1. DEPENDIENTE"/>
    <s v="NINGUNO"/>
    <n v="204"/>
    <s v="NO"/>
    <s v="NO"/>
    <m/>
    <s v="NO"/>
    <m/>
    <s v="Todos los sistemas (ARL, AFP, CCF, EPS)"/>
    <n v="4607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3"/>
    <n v="2062991"/>
    <n v="0.16"/>
    <n v="330100"/>
    <s v=" "/>
    <n v="0"/>
    <n v="0"/>
    <n v="0"/>
    <n v="0"/>
    <n v="0"/>
    <n v="330100"/>
    <s v="NINGUNA"/>
    <x v="0"/>
    <n v="23"/>
    <n v="2062991"/>
    <n v="0.04"/>
    <n v="82600"/>
    <n v="0"/>
    <s v="               "/>
    <n v="0"/>
    <s v="               "/>
    <n v="0"/>
    <s v="NINGUNA"/>
    <x v="0"/>
    <n v="23"/>
    <n v="2062991"/>
    <n v="6.9599999999999995E-2"/>
    <s v="5"/>
    <s v="CENTRO TRABAJO 30"/>
    <s v="5711001"/>
    <n v="143600"/>
    <n v="23"/>
    <x v="1"/>
    <n v="2780760"/>
    <n v="0.04"/>
    <n v="111300"/>
    <n v="2780760"/>
    <n v="0"/>
    <n v="0"/>
    <n v="0"/>
    <n v="0"/>
    <n v="0"/>
    <n v="0"/>
    <n v="0"/>
    <n v="0"/>
    <s v="SI"/>
    <s v="  "/>
    <s v="                "/>
  </r>
  <r>
    <x v="0"/>
    <s v="CC"/>
    <x v="22"/>
    <x v="22"/>
    <s v="MENDOZA"/>
    <s v="VALDEZ"/>
    <s v="ARAMIS"/>
    <s v=""/>
    <s v="BOGOTA_D.E."/>
    <s v="BOGOTA"/>
    <s v="1. DEPENDIENTE"/>
    <s v="NINGUNO"/>
    <n v="22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3157161"/>
    <n v="0.16"/>
    <n v="505200"/>
    <s v=" "/>
    <n v="0"/>
    <n v="0"/>
    <n v="0"/>
    <n v="0"/>
    <n v="0"/>
    <n v="505200"/>
    <s v="NINGUNA"/>
    <x v="3"/>
    <n v="30"/>
    <n v="3157161"/>
    <n v="0.04"/>
    <n v="126300"/>
    <n v="0"/>
    <s v="               "/>
    <n v="0"/>
    <s v="               "/>
    <n v="0"/>
    <s v="NINGUNA"/>
    <x v="0"/>
    <n v="30"/>
    <n v="3157161"/>
    <n v="6.9599999999999995E-2"/>
    <s v="5"/>
    <s v="CENTRO TRABAJO 24"/>
    <s v="5711001"/>
    <n v="219800"/>
    <n v="30"/>
    <x v="0"/>
    <n v="3157161"/>
    <n v="0.04"/>
    <n v="126300"/>
    <n v="3157161"/>
    <n v="0"/>
    <n v="0"/>
    <n v="0"/>
    <n v="0"/>
    <n v="0"/>
    <n v="0"/>
    <n v="0"/>
    <n v="0"/>
    <s v="SI"/>
    <s v="  "/>
    <s v="                "/>
  </r>
  <r>
    <x v="0"/>
    <s v="CC"/>
    <x v="23"/>
    <x v="23"/>
    <s v="MEJIA"/>
    <s v="SIERRA"/>
    <s v="ABRAHAN"/>
    <s v="JOS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1"/>
    <n v="59520"/>
    <n v="0.16"/>
    <n v="9600"/>
    <s v=" "/>
    <n v="0"/>
    <n v="0"/>
    <n v="0"/>
    <n v="0"/>
    <n v="0"/>
    <n v="9600"/>
    <s v="NINGUNA"/>
    <x v="2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3"/>
    <x v="23"/>
    <s v="MEJIA"/>
    <s v="SIERRA"/>
    <s v="ABRAHAN"/>
    <s v="JOSE"/>
    <s v="LA_GUAJIRA"/>
    <s v="RIOHACHA"/>
    <s v="1. DEPENDIENTE"/>
    <s v="NINGUNO"/>
    <n v="162"/>
    <s v="NO"/>
    <s v="NO"/>
    <m/>
    <s v="NO"/>
    <m/>
    <s v="Todos los sistemas (ARL, AFP, CCF, EPS)"/>
    <n v="4607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22"/>
    <n v="1682166"/>
    <n v="0.16"/>
    <n v="269200"/>
    <s v=" "/>
    <n v="0"/>
    <n v="0"/>
    <n v="0"/>
    <n v="0"/>
    <n v="0"/>
    <n v="269200"/>
    <s v="NINGUNA"/>
    <x v="2"/>
    <n v="22"/>
    <n v="1682166"/>
    <n v="0.04"/>
    <n v="67300"/>
    <n v="0"/>
    <s v="               "/>
    <n v="0"/>
    <s v="               "/>
    <n v="0"/>
    <s v="NINGUNA"/>
    <x v="0"/>
    <n v="22"/>
    <n v="1682166"/>
    <n v="6.9599999999999995E-2"/>
    <s v="5"/>
    <s v="CENTRO TRABAJO 30"/>
    <s v="5711001"/>
    <n v="117100"/>
    <n v="22"/>
    <x v="1"/>
    <n v="2503076"/>
    <n v="0.04"/>
    <n v="100200"/>
    <n v="2503076"/>
    <n v="0"/>
    <n v="0"/>
    <n v="0"/>
    <n v="0"/>
    <n v="0"/>
    <n v="0"/>
    <n v="0"/>
    <n v="0"/>
    <s v="SI"/>
    <s v="  "/>
    <s v="                "/>
  </r>
  <r>
    <x v="0"/>
    <s v="CC"/>
    <x v="24"/>
    <x v="24"/>
    <s v="SIERRA"/>
    <s v="CASTRO"/>
    <s v="JUAN"/>
    <s v="DAVID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2452635"/>
    <n v="0.16"/>
    <n v="392500"/>
    <s v=" "/>
    <n v="0"/>
    <n v="0"/>
    <n v="0"/>
    <n v="0"/>
    <n v="0"/>
    <n v="392500"/>
    <s v="NINGUNA"/>
    <x v="0"/>
    <n v="30"/>
    <n v="2452635"/>
    <n v="0.04"/>
    <n v="98200"/>
    <n v="0"/>
    <s v="               "/>
    <n v="0"/>
    <s v="               "/>
    <n v="0"/>
    <s v="NINGUNA"/>
    <x v="0"/>
    <n v="30"/>
    <n v="2452635"/>
    <n v="6.9599999999999995E-2"/>
    <s v="5"/>
    <s v="CENTRO TRABAJO 30"/>
    <s v="5711001"/>
    <n v="170800"/>
    <n v="30"/>
    <x v="1"/>
    <n v="2452635"/>
    <n v="0.04"/>
    <n v="98200"/>
    <n v="2452635"/>
    <n v="0"/>
    <n v="0"/>
    <n v="0"/>
    <n v="0"/>
    <n v="0"/>
    <n v="0"/>
    <n v="0"/>
    <n v="0"/>
    <s v="SI"/>
    <s v="  "/>
    <s v="                "/>
  </r>
  <r>
    <x v="0"/>
    <s v="CE"/>
    <x v="25"/>
    <x v="25"/>
    <s v="HEREDIA"/>
    <s v="MENDOZA"/>
    <s v="HECTOR"/>
    <s v="YOHAN"/>
    <s v="VALLE"/>
    <s v="CALI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7656636"/>
    <s v="NO"/>
    <s v="NO"/>
    <x v="3"/>
    <n v="7"/>
    <n v="1786549"/>
    <n v="0.16"/>
    <n v="285900"/>
    <s v=" "/>
    <n v="0"/>
    <n v="0"/>
    <n v="9000"/>
    <n v="9000"/>
    <n v="0"/>
    <n v="303900"/>
    <s v="NINGUNA"/>
    <x v="2"/>
    <n v="7"/>
    <n v="1786549"/>
    <n v="0.04"/>
    <n v="71500"/>
    <n v="0"/>
    <s v="               "/>
    <n v="0"/>
    <s v="               "/>
    <n v="0"/>
    <s v="NINGUNA"/>
    <x v="0"/>
    <n v="7"/>
    <n v="1786549"/>
    <n v="0"/>
    <s v="5"/>
    <s v="CENTRO TRABAJO 56"/>
    <s v="5711001"/>
    <n v="0"/>
    <n v="7"/>
    <x v="3"/>
    <n v="1786549"/>
    <n v="0.04"/>
    <n v="71500"/>
    <n v="1786549"/>
    <n v="0"/>
    <n v="0"/>
    <n v="0"/>
    <n v="0"/>
    <n v="0"/>
    <n v="0"/>
    <n v="0"/>
    <n v="0"/>
    <s v="SI"/>
    <s v="  "/>
    <s v="                "/>
  </r>
  <r>
    <x v="0"/>
    <s v="CE"/>
    <x v="25"/>
    <x v="25"/>
    <s v="HEREDIA"/>
    <s v="MENDOZA"/>
    <s v="HECTOR"/>
    <s v="YOHAN"/>
    <s v="VALLE"/>
    <s v="CALI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7656636"/>
    <s v="NO"/>
    <s v="NO"/>
    <x v="3"/>
    <n v="23"/>
    <n v="5870088"/>
    <n v="0.16"/>
    <n v="939300"/>
    <s v=" "/>
    <n v="0"/>
    <n v="0"/>
    <n v="29400"/>
    <n v="29400"/>
    <n v="0"/>
    <n v="998100"/>
    <s v="NINGUNA"/>
    <x v="2"/>
    <n v="23"/>
    <n v="5870088"/>
    <n v="0.04"/>
    <n v="234900"/>
    <n v="0"/>
    <s v="               "/>
    <n v="0"/>
    <s v="               "/>
    <n v="0"/>
    <s v="NINGUNA"/>
    <x v="0"/>
    <n v="23"/>
    <n v="5870088"/>
    <n v="6.9599999999999995E-2"/>
    <s v="5"/>
    <s v="CENTRO TRABAJO 56"/>
    <s v="5711001"/>
    <n v="408600"/>
    <n v="23"/>
    <x v="3"/>
    <n v="5870088"/>
    <n v="0.04"/>
    <n v="234900"/>
    <n v="5870088"/>
    <n v="0"/>
    <n v="0"/>
    <n v="0"/>
    <n v="0"/>
    <n v="0"/>
    <n v="0"/>
    <n v="0"/>
    <n v="0"/>
    <s v="SI"/>
    <s v="  "/>
    <s v="                "/>
  </r>
  <r>
    <x v="0"/>
    <s v="CC"/>
    <x v="26"/>
    <x v="26"/>
    <s v="VARGAS"/>
    <s v="PARRA"/>
    <s v="JUAN"/>
    <s v="MANUEL"/>
    <s v="BOGOTA_D.E."/>
    <s v="BOGOTA"/>
    <s v="1. DEPENDIENTE"/>
    <s v="NINGUNO"/>
    <n v="74"/>
    <s v="NO"/>
    <s v="NO"/>
    <m/>
    <s v="Todos los sistemas (ARL, AFP, CCF, EPS)"/>
    <n v="46071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13"/>
    <n v="922706"/>
    <n v="0.16"/>
    <n v="147700"/>
    <s v=" "/>
    <n v="0"/>
    <n v="0"/>
    <n v="0"/>
    <n v="0"/>
    <n v="0"/>
    <n v="147700"/>
    <s v="NINGUNA"/>
    <x v="8"/>
    <n v="13"/>
    <n v="922706"/>
    <n v="0.04"/>
    <n v="37000"/>
    <n v="0"/>
    <s v="               "/>
    <n v="0"/>
    <s v="               "/>
    <n v="0"/>
    <s v="NINGUNA"/>
    <x v="0"/>
    <n v="13"/>
    <n v="922706"/>
    <n v="6.9599999999999995E-2"/>
    <s v="5"/>
    <s v="CENTRO TRABAJO 24"/>
    <s v="5711001"/>
    <n v="64300"/>
    <n v="13"/>
    <x v="0"/>
    <n v="922706"/>
    <n v="0.04"/>
    <n v="37000"/>
    <n v="922706"/>
    <n v="0"/>
    <n v="0"/>
    <n v="0"/>
    <n v="0"/>
    <n v="0"/>
    <n v="0"/>
    <n v="0"/>
    <n v="0"/>
    <s v="SI"/>
    <s v="  "/>
    <s v="                "/>
  </r>
  <r>
    <x v="0"/>
    <s v="CC"/>
    <x v="27"/>
    <x v="27"/>
    <s v="CORREA"/>
    <s v="SANCHEZ"/>
    <s v="LUISA"/>
    <s v="FERNANDA"/>
    <s v="BOGOTA_D.E."/>
    <s v="BOGOTA"/>
    <s v="1. DEPENDIENTE"/>
    <s v="NINGUNO"/>
    <n v="74"/>
    <s v="NO"/>
    <s v="NO"/>
    <m/>
    <s v="Todos los sistemas (ARL, AFP, CCF, EPS)"/>
    <n v="46071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1"/>
    <n v="13"/>
    <n v="794049"/>
    <n v="0.16"/>
    <n v="127100"/>
    <s v=" "/>
    <n v="0"/>
    <n v="0"/>
    <n v="0"/>
    <n v="0"/>
    <n v="0"/>
    <n v="127100"/>
    <s v="NINGUNA"/>
    <x v="0"/>
    <n v="13"/>
    <n v="794049"/>
    <n v="0.04"/>
    <n v="31800"/>
    <n v="0"/>
    <s v="               "/>
    <n v="0"/>
    <s v="               "/>
    <n v="0"/>
    <s v="NINGUNA"/>
    <x v="0"/>
    <n v="13"/>
    <n v="794049"/>
    <n v="6.9599999999999995E-2"/>
    <s v="5"/>
    <s v="CENTRO TRABAJO 24"/>
    <s v="5711001"/>
    <n v="55300"/>
    <n v="13"/>
    <x v="0"/>
    <n v="794049"/>
    <n v="0.04"/>
    <n v="31800"/>
    <n v="794049"/>
    <n v="0"/>
    <n v="0"/>
    <n v="0"/>
    <n v="0"/>
    <n v="0"/>
    <n v="0"/>
    <n v="0"/>
    <n v="0"/>
    <s v="SI"/>
    <s v="  "/>
    <s v="                "/>
  </r>
  <r>
    <x v="0"/>
    <s v="CC"/>
    <x v="28"/>
    <x v="28"/>
    <s v="GIRALDO"/>
    <s v="MONSALVE"/>
    <s v="JONATHAN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8150490"/>
    <s v="NO"/>
    <s v="NO"/>
    <x v="2"/>
    <n v="1"/>
    <n v="271683"/>
    <n v="0.16"/>
    <n v="43500"/>
    <s v=" "/>
    <n v="0"/>
    <n v="0"/>
    <n v="1400"/>
    <n v="1400"/>
    <n v="0"/>
    <n v="46300"/>
    <s v="NINGUNA"/>
    <x v="9"/>
    <n v="1"/>
    <n v="271683"/>
    <n v="0.04"/>
    <n v="10900"/>
    <n v="0"/>
    <s v="               "/>
    <n v="0"/>
    <s v="               "/>
    <n v="0"/>
    <s v="NINGUNA"/>
    <x v="0"/>
    <n v="1"/>
    <n v="271683"/>
    <n v="0"/>
    <s v="5"/>
    <s v="CENTRO TRABAJO 24"/>
    <s v="5711001"/>
    <n v="0"/>
    <n v="1"/>
    <x v="0"/>
    <n v="271683"/>
    <n v="0.04"/>
    <n v="10900"/>
    <n v="271683"/>
    <n v="0"/>
    <n v="0"/>
    <n v="0"/>
    <n v="0"/>
    <n v="0"/>
    <n v="0"/>
    <n v="0"/>
    <n v="0"/>
    <s v="SI"/>
    <s v="  "/>
    <s v="                "/>
  </r>
  <r>
    <x v="0"/>
    <s v="CC"/>
    <x v="28"/>
    <x v="28"/>
    <s v="GIRALDO"/>
    <s v="MONSALVE"/>
    <s v="JONATHAN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8150490"/>
    <s v="NO"/>
    <s v="NO"/>
    <x v="2"/>
    <n v="1"/>
    <n v="271683"/>
    <n v="0.16"/>
    <n v="43500"/>
    <s v=" "/>
    <n v="0"/>
    <n v="0"/>
    <n v="1400"/>
    <n v="1400"/>
    <n v="0"/>
    <n v="46300"/>
    <s v="NINGUNA"/>
    <x v="9"/>
    <n v="1"/>
    <n v="271683"/>
    <n v="0.04"/>
    <n v="10900"/>
    <n v="0"/>
    <s v="               "/>
    <n v="0"/>
    <s v="               "/>
    <n v="0"/>
    <s v="NINGUNA"/>
    <x v="0"/>
    <n v="1"/>
    <n v="271683"/>
    <n v="0"/>
    <s v="5"/>
    <s v="CENTRO TRABAJO 24"/>
    <s v="5711001"/>
    <n v="0"/>
    <n v="1"/>
    <x v="0"/>
    <n v="271683"/>
    <n v="0.04"/>
    <n v="10900"/>
    <n v="271683"/>
    <n v="0"/>
    <n v="0"/>
    <n v="0"/>
    <n v="0"/>
    <n v="0"/>
    <n v="0"/>
    <n v="0"/>
    <n v="0"/>
    <s v="SI"/>
    <s v="  "/>
    <s v="                "/>
  </r>
  <r>
    <x v="0"/>
    <s v="CC"/>
    <x v="28"/>
    <x v="28"/>
    <s v="GIRALDO"/>
    <s v="MONSALVE"/>
    <s v="JONATHAN"/>
    <s v="ALEXANDER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8150490"/>
    <s v="NO"/>
    <s v="NO"/>
    <x v="2"/>
    <n v="28"/>
    <n v="7844229"/>
    <n v="0.16"/>
    <n v="1255100"/>
    <s v=" "/>
    <n v="0"/>
    <n v="0"/>
    <n v="39300"/>
    <n v="39300"/>
    <n v="0"/>
    <n v="1333700"/>
    <s v="NINGUNA"/>
    <x v="9"/>
    <n v="28"/>
    <n v="7844229"/>
    <n v="0.04"/>
    <n v="313800"/>
    <n v="0"/>
    <s v="               "/>
    <n v="0"/>
    <s v="               "/>
    <n v="0"/>
    <s v="NINGUNA"/>
    <x v="0"/>
    <n v="28"/>
    <n v="7844229"/>
    <n v="6.9599999999999995E-2"/>
    <s v="5"/>
    <s v="CENTRO TRABAJO 24"/>
    <s v="5711001"/>
    <n v="546000"/>
    <n v="28"/>
    <x v="0"/>
    <n v="7844229"/>
    <n v="0.04"/>
    <n v="313800"/>
    <n v="7844229"/>
    <n v="0"/>
    <n v="0"/>
    <n v="0"/>
    <n v="0"/>
    <n v="0"/>
    <n v="0"/>
    <n v="0"/>
    <n v="0"/>
    <s v="SI"/>
    <s v="  "/>
    <s v="                "/>
  </r>
  <r>
    <x v="0"/>
    <s v="CC"/>
    <x v="29"/>
    <x v="29"/>
    <s v="VEGA"/>
    <s v="LARA"/>
    <s v="IVAN"/>
    <s v="ENRIQUE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637686"/>
    <s v="NO"/>
    <s v="NO"/>
    <x v="2"/>
    <n v="30"/>
    <n v="3822877"/>
    <n v="0.16"/>
    <n v="611700"/>
    <s v=" "/>
    <n v="0"/>
    <n v="0"/>
    <n v="0"/>
    <n v="0"/>
    <n v="0"/>
    <n v="611700"/>
    <s v="NINGUNA"/>
    <x v="10"/>
    <n v="30"/>
    <n v="3822877"/>
    <n v="0.04"/>
    <n v="153000"/>
    <n v="0"/>
    <s v="               "/>
    <n v="0"/>
    <s v="               "/>
    <n v="0"/>
    <s v="NINGUNA"/>
    <x v="0"/>
    <n v="30"/>
    <n v="3822877"/>
    <n v="6.9599999999999995E-2"/>
    <s v="5"/>
    <s v="CENTRO TRABAJO 24"/>
    <s v="5711001"/>
    <n v="266100"/>
    <n v="30"/>
    <x v="0"/>
    <n v="3822877"/>
    <n v="0.04"/>
    <n v="153000"/>
    <n v="3822877"/>
    <n v="0"/>
    <n v="0"/>
    <n v="0"/>
    <n v="0"/>
    <n v="0"/>
    <n v="0"/>
    <n v="0"/>
    <n v="0"/>
    <s v="SI"/>
    <s v="  "/>
    <s v="                "/>
  </r>
  <r>
    <x v="0"/>
    <s v="CC"/>
    <x v="30"/>
    <x v="30"/>
    <s v="CONTRERAS"/>
    <s v="LOPEZ"/>
    <s v="MARIA"/>
    <s v="CLAR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2859404"/>
    <s v="NO"/>
    <s v="NO"/>
    <x v="2"/>
    <n v="30"/>
    <n v="2859404"/>
    <n v="0.16"/>
    <n v="457600"/>
    <s v=" "/>
    <n v="0"/>
    <n v="0"/>
    <n v="0"/>
    <n v="0"/>
    <n v="0"/>
    <n v="457600"/>
    <s v="NINGUNA"/>
    <x v="2"/>
    <n v="30"/>
    <n v="2859404"/>
    <n v="0.04"/>
    <n v="114400"/>
    <n v="0"/>
    <s v="               "/>
    <n v="0"/>
    <s v="               "/>
    <n v="0"/>
    <s v="NINGUNA"/>
    <x v="0"/>
    <n v="30"/>
    <n v="2859404"/>
    <n v="5.2199999999999998E-3"/>
    <s v="1"/>
    <s v="CENTRO TRABAJO 24"/>
    <s v="1711001"/>
    <n v="15000"/>
    <n v="30"/>
    <x v="0"/>
    <n v="2859404"/>
    <n v="0.04"/>
    <n v="114400"/>
    <n v="2859404"/>
    <n v="0"/>
    <n v="0"/>
    <n v="0"/>
    <n v="0"/>
    <n v="0"/>
    <n v="0"/>
    <n v="0"/>
    <n v="0"/>
    <s v="SI"/>
    <s v="  "/>
    <s v="                "/>
  </r>
  <r>
    <x v="0"/>
    <s v="CC"/>
    <x v="31"/>
    <x v="31"/>
    <s v="MATEUS"/>
    <s v="RUEDA"/>
    <s v="DANIEL"/>
    <s v="RICAR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8150490"/>
    <s v="NO"/>
    <s v="NO"/>
    <x v="0"/>
    <n v="30"/>
    <n v="11436796"/>
    <n v="0.16"/>
    <n v="1829900"/>
    <s v=" "/>
    <n v="0"/>
    <n v="0"/>
    <n v="57200"/>
    <n v="57200"/>
    <n v="0"/>
    <n v="1944300"/>
    <s v="NINGUNA"/>
    <x v="8"/>
    <n v="30"/>
    <n v="11436796"/>
    <n v="0.04"/>
    <n v="457500"/>
    <n v="0"/>
    <s v="               "/>
    <n v="0"/>
    <s v="               "/>
    <n v="0"/>
    <s v="NINGUNA"/>
    <x v="0"/>
    <n v="30"/>
    <n v="11436796"/>
    <n v="6.9599999999999995E-2"/>
    <s v="5"/>
    <s v="CENTRO TRABAJO 24"/>
    <s v="5711001"/>
    <n v="796100"/>
    <n v="30"/>
    <x v="0"/>
    <n v="11436796"/>
    <n v="0.04"/>
    <n v="457500"/>
    <n v="11436796"/>
    <n v="0"/>
    <n v="0"/>
    <n v="0"/>
    <n v="0"/>
    <n v="0"/>
    <n v="0"/>
    <n v="0"/>
    <n v="0"/>
    <s v="SI"/>
    <s v="  "/>
    <s v="                "/>
  </r>
  <r>
    <x v="0"/>
    <s v="CC"/>
    <x v="32"/>
    <x v="32"/>
    <s v="MORENO"/>
    <s v="MONTAÑO"/>
    <s v="JENIFER"/>
    <s v="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3660341"/>
    <s v="NO"/>
    <s v="NO"/>
    <x v="2"/>
    <n v="30"/>
    <n v="3660341"/>
    <n v="0.16"/>
    <n v="585700"/>
    <s v=" "/>
    <n v="0"/>
    <n v="0"/>
    <n v="0"/>
    <n v="0"/>
    <n v="0"/>
    <n v="585700"/>
    <s v="NINGUNA"/>
    <x v="2"/>
    <n v="30"/>
    <n v="3660341"/>
    <n v="0.04"/>
    <n v="146500"/>
    <n v="0"/>
    <s v="               "/>
    <n v="0"/>
    <s v="               "/>
    <n v="0"/>
    <s v="NINGUNA"/>
    <x v="0"/>
    <n v="30"/>
    <n v="3660341"/>
    <n v="6.9599999999999995E-2"/>
    <s v="5"/>
    <s v="CENTRO TRABAJO 24"/>
    <s v="5711001"/>
    <n v="254800"/>
    <n v="30"/>
    <x v="0"/>
    <n v="3660341"/>
    <n v="0.04"/>
    <n v="146500"/>
    <n v="3660341"/>
    <n v="0"/>
    <n v="0"/>
    <n v="0"/>
    <n v="0"/>
    <n v="0"/>
    <n v="0"/>
    <n v="0"/>
    <n v="0"/>
    <s v="SI"/>
    <s v="  "/>
    <s v="                "/>
  </r>
  <r>
    <x v="0"/>
    <s v="CC"/>
    <x v="33"/>
    <x v="33"/>
    <s v="SAENZ"/>
    <s v="VARGAS"/>
    <s v="FABIO"/>
    <s v="MAURICI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0"/>
    <n v="30"/>
    <n v="5676577"/>
    <n v="0.16"/>
    <n v="908300"/>
    <s v=" "/>
    <n v="0"/>
    <n v="0"/>
    <n v="0"/>
    <n v="0"/>
    <n v="0"/>
    <n v="908300"/>
    <s v="NINGUNA"/>
    <x v="8"/>
    <n v="30"/>
    <n v="5676577"/>
    <n v="0.04"/>
    <n v="227100"/>
    <n v="0"/>
    <s v="               "/>
    <n v="0"/>
    <s v="               "/>
    <n v="0"/>
    <s v="NINGUNA"/>
    <x v="0"/>
    <n v="30"/>
    <n v="5676577"/>
    <n v="6.9599999999999995E-2"/>
    <s v="5"/>
    <s v="CENTRO TRABAJO 24"/>
    <s v="5711001"/>
    <n v="395100"/>
    <n v="30"/>
    <x v="0"/>
    <n v="5676577"/>
    <n v="0.04"/>
    <n v="227100"/>
    <n v="5676577"/>
    <n v="0"/>
    <n v="0"/>
    <n v="0"/>
    <n v="0"/>
    <n v="0"/>
    <n v="0"/>
    <n v="0"/>
    <n v="0"/>
    <s v="SI"/>
    <s v="  "/>
    <s v="                "/>
  </r>
  <r>
    <x v="0"/>
    <s v="CC"/>
    <x v="34"/>
    <x v="34"/>
    <s v="QUIROGA"/>
    <s v="CASTIBLANCO"/>
    <s v="ANDRES"/>
    <s v="EDUAR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798033"/>
    <s v="NO"/>
    <s v="NO"/>
    <x v="0"/>
    <n v="30"/>
    <n v="4798033"/>
    <n v="0.16"/>
    <n v="767700"/>
    <s v=" "/>
    <n v="0"/>
    <n v="0"/>
    <n v="0"/>
    <n v="0"/>
    <n v="0"/>
    <n v="767700"/>
    <s v="NINGUNA"/>
    <x v="8"/>
    <n v="30"/>
    <n v="4798033"/>
    <n v="0.04"/>
    <n v="192000"/>
    <n v="0"/>
    <s v="               "/>
    <n v="0"/>
    <s v="               "/>
    <n v="0"/>
    <s v="NINGUNA"/>
    <x v="0"/>
    <n v="30"/>
    <n v="4798033"/>
    <n v="5.2199999999999998E-3"/>
    <s v="1"/>
    <s v="CENTRO TRABAJO 24"/>
    <s v="1711001"/>
    <n v="25100"/>
    <n v="30"/>
    <x v="0"/>
    <n v="4798033"/>
    <n v="0.04"/>
    <n v="192000"/>
    <n v="4798033"/>
    <n v="0"/>
    <n v="0"/>
    <n v="0"/>
    <n v="0"/>
    <n v="0"/>
    <n v="0"/>
    <n v="0"/>
    <n v="0"/>
    <s v="SI"/>
    <s v="  "/>
    <s v="                "/>
  </r>
  <r>
    <x v="0"/>
    <s v="CC"/>
    <x v="35"/>
    <x v="35"/>
    <s v="VELASQUEZ"/>
    <s v="SANTIAGO"/>
    <s v="NICOLAS"/>
    <s v="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0"/>
    <n v="30"/>
    <n v="5209465"/>
    <n v="0.16"/>
    <n v="833600"/>
    <s v=" "/>
    <n v="0"/>
    <n v="0"/>
    <n v="0"/>
    <n v="0"/>
    <n v="0"/>
    <n v="833600"/>
    <s v="NINGUNA"/>
    <x v="2"/>
    <n v="30"/>
    <n v="5209465"/>
    <n v="0.04"/>
    <n v="208400"/>
    <n v="0"/>
    <s v="               "/>
    <n v="0"/>
    <s v="               "/>
    <n v="0"/>
    <s v="NINGUNA"/>
    <x v="0"/>
    <n v="30"/>
    <n v="5209465"/>
    <n v="5.2199999999999998E-3"/>
    <s v="1"/>
    <s v="CENTRO TRABAJO 24"/>
    <s v="1711001"/>
    <n v="27200"/>
    <n v="30"/>
    <x v="0"/>
    <n v="5209465"/>
    <n v="0.04"/>
    <n v="208400"/>
    <n v="5209465"/>
    <n v="0"/>
    <n v="0"/>
    <n v="0"/>
    <n v="0"/>
    <n v="0"/>
    <n v="0"/>
    <n v="0"/>
    <n v="0"/>
    <s v="SI"/>
    <s v="  "/>
    <s v="                "/>
  </r>
  <r>
    <x v="0"/>
    <s v="CC"/>
    <x v="36"/>
    <x v="36"/>
    <s v="TORRES"/>
    <s v="SONZA"/>
    <s v="ANDRES"/>
    <s v=""/>
    <s v="BOGOTA_D.E."/>
    <s v="BOGOTA"/>
    <s v="1. DEPENDIENTE"/>
    <s v="NINGUNO"/>
    <n v="20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056817"/>
    <n v="0.16"/>
    <n v="329100"/>
    <s v=" "/>
    <n v="0"/>
    <n v="0"/>
    <n v="0"/>
    <n v="0"/>
    <n v="0"/>
    <n v="329100"/>
    <s v="NINGUNA"/>
    <x v="3"/>
    <n v="30"/>
    <n v="2056817"/>
    <n v="0.04"/>
    <n v="82300"/>
    <n v="0"/>
    <s v="               "/>
    <n v="0"/>
    <s v="               "/>
    <n v="0"/>
    <s v="NINGUNA"/>
    <x v="0"/>
    <n v="30"/>
    <n v="2056817"/>
    <n v="6.9599999999999995E-2"/>
    <s v="5"/>
    <s v="CENTRO TRABAJO 24"/>
    <s v="5711001"/>
    <n v="143200"/>
    <n v="30"/>
    <x v="0"/>
    <n v="2056817"/>
    <n v="0.04"/>
    <n v="82300"/>
    <n v="2056817"/>
    <n v="0"/>
    <n v="0"/>
    <n v="0"/>
    <n v="0"/>
    <n v="0"/>
    <n v="0"/>
    <n v="0"/>
    <n v="0"/>
    <s v="SI"/>
    <s v="  "/>
    <s v="                "/>
  </r>
  <r>
    <x v="0"/>
    <s v="CC"/>
    <x v="37"/>
    <x v="37"/>
    <s v="MORENO"/>
    <s v="QUINTANA"/>
    <s v="IVAN"/>
    <s v="ERNESTO"/>
    <s v="BOGOTA_D.E."/>
    <s v="BOGOTA"/>
    <s v="1. DEPENDIENTE"/>
    <s v="NINGUNO"/>
    <n v="23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3179561"/>
    <n v="0.16"/>
    <n v="508800"/>
    <s v=" "/>
    <n v="0"/>
    <n v="0"/>
    <n v="0"/>
    <n v="0"/>
    <n v="0"/>
    <n v="508800"/>
    <s v="NINGUNA"/>
    <x v="0"/>
    <n v="30"/>
    <n v="3179561"/>
    <n v="0.04"/>
    <n v="127200"/>
    <n v="0"/>
    <s v="               "/>
    <n v="0"/>
    <s v="               "/>
    <n v="0"/>
    <s v="NINGUNA"/>
    <x v="0"/>
    <n v="30"/>
    <n v="3179561"/>
    <n v="6.9599999999999995E-2"/>
    <s v="5"/>
    <s v="CENTRO TRABAJO 24"/>
    <s v="5711001"/>
    <n v="221300"/>
    <n v="30"/>
    <x v="0"/>
    <n v="3179561"/>
    <n v="0.04"/>
    <n v="127200"/>
    <n v="3179561"/>
    <n v="0"/>
    <n v="0"/>
    <n v="0"/>
    <n v="0"/>
    <n v="0"/>
    <n v="0"/>
    <n v="0"/>
    <n v="0"/>
    <s v="SI"/>
    <s v="  "/>
    <s v="                "/>
  </r>
  <r>
    <x v="0"/>
    <s v="CC"/>
    <x v="38"/>
    <x v="38"/>
    <s v="CASTILLO"/>
    <s v="DUARTE"/>
    <s v="DEIBY"/>
    <s v="HERNAN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4"/>
    <n v="296446"/>
    <n v="0.16"/>
    <n v="47500"/>
    <s v=" "/>
    <n v="0"/>
    <n v="0"/>
    <n v="0"/>
    <n v="0"/>
    <n v="0"/>
    <n v="47500"/>
    <s v="NINGUNA"/>
    <x v="0"/>
    <n v="4"/>
    <n v="296446"/>
    <n v="0.04"/>
    <n v="11900"/>
    <n v="0"/>
    <s v="               "/>
    <n v="0"/>
    <s v="               "/>
    <n v="0"/>
    <s v="NINGUNA"/>
    <x v="0"/>
    <n v="4"/>
    <n v="296446"/>
    <n v="6.9599999999999995E-2"/>
    <s v="5"/>
    <s v="CENTRO TRABAJO 24"/>
    <s v="5711001"/>
    <n v="20700"/>
    <n v="4"/>
    <x v="0"/>
    <n v="296446"/>
    <n v="0.04"/>
    <n v="11900"/>
    <n v="296446"/>
    <n v="0"/>
    <n v="0"/>
    <n v="0"/>
    <n v="0"/>
    <n v="0"/>
    <n v="0"/>
    <n v="0"/>
    <n v="0"/>
    <s v="SI"/>
    <s v="  "/>
    <s v="                "/>
  </r>
  <r>
    <x v="0"/>
    <s v="CC"/>
    <x v="39"/>
    <x v="39"/>
    <s v="RAMIREZ"/>
    <s v="RIVADENEIRA"/>
    <s v="EDUARDO"/>
    <s v="ENRIQUE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1650406"/>
    <s v="NO"/>
    <s v="SI"/>
    <x v="0"/>
    <n v="30"/>
    <n v="11650406"/>
    <n v="0.16"/>
    <n v="1864100"/>
    <s v=" "/>
    <n v="0"/>
    <n v="0"/>
    <n v="58300"/>
    <n v="58300"/>
    <n v="0"/>
    <n v="1980700"/>
    <s v="NINGUNA"/>
    <x v="9"/>
    <n v="30"/>
    <n v="11650406"/>
    <n v="0.125"/>
    <n v="466100"/>
    <n v="0"/>
    <s v="               "/>
    <n v="0"/>
    <s v="               "/>
    <n v="0"/>
    <s v="NINGUNA"/>
    <x v="0"/>
    <n v="30"/>
    <n v="11650406"/>
    <n v="6.9599999999999995E-2"/>
    <s v="5"/>
    <s v="CENTRO TRABAJO 24"/>
    <s v="5711001"/>
    <n v="810900"/>
    <n v="30"/>
    <x v="0"/>
    <n v="10485365"/>
    <n v="0.04"/>
    <n v="419500"/>
    <n v="10485365"/>
    <n v="0"/>
    <n v="0"/>
    <n v="0"/>
    <n v="0"/>
    <n v="0"/>
    <n v="0"/>
    <n v="0"/>
    <n v="0"/>
    <s v="SI"/>
    <s v="  "/>
    <s v="                "/>
  </r>
  <r>
    <x v="0"/>
    <s v="CC"/>
    <x v="40"/>
    <x v="40"/>
    <s v="QUIJANO"/>
    <s v="ALARCON"/>
    <s v="JOHAN"/>
    <s v="STIVEN"/>
    <s v="BOGOTA_D.E."/>
    <s v="BOGOTA"/>
    <s v="1. DEPENDIENTE"/>
    <s v="NINGUNO"/>
    <n v="2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20709"/>
    <s v="NO"/>
    <s v="NO"/>
    <x v="0"/>
    <n v="30"/>
    <n v="2911072"/>
    <n v="0.16"/>
    <n v="465800"/>
    <s v=" "/>
    <n v="0"/>
    <n v="0"/>
    <n v="0"/>
    <n v="0"/>
    <n v="0"/>
    <n v="465800"/>
    <s v="NINGUNA"/>
    <x v="10"/>
    <n v="30"/>
    <n v="2911072"/>
    <n v="0.04"/>
    <n v="116500"/>
    <n v="0"/>
    <s v="               "/>
    <n v="0"/>
    <s v="               "/>
    <n v="0"/>
    <s v="NINGUNA"/>
    <x v="0"/>
    <n v="30"/>
    <n v="2911072"/>
    <n v="6.9599999999999995E-2"/>
    <s v="5"/>
    <s v="CENTRO TRABAJO 24"/>
    <s v="5711001"/>
    <n v="202700"/>
    <n v="30"/>
    <x v="0"/>
    <n v="2911072"/>
    <n v="0.04"/>
    <n v="116500"/>
    <n v="2911072"/>
    <n v="0"/>
    <n v="0"/>
    <n v="0"/>
    <n v="0"/>
    <n v="0"/>
    <n v="0"/>
    <n v="0"/>
    <n v="0"/>
    <s v="SI"/>
    <s v="  "/>
    <s v="                "/>
  </r>
  <r>
    <x v="0"/>
    <s v="CC"/>
    <x v="41"/>
    <x v="41"/>
    <s v="ANTOLINEZ"/>
    <s v="GARCIA"/>
    <s v="CAMILO"/>
    <s v="ANDRES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2"/>
    <n v="30"/>
    <n v="5676577"/>
    <n v="0.16"/>
    <n v="908300"/>
    <s v=" "/>
    <n v="0"/>
    <n v="0"/>
    <n v="0"/>
    <n v="0"/>
    <n v="0"/>
    <n v="908300"/>
    <s v="NINGUNA"/>
    <x v="8"/>
    <n v="30"/>
    <n v="5676577"/>
    <n v="0.04"/>
    <n v="227100"/>
    <n v="0"/>
    <s v="               "/>
    <n v="0"/>
    <s v="               "/>
    <n v="0"/>
    <s v="NINGUNA"/>
    <x v="0"/>
    <n v="30"/>
    <n v="5676577"/>
    <n v="6.9599999999999995E-2"/>
    <s v="5"/>
    <s v="CENTRO TRABAJO 30"/>
    <s v="5711001"/>
    <n v="395100"/>
    <n v="30"/>
    <x v="1"/>
    <n v="5676577"/>
    <n v="0.04"/>
    <n v="227100"/>
    <n v="5676577"/>
    <n v="0"/>
    <n v="0"/>
    <n v="0"/>
    <n v="0"/>
    <n v="0"/>
    <n v="0"/>
    <n v="0"/>
    <n v="0"/>
    <s v="SI"/>
    <s v="  "/>
    <s v="                "/>
  </r>
  <r>
    <x v="0"/>
    <s v="CC"/>
    <x v="42"/>
    <x v="42"/>
    <s v="OLMOS"/>
    <s v="ROMERO"/>
    <s v="NELSON"/>
    <s v="BERNARD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1650406"/>
    <s v="NO"/>
    <s v="SI"/>
    <x v="0"/>
    <n v="30"/>
    <n v="11650406"/>
    <n v="0.16"/>
    <n v="1864100"/>
    <s v=" "/>
    <n v="0"/>
    <n v="0"/>
    <n v="58300"/>
    <n v="58300"/>
    <n v="0"/>
    <n v="1980700"/>
    <s v="NINGUNA"/>
    <x v="8"/>
    <n v="30"/>
    <n v="11650406"/>
    <n v="0.125"/>
    <n v="1456400"/>
    <n v="0"/>
    <s v="               "/>
    <n v="0"/>
    <s v="               "/>
    <n v="0"/>
    <s v="NINGUNA"/>
    <x v="0"/>
    <n v="30"/>
    <n v="11650406"/>
    <n v="6.9599999999999995E-2"/>
    <s v="5"/>
    <s v="CENTRO TRABAJO 24"/>
    <s v="5711001"/>
    <n v="810900"/>
    <n v="30"/>
    <x v="0"/>
    <n v="11650406"/>
    <n v="0.04"/>
    <n v="466100"/>
    <n v="11650406"/>
    <n v="0.02"/>
    <n v="233100"/>
    <n v="0.03"/>
    <n v="349600"/>
    <n v="0"/>
    <n v="0"/>
    <n v="0"/>
    <n v="0"/>
    <s v="SI"/>
    <s v="  "/>
    <s v="                "/>
  </r>
  <r>
    <x v="0"/>
    <s v="CC"/>
    <x v="43"/>
    <x v="43"/>
    <s v="OSPINA"/>
    <s v="VILLAMIL"/>
    <s v="ALEJANDRA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5209465"/>
    <s v="NO"/>
    <s v="NO"/>
    <x v="4"/>
    <n v="1"/>
    <n v="173649"/>
    <n v="0.16"/>
    <n v="27800"/>
    <s v=" "/>
    <n v="0"/>
    <n v="0"/>
    <n v="0"/>
    <n v="0"/>
    <n v="0"/>
    <n v="27800"/>
    <s v="NINGUNA"/>
    <x v="8"/>
    <n v="1"/>
    <n v="173649"/>
    <n v="0.04"/>
    <n v="7000"/>
    <n v="0"/>
    <s v="               "/>
    <n v="0"/>
    <s v="               "/>
    <n v="0"/>
    <s v="NINGUNA"/>
    <x v="0"/>
    <n v="1"/>
    <n v="173649"/>
    <n v="0"/>
    <s v="5"/>
    <s v="CENTRO TRABAJO 24"/>
    <s v="5711001"/>
    <n v="0"/>
    <n v="1"/>
    <x v="0"/>
    <n v="173649"/>
    <n v="0.04"/>
    <n v="7000"/>
    <n v="173649"/>
    <n v="0"/>
    <n v="0"/>
    <n v="0"/>
    <n v="0"/>
    <n v="0"/>
    <n v="0"/>
    <n v="0"/>
    <n v="0"/>
    <s v="SI"/>
    <s v="  "/>
    <s v="                "/>
  </r>
  <r>
    <x v="0"/>
    <s v="CC"/>
    <x v="43"/>
    <x v="43"/>
    <s v="OSPINA"/>
    <s v="VILLAMIL"/>
    <s v="ALEJANDRA"/>
    <s v="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4"/>
    <n v="29"/>
    <n v="5035817"/>
    <n v="0.16"/>
    <n v="805800"/>
    <s v=" "/>
    <n v="0"/>
    <n v="0"/>
    <n v="0"/>
    <n v="0"/>
    <n v="0"/>
    <n v="805800"/>
    <s v="NINGUNA"/>
    <x v="8"/>
    <n v="29"/>
    <n v="5035817"/>
    <n v="0.04"/>
    <n v="201500"/>
    <n v="0"/>
    <s v="               "/>
    <n v="0"/>
    <s v="               "/>
    <n v="0"/>
    <s v="NINGUNA"/>
    <x v="0"/>
    <n v="29"/>
    <n v="5035817"/>
    <n v="6.9599999999999995E-2"/>
    <s v="5"/>
    <s v="CENTRO TRABAJO 24"/>
    <s v="5711001"/>
    <n v="350500"/>
    <n v="29"/>
    <x v="0"/>
    <n v="5035817"/>
    <n v="0.04"/>
    <n v="201500"/>
    <n v="5035817"/>
    <n v="0"/>
    <n v="0"/>
    <n v="0"/>
    <n v="0"/>
    <n v="0"/>
    <n v="0"/>
    <n v="0"/>
    <n v="0"/>
    <s v="SI"/>
    <s v="  "/>
    <s v="                "/>
  </r>
  <r>
    <x v="0"/>
    <s v="CC"/>
    <x v="44"/>
    <x v="44"/>
    <s v="MONTOYA"/>
    <s v="VILLAMIZAR"/>
    <s v="MARIA"/>
    <s v="CAMIL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3"/>
    <n v="30"/>
    <n v="7086256"/>
    <n v="0.16"/>
    <n v="1133900"/>
    <s v=" "/>
    <n v="0"/>
    <n v="0"/>
    <n v="35500"/>
    <n v="35500"/>
    <n v="0"/>
    <n v="1204900"/>
    <s v="NINGUNA"/>
    <x v="2"/>
    <n v="30"/>
    <n v="7086256"/>
    <n v="0.04"/>
    <n v="283500"/>
    <n v="0"/>
    <s v="               "/>
    <n v="0"/>
    <s v="               "/>
    <n v="0"/>
    <s v="NINGUNA"/>
    <x v="0"/>
    <n v="30"/>
    <n v="7086256"/>
    <n v="5.2199999999999998E-3"/>
    <s v="1"/>
    <s v="CENTRO TRABAJO 24"/>
    <s v="1711001"/>
    <n v="37000"/>
    <n v="30"/>
    <x v="0"/>
    <n v="4024292"/>
    <n v="0.04"/>
    <n v="161000"/>
    <n v="4024292"/>
    <n v="0"/>
    <n v="0"/>
    <n v="0"/>
    <n v="0"/>
    <n v="0"/>
    <n v="0"/>
    <n v="0"/>
    <n v="0"/>
    <s v="SI"/>
    <s v="  "/>
    <s v="                "/>
  </r>
  <r>
    <x v="0"/>
    <s v="CC"/>
    <x v="45"/>
    <x v="45"/>
    <s v="MALDONADO"/>
    <s v="MARTINEZ"/>
    <s v="EDWARD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2223339"/>
    <s v="NO"/>
    <s v="NO"/>
    <x v="2"/>
    <n v="1"/>
    <n v="74112"/>
    <n v="0.16"/>
    <n v="11900"/>
    <s v=" "/>
    <n v="0"/>
    <n v="0"/>
    <n v="0"/>
    <n v="0"/>
    <n v="0"/>
    <n v="11900"/>
    <s v="NINGUNA"/>
    <x v="3"/>
    <n v="1"/>
    <n v="74112"/>
    <n v="0.04"/>
    <n v="3000"/>
    <n v="0"/>
    <s v="               "/>
    <n v="0"/>
    <s v="               "/>
    <n v="0"/>
    <s v="NINGUNA"/>
    <x v="0"/>
    <n v="1"/>
    <n v="74112"/>
    <n v="0"/>
    <s v="5"/>
    <s v="CENTRO TRABAJO 24"/>
    <s v="5711001"/>
    <n v="0"/>
    <n v="1"/>
    <x v="0"/>
    <n v="74112"/>
    <n v="0.04"/>
    <n v="3000"/>
    <n v="74112"/>
    <n v="0"/>
    <n v="0"/>
    <n v="0"/>
    <n v="0"/>
    <n v="0"/>
    <n v="0"/>
    <n v="0"/>
    <n v="0"/>
    <s v="SI"/>
    <s v="  "/>
    <s v="                "/>
  </r>
  <r>
    <x v="0"/>
    <s v="CC"/>
    <x v="45"/>
    <x v="45"/>
    <s v="MALDONADO"/>
    <s v="MARTINEZ"/>
    <s v="EDWARD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77"/>
    <n v="46078"/>
    <s v="NO"/>
    <m/>
    <m/>
    <s v="NO"/>
    <m/>
    <m/>
    <s v="NO"/>
    <s v="NO"/>
    <m/>
    <m/>
    <n v="0"/>
    <m/>
    <m/>
    <s v="NO"/>
    <n v="2223339"/>
    <s v="NO"/>
    <s v="NO"/>
    <x v="2"/>
    <n v="2"/>
    <n v="217110"/>
    <n v="0.16"/>
    <n v="34800"/>
    <s v=" "/>
    <n v="0"/>
    <n v="0"/>
    <n v="0"/>
    <n v="0"/>
    <n v="0"/>
    <n v="34800"/>
    <s v="NINGUNA"/>
    <x v="3"/>
    <n v="2"/>
    <n v="217110"/>
    <n v="0.04"/>
    <n v="8700"/>
    <n v="0"/>
    <s v="               "/>
    <n v="0"/>
    <s v="               "/>
    <n v="0"/>
    <s v="NINGUNA"/>
    <x v="0"/>
    <n v="2"/>
    <n v="21711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45"/>
    <x v="45"/>
    <s v="MALDONADO"/>
    <s v="MARTINEZ"/>
    <s v="EDWARD"/>
    <s v="ALEXANDER"/>
    <s v="BOGOTA_D.E."/>
    <s v="BOGOTA"/>
    <s v="1. DEPENDIENTE"/>
    <s v="NINGUNO"/>
    <n v="199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7"/>
    <n v="3088757"/>
    <n v="0.16"/>
    <n v="494300"/>
    <s v=" "/>
    <n v="0"/>
    <n v="0"/>
    <n v="0"/>
    <n v="0"/>
    <n v="0"/>
    <n v="494300"/>
    <s v="NINGUNA"/>
    <x v="3"/>
    <n v="27"/>
    <n v="3088757"/>
    <n v="0.04"/>
    <n v="123600"/>
    <n v="0"/>
    <s v="               "/>
    <n v="0"/>
    <s v="               "/>
    <n v="0"/>
    <s v="NINGUNA"/>
    <x v="0"/>
    <n v="27"/>
    <n v="3088757"/>
    <n v="6.9599999999999995E-2"/>
    <s v="5"/>
    <s v="CENTRO TRABAJO 24"/>
    <s v="5711001"/>
    <n v="215000"/>
    <n v="27"/>
    <x v="0"/>
    <n v="3490022"/>
    <n v="0.04"/>
    <n v="139700"/>
    <n v="3490022"/>
    <n v="0"/>
    <n v="0"/>
    <n v="0"/>
    <n v="0"/>
    <n v="0"/>
    <n v="0"/>
    <n v="0"/>
    <n v="0"/>
    <s v="SI"/>
    <s v="  "/>
    <s v="                "/>
  </r>
  <r>
    <x v="0"/>
    <s v="CC"/>
    <x v="46"/>
    <x v="46"/>
    <s v="VEGA"/>
    <s v="SANCHEZ"/>
    <s v="DANILO"/>
    <s v="ESTEBA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4024292"/>
    <s v="NO"/>
    <s v="NO"/>
    <x v="0"/>
    <n v="1"/>
    <n v="134144"/>
    <n v="0.16"/>
    <n v="21500"/>
    <s v=" "/>
    <n v="0"/>
    <n v="0"/>
    <n v="0"/>
    <n v="0"/>
    <n v="0"/>
    <n v="21500"/>
    <s v="NINGUNA"/>
    <x v="2"/>
    <n v="1"/>
    <n v="134144"/>
    <n v="0.04"/>
    <n v="5400"/>
    <n v="0"/>
    <s v="               "/>
    <n v="0"/>
    <s v="               "/>
    <n v="0"/>
    <s v="NINGUNA"/>
    <x v="0"/>
    <n v="1"/>
    <n v="134144"/>
    <n v="0"/>
    <s v="5"/>
    <s v="CENTRO TRABAJO 24"/>
    <s v="5711001"/>
    <n v="0"/>
    <n v="1"/>
    <x v="0"/>
    <n v="134144"/>
    <n v="0.04"/>
    <n v="5400"/>
    <n v="134144"/>
    <n v="0"/>
    <n v="0"/>
    <n v="0"/>
    <n v="0"/>
    <n v="0"/>
    <n v="0"/>
    <n v="0"/>
    <n v="0"/>
    <s v="SI"/>
    <s v="  "/>
    <s v="                "/>
  </r>
  <r>
    <x v="0"/>
    <s v="CC"/>
    <x v="46"/>
    <x v="46"/>
    <s v="VEGA"/>
    <s v="SANCHEZ"/>
    <s v="DANILO"/>
    <s v="ESTEBAN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0"/>
    <n v="29"/>
    <n v="3890149"/>
    <n v="0.16"/>
    <n v="622500"/>
    <s v=" "/>
    <n v="0"/>
    <n v="0"/>
    <n v="0"/>
    <n v="0"/>
    <n v="0"/>
    <n v="622500"/>
    <s v="NINGUNA"/>
    <x v="2"/>
    <n v="29"/>
    <n v="3890149"/>
    <n v="0.04"/>
    <n v="155700"/>
    <n v="0"/>
    <s v="               "/>
    <n v="0"/>
    <s v="               "/>
    <n v="0"/>
    <s v="NINGUNA"/>
    <x v="0"/>
    <n v="29"/>
    <n v="3890149"/>
    <n v="6.9599999999999995E-2"/>
    <s v="5"/>
    <s v="CENTRO TRABAJO 24"/>
    <s v="5711001"/>
    <n v="270800"/>
    <n v="29"/>
    <x v="0"/>
    <n v="3890149"/>
    <n v="0.04"/>
    <n v="155700"/>
    <n v="3890149"/>
    <n v="0"/>
    <n v="0"/>
    <n v="0"/>
    <n v="0"/>
    <n v="0"/>
    <n v="0"/>
    <n v="0"/>
    <n v="0"/>
    <s v="SI"/>
    <s v="  "/>
    <s v="                "/>
  </r>
  <r>
    <x v="0"/>
    <s v="CC"/>
    <x v="47"/>
    <x v="47"/>
    <s v="OVALLE"/>
    <s v="LINARES"/>
    <s v="RAMIRO"/>
    <s v="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9740088"/>
    <s v="NO"/>
    <s v="SI"/>
    <x v="4"/>
    <n v="30"/>
    <n v="9740088"/>
    <n v="0.16"/>
    <n v="1558500"/>
    <s v=" "/>
    <n v="0"/>
    <n v="0"/>
    <n v="48800"/>
    <n v="48800"/>
    <n v="0"/>
    <n v="1656100"/>
    <s v="NINGUNA"/>
    <x v="8"/>
    <n v="30"/>
    <n v="9740088"/>
    <n v="0.04"/>
    <n v="389700"/>
    <n v="0"/>
    <s v="               "/>
    <n v="0"/>
    <s v="               "/>
    <n v="0"/>
    <s v="NINGUNA"/>
    <x v="0"/>
    <n v="30"/>
    <n v="9740088"/>
    <n v="6.9599999999999995E-2"/>
    <s v="5"/>
    <s v="CENTRO TRABAJO 24"/>
    <s v="5711001"/>
    <n v="678000"/>
    <n v="30"/>
    <x v="0"/>
    <n v="9740088"/>
    <n v="0.04"/>
    <n v="389700"/>
    <n v="9740088"/>
    <n v="0"/>
    <n v="0"/>
    <n v="0"/>
    <n v="0"/>
    <n v="0"/>
    <n v="0"/>
    <n v="0"/>
    <n v="0"/>
    <s v="SI"/>
    <s v="  "/>
    <s v="                "/>
  </r>
  <r>
    <x v="0"/>
    <s v="CC"/>
    <x v="48"/>
    <x v="48"/>
    <s v="MARTINEZ"/>
    <s v="NEIRA"/>
    <s v="SANDRA"/>
    <s v="MILENA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8812118"/>
    <s v="NO"/>
    <s v="NO"/>
    <x v="4"/>
    <n v="30"/>
    <n v="8812118"/>
    <n v="0.16"/>
    <n v="1410000"/>
    <s v=" "/>
    <n v="0"/>
    <n v="0"/>
    <n v="44100"/>
    <n v="44100"/>
    <n v="0"/>
    <n v="1498200"/>
    <s v="NINGUNA"/>
    <x v="8"/>
    <n v="30"/>
    <n v="8812118"/>
    <n v="0.04"/>
    <n v="352500"/>
    <n v="0"/>
    <s v="               "/>
    <n v="0"/>
    <s v="               "/>
    <n v="0"/>
    <s v="NINGUNA"/>
    <x v="0"/>
    <n v="30"/>
    <n v="8812118"/>
    <n v="6.9599999999999995E-2"/>
    <s v="5"/>
    <s v="CENTRO TRABAJO 24"/>
    <s v="5711001"/>
    <n v="613400"/>
    <n v="30"/>
    <x v="0"/>
    <n v="8812118"/>
    <n v="0.04"/>
    <n v="352500"/>
    <n v="8812118"/>
    <n v="0"/>
    <n v="0"/>
    <n v="0"/>
    <n v="0"/>
    <n v="0"/>
    <n v="0"/>
    <n v="0"/>
    <n v="0"/>
    <s v="SI"/>
    <s v="  "/>
    <s v="                "/>
  </r>
  <r>
    <x v="0"/>
    <s v="CC"/>
    <x v="49"/>
    <x v="49"/>
    <s v="BECERRA"/>
    <s v="MELGAREJO"/>
    <s v="KAREN"/>
    <s v="JULIETH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3639331"/>
    <s v="NO"/>
    <s v="NO"/>
    <x v="2"/>
    <n v="1"/>
    <n v="121312"/>
    <n v="0.16"/>
    <n v="19500"/>
    <s v=" "/>
    <n v="0"/>
    <n v="0"/>
    <n v="0"/>
    <n v="0"/>
    <n v="0"/>
    <n v="19500"/>
    <s v="NINGUNA"/>
    <x v="3"/>
    <n v="1"/>
    <n v="121312"/>
    <n v="0.04"/>
    <n v="4900"/>
    <n v="0"/>
    <s v="               "/>
    <n v="0"/>
    <s v="               "/>
    <n v="0"/>
    <s v="NINGUNA"/>
    <x v="0"/>
    <n v="1"/>
    <n v="121312"/>
    <n v="0"/>
    <s v="5"/>
    <s v="CENTRO TRABAJO 24"/>
    <s v="5711001"/>
    <n v="0"/>
    <n v="1"/>
    <x v="0"/>
    <n v="121312"/>
    <n v="0.04"/>
    <n v="4900"/>
    <n v="121312"/>
    <n v="0"/>
    <n v="0"/>
    <n v="0"/>
    <n v="0"/>
    <n v="0"/>
    <n v="0"/>
    <n v="0"/>
    <n v="0"/>
    <s v="SI"/>
    <s v="  "/>
    <s v="                "/>
  </r>
  <r>
    <x v="0"/>
    <s v="CC"/>
    <x v="49"/>
    <x v="49"/>
    <s v="BECERRA"/>
    <s v="MELGAREJO"/>
    <s v="KAREN"/>
    <s v="JULIETH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639331"/>
    <s v="NO"/>
    <s v="NO"/>
    <x v="2"/>
    <n v="29"/>
    <n v="3710740"/>
    <n v="0.16"/>
    <n v="593800"/>
    <s v=" "/>
    <n v="0"/>
    <n v="0"/>
    <n v="0"/>
    <n v="0"/>
    <n v="0"/>
    <n v="593800"/>
    <s v="NINGUNA"/>
    <x v="3"/>
    <n v="29"/>
    <n v="3710740"/>
    <n v="0.04"/>
    <n v="148500"/>
    <n v="0"/>
    <s v="               "/>
    <n v="0"/>
    <s v="               "/>
    <n v="0"/>
    <s v="NINGUNA"/>
    <x v="0"/>
    <n v="29"/>
    <n v="3710740"/>
    <n v="6.9599999999999995E-2"/>
    <s v="5"/>
    <s v="CENTRO TRABAJO 24"/>
    <s v="5711001"/>
    <n v="258300"/>
    <n v="29"/>
    <x v="0"/>
    <n v="3710740"/>
    <n v="0.04"/>
    <n v="148500"/>
    <n v="3710740"/>
    <n v="0"/>
    <n v="0"/>
    <n v="0"/>
    <n v="0"/>
    <n v="0"/>
    <n v="0"/>
    <n v="0"/>
    <n v="0"/>
    <s v="SI"/>
    <s v="  "/>
    <s v="                "/>
  </r>
  <r>
    <x v="0"/>
    <s v="CC"/>
    <x v="50"/>
    <x v="50"/>
    <s v="SACHICA"/>
    <s v="D'ALEMAN"/>
    <s v="KELLY"/>
    <s v="DANIEL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30"/>
    <n v="1750905"/>
    <n v="0.16"/>
    <n v="280200"/>
    <s v=" "/>
    <n v="0"/>
    <n v="0"/>
    <n v="0"/>
    <n v="0"/>
    <n v="0"/>
    <n v="280200"/>
    <s v="NINGUNA"/>
    <x v="2"/>
    <n v="30"/>
    <n v="1750905"/>
    <n v="0.04"/>
    <n v="70100"/>
    <n v="0"/>
    <s v="               "/>
    <n v="0"/>
    <s v="               "/>
    <n v="0"/>
    <s v="NINGUNA"/>
    <x v="0"/>
    <n v="30"/>
    <n v="1750905"/>
    <n v="5.2199999999999998E-3"/>
    <s v="1"/>
    <s v="CENTRO TRABAJO 24"/>
    <s v="1711001"/>
    <n v="9200"/>
    <n v="30"/>
    <x v="0"/>
    <n v="1750905"/>
    <n v="0.04"/>
    <n v="70100"/>
    <n v="1750905"/>
    <n v="0"/>
    <n v="0"/>
    <n v="0"/>
    <n v="0"/>
    <n v="0"/>
    <n v="0"/>
    <n v="0"/>
    <n v="0"/>
    <s v="SI"/>
    <s v="  "/>
    <s v="                "/>
  </r>
  <r>
    <x v="0"/>
    <s v="CC"/>
    <x v="51"/>
    <x v="51"/>
    <s v="BUSTOS"/>
    <s v="OVIEDO"/>
    <s v="OSCAR"/>
    <s v="EDUAR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6"/>
    <n v="46056"/>
    <s v="NO"/>
    <s v="NO"/>
    <m/>
    <m/>
    <n v="0"/>
    <m/>
    <m/>
    <s v="NO"/>
    <n v="2074908"/>
    <s v="NO"/>
    <s v="NO"/>
    <x v="4"/>
    <n v="1"/>
    <n v="69164"/>
    <n v="0.16"/>
    <n v="11100"/>
    <s v=" "/>
    <n v="0"/>
    <n v="0"/>
    <n v="0"/>
    <n v="0"/>
    <n v="0"/>
    <n v="11100"/>
    <s v="NINGUNA"/>
    <x v="10"/>
    <n v="1"/>
    <n v="69164"/>
    <n v="0.04"/>
    <n v="2800"/>
    <n v="0"/>
    <s v="               "/>
    <n v="0"/>
    <s v="               "/>
    <n v="0"/>
    <s v="NINGUNA"/>
    <x v="0"/>
    <n v="1"/>
    <n v="69164"/>
    <n v="0"/>
    <s v="5"/>
    <s v="CENTRO TRABAJO 24"/>
    <s v="5711001"/>
    <n v="0"/>
    <n v="1"/>
    <x v="0"/>
    <n v="69164"/>
    <n v="0.04"/>
    <n v="2800"/>
    <n v="69164"/>
    <n v="0"/>
    <n v="0"/>
    <n v="0"/>
    <n v="0"/>
    <n v="0"/>
    <n v="0"/>
    <n v="0"/>
    <n v="0"/>
    <s v="SI"/>
    <s v="  "/>
    <s v="                "/>
  </r>
  <r>
    <x v="0"/>
    <s v="CC"/>
    <x v="51"/>
    <x v="51"/>
    <s v="BUSTOS"/>
    <s v="OVIEDO"/>
    <s v="OSCAR"/>
    <s v="EDUAR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7"/>
    <n v="46058"/>
    <s v="NO"/>
    <m/>
    <m/>
    <s v="NO"/>
    <m/>
    <m/>
    <s v="NO"/>
    <s v="NO"/>
    <m/>
    <m/>
    <n v="0"/>
    <m/>
    <m/>
    <s v="NO"/>
    <n v="2074908"/>
    <s v="NO"/>
    <s v="NO"/>
    <x v="4"/>
    <n v="2"/>
    <n v="200102"/>
    <n v="0.16"/>
    <n v="32100"/>
    <s v=" "/>
    <n v="0"/>
    <n v="0"/>
    <n v="0"/>
    <n v="0"/>
    <n v="0"/>
    <n v="32100"/>
    <s v="NINGUNA"/>
    <x v="10"/>
    <n v="2"/>
    <n v="200102"/>
    <n v="0.04"/>
    <n v="8100"/>
    <n v="0"/>
    <s v="               "/>
    <n v="0"/>
    <s v="               "/>
    <n v="0"/>
    <s v="NINGUNA"/>
    <x v="0"/>
    <n v="2"/>
    <n v="200102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51"/>
    <x v="51"/>
    <s v="BUSTOS"/>
    <s v="OVIEDO"/>
    <s v="OSCAR"/>
    <s v="EDUAR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4"/>
    <n v="27"/>
    <n v="2700948"/>
    <n v="0.16"/>
    <n v="432200"/>
    <s v=" "/>
    <n v="0"/>
    <n v="0"/>
    <n v="0"/>
    <n v="0"/>
    <n v="0"/>
    <n v="432200"/>
    <s v="NINGUNA"/>
    <x v="10"/>
    <n v="27"/>
    <n v="2700948"/>
    <n v="0.04"/>
    <n v="108100"/>
    <n v="0"/>
    <s v="               "/>
    <n v="0"/>
    <s v="               "/>
    <n v="0"/>
    <s v="NINGUNA"/>
    <x v="0"/>
    <n v="27"/>
    <n v="2700948"/>
    <n v="6.9599999999999995E-2"/>
    <s v="5"/>
    <s v="CENTRO TRABAJO 24"/>
    <s v="5711001"/>
    <n v="188000"/>
    <n v="27"/>
    <x v="0"/>
    <n v="2700948"/>
    <n v="0.04"/>
    <n v="108100"/>
    <n v="2700948"/>
    <n v="0"/>
    <n v="0"/>
    <n v="0"/>
    <n v="0"/>
    <n v="0"/>
    <n v="0"/>
    <n v="0"/>
    <n v="0"/>
    <s v="SI"/>
    <s v="  "/>
    <s v="                "/>
  </r>
  <r>
    <x v="0"/>
    <s v="CC"/>
    <x v="52"/>
    <x v="52"/>
    <s v="MARTINEZ"/>
    <s v="JARAMILLO"/>
    <s v="ANGIE"/>
    <s v="XIOMAR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6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"/>
    <n v="178560"/>
    <n v="0.16"/>
    <n v="28600"/>
    <s v=" "/>
    <n v="0"/>
    <n v="0"/>
    <n v="0"/>
    <n v="0"/>
    <n v="0"/>
    <n v="28600"/>
    <s v="NINGUNA"/>
    <x v="2"/>
    <n v="3"/>
    <n v="178560"/>
    <n v="0"/>
    <n v="0"/>
    <n v="0"/>
    <s v="               "/>
    <n v="0"/>
    <s v="               "/>
    <n v="0"/>
    <s v="NINGUNA"/>
    <x v="0"/>
    <n v="3"/>
    <n v="178560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52"/>
    <x v="52"/>
    <s v="MARTINEZ"/>
    <s v="JARAMILLO"/>
    <s v="ANGIE"/>
    <s v="XIOMAR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5"/>
    <n v="46056"/>
    <s v="NO"/>
    <m/>
    <m/>
    <s v="NO"/>
    <m/>
    <m/>
    <s v="NO"/>
    <s v="NO"/>
    <m/>
    <m/>
    <n v="0"/>
    <m/>
    <m/>
    <s v="NO"/>
    <n v="1785595"/>
    <s v="NO"/>
    <s v="NO"/>
    <x v="0"/>
    <n v="2"/>
    <n v="119040"/>
    <n v="0.16"/>
    <n v="19100"/>
    <s v=" "/>
    <n v="0"/>
    <n v="0"/>
    <n v="0"/>
    <n v="0"/>
    <n v="0"/>
    <n v="19100"/>
    <s v="NINGUNA"/>
    <x v="2"/>
    <n v="2"/>
    <n v="119040"/>
    <n v="0.04"/>
    <n v="4800"/>
    <n v="0"/>
    <s v="               "/>
    <n v="0"/>
    <s v="               "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52"/>
    <x v="52"/>
    <s v="MARTINEZ"/>
    <s v="JARAMILLO"/>
    <s v="ANGIE"/>
    <s v="XIOMAR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5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7"/>
    <n v="416639"/>
    <n v="0.16"/>
    <n v="66700"/>
    <s v=" "/>
    <n v="0"/>
    <n v="0"/>
    <n v="0"/>
    <n v="0"/>
    <n v="0"/>
    <n v="66700"/>
    <s v="NINGUNA"/>
    <x v="2"/>
    <n v="7"/>
    <n v="416639"/>
    <n v="0"/>
    <n v="0"/>
    <n v="0"/>
    <s v="               "/>
    <n v="0"/>
    <s v="               "/>
    <n v="0"/>
    <s v="NINGUNA"/>
    <x v="0"/>
    <n v="7"/>
    <n v="416639"/>
    <n v="0"/>
    <s v="5"/>
    <s v="CENTRO TRABAJO 24"/>
    <s v="5711001"/>
    <n v="0"/>
    <n v="7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52"/>
    <x v="52"/>
    <s v="MARTINEZ"/>
    <s v="JARAMILLO"/>
    <s v="ANGIE"/>
    <s v="XIOMARA"/>
    <s v="BOGOTA_D.E."/>
    <s v="BOGOTA"/>
    <s v="1. DEPENDIENTE"/>
    <s v="NINGUNO"/>
    <n v="1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8"/>
    <n v="1257763"/>
    <n v="0.16"/>
    <n v="201300"/>
    <s v=" "/>
    <n v="0"/>
    <n v="0"/>
    <n v="0"/>
    <n v="0"/>
    <n v="0"/>
    <n v="201300"/>
    <s v="NINGUNA"/>
    <x v="2"/>
    <n v="18"/>
    <n v="1257763"/>
    <n v="0.04"/>
    <n v="50400"/>
    <n v="0"/>
    <s v="               "/>
    <n v="0"/>
    <s v="               "/>
    <n v="0"/>
    <s v="NINGUNA"/>
    <x v="0"/>
    <n v="18"/>
    <n v="1257763"/>
    <n v="6.9599999999999995E-2"/>
    <s v="5"/>
    <s v="CENTRO TRABAJO 24"/>
    <s v="5711001"/>
    <n v="87600"/>
    <n v="18"/>
    <x v="0"/>
    <n v="1257763"/>
    <n v="0.04"/>
    <n v="50400"/>
    <n v="1257763"/>
    <n v="0"/>
    <n v="0"/>
    <n v="0"/>
    <n v="0"/>
    <n v="0"/>
    <n v="0"/>
    <n v="0"/>
    <n v="0"/>
    <s v="SI"/>
    <s v="  "/>
    <s v="                "/>
  </r>
  <r>
    <x v="0"/>
    <s v="CC"/>
    <x v="53"/>
    <x v="53"/>
    <s v="SANCHEZ"/>
    <s v="SOSA"/>
    <s v="DUVAN"/>
    <s v="DAVID"/>
    <s v="BOGOTA_D.E."/>
    <s v="BOGOTA"/>
    <s v="1. DEPENDIENTE"/>
    <s v="NINGUNO"/>
    <n v="74"/>
    <s v="NO"/>
    <s v="NO"/>
    <m/>
    <s v="Todos los sistemas (ARL, AFP, CCF, EPS)"/>
    <n v="46071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3"/>
    <n v="988712"/>
    <n v="0.16"/>
    <n v="158200"/>
    <s v=" "/>
    <n v="0"/>
    <n v="0"/>
    <n v="0"/>
    <n v="0"/>
    <n v="0"/>
    <n v="158200"/>
    <s v="NINGUNA"/>
    <x v="2"/>
    <n v="13"/>
    <n v="988712"/>
    <n v="0.04"/>
    <n v="39600"/>
    <n v="0"/>
    <s v="               "/>
    <n v="0"/>
    <s v="               "/>
    <n v="0"/>
    <s v="NINGUNA"/>
    <x v="0"/>
    <n v="13"/>
    <n v="988712"/>
    <n v="6.9599999999999995E-2"/>
    <s v="5"/>
    <s v="CENTRO TRABAJO 24"/>
    <s v="5711001"/>
    <n v="68900"/>
    <n v="13"/>
    <x v="0"/>
    <n v="988712"/>
    <n v="0.04"/>
    <n v="39600"/>
    <n v="988712"/>
    <n v="0"/>
    <n v="0"/>
    <n v="0"/>
    <n v="0"/>
    <n v="0"/>
    <n v="0"/>
    <n v="0"/>
    <n v="0"/>
    <s v="SI"/>
    <s v="  "/>
    <s v="                "/>
  </r>
  <r>
    <x v="0"/>
    <s v="CC"/>
    <x v="54"/>
    <x v="54"/>
    <s v="PELAEZ"/>
    <s v="TORRES"/>
    <s v="NELSON"/>
    <s v="ALCID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0"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2"/>
    <n v="148223"/>
    <n v="0.16"/>
    <n v="23800"/>
    <s v=" "/>
    <n v="0"/>
    <n v="0"/>
    <n v="0"/>
    <n v="0"/>
    <n v="0"/>
    <n v="23800"/>
    <s v="NINGUNA"/>
    <x v="9"/>
    <n v="2"/>
    <n v="148223"/>
    <n v="0"/>
    <n v="0"/>
    <n v="0"/>
    <s v="               "/>
    <n v="0"/>
    <s v="               "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54"/>
    <x v="54"/>
    <s v="PELAEZ"/>
    <s v="TORRES"/>
    <s v="NELSON"/>
    <s v="ALCIDES"/>
    <s v="BOGOTA_D.E."/>
    <s v="BOGOTA"/>
    <s v="1. DEPENDIENTE"/>
    <s v="NINGUNO"/>
    <n v="157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19"/>
    <n v="2820641"/>
    <n v="0.16"/>
    <n v="451400"/>
    <s v=" "/>
    <n v="0"/>
    <n v="0"/>
    <n v="0"/>
    <n v="0"/>
    <n v="0"/>
    <n v="451400"/>
    <s v="NINGUNA"/>
    <x v="9"/>
    <n v="19"/>
    <n v="2820641"/>
    <n v="0.04"/>
    <n v="112900"/>
    <n v="0"/>
    <s v="               "/>
    <n v="0"/>
    <s v="               "/>
    <n v="0"/>
    <s v="NINGUNA"/>
    <x v="0"/>
    <n v="19"/>
    <n v="2820641"/>
    <n v="6.9599999999999995E-2"/>
    <s v="5"/>
    <s v="CENTRO TRABAJO 24"/>
    <s v="5711001"/>
    <n v="196400"/>
    <n v="19"/>
    <x v="0"/>
    <n v="3254353"/>
    <n v="0.04"/>
    <n v="130200"/>
    <n v="3254353"/>
    <n v="0"/>
    <n v="0"/>
    <n v="0"/>
    <n v="0"/>
    <n v="0"/>
    <n v="0"/>
    <n v="0"/>
    <n v="0"/>
    <s v="SI"/>
    <s v="  "/>
    <s v="                "/>
  </r>
  <r>
    <x v="0"/>
    <s v="CC"/>
    <x v="55"/>
    <x v="55"/>
    <s v="AMAYA"/>
    <s v="GARCIA"/>
    <s v="DAVID"/>
    <s v="FABIA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956650"/>
    <s v="NO"/>
    <s v="NO"/>
    <x v="2"/>
    <n v="1"/>
    <n v="65222"/>
    <n v="0.16"/>
    <n v="10500"/>
    <s v=" "/>
    <n v="0"/>
    <n v="0"/>
    <n v="0"/>
    <n v="0"/>
    <n v="0"/>
    <n v="10500"/>
    <s v="NINGUNA"/>
    <x v="0"/>
    <n v="1"/>
    <n v="65222"/>
    <n v="0"/>
    <n v="0"/>
    <n v="0"/>
    <s v="               "/>
    <n v="0"/>
    <s v="               "/>
    <n v="0"/>
    <s v="NINGUNA"/>
    <x v="0"/>
    <n v="1"/>
    <n v="65222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55"/>
    <x v="55"/>
    <s v="AMAYA"/>
    <s v="GARCIA"/>
    <s v="DAVID"/>
    <s v="FABIAN"/>
    <s v="BOGOTA_D.E."/>
    <s v="BOGOTA"/>
    <s v="1. DEPENDIENTE"/>
    <s v="NINGUNO"/>
    <n v="20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2"/>
    <n v="29"/>
    <n v="2207398"/>
    <n v="0.16"/>
    <n v="353200"/>
    <s v=" "/>
    <n v="0"/>
    <n v="0"/>
    <n v="0"/>
    <n v="0"/>
    <n v="0"/>
    <n v="353200"/>
    <s v="NINGUNA"/>
    <x v="0"/>
    <n v="29"/>
    <n v="2207398"/>
    <n v="0.04"/>
    <n v="88300"/>
    <n v="0"/>
    <s v="               "/>
    <n v="0"/>
    <s v="               "/>
    <n v="0"/>
    <s v="NINGUNA"/>
    <x v="0"/>
    <n v="29"/>
    <n v="2207398"/>
    <n v="6.9599999999999995E-2"/>
    <s v="5"/>
    <s v="CENTRO TRABAJO 24"/>
    <s v="5711001"/>
    <n v="153700"/>
    <n v="29"/>
    <x v="0"/>
    <n v="2207398"/>
    <n v="0.04"/>
    <n v="88300"/>
    <n v="2207398"/>
    <n v="0"/>
    <n v="0"/>
    <n v="0"/>
    <n v="0"/>
    <n v="0"/>
    <n v="0"/>
    <n v="0"/>
    <n v="0"/>
    <s v="SI"/>
    <s v="  "/>
    <s v="                "/>
  </r>
  <r>
    <x v="0"/>
    <s v="CC"/>
    <x v="56"/>
    <x v="56"/>
    <s v="SANCHEZ"/>
    <s v="SUAREZ"/>
    <s v="ROBERT"/>
    <s v="JOSE"/>
    <s v="BOGOTA_D.E."/>
    <s v="BOGOTA"/>
    <s v="1. DEPENDIENTE"/>
    <s v="NINGUNO"/>
    <n v="90"/>
    <s v="NO"/>
    <s v="NO"/>
    <m/>
    <s v="Todos los sistemas (ARL, AFP, CCF, EPS)"/>
    <n v="46069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3534205"/>
    <s v="NO"/>
    <s v="NO"/>
    <x v="0"/>
    <n v="15"/>
    <n v="1767103"/>
    <n v="0.16"/>
    <n v="282800"/>
    <s v=" "/>
    <n v="0"/>
    <n v="0"/>
    <n v="0"/>
    <n v="0"/>
    <n v="0"/>
    <n v="282800"/>
    <s v="NINGUNA"/>
    <x v="9"/>
    <n v="15"/>
    <n v="1767103"/>
    <n v="0.04"/>
    <n v="70700"/>
    <n v="0"/>
    <s v="               "/>
    <n v="0"/>
    <s v="               "/>
    <n v="0"/>
    <s v="NINGUNA"/>
    <x v="0"/>
    <n v="15"/>
    <n v="1767103"/>
    <n v="6.9599999999999995E-2"/>
    <s v="5"/>
    <s v="CENTRO TRABAJO 24"/>
    <s v="5711001"/>
    <n v="123000"/>
    <n v="15"/>
    <x v="0"/>
    <n v="1767103"/>
    <n v="0.04"/>
    <n v="70700"/>
    <n v="1767103"/>
    <n v="0"/>
    <n v="0"/>
    <n v="0"/>
    <n v="0"/>
    <n v="0"/>
    <n v="0"/>
    <n v="0"/>
    <n v="0"/>
    <s v="SI"/>
    <s v="  "/>
    <s v="                "/>
  </r>
  <r>
    <x v="0"/>
    <s v="CC"/>
    <x v="57"/>
    <x v="57"/>
    <s v="MARTIN"/>
    <s v="RIOS"/>
    <s v="LUIS"/>
    <s v="ANDRES"/>
    <s v="BOGOTA_D.E."/>
    <s v="BOGOTA"/>
    <s v="1. DEPENDIENTE"/>
    <s v="NINGUNO"/>
    <n v="126"/>
    <s v="NO"/>
    <s v="NO"/>
    <m/>
    <s v="Todos los sistemas (ARL, AFP, CCF, EPS)"/>
    <n v="46063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149192"/>
    <s v="NO"/>
    <s v="NO"/>
    <x v="1"/>
    <n v="21"/>
    <n v="3604435"/>
    <n v="0.16"/>
    <n v="576800"/>
    <s v=" "/>
    <n v="0"/>
    <n v="0"/>
    <n v="0"/>
    <n v="0"/>
    <n v="0"/>
    <n v="576800"/>
    <s v="NINGUNA"/>
    <x v="8"/>
    <n v="21"/>
    <n v="3604435"/>
    <n v="0.04"/>
    <n v="144200"/>
    <n v="0"/>
    <s v="               "/>
    <n v="0"/>
    <s v="               "/>
    <n v="0"/>
    <s v="NINGUNA"/>
    <x v="0"/>
    <n v="21"/>
    <n v="3604435"/>
    <n v="6.9599999999999995E-2"/>
    <s v="5"/>
    <s v="CENTRO TRABAJO 24"/>
    <s v="5711001"/>
    <n v="250900"/>
    <n v="21"/>
    <x v="0"/>
    <n v="3604435"/>
    <n v="0.04"/>
    <n v="144200"/>
    <n v="3604435"/>
    <n v="0"/>
    <n v="0"/>
    <n v="0"/>
    <n v="0"/>
    <n v="0"/>
    <n v="0"/>
    <n v="0"/>
    <n v="0"/>
    <s v="SI"/>
    <s v="  "/>
    <s v="                "/>
  </r>
  <r>
    <x v="0"/>
    <s v="CC"/>
    <x v="58"/>
    <x v="58"/>
    <s v="RIVERA"/>
    <s v="GOMEZ"/>
    <s v="ANGIE"/>
    <s v="LORENA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4"/>
    <n v="30"/>
    <n v="6819901"/>
    <n v="0.16"/>
    <n v="1091200"/>
    <s v=" "/>
    <n v="0"/>
    <n v="0"/>
    <n v="0"/>
    <n v="0"/>
    <n v="0"/>
    <n v="1091200"/>
    <s v="NINGUNA"/>
    <x v="2"/>
    <n v="30"/>
    <n v="6819901"/>
    <n v="0.04"/>
    <n v="272800"/>
    <n v="0"/>
    <s v="               "/>
    <n v="0"/>
    <s v="               "/>
    <n v="0"/>
    <s v="NINGUNA"/>
    <x v="0"/>
    <n v="30"/>
    <n v="6819901"/>
    <n v="6.9599999999999995E-2"/>
    <s v="5"/>
    <s v="CENTRO TRABAJO 24"/>
    <s v="5711001"/>
    <n v="474700"/>
    <n v="30"/>
    <x v="0"/>
    <n v="5209465"/>
    <n v="0.04"/>
    <n v="208400"/>
    <n v="5209465"/>
    <n v="0"/>
    <n v="0"/>
    <n v="0"/>
    <n v="0"/>
    <n v="0"/>
    <n v="0"/>
    <n v="0"/>
    <n v="0"/>
    <s v="SI"/>
    <s v="  "/>
    <s v="                "/>
  </r>
  <r>
    <x v="0"/>
    <s v="CC"/>
    <x v="59"/>
    <x v="59"/>
    <s v="LOPEZ"/>
    <s v="HURTADO"/>
    <s v="CARLOS"/>
    <s v="ALEXANDER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2859408"/>
    <s v="NO"/>
    <s v="NO"/>
    <x v="0"/>
    <n v="30"/>
    <n v="2859408"/>
    <n v="0.16"/>
    <n v="457600"/>
    <s v=" "/>
    <n v="0"/>
    <n v="0"/>
    <n v="0"/>
    <n v="0"/>
    <n v="0"/>
    <n v="457600"/>
    <s v="NINGUNA"/>
    <x v="3"/>
    <n v="30"/>
    <n v="2859408"/>
    <n v="0.04"/>
    <n v="114400"/>
    <n v="0"/>
    <s v="               "/>
    <n v="0"/>
    <s v="               "/>
    <n v="0"/>
    <s v="NINGUNA"/>
    <x v="0"/>
    <n v="30"/>
    <n v="2859408"/>
    <n v="5.2199999999999998E-3"/>
    <s v="1"/>
    <s v="CENTRO TRABAJO 24"/>
    <s v="1711001"/>
    <n v="15000"/>
    <n v="30"/>
    <x v="0"/>
    <n v="2859408"/>
    <n v="0.04"/>
    <n v="114400"/>
    <n v="2859408"/>
    <n v="0"/>
    <n v="0"/>
    <n v="0"/>
    <n v="0"/>
    <n v="0"/>
    <n v="0"/>
    <n v="0"/>
    <n v="0"/>
    <s v="SI"/>
    <s v="  "/>
    <s v="                "/>
  </r>
  <r>
    <x v="0"/>
    <s v="CC"/>
    <x v="60"/>
    <x v="60"/>
    <s v="TAPIA"/>
    <s v="LEAL"/>
    <s v="HARINSON"/>
    <s v="LEONAR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9"/>
    <n v="46070"/>
    <s v="NO"/>
    <m/>
    <m/>
    <s v="NO"/>
    <m/>
    <m/>
    <s v="NO"/>
    <s v="NO"/>
    <m/>
    <m/>
    <n v="0"/>
    <m/>
    <m/>
    <s v="NO"/>
    <n v="1750905"/>
    <s v="NO"/>
    <s v="NO"/>
    <x v="1"/>
    <n v="2"/>
    <n v="128936"/>
    <n v="0.16"/>
    <n v="20700"/>
    <s v=" "/>
    <n v="0"/>
    <n v="0"/>
    <n v="0"/>
    <n v="0"/>
    <n v="0"/>
    <n v="20700"/>
    <s v="NINGUNA"/>
    <x v="11"/>
    <n v="2"/>
    <n v="128936"/>
    <n v="0.04"/>
    <n v="5200"/>
    <n v="0"/>
    <s v="               "/>
    <n v="0"/>
    <s v="               "/>
    <n v="0"/>
    <s v="NINGUNA"/>
    <x v="0"/>
    <n v="2"/>
    <n v="128936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60"/>
    <x v="60"/>
    <s v="TAPIA"/>
    <s v="LEAL"/>
    <s v="HARINSON"/>
    <s v="LEONARDO"/>
    <s v="BOGOTA_D.E."/>
    <s v="BOGOTA"/>
    <s v="1. DEPENDIENTE"/>
    <s v="NINGUNO"/>
    <n v="17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8"/>
    <n v="1878311"/>
    <n v="0.16"/>
    <n v="300600"/>
    <s v=" "/>
    <n v="0"/>
    <n v="0"/>
    <n v="0"/>
    <n v="0"/>
    <n v="0"/>
    <n v="300600"/>
    <s v="NINGUNA"/>
    <x v="11"/>
    <n v="28"/>
    <n v="1878311"/>
    <n v="0.04"/>
    <n v="75200"/>
    <n v="0"/>
    <s v="               "/>
    <n v="0"/>
    <s v="               "/>
    <n v="0"/>
    <s v="NINGUNA"/>
    <x v="0"/>
    <n v="28"/>
    <n v="1878311"/>
    <n v="6.9599999999999995E-2"/>
    <s v="5"/>
    <s v="CENTRO TRABAJO 24"/>
    <s v="5711001"/>
    <n v="130800"/>
    <n v="28"/>
    <x v="0"/>
    <n v="1878311"/>
    <n v="0.04"/>
    <n v="75200"/>
    <n v="1878311"/>
    <n v="0"/>
    <n v="0"/>
    <n v="0"/>
    <n v="0"/>
    <n v="0"/>
    <n v="0"/>
    <n v="0"/>
    <n v="0"/>
    <s v="SI"/>
    <s v="  "/>
    <s v="                "/>
  </r>
  <r>
    <x v="0"/>
    <s v="CC"/>
    <x v="61"/>
    <x v="61"/>
    <s v="PALACIOS"/>
    <s v="ORJUELA"/>
    <s v="JENNY"/>
    <s v="ALEJANDRA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4891516"/>
    <s v="NO"/>
    <s v="NO"/>
    <x v="4"/>
    <n v="30"/>
    <n v="4891516"/>
    <n v="0.16"/>
    <n v="782700"/>
    <s v=" "/>
    <n v="0"/>
    <n v="0"/>
    <n v="0"/>
    <n v="0"/>
    <n v="0"/>
    <n v="782700"/>
    <s v="NINGUNA"/>
    <x v="2"/>
    <n v="30"/>
    <n v="4891516"/>
    <n v="0.04"/>
    <n v="195700"/>
    <n v="0"/>
    <s v="               "/>
    <n v="0"/>
    <s v="               "/>
    <n v="0"/>
    <s v="NINGUNA"/>
    <x v="0"/>
    <n v="30"/>
    <n v="4891516"/>
    <n v="6.9599999999999995E-2"/>
    <s v="5"/>
    <s v="CENTRO TRABAJO 24"/>
    <s v="5711001"/>
    <n v="340500"/>
    <n v="30"/>
    <x v="0"/>
    <n v="4891516"/>
    <n v="0.04"/>
    <n v="195700"/>
    <n v="4891516"/>
    <n v="0"/>
    <n v="0"/>
    <n v="0"/>
    <n v="0"/>
    <n v="0"/>
    <n v="0"/>
    <n v="0"/>
    <n v="0"/>
    <s v="SI"/>
    <s v="  "/>
    <s v="                "/>
  </r>
  <r>
    <x v="0"/>
    <s v="CC"/>
    <x v="62"/>
    <x v="62"/>
    <s v="OYUELA"/>
    <s v="RODRIGUEZ"/>
    <s v="JUAN"/>
    <s v="PABL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5209465"/>
    <s v="NO"/>
    <s v="NO"/>
    <x v="1"/>
    <n v="1"/>
    <n v="173649"/>
    <n v="0.16"/>
    <n v="27800"/>
    <s v=" "/>
    <n v="0"/>
    <n v="0"/>
    <n v="0"/>
    <n v="0"/>
    <n v="0"/>
    <n v="27800"/>
    <s v="NINGUNA"/>
    <x v="3"/>
    <n v="1"/>
    <n v="173649"/>
    <n v="0.04"/>
    <n v="7000"/>
    <n v="0"/>
    <s v="               "/>
    <n v="0"/>
    <s v="               "/>
    <n v="0"/>
    <s v="NINGUNA"/>
    <x v="0"/>
    <n v="1"/>
    <n v="173649"/>
    <n v="0"/>
    <s v="5"/>
    <s v="CENTRO TRABAJO 24"/>
    <s v="5711001"/>
    <n v="0"/>
    <n v="1"/>
    <x v="0"/>
    <n v="173649"/>
    <n v="0.04"/>
    <n v="7000"/>
    <n v="173649"/>
    <n v="0"/>
    <n v="0"/>
    <n v="0"/>
    <n v="0"/>
    <n v="0"/>
    <n v="0"/>
    <n v="0"/>
    <n v="0"/>
    <s v="SI"/>
    <s v="  "/>
    <s v="                "/>
  </r>
  <r>
    <x v="0"/>
    <s v="CC"/>
    <x v="62"/>
    <x v="62"/>
    <s v="OYUELA"/>
    <s v="RODRIGUEZ"/>
    <s v="JUAN"/>
    <s v="PABL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1"/>
    <n v="29"/>
    <n v="5035817"/>
    <n v="0.16"/>
    <n v="805800"/>
    <s v=" "/>
    <n v="0"/>
    <n v="0"/>
    <n v="0"/>
    <n v="0"/>
    <n v="0"/>
    <n v="805800"/>
    <s v="NINGUNA"/>
    <x v="3"/>
    <n v="29"/>
    <n v="5035817"/>
    <n v="0.04"/>
    <n v="201500"/>
    <n v="0"/>
    <s v="               "/>
    <n v="0"/>
    <s v="               "/>
    <n v="0"/>
    <s v="NINGUNA"/>
    <x v="0"/>
    <n v="29"/>
    <n v="5035817"/>
    <n v="6.9599999999999995E-2"/>
    <s v="5"/>
    <s v="CENTRO TRABAJO 24"/>
    <s v="5711001"/>
    <n v="350500"/>
    <n v="29"/>
    <x v="0"/>
    <n v="5035817"/>
    <n v="0.04"/>
    <n v="201500"/>
    <n v="5035817"/>
    <n v="0"/>
    <n v="0"/>
    <n v="0"/>
    <n v="0"/>
    <n v="0"/>
    <n v="0"/>
    <n v="0"/>
    <n v="0"/>
    <s v="SI"/>
    <s v="  "/>
    <s v="                "/>
  </r>
  <r>
    <x v="0"/>
    <s v="CC"/>
    <x v="63"/>
    <x v="63"/>
    <s v="DIAZ"/>
    <s v="LEGUIZAMON"/>
    <s v="YESID"/>
    <s v="ALEJANDRO"/>
    <s v="BOGOTA_D.E."/>
    <s v="BOGOTA"/>
    <s v="1. DEPENDIENTE"/>
    <s v="NINGUNO"/>
    <n v="27"/>
    <s v="NO"/>
    <s v="NO"/>
    <m/>
    <s v="Todos los sistemas (ARL, AFP, CCF, EPS)"/>
    <n v="46058"/>
    <s v="Todos los sistemas (ARL, AFP, CCF, EPS)"/>
    <n v="46062"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5"/>
    <n v="291818"/>
    <n v="0.16"/>
    <n v="46700"/>
    <s v=" "/>
    <n v="0"/>
    <n v="0"/>
    <n v="0"/>
    <n v="0"/>
    <n v="0"/>
    <n v="46700"/>
    <s v="NINGUNA"/>
    <x v="2"/>
    <n v="5"/>
    <n v="291818"/>
    <n v="0.04"/>
    <n v="11700"/>
    <n v="0"/>
    <s v="               "/>
    <n v="0"/>
    <s v="               "/>
    <n v="0"/>
    <s v="NINGUNA"/>
    <x v="0"/>
    <n v="5"/>
    <n v="291818"/>
    <n v="6.9599999999999995E-2"/>
    <s v="5"/>
    <s v="CENTRO TRABAJO 24"/>
    <s v="5711001"/>
    <n v="20400"/>
    <n v="5"/>
    <x v="0"/>
    <n v="237897"/>
    <n v="0.04"/>
    <n v="9600"/>
    <n v="237897"/>
    <n v="0"/>
    <n v="0"/>
    <n v="0"/>
    <n v="0"/>
    <n v="0"/>
    <n v="0"/>
    <n v="0"/>
    <n v="0"/>
    <s v="SI"/>
    <s v="  "/>
    <s v="                "/>
  </r>
  <r>
    <x v="0"/>
    <s v="CC"/>
    <x v="64"/>
    <x v="64"/>
    <s v="MOLINA"/>
    <s v="PAEZ"/>
    <s v="JOHN"/>
    <s v="EDINSSON"/>
    <s v="BOGOTA_D.E."/>
    <s v="BOGOTA"/>
    <s v="1. DEPENDIENTE"/>
    <s v="NINGUNO"/>
    <n v="94"/>
    <s v="NO"/>
    <s v="NO"/>
    <m/>
    <s v="Todos los sistemas (ARL, AFP, CCF, EPS)"/>
    <n v="46069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SI"/>
    <x v="3"/>
    <n v="15"/>
    <n v="2838289"/>
    <n v="0.16"/>
    <n v="454200"/>
    <s v=" "/>
    <n v="0"/>
    <n v="0"/>
    <n v="0"/>
    <n v="0"/>
    <n v="0"/>
    <n v="454200"/>
    <s v="NINGUNA"/>
    <x v="10"/>
    <n v="15"/>
    <n v="2838289"/>
    <n v="0.04"/>
    <n v="113600"/>
    <n v="0"/>
    <s v="               "/>
    <n v="0"/>
    <s v="               "/>
    <n v="0"/>
    <s v="NINGUNA"/>
    <x v="0"/>
    <n v="15"/>
    <n v="2838289"/>
    <n v="6.9599999999999995E-2"/>
    <s v="5"/>
    <s v="CENTRO TRABAJO 24"/>
    <s v="5711001"/>
    <n v="197600"/>
    <n v="15"/>
    <x v="0"/>
    <n v="2838289"/>
    <n v="0.04"/>
    <n v="113600"/>
    <n v="2838289"/>
    <n v="0"/>
    <n v="0"/>
    <n v="0"/>
    <n v="0"/>
    <n v="0"/>
    <n v="0"/>
    <n v="0"/>
    <n v="0"/>
    <s v="SI"/>
    <s v="  "/>
    <s v="                "/>
  </r>
  <r>
    <x v="0"/>
    <s v="CC"/>
    <x v="65"/>
    <x v="65"/>
    <s v="GIRALDO"/>
    <s v="RESTREPO"/>
    <s v="LUISA"/>
    <s v="FERNAND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2219704"/>
    <s v="NO"/>
    <s v="NO"/>
    <x v="1"/>
    <n v="30"/>
    <n v="2219704"/>
    <n v="0.16"/>
    <n v="355200"/>
    <s v=" "/>
    <n v="0"/>
    <n v="0"/>
    <n v="0"/>
    <n v="0"/>
    <n v="0"/>
    <n v="355200"/>
    <s v="NINGUNA"/>
    <x v="2"/>
    <n v="30"/>
    <n v="2219704"/>
    <n v="0.04"/>
    <n v="88800"/>
    <n v="0"/>
    <s v="               "/>
    <n v="0"/>
    <s v="               "/>
    <n v="0"/>
    <s v="NINGUNA"/>
    <x v="0"/>
    <n v="30"/>
    <n v="2219704"/>
    <n v="5.2199999999999998E-3"/>
    <s v="1"/>
    <s v="CENTRO TRABAJO 24"/>
    <s v="1711001"/>
    <n v="11600"/>
    <n v="30"/>
    <x v="0"/>
    <n v="2219704"/>
    <n v="0.04"/>
    <n v="88800"/>
    <n v="2219704"/>
    <n v="0"/>
    <n v="0"/>
    <n v="0"/>
    <n v="0"/>
    <n v="0"/>
    <n v="0"/>
    <n v="0"/>
    <n v="0"/>
    <s v="SI"/>
    <s v="  "/>
    <s v="                "/>
  </r>
  <r>
    <x v="0"/>
    <s v="CC"/>
    <x v="66"/>
    <x v="66"/>
    <s v="PAVA"/>
    <s v="NIÑO"/>
    <s v="ANGIE"/>
    <s v="HASBLEIDY"/>
    <s v="BOGOTA_D.E."/>
    <s v="BOGOTA"/>
    <s v="1. DEPENDIENTE"/>
    <s v="NINGUNO"/>
    <n v="94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3660341"/>
    <s v="NO"/>
    <s v="NO"/>
    <x v="0"/>
    <n v="15"/>
    <n v="1601269"/>
    <n v="0.16"/>
    <n v="256300"/>
    <s v=" "/>
    <n v="0"/>
    <n v="0"/>
    <n v="0"/>
    <n v="0"/>
    <n v="0"/>
    <n v="256300"/>
    <s v="NINGUNA"/>
    <x v="8"/>
    <n v="15"/>
    <n v="1601269"/>
    <n v="0.04"/>
    <n v="64100"/>
    <n v="0"/>
    <s v="               "/>
    <n v="0"/>
    <s v="               "/>
    <n v="0"/>
    <s v="NINGUNA"/>
    <x v="0"/>
    <n v="15"/>
    <n v="1601269"/>
    <n v="5.2199999999999998E-3"/>
    <s v="1"/>
    <s v="CENTRO TRABAJO 24"/>
    <s v="1711001"/>
    <n v="8400"/>
    <n v="15"/>
    <x v="0"/>
    <n v="1601269"/>
    <n v="0.04"/>
    <n v="64100"/>
    <n v="1601269"/>
    <n v="0"/>
    <n v="0"/>
    <n v="0"/>
    <n v="0"/>
    <n v="0"/>
    <n v="0"/>
    <n v="0"/>
    <n v="0"/>
    <s v="SI"/>
    <s v="  "/>
    <s v="                "/>
  </r>
  <r>
    <x v="0"/>
    <s v="CC"/>
    <x v="66"/>
    <x v="66"/>
    <s v="PAVA"/>
    <s v="NIÑO"/>
    <s v="ANGIE"/>
    <s v="HASBLEIDY"/>
    <s v="BOGOTA_D.E."/>
    <s v="BOGOTA"/>
    <s v="1. DEPENDIENTE"/>
    <s v="NINGUNO"/>
    <n v="94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660341"/>
    <s v="NO"/>
    <s v="NO"/>
    <x v="0"/>
    <n v="15"/>
    <n v="4614376"/>
    <n v="0.16"/>
    <n v="738400"/>
    <s v=" "/>
    <n v="0"/>
    <n v="0"/>
    <n v="0"/>
    <n v="0"/>
    <n v="0"/>
    <n v="738400"/>
    <s v="NINGUNA"/>
    <x v="8"/>
    <n v="15"/>
    <n v="4614376"/>
    <n v="0.04"/>
    <n v="184600"/>
    <n v="0"/>
    <s v="               "/>
    <n v="0"/>
    <s v="               "/>
    <n v="0"/>
    <s v="NINGUNA"/>
    <x v="0"/>
    <n v="15"/>
    <n v="4614376"/>
    <n v="5.2199999999999998E-3"/>
    <s v="1"/>
    <s v="CENTRO TRABAJO 24"/>
    <s v="1711001"/>
    <n v="24100"/>
    <n v="15"/>
    <x v="0"/>
    <n v="2059073"/>
    <n v="0.04"/>
    <n v="82400"/>
    <n v="2059073"/>
    <n v="0"/>
    <n v="0"/>
    <n v="0"/>
    <n v="0"/>
    <n v="0"/>
    <n v="0"/>
    <n v="0"/>
    <n v="0"/>
    <s v="SI"/>
    <s v="  "/>
    <s v="                "/>
  </r>
  <r>
    <x v="0"/>
    <s v="CC"/>
    <x v="67"/>
    <x v="67"/>
    <s v="MORALES"/>
    <s v="VANEGAS"/>
    <s v="MARIA"/>
    <s v="FERNAND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8"/>
    <n v="46061"/>
    <s v="NO"/>
    <s v="NO"/>
    <m/>
    <m/>
    <n v="0"/>
    <m/>
    <m/>
    <s v="NO"/>
    <n v="3660341"/>
    <s v="NO"/>
    <s v="NO"/>
    <x v="1"/>
    <n v="4"/>
    <n v="448036"/>
    <n v="0.16"/>
    <n v="71700"/>
    <s v=" "/>
    <n v="0"/>
    <n v="0"/>
    <n v="0"/>
    <n v="0"/>
    <n v="0"/>
    <n v="71700"/>
    <s v="NINGUNA"/>
    <x v="2"/>
    <n v="4"/>
    <n v="448036"/>
    <n v="0.04"/>
    <n v="18000"/>
    <n v="0"/>
    <s v="               "/>
    <n v="0"/>
    <s v="               "/>
    <n v="0"/>
    <s v="NINGUNA"/>
    <x v="0"/>
    <n v="4"/>
    <n v="448036"/>
    <n v="0"/>
    <s v="1"/>
    <s v="CENTRO TRABAJO 24"/>
    <s v="1711001"/>
    <n v="0"/>
    <n v="4"/>
    <x v="0"/>
    <n v="448036"/>
    <n v="0.04"/>
    <n v="18000"/>
    <n v="448036"/>
    <n v="0"/>
    <n v="0"/>
    <n v="0"/>
    <n v="0"/>
    <n v="0"/>
    <n v="0"/>
    <n v="0"/>
    <n v="0"/>
    <s v="SI"/>
    <s v="  "/>
    <s v="                "/>
  </r>
  <r>
    <x v="0"/>
    <s v="CC"/>
    <x v="67"/>
    <x v="67"/>
    <s v="MORALES"/>
    <s v="VANEGAS"/>
    <s v="MARIA"/>
    <s v="FERNANDA"/>
    <s v="BOGOTA_D.E."/>
    <s v="BOGOTA"/>
    <s v="1. DEPENDIENTE"/>
    <s v="NINGUNO"/>
    <n v="7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3660341"/>
    <s v="NO"/>
    <s v="NO"/>
    <x v="1"/>
    <n v="11"/>
    <n v="1232098"/>
    <n v="0.16"/>
    <n v="197200"/>
    <s v=" "/>
    <n v="0"/>
    <n v="0"/>
    <n v="0"/>
    <n v="0"/>
    <n v="0"/>
    <n v="197200"/>
    <s v="NINGUNA"/>
    <x v="2"/>
    <n v="11"/>
    <n v="1232098"/>
    <n v="0.04"/>
    <n v="49300"/>
    <n v="0"/>
    <s v="               "/>
    <n v="0"/>
    <s v="               "/>
    <n v="0"/>
    <s v="NINGUNA"/>
    <x v="0"/>
    <n v="11"/>
    <n v="1232098"/>
    <n v="5.2199999999999998E-3"/>
    <s v="1"/>
    <s v="CENTRO TRABAJO 24"/>
    <s v="1711001"/>
    <n v="6500"/>
    <n v="11"/>
    <x v="0"/>
    <n v="1232098"/>
    <n v="0.04"/>
    <n v="49300"/>
    <n v="1232098"/>
    <n v="0"/>
    <n v="0"/>
    <n v="0"/>
    <n v="0"/>
    <n v="0"/>
    <n v="0"/>
    <n v="0"/>
    <n v="0"/>
    <s v="SI"/>
    <s v="  "/>
    <s v="                "/>
  </r>
  <r>
    <x v="0"/>
    <s v="CC"/>
    <x v="67"/>
    <x v="67"/>
    <s v="MORALES"/>
    <s v="VANEGAS"/>
    <s v="MARIA"/>
    <s v="FERNANDA"/>
    <s v="BOGOTA_D.E."/>
    <s v="BOGOTA"/>
    <s v="1. DEPENDIENTE"/>
    <s v="NINGUNO"/>
    <n v="94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660341"/>
    <s v="NO"/>
    <s v="NO"/>
    <x v="1"/>
    <n v="15"/>
    <n v="1940198"/>
    <n v="0.16"/>
    <n v="310500"/>
    <s v=" "/>
    <n v="0"/>
    <n v="0"/>
    <n v="0"/>
    <n v="0"/>
    <n v="0"/>
    <n v="310500"/>
    <s v="NINGUNA"/>
    <x v="2"/>
    <n v="15"/>
    <n v="1940198"/>
    <n v="0.04"/>
    <n v="77700"/>
    <n v="0"/>
    <s v="               "/>
    <n v="0"/>
    <s v="               "/>
    <n v="0"/>
    <s v="NINGUNA"/>
    <x v="0"/>
    <n v="15"/>
    <n v="1940198"/>
    <n v="5.2199999999999998E-3"/>
    <s v="1"/>
    <s v="CENTRO TRABAJO 24"/>
    <s v="1711001"/>
    <n v="10200"/>
    <n v="15"/>
    <x v="0"/>
    <n v="1940198"/>
    <n v="0.04"/>
    <n v="77700"/>
    <n v="1940198"/>
    <n v="0"/>
    <n v="0"/>
    <n v="0"/>
    <n v="0"/>
    <n v="0"/>
    <n v="0"/>
    <n v="0"/>
    <n v="0"/>
    <s v="SI"/>
    <s v="  "/>
    <s v="                "/>
  </r>
  <r>
    <x v="0"/>
    <s v="CC"/>
    <x v="68"/>
    <x v="68"/>
    <s v="SUAREZ"/>
    <s v="CORDOBA"/>
    <s v="JHONATAN"/>
    <s v="DE JESUS"/>
    <s v="BOGOTA_D.E."/>
    <s v="BOGOTA"/>
    <s v="1. DEPENDIENTE"/>
    <s v="NINGUNO"/>
    <n v="90"/>
    <s v="NO"/>
    <s v="NO"/>
    <m/>
    <s v="Todos los sistemas (ARL, AFP, CCF, EPS)"/>
    <n v="46069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2102789"/>
    <s v="NO"/>
    <s v="NO"/>
    <x v="0"/>
    <n v="15"/>
    <n v="1547463"/>
    <n v="0.16"/>
    <n v="247600"/>
    <s v=" "/>
    <n v="0"/>
    <n v="0"/>
    <n v="0"/>
    <n v="0"/>
    <n v="0"/>
    <n v="247600"/>
    <s v="NINGUNA"/>
    <x v="0"/>
    <n v="15"/>
    <n v="1547463"/>
    <n v="0.04"/>
    <n v="61900"/>
    <n v="0"/>
    <s v="               "/>
    <n v="0"/>
    <s v="               "/>
    <n v="0"/>
    <s v="NINGUNA"/>
    <x v="0"/>
    <n v="15"/>
    <n v="1547463"/>
    <n v="6.9599999999999995E-2"/>
    <s v="5"/>
    <s v="CENTRO TRABAJO 24"/>
    <s v="5711001"/>
    <n v="107800"/>
    <n v="15"/>
    <x v="0"/>
    <n v="1051395"/>
    <n v="0.04"/>
    <n v="42100"/>
    <n v="1051395"/>
    <n v="0"/>
    <n v="0"/>
    <n v="0"/>
    <n v="0"/>
    <n v="0"/>
    <n v="0"/>
    <n v="0"/>
    <n v="0"/>
    <s v="SI"/>
    <s v="  "/>
    <s v="                "/>
  </r>
  <r>
    <x v="0"/>
    <s v="CC"/>
    <x v="69"/>
    <x v="69"/>
    <s v="CASTRO"/>
    <s v="MACEA"/>
    <s v="EFREN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6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"/>
    <n v="175091"/>
    <n v="0.16"/>
    <n v="28100"/>
    <s v=" "/>
    <n v="0"/>
    <n v="0"/>
    <n v="0"/>
    <n v="0"/>
    <n v="0"/>
    <n v="28100"/>
    <s v="NINGUNA"/>
    <x v="10"/>
    <n v="3"/>
    <n v="175091"/>
    <n v="0"/>
    <n v="0"/>
    <n v="0"/>
    <s v="               "/>
    <n v="0"/>
    <s v="               "/>
    <n v="0"/>
    <s v="NINGUNA"/>
    <x v="0"/>
    <n v="3"/>
    <n v="175091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69"/>
    <x v="69"/>
    <s v="CASTRO"/>
    <s v="MACEA"/>
    <s v="EFREN"/>
    <s v=""/>
    <s v="BOGOTA_D.E."/>
    <s v="BOGOTA"/>
    <s v="1. DEPENDIENTE"/>
    <s v="NINGUNO"/>
    <n v="6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0"/>
    <n v="346838"/>
    <n v="0.16"/>
    <n v="55500"/>
    <s v=" "/>
    <n v="0"/>
    <n v="0"/>
    <n v="0"/>
    <n v="0"/>
    <n v="0"/>
    <n v="55500"/>
    <s v="NINGUNA"/>
    <x v="10"/>
    <n v="0"/>
    <n v="346838"/>
    <n v="0.04"/>
    <n v="13900"/>
    <n v="0"/>
    <s v="               "/>
    <n v="0"/>
    <s v="               "/>
    <n v="0"/>
    <s v="NINGUNA"/>
    <x v="0"/>
    <n v="0"/>
    <n v="346838"/>
    <n v="6.9599999999999995E-2"/>
    <s v="5"/>
    <s v="CENTRO TRABAJO 24"/>
    <s v="5711001"/>
    <n v="24200"/>
    <n v="0"/>
    <x v="0"/>
    <n v="753174"/>
    <n v="0.04"/>
    <n v="30200"/>
    <n v="753174"/>
    <n v="0"/>
    <n v="0"/>
    <n v="0"/>
    <n v="0"/>
    <n v="0"/>
    <n v="0"/>
    <n v="0"/>
    <n v="0"/>
    <s v="SI"/>
    <s v="  "/>
    <s v="                "/>
  </r>
  <r>
    <x v="0"/>
    <s v="CC"/>
    <x v="70"/>
    <x v="70"/>
    <s v="HERNANDEZ"/>
    <s v="MERCHAN"/>
    <s v="JHONATHAN"/>
    <s v="EDGARDO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237314"/>
    <n v="0.16"/>
    <n v="358000"/>
    <s v=" "/>
    <n v="0"/>
    <n v="0"/>
    <n v="0"/>
    <n v="0"/>
    <n v="0"/>
    <n v="358000"/>
    <s v="NINGUNA"/>
    <x v="3"/>
    <n v="30"/>
    <n v="2237314"/>
    <n v="0.04"/>
    <n v="89500"/>
    <n v="0"/>
    <s v="               "/>
    <n v="0"/>
    <s v="               "/>
    <n v="0"/>
    <s v="NINGUNA"/>
    <x v="0"/>
    <n v="30"/>
    <n v="2237314"/>
    <n v="6.9599999999999995E-2"/>
    <s v="5"/>
    <s v="CENTRO TRABAJO 24"/>
    <s v="5711001"/>
    <n v="155800"/>
    <n v="30"/>
    <x v="0"/>
    <n v="2237314"/>
    <n v="0.04"/>
    <n v="89500"/>
    <n v="2237314"/>
    <n v="0"/>
    <n v="0"/>
    <n v="0"/>
    <n v="0"/>
    <n v="0"/>
    <n v="0"/>
    <n v="0"/>
    <n v="0"/>
    <s v="SI"/>
    <s v="  "/>
    <s v="                "/>
  </r>
  <r>
    <x v="0"/>
    <s v="CC"/>
    <x v="71"/>
    <x v="71"/>
    <s v="POLO"/>
    <s v="CABALLERO"/>
    <s v="ESTEFER"/>
    <s v="JOS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4"/>
    <n v="46058"/>
    <s v="NO"/>
    <s v="NO"/>
    <m/>
    <m/>
    <n v="0"/>
    <m/>
    <m/>
    <s v="NO"/>
    <n v="1889179"/>
    <s v="NO"/>
    <s v="NO"/>
    <x v="2"/>
    <n v="5"/>
    <n v="314864"/>
    <n v="0.16"/>
    <n v="50400"/>
    <s v=" "/>
    <n v="0"/>
    <n v="0"/>
    <n v="0"/>
    <n v="0"/>
    <n v="0"/>
    <n v="50400"/>
    <s v="NINGUNA"/>
    <x v="10"/>
    <n v="5"/>
    <n v="314864"/>
    <n v="0.04"/>
    <n v="12600"/>
    <n v="0"/>
    <s v="               "/>
    <n v="0"/>
    <s v="               "/>
    <n v="0"/>
    <s v="NINGUNA"/>
    <x v="0"/>
    <n v="5"/>
    <n v="314864"/>
    <n v="0"/>
    <s v="3"/>
    <s v="CENTRO TRABAJO 24"/>
    <s v="3711001"/>
    <n v="0"/>
    <n v="5"/>
    <x v="0"/>
    <n v="314864"/>
    <n v="0.04"/>
    <n v="12600"/>
    <n v="314864"/>
    <n v="0"/>
    <n v="0"/>
    <n v="0"/>
    <n v="0"/>
    <n v="0"/>
    <n v="0"/>
    <n v="0"/>
    <n v="0"/>
    <s v="SI"/>
    <s v="  "/>
    <s v="                "/>
  </r>
  <r>
    <x v="0"/>
    <s v="CC"/>
    <x v="71"/>
    <x v="71"/>
    <s v="POLO"/>
    <s v="CABALLERO"/>
    <s v="ESTEFER"/>
    <s v="JOSE"/>
    <s v="BOGOTA_D.E."/>
    <s v="BOGOTA"/>
    <s v="1. DEPENDIENTE"/>
    <s v="NINGUNO"/>
    <n v="144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2"/>
    <n v="25"/>
    <n v="1574316"/>
    <n v="0.16"/>
    <n v="251900"/>
    <s v=" "/>
    <n v="0"/>
    <n v="0"/>
    <n v="0"/>
    <n v="0"/>
    <n v="0"/>
    <n v="251900"/>
    <s v="NINGUNA"/>
    <x v="10"/>
    <n v="25"/>
    <n v="1574316"/>
    <n v="0.04"/>
    <n v="63000"/>
    <n v="0"/>
    <s v="               "/>
    <n v="0"/>
    <s v="               "/>
    <n v="0"/>
    <s v="NINGUNA"/>
    <x v="0"/>
    <n v="25"/>
    <n v="1574316"/>
    <n v="2.436E-2"/>
    <s v="3"/>
    <s v="CENTRO TRABAJO 24"/>
    <s v="3711001"/>
    <n v="38400"/>
    <n v="25"/>
    <x v="0"/>
    <n v="1574316"/>
    <n v="0.04"/>
    <n v="63000"/>
    <n v="1574316"/>
    <n v="0"/>
    <n v="0"/>
    <n v="0"/>
    <n v="0"/>
    <n v="0"/>
    <n v="0"/>
    <n v="0"/>
    <n v="0"/>
    <s v="SI"/>
    <s v="  "/>
    <s v="                "/>
  </r>
  <r>
    <x v="0"/>
    <s v="CC"/>
    <x v="72"/>
    <x v="72"/>
    <s v="SANDOVAL"/>
    <s v="RODRIGUEZ"/>
    <s v="IRON"/>
    <s v="LUIS"/>
    <s v="LA_GUAJIRA"/>
    <s v="RIOHACHA"/>
    <s v="1. DEPENDIENTE"/>
    <s v="NINGUNO"/>
    <n v="202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0"/>
    <n v="30"/>
    <n v="2285022"/>
    <n v="0.16"/>
    <n v="365700"/>
    <s v=" "/>
    <n v="0"/>
    <n v="0"/>
    <n v="0"/>
    <n v="0"/>
    <n v="0"/>
    <n v="365700"/>
    <s v="NINGUNA"/>
    <x v="2"/>
    <n v="30"/>
    <n v="2285022"/>
    <n v="0.04"/>
    <n v="91500"/>
    <n v="0"/>
    <s v="               "/>
    <n v="0"/>
    <s v="               "/>
    <n v="0"/>
    <s v="NINGUNA"/>
    <x v="0"/>
    <n v="30"/>
    <n v="2285022"/>
    <n v="6.9599999999999995E-2"/>
    <s v="5"/>
    <s v="CENTRO TRABAJO 30"/>
    <s v="5711001"/>
    <n v="159100"/>
    <n v="30"/>
    <x v="1"/>
    <n v="2285022"/>
    <n v="0.04"/>
    <n v="91500"/>
    <n v="2285022"/>
    <n v="0"/>
    <n v="0"/>
    <n v="0"/>
    <n v="0"/>
    <n v="0"/>
    <n v="0"/>
    <n v="0"/>
    <n v="0"/>
    <s v="SI"/>
    <s v="  "/>
    <s v="                "/>
  </r>
  <r>
    <x v="0"/>
    <s v="CC"/>
    <x v="73"/>
    <x v="73"/>
    <s v="DIAZ"/>
    <s v="ESCOBAR"/>
    <s v="FERNANDO"/>
    <s v="JOS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2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73"/>
    <x v="73"/>
    <s v="DIAZ"/>
    <s v="ESCOBAR"/>
    <s v="FERNANDO"/>
    <s v="JOSE"/>
    <s v="LA_GUAJIRA"/>
    <s v="RIOHACHA"/>
    <s v="1. DEPENDIENTE"/>
    <s v="NINGUNO"/>
    <n v="201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5"/>
    <n v="1950683"/>
    <n v="0.16"/>
    <n v="312200"/>
    <s v=" "/>
    <n v="0"/>
    <n v="0"/>
    <n v="0"/>
    <n v="0"/>
    <n v="0"/>
    <n v="312200"/>
    <s v="NINGUNA"/>
    <x v="2"/>
    <n v="25"/>
    <n v="1950683"/>
    <n v="0.04"/>
    <n v="78100"/>
    <n v="0"/>
    <s v="               "/>
    <n v="0"/>
    <s v="               "/>
    <n v="0"/>
    <s v="NINGUNA"/>
    <x v="0"/>
    <n v="25"/>
    <n v="1950683"/>
    <n v="6.9599999999999995E-2"/>
    <s v="5"/>
    <s v="CENTRO TRABAJO 30"/>
    <s v="5711001"/>
    <n v="135800"/>
    <n v="25"/>
    <x v="1"/>
    <n v="2058337"/>
    <n v="0.04"/>
    <n v="82400"/>
    <n v="2058337"/>
    <n v="0"/>
    <n v="0"/>
    <n v="0"/>
    <n v="0"/>
    <n v="0"/>
    <n v="0"/>
    <n v="0"/>
    <n v="0"/>
    <s v="SI"/>
    <s v="  "/>
    <s v="                "/>
  </r>
  <r>
    <x v="0"/>
    <s v="CC"/>
    <x v="74"/>
    <x v="74"/>
    <s v="SALAS"/>
    <s v="GUERRA"/>
    <s v="RONAL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2665550"/>
    <s v="NO"/>
    <s v="NO"/>
    <x v="2"/>
    <n v="2"/>
    <n v="177704"/>
    <n v="0.16"/>
    <n v="28500"/>
    <s v=" "/>
    <n v="0"/>
    <n v="0"/>
    <n v="0"/>
    <n v="0"/>
    <n v="0"/>
    <n v="28500"/>
    <s v="NINGUNA"/>
    <x v="12"/>
    <n v="2"/>
    <n v="177704"/>
    <n v="0"/>
    <n v="0"/>
    <n v="0"/>
    <s v="               "/>
    <n v="0"/>
    <s v="               "/>
    <n v="0"/>
    <s v="NINGUNA"/>
    <x v="0"/>
    <n v="2"/>
    <n v="177704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74"/>
    <x v="74"/>
    <s v="SALAS"/>
    <s v="GUERRA"/>
    <s v="RONAL"/>
    <s v="RAFAEL"/>
    <s v="BOGOTA_D.E."/>
    <s v="BOGOTA"/>
    <s v="1. DEPENDIENTE"/>
    <s v="NINGUNO"/>
    <n v="23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2"/>
    <n v="1"/>
    <n v="1063865"/>
    <n v="0.16"/>
    <n v="170300"/>
    <s v=" "/>
    <n v="0"/>
    <n v="0"/>
    <n v="0"/>
    <n v="0"/>
    <n v="0"/>
    <n v="170300"/>
    <s v="NINGUNA"/>
    <x v="12"/>
    <n v="1"/>
    <n v="1063865"/>
    <n v="0.125"/>
    <n v="133000"/>
    <n v="0"/>
    <s v="               "/>
    <n v="0"/>
    <s v="               "/>
    <n v="0"/>
    <s v="NINGUNA"/>
    <x v="0"/>
    <n v="1"/>
    <n v="1063865"/>
    <n v="6.9599999999999995E-2"/>
    <s v="5"/>
    <s v="CENTRO TRABAJO 24"/>
    <s v="5711001"/>
    <n v="74100"/>
    <n v="1"/>
    <x v="0"/>
    <n v="1788796"/>
    <n v="0.04"/>
    <n v="71600"/>
    <n v="1788796"/>
    <n v="0.02"/>
    <n v="35800"/>
    <n v="0.03"/>
    <n v="53700"/>
    <n v="0"/>
    <n v="0"/>
    <n v="0"/>
    <n v="0"/>
    <s v="SI"/>
    <s v="  "/>
    <s v="                "/>
  </r>
  <r>
    <x v="0"/>
    <s v="CC"/>
    <x v="75"/>
    <x v="75"/>
    <s v="PADILLA"/>
    <s v="PALOMINO"/>
    <s v="HENRY"/>
    <s v=""/>
    <s v="BOGOTA_D.E."/>
    <s v="BOGOTA"/>
    <s v="1. DEPENDIENTE"/>
    <s v="NINGUNO"/>
    <n v="161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1"/>
    <n v="2630642"/>
    <n v="0.16"/>
    <n v="421000"/>
    <s v=" "/>
    <n v="0"/>
    <n v="0"/>
    <n v="0"/>
    <n v="0"/>
    <n v="0"/>
    <n v="421000"/>
    <s v="NINGUNA"/>
    <x v="12"/>
    <n v="21"/>
    <n v="2630642"/>
    <n v="0.04"/>
    <n v="105300"/>
    <n v="0"/>
    <s v="               "/>
    <n v="0"/>
    <s v="               "/>
    <n v="0"/>
    <s v="NINGUNA"/>
    <x v="0"/>
    <n v="21"/>
    <n v="2630642"/>
    <n v="6.9599999999999995E-2"/>
    <s v="5"/>
    <s v="CENTRO TRABAJO 24"/>
    <s v="5711001"/>
    <n v="183100"/>
    <n v="21"/>
    <x v="0"/>
    <n v="2476588"/>
    <n v="0.04"/>
    <n v="99100"/>
    <n v="2476588"/>
    <n v="0"/>
    <n v="0"/>
    <n v="0"/>
    <n v="0"/>
    <n v="0"/>
    <n v="0"/>
    <n v="0"/>
    <n v="0"/>
    <s v="SI"/>
    <s v="  "/>
    <s v="                "/>
  </r>
  <r>
    <x v="0"/>
    <s v="CC"/>
    <x v="76"/>
    <x v="76"/>
    <s v="GOMEZ"/>
    <s v="SIERRA"/>
    <s v="OSWALD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1"/>
    <n v="74112"/>
    <n v="0.16"/>
    <n v="11900"/>
    <s v=" "/>
    <n v="0"/>
    <n v="0"/>
    <n v="0"/>
    <n v="0"/>
    <n v="0"/>
    <n v="11900"/>
    <s v="NINGUNA"/>
    <x v="12"/>
    <n v="1"/>
    <n v="74112"/>
    <n v="0"/>
    <n v="0"/>
    <n v="0"/>
    <s v="               "/>
    <n v="0"/>
    <s v="               "/>
    <n v="0"/>
    <s v="NINGUNA"/>
    <x v="0"/>
    <n v="1"/>
    <n v="74112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76"/>
    <x v="76"/>
    <s v="GOMEZ"/>
    <s v="SIERRA"/>
    <s v="OSWALD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5"/>
    <n v="46059"/>
    <s v="NO"/>
    <s v="NO"/>
    <m/>
    <m/>
    <n v="0"/>
    <m/>
    <m/>
    <s v="NO"/>
    <n v="2223339"/>
    <s v="NO"/>
    <s v="NO"/>
    <x v="4"/>
    <n v="5"/>
    <n v="370557"/>
    <n v="0.16"/>
    <n v="59300"/>
    <s v=" "/>
    <n v="0"/>
    <n v="0"/>
    <n v="0"/>
    <n v="0"/>
    <n v="0"/>
    <n v="59300"/>
    <s v="NINGUNA"/>
    <x v="12"/>
    <n v="5"/>
    <n v="370557"/>
    <n v="0.04"/>
    <n v="14900"/>
    <n v="0"/>
    <s v="               "/>
    <n v="0"/>
    <s v="               "/>
    <n v="0"/>
    <s v="NINGUNA"/>
    <x v="0"/>
    <n v="5"/>
    <n v="370557"/>
    <n v="0"/>
    <s v="5"/>
    <s v="CENTRO TRABAJO 30"/>
    <s v="5711001"/>
    <n v="0"/>
    <n v="5"/>
    <x v="1"/>
    <n v="370557"/>
    <n v="0.04"/>
    <n v="14900"/>
    <n v="370557"/>
    <n v="0"/>
    <n v="0"/>
    <n v="0"/>
    <n v="0"/>
    <n v="0"/>
    <n v="0"/>
    <n v="0"/>
    <n v="0"/>
    <s v="SI"/>
    <s v="  "/>
    <s v="                "/>
  </r>
  <r>
    <x v="0"/>
    <s v="CC"/>
    <x v="76"/>
    <x v="76"/>
    <s v="GOMEZ"/>
    <s v="SIERRA"/>
    <s v="OSWALDO"/>
    <s v=""/>
    <s v="LA_GUAJIRA"/>
    <s v="RIOHACHA"/>
    <s v="1. DEPENDIENTE"/>
    <s v="NINGUNO"/>
    <n v="15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24"/>
    <n v="2289733"/>
    <n v="0.16"/>
    <n v="366400"/>
    <s v=" "/>
    <n v="0"/>
    <n v="0"/>
    <n v="0"/>
    <n v="0"/>
    <n v="0"/>
    <n v="366400"/>
    <s v="NINGUNA"/>
    <x v="12"/>
    <n v="24"/>
    <n v="2289733"/>
    <n v="0.04"/>
    <n v="91600"/>
    <n v="0"/>
    <s v="               "/>
    <n v="0"/>
    <s v="               "/>
    <n v="0"/>
    <s v="NINGUNA"/>
    <x v="0"/>
    <n v="24"/>
    <n v="2289733"/>
    <n v="6.9599999999999995E-2"/>
    <s v="5"/>
    <s v="CENTRO TRABAJO 30"/>
    <s v="5711001"/>
    <n v="159400"/>
    <n v="24"/>
    <x v="1"/>
    <n v="2057095"/>
    <n v="0.04"/>
    <n v="82300"/>
    <n v="2057095"/>
    <n v="0"/>
    <n v="0"/>
    <n v="0"/>
    <n v="0"/>
    <n v="0"/>
    <n v="0"/>
    <n v="0"/>
    <n v="0"/>
    <s v="SI"/>
    <s v="  "/>
    <s v="                "/>
  </r>
  <r>
    <x v="0"/>
    <s v="CC"/>
    <x v="77"/>
    <x v="77"/>
    <s v="VILLAREAL"/>
    <s v="MOVILLA"/>
    <s v="GUSTAVO"/>
    <s v="JOSE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2286374"/>
    <s v="NO"/>
    <s v="NO"/>
    <x v="2"/>
    <n v="30"/>
    <n v="2286374"/>
    <n v="0.16"/>
    <n v="365900"/>
    <s v=" "/>
    <n v="0"/>
    <n v="0"/>
    <n v="0"/>
    <n v="0"/>
    <n v="0"/>
    <n v="365900"/>
    <s v="NINGUNA"/>
    <x v="3"/>
    <n v="30"/>
    <n v="2286374"/>
    <n v="0.04"/>
    <n v="91500"/>
    <n v="0"/>
    <s v="               "/>
    <n v="0"/>
    <s v="               "/>
    <n v="0"/>
    <s v="NINGUNA"/>
    <x v="0"/>
    <n v="30"/>
    <n v="2286374"/>
    <n v="6.9599999999999995E-2"/>
    <s v="5"/>
    <s v="CENTRO TRABAJO 24"/>
    <s v="5711001"/>
    <n v="159200"/>
    <n v="30"/>
    <x v="0"/>
    <n v="2286374"/>
    <n v="0.04"/>
    <n v="91500"/>
    <n v="2286374"/>
    <n v="0"/>
    <n v="0"/>
    <n v="0"/>
    <n v="0"/>
    <n v="0"/>
    <n v="0"/>
    <n v="0"/>
    <n v="0"/>
    <s v="SI"/>
    <s v="  "/>
    <s v="                "/>
  </r>
  <r>
    <x v="0"/>
    <s v="CC"/>
    <x v="78"/>
    <x v="78"/>
    <s v="SANES"/>
    <s v="ANAYA"/>
    <s v="STIVENSON"/>
    <s v="JOSE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0"/>
    <n v="4"/>
    <n v="260887"/>
    <n v="0.16"/>
    <n v="41800"/>
    <s v=" "/>
    <n v="0"/>
    <n v="0"/>
    <n v="0"/>
    <n v="0"/>
    <n v="0"/>
    <n v="41800"/>
    <s v="NINGUNA"/>
    <x v="3"/>
    <n v="4"/>
    <n v="260887"/>
    <n v="0.04"/>
    <n v="10500"/>
    <n v="0"/>
    <s v="               "/>
    <n v="0"/>
    <s v="               "/>
    <n v="0"/>
    <s v="NINGUNA"/>
    <x v="0"/>
    <n v="4"/>
    <n v="260887"/>
    <n v="6.9599999999999995E-2"/>
    <s v="5"/>
    <s v="CENTRO TRABAJO 24"/>
    <s v="5711001"/>
    <n v="18200"/>
    <n v="4"/>
    <x v="0"/>
    <n v="260887"/>
    <n v="0.04"/>
    <n v="10500"/>
    <n v="260887"/>
    <n v="0"/>
    <n v="0"/>
    <n v="0"/>
    <n v="0"/>
    <n v="0"/>
    <n v="0"/>
    <n v="0"/>
    <n v="0"/>
    <s v="SI"/>
    <s v="  "/>
    <s v="                "/>
  </r>
  <r>
    <x v="0"/>
    <s v="CC"/>
    <x v="79"/>
    <x v="79"/>
    <s v="SUAREZ"/>
    <s v="MENDOZA"/>
    <s v="WILLIAM"/>
    <s v="RICARD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1"/>
    <n v="30"/>
    <n v="5676577"/>
    <n v="0.16"/>
    <n v="908300"/>
    <s v=" "/>
    <n v="0"/>
    <n v="0"/>
    <n v="0"/>
    <n v="0"/>
    <n v="0"/>
    <n v="908300"/>
    <s v="NINGUNA"/>
    <x v="0"/>
    <n v="30"/>
    <n v="5676577"/>
    <n v="0.04"/>
    <n v="227100"/>
    <n v="0"/>
    <s v="               "/>
    <n v="0"/>
    <s v="               "/>
    <n v="0"/>
    <s v="NINGUNA"/>
    <x v="0"/>
    <n v="30"/>
    <n v="5676577"/>
    <n v="6.9599999999999995E-2"/>
    <s v="5"/>
    <s v="CENTRO TRABAJO 24"/>
    <s v="5711001"/>
    <n v="395100"/>
    <n v="30"/>
    <x v="0"/>
    <n v="5676577"/>
    <n v="0.04"/>
    <n v="227100"/>
    <n v="5676577"/>
    <n v="0"/>
    <n v="0"/>
    <n v="0"/>
    <n v="0"/>
    <n v="0"/>
    <n v="0"/>
    <n v="0"/>
    <n v="0"/>
    <s v="SI"/>
    <s v="  "/>
    <s v="                "/>
  </r>
  <r>
    <x v="0"/>
    <s v="CC"/>
    <x v="80"/>
    <x v="80"/>
    <s v="QUIROZ"/>
    <s v="ROMERO"/>
    <s v="DANIEL"/>
    <s v="FERNANDO"/>
    <s v="BOGOTA_D.E."/>
    <s v="BOGOTA"/>
    <s v="1. DEPENDIENTE"/>
    <s v="NINGUNO"/>
    <n v="117"/>
    <s v="NO"/>
    <s v="NO"/>
    <m/>
    <s v="Todos los sistemas (ARL, AFP, CCF, EPS)"/>
    <n v="46064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3415855"/>
    <s v="NO"/>
    <s v="NO"/>
    <x v="2"/>
    <n v="20"/>
    <n v="2364739"/>
    <n v="0.16"/>
    <n v="378400"/>
    <s v=" "/>
    <n v="0"/>
    <n v="0"/>
    <n v="0"/>
    <n v="0"/>
    <n v="0"/>
    <n v="378400"/>
    <s v="NINGUNA"/>
    <x v="0"/>
    <n v="20"/>
    <n v="2364739"/>
    <n v="0.04"/>
    <n v="94600"/>
    <n v="0"/>
    <s v="               "/>
    <n v="0"/>
    <s v="               "/>
    <n v="0"/>
    <s v="NINGUNA"/>
    <x v="0"/>
    <n v="20"/>
    <n v="2364739"/>
    <n v="6.9599999999999995E-2"/>
    <s v="5"/>
    <s v="CENTRO TRABAJO 24"/>
    <s v="5711001"/>
    <n v="164600"/>
    <n v="20"/>
    <x v="0"/>
    <n v="2277237"/>
    <n v="0.04"/>
    <n v="91100"/>
    <n v="2277237"/>
    <n v="0"/>
    <n v="0"/>
    <n v="0"/>
    <n v="0"/>
    <n v="0"/>
    <n v="0"/>
    <n v="0"/>
    <n v="0"/>
    <s v="SI"/>
    <s v="  "/>
    <s v="                "/>
  </r>
  <r>
    <x v="0"/>
    <s v="CC"/>
    <x v="81"/>
    <x v="81"/>
    <s v="LASPRILLA"/>
    <s v="BALANTA"/>
    <s v="HELMER"/>
    <s v="ALEXANDER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313068"/>
    <s v="NO"/>
    <s v="NO"/>
    <x v="2"/>
    <n v="30"/>
    <n v="2749922"/>
    <n v="0.16"/>
    <n v="440000"/>
    <s v=" "/>
    <n v="0"/>
    <n v="0"/>
    <n v="0"/>
    <n v="0"/>
    <n v="0"/>
    <n v="440000"/>
    <s v="NINGUNA"/>
    <x v="0"/>
    <n v="30"/>
    <n v="2749922"/>
    <n v="0.04"/>
    <n v="110000"/>
    <n v="0"/>
    <s v="               "/>
    <n v="0"/>
    <s v="               "/>
    <n v="0"/>
    <s v="NINGUNA"/>
    <x v="0"/>
    <n v="30"/>
    <n v="2749922"/>
    <n v="6.9599999999999995E-2"/>
    <s v="5"/>
    <s v="CENTRO TRABAJO 24"/>
    <s v="5711001"/>
    <n v="191400"/>
    <n v="30"/>
    <x v="0"/>
    <n v="2749922"/>
    <n v="0.04"/>
    <n v="110000"/>
    <n v="2749922"/>
    <n v="0"/>
    <n v="0"/>
    <n v="0"/>
    <n v="0"/>
    <n v="0"/>
    <n v="0"/>
    <n v="0"/>
    <n v="0"/>
    <s v="SI"/>
    <s v="  "/>
    <s v="                "/>
  </r>
  <r>
    <x v="0"/>
    <s v="CC"/>
    <x v="82"/>
    <x v="82"/>
    <s v="GUARDO"/>
    <s v="PUELLO"/>
    <s v="YOIVER"/>
    <s v=""/>
    <s v="BOGOTA_D.E."/>
    <s v="BOGOTA"/>
    <s v="1. DEPENDIENTE"/>
    <s v="NINGUNO"/>
    <n v="21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215154"/>
    <n v="0.16"/>
    <n v="354500"/>
    <s v=" "/>
    <n v="0"/>
    <n v="0"/>
    <n v="0"/>
    <n v="0"/>
    <n v="0"/>
    <n v="354500"/>
    <s v="NINGUNA"/>
    <x v="0"/>
    <n v="30"/>
    <n v="2215154"/>
    <n v="0.04"/>
    <n v="88700"/>
    <n v="0"/>
    <s v="               "/>
    <n v="0"/>
    <s v="               "/>
    <n v="0"/>
    <s v="NINGUNA"/>
    <x v="0"/>
    <n v="30"/>
    <n v="2215154"/>
    <n v="6.9599999999999995E-2"/>
    <s v="5"/>
    <s v="CENTRO TRABAJO 24"/>
    <s v="5711001"/>
    <n v="154200"/>
    <n v="30"/>
    <x v="0"/>
    <n v="2215154"/>
    <n v="0.04"/>
    <n v="88700"/>
    <n v="2215154"/>
    <n v="0"/>
    <n v="0"/>
    <n v="0"/>
    <n v="0"/>
    <n v="0"/>
    <n v="0"/>
    <n v="0"/>
    <n v="0"/>
    <s v="SI"/>
    <s v="  "/>
    <s v="                "/>
  </r>
  <r>
    <x v="0"/>
    <s v="CC"/>
    <x v="83"/>
    <x v="83"/>
    <s v="ESTEPA"/>
    <s v="REYES"/>
    <s v="EDISON"/>
    <s v=""/>
    <s v="LA_GUAJIRA"/>
    <s v="RIOHACH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1"/>
    <n v="30"/>
    <n v="3620588"/>
    <n v="0.16"/>
    <n v="579300"/>
    <s v=" "/>
    <n v="0"/>
    <n v="0"/>
    <n v="0"/>
    <n v="0"/>
    <n v="0"/>
    <n v="579300"/>
    <s v="NINGUNA"/>
    <x v="0"/>
    <n v="30"/>
    <n v="3620588"/>
    <n v="0.04"/>
    <n v="144900"/>
    <n v="0"/>
    <s v="               "/>
    <n v="0"/>
    <s v="               "/>
    <n v="0"/>
    <s v="NINGUNA"/>
    <x v="0"/>
    <n v="30"/>
    <n v="3620588"/>
    <n v="6.9599999999999995E-2"/>
    <s v="5"/>
    <s v="CENTRO TRABAJO 30"/>
    <s v="5711001"/>
    <n v="252000"/>
    <n v="30"/>
    <x v="1"/>
    <n v="3620588"/>
    <n v="0.04"/>
    <n v="144900"/>
    <n v="3620588"/>
    <n v="0"/>
    <n v="0"/>
    <n v="0"/>
    <n v="0"/>
    <n v="0"/>
    <n v="0"/>
    <n v="0"/>
    <n v="0"/>
    <s v="SI"/>
    <s v="  "/>
    <s v="                "/>
  </r>
  <r>
    <x v="0"/>
    <s v="CC"/>
    <x v="84"/>
    <x v="84"/>
    <s v="CARVAJAL"/>
    <s v="ALVAREZ"/>
    <s v="CARLOS"/>
    <s v="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539029"/>
    <s v="NO"/>
    <s v="NO"/>
    <x v="0"/>
    <n v="30"/>
    <n v="2977551"/>
    <n v="0.16"/>
    <n v="476500"/>
    <s v=" "/>
    <n v="0"/>
    <n v="0"/>
    <n v="0"/>
    <n v="0"/>
    <n v="0"/>
    <n v="476500"/>
    <s v="NINGUNA"/>
    <x v="2"/>
    <n v="30"/>
    <n v="2977551"/>
    <n v="0.04"/>
    <n v="119200"/>
    <n v="0"/>
    <s v="               "/>
    <n v="0"/>
    <s v="               "/>
    <n v="0"/>
    <s v="NINGUNA"/>
    <x v="0"/>
    <n v="30"/>
    <n v="2977551"/>
    <n v="6.9599999999999995E-2"/>
    <s v="5"/>
    <s v="CENTRO TRABAJO 30"/>
    <s v="5711001"/>
    <n v="207300"/>
    <n v="30"/>
    <x v="1"/>
    <n v="2977551"/>
    <n v="0.04"/>
    <n v="119200"/>
    <n v="2977551"/>
    <n v="0"/>
    <n v="0"/>
    <n v="0"/>
    <n v="0"/>
    <n v="0"/>
    <n v="0"/>
    <n v="0"/>
    <n v="0"/>
    <s v="SI"/>
    <s v="  "/>
    <s v="                "/>
  </r>
  <r>
    <x v="0"/>
    <s v="CC"/>
    <x v="85"/>
    <x v="85"/>
    <s v="AMAYA"/>
    <s v="CUCAITA"/>
    <s v="GIOVANY"/>
    <s v="ANTONIO"/>
    <s v="LA_GUAJIRA"/>
    <s v="RIOHACHA"/>
    <s v="1. DEPENDIENTE"/>
    <s v="NINGUNO"/>
    <n v="63"/>
    <s v="NO"/>
    <s v="NO"/>
    <m/>
    <s v="Todos los sistemas (ARL, AFP, CCF, EPS)"/>
    <n v="46072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12"/>
    <n v="822660"/>
    <n v="0.16"/>
    <n v="131700"/>
    <s v=" "/>
    <n v="0"/>
    <n v="0"/>
    <n v="0"/>
    <n v="0"/>
    <n v="0"/>
    <n v="131700"/>
    <s v="NINGUNA"/>
    <x v="2"/>
    <n v="12"/>
    <n v="822660"/>
    <n v="0.04"/>
    <n v="33000"/>
    <n v="0"/>
    <s v="               "/>
    <n v="0"/>
    <s v="               "/>
    <n v="0"/>
    <s v="NINGUNA"/>
    <x v="0"/>
    <n v="12"/>
    <n v="822660"/>
    <n v="6.9599999999999995E-2"/>
    <s v="5"/>
    <s v="CENTRO TRABAJO 30"/>
    <s v="5711001"/>
    <n v="57300"/>
    <n v="12"/>
    <x v="1"/>
    <n v="822660"/>
    <n v="0.04"/>
    <n v="33000"/>
    <n v="822660"/>
    <n v="0"/>
    <n v="0"/>
    <n v="0"/>
    <n v="0"/>
    <n v="0"/>
    <n v="0"/>
    <n v="0"/>
    <n v="0"/>
    <s v="SI"/>
    <s v="  "/>
    <s v="                "/>
  </r>
  <r>
    <x v="0"/>
    <s v="CC"/>
    <x v="86"/>
    <x v="86"/>
    <s v="CUY"/>
    <s v="CUY"/>
    <s v="JOSE"/>
    <s v="ALBEIRO"/>
    <s v="LA_GUAJIRA"/>
    <s v="RIOHACHA"/>
    <s v="1. DEPENDIENTE"/>
    <s v="NINGUNO"/>
    <n v="22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0"/>
    <n v="30"/>
    <n v="3789349"/>
    <n v="0.16"/>
    <n v="606300"/>
    <s v=" "/>
    <n v="0"/>
    <n v="0"/>
    <n v="0"/>
    <n v="0"/>
    <n v="0"/>
    <n v="606300"/>
    <s v="NINGUNA"/>
    <x v="0"/>
    <n v="30"/>
    <n v="3789349"/>
    <n v="0.04"/>
    <n v="151600"/>
    <n v="0"/>
    <s v="               "/>
    <n v="0"/>
    <s v="               "/>
    <n v="0"/>
    <s v="NINGUNA"/>
    <x v="0"/>
    <n v="30"/>
    <n v="3789349"/>
    <n v="6.9599999999999995E-2"/>
    <s v="5"/>
    <s v="CENTRO TRABAJO 30"/>
    <s v="5711001"/>
    <n v="263800"/>
    <n v="30"/>
    <x v="1"/>
    <n v="3789349"/>
    <n v="0.04"/>
    <n v="151600"/>
    <n v="3789349"/>
    <n v="0"/>
    <n v="0"/>
    <n v="0"/>
    <n v="0"/>
    <n v="0"/>
    <n v="0"/>
    <n v="0"/>
    <n v="0"/>
    <s v="SI"/>
    <s v="  "/>
    <s v="                "/>
  </r>
  <r>
    <x v="0"/>
    <s v="CC"/>
    <x v="87"/>
    <x v="87"/>
    <s v="ALVAREZ"/>
    <s v="NIÑO"/>
    <s v="HENRY"/>
    <s v="ISIDRO"/>
    <s v="BOGOTA_D.E."/>
    <s v="BOGOTA"/>
    <s v="1. DEPENDIENTE"/>
    <s v="NINGUNO"/>
    <n v="179"/>
    <s v="NO"/>
    <s v="NO"/>
    <m/>
    <s v="Todos los sistemas (ARL, AFP, CCF, EPS)"/>
    <n v="46056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2"/>
    <n v="28"/>
    <n v="2151492"/>
    <n v="0.16"/>
    <n v="344300"/>
    <s v=" "/>
    <n v="0"/>
    <n v="0"/>
    <n v="0"/>
    <n v="0"/>
    <n v="0"/>
    <n v="344300"/>
    <s v="NINGUNA"/>
    <x v="0"/>
    <n v="28"/>
    <n v="2151492"/>
    <n v="0.04"/>
    <n v="86100"/>
    <n v="0"/>
    <s v="               "/>
    <n v="0"/>
    <s v="               "/>
    <n v="0"/>
    <s v="NINGUNA"/>
    <x v="0"/>
    <n v="28"/>
    <n v="2151492"/>
    <n v="6.9599999999999995E-2"/>
    <s v="5"/>
    <s v="CENTRO TRABAJO 24"/>
    <s v="5711001"/>
    <n v="149800"/>
    <n v="28"/>
    <x v="0"/>
    <n v="2068357"/>
    <n v="0.04"/>
    <n v="82800"/>
    <n v="2068357"/>
    <n v="0"/>
    <n v="0"/>
    <n v="0"/>
    <n v="0"/>
    <n v="0"/>
    <n v="0"/>
    <n v="0"/>
    <n v="0"/>
    <s v="SI"/>
    <s v="  "/>
    <s v="                "/>
  </r>
  <r>
    <x v="0"/>
    <s v="CC"/>
    <x v="88"/>
    <x v="88"/>
    <s v="VEGA"/>
    <s v="LARA"/>
    <s v="DUVAN"/>
    <s v="FELIPE"/>
    <s v="BOGOTA_D.E."/>
    <s v="BOGOTA"/>
    <s v="1. DEPENDIENTE"/>
    <s v="NINGUNO"/>
    <n v="184"/>
    <s v="NO"/>
    <s v="NO"/>
    <m/>
    <s v="Todos los sistemas (ARL, AFP, CCF, EPS)"/>
    <n v="46057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0"/>
    <n v="27"/>
    <n v="2117629"/>
    <n v="0.16"/>
    <n v="338900"/>
    <s v=" "/>
    <n v="0"/>
    <n v="0"/>
    <n v="0"/>
    <n v="0"/>
    <n v="0"/>
    <n v="338900"/>
    <s v="NINGUNA"/>
    <x v="0"/>
    <n v="27"/>
    <n v="2117629"/>
    <n v="0.04"/>
    <n v="84800"/>
    <n v="0"/>
    <s v="               "/>
    <n v="0"/>
    <s v="               "/>
    <n v="0"/>
    <s v="NINGUNA"/>
    <x v="0"/>
    <n v="27"/>
    <n v="2117629"/>
    <n v="6.9599999999999995E-2"/>
    <s v="5"/>
    <s v="CENTRO TRABAJO 24"/>
    <s v="5711001"/>
    <n v="147400"/>
    <n v="27"/>
    <x v="0"/>
    <n v="2117629"/>
    <n v="0.04"/>
    <n v="84800"/>
    <n v="2117629"/>
    <n v="0"/>
    <n v="0"/>
    <n v="0"/>
    <n v="0"/>
    <n v="0"/>
    <n v="0"/>
    <n v="0"/>
    <n v="0"/>
    <s v="SI"/>
    <s v="  "/>
    <s v="                "/>
  </r>
  <r>
    <x v="0"/>
    <s v="CC"/>
    <x v="89"/>
    <x v="89"/>
    <s v="TIGA"/>
    <s v="RODRIGUEZ"/>
    <s v="JHORDAN"/>
    <s v="SNEID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056650"/>
    <s v="NO"/>
    <s v="NO"/>
    <x v="1"/>
    <n v="5"/>
    <n v="342775"/>
    <n v="0.16"/>
    <n v="54900"/>
    <s v=" "/>
    <n v="0"/>
    <n v="0"/>
    <n v="0"/>
    <n v="0"/>
    <n v="0"/>
    <n v="54900"/>
    <s v="NINGUNA"/>
    <x v="0"/>
    <n v="5"/>
    <n v="342775"/>
    <n v="0.04"/>
    <n v="13800"/>
    <n v="0"/>
    <s v="               "/>
    <n v="0"/>
    <s v="               "/>
    <n v="0"/>
    <s v="NINGUNA"/>
    <x v="0"/>
    <n v="5"/>
    <n v="342775"/>
    <n v="0"/>
    <s v="5"/>
    <s v="CENTRO TRABAJO 30"/>
    <s v="5711001"/>
    <n v="0"/>
    <n v="5"/>
    <x v="1"/>
    <n v="342775"/>
    <n v="0.04"/>
    <n v="13800"/>
    <n v="342775"/>
    <n v="0"/>
    <n v="0"/>
    <n v="0"/>
    <n v="0"/>
    <n v="0"/>
    <n v="0"/>
    <n v="0"/>
    <n v="0"/>
    <s v="SI"/>
    <s v="  "/>
    <s v="                "/>
  </r>
  <r>
    <x v="0"/>
    <s v="CC"/>
    <x v="89"/>
    <x v="89"/>
    <s v="TIGA"/>
    <s v="RODRIGUEZ"/>
    <s v="JHORDAN"/>
    <s v="SNEIDER"/>
    <s v="LA_GUAJIRA"/>
    <s v="RIOHACHA"/>
    <s v="1. DEPENDIENTE"/>
    <s v="NINGUNO"/>
    <n v="16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1"/>
    <n v="25"/>
    <n v="2240098"/>
    <n v="0.16"/>
    <n v="358500"/>
    <s v=" "/>
    <n v="0"/>
    <n v="0"/>
    <n v="0"/>
    <n v="0"/>
    <n v="0"/>
    <n v="358500"/>
    <s v="NINGUNA"/>
    <x v="0"/>
    <n v="25"/>
    <n v="2240098"/>
    <n v="0.04"/>
    <n v="89700"/>
    <n v="0"/>
    <s v="               "/>
    <n v="0"/>
    <s v="               "/>
    <n v="0"/>
    <s v="NINGUNA"/>
    <x v="0"/>
    <n v="25"/>
    <n v="2240098"/>
    <n v="6.9599999999999995E-2"/>
    <s v="5"/>
    <s v="CENTRO TRABAJO 30"/>
    <s v="5711001"/>
    <n v="156000"/>
    <n v="25"/>
    <x v="1"/>
    <n v="2158392"/>
    <n v="0.04"/>
    <n v="86400"/>
    <n v="2158392"/>
    <n v="0"/>
    <n v="0"/>
    <n v="0"/>
    <n v="0"/>
    <n v="0"/>
    <n v="0"/>
    <n v="0"/>
    <n v="0"/>
    <s v="SI"/>
    <s v="  "/>
    <s v="                "/>
  </r>
  <r>
    <x v="0"/>
    <s v="CC"/>
    <x v="90"/>
    <x v="90"/>
    <s v="AHUMEDO"/>
    <s v="CARABALLO"/>
    <s v="LUIS"/>
    <s v="ALFRED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2056650"/>
    <s v="NO"/>
    <s v="NO"/>
    <x v="2"/>
    <n v="1"/>
    <n v="68555"/>
    <n v="0.16"/>
    <n v="11000"/>
    <s v=" "/>
    <n v="0"/>
    <n v="0"/>
    <n v="0"/>
    <n v="0"/>
    <n v="0"/>
    <n v="11000"/>
    <s v="NINGUNA"/>
    <x v="12"/>
    <n v="1"/>
    <n v="68555"/>
    <n v="0"/>
    <n v="0"/>
    <n v="0"/>
    <s v="               "/>
    <n v="0"/>
    <s v="               "/>
    <n v="0"/>
    <s v="NINGUNA"/>
    <x v="0"/>
    <n v="1"/>
    <n v="68555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90"/>
    <x v="90"/>
    <s v="AHUMEDO"/>
    <s v="CARABALLO"/>
    <s v="LUIS"/>
    <s v="ALFRED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6"/>
    <n v="46080"/>
    <s v="NO"/>
    <s v="NO"/>
    <m/>
    <m/>
    <n v="0"/>
    <m/>
    <m/>
    <s v="NO"/>
    <n v="2056650"/>
    <s v="NO"/>
    <s v="NO"/>
    <x v="2"/>
    <n v="5"/>
    <n v="342775"/>
    <n v="0.16"/>
    <n v="54900"/>
    <s v=" "/>
    <n v="0"/>
    <n v="0"/>
    <n v="0"/>
    <n v="0"/>
    <n v="0"/>
    <n v="54900"/>
    <s v="NINGUNA"/>
    <x v="12"/>
    <n v="5"/>
    <n v="342775"/>
    <n v="0.04"/>
    <n v="13800"/>
    <n v="0"/>
    <s v="               "/>
    <n v="0"/>
    <s v="               "/>
    <n v="0"/>
    <s v="NINGUNA"/>
    <x v="0"/>
    <n v="5"/>
    <n v="342775"/>
    <n v="0"/>
    <s v="5"/>
    <s v="CENTRO TRABAJO 30"/>
    <s v="5711001"/>
    <n v="0"/>
    <n v="5"/>
    <x v="1"/>
    <n v="342775"/>
    <n v="0.04"/>
    <n v="13800"/>
    <n v="342775"/>
    <n v="0"/>
    <n v="0"/>
    <n v="0"/>
    <n v="0"/>
    <n v="0"/>
    <n v="0"/>
    <n v="0"/>
    <n v="0"/>
    <s v="SI"/>
    <s v="  "/>
    <s v="                "/>
  </r>
  <r>
    <x v="0"/>
    <s v="CC"/>
    <x v="90"/>
    <x v="90"/>
    <s v="AHUMEDO"/>
    <s v="CARABALLO"/>
    <s v="LUIS"/>
    <s v="ALFREDO"/>
    <s v="LA_GUAJIRA"/>
    <s v="RIOHACHA"/>
    <s v="1. DEPENDIENTE"/>
    <s v="NINGUNO"/>
    <n v="159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2"/>
    <n v="24"/>
    <n v="3004423"/>
    <n v="0.16"/>
    <n v="480800"/>
    <s v=" "/>
    <n v="0"/>
    <n v="0"/>
    <n v="0"/>
    <n v="0"/>
    <n v="0"/>
    <n v="480800"/>
    <s v="NINGUNA"/>
    <x v="12"/>
    <n v="24"/>
    <n v="3004423"/>
    <n v="0.04"/>
    <n v="120200"/>
    <n v="0"/>
    <s v="               "/>
    <n v="0"/>
    <s v="               "/>
    <n v="0"/>
    <s v="NINGUNA"/>
    <x v="0"/>
    <n v="24"/>
    <n v="3004423"/>
    <n v="6.9599999999999995E-2"/>
    <s v="5"/>
    <s v="CENTRO TRABAJO 30"/>
    <s v="5711001"/>
    <n v="209200"/>
    <n v="24"/>
    <x v="1"/>
    <n v="3921214"/>
    <n v="0.04"/>
    <n v="156900"/>
    <n v="3921214"/>
    <n v="0"/>
    <n v="0"/>
    <n v="0"/>
    <n v="0"/>
    <n v="0"/>
    <n v="0"/>
    <n v="0"/>
    <n v="0"/>
    <s v="SI"/>
    <s v="  "/>
    <s v="                "/>
  </r>
  <r>
    <x v="0"/>
    <s v="CC"/>
    <x v="91"/>
    <x v="91"/>
    <s v="RODRIGUEZ"/>
    <s v="OROZCO"/>
    <s v="JOSE"/>
    <s v="GUILLERM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58"/>
    <s v="NO"/>
    <s v="NO"/>
    <m/>
    <m/>
    <n v="0"/>
    <m/>
    <m/>
    <s v="NO"/>
    <n v="2223339"/>
    <s v="NO"/>
    <s v="NO"/>
    <x v="0"/>
    <n v="1"/>
    <n v="74112"/>
    <n v="0.16"/>
    <n v="11900"/>
    <s v=" "/>
    <n v="0"/>
    <n v="0"/>
    <n v="0"/>
    <n v="0"/>
    <n v="0"/>
    <n v="11900"/>
    <s v="NINGUNA"/>
    <x v="3"/>
    <n v="1"/>
    <n v="74112"/>
    <n v="0.04"/>
    <n v="3000"/>
    <n v="0"/>
    <s v="               "/>
    <n v="0"/>
    <s v="               "/>
    <n v="0"/>
    <s v="NINGUNA"/>
    <x v="0"/>
    <n v="1"/>
    <n v="74112"/>
    <n v="0"/>
    <s v="5"/>
    <s v="CENTRO TRABAJO 24"/>
    <s v="5711001"/>
    <n v="0"/>
    <n v="1"/>
    <x v="0"/>
    <n v="74112"/>
    <n v="0.04"/>
    <n v="3000"/>
    <n v="74112"/>
    <n v="0"/>
    <n v="0"/>
    <n v="0"/>
    <n v="0"/>
    <n v="0"/>
    <n v="0"/>
    <n v="0"/>
    <n v="0"/>
    <s v="SI"/>
    <s v="  "/>
    <s v="                "/>
  </r>
  <r>
    <x v="0"/>
    <s v="CC"/>
    <x v="91"/>
    <x v="91"/>
    <s v="RODRIGUEZ"/>
    <s v="OROZCO"/>
    <s v="JOSE"/>
    <s v="GUILLERMO"/>
    <s v="BOGOTA_D.E."/>
    <s v="BOGOT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9"/>
    <n v="2871596"/>
    <n v="0.16"/>
    <n v="459500"/>
    <s v=" "/>
    <n v="0"/>
    <n v="0"/>
    <n v="0"/>
    <n v="0"/>
    <n v="0"/>
    <n v="459500"/>
    <s v="NINGUNA"/>
    <x v="3"/>
    <n v="29"/>
    <n v="2871596"/>
    <n v="0.04"/>
    <n v="114900"/>
    <n v="0"/>
    <s v="               "/>
    <n v="0"/>
    <s v="               "/>
    <n v="0"/>
    <s v="NINGUNA"/>
    <x v="0"/>
    <n v="29"/>
    <n v="2871596"/>
    <n v="6.9599999999999995E-2"/>
    <s v="5"/>
    <s v="CENTRO TRABAJO 24"/>
    <s v="5711001"/>
    <n v="199900"/>
    <n v="29"/>
    <x v="0"/>
    <n v="2871596"/>
    <n v="0.04"/>
    <n v="114900"/>
    <n v="2871596"/>
    <n v="0"/>
    <n v="0"/>
    <n v="0"/>
    <n v="0"/>
    <n v="0"/>
    <n v="0"/>
    <n v="0"/>
    <n v="0"/>
    <s v="SI"/>
    <s v="  "/>
    <s v="                "/>
  </r>
  <r>
    <x v="0"/>
    <s v="CC"/>
    <x v="92"/>
    <x v="92"/>
    <s v="ECHAVEZ"/>
    <s v="VASQUEZ"/>
    <s v="ALVARO"/>
    <s v="JOSE"/>
    <s v="BOGOTA_D.E."/>
    <s v="BOGOT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278258"/>
    <n v="0.16"/>
    <n v="364600"/>
    <s v=" "/>
    <n v="0"/>
    <n v="0"/>
    <n v="0"/>
    <n v="0"/>
    <n v="0"/>
    <n v="364600"/>
    <s v="NINGUNA"/>
    <x v="0"/>
    <n v="30"/>
    <n v="2278258"/>
    <n v="0.04"/>
    <n v="91200"/>
    <n v="0"/>
    <s v="               "/>
    <n v="0"/>
    <s v="               "/>
    <n v="0"/>
    <s v="NINGUNA"/>
    <x v="0"/>
    <n v="30"/>
    <n v="2278258"/>
    <n v="6.9599999999999995E-2"/>
    <s v="5"/>
    <s v="CENTRO TRABAJO 24"/>
    <s v="5711001"/>
    <n v="158600"/>
    <n v="30"/>
    <x v="0"/>
    <n v="2278258"/>
    <n v="0.04"/>
    <n v="91200"/>
    <n v="2278258"/>
    <n v="0"/>
    <n v="0"/>
    <n v="0"/>
    <n v="0"/>
    <n v="0"/>
    <n v="0"/>
    <n v="0"/>
    <n v="0"/>
    <s v="SI"/>
    <s v="  "/>
    <s v="                "/>
  </r>
  <r>
    <x v="0"/>
    <s v="CC"/>
    <x v="93"/>
    <x v="93"/>
    <s v="ECHAVEZ"/>
    <s v="VASQUEZ"/>
    <s v="JOSE"/>
    <s v="DANIEL"/>
    <s v="BOGOTA_D.E."/>
    <s v="BOGOT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30"/>
    <n v="2359421"/>
    <n v="0.16"/>
    <n v="377600"/>
    <s v=" "/>
    <n v="0"/>
    <n v="0"/>
    <n v="0"/>
    <n v="0"/>
    <n v="0"/>
    <n v="377600"/>
    <s v="NINGUNA"/>
    <x v="0"/>
    <n v="30"/>
    <n v="2359421"/>
    <n v="0.04"/>
    <n v="94400"/>
    <n v="0"/>
    <s v="               "/>
    <n v="0"/>
    <s v="               "/>
    <n v="0"/>
    <s v="NINGUNA"/>
    <x v="0"/>
    <n v="30"/>
    <n v="2359421"/>
    <n v="6.9599999999999995E-2"/>
    <s v="5"/>
    <s v="CENTRO TRABAJO 24"/>
    <s v="5711001"/>
    <n v="164300"/>
    <n v="30"/>
    <x v="0"/>
    <n v="2359421"/>
    <n v="0.04"/>
    <n v="94400"/>
    <n v="2359421"/>
    <n v="0"/>
    <n v="0"/>
    <n v="0"/>
    <n v="0"/>
    <n v="0"/>
    <n v="0"/>
    <n v="0"/>
    <n v="0"/>
    <s v="SI"/>
    <s v="  "/>
    <s v="                "/>
  </r>
  <r>
    <x v="0"/>
    <s v="CC"/>
    <x v="94"/>
    <x v="94"/>
    <s v="ECHAVEZ"/>
    <s v="AREVALO"/>
    <s v="RICARDO"/>
    <s v=""/>
    <s v="BOGOTA_D.E."/>
    <s v="BOGOTA"/>
    <s v="1. DEPENDIENTE"/>
    <s v="NINGUNO"/>
    <n v="175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21"/>
    <n v="2201696"/>
    <n v="0.16"/>
    <n v="352300"/>
    <s v=" "/>
    <n v="0"/>
    <n v="0"/>
    <n v="0"/>
    <n v="0"/>
    <n v="0"/>
    <n v="352300"/>
    <s v="NINGUNA"/>
    <x v="0"/>
    <n v="21"/>
    <n v="2201696"/>
    <n v="0.04"/>
    <n v="88100"/>
    <n v="0"/>
    <s v="               "/>
    <n v="0"/>
    <s v="               "/>
    <n v="0"/>
    <s v="NINGUNA"/>
    <x v="0"/>
    <n v="21"/>
    <n v="2201696"/>
    <n v="6.9599999999999995E-2"/>
    <s v="5"/>
    <s v="CENTRO TRABAJO 24"/>
    <s v="5711001"/>
    <n v="153300"/>
    <n v="21"/>
    <x v="0"/>
    <n v="2518713"/>
    <n v="0.04"/>
    <n v="100800"/>
    <n v="2518713"/>
    <n v="0"/>
    <n v="0"/>
    <n v="0"/>
    <n v="0"/>
    <n v="0"/>
    <n v="0"/>
    <n v="0"/>
    <n v="0"/>
    <s v="SI"/>
    <s v="  "/>
    <s v="                "/>
  </r>
  <r>
    <x v="0"/>
    <s v="CC"/>
    <x v="95"/>
    <x v="95"/>
    <s v="CABRALES"/>
    <s v="GALVAN"/>
    <s v="YAN"/>
    <s v="CARLO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2074908"/>
    <s v="NO"/>
    <s v="NO"/>
    <x v="0"/>
    <n v="1"/>
    <n v="69164"/>
    <n v="0.16"/>
    <n v="11100"/>
    <s v=" "/>
    <n v="0"/>
    <n v="0"/>
    <n v="0"/>
    <n v="0"/>
    <n v="0"/>
    <n v="11100"/>
    <s v="NINGUNA"/>
    <x v="0"/>
    <n v="1"/>
    <n v="69164"/>
    <n v="0.04"/>
    <n v="2800"/>
    <n v="0"/>
    <s v="               "/>
    <n v="0"/>
    <s v="               "/>
    <n v="0"/>
    <s v="NINGUNA"/>
    <x v="0"/>
    <n v="1"/>
    <n v="69164"/>
    <n v="0"/>
    <s v="5"/>
    <s v="CENTRO TRABAJO 24"/>
    <s v="5711001"/>
    <n v="0"/>
    <n v="1"/>
    <x v="0"/>
    <n v="69164"/>
    <n v="0.04"/>
    <n v="2800"/>
    <n v="69164"/>
    <n v="0"/>
    <n v="0"/>
    <n v="0"/>
    <n v="0"/>
    <n v="0"/>
    <n v="0"/>
    <n v="0"/>
    <n v="0"/>
    <s v="SI"/>
    <s v="  "/>
    <s v="                "/>
  </r>
  <r>
    <x v="0"/>
    <s v="CC"/>
    <x v="95"/>
    <x v="95"/>
    <s v="CABRALES"/>
    <s v="GALVAN"/>
    <s v="YAN"/>
    <s v="CARLOS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29"/>
    <n v="2905028"/>
    <n v="0.16"/>
    <n v="464900"/>
    <s v=" "/>
    <n v="0"/>
    <n v="0"/>
    <n v="0"/>
    <n v="0"/>
    <n v="0"/>
    <n v="464900"/>
    <s v="NINGUNA"/>
    <x v="0"/>
    <n v="29"/>
    <n v="2905028"/>
    <n v="0.04"/>
    <n v="116300"/>
    <n v="0"/>
    <s v="               "/>
    <n v="0"/>
    <s v="               "/>
    <n v="0"/>
    <s v="NINGUNA"/>
    <x v="0"/>
    <n v="29"/>
    <n v="2905028"/>
    <n v="6.9599999999999995E-2"/>
    <s v="5"/>
    <s v="CENTRO TRABAJO 24"/>
    <s v="5711001"/>
    <n v="202200"/>
    <n v="29"/>
    <x v="0"/>
    <n v="2905028"/>
    <n v="0.04"/>
    <n v="116300"/>
    <n v="2905028"/>
    <n v="0"/>
    <n v="0"/>
    <n v="0"/>
    <n v="0"/>
    <n v="0"/>
    <n v="0"/>
    <n v="0"/>
    <n v="0"/>
    <s v="SI"/>
    <s v="  "/>
    <s v="                "/>
  </r>
  <r>
    <x v="0"/>
    <s v="CC"/>
    <x v="96"/>
    <x v="96"/>
    <s v="CABRALES"/>
    <s v="GALVAN"/>
    <s v="FRANKLIN"/>
    <s v="YOAN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30"/>
    <n v="2368167"/>
    <n v="0.16"/>
    <n v="379000"/>
    <s v=" "/>
    <n v="0"/>
    <n v="0"/>
    <n v="0"/>
    <n v="0"/>
    <n v="0"/>
    <n v="379000"/>
    <s v="NINGUNA"/>
    <x v="0"/>
    <n v="30"/>
    <n v="2368167"/>
    <n v="0.04"/>
    <n v="94800"/>
    <n v="0"/>
    <s v="               "/>
    <n v="0"/>
    <s v="               "/>
    <n v="0"/>
    <s v="NINGUNA"/>
    <x v="0"/>
    <n v="30"/>
    <n v="2368167"/>
    <n v="6.9599999999999995E-2"/>
    <s v="5"/>
    <s v="CENTRO TRABAJO 24"/>
    <s v="5711001"/>
    <n v="164900"/>
    <n v="30"/>
    <x v="0"/>
    <n v="2368167"/>
    <n v="0.04"/>
    <n v="94800"/>
    <n v="2368167"/>
    <n v="0"/>
    <n v="0"/>
    <n v="0"/>
    <n v="0"/>
    <n v="0"/>
    <n v="0"/>
    <n v="0"/>
    <n v="0"/>
    <s v="SI"/>
    <s v="  "/>
    <s v="                "/>
  </r>
  <r>
    <x v="0"/>
    <s v="CC"/>
    <x v="97"/>
    <x v="97"/>
    <s v="ROMERO"/>
    <s v="MARTINEZ"/>
    <s v="JENNY"/>
    <s v="PAOL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64"/>
    <s v="NO"/>
    <s v="NO"/>
    <m/>
    <m/>
    <n v="0"/>
    <m/>
    <m/>
    <s v="NO"/>
    <n v="4613967"/>
    <s v="NO"/>
    <s v="NO"/>
    <x v="1"/>
    <n v="7"/>
    <n v="1076593"/>
    <n v="0.16"/>
    <n v="172300"/>
    <s v=" "/>
    <n v="0"/>
    <n v="0"/>
    <n v="0"/>
    <n v="0"/>
    <n v="0"/>
    <n v="172300"/>
    <s v="NINGUNA"/>
    <x v="10"/>
    <n v="7"/>
    <n v="1076593"/>
    <n v="0.04"/>
    <n v="43100"/>
    <n v="0"/>
    <s v="               "/>
    <n v="0"/>
    <s v="               "/>
    <n v="0"/>
    <s v="NINGUNA"/>
    <x v="0"/>
    <n v="7"/>
    <n v="1076593"/>
    <n v="0"/>
    <s v="5"/>
    <s v="CENTRO TRABAJO 24"/>
    <s v="5711001"/>
    <n v="0"/>
    <n v="7"/>
    <x v="0"/>
    <n v="1076593"/>
    <n v="0.04"/>
    <n v="43100"/>
    <n v="1076593"/>
    <n v="0"/>
    <n v="0"/>
    <n v="0"/>
    <n v="0"/>
    <n v="0"/>
    <n v="0"/>
    <n v="0"/>
    <n v="0"/>
    <s v="SI"/>
    <s v="  "/>
    <s v="                "/>
  </r>
  <r>
    <x v="0"/>
    <s v="CC"/>
    <x v="97"/>
    <x v="97"/>
    <s v="ROMERO"/>
    <s v="MARTINEZ"/>
    <s v="JENNY"/>
    <s v="PAOLA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613967"/>
    <s v="NO"/>
    <s v="NO"/>
    <x v="1"/>
    <n v="23"/>
    <n v="3537375"/>
    <n v="0.16"/>
    <n v="566000"/>
    <s v=" "/>
    <n v="0"/>
    <n v="0"/>
    <n v="0"/>
    <n v="0"/>
    <n v="0"/>
    <n v="566000"/>
    <s v="NINGUNA"/>
    <x v="10"/>
    <n v="23"/>
    <n v="3537375"/>
    <n v="0.04"/>
    <n v="141500"/>
    <n v="0"/>
    <s v="               "/>
    <n v="0"/>
    <s v="               "/>
    <n v="0"/>
    <s v="NINGUNA"/>
    <x v="0"/>
    <n v="23"/>
    <n v="3537375"/>
    <n v="6.9599999999999995E-2"/>
    <s v="5"/>
    <s v="CENTRO TRABAJO 24"/>
    <s v="5711001"/>
    <n v="246300"/>
    <n v="23"/>
    <x v="0"/>
    <n v="3537375"/>
    <n v="0.04"/>
    <n v="141500"/>
    <n v="3537375"/>
    <n v="0"/>
    <n v="0"/>
    <n v="0"/>
    <n v="0"/>
    <n v="0"/>
    <n v="0"/>
    <n v="0"/>
    <n v="0"/>
    <s v="SI"/>
    <s v="  "/>
    <s v="                "/>
  </r>
  <r>
    <x v="0"/>
    <s v="CC"/>
    <x v="98"/>
    <x v="98"/>
    <s v="ZABALA"/>
    <s v="RICARDO"/>
    <s v="LEONARDO"/>
    <s v="JOS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6"/>
    <n v="46057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6"/>
    <n v="18700"/>
    <s v=" "/>
    <n v="0"/>
    <n v="0"/>
    <n v="0"/>
    <n v="0"/>
    <n v="0"/>
    <n v="18700"/>
    <s v="NINGUNA"/>
    <x v="12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98"/>
    <x v="98"/>
    <s v="ZABALA"/>
    <s v="RICARDO"/>
    <s v="LEONARDO"/>
    <s v="JOS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2"/>
    <n v="46063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6"/>
    <n v="18700"/>
    <s v=" "/>
    <n v="0"/>
    <n v="0"/>
    <n v="0"/>
    <n v="0"/>
    <n v="0"/>
    <n v="18700"/>
    <s v="NINGUNA"/>
    <x v="12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98"/>
    <x v="98"/>
    <s v="ZABALA"/>
    <s v="RICARDO"/>
    <s v="LEONARDO"/>
    <s v="JOSE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6"/>
    <n v="1885806"/>
    <n v="0.16"/>
    <n v="301800"/>
    <s v=" "/>
    <n v="0"/>
    <n v="0"/>
    <n v="0"/>
    <n v="0"/>
    <n v="0"/>
    <n v="301800"/>
    <s v="NINGUNA"/>
    <x v="12"/>
    <n v="26"/>
    <n v="1885806"/>
    <n v="0.04"/>
    <n v="75500"/>
    <n v="0"/>
    <s v="               "/>
    <n v="0"/>
    <s v="               "/>
    <n v="0"/>
    <s v="NINGUNA"/>
    <x v="0"/>
    <n v="26"/>
    <n v="1885806"/>
    <n v="6.9599999999999995E-2"/>
    <s v="5"/>
    <s v="CENTRO TRABAJO 24"/>
    <s v="5711001"/>
    <n v="131300"/>
    <n v="26"/>
    <x v="0"/>
    <n v="1885806"/>
    <n v="0.04"/>
    <n v="75500"/>
    <n v="1885806"/>
    <n v="0"/>
    <n v="0"/>
    <n v="0"/>
    <n v="0"/>
    <n v="0"/>
    <n v="0"/>
    <n v="0"/>
    <n v="0"/>
    <s v="SI"/>
    <s v="  "/>
    <s v="                "/>
  </r>
  <r>
    <x v="0"/>
    <s v="CC"/>
    <x v="99"/>
    <x v="99"/>
    <s v="CARDENAS"/>
    <s v="PAEZ"/>
    <s v="DANIEL"/>
    <s v="STEVEN"/>
    <s v="BOGOTA_D.E."/>
    <s v="BOGOTA"/>
    <s v="1. DEPENDIENTE"/>
    <s v="NINGUNO"/>
    <n v="20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28398"/>
    <n v="0.16"/>
    <n v="324600"/>
    <s v=" "/>
    <n v="0"/>
    <n v="0"/>
    <n v="0"/>
    <n v="0"/>
    <n v="0"/>
    <n v="324600"/>
    <s v="NINGUNA"/>
    <x v="0"/>
    <n v="30"/>
    <n v="2028398"/>
    <n v="0.04"/>
    <n v="81200"/>
    <n v="0"/>
    <s v="               "/>
    <n v="0"/>
    <s v="               "/>
    <n v="0"/>
    <s v="NINGUNA"/>
    <x v="0"/>
    <n v="30"/>
    <n v="2028398"/>
    <n v="6.9599999999999995E-2"/>
    <s v="5"/>
    <s v="CENTRO TRABAJO 24"/>
    <s v="5711001"/>
    <n v="141200"/>
    <n v="30"/>
    <x v="0"/>
    <n v="2028398"/>
    <n v="0.04"/>
    <n v="81200"/>
    <n v="2028398"/>
    <n v="0"/>
    <n v="0"/>
    <n v="0"/>
    <n v="0"/>
    <n v="0"/>
    <n v="0"/>
    <n v="0"/>
    <n v="0"/>
    <s v="SI"/>
    <s v="  "/>
    <s v="                "/>
  </r>
  <r>
    <x v="0"/>
    <s v="CC"/>
    <x v="100"/>
    <x v="100"/>
    <s v="MORA"/>
    <s v="DIAZ"/>
    <s v="JHONNATAN"/>
    <s v="EDIZO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1"/>
    <n v="46067"/>
    <s v="NO"/>
    <s v="NO"/>
    <m/>
    <m/>
    <n v="0"/>
    <m/>
    <m/>
    <s v="NO"/>
    <n v="4024292"/>
    <s v="NO"/>
    <s v="NO"/>
    <x v="0"/>
    <n v="7"/>
    <n v="939002"/>
    <n v="0.16"/>
    <n v="150300"/>
    <s v=" "/>
    <n v="0"/>
    <n v="0"/>
    <n v="0"/>
    <n v="0"/>
    <n v="0"/>
    <n v="150300"/>
    <s v="NINGUNA"/>
    <x v="2"/>
    <n v="7"/>
    <n v="939002"/>
    <n v="0.04"/>
    <n v="37600"/>
    <n v="0"/>
    <s v="               "/>
    <n v="0"/>
    <s v="               "/>
    <n v="0"/>
    <s v="NINGUNA"/>
    <x v="0"/>
    <n v="7"/>
    <n v="939002"/>
    <n v="0"/>
    <s v="5"/>
    <s v="CENTRO TRABAJO 24"/>
    <s v="5711001"/>
    <n v="0"/>
    <n v="7"/>
    <x v="0"/>
    <n v="939002"/>
    <n v="0.04"/>
    <n v="37600"/>
    <n v="939002"/>
    <n v="0"/>
    <n v="0"/>
    <n v="0"/>
    <n v="0"/>
    <n v="0"/>
    <n v="0"/>
    <n v="0"/>
    <n v="0"/>
    <s v="SI"/>
    <s v="  "/>
    <s v="                "/>
  </r>
  <r>
    <x v="0"/>
    <s v="CC"/>
    <x v="100"/>
    <x v="100"/>
    <s v="MORA"/>
    <s v="DIAZ"/>
    <s v="JHONNATAN"/>
    <s v="EDIZON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0"/>
    <n v="23"/>
    <n v="3854080"/>
    <n v="0.16"/>
    <n v="616700"/>
    <s v=" "/>
    <n v="0"/>
    <n v="0"/>
    <n v="0"/>
    <n v="0"/>
    <n v="0"/>
    <n v="616700"/>
    <s v="NINGUNA"/>
    <x v="2"/>
    <n v="23"/>
    <n v="3854080"/>
    <n v="0.04"/>
    <n v="154200"/>
    <n v="0"/>
    <s v="               "/>
    <n v="0"/>
    <s v="               "/>
    <n v="0"/>
    <s v="NINGUNA"/>
    <x v="0"/>
    <n v="23"/>
    <n v="3854080"/>
    <n v="6.9599999999999995E-2"/>
    <s v="5"/>
    <s v="CENTRO TRABAJO 24"/>
    <s v="5711001"/>
    <n v="268300"/>
    <n v="23"/>
    <x v="0"/>
    <n v="3085291"/>
    <n v="0.04"/>
    <n v="123500"/>
    <n v="3085291"/>
    <n v="0"/>
    <n v="0"/>
    <n v="0"/>
    <n v="0"/>
    <n v="0"/>
    <n v="0"/>
    <n v="0"/>
    <n v="0"/>
    <s v="SI"/>
    <s v="  "/>
    <s v="                "/>
  </r>
  <r>
    <x v="0"/>
    <s v="CC"/>
    <x v="101"/>
    <x v="101"/>
    <s v="VELA"/>
    <s v="RODAS"/>
    <s v="KEVIN"/>
    <s v="STEVENSON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1"/>
    <s v="NO"/>
    <s v="NO"/>
    <m/>
    <m/>
    <n v="0"/>
    <m/>
    <m/>
    <s v="NO"/>
    <n v="4152090"/>
    <s v="NO"/>
    <s v="NO"/>
    <x v="2"/>
    <n v="8"/>
    <n v="1107224"/>
    <n v="0.16"/>
    <n v="177200"/>
    <s v=" "/>
    <n v="0"/>
    <n v="0"/>
    <n v="0"/>
    <n v="0"/>
    <n v="0"/>
    <n v="177200"/>
    <s v="NINGUNA"/>
    <x v="0"/>
    <n v="8"/>
    <n v="1107224"/>
    <n v="0.04"/>
    <n v="44300"/>
    <n v="0"/>
    <s v="               "/>
    <n v="0"/>
    <s v="               "/>
    <n v="0"/>
    <s v="NINGUNA"/>
    <x v="0"/>
    <n v="8"/>
    <n v="1107224"/>
    <n v="0"/>
    <s v="5"/>
    <s v="CENTRO TRABAJO 30"/>
    <s v="5711001"/>
    <n v="0"/>
    <n v="8"/>
    <x v="1"/>
    <n v="1107224"/>
    <n v="0.04"/>
    <n v="44300"/>
    <n v="1107224"/>
    <n v="0"/>
    <n v="0"/>
    <n v="0"/>
    <n v="0"/>
    <n v="0"/>
    <n v="0"/>
    <n v="0"/>
    <n v="0"/>
    <s v="SI"/>
    <s v="  "/>
    <s v="                "/>
  </r>
  <r>
    <x v="0"/>
    <s v="CC"/>
    <x v="101"/>
    <x v="101"/>
    <s v="VELA"/>
    <s v="RODAS"/>
    <s v="KEVIN"/>
    <s v="STEVENSON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4152090"/>
    <s v="NO"/>
    <s v="NO"/>
    <x v="2"/>
    <n v="22"/>
    <n v="3044866"/>
    <n v="0.16"/>
    <n v="487200"/>
    <s v=" "/>
    <n v="0"/>
    <n v="0"/>
    <n v="0"/>
    <n v="0"/>
    <n v="0"/>
    <n v="487200"/>
    <s v="NINGUNA"/>
    <x v="0"/>
    <n v="22"/>
    <n v="3044866"/>
    <n v="0.04"/>
    <n v="121800"/>
    <n v="0"/>
    <s v="               "/>
    <n v="0"/>
    <s v="               "/>
    <n v="0"/>
    <s v="NINGUNA"/>
    <x v="0"/>
    <n v="22"/>
    <n v="3044866"/>
    <n v="6.9599999999999995E-2"/>
    <s v="5"/>
    <s v="CENTRO TRABAJO 30"/>
    <s v="5711001"/>
    <n v="212000"/>
    <n v="22"/>
    <x v="1"/>
    <n v="3044866"/>
    <n v="0.04"/>
    <n v="121800"/>
    <n v="3044866"/>
    <n v="0"/>
    <n v="0"/>
    <n v="0"/>
    <n v="0"/>
    <n v="0"/>
    <n v="0"/>
    <n v="0"/>
    <n v="0"/>
    <s v="SI"/>
    <s v="  "/>
    <s v="                "/>
  </r>
  <r>
    <x v="0"/>
    <s v="CC"/>
    <x v="102"/>
    <x v="102"/>
    <s v="FAGUA"/>
    <s v="SALAZAR"/>
    <s v="JULIAN"/>
    <s v=""/>
    <s v="BOGOTA_D.E."/>
    <s v="BOGOTA"/>
    <s v="1. DEPENDIENTE"/>
    <s v="NINGUNO"/>
    <n v="182"/>
    <s v="NO"/>
    <s v="NO"/>
    <m/>
    <s v="Todos los sistemas (ARL, AFP, CCF, EPS)"/>
    <n v="46057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27"/>
    <n v="2582443"/>
    <n v="0.16"/>
    <n v="413200"/>
    <s v=" "/>
    <n v="0"/>
    <n v="0"/>
    <n v="0"/>
    <n v="0"/>
    <n v="0"/>
    <n v="413200"/>
    <s v="NINGUNA"/>
    <x v="10"/>
    <n v="27"/>
    <n v="2582443"/>
    <n v="0.04"/>
    <n v="103300"/>
    <n v="0"/>
    <s v="               "/>
    <n v="0"/>
    <s v="               "/>
    <n v="0"/>
    <s v="NINGUNA"/>
    <x v="0"/>
    <n v="27"/>
    <n v="2582443"/>
    <n v="6.9599999999999995E-2"/>
    <s v="5"/>
    <s v="CENTRO TRABAJO 24"/>
    <s v="5711001"/>
    <n v="179800"/>
    <n v="27"/>
    <x v="0"/>
    <n v="2582443"/>
    <n v="0.04"/>
    <n v="103300"/>
    <n v="2582443"/>
    <n v="0"/>
    <n v="0"/>
    <n v="0"/>
    <n v="0"/>
    <n v="0"/>
    <n v="0"/>
    <n v="0"/>
    <n v="0"/>
    <s v="SI"/>
    <s v="  "/>
    <s v="                "/>
  </r>
  <r>
    <x v="0"/>
    <s v="CC"/>
    <x v="103"/>
    <x v="103"/>
    <s v="FERNANDEZ"/>
    <s v="CONTRERAS"/>
    <s v="DIEGO"/>
    <s v="FERNAN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3415855"/>
    <s v="NO"/>
    <s v="NO"/>
    <x v="4"/>
    <n v="7"/>
    <n v="797033"/>
    <n v="0.16"/>
    <n v="127600"/>
    <s v=" "/>
    <n v="0"/>
    <n v="0"/>
    <n v="0"/>
    <n v="0"/>
    <n v="0"/>
    <n v="127600"/>
    <s v="NINGUNA"/>
    <x v="3"/>
    <n v="7"/>
    <n v="797033"/>
    <n v="0.04"/>
    <n v="31900"/>
    <n v="0"/>
    <s v="               "/>
    <n v="0"/>
    <s v="               "/>
    <n v="0"/>
    <s v="NINGUNA"/>
    <x v="0"/>
    <n v="7"/>
    <n v="797033"/>
    <n v="0"/>
    <s v="5"/>
    <s v="CENTRO TRABAJO 24"/>
    <s v="5711001"/>
    <n v="0"/>
    <n v="7"/>
    <x v="0"/>
    <n v="797033"/>
    <n v="0.04"/>
    <n v="31900"/>
    <n v="797033"/>
    <n v="0"/>
    <n v="0"/>
    <n v="0"/>
    <n v="0"/>
    <n v="0"/>
    <n v="0"/>
    <n v="0"/>
    <n v="0"/>
    <s v="SI"/>
    <s v="  "/>
    <s v="                "/>
  </r>
  <r>
    <x v="0"/>
    <s v="CC"/>
    <x v="103"/>
    <x v="103"/>
    <s v="FERNANDEZ"/>
    <s v="CONTRERAS"/>
    <s v="DIEGO"/>
    <s v="FERNANDO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415855"/>
    <s v="NO"/>
    <s v="NO"/>
    <x v="4"/>
    <n v="23"/>
    <n v="2904759"/>
    <n v="0.16"/>
    <n v="464800"/>
    <s v=" "/>
    <n v="0"/>
    <n v="0"/>
    <n v="0"/>
    <n v="0"/>
    <n v="0"/>
    <n v="464800"/>
    <s v="NINGUNA"/>
    <x v="3"/>
    <n v="23"/>
    <n v="2904759"/>
    <n v="0.04"/>
    <n v="116200"/>
    <n v="0"/>
    <s v="               "/>
    <n v="0"/>
    <s v="               "/>
    <n v="0"/>
    <s v="NINGUNA"/>
    <x v="0"/>
    <n v="23"/>
    <n v="2904759"/>
    <n v="6.9599999999999995E-2"/>
    <s v="5"/>
    <s v="CENTRO TRABAJO 24"/>
    <s v="5711001"/>
    <n v="202200"/>
    <n v="23"/>
    <x v="0"/>
    <n v="2841630"/>
    <n v="0.04"/>
    <n v="113700"/>
    <n v="2841630"/>
    <n v="0"/>
    <n v="0"/>
    <n v="0"/>
    <n v="0"/>
    <n v="0"/>
    <n v="0"/>
    <n v="0"/>
    <n v="0"/>
    <s v="SI"/>
    <s v="  "/>
    <s v="                "/>
  </r>
  <r>
    <x v="0"/>
    <s v="CC"/>
    <x v="104"/>
    <x v="104"/>
    <s v="QUIGUATENGO"/>
    <s v="ANDELA"/>
    <s v="EIDER"/>
    <s v=""/>
    <s v="BOGOTA_D.E."/>
    <s v="BOGOTA"/>
    <s v="1. DEPENDIENTE"/>
    <s v="NINGUNO"/>
    <n v="196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898887"/>
    <s v="NO"/>
    <s v="NO"/>
    <x v="2"/>
    <n v="30"/>
    <n v="1985201"/>
    <n v="0.16"/>
    <n v="317700"/>
    <s v=" "/>
    <n v="0"/>
    <n v="0"/>
    <n v="0"/>
    <n v="0"/>
    <n v="0"/>
    <n v="317700"/>
    <s v="NINGUNA"/>
    <x v="10"/>
    <n v="30"/>
    <n v="1985201"/>
    <n v="0.04"/>
    <n v="79500"/>
    <n v="0"/>
    <s v="               "/>
    <n v="0"/>
    <s v="               "/>
    <n v="0"/>
    <s v="NINGUNA"/>
    <x v="0"/>
    <n v="30"/>
    <n v="1985201"/>
    <n v="2.436E-2"/>
    <s v="3"/>
    <s v="CENTRO TRABAJO 24"/>
    <s v="3711001"/>
    <n v="48400"/>
    <n v="30"/>
    <x v="0"/>
    <n v="1985201"/>
    <n v="0.04"/>
    <n v="79500"/>
    <n v="1985201"/>
    <n v="0"/>
    <n v="0"/>
    <n v="0"/>
    <n v="0"/>
    <n v="0"/>
    <n v="0"/>
    <n v="0"/>
    <n v="0"/>
    <s v="SI"/>
    <s v="  "/>
    <s v="                "/>
  </r>
  <r>
    <x v="0"/>
    <s v="CC"/>
    <x v="105"/>
    <x v="105"/>
    <s v="OSPINO"/>
    <s v="PALOMINO"/>
    <s v="YILMAR"/>
    <s v="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0"/>
    <n v="30"/>
    <n v="4341006"/>
    <n v="0.16"/>
    <n v="694600"/>
    <s v=" "/>
    <n v="0"/>
    <n v="0"/>
    <n v="0"/>
    <n v="0"/>
    <n v="0"/>
    <n v="694600"/>
    <s v="NINGUNA"/>
    <x v="6"/>
    <n v="30"/>
    <n v="4341006"/>
    <n v="0.04"/>
    <n v="173700"/>
    <n v="0"/>
    <s v="               "/>
    <n v="0"/>
    <s v="               "/>
    <n v="0"/>
    <s v="NINGUNA"/>
    <x v="0"/>
    <n v="30"/>
    <n v="4341006"/>
    <n v="6.9599999999999995E-2"/>
    <s v="5"/>
    <s v="CENTRO TRABAJO 24"/>
    <s v="5711001"/>
    <n v="302200"/>
    <n v="30"/>
    <x v="0"/>
    <n v="4113631"/>
    <n v="0.04"/>
    <n v="164600"/>
    <n v="4113631"/>
    <n v="0"/>
    <n v="0"/>
    <n v="0"/>
    <n v="0"/>
    <n v="0"/>
    <n v="0"/>
    <n v="0"/>
    <n v="0"/>
    <s v="SI"/>
    <s v="  "/>
    <s v="                "/>
  </r>
  <r>
    <x v="0"/>
    <s v="CC"/>
    <x v="106"/>
    <x v="106"/>
    <s v="GUERRERO"/>
    <s v="NIETO"/>
    <s v="PITER"/>
    <s v="MAICOL"/>
    <s v="BOGOTA_D.E."/>
    <s v="BOGOTA"/>
    <s v="1. DEPENDIENTE"/>
    <s v="NINGUNO"/>
    <n v="21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30"/>
    <n v="2411393"/>
    <n v="0.16"/>
    <n v="385900"/>
    <s v=" "/>
    <n v="0"/>
    <n v="0"/>
    <n v="0"/>
    <n v="0"/>
    <n v="0"/>
    <n v="385900"/>
    <s v="NINGUNA"/>
    <x v="0"/>
    <n v="30"/>
    <n v="2411393"/>
    <n v="0.04"/>
    <n v="96500"/>
    <n v="0"/>
    <s v="               "/>
    <n v="0"/>
    <s v="               "/>
    <n v="0"/>
    <s v="NINGUNA"/>
    <x v="0"/>
    <n v="30"/>
    <n v="2411393"/>
    <n v="6.9599999999999995E-2"/>
    <s v="5"/>
    <s v="CENTRO TRABAJO 24"/>
    <s v="5711001"/>
    <n v="167900"/>
    <n v="30"/>
    <x v="0"/>
    <n v="2411393"/>
    <n v="0.04"/>
    <n v="96500"/>
    <n v="2411393"/>
    <n v="0"/>
    <n v="0"/>
    <n v="0"/>
    <n v="0"/>
    <n v="0"/>
    <n v="0"/>
    <n v="0"/>
    <n v="0"/>
    <s v="SI"/>
    <s v="  "/>
    <s v="                "/>
  </r>
  <r>
    <x v="0"/>
    <s v="CC"/>
    <x v="107"/>
    <x v="107"/>
    <s v="CUADRO"/>
    <s v="ARIAS"/>
    <s v="FABIAN"/>
    <s v="ANDRES"/>
    <s v="LA_GUAJIRA"/>
    <s v="RIOHACHA"/>
    <s v="1. DEPENDIENTE"/>
    <s v="NINGUNO"/>
    <n v="153"/>
    <s v="NO"/>
    <s v="NO"/>
    <m/>
    <s v="Todos los sistemas (ARL, AFP, CCF, EPS)"/>
    <n v="46058"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235758"/>
    <s v="NO"/>
    <s v="SI"/>
    <x v="2"/>
    <n v="26"/>
    <n v="2912183"/>
    <n v="0.16"/>
    <n v="466000"/>
    <s v=" "/>
    <n v="0"/>
    <n v="0"/>
    <n v="0"/>
    <n v="0"/>
    <n v="0"/>
    <n v="466000"/>
    <s v="NINGUNA"/>
    <x v="3"/>
    <n v="26"/>
    <n v="2912183"/>
    <n v="0.04"/>
    <n v="116500"/>
    <n v="0"/>
    <s v="               "/>
    <n v="0"/>
    <s v="               "/>
    <n v="0"/>
    <s v="NINGUNA"/>
    <x v="0"/>
    <n v="26"/>
    <n v="2912183"/>
    <n v="6.9599999999999995E-2"/>
    <s v="5"/>
    <s v="CENTRO TRABAJO 30"/>
    <s v="5711001"/>
    <n v="202700"/>
    <n v="26"/>
    <x v="1"/>
    <n v="3018963"/>
    <n v="0.04"/>
    <n v="120800"/>
    <n v="3018963"/>
    <n v="0"/>
    <n v="0"/>
    <n v="0"/>
    <n v="0"/>
    <n v="0"/>
    <n v="0"/>
    <n v="0"/>
    <n v="0"/>
    <s v="SI"/>
    <s v="  "/>
    <s v="                "/>
  </r>
  <r>
    <x v="0"/>
    <s v="CC"/>
    <x v="108"/>
    <x v="108"/>
    <s v="FLOREZ"/>
    <s v="CAMACHO"/>
    <s v="DEIVYS"/>
    <s v="JOSE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30"/>
    <n v="2544653"/>
    <n v="0.16"/>
    <n v="407200"/>
    <s v=" "/>
    <n v="0"/>
    <n v="0"/>
    <n v="0"/>
    <n v="0"/>
    <n v="0"/>
    <n v="407200"/>
    <s v="NINGUNA"/>
    <x v="6"/>
    <n v="30"/>
    <n v="2544653"/>
    <n v="0.04"/>
    <n v="101800"/>
    <n v="0"/>
    <s v="               "/>
    <n v="0"/>
    <s v="               "/>
    <n v="0"/>
    <s v="NINGUNA"/>
    <x v="0"/>
    <n v="30"/>
    <n v="2544653"/>
    <n v="6.9599999999999995E-2"/>
    <s v="5"/>
    <s v="CENTRO TRABAJO 30"/>
    <s v="5711001"/>
    <n v="177200"/>
    <n v="30"/>
    <x v="1"/>
    <n v="2373468"/>
    <n v="0.04"/>
    <n v="95000"/>
    <n v="2373468"/>
    <n v="0"/>
    <n v="0"/>
    <n v="0"/>
    <n v="0"/>
    <n v="0"/>
    <n v="0"/>
    <n v="0"/>
    <n v="0"/>
    <s v="SI"/>
    <s v="  "/>
    <s v="                "/>
  </r>
  <r>
    <x v="0"/>
    <s v="CC"/>
    <x v="109"/>
    <x v="109"/>
    <s v="RODRIGUEZ"/>
    <s v="CONTRERAS"/>
    <s v="DANIEL"/>
    <s v="ALFONS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6"/>
    <n v="46079"/>
    <s v="NO"/>
    <s v="NO"/>
    <m/>
    <m/>
    <n v="0"/>
    <m/>
    <m/>
    <s v="NO"/>
    <n v="2223339"/>
    <s v="NO"/>
    <s v="NO"/>
    <x v="0"/>
    <n v="4"/>
    <n v="296446"/>
    <n v="0.16"/>
    <n v="47500"/>
    <s v=" "/>
    <n v="0"/>
    <n v="0"/>
    <n v="0"/>
    <n v="0"/>
    <n v="0"/>
    <n v="47500"/>
    <s v="NINGUNA"/>
    <x v="9"/>
    <n v="4"/>
    <n v="296446"/>
    <n v="0.04"/>
    <n v="11900"/>
    <n v="0"/>
    <s v="               "/>
    <n v="0"/>
    <s v="               "/>
    <n v="0"/>
    <s v="NINGUNA"/>
    <x v="0"/>
    <n v="4"/>
    <n v="296446"/>
    <n v="0"/>
    <s v="5"/>
    <s v="CENTRO TRABAJO 30"/>
    <s v="5711001"/>
    <n v="0"/>
    <n v="4"/>
    <x v="1"/>
    <n v="296446"/>
    <n v="0.04"/>
    <n v="11900"/>
    <n v="296446"/>
    <n v="0"/>
    <n v="0"/>
    <n v="0"/>
    <n v="0"/>
    <n v="0"/>
    <n v="0"/>
    <n v="0"/>
    <n v="0"/>
    <s v="SI"/>
    <s v="  "/>
    <s v="                "/>
  </r>
  <r>
    <x v="0"/>
    <s v="CC"/>
    <x v="109"/>
    <x v="109"/>
    <s v="RODRIGUEZ"/>
    <s v="CONTRERAS"/>
    <s v="DANIEL"/>
    <s v="ALFONSO"/>
    <s v="LA_GUAJIRA"/>
    <s v="RIOHACHA"/>
    <s v="1. DEPENDIENTE"/>
    <s v="NINGUNO"/>
    <n v="162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2"/>
    <n v="2371977"/>
    <n v="0.16"/>
    <n v="379600"/>
    <s v=" "/>
    <n v="0"/>
    <n v="0"/>
    <n v="0"/>
    <n v="0"/>
    <n v="0"/>
    <n v="379600"/>
    <s v="NINGUNA"/>
    <x v="9"/>
    <n v="22"/>
    <n v="2371977"/>
    <n v="0.04"/>
    <n v="94900"/>
    <n v="0"/>
    <s v="               "/>
    <n v="0"/>
    <s v="               "/>
    <n v="0"/>
    <s v="NINGUNA"/>
    <x v="0"/>
    <n v="22"/>
    <n v="2371977"/>
    <n v="6.9599999999999995E-2"/>
    <s v="5"/>
    <s v="CENTRO TRABAJO 30"/>
    <s v="5711001"/>
    <n v="165100"/>
    <n v="22"/>
    <x v="1"/>
    <n v="2453570"/>
    <n v="0.04"/>
    <n v="98200"/>
    <n v="2453570"/>
    <n v="0"/>
    <n v="0"/>
    <n v="0"/>
    <n v="0"/>
    <n v="0"/>
    <n v="0"/>
    <n v="0"/>
    <n v="0"/>
    <s v="SI"/>
    <s v="  "/>
    <s v="                "/>
  </r>
  <r>
    <x v="0"/>
    <s v="CC"/>
    <x v="110"/>
    <x v="110"/>
    <s v="PLATA"/>
    <s v="LOPEZ"/>
    <s v="EYRA"/>
    <s v="MARCELA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3140434"/>
    <s v="NO"/>
    <s v="NO"/>
    <x v="1"/>
    <n v="30"/>
    <n v="3140434"/>
    <n v="0.16"/>
    <n v="502500"/>
    <s v=" "/>
    <n v="0"/>
    <n v="0"/>
    <n v="0"/>
    <n v="0"/>
    <n v="0"/>
    <n v="502500"/>
    <s v="NINGUNA"/>
    <x v="2"/>
    <n v="30"/>
    <n v="3140434"/>
    <n v="0.04"/>
    <n v="125700"/>
    <n v="0"/>
    <s v="               "/>
    <n v="0"/>
    <s v="               "/>
    <n v="0"/>
    <s v="NINGUNA"/>
    <x v="0"/>
    <n v="30"/>
    <n v="3140434"/>
    <n v="6.9599999999999995E-2"/>
    <s v="5"/>
    <s v="CENTRO TRABAJO 30"/>
    <s v="5711001"/>
    <n v="218600"/>
    <n v="30"/>
    <x v="1"/>
    <n v="3140434"/>
    <n v="0.04"/>
    <n v="125700"/>
    <n v="3140434"/>
    <n v="0"/>
    <n v="0"/>
    <n v="0"/>
    <n v="0"/>
    <n v="0"/>
    <n v="0"/>
    <n v="0"/>
    <n v="0"/>
    <s v="SI"/>
    <s v="  "/>
    <s v="                "/>
  </r>
  <r>
    <x v="0"/>
    <s v="CC"/>
    <x v="111"/>
    <x v="111"/>
    <s v="ARISTIZABAL"/>
    <s v="CORONADO"/>
    <s v="ARLIN"/>
    <s v="JOSE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3235758"/>
    <s v="NO"/>
    <s v="NO"/>
    <x v="0"/>
    <n v="30"/>
    <n v="3235758"/>
    <n v="0.16"/>
    <n v="517800"/>
    <s v=" "/>
    <n v="0"/>
    <n v="0"/>
    <n v="0"/>
    <n v="0"/>
    <n v="0"/>
    <n v="517800"/>
    <s v="NINGUNA"/>
    <x v="0"/>
    <n v="30"/>
    <n v="3235758"/>
    <n v="0.04"/>
    <n v="129500"/>
    <n v="0"/>
    <s v="               "/>
    <n v="0"/>
    <s v="               "/>
    <n v="0"/>
    <s v="NINGUNA"/>
    <x v="0"/>
    <n v="30"/>
    <n v="3235758"/>
    <n v="6.9599999999999995E-2"/>
    <s v="5"/>
    <s v="CENTRO TRABAJO 30"/>
    <s v="5711001"/>
    <n v="225300"/>
    <n v="30"/>
    <x v="1"/>
    <n v="3235758"/>
    <n v="0.04"/>
    <n v="129500"/>
    <n v="3235758"/>
    <n v="0"/>
    <n v="0"/>
    <n v="0"/>
    <n v="0"/>
    <n v="0"/>
    <n v="0"/>
    <n v="0"/>
    <n v="0"/>
    <s v="SI"/>
    <s v="  "/>
    <s v="                "/>
  </r>
  <r>
    <x v="0"/>
    <s v="CC"/>
    <x v="112"/>
    <x v="112"/>
    <s v="BALLESTEROS"/>
    <s v="QUINTERO"/>
    <s v="WILMER"/>
    <s v="YESID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0"/>
    <n v="30"/>
    <n v="8523893"/>
    <n v="0.16"/>
    <n v="1363900"/>
    <s v=" "/>
    <n v="0"/>
    <n v="0"/>
    <n v="42700"/>
    <n v="42700"/>
    <n v="0"/>
    <n v="1449300"/>
    <s v="NINGUNA"/>
    <x v="2"/>
    <n v="30"/>
    <n v="8523893"/>
    <n v="0.04"/>
    <n v="341000"/>
    <n v="0"/>
    <s v="               "/>
    <n v="0"/>
    <s v="               "/>
    <n v="0"/>
    <s v="NINGUNA"/>
    <x v="0"/>
    <n v="30"/>
    <n v="8523893"/>
    <n v="5.2199999999999998E-3"/>
    <s v="1"/>
    <s v="CENTRO TRABAJO 24"/>
    <s v="1711001"/>
    <n v="44500"/>
    <n v="30"/>
    <x v="0"/>
    <n v="5676577"/>
    <n v="0.04"/>
    <n v="227100"/>
    <n v="5676577"/>
    <n v="0"/>
    <n v="0"/>
    <n v="0"/>
    <n v="0"/>
    <n v="0"/>
    <n v="0"/>
    <n v="0"/>
    <n v="0"/>
    <s v="SI"/>
    <s v="  "/>
    <s v="                "/>
  </r>
  <r>
    <x v="0"/>
    <s v="CC"/>
    <x v="113"/>
    <x v="113"/>
    <s v="TORRES"/>
    <s v="ZAMBRANO"/>
    <s v="CARLOS"/>
    <s v="ALFREDO"/>
    <s v="LA_GUAJIRA"/>
    <s v="RIOHACHA"/>
    <s v="1. DEPENDIENTE"/>
    <s v="NINGUNO"/>
    <n v="151"/>
    <s v="NO"/>
    <s v="NO"/>
    <m/>
    <s v="Todos los sistemas (ARL, AFP, CCF, EPS)"/>
    <n v="46059"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1"/>
    <n v="2117562"/>
    <n v="0.16"/>
    <n v="338900"/>
    <s v=" "/>
    <n v="0"/>
    <n v="0"/>
    <n v="0"/>
    <n v="0"/>
    <n v="0"/>
    <n v="338900"/>
    <s v="NINGUNA"/>
    <x v="0"/>
    <n v="21"/>
    <n v="2117562"/>
    <n v="0.04"/>
    <n v="84800"/>
    <n v="0"/>
    <s v="               "/>
    <n v="0"/>
    <s v="               "/>
    <n v="0"/>
    <s v="NINGUNA"/>
    <x v="0"/>
    <n v="21"/>
    <n v="2117562"/>
    <n v="6.9599999999999995E-2"/>
    <s v="5"/>
    <s v="CENTRO TRABAJO 30"/>
    <s v="5711001"/>
    <n v="147400"/>
    <n v="21"/>
    <x v="1"/>
    <n v="1960078"/>
    <n v="0.04"/>
    <n v="78500"/>
    <n v="1960078"/>
    <n v="0"/>
    <n v="0"/>
    <n v="0"/>
    <n v="0"/>
    <n v="0"/>
    <n v="0"/>
    <n v="0"/>
    <n v="0"/>
    <s v="SI"/>
    <s v="  "/>
    <s v="                "/>
  </r>
  <r>
    <x v="0"/>
    <s v="CC"/>
    <x v="114"/>
    <x v="114"/>
    <s v="PEREIRA"/>
    <s v="VILLEGAS"/>
    <s v="YONIS"/>
    <s v="MANUEL"/>
    <s v="LA_GUAJIRA"/>
    <s v="RIOHACH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30"/>
    <n v="2666846"/>
    <n v="0.16"/>
    <n v="426700"/>
    <s v=" "/>
    <n v="0"/>
    <n v="0"/>
    <n v="0"/>
    <n v="0"/>
    <n v="0"/>
    <n v="426700"/>
    <s v="NINGUNA"/>
    <x v="0"/>
    <n v="30"/>
    <n v="2666846"/>
    <n v="0.04"/>
    <n v="106700"/>
    <n v="0"/>
    <s v="               "/>
    <n v="0"/>
    <s v="               "/>
    <n v="0"/>
    <s v="NINGUNA"/>
    <x v="0"/>
    <n v="30"/>
    <n v="2666846"/>
    <n v="6.9599999999999995E-2"/>
    <s v="5"/>
    <s v="CENTRO TRABAJO 30"/>
    <s v="5711001"/>
    <n v="185700"/>
    <n v="30"/>
    <x v="1"/>
    <n v="2577123"/>
    <n v="0.04"/>
    <n v="103100"/>
    <n v="2577123"/>
    <n v="0"/>
    <n v="0"/>
    <n v="0"/>
    <n v="0"/>
    <n v="0"/>
    <n v="0"/>
    <n v="0"/>
    <n v="0"/>
    <s v="SI"/>
    <s v="  "/>
    <s v="                "/>
  </r>
  <r>
    <x v="0"/>
    <s v="CC"/>
    <x v="115"/>
    <x v="115"/>
    <s v="GALINDO"/>
    <s v="DIMATE"/>
    <s v="STIVEN"/>
    <s v="GIOVANY"/>
    <s v="BOGOTA_D.E."/>
    <s v="BOGOTA"/>
    <s v="1. DEPENDIENTE"/>
    <s v="NINGUNO"/>
    <n v="74"/>
    <s v="NO"/>
    <s v="NO"/>
    <m/>
    <s v="Todos los sistemas (ARL, AFP, CCF, EPS)"/>
    <n v="46071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3"/>
    <n v="988712"/>
    <n v="0.16"/>
    <n v="158200"/>
    <s v=" "/>
    <n v="0"/>
    <n v="0"/>
    <n v="0"/>
    <n v="0"/>
    <n v="0"/>
    <n v="158200"/>
    <s v="NINGUNA"/>
    <x v="0"/>
    <n v="13"/>
    <n v="988712"/>
    <n v="0.04"/>
    <n v="39600"/>
    <n v="0"/>
    <s v="               "/>
    <n v="0"/>
    <s v="               "/>
    <n v="0"/>
    <s v="NINGUNA"/>
    <x v="0"/>
    <n v="13"/>
    <n v="988712"/>
    <n v="6.9599999999999995E-2"/>
    <s v="5"/>
    <s v="CENTRO TRABAJO 24"/>
    <s v="5711001"/>
    <n v="68900"/>
    <n v="13"/>
    <x v="0"/>
    <n v="988712"/>
    <n v="0.04"/>
    <n v="39600"/>
    <n v="988712"/>
    <n v="0"/>
    <n v="0"/>
    <n v="0"/>
    <n v="0"/>
    <n v="0"/>
    <n v="0"/>
    <n v="0"/>
    <n v="0"/>
    <s v="SI"/>
    <s v="  "/>
    <s v="                "/>
  </r>
  <r>
    <x v="0"/>
    <s v="CC"/>
    <x v="116"/>
    <x v="116"/>
    <s v="BELLO"/>
    <s v="RODRIGUEZ"/>
    <s v="DANY"/>
    <s v="EDILBERT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6384779"/>
    <s v="NO"/>
    <s v="NO"/>
    <x v="0"/>
    <n v="1"/>
    <n v="212826"/>
    <n v="0.16"/>
    <n v="34100"/>
    <s v=" "/>
    <n v="0"/>
    <n v="0"/>
    <n v="0"/>
    <n v="0"/>
    <n v="0"/>
    <n v="34100"/>
    <s v="NINGUNA"/>
    <x v="0"/>
    <n v="1"/>
    <n v="212826"/>
    <n v="0.04"/>
    <n v="8600"/>
    <n v="0"/>
    <s v="               "/>
    <n v="0"/>
    <s v="               "/>
    <n v="0"/>
    <s v="NINGUNA"/>
    <x v="0"/>
    <n v="1"/>
    <n v="212826"/>
    <n v="0"/>
    <s v="5"/>
    <s v="CENTRO TRABAJO 24"/>
    <s v="5711001"/>
    <n v="0"/>
    <n v="1"/>
    <x v="0"/>
    <n v="212826"/>
    <n v="0.04"/>
    <n v="8600"/>
    <n v="212826"/>
    <n v="0"/>
    <n v="0"/>
    <n v="0"/>
    <n v="0"/>
    <n v="0"/>
    <n v="0"/>
    <n v="0"/>
    <n v="0"/>
    <s v="SI"/>
    <s v="  "/>
    <s v="                "/>
  </r>
  <r>
    <x v="0"/>
    <s v="CC"/>
    <x v="116"/>
    <x v="116"/>
    <s v="BELLO"/>
    <s v="RODRIGUEZ"/>
    <s v="DANY"/>
    <s v="EDILBERTO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0"/>
    <n v="29"/>
    <n v="6171954"/>
    <n v="0.16"/>
    <n v="987600"/>
    <s v=" "/>
    <n v="0"/>
    <n v="0"/>
    <n v="0"/>
    <n v="0"/>
    <n v="0"/>
    <n v="987600"/>
    <s v="NINGUNA"/>
    <x v="0"/>
    <n v="29"/>
    <n v="6171954"/>
    <n v="0.04"/>
    <n v="246900"/>
    <n v="0"/>
    <s v="               "/>
    <n v="0"/>
    <s v="               "/>
    <n v="0"/>
    <s v="NINGUNA"/>
    <x v="0"/>
    <n v="29"/>
    <n v="6171954"/>
    <n v="6.9599999999999995E-2"/>
    <s v="5"/>
    <s v="CENTRO TRABAJO 24"/>
    <s v="5711001"/>
    <n v="429600"/>
    <n v="29"/>
    <x v="0"/>
    <n v="6171954"/>
    <n v="0.04"/>
    <n v="246900"/>
    <n v="6171954"/>
    <n v="0"/>
    <n v="0"/>
    <n v="0"/>
    <n v="0"/>
    <n v="0"/>
    <n v="0"/>
    <n v="0"/>
    <n v="0"/>
    <s v="SI"/>
    <s v="  "/>
    <s v="                "/>
  </r>
  <r>
    <x v="0"/>
    <s v="CC"/>
    <x v="117"/>
    <x v="117"/>
    <s v="SANABRIA"/>
    <s v="GUIO"/>
    <s v="JUAN"/>
    <s v="MANUEL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4152090"/>
    <s v="NO"/>
    <s v="NO"/>
    <x v="1"/>
    <n v="30"/>
    <n v="4152090"/>
    <n v="0.16"/>
    <n v="664400"/>
    <s v=" "/>
    <n v="0"/>
    <n v="0"/>
    <n v="0"/>
    <n v="0"/>
    <n v="0"/>
    <n v="664400"/>
    <s v="NINGUNA"/>
    <x v="2"/>
    <n v="30"/>
    <n v="4152090"/>
    <n v="0.04"/>
    <n v="166100"/>
    <n v="0"/>
    <s v="               "/>
    <n v="0"/>
    <s v="               "/>
    <n v="0"/>
    <s v="NINGUNA"/>
    <x v="0"/>
    <n v="30"/>
    <n v="4152090"/>
    <n v="6.9599999999999995E-2"/>
    <s v="5"/>
    <s v="CENTRO TRABAJO 24"/>
    <s v="5711001"/>
    <n v="289000"/>
    <n v="30"/>
    <x v="0"/>
    <n v="4152090"/>
    <n v="0.04"/>
    <n v="166100"/>
    <n v="4152090"/>
    <n v="0"/>
    <n v="0"/>
    <n v="0"/>
    <n v="0"/>
    <n v="0"/>
    <n v="0"/>
    <n v="0"/>
    <n v="0"/>
    <s v="SI"/>
    <s v="  "/>
    <s v="                "/>
  </r>
  <r>
    <x v="0"/>
    <s v="CC"/>
    <x v="118"/>
    <x v="118"/>
    <s v="SANCHEZ"/>
    <s v="PENAGOS"/>
    <s v="WILSON"/>
    <s v="ENRIQUE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3"/>
    <n v="30"/>
    <n v="3015186"/>
    <n v="0.16"/>
    <n v="482500"/>
    <s v=" "/>
    <n v="0"/>
    <n v="0"/>
    <n v="0"/>
    <n v="0"/>
    <n v="0"/>
    <n v="482500"/>
    <s v="NINGUNA"/>
    <x v="3"/>
    <n v="30"/>
    <n v="3015186"/>
    <n v="0.04"/>
    <n v="120700"/>
    <n v="0"/>
    <s v="               "/>
    <n v="0"/>
    <s v="               "/>
    <n v="0"/>
    <s v="NINGUNA"/>
    <x v="0"/>
    <n v="30"/>
    <n v="3015186"/>
    <n v="6.9599999999999995E-2"/>
    <s v="5"/>
    <s v="CENTRO TRABAJO 24"/>
    <s v="5711001"/>
    <n v="209900"/>
    <n v="30"/>
    <x v="0"/>
    <n v="3015186"/>
    <n v="0.04"/>
    <n v="120700"/>
    <n v="3015186"/>
    <n v="0"/>
    <n v="0"/>
    <n v="0"/>
    <n v="0"/>
    <n v="0"/>
    <n v="0"/>
    <n v="0"/>
    <n v="0"/>
    <s v="SI"/>
    <s v="  "/>
    <s v="                "/>
  </r>
  <r>
    <x v="0"/>
    <s v="CC"/>
    <x v="119"/>
    <x v="119"/>
    <s v="ORTEGA"/>
    <s v="RODRIGUEZ"/>
    <s v="CARLOS"/>
    <s v="AUGUSTO"/>
    <s v="LA_GUAJIRA"/>
    <s v="RIOHACHA"/>
    <s v="1. DEPENDIENTE"/>
    <s v="NINGUNO"/>
    <n v="117"/>
    <s v="NO"/>
    <s v="NO"/>
    <m/>
    <s v="NO"/>
    <m/>
    <s v="Todos los sistemas (ARL, AFP, CCF, EPS)"/>
    <n v="46071"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798033"/>
    <s v="NO"/>
    <s v="NO"/>
    <x v="1"/>
    <n v="18"/>
    <n v="3360524"/>
    <n v="0.16"/>
    <n v="537700"/>
    <s v=" "/>
    <n v="0"/>
    <n v="0"/>
    <n v="0"/>
    <n v="0"/>
    <n v="0"/>
    <n v="537700"/>
    <s v="NINGUNA"/>
    <x v="2"/>
    <n v="18"/>
    <n v="3360524"/>
    <n v="0.04"/>
    <n v="134500"/>
    <n v="0"/>
    <s v="               "/>
    <n v="0"/>
    <s v="               "/>
    <n v="0"/>
    <s v="NINGUNA"/>
    <x v="0"/>
    <n v="18"/>
    <n v="3360524"/>
    <n v="6.9599999999999995E-2"/>
    <s v="5"/>
    <s v="CENTRO TRABAJO 30"/>
    <s v="5711001"/>
    <n v="233900"/>
    <n v="18"/>
    <x v="1"/>
    <n v="6440560"/>
    <n v="0.04"/>
    <n v="257700"/>
    <n v="6440560"/>
    <n v="0"/>
    <n v="0"/>
    <n v="0"/>
    <n v="0"/>
    <n v="0"/>
    <n v="0"/>
    <n v="0"/>
    <n v="0"/>
    <s v="SI"/>
    <s v="  "/>
    <s v="                "/>
  </r>
  <r>
    <x v="0"/>
    <s v="CC"/>
    <x v="120"/>
    <x v="120"/>
    <s v="AGUIRRE"/>
    <s v="MARIN"/>
    <s v="ERIKA"/>
    <s v="PAOLA"/>
    <s v="BOGOTA_D.E."/>
    <s v="BOGOTA"/>
    <s v="1. DEPENDIENTE"/>
    <s v="NINGUNO"/>
    <n v="19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1830493"/>
    <n v="0.16"/>
    <n v="292900"/>
    <s v=" "/>
    <n v="0"/>
    <n v="0"/>
    <n v="0"/>
    <n v="0"/>
    <n v="0"/>
    <n v="292900"/>
    <s v="NINGUNA"/>
    <x v="10"/>
    <n v="30"/>
    <n v="1830493"/>
    <n v="0.04"/>
    <n v="73300"/>
    <n v="0"/>
    <s v="               "/>
    <n v="0"/>
    <s v="               "/>
    <n v="0"/>
    <s v="NINGUNA"/>
    <x v="0"/>
    <n v="30"/>
    <n v="1830493"/>
    <n v="2.436E-2"/>
    <s v="3"/>
    <s v="CENTRO TRABAJO 24"/>
    <s v="3711001"/>
    <n v="44600"/>
    <n v="30"/>
    <x v="0"/>
    <n v="1830493"/>
    <n v="0.04"/>
    <n v="73300"/>
    <n v="1830493"/>
    <n v="0"/>
    <n v="0"/>
    <n v="0"/>
    <n v="0"/>
    <n v="0"/>
    <n v="0"/>
    <n v="0"/>
    <n v="0"/>
    <s v="SI"/>
    <s v="  "/>
    <s v="                "/>
  </r>
  <r>
    <x v="0"/>
    <s v="CC"/>
    <x v="121"/>
    <x v="121"/>
    <s v="BARON"/>
    <s v="SILVA"/>
    <s v="ANGELA"/>
    <s v="MARCEL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3360265"/>
    <s v="NO"/>
    <s v="NO"/>
    <x v="0"/>
    <n v="30"/>
    <n v="3360265"/>
    <n v="0.16"/>
    <n v="537700"/>
    <s v=" "/>
    <n v="0"/>
    <n v="0"/>
    <n v="0"/>
    <n v="0"/>
    <n v="0"/>
    <n v="537700"/>
    <s v="NINGUNA"/>
    <x v="3"/>
    <n v="30"/>
    <n v="3360265"/>
    <n v="0.04"/>
    <n v="134500"/>
    <n v="0"/>
    <s v="               "/>
    <n v="0"/>
    <s v="               "/>
    <n v="0"/>
    <s v="NINGUNA"/>
    <x v="0"/>
    <n v="30"/>
    <n v="3360265"/>
    <n v="2.436E-2"/>
    <s v="3"/>
    <s v="CENTRO TRABAJO 24"/>
    <s v="3711001"/>
    <n v="81900"/>
    <n v="30"/>
    <x v="0"/>
    <n v="3360265"/>
    <n v="0.04"/>
    <n v="134500"/>
    <n v="3360265"/>
    <n v="0"/>
    <n v="0"/>
    <n v="0"/>
    <n v="0"/>
    <n v="0"/>
    <n v="0"/>
    <n v="0"/>
    <n v="0"/>
    <s v="SI"/>
    <s v="  "/>
    <s v="                "/>
  </r>
  <r>
    <x v="0"/>
    <s v="CC"/>
    <x v="122"/>
    <x v="122"/>
    <s v="SALCEDO"/>
    <s v="BARAHONA"/>
    <s v="DIEGO"/>
    <s v="ENRIQUE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368367"/>
    <n v="0.16"/>
    <n v="379000"/>
    <s v=" "/>
    <n v="0"/>
    <n v="0"/>
    <n v="0"/>
    <n v="0"/>
    <n v="0"/>
    <n v="379000"/>
    <s v="NINGUNA"/>
    <x v="9"/>
    <n v="30"/>
    <n v="2368367"/>
    <n v="0.04"/>
    <n v="94800"/>
    <n v="0"/>
    <s v="               "/>
    <n v="0"/>
    <s v="               "/>
    <n v="0"/>
    <s v="NINGUNA"/>
    <x v="0"/>
    <n v="30"/>
    <n v="2368367"/>
    <n v="6.9599999999999995E-2"/>
    <s v="5"/>
    <s v="CENTRO TRABAJO 24"/>
    <s v="5711001"/>
    <n v="164900"/>
    <n v="30"/>
    <x v="0"/>
    <n v="2368367"/>
    <n v="0.04"/>
    <n v="94800"/>
    <n v="2368367"/>
    <n v="0"/>
    <n v="0"/>
    <n v="0"/>
    <n v="0"/>
    <n v="0"/>
    <n v="0"/>
    <n v="0"/>
    <n v="0"/>
    <s v="SI"/>
    <s v="  "/>
    <s v="                "/>
  </r>
  <r>
    <x v="0"/>
    <s v="CC"/>
    <x v="123"/>
    <x v="123"/>
    <s v="GUERRERO"/>
    <s v="GOMEZ"/>
    <s v="LUIS"/>
    <s v="YEISON"/>
    <s v="BOGOTA_D.E."/>
    <s v="BOGOTA"/>
    <s v="1. DEPENDIENTE"/>
    <s v="NINGUNO"/>
    <n v="199"/>
    <s v="NO"/>
    <s v="NO"/>
    <m/>
    <s v="Todos los sistemas (ARL, AFP, CCF, EPS)"/>
    <n v="46055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4"/>
    <n v="29"/>
    <n v="3107342"/>
    <n v="0.16"/>
    <n v="497200"/>
    <s v=" "/>
    <n v="0"/>
    <n v="0"/>
    <n v="0"/>
    <n v="0"/>
    <n v="0"/>
    <n v="497200"/>
    <s v="NINGUNA"/>
    <x v="3"/>
    <n v="29"/>
    <n v="3107342"/>
    <n v="0.04"/>
    <n v="124300"/>
    <n v="0"/>
    <s v="               "/>
    <n v="0"/>
    <s v="               "/>
    <n v="0"/>
    <s v="NINGUNA"/>
    <x v="0"/>
    <n v="29"/>
    <n v="3107342"/>
    <n v="6.9599999999999995E-2"/>
    <s v="5"/>
    <s v="CENTRO TRABAJO 24"/>
    <s v="5711001"/>
    <n v="216300"/>
    <n v="29"/>
    <x v="0"/>
    <n v="3107342"/>
    <n v="0.04"/>
    <n v="124300"/>
    <n v="3107342"/>
    <n v="0"/>
    <n v="0"/>
    <n v="0"/>
    <n v="0"/>
    <n v="0"/>
    <n v="0"/>
    <n v="0"/>
    <n v="0"/>
    <s v="SI"/>
    <s v="  "/>
    <s v="                "/>
  </r>
  <r>
    <x v="0"/>
    <s v="CC"/>
    <x v="124"/>
    <x v="124"/>
    <s v="PINO"/>
    <s v="VACA"/>
    <s v="JUAN"/>
    <s v="FELIPE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3207525"/>
    <s v="NO"/>
    <s v="NO"/>
    <x v="0"/>
    <n v="30"/>
    <n v="5747910"/>
    <n v="0.16"/>
    <n v="919700"/>
    <s v=" "/>
    <n v="0"/>
    <n v="0"/>
    <n v="0"/>
    <n v="0"/>
    <n v="0"/>
    <n v="919700"/>
    <s v="NINGUNA"/>
    <x v="0"/>
    <n v="30"/>
    <n v="5747910"/>
    <n v="0.04"/>
    <n v="230000"/>
    <n v="0"/>
    <s v="               "/>
    <n v="0"/>
    <s v="               "/>
    <n v="0"/>
    <s v="NINGUNA"/>
    <x v="0"/>
    <n v="30"/>
    <n v="5747910"/>
    <n v="5.2199999999999998E-3"/>
    <s v="1"/>
    <s v="CENTRO TRABAJO 24"/>
    <s v="1711001"/>
    <n v="30100"/>
    <n v="30"/>
    <x v="0"/>
    <n v="3207525"/>
    <n v="0.04"/>
    <n v="128400"/>
    <n v="3207525"/>
    <n v="0"/>
    <n v="0"/>
    <n v="0"/>
    <n v="0"/>
    <n v="0"/>
    <n v="0"/>
    <n v="0"/>
    <n v="0"/>
    <s v="SI"/>
    <s v="  "/>
    <s v="                "/>
  </r>
  <r>
    <x v="0"/>
    <s v="CC"/>
    <x v="125"/>
    <x v="125"/>
    <s v="GONZALEZ"/>
    <s v="GUTIERREZ"/>
    <s v="GABRIEL"/>
    <s v="ANTON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1"/>
    <n v="74112"/>
    <n v="0.16"/>
    <n v="11900"/>
    <s v=" "/>
    <n v="0"/>
    <n v="0"/>
    <n v="0"/>
    <n v="0"/>
    <n v="0"/>
    <n v="11900"/>
    <s v="NINGUNA"/>
    <x v="0"/>
    <n v="1"/>
    <n v="74112"/>
    <n v="0"/>
    <n v="0"/>
    <n v="0"/>
    <s v="               "/>
    <n v="0"/>
    <s v="               "/>
    <n v="0"/>
    <s v="NINGUNA"/>
    <x v="0"/>
    <n v="1"/>
    <n v="74112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25"/>
    <x v="125"/>
    <s v="GONZALEZ"/>
    <s v="GUTIERREZ"/>
    <s v="GABRIEL"/>
    <s v="ANTONIO"/>
    <s v="BOGOTA_D.E."/>
    <s v="BOGOTA"/>
    <s v="1. DEPENDIENTE"/>
    <s v="NINGUNO"/>
    <n v="164"/>
    <s v="NO"/>
    <s v="NO"/>
    <m/>
    <s v="Todos los sistemas (ARL, AFP, CCF, EPS)"/>
    <n v="46058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5"/>
    <n v="2365162"/>
    <n v="0.16"/>
    <n v="378500"/>
    <s v=" "/>
    <n v="0"/>
    <n v="0"/>
    <n v="0"/>
    <n v="0"/>
    <n v="0"/>
    <n v="378500"/>
    <s v="NINGUNA"/>
    <x v="0"/>
    <n v="25"/>
    <n v="2365162"/>
    <n v="0.04"/>
    <n v="94700"/>
    <n v="0"/>
    <s v="               "/>
    <n v="0"/>
    <s v="               "/>
    <n v="0"/>
    <s v="NINGUNA"/>
    <x v="0"/>
    <n v="25"/>
    <n v="2365162"/>
    <n v="6.9599999999999995E-2"/>
    <s v="5"/>
    <s v="CENTRO TRABAJO 24"/>
    <s v="5711001"/>
    <n v="164700"/>
    <n v="25"/>
    <x v="0"/>
    <n v="2365162"/>
    <n v="0.04"/>
    <n v="94700"/>
    <n v="2365162"/>
    <n v="0"/>
    <n v="0"/>
    <n v="0"/>
    <n v="0"/>
    <n v="0"/>
    <n v="0"/>
    <n v="0"/>
    <n v="0"/>
    <s v="SI"/>
    <s v="  "/>
    <s v="                "/>
  </r>
  <r>
    <x v="0"/>
    <s v="CC"/>
    <x v="126"/>
    <x v="126"/>
    <s v="CASTILLO"/>
    <s v="QUINCHIA"/>
    <s v="FREDY"/>
    <s v="MANUEL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4"/>
    <n v="238080"/>
    <n v="0.16"/>
    <n v="38100"/>
    <s v=" "/>
    <n v="0"/>
    <n v="0"/>
    <n v="0"/>
    <n v="0"/>
    <n v="0"/>
    <n v="38100"/>
    <s v="NINGUNA"/>
    <x v="0"/>
    <n v="4"/>
    <n v="238080"/>
    <n v="0.04"/>
    <n v="9600"/>
    <n v="0"/>
    <s v="               "/>
    <n v="0"/>
    <s v="               "/>
    <n v="0"/>
    <s v="NINGUNA"/>
    <x v="0"/>
    <n v="4"/>
    <n v="238080"/>
    <n v="6.9599999999999995E-2"/>
    <s v="5"/>
    <s v="CENTRO TRABAJO 24"/>
    <s v="5711001"/>
    <n v="16600"/>
    <n v="4"/>
    <x v="0"/>
    <n v="238080"/>
    <n v="0.04"/>
    <n v="9600"/>
    <n v="238080"/>
    <n v="0"/>
    <n v="0"/>
    <n v="0"/>
    <n v="0"/>
    <n v="0"/>
    <n v="0"/>
    <n v="0"/>
    <n v="0"/>
    <s v="SI"/>
    <s v="  "/>
    <s v="                "/>
  </r>
  <r>
    <x v="0"/>
    <s v="CC"/>
    <x v="127"/>
    <x v="127"/>
    <s v="RAMIREZ"/>
    <s v="BUSTOS"/>
    <s v="CARLOS"/>
    <s v="ANTON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5"/>
    <s v="NO"/>
    <s v="NO"/>
    <m/>
    <m/>
    <n v="0"/>
    <m/>
    <m/>
    <s v="NO"/>
    <n v="4152090"/>
    <s v="NO"/>
    <s v="NO"/>
    <x v="0"/>
    <n v="2"/>
    <n v="276806"/>
    <n v="0.16"/>
    <n v="44300"/>
    <s v=" "/>
    <n v="0"/>
    <n v="0"/>
    <n v="0"/>
    <n v="0"/>
    <n v="0"/>
    <n v="44300"/>
    <s v="NINGUNA"/>
    <x v="2"/>
    <n v="2"/>
    <n v="276806"/>
    <n v="0.04"/>
    <n v="11100"/>
    <n v="0"/>
    <s v="               "/>
    <n v="0"/>
    <s v="               "/>
    <n v="0"/>
    <s v="NINGUNA"/>
    <x v="0"/>
    <n v="2"/>
    <n v="276806"/>
    <n v="0"/>
    <s v="5"/>
    <s v="CENTRO TRABAJO 24"/>
    <s v="5711001"/>
    <n v="0"/>
    <n v="2"/>
    <x v="0"/>
    <n v="276806"/>
    <n v="0.04"/>
    <n v="11100"/>
    <n v="276806"/>
    <n v="0"/>
    <n v="0"/>
    <n v="0"/>
    <n v="0"/>
    <n v="0"/>
    <n v="0"/>
    <n v="0"/>
    <n v="0"/>
    <s v="SI"/>
    <s v="  "/>
    <s v="                "/>
  </r>
  <r>
    <x v="0"/>
    <s v="CC"/>
    <x v="127"/>
    <x v="127"/>
    <s v="RAMIREZ"/>
    <s v="BUSTOS"/>
    <s v="CARLOS"/>
    <s v="ANTONIO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152090"/>
    <s v="NO"/>
    <s v="NO"/>
    <x v="0"/>
    <n v="28"/>
    <n v="3875284"/>
    <n v="0.16"/>
    <n v="620100"/>
    <s v=" "/>
    <n v="0"/>
    <n v="0"/>
    <n v="0"/>
    <n v="0"/>
    <n v="0"/>
    <n v="620100"/>
    <s v="NINGUNA"/>
    <x v="2"/>
    <n v="28"/>
    <n v="3875284"/>
    <n v="0.04"/>
    <n v="155100"/>
    <n v="0"/>
    <s v="               "/>
    <n v="0"/>
    <s v="               "/>
    <n v="0"/>
    <s v="NINGUNA"/>
    <x v="0"/>
    <n v="28"/>
    <n v="3875284"/>
    <n v="6.9599999999999995E-2"/>
    <s v="5"/>
    <s v="CENTRO TRABAJO 24"/>
    <s v="5711001"/>
    <n v="269800"/>
    <n v="28"/>
    <x v="0"/>
    <n v="3875284"/>
    <n v="0.04"/>
    <n v="155100"/>
    <n v="3875284"/>
    <n v="0"/>
    <n v="0"/>
    <n v="0"/>
    <n v="0"/>
    <n v="0"/>
    <n v="0"/>
    <n v="0"/>
    <n v="0"/>
    <s v="SI"/>
    <s v="  "/>
    <s v="                "/>
  </r>
  <r>
    <x v="0"/>
    <s v="CC"/>
    <x v="128"/>
    <x v="128"/>
    <s v="RUIZ"/>
    <s v="TORRES"/>
    <s v="ANDRES"/>
    <s v="FELIPE"/>
    <s v="BOGOTA_D.E."/>
    <s v="BOGOTA"/>
    <s v="1. DEPENDIENTE"/>
    <s v="NINGUNO"/>
    <n v="186"/>
    <s v="NO"/>
    <s v="NO"/>
    <m/>
    <s v="Todos los sistemas (ARL, AFP, CCF, EPS)"/>
    <n v="46055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9"/>
    <n v="1889215"/>
    <n v="0.16"/>
    <n v="302300"/>
    <s v=" "/>
    <n v="0"/>
    <n v="0"/>
    <n v="0"/>
    <n v="0"/>
    <n v="0"/>
    <n v="302300"/>
    <s v="NINGUNA"/>
    <x v="8"/>
    <n v="29"/>
    <n v="1889215"/>
    <n v="0.04"/>
    <n v="75600"/>
    <n v="0"/>
    <s v="               "/>
    <n v="0"/>
    <s v="               "/>
    <n v="0"/>
    <s v="NINGUNA"/>
    <x v="0"/>
    <n v="29"/>
    <n v="1889215"/>
    <n v="6.9599999999999995E-2"/>
    <s v="5"/>
    <s v="CENTRO TRABAJO 24"/>
    <s v="5711001"/>
    <n v="131500"/>
    <n v="29"/>
    <x v="0"/>
    <n v="1889215"/>
    <n v="0.04"/>
    <n v="75600"/>
    <n v="1889215"/>
    <n v="0"/>
    <n v="0"/>
    <n v="0"/>
    <n v="0"/>
    <n v="0"/>
    <n v="0"/>
    <n v="0"/>
    <n v="0"/>
    <s v="SI"/>
    <s v="  "/>
    <s v="                "/>
  </r>
  <r>
    <x v="0"/>
    <s v="CC"/>
    <x v="129"/>
    <x v="129"/>
    <s v="RONDON"/>
    <s v="PRADA"/>
    <s v="JOHN"/>
    <s v="ALEXANDER"/>
    <s v="BOGOTA_D.E."/>
    <s v="BOGOTA"/>
    <s v="1. DEPENDIENTE"/>
    <s v="NINGUNO"/>
    <n v="67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4"/>
    <n v="7"/>
    <n v="1712354"/>
    <n v="0.16"/>
    <n v="274000"/>
    <s v=" "/>
    <n v="0"/>
    <n v="0"/>
    <n v="0"/>
    <n v="0"/>
    <n v="0"/>
    <n v="274000"/>
    <s v="NINGUNA"/>
    <x v="2"/>
    <n v="7"/>
    <n v="1712354"/>
    <n v="0.04"/>
    <n v="68500"/>
    <n v="0"/>
    <s v="               "/>
    <n v="0"/>
    <s v="               "/>
    <n v="0"/>
    <s v="NINGUNA"/>
    <x v="0"/>
    <n v="7"/>
    <n v="1712354"/>
    <n v="6.9599999999999995E-2"/>
    <s v="5"/>
    <s v="CENTRO TRABAJO 24"/>
    <s v="5711001"/>
    <n v="119200"/>
    <n v="7"/>
    <x v="0"/>
    <n v="2143706"/>
    <n v="0.04"/>
    <n v="85800"/>
    <n v="2143706"/>
    <n v="0"/>
    <n v="0"/>
    <n v="0"/>
    <n v="0"/>
    <n v="0"/>
    <n v="0"/>
    <n v="0"/>
    <n v="0"/>
    <s v="SI"/>
    <s v="  "/>
    <s v="                "/>
  </r>
  <r>
    <x v="0"/>
    <s v="CC"/>
    <x v="130"/>
    <x v="130"/>
    <s v="RODRIGUEZ"/>
    <s v="LIZARAZO"/>
    <s v="CARLOS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2223339"/>
    <s v="NO"/>
    <s v="NO"/>
    <x v="0"/>
    <n v="1"/>
    <n v="74112"/>
    <n v="0.16"/>
    <n v="11900"/>
    <s v=" "/>
    <n v="0"/>
    <n v="0"/>
    <n v="0"/>
    <n v="0"/>
    <n v="0"/>
    <n v="11900"/>
    <s v="NINGUNA"/>
    <x v="10"/>
    <n v="1"/>
    <n v="74112"/>
    <n v="0.04"/>
    <n v="3000"/>
    <n v="0"/>
    <s v="               "/>
    <n v="0"/>
    <s v="               "/>
    <n v="0"/>
    <s v="NINGUNA"/>
    <x v="0"/>
    <n v="1"/>
    <n v="74112"/>
    <n v="0"/>
    <s v="5"/>
    <s v="CENTRO TRABAJO 24"/>
    <s v="5711001"/>
    <n v="0"/>
    <n v="1"/>
    <x v="0"/>
    <n v="74112"/>
    <n v="0.04"/>
    <n v="3000"/>
    <n v="74112"/>
    <n v="0"/>
    <n v="0"/>
    <n v="0"/>
    <n v="0"/>
    <n v="0"/>
    <n v="0"/>
    <n v="0"/>
    <n v="0"/>
    <s v="SI"/>
    <s v="  "/>
    <s v="                "/>
  </r>
  <r>
    <x v="0"/>
    <s v="CC"/>
    <x v="130"/>
    <x v="130"/>
    <s v="RODRIGUEZ"/>
    <s v="LIZARAZO"/>
    <s v="CARLOS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5"/>
    <n v="46056"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"/>
    <n v="148223"/>
    <n v="0.16"/>
    <n v="23800"/>
    <s v=" "/>
    <n v="0"/>
    <n v="0"/>
    <n v="0"/>
    <n v="0"/>
    <n v="0"/>
    <n v="23800"/>
    <s v="NINGUNA"/>
    <x v="10"/>
    <n v="2"/>
    <n v="148223"/>
    <n v="0"/>
    <n v="0"/>
    <n v="0"/>
    <s v="               "/>
    <n v="0"/>
    <s v="               "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30"/>
    <x v="130"/>
    <s v="RODRIGUEZ"/>
    <s v="LIZARAZO"/>
    <s v="CARLOS"/>
    <s v="ANDRES"/>
    <s v="BOGOTA_D.E."/>
    <s v="BOGOTA"/>
    <s v="1. DEPENDIENTE"/>
    <s v="NINGUNO"/>
    <n v="19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7"/>
    <n v="2829839"/>
    <n v="0.16"/>
    <n v="452800"/>
    <s v=" "/>
    <n v="0"/>
    <n v="0"/>
    <n v="0"/>
    <n v="0"/>
    <n v="0"/>
    <n v="452800"/>
    <s v="NINGUNA"/>
    <x v="10"/>
    <n v="27"/>
    <n v="2829839"/>
    <n v="0.04"/>
    <n v="113200"/>
    <n v="0"/>
    <s v="               "/>
    <n v="0"/>
    <s v="               "/>
    <n v="0"/>
    <s v="NINGUNA"/>
    <x v="0"/>
    <n v="27"/>
    <n v="2829839"/>
    <n v="6.9599999999999995E-2"/>
    <s v="5"/>
    <s v="CENTRO TRABAJO 24"/>
    <s v="5711001"/>
    <n v="197000"/>
    <n v="27"/>
    <x v="0"/>
    <n v="2829840"/>
    <n v="0.04"/>
    <n v="113200"/>
    <n v="2829840"/>
    <n v="0"/>
    <n v="0"/>
    <n v="0"/>
    <n v="0"/>
    <n v="0"/>
    <n v="0"/>
    <n v="0"/>
    <n v="0"/>
    <s v="SI"/>
    <s v="  "/>
    <s v="                "/>
  </r>
  <r>
    <x v="0"/>
    <s v="CC"/>
    <x v="131"/>
    <x v="131"/>
    <s v="DUARTE"/>
    <s v="SALAZAR"/>
    <s v="MIGUEL"/>
    <s v="ANG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8"/>
    <n v="46058"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1"/>
    <n v="59520"/>
    <n v="0.16"/>
    <n v="9600"/>
    <s v=" "/>
    <n v="0"/>
    <n v="0"/>
    <n v="0"/>
    <n v="0"/>
    <n v="0"/>
    <n v="9600"/>
    <s v="NINGUNA"/>
    <x v="9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31"/>
    <x v="131"/>
    <s v="DUARTE"/>
    <s v="SALAZAR"/>
    <s v="MIGUEL"/>
    <s v="ANG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0"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2"/>
    <n v="119040"/>
    <n v="0.16"/>
    <n v="19100"/>
    <s v=" "/>
    <n v="0"/>
    <n v="0"/>
    <n v="0"/>
    <n v="0"/>
    <n v="0"/>
    <n v="19100"/>
    <s v="NINGUNA"/>
    <x v="9"/>
    <n v="2"/>
    <n v="119040"/>
    <n v="0"/>
    <n v="0"/>
    <n v="0"/>
    <s v="               "/>
    <n v="0"/>
    <s v="               "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31"/>
    <x v="131"/>
    <s v="DUARTE"/>
    <s v="SALAZAR"/>
    <s v="MIGUEL"/>
    <s v="ANG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70"/>
    <n v="46070"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1"/>
    <n v="59520"/>
    <n v="0.16"/>
    <n v="9600"/>
    <s v=" "/>
    <n v="0"/>
    <n v="0"/>
    <n v="0"/>
    <n v="0"/>
    <n v="0"/>
    <n v="9600"/>
    <s v="NINGUNA"/>
    <x v="9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31"/>
    <x v="131"/>
    <s v="DUARTE"/>
    <s v="SALAZAR"/>
    <s v="MIGUEL"/>
    <s v="ANGEL"/>
    <s v="BOGOTA_D.E."/>
    <s v="BOGOTA"/>
    <s v="1. DEPENDIENTE"/>
    <s v="NINGUNO"/>
    <n v="135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17"/>
    <n v="1783261"/>
    <n v="0.16"/>
    <n v="285400"/>
    <s v=" "/>
    <n v="0"/>
    <n v="0"/>
    <n v="0"/>
    <n v="0"/>
    <n v="0"/>
    <n v="285400"/>
    <s v="NINGUNA"/>
    <x v="9"/>
    <n v="17"/>
    <n v="1783261"/>
    <n v="0.04"/>
    <n v="71400"/>
    <n v="0"/>
    <s v="               "/>
    <n v="0"/>
    <s v="               "/>
    <n v="0"/>
    <s v="NINGUNA"/>
    <x v="0"/>
    <n v="17"/>
    <n v="1783261"/>
    <n v="6.9599999999999995E-2"/>
    <s v="5"/>
    <s v="CENTRO TRABAJO 24"/>
    <s v="5711001"/>
    <n v="124200"/>
    <n v="17"/>
    <x v="0"/>
    <n v="2119658"/>
    <n v="0.04"/>
    <n v="84800"/>
    <n v="2119658"/>
    <n v="0"/>
    <n v="0"/>
    <n v="0"/>
    <n v="0"/>
    <n v="0"/>
    <n v="0"/>
    <n v="0"/>
    <n v="0"/>
    <s v="SI"/>
    <s v="  "/>
    <s v="                "/>
  </r>
  <r>
    <x v="0"/>
    <s v="CC"/>
    <x v="132"/>
    <x v="132"/>
    <s v="CAMARGO"/>
    <s v="VERGEL"/>
    <s v="ANGIE"/>
    <s v="PAOL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1"/>
    <n v="58364"/>
    <n v="0.16"/>
    <n v="9400"/>
    <s v=" "/>
    <n v="0"/>
    <n v="0"/>
    <n v="0"/>
    <n v="0"/>
    <n v="0"/>
    <n v="9400"/>
    <s v="NINGUNA"/>
    <x v="3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32"/>
    <x v="132"/>
    <s v="CAMARGO"/>
    <s v="VERGEL"/>
    <s v="ANGIE"/>
    <s v="PAOL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58"/>
    <s v="NO"/>
    <s v="NO"/>
    <m/>
    <m/>
    <n v="0"/>
    <m/>
    <m/>
    <s v="NO"/>
    <n v="1750905"/>
    <s v="NO"/>
    <s v="NO"/>
    <x v="2"/>
    <n v="1"/>
    <n v="58364"/>
    <n v="0.16"/>
    <n v="9400"/>
    <s v=" "/>
    <n v="0"/>
    <n v="0"/>
    <n v="0"/>
    <n v="0"/>
    <n v="0"/>
    <n v="9400"/>
    <s v="NINGUNA"/>
    <x v="3"/>
    <n v="1"/>
    <n v="58364"/>
    <n v="0.04"/>
    <n v="240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58364"/>
    <n v="0.04"/>
    <n v="2400"/>
    <n v="58364"/>
    <n v="0"/>
    <n v="0"/>
    <n v="0"/>
    <n v="0"/>
    <n v="0"/>
    <n v="0"/>
    <n v="0"/>
    <n v="0"/>
    <s v="SI"/>
    <s v="  "/>
    <s v="                "/>
  </r>
  <r>
    <x v="0"/>
    <s v="CC"/>
    <x v="132"/>
    <x v="132"/>
    <s v="CAMARGO"/>
    <s v="VERGEL"/>
    <s v="ANGIE"/>
    <s v="PAOLA"/>
    <s v="BOGOTA_D.E."/>
    <s v="BOGOT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8"/>
    <n v="2092266"/>
    <n v="0.16"/>
    <n v="334800"/>
    <s v=" "/>
    <n v="0"/>
    <n v="0"/>
    <n v="0"/>
    <n v="0"/>
    <n v="0"/>
    <n v="334800"/>
    <s v="NINGUNA"/>
    <x v="3"/>
    <n v="28"/>
    <n v="2092266"/>
    <n v="0.04"/>
    <n v="83700"/>
    <n v="0"/>
    <s v="               "/>
    <n v="0"/>
    <s v="               "/>
    <n v="0"/>
    <s v="NINGUNA"/>
    <x v="0"/>
    <n v="28"/>
    <n v="2092266"/>
    <n v="6.9599999999999995E-2"/>
    <s v="5"/>
    <s v="CENTRO TRABAJO 24"/>
    <s v="5711001"/>
    <n v="145700"/>
    <n v="28"/>
    <x v="0"/>
    <n v="2092267"/>
    <n v="0.04"/>
    <n v="83700"/>
    <n v="2092267"/>
    <n v="0"/>
    <n v="0"/>
    <n v="0"/>
    <n v="0"/>
    <n v="0"/>
    <n v="0"/>
    <n v="0"/>
    <n v="0"/>
    <s v="SI"/>
    <s v="  "/>
    <s v="                "/>
  </r>
  <r>
    <x v="0"/>
    <s v="CC"/>
    <x v="133"/>
    <x v="133"/>
    <s v="ROJAS"/>
    <s v="SIERRA"/>
    <s v="VRIYI"/>
    <s v="YULEY"/>
    <s v="BOGOTA_D.E."/>
    <s v="BOGOTA"/>
    <s v="1. DEPENDIENTE"/>
    <s v="NINGUNO"/>
    <n v="67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7"/>
    <n v="1056288"/>
    <n v="0.16"/>
    <n v="169100"/>
    <s v=" "/>
    <n v="0"/>
    <n v="0"/>
    <n v="0"/>
    <n v="0"/>
    <n v="0"/>
    <n v="169100"/>
    <s v="NINGUNA"/>
    <x v="3"/>
    <n v="7"/>
    <n v="1056288"/>
    <n v="0.04"/>
    <n v="42300"/>
    <n v="0"/>
    <s v="               "/>
    <n v="0"/>
    <s v="               "/>
    <n v="0"/>
    <s v="NINGUNA"/>
    <x v="0"/>
    <n v="7"/>
    <n v="1056288"/>
    <n v="6.9599999999999995E-2"/>
    <s v="5"/>
    <s v="CENTRO TRABAJO 24"/>
    <s v="5711001"/>
    <n v="73600"/>
    <n v="7"/>
    <x v="0"/>
    <n v="1407037"/>
    <n v="0.04"/>
    <n v="56300"/>
    <n v="1407037"/>
    <n v="0"/>
    <n v="0"/>
    <n v="0"/>
    <n v="0"/>
    <n v="0"/>
    <n v="0"/>
    <n v="0"/>
    <n v="0"/>
    <s v="SI"/>
    <s v="  "/>
    <s v="                "/>
  </r>
  <r>
    <x v="0"/>
    <s v="CC"/>
    <x v="134"/>
    <x v="134"/>
    <s v="VALDERRAMA"/>
    <s v="CHIMONJA"/>
    <s v="GEOVANNY"/>
    <s v="ANDRES"/>
    <s v="BOGOTA_D.E."/>
    <s v="BOGOTA"/>
    <s v="1. DEPENDIENTE"/>
    <s v="NINGUNO"/>
    <n v="24"/>
    <s v="NO"/>
    <s v="NO"/>
    <m/>
    <s v="NO"/>
    <m/>
    <s v="Todos los sistemas (ARL, AFP, CCF, EPS)"/>
    <n v="46055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"/>
    <n v="607074"/>
    <n v="0.16"/>
    <n v="97200"/>
    <s v=" "/>
    <n v="0"/>
    <n v="0"/>
    <n v="0"/>
    <n v="0"/>
    <n v="0"/>
    <n v="97200"/>
    <s v="NINGUNA"/>
    <x v="9"/>
    <n v="2"/>
    <n v="607074"/>
    <n v="0.125"/>
    <n v="75900"/>
    <n v="0"/>
    <s v="               "/>
    <n v="0"/>
    <s v="               "/>
    <n v="0"/>
    <s v="NINGUNA"/>
    <x v="0"/>
    <n v="2"/>
    <n v="607074"/>
    <n v="6.9599999999999995E-2"/>
    <s v="5"/>
    <s v="CENTRO TRABAJO 24"/>
    <s v="5711001"/>
    <n v="42300"/>
    <n v="2"/>
    <x v="0"/>
    <n v="1093712"/>
    <n v="0.04"/>
    <n v="43800"/>
    <n v="1093712"/>
    <n v="0.02"/>
    <n v="21900"/>
    <n v="0.03"/>
    <n v="32900"/>
    <n v="0"/>
    <n v="0"/>
    <n v="0"/>
    <n v="0"/>
    <s v="SI"/>
    <s v="  "/>
    <s v="                "/>
  </r>
  <r>
    <x v="0"/>
    <s v="CC"/>
    <x v="135"/>
    <x v="135"/>
    <s v="CAICEDO"/>
    <s v="QUIMBAY"/>
    <s v="PAULA"/>
    <s v="YOHAN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50905"/>
    <s v="NO"/>
    <s v="NO"/>
    <x v="1"/>
    <n v="1"/>
    <n v="58364"/>
    <n v="0.16"/>
    <n v="9400"/>
    <s v=" "/>
    <n v="0"/>
    <n v="0"/>
    <n v="0"/>
    <n v="0"/>
    <n v="0"/>
    <n v="9400"/>
    <s v="NINGUNA"/>
    <x v="10"/>
    <n v="1"/>
    <n v="58364"/>
    <n v="0.04"/>
    <n v="240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58364"/>
    <n v="0.04"/>
    <n v="2400"/>
    <n v="58364"/>
    <n v="0"/>
    <n v="0"/>
    <n v="0"/>
    <n v="0"/>
    <n v="0"/>
    <n v="0"/>
    <n v="0"/>
    <n v="0"/>
    <s v="SI"/>
    <s v="  "/>
    <s v="                "/>
  </r>
  <r>
    <x v="0"/>
    <s v="CC"/>
    <x v="135"/>
    <x v="135"/>
    <s v="CAICEDO"/>
    <s v="QUIMBAY"/>
    <s v="PAULA"/>
    <s v="YOHAN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6"/>
    <n v="46056"/>
    <s v="NO"/>
    <s v="NO"/>
    <m/>
    <m/>
    <n v="0"/>
    <m/>
    <m/>
    <s v="NO"/>
    <n v="1750905"/>
    <s v="NO"/>
    <s v="NO"/>
    <x v="1"/>
    <n v="1"/>
    <n v="58364"/>
    <n v="0.16"/>
    <n v="9400"/>
    <s v=" "/>
    <n v="0"/>
    <n v="0"/>
    <n v="0"/>
    <n v="0"/>
    <n v="0"/>
    <n v="9400"/>
    <s v="NINGUNA"/>
    <x v="10"/>
    <n v="1"/>
    <n v="58364"/>
    <n v="0.04"/>
    <n v="240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58364"/>
    <n v="0.04"/>
    <n v="2400"/>
    <n v="58364"/>
    <n v="0"/>
    <n v="0"/>
    <n v="0"/>
    <n v="0"/>
    <n v="0"/>
    <n v="0"/>
    <n v="0"/>
    <n v="0"/>
    <s v="SI"/>
    <s v="  "/>
    <s v="                "/>
  </r>
  <r>
    <x v="0"/>
    <s v="CC"/>
    <x v="135"/>
    <x v="135"/>
    <s v="CAICEDO"/>
    <s v="QUIMBAY"/>
    <s v="PAULA"/>
    <s v="YOHANA"/>
    <s v="BOGOTA_D.E."/>
    <s v="BOGOTA"/>
    <s v="1. DEPENDIENTE"/>
    <s v="NINGUNO"/>
    <n v="52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5"/>
    <n v="1043593"/>
    <n v="0.16"/>
    <n v="167000"/>
    <s v=" "/>
    <n v="0"/>
    <n v="0"/>
    <n v="0"/>
    <n v="0"/>
    <n v="0"/>
    <n v="167000"/>
    <s v="NINGUNA"/>
    <x v="10"/>
    <n v="5"/>
    <n v="1043593"/>
    <n v="0.04"/>
    <n v="41800"/>
    <n v="0"/>
    <s v="               "/>
    <n v="0"/>
    <s v="               "/>
    <n v="0"/>
    <s v="NINGUNA"/>
    <x v="0"/>
    <n v="5"/>
    <n v="1043593"/>
    <n v="6.9599999999999995E-2"/>
    <s v="5"/>
    <s v="CENTRO TRABAJO 24"/>
    <s v="5711001"/>
    <n v="72700"/>
    <n v="5"/>
    <x v="0"/>
    <n v="1435802"/>
    <n v="0.04"/>
    <n v="57500"/>
    <n v="1435802"/>
    <n v="0"/>
    <n v="0"/>
    <n v="0"/>
    <n v="0"/>
    <n v="0"/>
    <n v="0"/>
    <n v="0"/>
    <n v="0"/>
    <s v="SI"/>
    <s v="  "/>
    <s v="                "/>
  </r>
  <r>
    <x v="0"/>
    <s v="CC"/>
    <x v="136"/>
    <x v="136"/>
    <s v="PUENTES"/>
    <s v="FLOREZ"/>
    <s v="CLAUDIA"/>
    <s v="LILIAN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8"/>
    <n v="46063"/>
    <s v="NO"/>
    <s v="NO"/>
    <m/>
    <m/>
    <n v="0"/>
    <m/>
    <m/>
    <s v="NO"/>
    <n v="6384779"/>
    <s v="NO"/>
    <s v="NO"/>
    <x v="1"/>
    <n v="6"/>
    <n v="1276956"/>
    <n v="0.16"/>
    <n v="204400"/>
    <s v=" "/>
    <n v="0"/>
    <n v="0"/>
    <n v="0"/>
    <n v="0"/>
    <n v="0"/>
    <n v="204400"/>
    <s v="NINGUNA"/>
    <x v="10"/>
    <n v="6"/>
    <n v="1276956"/>
    <n v="0.04"/>
    <n v="51100"/>
    <n v="0"/>
    <s v="               "/>
    <n v="0"/>
    <s v="               "/>
    <n v="0"/>
    <s v="NINGUNA"/>
    <x v="0"/>
    <n v="6"/>
    <n v="1276956"/>
    <n v="0"/>
    <s v="5"/>
    <s v="CENTRO TRABAJO 24"/>
    <s v="5711001"/>
    <n v="0"/>
    <n v="6"/>
    <x v="0"/>
    <n v="1276956"/>
    <n v="0.04"/>
    <n v="51100"/>
    <n v="1276956"/>
    <n v="0"/>
    <n v="0"/>
    <n v="0"/>
    <n v="0"/>
    <n v="0"/>
    <n v="0"/>
    <n v="0"/>
    <n v="0"/>
    <s v="SI"/>
    <s v="  "/>
    <s v="                "/>
  </r>
  <r>
    <x v="0"/>
    <s v="CC"/>
    <x v="136"/>
    <x v="136"/>
    <s v="PUENTES"/>
    <s v="FLOREZ"/>
    <s v="CLAUDIA"/>
    <s v="LILIANA"/>
    <s v="BOGOTA_D.E."/>
    <s v="BOGOTA"/>
    <s v="1. DEPENDIENTE"/>
    <s v="NINGUNO"/>
    <n v="149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1"/>
    <n v="24"/>
    <n v="5107824"/>
    <n v="0.16"/>
    <n v="817300"/>
    <s v=" "/>
    <n v="0"/>
    <n v="0"/>
    <n v="0"/>
    <n v="0"/>
    <n v="0"/>
    <n v="817300"/>
    <s v="NINGUNA"/>
    <x v="10"/>
    <n v="24"/>
    <n v="5107824"/>
    <n v="0.04"/>
    <n v="204400"/>
    <n v="0"/>
    <s v="               "/>
    <n v="0"/>
    <s v="               "/>
    <n v="0"/>
    <s v="NINGUNA"/>
    <x v="0"/>
    <n v="24"/>
    <n v="5107824"/>
    <n v="6.9599999999999995E-2"/>
    <s v="5"/>
    <s v="CENTRO TRABAJO 24"/>
    <s v="5711001"/>
    <n v="355600"/>
    <n v="24"/>
    <x v="0"/>
    <n v="5107824"/>
    <n v="0.04"/>
    <n v="204400"/>
    <n v="5107824"/>
    <n v="0"/>
    <n v="0"/>
    <n v="0"/>
    <n v="0"/>
    <n v="0"/>
    <n v="0"/>
    <n v="0"/>
    <n v="0"/>
    <s v="SI"/>
    <s v="  "/>
    <s v="                "/>
  </r>
  <r>
    <x v="0"/>
    <s v="CC"/>
    <x v="137"/>
    <x v="137"/>
    <s v="AVILA"/>
    <s v="BUITRAGO"/>
    <s v="JULIE"/>
    <s v="PAULINE"/>
    <s v="BOGOTA_D.E."/>
    <s v="BOGOTA"/>
    <s v="1. DEPENDIENTE"/>
    <s v="NINGUNO"/>
    <n v="166"/>
    <s v="NO"/>
    <s v="NO"/>
    <m/>
    <s v="Todos los sistemas (ARL, AFP, CCF, EPS)"/>
    <n v="46058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26"/>
    <n v="2228799"/>
    <n v="0.16"/>
    <n v="356700"/>
    <s v=" "/>
    <n v="0"/>
    <n v="0"/>
    <n v="0"/>
    <n v="0"/>
    <n v="0"/>
    <n v="356700"/>
    <s v="NINGUNA"/>
    <x v="2"/>
    <n v="26"/>
    <n v="2228799"/>
    <n v="0.04"/>
    <n v="89200"/>
    <n v="0"/>
    <s v="               "/>
    <n v="0"/>
    <s v="               "/>
    <n v="0"/>
    <s v="NINGUNA"/>
    <x v="0"/>
    <n v="26"/>
    <n v="2228799"/>
    <n v="6.9599999999999995E-2"/>
    <s v="5"/>
    <s v="CENTRO TRABAJO 24"/>
    <s v="5711001"/>
    <n v="155200"/>
    <n v="26"/>
    <x v="0"/>
    <n v="2228799"/>
    <n v="0.04"/>
    <n v="89200"/>
    <n v="2228799"/>
    <n v="0"/>
    <n v="0"/>
    <n v="0"/>
    <n v="0"/>
    <n v="0"/>
    <n v="0"/>
    <n v="0"/>
    <n v="0"/>
    <s v="SI"/>
    <s v="  "/>
    <s v="                "/>
  </r>
  <r>
    <x v="0"/>
    <s v="CC"/>
    <x v="138"/>
    <x v="138"/>
    <s v="BURBANO"/>
    <s v="BUESAQUILLO"/>
    <s v="MARYORY"/>
    <s v="DANIELA"/>
    <s v="BOGOTA_D.E."/>
    <s v="BOGOTA"/>
    <s v="1. DEPENDIENTE"/>
    <s v="NINGUNO"/>
    <n v="173"/>
    <s v="NO"/>
    <s v="NO"/>
    <m/>
    <s v="Todos los sistemas (ARL, AFP, CCF, EPS)"/>
    <n v="46057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7"/>
    <n v="1961013"/>
    <n v="0.16"/>
    <n v="313800"/>
    <s v=" "/>
    <n v="0"/>
    <n v="0"/>
    <n v="0"/>
    <n v="0"/>
    <n v="0"/>
    <n v="313800"/>
    <s v="NINGUNA"/>
    <x v="13"/>
    <n v="27"/>
    <n v="1961013"/>
    <n v="0.04"/>
    <n v="78500"/>
    <n v="0"/>
    <s v="               "/>
    <n v="0"/>
    <s v="               "/>
    <n v="0"/>
    <s v="NINGUNA"/>
    <x v="0"/>
    <n v="27"/>
    <n v="1961013"/>
    <n v="6.9599999999999995E-2"/>
    <s v="5"/>
    <s v="CENTRO TRABAJO 24"/>
    <s v="5711001"/>
    <n v="136500"/>
    <n v="27"/>
    <x v="0"/>
    <n v="1961013"/>
    <n v="0.04"/>
    <n v="78500"/>
    <n v="1961013"/>
    <n v="0"/>
    <n v="0"/>
    <n v="0"/>
    <n v="0"/>
    <n v="0"/>
    <n v="0"/>
    <n v="0"/>
    <n v="0"/>
    <s v="SI"/>
    <s v="  "/>
    <s v="                "/>
  </r>
  <r>
    <x v="0"/>
    <s v="CC"/>
    <x v="139"/>
    <x v="139"/>
    <s v="LOPEZ"/>
    <s v="LARA"/>
    <s v="MARLON"/>
    <s v="JAVI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3360265"/>
    <s v="NO"/>
    <s v="NO"/>
    <x v="0"/>
    <n v="1"/>
    <n v="112009"/>
    <n v="0.16"/>
    <n v="18000"/>
    <s v=" "/>
    <n v="0"/>
    <n v="0"/>
    <n v="0"/>
    <n v="0"/>
    <n v="0"/>
    <n v="18000"/>
    <s v="NINGUNA"/>
    <x v="8"/>
    <n v="1"/>
    <n v="112009"/>
    <n v="0.04"/>
    <n v="4500"/>
    <n v="0"/>
    <s v="               "/>
    <n v="0"/>
    <s v="               "/>
    <n v="0"/>
    <s v="NINGUNA"/>
    <x v="0"/>
    <n v="1"/>
    <n v="112009"/>
    <n v="0"/>
    <s v="5"/>
    <s v="CENTRO TRABAJO 24"/>
    <s v="5711001"/>
    <n v="0"/>
    <n v="1"/>
    <x v="0"/>
    <n v="112009"/>
    <n v="0.04"/>
    <n v="4500"/>
    <n v="112009"/>
    <n v="0"/>
    <n v="0"/>
    <n v="0"/>
    <n v="0"/>
    <n v="0"/>
    <n v="0"/>
    <n v="0"/>
    <n v="0"/>
    <s v="SI"/>
    <s v="  "/>
    <s v="                "/>
  </r>
  <r>
    <x v="0"/>
    <s v="CC"/>
    <x v="139"/>
    <x v="139"/>
    <s v="LOPEZ"/>
    <s v="LARA"/>
    <s v="MARLON"/>
    <s v="JAVIER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360265"/>
    <s v="NO"/>
    <s v="NO"/>
    <x v="0"/>
    <n v="29"/>
    <n v="3346010"/>
    <n v="0.16"/>
    <n v="535400"/>
    <s v=" "/>
    <n v="0"/>
    <n v="0"/>
    <n v="0"/>
    <n v="0"/>
    <n v="0"/>
    <n v="535400"/>
    <s v="NINGUNA"/>
    <x v="8"/>
    <n v="29"/>
    <n v="3346010"/>
    <n v="0.04"/>
    <n v="133900"/>
    <n v="0"/>
    <s v="               "/>
    <n v="0"/>
    <s v="               "/>
    <n v="0"/>
    <s v="NINGUNA"/>
    <x v="0"/>
    <n v="29"/>
    <n v="3346010"/>
    <n v="6.9599999999999995E-2"/>
    <s v="5"/>
    <s v="CENTRO TRABAJO 24"/>
    <s v="5711001"/>
    <n v="232900"/>
    <n v="29"/>
    <x v="0"/>
    <n v="3346010"/>
    <n v="0.04"/>
    <n v="133900"/>
    <n v="3346010"/>
    <n v="0"/>
    <n v="0"/>
    <n v="0"/>
    <n v="0"/>
    <n v="0"/>
    <n v="0"/>
    <n v="0"/>
    <n v="0"/>
    <s v="SI"/>
    <s v="  "/>
    <s v="                "/>
  </r>
  <r>
    <x v="0"/>
    <s v="CC"/>
    <x v="140"/>
    <x v="140"/>
    <s v="ROMO"/>
    <s v="CERVANTES"/>
    <s v="IVAN"/>
    <s v="DAVID"/>
    <s v="BOGOTA_D.E."/>
    <s v="BOGOTA"/>
    <s v="1. DEPENDIENTE"/>
    <s v="NINGUNO"/>
    <n v="22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2861047"/>
    <n v="0.16"/>
    <n v="457800"/>
    <s v=" "/>
    <n v="0"/>
    <n v="0"/>
    <n v="0"/>
    <n v="0"/>
    <n v="0"/>
    <n v="457800"/>
    <s v="NINGUNA"/>
    <x v="0"/>
    <n v="30"/>
    <n v="2861047"/>
    <n v="0.04"/>
    <n v="114500"/>
    <n v="0"/>
    <s v="               "/>
    <n v="0"/>
    <s v="               "/>
    <n v="0"/>
    <s v="NINGUNA"/>
    <x v="0"/>
    <n v="30"/>
    <n v="2861047"/>
    <n v="6.9599999999999995E-2"/>
    <s v="5"/>
    <s v="CENTRO TRABAJO 24"/>
    <s v="5711001"/>
    <n v="199200"/>
    <n v="30"/>
    <x v="0"/>
    <n v="2861047"/>
    <n v="0.04"/>
    <n v="114500"/>
    <n v="2861047"/>
    <n v="0"/>
    <n v="0"/>
    <n v="0"/>
    <n v="0"/>
    <n v="0"/>
    <n v="0"/>
    <n v="0"/>
    <n v="0"/>
    <s v="SI"/>
    <s v="  "/>
    <s v="                "/>
  </r>
  <r>
    <x v="0"/>
    <s v="CC"/>
    <x v="141"/>
    <x v="141"/>
    <s v="ARZUAGA"/>
    <s v="CARIZABALO"/>
    <s v="CARLOS"/>
    <s v="MARIO"/>
    <s v="BOGOTA_D.E."/>
    <s v="BOGOTA"/>
    <s v="1. DEPENDIENTE"/>
    <s v="NINGUNO"/>
    <n v="22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3276717"/>
    <n v="0.16"/>
    <n v="524300"/>
    <s v=" "/>
    <n v="0"/>
    <n v="0"/>
    <n v="0"/>
    <n v="0"/>
    <n v="0"/>
    <n v="524300"/>
    <s v="NINGUNA"/>
    <x v="0"/>
    <n v="30"/>
    <n v="3276717"/>
    <n v="0.04"/>
    <n v="131100"/>
    <n v="0"/>
    <s v="               "/>
    <n v="0"/>
    <s v="               "/>
    <n v="0"/>
    <s v="NINGUNA"/>
    <x v="0"/>
    <n v="30"/>
    <n v="3276717"/>
    <n v="6.9599999999999995E-2"/>
    <s v="5"/>
    <s v="CENTRO TRABAJO 24"/>
    <s v="5711001"/>
    <n v="228100"/>
    <n v="30"/>
    <x v="0"/>
    <n v="2973280"/>
    <n v="0.04"/>
    <n v="119000"/>
    <n v="2973280"/>
    <n v="0"/>
    <n v="0"/>
    <n v="0"/>
    <n v="0"/>
    <n v="0"/>
    <n v="0"/>
    <n v="0"/>
    <n v="0"/>
    <s v="SI"/>
    <s v="  "/>
    <s v="                "/>
  </r>
  <r>
    <x v="0"/>
    <s v="CC"/>
    <x v="142"/>
    <x v="142"/>
    <s v="SOSA"/>
    <s v="GONZALES"/>
    <s v="JOSE"/>
    <s v="DANIEL"/>
    <s v="BOGOTA_D.E."/>
    <s v="BOGOTA"/>
    <s v="1. DEPENDIENTE"/>
    <s v="NINGUNO"/>
    <n v="55"/>
    <s v="NO"/>
    <s v="NO"/>
    <m/>
    <s v="NO"/>
    <m/>
    <s v="Todos los sistemas (ARL, AFP, CCF, EPS)"/>
    <n v="4605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2"/>
    <n v="5"/>
    <n v="1422653"/>
    <n v="0.16"/>
    <n v="227700"/>
    <s v=" "/>
    <n v="0"/>
    <n v="0"/>
    <n v="0"/>
    <n v="0"/>
    <n v="0"/>
    <n v="227700"/>
    <s v="NINGUNA"/>
    <x v="3"/>
    <n v="5"/>
    <n v="1422653"/>
    <n v="0.04"/>
    <n v="57000"/>
    <n v="0"/>
    <s v="               "/>
    <n v="0"/>
    <s v="               "/>
    <n v="0"/>
    <s v="NINGUNA"/>
    <x v="0"/>
    <n v="5"/>
    <n v="1422653"/>
    <n v="6.9599999999999995E-2"/>
    <s v="5"/>
    <s v="CENTRO TRABAJO 24"/>
    <s v="5711001"/>
    <n v="99100"/>
    <n v="5"/>
    <x v="0"/>
    <n v="2009828"/>
    <n v="0.04"/>
    <n v="80400"/>
    <n v="2009828"/>
    <n v="0"/>
    <n v="0"/>
    <n v="0"/>
    <n v="0"/>
    <n v="0"/>
    <n v="0"/>
    <n v="0"/>
    <n v="0"/>
    <s v="SI"/>
    <s v="  "/>
    <s v="                "/>
  </r>
  <r>
    <x v="0"/>
    <s v="CC"/>
    <x v="142"/>
    <x v="142"/>
    <s v="SOSA"/>
    <s v="GONZALES"/>
    <s v="JOSE"/>
    <s v="DANIEL"/>
    <s v="LA_GUAJIRA"/>
    <s v="RIOHACHA"/>
    <s v="1. DEPENDIENTE"/>
    <s v="NINGUNO"/>
    <n v="51"/>
    <s v="NO"/>
    <s v="NO"/>
    <m/>
    <s v="Todos los sistemas (ARL, AFP, CCF, EPS)"/>
    <n v="46073"/>
    <s v="Todos los sistemas (ARL, AFP, CCF, EPS)"/>
    <n v="46079"/>
    <s v="NO"/>
    <s v="NO"/>
    <s v="NO"/>
    <s v="SI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0"/>
    <n v="7"/>
    <n v="819541"/>
    <n v="0.16"/>
    <n v="131200"/>
    <s v=" "/>
    <n v="0"/>
    <n v="0"/>
    <n v="0"/>
    <n v="0"/>
    <n v="0"/>
    <n v="131200"/>
    <s v="PROTECCION"/>
    <x v="3"/>
    <n v="7"/>
    <n v="819541"/>
    <n v="0.04"/>
    <n v="32800"/>
    <n v="0"/>
    <s v="               "/>
    <n v="0"/>
    <s v="               "/>
    <n v="0"/>
    <s v="NINGUNA"/>
    <x v="0"/>
    <n v="7"/>
    <n v="819541"/>
    <n v="6.9599999999999995E-2"/>
    <s v="5"/>
    <s v="CENTRO TRABAJO 30"/>
    <s v="5711001"/>
    <n v="57100"/>
    <n v="7"/>
    <x v="1"/>
    <n v="853493"/>
    <n v="0.04"/>
    <n v="34200"/>
    <n v="853493"/>
    <n v="0"/>
    <n v="0"/>
    <n v="0"/>
    <n v="0"/>
    <n v="0"/>
    <n v="0"/>
    <n v="0"/>
    <n v="0"/>
    <s v="SI"/>
    <s v="  "/>
    <s v="                "/>
  </r>
  <r>
    <x v="0"/>
    <s v="CC"/>
    <x v="143"/>
    <x v="143"/>
    <s v="QUIROZ"/>
    <s v="GARCIA"/>
    <s v="JOSE"/>
    <s v="LUIS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2665550"/>
    <s v="NO"/>
    <s v="NO"/>
    <x v="4"/>
    <n v="2"/>
    <n v="177704"/>
    <n v="0.16"/>
    <n v="28500"/>
    <s v=" "/>
    <n v="0"/>
    <n v="0"/>
    <n v="0"/>
    <n v="0"/>
    <n v="0"/>
    <n v="28500"/>
    <s v="NINGUNA"/>
    <x v="3"/>
    <n v="2"/>
    <n v="177704"/>
    <n v="0"/>
    <n v="0"/>
    <n v="0"/>
    <s v="               "/>
    <n v="0"/>
    <s v="               "/>
    <n v="0"/>
    <s v="NINGUNA"/>
    <x v="0"/>
    <n v="2"/>
    <n v="177704"/>
    <n v="0"/>
    <s v="5"/>
    <s v="CENTRO TRABAJO 30"/>
    <s v="5711001"/>
    <n v="0"/>
    <n v="2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43"/>
    <x v="143"/>
    <s v="QUIROZ"/>
    <s v="GARCIA"/>
    <s v="JOSE"/>
    <s v="LUIS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665550"/>
    <s v="NO"/>
    <s v="NO"/>
    <x v="4"/>
    <n v="5"/>
    <n v="444259"/>
    <n v="0.16"/>
    <n v="71100"/>
    <s v=" "/>
    <n v="0"/>
    <n v="0"/>
    <n v="0"/>
    <n v="0"/>
    <n v="0"/>
    <n v="71100"/>
    <s v="NINGUNA"/>
    <x v="3"/>
    <n v="5"/>
    <n v="444259"/>
    <n v="0.04"/>
    <n v="17800"/>
    <n v="0"/>
    <s v="               "/>
    <n v="0"/>
    <s v="               "/>
    <n v="0"/>
    <s v="NINGUNA"/>
    <x v="0"/>
    <n v="5"/>
    <n v="444259"/>
    <n v="0"/>
    <s v="5"/>
    <s v="CENTRO TRABAJO 30"/>
    <s v="5711001"/>
    <n v="0"/>
    <n v="5"/>
    <x v="1"/>
    <n v="444259"/>
    <n v="0.04"/>
    <n v="17800"/>
    <n v="444259"/>
    <n v="0"/>
    <n v="0"/>
    <n v="0"/>
    <n v="0"/>
    <n v="0"/>
    <n v="0"/>
    <n v="0"/>
    <n v="0"/>
    <s v="SI"/>
    <s v="  "/>
    <s v="                "/>
  </r>
  <r>
    <x v="0"/>
    <s v="CC"/>
    <x v="143"/>
    <x v="143"/>
    <s v="QUIROZ"/>
    <s v="GARCIA"/>
    <s v="JOSE"/>
    <s v="LUIS"/>
    <s v="LA_GUAJIRA"/>
    <s v="RIOHACHA"/>
    <s v="1. DEPENDIENTE"/>
    <s v="NINGUNO"/>
    <n v="14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4"/>
    <n v="23"/>
    <n v="3085889"/>
    <n v="0.16"/>
    <n v="493800"/>
    <s v=" "/>
    <n v="0"/>
    <n v="0"/>
    <n v="0"/>
    <n v="0"/>
    <n v="0"/>
    <n v="493800"/>
    <s v="NINGUNA"/>
    <x v="3"/>
    <n v="23"/>
    <n v="3085889"/>
    <n v="0.04"/>
    <n v="123500"/>
    <n v="0"/>
    <s v="               "/>
    <n v="0"/>
    <s v="               "/>
    <n v="0"/>
    <s v="NINGUNA"/>
    <x v="0"/>
    <n v="23"/>
    <n v="3085889"/>
    <n v="6.9599999999999995E-2"/>
    <s v="5"/>
    <s v="CENTRO TRABAJO 30"/>
    <s v="5711001"/>
    <n v="214800"/>
    <n v="23"/>
    <x v="1"/>
    <n v="3085890"/>
    <n v="0.04"/>
    <n v="123500"/>
    <n v="3085890"/>
    <n v="0"/>
    <n v="0"/>
    <n v="0"/>
    <n v="0"/>
    <n v="0"/>
    <n v="0"/>
    <n v="0"/>
    <n v="0"/>
    <s v="SI"/>
    <s v="  "/>
    <s v="                "/>
  </r>
  <r>
    <x v="0"/>
    <s v="CC"/>
    <x v="144"/>
    <x v="144"/>
    <s v="CERVANTES"/>
    <s v="POLO"/>
    <s v="ANTHONY"/>
    <s v="JUNIOR"/>
    <s v="LA_GUAJIRA"/>
    <s v="RIOHACHA"/>
    <s v="1. DEPENDIENTE"/>
    <s v="NINGUNO"/>
    <n v="154"/>
    <s v="NO"/>
    <s v="NO"/>
    <m/>
    <s v="Todos los sistemas (ARL, AFP, CCF, EPS)"/>
    <n v="46059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4"/>
    <n v="25"/>
    <n v="2573935"/>
    <n v="0.16"/>
    <n v="411900"/>
    <s v=" "/>
    <n v="0"/>
    <n v="0"/>
    <n v="0"/>
    <n v="0"/>
    <n v="0"/>
    <n v="411900"/>
    <s v="NINGUNA"/>
    <x v="2"/>
    <n v="25"/>
    <n v="2573935"/>
    <n v="0.04"/>
    <n v="103000"/>
    <n v="0"/>
    <s v="               "/>
    <n v="0"/>
    <s v="               "/>
    <n v="0"/>
    <s v="NINGUNA"/>
    <x v="0"/>
    <n v="25"/>
    <n v="2573935"/>
    <n v="6.9599999999999995E-2"/>
    <s v="5"/>
    <s v="CENTRO TRABAJO 30"/>
    <s v="5711001"/>
    <n v="179200"/>
    <n v="25"/>
    <x v="1"/>
    <n v="2573935"/>
    <n v="0.04"/>
    <n v="103000"/>
    <n v="2573935"/>
    <n v="0"/>
    <n v="0"/>
    <n v="0"/>
    <n v="0"/>
    <n v="0"/>
    <n v="0"/>
    <n v="0"/>
    <n v="0"/>
    <s v="SI"/>
    <s v="  "/>
    <s v="                "/>
  </r>
  <r>
    <x v="0"/>
    <s v="CC"/>
    <x v="145"/>
    <x v="145"/>
    <s v="ANDRADE"/>
    <s v="MUNERA"/>
    <s v="JESUS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891569"/>
    <s v="NO"/>
    <s v="NO"/>
    <x v="0"/>
    <n v="5"/>
    <n v="481929"/>
    <n v="0.16"/>
    <n v="77200"/>
    <s v=" "/>
    <n v="0"/>
    <n v="0"/>
    <n v="0"/>
    <n v="0"/>
    <n v="0"/>
    <n v="77200"/>
    <s v="NINGUNA"/>
    <x v="2"/>
    <n v="5"/>
    <n v="481929"/>
    <n v="0.04"/>
    <n v="19300"/>
    <n v="0"/>
    <s v="               "/>
    <n v="0"/>
    <s v="               "/>
    <n v="0"/>
    <s v="NINGUNA"/>
    <x v="0"/>
    <n v="5"/>
    <n v="481929"/>
    <n v="0"/>
    <s v="5"/>
    <s v="CENTRO TRABAJO 30"/>
    <s v="5711001"/>
    <n v="0"/>
    <n v="5"/>
    <x v="1"/>
    <n v="481929"/>
    <n v="0.04"/>
    <n v="19300"/>
    <n v="481929"/>
    <n v="0"/>
    <n v="0"/>
    <n v="0"/>
    <n v="0"/>
    <n v="0"/>
    <n v="0"/>
    <n v="0"/>
    <n v="0"/>
    <s v="SI"/>
    <s v="  "/>
    <s v="                "/>
  </r>
  <r>
    <x v="0"/>
    <s v="CC"/>
    <x v="145"/>
    <x v="145"/>
    <s v="ANDRADE"/>
    <s v="MUNERA"/>
    <s v="JESUS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75"/>
    <n v="46077"/>
    <s v="NO"/>
    <m/>
    <m/>
    <s v="NO"/>
    <m/>
    <m/>
    <s v="NO"/>
    <s v="NO"/>
    <m/>
    <m/>
    <n v="0"/>
    <m/>
    <m/>
    <s v="NO"/>
    <n v="2891569"/>
    <s v="NO"/>
    <s v="NO"/>
    <x v="0"/>
    <n v="3"/>
    <n v="351391"/>
    <n v="0.16"/>
    <n v="56300"/>
    <s v=" "/>
    <n v="0"/>
    <n v="0"/>
    <n v="0"/>
    <n v="0"/>
    <n v="0"/>
    <n v="56300"/>
    <s v="NINGUNA"/>
    <x v="2"/>
    <n v="3"/>
    <n v="351391"/>
    <n v="0.04"/>
    <n v="14100"/>
    <n v="0"/>
    <s v="               "/>
    <n v="0"/>
    <s v="               "/>
    <n v="0"/>
    <s v="NINGUNA"/>
    <x v="0"/>
    <n v="3"/>
    <n v="351391"/>
    <n v="0"/>
    <s v="5"/>
    <s v="CENTRO TRABAJO 30"/>
    <s v="5711001"/>
    <n v="0"/>
    <n v="3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45"/>
    <x v="145"/>
    <s v="ANDRADE"/>
    <s v="MUNERA"/>
    <s v="JESUS"/>
    <s v="ALBERTO"/>
    <s v="LA_GUAJIRA"/>
    <s v="RIOHACHA"/>
    <s v="1. DEPENDIENTE"/>
    <s v="NINGUNO"/>
    <n v="13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0"/>
    <n v="22"/>
    <n v="3381165"/>
    <n v="0.16"/>
    <n v="541000"/>
    <s v=" "/>
    <n v="0"/>
    <n v="0"/>
    <n v="0"/>
    <n v="0"/>
    <n v="0"/>
    <n v="541000"/>
    <s v="NINGUNA"/>
    <x v="2"/>
    <n v="22"/>
    <n v="3381165"/>
    <n v="0.04"/>
    <n v="135300"/>
    <n v="0"/>
    <s v="               "/>
    <n v="0"/>
    <s v="               "/>
    <n v="0"/>
    <s v="NINGUNA"/>
    <x v="0"/>
    <n v="22"/>
    <n v="3381165"/>
    <n v="6.9599999999999995E-2"/>
    <s v="5"/>
    <s v="CENTRO TRABAJO 30"/>
    <s v="5711001"/>
    <n v="235400"/>
    <n v="22"/>
    <x v="1"/>
    <n v="3381165"/>
    <n v="0.04"/>
    <n v="135300"/>
    <n v="3381165"/>
    <n v="0"/>
    <n v="0"/>
    <n v="0"/>
    <n v="0"/>
    <n v="0"/>
    <n v="0"/>
    <n v="0"/>
    <n v="0"/>
    <s v="SI"/>
    <s v="  "/>
    <s v="                "/>
  </r>
  <r>
    <x v="0"/>
    <s v="CC"/>
    <x v="146"/>
    <x v="146"/>
    <s v="CANTILLO"/>
    <s v="SANTOYA"/>
    <s v="JORGE"/>
    <s v="SAMIR"/>
    <s v="BOGOTA_D.E."/>
    <s v="BOGOTA"/>
    <s v="1. DEPENDIENTE"/>
    <s v="NINGUNO"/>
    <n v="22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0"/>
    <n v="3185978"/>
    <n v="0.16"/>
    <n v="509800"/>
    <s v=" "/>
    <n v="0"/>
    <n v="0"/>
    <n v="0"/>
    <n v="0"/>
    <n v="0"/>
    <n v="509800"/>
    <s v="NINGUNA"/>
    <x v="0"/>
    <n v="30"/>
    <n v="3185978"/>
    <n v="0.04"/>
    <n v="127500"/>
    <n v="0"/>
    <s v="               "/>
    <n v="0"/>
    <s v="               "/>
    <n v="0"/>
    <s v="NINGUNA"/>
    <x v="0"/>
    <n v="30"/>
    <n v="3185978"/>
    <n v="6.9599999999999995E-2"/>
    <s v="5"/>
    <s v="CENTRO TRABAJO 24"/>
    <s v="5711001"/>
    <n v="221800"/>
    <n v="30"/>
    <x v="0"/>
    <n v="3185978"/>
    <n v="0.04"/>
    <n v="127500"/>
    <n v="3185978"/>
    <n v="0"/>
    <n v="0"/>
    <n v="0"/>
    <n v="0"/>
    <n v="0"/>
    <n v="0"/>
    <n v="0"/>
    <n v="0"/>
    <s v="SI"/>
    <s v="  "/>
    <s v="                "/>
  </r>
  <r>
    <x v="0"/>
    <s v="CC"/>
    <x v="147"/>
    <x v="147"/>
    <s v="MERIÑO"/>
    <s v="MARTINEZ"/>
    <s v="SAMUEL"/>
    <s v="ENRIQU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6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"/>
    <n v="178560"/>
    <n v="0.16"/>
    <n v="28600"/>
    <s v=" "/>
    <n v="0"/>
    <n v="0"/>
    <n v="0"/>
    <n v="0"/>
    <n v="0"/>
    <n v="28600"/>
    <s v="NINGUNA"/>
    <x v="6"/>
    <n v="3"/>
    <n v="178560"/>
    <n v="0"/>
    <n v="0"/>
    <n v="0"/>
    <s v="               "/>
    <n v="0"/>
    <s v="               "/>
    <n v="0"/>
    <s v="NINGUNA"/>
    <x v="0"/>
    <n v="3"/>
    <n v="178560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47"/>
    <x v="147"/>
    <s v="MERIÑO"/>
    <s v="MARTINEZ"/>
    <s v="SAMUEL"/>
    <s v="ENRIQU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4"/>
    <n v="46065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"/>
    <n v="119040"/>
    <n v="0.16"/>
    <n v="19100"/>
    <s v=" "/>
    <n v="0"/>
    <n v="0"/>
    <n v="0"/>
    <n v="0"/>
    <n v="0"/>
    <n v="19100"/>
    <s v="NINGUNA"/>
    <x v="6"/>
    <n v="2"/>
    <n v="119040"/>
    <n v="0"/>
    <n v="0"/>
    <n v="0"/>
    <s v="               "/>
    <n v="0"/>
    <s v="               "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47"/>
    <x v="147"/>
    <s v="MERIÑO"/>
    <s v="MARTINEZ"/>
    <s v="SAMUEL"/>
    <s v="ENRIQUE"/>
    <s v="BOGOTA_D.E."/>
    <s v="BOGOTA"/>
    <s v="1. DEPENDIENTE"/>
    <s v="NINGUNO"/>
    <n v="64"/>
    <s v="NO"/>
    <s v="NO"/>
    <m/>
    <s v="NO"/>
    <m/>
    <s v="Todos los sistemas (ARL, AFP, CCF, EPS)"/>
    <n v="46065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7"/>
    <n v="1260481"/>
    <n v="0.16"/>
    <n v="201700"/>
    <s v=" "/>
    <n v="0"/>
    <n v="0"/>
    <n v="0"/>
    <n v="0"/>
    <n v="0"/>
    <n v="201700"/>
    <s v="NINGUNA"/>
    <x v="6"/>
    <n v="7"/>
    <n v="1260481"/>
    <n v="0.04"/>
    <n v="50500"/>
    <n v="0"/>
    <s v="               "/>
    <n v="0"/>
    <s v="               "/>
    <n v="0"/>
    <s v="NINGUNA"/>
    <x v="0"/>
    <n v="7"/>
    <n v="1260481"/>
    <n v="6.9599999999999995E-2"/>
    <s v="5"/>
    <s v="CENTRO TRABAJO 24"/>
    <s v="5711001"/>
    <n v="87800"/>
    <n v="7"/>
    <x v="0"/>
    <n v="1826773"/>
    <n v="0.04"/>
    <n v="73100"/>
    <n v="1826773"/>
    <n v="0"/>
    <n v="0"/>
    <n v="0"/>
    <n v="0"/>
    <n v="0"/>
    <n v="0"/>
    <n v="0"/>
    <n v="0"/>
    <s v="SI"/>
    <s v="  "/>
    <s v="                "/>
  </r>
  <r>
    <x v="0"/>
    <s v="CC"/>
    <x v="148"/>
    <x v="148"/>
    <s v="TORO"/>
    <s v="LADINO"/>
    <s v="MIGUEL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6384779"/>
    <s v="NO"/>
    <s v="NO"/>
    <x v="1"/>
    <n v="1"/>
    <n v="212826"/>
    <n v="0.16"/>
    <n v="34100"/>
    <s v=" "/>
    <n v="0"/>
    <n v="0"/>
    <n v="0"/>
    <n v="0"/>
    <n v="0"/>
    <n v="34100"/>
    <s v="NINGUNA"/>
    <x v="14"/>
    <n v="1"/>
    <n v="212826"/>
    <n v="0.04"/>
    <n v="8600"/>
    <n v="0"/>
    <s v="               "/>
    <n v="0"/>
    <s v="               "/>
    <n v="0"/>
    <s v="NINGUNA"/>
    <x v="0"/>
    <n v="1"/>
    <n v="212826"/>
    <n v="0"/>
    <s v="5"/>
    <s v="CENTRO TRABAJO 24"/>
    <s v="5711001"/>
    <n v="0"/>
    <n v="1"/>
    <x v="0"/>
    <n v="212826"/>
    <n v="0.04"/>
    <n v="8600"/>
    <n v="212826"/>
    <n v="0"/>
    <n v="0"/>
    <n v="0"/>
    <n v="0"/>
    <n v="0"/>
    <n v="0"/>
    <n v="0"/>
    <n v="0"/>
    <s v="SI"/>
    <s v="  "/>
    <s v="                "/>
  </r>
  <r>
    <x v="0"/>
    <s v="CC"/>
    <x v="148"/>
    <x v="148"/>
    <s v="TORO"/>
    <s v="LADINO"/>
    <s v="MIGUEL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6384779"/>
    <s v="NO"/>
    <s v="NO"/>
    <x v="1"/>
    <n v="7"/>
    <n v="1489782"/>
    <n v="0.16"/>
    <n v="238400"/>
    <s v=" "/>
    <n v="0"/>
    <n v="0"/>
    <n v="0"/>
    <n v="0"/>
    <n v="0"/>
    <n v="238400"/>
    <s v="NINGUNA"/>
    <x v="14"/>
    <n v="7"/>
    <n v="1489782"/>
    <n v="0.04"/>
    <n v="59600"/>
    <n v="0"/>
    <s v="               "/>
    <n v="0"/>
    <s v="               "/>
    <n v="0"/>
    <s v="NINGUNA"/>
    <x v="0"/>
    <n v="7"/>
    <n v="1489782"/>
    <n v="0"/>
    <s v="5"/>
    <s v="CENTRO TRABAJO 24"/>
    <s v="5711001"/>
    <n v="0"/>
    <n v="7"/>
    <x v="0"/>
    <n v="1489782"/>
    <n v="0.04"/>
    <n v="59600"/>
    <n v="1489782"/>
    <n v="0"/>
    <n v="0"/>
    <n v="0"/>
    <n v="0"/>
    <n v="0"/>
    <n v="0"/>
    <n v="0"/>
    <n v="0"/>
    <s v="SI"/>
    <s v="  "/>
    <s v="                "/>
  </r>
  <r>
    <x v="0"/>
    <s v="CC"/>
    <x v="148"/>
    <x v="148"/>
    <s v="TORO"/>
    <s v="LADINO"/>
    <s v="MIGUEL"/>
    <s v="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1"/>
    <n v="22"/>
    <n v="4682172"/>
    <n v="0.16"/>
    <n v="749200"/>
    <s v=" "/>
    <n v="0"/>
    <n v="0"/>
    <n v="0"/>
    <n v="0"/>
    <n v="0"/>
    <n v="749200"/>
    <s v="NINGUNA"/>
    <x v="14"/>
    <n v="22"/>
    <n v="4682172"/>
    <n v="0.04"/>
    <n v="187300"/>
    <n v="0"/>
    <s v="               "/>
    <n v="0"/>
    <s v="               "/>
    <n v="0"/>
    <s v="NINGUNA"/>
    <x v="0"/>
    <n v="22"/>
    <n v="4682172"/>
    <n v="6.9599999999999995E-2"/>
    <s v="5"/>
    <s v="CENTRO TRABAJO 24"/>
    <s v="5711001"/>
    <n v="325900"/>
    <n v="22"/>
    <x v="0"/>
    <n v="4682172"/>
    <n v="0.04"/>
    <n v="187300"/>
    <n v="4682172"/>
    <n v="0"/>
    <n v="0"/>
    <n v="0"/>
    <n v="0"/>
    <n v="0"/>
    <n v="0"/>
    <n v="0"/>
    <n v="0"/>
    <s v="SI"/>
    <s v="  "/>
    <s v="                "/>
  </r>
  <r>
    <x v="0"/>
    <s v="CC"/>
    <x v="149"/>
    <x v="149"/>
    <s v="ORTIZ"/>
    <s v="VERA"/>
    <s v="ERVIN"/>
    <s v="ARLEY"/>
    <s v="BOGOTA_D.E."/>
    <s v="BOGOTA"/>
    <s v="1. DEPENDIENTE"/>
    <s v="NINGUNO"/>
    <n v="45"/>
    <s v="NO"/>
    <s v="NO"/>
    <m/>
    <s v="Todos los sistemas (ARL, AFP, CCF, EPS)"/>
    <n v="46074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0"/>
    <n v="10"/>
    <n v="704394"/>
    <n v="0.16"/>
    <n v="112800"/>
    <s v=" "/>
    <n v="0"/>
    <n v="0"/>
    <n v="0"/>
    <n v="0"/>
    <n v="0"/>
    <n v="112800"/>
    <s v="NINGUNA"/>
    <x v="4"/>
    <n v="10"/>
    <n v="704394"/>
    <n v="0.04"/>
    <n v="28200"/>
    <n v="0"/>
    <s v="               "/>
    <n v="0"/>
    <s v="               "/>
    <n v="0"/>
    <s v="NINGUNA"/>
    <x v="0"/>
    <n v="10"/>
    <n v="704394"/>
    <n v="6.9599999999999995E-2"/>
    <s v="5"/>
    <s v="CENTRO TRABAJO 24"/>
    <s v="5711001"/>
    <n v="49100"/>
    <n v="10"/>
    <x v="0"/>
    <n v="704394"/>
    <n v="0.04"/>
    <n v="28200"/>
    <n v="704394"/>
    <n v="0"/>
    <n v="0"/>
    <n v="0"/>
    <n v="0"/>
    <n v="0"/>
    <n v="0"/>
    <n v="0"/>
    <n v="0"/>
    <s v="SI"/>
    <s v="  "/>
    <s v="                "/>
  </r>
  <r>
    <x v="0"/>
    <s v="CC"/>
    <x v="150"/>
    <x v="150"/>
    <s v="ASCANIO"/>
    <s v="MORA"/>
    <s v="YEISON"/>
    <s v="ALEXIS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SI"/>
    <x v="0"/>
    <n v="30"/>
    <n v="6384779"/>
    <n v="0.16"/>
    <n v="1021600"/>
    <s v=" "/>
    <n v="0"/>
    <n v="0"/>
    <n v="0"/>
    <n v="0"/>
    <n v="0"/>
    <n v="1021600"/>
    <s v="NINGUNA"/>
    <x v="0"/>
    <n v="30"/>
    <n v="6384779"/>
    <n v="0.04"/>
    <n v="255400"/>
    <n v="0"/>
    <s v="               "/>
    <n v="0"/>
    <s v="               "/>
    <n v="0"/>
    <s v="NINGUNA"/>
    <x v="0"/>
    <n v="30"/>
    <n v="6384779"/>
    <n v="6.9599999999999995E-2"/>
    <s v="5"/>
    <s v="CENTRO TRABAJO 24"/>
    <s v="5711001"/>
    <n v="444400"/>
    <n v="30"/>
    <x v="0"/>
    <n v="6384779"/>
    <n v="0.04"/>
    <n v="255400"/>
    <n v="6384779"/>
    <n v="0"/>
    <n v="0"/>
    <n v="0"/>
    <n v="0"/>
    <n v="0"/>
    <n v="0"/>
    <n v="0"/>
    <n v="0"/>
    <s v="SI"/>
    <s v="  "/>
    <s v="                "/>
  </r>
  <r>
    <x v="0"/>
    <s v="CC"/>
    <x v="151"/>
    <x v="151"/>
    <s v="CASTILLO"/>
    <s v="VALDES"/>
    <s v="JAIR"/>
    <s v=""/>
    <s v="BOGOTA_D.E."/>
    <s v="BOGOTA"/>
    <s v="1. DEPENDIENTE"/>
    <s v="NINGUNO"/>
    <n v="193"/>
    <s v="NO"/>
    <s v="NO"/>
    <m/>
    <s v="Todos los sistemas (ARL, AFP, CCF, EPS)"/>
    <n v="46055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2"/>
    <n v="29"/>
    <n v="3451039"/>
    <n v="0.16"/>
    <n v="552200"/>
    <s v=" "/>
    <n v="0"/>
    <n v="0"/>
    <n v="0"/>
    <n v="0"/>
    <n v="0"/>
    <n v="552200"/>
    <s v="NINGUNA"/>
    <x v="0"/>
    <n v="29"/>
    <n v="3451039"/>
    <n v="0.04"/>
    <n v="138100"/>
    <n v="0"/>
    <s v="               "/>
    <n v="0"/>
    <s v="               "/>
    <n v="0"/>
    <s v="NINGUNA"/>
    <x v="0"/>
    <n v="29"/>
    <n v="3451039"/>
    <n v="6.9599999999999995E-2"/>
    <s v="5"/>
    <s v="CENTRO TRABAJO 24"/>
    <s v="5711001"/>
    <n v="240200"/>
    <n v="29"/>
    <x v="0"/>
    <n v="3451039"/>
    <n v="0.04"/>
    <n v="138100"/>
    <n v="3451039"/>
    <n v="0"/>
    <n v="0"/>
    <n v="0"/>
    <n v="0"/>
    <n v="0"/>
    <n v="0"/>
    <n v="0"/>
    <n v="0"/>
    <s v="SI"/>
    <s v="  "/>
    <s v="                "/>
  </r>
  <r>
    <x v="0"/>
    <s v="CC"/>
    <x v="152"/>
    <x v="152"/>
    <s v="VERA"/>
    <s v="BENAVIDES"/>
    <s v="JHON"/>
    <s v="JADER"/>
    <s v="LA_GUAJIRA"/>
    <s v="RIOHACHA"/>
    <s v="1. DEPENDIENTE"/>
    <s v="NINGUNO"/>
    <n v="202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6"/>
    <n v="3148977"/>
    <n v="0.16"/>
    <n v="503900"/>
    <s v=" "/>
    <n v="0"/>
    <n v="0"/>
    <n v="0"/>
    <n v="0"/>
    <n v="0"/>
    <n v="503900"/>
    <s v="NINGUNA"/>
    <x v="0"/>
    <n v="26"/>
    <n v="3148977"/>
    <n v="0.04"/>
    <n v="126000"/>
    <n v="0"/>
    <s v="               "/>
    <n v="0"/>
    <s v="               "/>
    <n v="0"/>
    <s v="NINGUNA"/>
    <x v="0"/>
    <n v="26"/>
    <n v="3148977"/>
    <n v="6.9599999999999995E-2"/>
    <s v="5"/>
    <s v="CENTRO TRABAJO 30"/>
    <s v="5711001"/>
    <n v="219200"/>
    <n v="26"/>
    <x v="1"/>
    <n v="3559092"/>
    <n v="0.04"/>
    <n v="142400"/>
    <n v="3559092"/>
    <n v="0"/>
    <n v="0"/>
    <n v="0"/>
    <n v="0"/>
    <n v="0"/>
    <n v="0"/>
    <n v="0"/>
    <n v="0"/>
    <s v="SI"/>
    <s v="  "/>
    <s v="                "/>
  </r>
  <r>
    <x v="0"/>
    <s v="CC"/>
    <x v="153"/>
    <x v="153"/>
    <s v="MONTOYA"/>
    <s v="GAVIRIA"/>
    <s v="JORGE"/>
    <s v="ANDRES"/>
    <s v="BOGOTA_D.E."/>
    <s v="BOGOTA"/>
    <s v="1. DEPENDIENTE"/>
    <s v="NINGUNO"/>
    <n v="115"/>
    <s v="NO"/>
    <s v="NO"/>
    <m/>
    <s v="NO"/>
    <m/>
    <s v="Todos los sistemas (ARL, AFP, CCF, EPS)"/>
    <n v="4606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308750"/>
    <s v="NO"/>
    <s v="NO"/>
    <x v="2"/>
    <n v="13"/>
    <n v="1591541"/>
    <n v="0.16"/>
    <n v="254700"/>
    <s v=" "/>
    <n v="0"/>
    <n v="0"/>
    <n v="0"/>
    <n v="0"/>
    <n v="0"/>
    <n v="254700"/>
    <s v="NINGUNA"/>
    <x v="2"/>
    <n v="13"/>
    <n v="1591541"/>
    <n v="0.04"/>
    <n v="63700"/>
    <n v="0"/>
    <s v="               "/>
    <n v="0"/>
    <s v="               "/>
    <n v="0"/>
    <s v="NINGUNA"/>
    <x v="0"/>
    <n v="13"/>
    <n v="1591541"/>
    <n v="6.9599999999999995E-2"/>
    <s v="5"/>
    <s v="CENTRO TRABAJO 24"/>
    <s v="5711001"/>
    <n v="110800"/>
    <n v="13"/>
    <x v="0"/>
    <n v="2179740"/>
    <n v="0.04"/>
    <n v="87200"/>
    <n v="2179740"/>
    <n v="0"/>
    <n v="0"/>
    <n v="0"/>
    <n v="0"/>
    <n v="0"/>
    <n v="0"/>
    <n v="0"/>
    <n v="0"/>
    <s v="SI"/>
    <s v="  "/>
    <s v="                "/>
  </r>
  <r>
    <x v="0"/>
    <s v="CC"/>
    <x v="154"/>
    <x v="154"/>
    <s v="VIDAL"/>
    <s v="LOPEZ"/>
    <s v="EDILBERTO"/>
    <s v="JOSE"/>
    <s v="BOGOTA_D.E."/>
    <s v="BOGOTA"/>
    <s v="1. DEPENDIENTE"/>
    <s v="NINGUNO"/>
    <n v="118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5"/>
    <n v="2058492"/>
    <n v="0.16"/>
    <n v="329400"/>
    <s v=" "/>
    <n v="0"/>
    <n v="0"/>
    <n v="0"/>
    <n v="0"/>
    <n v="0"/>
    <n v="329400"/>
    <s v="NINGUNA"/>
    <x v="0"/>
    <n v="15"/>
    <n v="2058492"/>
    <n v="0.04"/>
    <n v="82400"/>
    <n v="0"/>
    <s v="               "/>
    <n v="0"/>
    <s v="               "/>
    <n v="0"/>
    <s v="NINGUNA"/>
    <x v="0"/>
    <n v="15"/>
    <n v="2058492"/>
    <n v="6.9599999999999995E-2"/>
    <s v="5"/>
    <s v="CENTRO TRABAJO 24"/>
    <s v="5711001"/>
    <n v="143300"/>
    <n v="15"/>
    <x v="0"/>
    <n v="2151588"/>
    <n v="0.04"/>
    <n v="86100"/>
    <n v="2151588"/>
    <n v="0"/>
    <n v="0"/>
    <n v="0"/>
    <n v="0"/>
    <n v="0"/>
    <n v="0"/>
    <n v="0"/>
    <n v="0"/>
    <s v="SI"/>
    <s v="  "/>
    <s v="                "/>
  </r>
  <r>
    <x v="0"/>
    <s v="CC"/>
    <x v="155"/>
    <x v="155"/>
    <s v="RAMIREZ"/>
    <s v="OSPINA"/>
    <s v="JULIAN"/>
    <s v="ADOLFO"/>
    <s v="BOGOTA_D.E."/>
    <s v="BOGOTA"/>
    <s v="1. DEPENDIENTE"/>
    <s v="NINGUNO"/>
    <n v="20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0"/>
    <n v="2811127"/>
    <n v="0.16"/>
    <n v="449800"/>
    <s v=" "/>
    <n v="0"/>
    <n v="0"/>
    <n v="0"/>
    <n v="0"/>
    <n v="0"/>
    <n v="449800"/>
    <s v="NINGUNA"/>
    <x v="2"/>
    <n v="30"/>
    <n v="2811127"/>
    <n v="0.04"/>
    <n v="112500"/>
    <n v="0"/>
    <s v="               "/>
    <n v="0"/>
    <s v="               "/>
    <n v="0"/>
    <s v="NINGUNA"/>
    <x v="0"/>
    <n v="30"/>
    <n v="2811127"/>
    <n v="6.9599999999999995E-2"/>
    <s v="5"/>
    <s v="CENTRO TRABAJO 24"/>
    <s v="5711001"/>
    <n v="195700"/>
    <n v="30"/>
    <x v="0"/>
    <n v="2811127"/>
    <n v="0.04"/>
    <n v="112500"/>
    <n v="2811127"/>
    <n v="0"/>
    <n v="0"/>
    <n v="0"/>
    <n v="0"/>
    <n v="0"/>
    <n v="0"/>
    <n v="0"/>
    <n v="0"/>
    <s v="SI"/>
    <s v="  "/>
    <s v="                "/>
  </r>
  <r>
    <x v="0"/>
    <s v="CC"/>
    <x v="156"/>
    <x v="156"/>
    <s v="MARIN"/>
    <s v="FERREIRA"/>
    <s v="NINI"/>
    <s v="JOHANN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6"/>
    <n v="46061"/>
    <s v="NO"/>
    <s v="NO"/>
    <m/>
    <m/>
    <n v="0"/>
    <m/>
    <m/>
    <s v="NO"/>
    <n v="8569658"/>
    <s v="NO"/>
    <s v="NO"/>
    <x v="0"/>
    <n v="6"/>
    <n v="1713932"/>
    <n v="0.16"/>
    <n v="274300"/>
    <s v=" "/>
    <n v="0"/>
    <n v="0"/>
    <n v="8600"/>
    <n v="8600"/>
    <n v="0"/>
    <n v="291500"/>
    <s v="NINGUNA"/>
    <x v="2"/>
    <n v="6"/>
    <n v="1713932"/>
    <n v="0.04"/>
    <n v="68600"/>
    <n v="0"/>
    <s v="               "/>
    <n v="0"/>
    <s v="               "/>
    <n v="0"/>
    <s v="NINGUNA"/>
    <x v="0"/>
    <n v="6"/>
    <n v="1713932"/>
    <n v="0"/>
    <s v="1"/>
    <s v="CENTRO TRABAJO 24"/>
    <s v="1711001"/>
    <n v="0"/>
    <n v="6"/>
    <x v="0"/>
    <n v="1713932"/>
    <n v="0.04"/>
    <n v="68600"/>
    <n v="1713932"/>
    <n v="0"/>
    <n v="0"/>
    <n v="0"/>
    <n v="0"/>
    <n v="0"/>
    <n v="0"/>
    <n v="0"/>
    <n v="0"/>
    <s v="SI"/>
    <s v="  "/>
    <s v="                "/>
  </r>
  <r>
    <x v="0"/>
    <s v="CC"/>
    <x v="156"/>
    <x v="156"/>
    <s v="MARIN"/>
    <s v="FERREIRA"/>
    <s v="NINI"/>
    <s v="JOHANNA"/>
    <s v="BOGOTA_D.E."/>
    <s v="BOGOTA"/>
    <s v="1. DEPENDIENTE"/>
    <s v="NINGUNO"/>
    <n v="149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8569658"/>
    <s v="NO"/>
    <s v="NO"/>
    <x v="0"/>
    <n v="24"/>
    <n v="6855727"/>
    <n v="0.16"/>
    <n v="1097000"/>
    <s v=" "/>
    <n v="0"/>
    <n v="0"/>
    <n v="34300"/>
    <n v="34300"/>
    <n v="0"/>
    <n v="1165600"/>
    <s v="NINGUNA"/>
    <x v="2"/>
    <n v="24"/>
    <n v="6855727"/>
    <n v="0.04"/>
    <n v="274300"/>
    <n v="0"/>
    <s v="               "/>
    <n v="0"/>
    <s v="               "/>
    <n v="0"/>
    <s v="NINGUNA"/>
    <x v="0"/>
    <n v="24"/>
    <n v="6855727"/>
    <n v="5.2199999999999998E-3"/>
    <s v="1"/>
    <s v="CENTRO TRABAJO 24"/>
    <s v="1711001"/>
    <n v="35800"/>
    <n v="24"/>
    <x v="0"/>
    <n v="6855727"/>
    <n v="0.04"/>
    <n v="274300"/>
    <n v="6855727"/>
    <n v="0"/>
    <n v="0"/>
    <n v="0"/>
    <n v="0"/>
    <n v="0"/>
    <n v="0"/>
    <n v="0"/>
    <n v="0"/>
    <s v="SI"/>
    <s v="  "/>
    <s v="                "/>
  </r>
  <r>
    <x v="0"/>
    <s v="CC"/>
    <x v="157"/>
    <x v="157"/>
    <s v="SANDOVAL"/>
    <s v="SUAREZ"/>
    <s v="ANDRES"/>
    <s v="CAMIL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484143"/>
    <s v="NO"/>
    <s v="NO"/>
    <x v="0"/>
    <n v="30"/>
    <n v="4493062"/>
    <n v="0.16"/>
    <n v="718900"/>
    <s v=" "/>
    <n v="0"/>
    <n v="0"/>
    <n v="0"/>
    <n v="0"/>
    <n v="0"/>
    <n v="718900"/>
    <s v="NINGUNA"/>
    <x v="9"/>
    <n v="30"/>
    <n v="4493062"/>
    <n v="0.04"/>
    <n v="179800"/>
    <n v="0"/>
    <s v="               "/>
    <n v="0"/>
    <s v="               "/>
    <n v="0"/>
    <s v="NINGUNA"/>
    <x v="0"/>
    <n v="30"/>
    <n v="4493062"/>
    <n v="6.9599999999999995E-2"/>
    <s v="5"/>
    <s v="CENTRO TRABAJO 24"/>
    <s v="5711001"/>
    <n v="312800"/>
    <n v="30"/>
    <x v="0"/>
    <n v="4484143"/>
    <n v="0.04"/>
    <n v="179400"/>
    <n v="4484143"/>
    <n v="0"/>
    <n v="0"/>
    <n v="0"/>
    <n v="0"/>
    <n v="0"/>
    <n v="0"/>
    <n v="0"/>
    <n v="0"/>
    <s v="SI"/>
    <s v="  "/>
    <s v="                "/>
  </r>
  <r>
    <x v="0"/>
    <s v="CC"/>
    <x v="158"/>
    <x v="158"/>
    <s v="SALAMANCA"/>
    <s v="URREGO"/>
    <s v="RAUL"/>
    <s v="STIDWA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6"/>
    <n v="18700"/>
    <s v=" "/>
    <n v="0"/>
    <n v="0"/>
    <n v="0"/>
    <n v="0"/>
    <n v="0"/>
    <n v="18700"/>
    <s v="NINGUNA"/>
    <x v="0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58"/>
    <x v="158"/>
    <s v="SALAMANCA"/>
    <s v="URREGO"/>
    <s v="RAUL"/>
    <s v="STIDWA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5"/>
    <n v="46055"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0"/>
    <n v="1"/>
    <n v="58364"/>
    <n v="0.04"/>
    <n v="240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58364"/>
    <n v="0.04"/>
    <n v="2400"/>
    <n v="58364"/>
    <n v="0"/>
    <n v="0"/>
    <n v="0"/>
    <n v="0"/>
    <n v="0"/>
    <n v="0"/>
    <n v="0"/>
    <n v="0"/>
    <s v="SI"/>
    <s v="  "/>
    <s v="                "/>
  </r>
  <r>
    <x v="0"/>
    <s v="CC"/>
    <x v="158"/>
    <x v="158"/>
    <s v="SALAMANCA"/>
    <s v="URREGO"/>
    <s v="RAUL"/>
    <s v="STIDWA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7"/>
    <n v="46058"/>
    <s v="NO"/>
    <m/>
    <m/>
    <s v="NO"/>
    <m/>
    <m/>
    <s v="NO"/>
    <s v="NO"/>
    <m/>
    <m/>
    <n v="0"/>
    <m/>
    <m/>
    <s v="NO"/>
    <n v="1750905"/>
    <s v="NO"/>
    <s v="NO"/>
    <x v="0"/>
    <n v="2"/>
    <n v="122540"/>
    <n v="0.16"/>
    <n v="19700"/>
    <s v=" "/>
    <n v="0"/>
    <n v="0"/>
    <n v="0"/>
    <n v="0"/>
    <n v="0"/>
    <n v="19700"/>
    <s v="NINGUNA"/>
    <x v="0"/>
    <n v="2"/>
    <n v="122540"/>
    <n v="0.04"/>
    <n v="5000"/>
    <n v="0"/>
    <s v="               "/>
    <n v="0"/>
    <s v="               "/>
    <n v="0"/>
    <s v="NINGUNA"/>
    <x v="0"/>
    <n v="2"/>
    <n v="1225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58"/>
    <x v="158"/>
    <s v="SALAMANCA"/>
    <s v="URREGO"/>
    <s v="RAUL"/>
    <s v="STIDWA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0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58"/>
    <x v="158"/>
    <s v="SALAMANCA"/>
    <s v="URREGO"/>
    <s v="RAUL"/>
    <s v="STIDWAR"/>
    <s v="BOGOTA_D.E."/>
    <s v="BOGOTA"/>
    <s v="1. DEPENDIENTE"/>
    <s v="NINGUNO"/>
    <n v="15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4"/>
    <n v="1749313"/>
    <n v="0.16"/>
    <n v="279900"/>
    <s v=" "/>
    <n v="0"/>
    <n v="0"/>
    <n v="0"/>
    <n v="0"/>
    <n v="0"/>
    <n v="279900"/>
    <s v="NINGUNA"/>
    <x v="0"/>
    <n v="24"/>
    <n v="1749313"/>
    <n v="0.04"/>
    <n v="70000"/>
    <n v="0"/>
    <s v="               "/>
    <n v="0"/>
    <s v="               "/>
    <n v="0"/>
    <s v="NINGUNA"/>
    <x v="0"/>
    <n v="24"/>
    <n v="1749313"/>
    <n v="6.9599999999999995E-2"/>
    <s v="5"/>
    <s v="CENTRO TRABAJO 24"/>
    <s v="5711001"/>
    <n v="121800"/>
    <n v="24"/>
    <x v="0"/>
    <n v="1749314"/>
    <n v="0.04"/>
    <n v="70000"/>
    <n v="1749314"/>
    <n v="0"/>
    <n v="0"/>
    <n v="0"/>
    <n v="0"/>
    <n v="0"/>
    <n v="0"/>
    <n v="0"/>
    <n v="0"/>
    <s v="SI"/>
    <s v="  "/>
    <s v="                "/>
  </r>
  <r>
    <x v="0"/>
    <s v="CC"/>
    <x v="159"/>
    <x v="159"/>
    <s v="HOMEZ"/>
    <s v="GONZALEZ"/>
    <s v="JUAN"/>
    <s v="MARTIN"/>
    <s v="BOGOTA_D.E."/>
    <s v="BOGOTA"/>
    <s v="1. DEPENDIENTE"/>
    <s v="NINGUNO"/>
    <n v="191"/>
    <s v="NO"/>
    <s v="NO"/>
    <m/>
    <s v="Todos los sistemas (ARL, AFP, CCF, EPS)"/>
    <n v="46057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7"/>
    <n v="2155604"/>
    <n v="0.16"/>
    <n v="344900"/>
    <s v=" "/>
    <n v="0"/>
    <n v="0"/>
    <n v="0"/>
    <n v="0"/>
    <n v="0"/>
    <n v="344900"/>
    <s v="NINGUNA"/>
    <x v="9"/>
    <n v="27"/>
    <n v="2155604"/>
    <n v="0.04"/>
    <n v="86300"/>
    <n v="0"/>
    <s v="               "/>
    <n v="0"/>
    <s v="               "/>
    <n v="0"/>
    <s v="NINGUNA"/>
    <x v="0"/>
    <n v="27"/>
    <n v="2155604"/>
    <n v="6.9599999999999995E-2"/>
    <s v="5"/>
    <s v="CENTRO TRABAJO 24"/>
    <s v="5711001"/>
    <n v="150100"/>
    <n v="27"/>
    <x v="0"/>
    <n v="2155604"/>
    <n v="0.04"/>
    <n v="86300"/>
    <n v="2155604"/>
    <n v="0"/>
    <n v="0"/>
    <n v="0"/>
    <n v="0"/>
    <n v="0"/>
    <n v="0"/>
    <n v="0"/>
    <n v="0"/>
    <s v="SI"/>
    <s v="  "/>
    <s v="                "/>
  </r>
  <r>
    <x v="0"/>
    <s v="CC"/>
    <x v="160"/>
    <x v="160"/>
    <s v="BEJARANO"/>
    <s v="PEREZ"/>
    <s v="WILBER"/>
    <s v="FERLEY"/>
    <s v="BOGOTA_D.E."/>
    <s v="BOGOTA"/>
    <s v="1. DEPENDIENTE"/>
    <s v="NINGUNO"/>
    <n v="201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102789"/>
    <s v="NO"/>
    <s v="NO"/>
    <x v="0"/>
    <n v="30"/>
    <n v="2353691"/>
    <n v="0.16"/>
    <n v="376600"/>
    <s v=" "/>
    <n v="0"/>
    <n v="0"/>
    <n v="0"/>
    <n v="0"/>
    <n v="0"/>
    <n v="376600"/>
    <s v="NINGUNA"/>
    <x v="0"/>
    <n v="30"/>
    <n v="2353691"/>
    <n v="0.04"/>
    <n v="94200"/>
    <n v="0"/>
    <s v="               "/>
    <n v="0"/>
    <s v="               "/>
    <n v="0"/>
    <s v="NINGUNA"/>
    <x v="0"/>
    <n v="30"/>
    <n v="2353691"/>
    <n v="6.9599999999999995E-2"/>
    <s v="5"/>
    <s v="CENTRO TRABAJO 24"/>
    <s v="5711001"/>
    <n v="163900"/>
    <n v="30"/>
    <x v="0"/>
    <n v="2353691"/>
    <n v="0.04"/>
    <n v="94200"/>
    <n v="2353691"/>
    <n v="0"/>
    <n v="0"/>
    <n v="0"/>
    <n v="0"/>
    <n v="0"/>
    <n v="0"/>
    <n v="0"/>
    <n v="0"/>
    <s v="SI"/>
    <s v="  "/>
    <s v="                "/>
  </r>
  <r>
    <x v="0"/>
    <s v="CC"/>
    <x v="161"/>
    <x v="161"/>
    <s v="TANGARIFE"/>
    <s v="OJEDA"/>
    <s v="WILDER"/>
    <s v="JAVIER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5967083"/>
    <s v="NO"/>
    <s v="NO"/>
    <x v="0"/>
    <n v="30"/>
    <n v="5967083"/>
    <n v="0.16"/>
    <n v="954800"/>
    <s v=" "/>
    <n v="0"/>
    <n v="0"/>
    <n v="0"/>
    <n v="0"/>
    <n v="0"/>
    <n v="954800"/>
    <s v="NINGUNA"/>
    <x v="3"/>
    <n v="30"/>
    <n v="5967083"/>
    <n v="0.04"/>
    <n v="238700"/>
    <n v="0"/>
    <s v="               "/>
    <n v="0"/>
    <s v="               "/>
    <n v="0"/>
    <s v="NINGUNA"/>
    <x v="0"/>
    <n v="30"/>
    <n v="5967083"/>
    <n v="6.9599999999999995E-2"/>
    <s v="5"/>
    <s v="CENTRO TRABAJO 24"/>
    <s v="5711001"/>
    <n v="415400"/>
    <n v="30"/>
    <x v="0"/>
    <n v="5967083"/>
    <n v="0.04"/>
    <n v="238700"/>
    <n v="5967083"/>
    <n v="0"/>
    <n v="0"/>
    <n v="0"/>
    <n v="0"/>
    <n v="0"/>
    <n v="0"/>
    <n v="0"/>
    <n v="0"/>
    <s v="SI"/>
    <s v="  "/>
    <s v="                "/>
  </r>
  <r>
    <x v="0"/>
    <s v="CC"/>
    <x v="162"/>
    <x v="162"/>
    <s v="ROMERO"/>
    <s v="ARIAS"/>
    <s v="CRISTIAN"/>
    <s v="HAROL"/>
    <s v="BOGOTA_D.E."/>
    <s v="BOGOTA"/>
    <s v="1. DEPENDIENTE"/>
    <s v="NINGUNO"/>
    <n v="180"/>
    <s v="NO"/>
    <s v="NO"/>
    <m/>
    <s v="NO"/>
    <m/>
    <s v="NO"/>
    <m/>
    <s v="NO"/>
    <s v="NO"/>
    <s v="SI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4151984"/>
    <s v="NO"/>
    <s v="SI"/>
    <x v="2"/>
    <n v="30"/>
    <n v="4151984"/>
    <n v="0.16"/>
    <n v="664400"/>
    <s v=" "/>
    <n v="0"/>
    <n v="0"/>
    <n v="0"/>
    <n v="0"/>
    <n v="0"/>
    <n v="664400"/>
    <s v="NINGUNA"/>
    <x v="10"/>
    <n v="30"/>
    <n v="4151984"/>
    <n v="0.04"/>
    <n v="166100"/>
    <n v="0"/>
    <s v="               "/>
    <n v="0"/>
    <s v="               "/>
    <n v="0"/>
    <s v="NINGUNA"/>
    <x v="0"/>
    <n v="30"/>
    <n v="4151984"/>
    <n v="6.9599999999999995E-2"/>
    <s v="5"/>
    <s v="CENTRO TRABAJO 24"/>
    <s v="5711001"/>
    <n v="289000"/>
    <n v="30"/>
    <x v="0"/>
    <n v="4151984"/>
    <n v="0.04"/>
    <n v="166100"/>
    <n v="4151984"/>
    <n v="0"/>
    <n v="0"/>
    <n v="0"/>
    <n v="0"/>
    <n v="0"/>
    <n v="0"/>
    <n v="0"/>
    <n v="0"/>
    <s v="SI"/>
    <s v="  "/>
    <s v="                "/>
  </r>
  <r>
    <x v="0"/>
    <s v="CC"/>
    <x v="163"/>
    <x v="163"/>
    <s v="SERRATO"/>
    <s v="ARIAS"/>
    <s v="WILLIAM"/>
    <s v="ALEXANDER"/>
    <s v="BOGOTA_D.E."/>
    <s v="BOGOTA"/>
    <s v="1. DEPENDIENTE"/>
    <s v="NINGUNO"/>
    <n v="19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534205"/>
    <s v="NO"/>
    <s v="NO"/>
    <x v="0"/>
    <n v="30"/>
    <n v="3679590"/>
    <n v="0.16"/>
    <n v="588800"/>
    <s v=" "/>
    <n v="0"/>
    <n v="0"/>
    <n v="0"/>
    <n v="0"/>
    <n v="0"/>
    <n v="588800"/>
    <s v="NINGUNA"/>
    <x v="0"/>
    <n v="30"/>
    <n v="3679590"/>
    <n v="0.04"/>
    <n v="147200"/>
    <n v="0"/>
    <s v="               "/>
    <n v="0"/>
    <s v="               "/>
    <n v="0"/>
    <s v="NINGUNA"/>
    <x v="0"/>
    <n v="30"/>
    <n v="3679590"/>
    <n v="6.9599999999999995E-2"/>
    <s v="5"/>
    <s v="CENTRO TRABAJO 24"/>
    <s v="5711001"/>
    <n v="256100"/>
    <n v="30"/>
    <x v="0"/>
    <n v="3679590"/>
    <n v="0.04"/>
    <n v="147200"/>
    <n v="3679590"/>
    <n v="0"/>
    <n v="0"/>
    <n v="0"/>
    <n v="0"/>
    <n v="0"/>
    <n v="0"/>
    <n v="0"/>
    <n v="0"/>
    <s v="SI"/>
    <s v="  "/>
    <s v="                "/>
  </r>
  <r>
    <x v="0"/>
    <s v="CC"/>
    <x v="164"/>
    <x v="164"/>
    <s v="DIAZ"/>
    <s v="HERRERA"/>
    <s v="FABER"/>
    <s v="ANDREY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4"/>
    <s v="NO"/>
    <s v="NO"/>
    <m/>
    <m/>
    <n v="0"/>
    <m/>
    <m/>
    <s v="NO"/>
    <n v="4484143"/>
    <s v="NO"/>
    <s v="NO"/>
    <x v="0"/>
    <n v="6"/>
    <n v="896829"/>
    <n v="0.16"/>
    <n v="143500"/>
    <s v=" "/>
    <n v="0"/>
    <n v="0"/>
    <n v="0"/>
    <n v="0"/>
    <n v="0"/>
    <n v="143500"/>
    <s v="NINGUNA"/>
    <x v="3"/>
    <n v="6"/>
    <n v="896829"/>
    <n v="0.04"/>
    <n v="35900"/>
    <n v="0"/>
    <s v="               "/>
    <n v="0"/>
    <s v="               "/>
    <n v="0"/>
    <s v="NINGUNA"/>
    <x v="0"/>
    <n v="6"/>
    <n v="896829"/>
    <n v="0"/>
    <s v="5"/>
    <s v="CENTRO TRABAJO 24"/>
    <s v="5711001"/>
    <n v="0"/>
    <n v="6"/>
    <x v="0"/>
    <n v="896829"/>
    <n v="0.04"/>
    <n v="35900"/>
    <n v="896829"/>
    <n v="0"/>
    <n v="0"/>
    <n v="0"/>
    <n v="0"/>
    <n v="0"/>
    <n v="0"/>
    <n v="0"/>
    <n v="0"/>
    <s v="SI"/>
    <s v="  "/>
    <s v="                "/>
  </r>
  <r>
    <x v="0"/>
    <s v="CC"/>
    <x v="164"/>
    <x v="164"/>
    <s v="DIAZ"/>
    <s v="HERRERA"/>
    <s v="FABER"/>
    <s v="ANDREY"/>
    <s v="BOGOTA_D.E."/>
    <s v="BOGOTA"/>
    <s v="1. DEPENDIENTE"/>
    <s v="NINGUNO"/>
    <n v="117"/>
    <s v="NO"/>
    <s v="NO"/>
    <m/>
    <s v="NO"/>
    <m/>
    <s v="Todos los sistemas (ARL, AFP, CCF, EPS)"/>
    <n v="46078"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484143"/>
    <s v="NO"/>
    <s v="NO"/>
    <x v="0"/>
    <n v="19"/>
    <n v="3022149"/>
    <n v="0.16"/>
    <n v="483600"/>
    <s v=" "/>
    <n v="0"/>
    <n v="0"/>
    <n v="0"/>
    <n v="0"/>
    <n v="0"/>
    <n v="483600"/>
    <s v="NINGUNA"/>
    <x v="3"/>
    <n v="19"/>
    <n v="3022149"/>
    <n v="0.04"/>
    <n v="120900"/>
    <n v="0"/>
    <s v="               "/>
    <n v="0"/>
    <s v="               "/>
    <n v="0"/>
    <s v="NINGUNA"/>
    <x v="0"/>
    <n v="19"/>
    <n v="3022149"/>
    <n v="6.9599999999999995E-2"/>
    <s v="5"/>
    <s v="CENTRO TRABAJO 24"/>
    <s v="5711001"/>
    <n v="210400"/>
    <n v="19"/>
    <x v="0"/>
    <n v="3786111"/>
    <n v="0.04"/>
    <n v="151500"/>
    <n v="3786111"/>
    <n v="0"/>
    <n v="0"/>
    <n v="0"/>
    <n v="0"/>
    <n v="0"/>
    <n v="0"/>
    <n v="0"/>
    <n v="0"/>
    <s v="SI"/>
    <s v="  "/>
    <s v="                "/>
  </r>
  <r>
    <x v="0"/>
    <s v="CC"/>
    <x v="165"/>
    <x v="165"/>
    <s v="MORENO"/>
    <s v="DUCUARA"/>
    <s v="ONEIDER"/>
    <s v=""/>
    <s v="BOGOTA_D.E."/>
    <s v="BOGOTA"/>
    <s v="1. DEPENDIENTE"/>
    <s v="NINGUNO"/>
    <n v="20"/>
    <s v="NO"/>
    <s v="NO"/>
    <m/>
    <s v="NO"/>
    <m/>
    <s v="Todos los sistemas (ARL, AFP, CCF, EPS)"/>
    <n v="46055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0"/>
    <n v="2"/>
    <n v="399183"/>
    <n v="0.16"/>
    <n v="63900"/>
    <s v=" "/>
    <n v="0"/>
    <n v="0"/>
    <n v="0"/>
    <n v="0"/>
    <n v="0"/>
    <n v="63900"/>
    <s v="NINGUNA"/>
    <x v="10"/>
    <n v="2"/>
    <n v="399183"/>
    <n v="0.04"/>
    <n v="16000"/>
    <n v="0"/>
    <s v="               "/>
    <n v="0"/>
    <s v="               "/>
    <n v="0"/>
    <s v="NINGUNA"/>
    <x v="0"/>
    <n v="2"/>
    <n v="399183"/>
    <n v="6.9599999999999995E-2"/>
    <s v="5"/>
    <s v="CENTRO TRABAJO 24"/>
    <s v="5711001"/>
    <n v="27800"/>
    <n v="2"/>
    <x v="0"/>
    <n v="545054"/>
    <n v="0.04"/>
    <n v="21900"/>
    <n v="545054"/>
    <n v="0"/>
    <n v="0"/>
    <n v="0"/>
    <n v="0"/>
    <n v="0"/>
    <n v="0"/>
    <n v="0"/>
    <n v="0"/>
    <s v="SI"/>
    <s v="  "/>
    <s v="                "/>
  </r>
  <r>
    <x v="0"/>
    <s v="CC"/>
    <x v="166"/>
    <x v="166"/>
    <s v="MOSCOTE"/>
    <s v="CASTRO"/>
    <s v="EFREN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62"/>
    <s v="NO"/>
    <s v="NO"/>
    <m/>
    <m/>
    <n v="0"/>
    <m/>
    <m/>
    <s v="NO"/>
    <n v="2074908"/>
    <s v="NO"/>
    <s v="NO"/>
    <x v="0"/>
    <n v="5"/>
    <n v="345818"/>
    <n v="0.16"/>
    <n v="55400"/>
    <s v=" "/>
    <n v="0"/>
    <n v="0"/>
    <n v="0"/>
    <n v="0"/>
    <n v="0"/>
    <n v="55400"/>
    <s v="NINGUNA"/>
    <x v="0"/>
    <n v="5"/>
    <n v="345818"/>
    <n v="0.04"/>
    <n v="13900"/>
    <n v="0"/>
    <s v="               "/>
    <n v="0"/>
    <s v="               "/>
    <n v="0"/>
    <s v="NINGUNA"/>
    <x v="0"/>
    <n v="5"/>
    <n v="345818"/>
    <n v="0"/>
    <s v="5"/>
    <s v="CENTRO TRABAJO 30"/>
    <s v="5711001"/>
    <n v="0"/>
    <n v="5"/>
    <x v="1"/>
    <n v="345818"/>
    <n v="0.04"/>
    <n v="13900"/>
    <n v="345818"/>
    <n v="0"/>
    <n v="0"/>
    <n v="0"/>
    <n v="0"/>
    <n v="0"/>
    <n v="0"/>
    <n v="0"/>
    <n v="0"/>
    <s v="SI"/>
    <s v="  "/>
    <s v="                "/>
  </r>
  <r>
    <x v="0"/>
    <s v="CC"/>
    <x v="166"/>
    <x v="166"/>
    <s v="MOSCOTE"/>
    <s v="CASTRO"/>
    <s v="EFREN"/>
    <s v=""/>
    <s v="LA_GUAJIRA"/>
    <s v="RIOHACHA"/>
    <s v="1. DEPENDIENTE"/>
    <s v="NINGUNO"/>
    <n v="17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25"/>
    <n v="1971005"/>
    <n v="0.16"/>
    <n v="315400"/>
    <s v=" "/>
    <n v="0"/>
    <n v="0"/>
    <n v="0"/>
    <n v="0"/>
    <n v="0"/>
    <n v="315400"/>
    <s v="NINGUNA"/>
    <x v="0"/>
    <n v="25"/>
    <n v="1971005"/>
    <n v="0.04"/>
    <n v="78900"/>
    <n v="0"/>
    <s v="               "/>
    <n v="0"/>
    <s v="               "/>
    <n v="0"/>
    <s v="NINGUNA"/>
    <x v="0"/>
    <n v="25"/>
    <n v="1971005"/>
    <n v="6.9599999999999995E-2"/>
    <s v="5"/>
    <s v="CENTRO TRABAJO 30"/>
    <s v="5711001"/>
    <n v="137200"/>
    <n v="25"/>
    <x v="1"/>
    <n v="1971005"/>
    <n v="0.04"/>
    <n v="78900"/>
    <n v="1971005"/>
    <n v="0"/>
    <n v="0"/>
    <n v="0"/>
    <n v="0"/>
    <n v="0"/>
    <n v="0"/>
    <n v="0"/>
    <n v="0"/>
    <s v="SI"/>
    <s v="  "/>
    <s v="                "/>
  </r>
  <r>
    <x v="0"/>
    <s v="CC"/>
    <x v="167"/>
    <x v="167"/>
    <s v="SANDOVAL"/>
    <s v="ZAPATEIRO"/>
    <s v="HENRRY"/>
    <s v="ALEXAND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1"/>
    <n v="58364"/>
    <n v="0.16"/>
    <n v="9400"/>
    <s v=" "/>
    <n v="0"/>
    <n v="0"/>
    <n v="0"/>
    <n v="0"/>
    <n v="0"/>
    <n v="9400"/>
    <s v="NINGUNA"/>
    <x v="2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67"/>
    <x v="167"/>
    <s v="SANDOVAL"/>
    <s v="ZAPATEIRO"/>
    <s v="HENRRY"/>
    <s v="ALEXAND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76"/>
    <n v="46076"/>
    <s v="NO"/>
    <m/>
    <m/>
    <s v="NO"/>
    <m/>
    <m/>
    <s v="NO"/>
    <s v="NO"/>
    <m/>
    <m/>
    <n v="0"/>
    <m/>
    <m/>
    <s v="NO"/>
    <n v="1750905"/>
    <s v="NO"/>
    <s v="NO"/>
    <x v="1"/>
    <n v="1"/>
    <n v="67629"/>
    <n v="0.16"/>
    <n v="10900"/>
    <s v=" "/>
    <n v="0"/>
    <n v="0"/>
    <n v="0"/>
    <n v="0"/>
    <n v="0"/>
    <n v="10900"/>
    <s v="NINGUNA"/>
    <x v="2"/>
    <n v="1"/>
    <n v="67629"/>
    <n v="0.04"/>
    <n v="2800"/>
    <n v="0"/>
    <s v="               "/>
    <n v="0"/>
    <s v="               "/>
    <n v="0"/>
    <s v="NINGUNA"/>
    <x v="0"/>
    <n v="1"/>
    <n v="67629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67"/>
    <x v="167"/>
    <s v="SANDOVAL"/>
    <s v="ZAPATEIRO"/>
    <s v="HENRRY"/>
    <s v="ALEXANDER"/>
    <s v="LA_GUAJIRA"/>
    <s v="RIOHACHA"/>
    <s v="1. DEPENDIENTE"/>
    <s v="NINGUNO"/>
    <n v="19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8"/>
    <n v="1917905"/>
    <n v="0.16"/>
    <n v="306900"/>
    <s v=" "/>
    <n v="0"/>
    <n v="0"/>
    <n v="0"/>
    <n v="0"/>
    <n v="0"/>
    <n v="306900"/>
    <s v="NINGUNA"/>
    <x v="2"/>
    <n v="28"/>
    <n v="1917905"/>
    <n v="0.04"/>
    <n v="76800"/>
    <n v="0"/>
    <s v="               "/>
    <n v="0"/>
    <s v="               "/>
    <n v="0"/>
    <s v="NINGUNA"/>
    <x v="0"/>
    <n v="28"/>
    <n v="1917905"/>
    <n v="6.9599999999999995E-2"/>
    <s v="5"/>
    <s v="CENTRO TRABAJO 30"/>
    <s v="5711001"/>
    <n v="133500"/>
    <n v="28"/>
    <x v="1"/>
    <n v="1917905"/>
    <n v="0.04"/>
    <n v="76800"/>
    <n v="1917905"/>
    <n v="0"/>
    <n v="0"/>
    <n v="0"/>
    <n v="0"/>
    <n v="0"/>
    <n v="0"/>
    <n v="0"/>
    <n v="0"/>
    <s v="SI"/>
    <s v="  "/>
    <s v="                "/>
  </r>
  <r>
    <x v="0"/>
    <s v="CC"/>
    <x v="168"/>
    <x v="168"/>
    <s v="MILLIAN"/>
    <s v="PINTO"/>
    <s v="SANDRA"/>
    <s v="MILEN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6"/>
    <n v="1"/>
    <n v="58364"/>
    <n v="0.04"/>
    <n v="240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58364"/>
    <n v="0.04"/>
    <n v="2400"/>
    <n v="58364"/>
    <n v="0"/>
    <n v="0"/>
    <n v="0"/>
    <n v="0"/>
    <n v="0"/>
    <n v="0"/>
    <n v="0"/>
    <n v="0"/>
    <s v="SI"/>
    <s v="  "/>
    <s v="                "/>
  </r>
  <r>
    <x v="0"/>
    <s v="CC"/>
    <x v="168"/>
    <x v="168"/>
    <s v="MILLIAN"/>
    <s v="PINTO"/>
    <s v="SANDRA"/>
    <s v="MILENA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9"/>
    <n v="1931302"/>
    <n v="0.16"/>
    <n v="309100"/>
    <s v=" "/>
    <n v="0"/>
    <n v="0"/>
    <n v="0"/>
    <n v="0"/>
    <n v="0"/>
    <n v="309100"/>
    <s v="NINGUNA"/>
    <x v="6"/>
    <n v="29"/>
    <n v="1931302"/>
    <n v="0.04"/>
    <n v="77300"/>
    <n v="0"/>
    <s v="               "/>
    <n v="0"/>
    <s v="               "/>
    <n v="0"/>
    <s v="NINGUNA"/>
    <x v="0"/>
    <n v="29"/>
    <n v="1931302"/>
    <n v="6.9599999999999995E-2"/>
    <s v="5"/>
    <s v="CENTRO TRABAJO 30"/>
    <s v="5711001"/>
    <n v="134500"/>
    <n v="29"/>
    <x v="1"/>
    <n v="1931302"/>
    <n v="0.04"/>
    <n v="77300"/>
    <n v="1931302"/>
    <n v="0"/>
    <n v="0"/>
    <n v="0"/>
    <n v="0"/>
    <n v="0"/>
    <n v="0"/>
    <n v="0"/>
    <n v="0"/>
    <s v="SI"/>
    <s v="  "/>
    <s v="                "/>
  </r>
  <r>
    <x v="0"/>
    <s v="CC"/>
    <x v="169"/>
    <x v="169"/>
    <s v="MENDOZA"/>
    <s v="SIERRA"/>
    <s v="ELBERT"/>
    <s v="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2452635"/>
    <n v="0.16"/>
    <n v="392500"/>
    <s v=" "/>
    <n v="0"/>
    <n v="0"/>
    <n v="0"/>
    <n v="0"/>
    <n v="0"/>
    <n v="392500"/>
    <s v="NINGUNA"/>
    <x v="0"/>
    <n v="30"/>
    <n v="2452635"/>
    <n v="0.04"/>
    <n v="98200"/>
    <n v="0"/>
    <s v="               "/>
    <n v="0"/>
    <s v="               "/>
    <n v="0"/>
    <s v="NINGUNA"/>
    <x v="0"/>
    <n v="30"/>
    <n v="2452635"/>
    <n v="6.9599999999999995E-2"/>
    <s v="5"/>
    <s v="CENTRO TRABAJO 30"/>
    <s v="5711001"/>
    <n v="170800"/>
    <n v="30"/>
    <x v="1"/>
    <n v="2452635"/>
    <n v="0.04"/>
    <n v="98200"/>
    <n v="2452635"/>
    <n v="0"/>
    <n v="0"/>
    <n v="0"/>
    <n v="0"/>
    <n v="0"/>
    <n v="0"/>
    <n v="0"/>
    <n v="0"/>
    <s v="SI"/>
    <s v="  "/>
    <s v="                "/>
  </r>
  <r>
    <x v="0"/>
    <s v="CC"/>
    <x v="170"/>
    <x v="170"/>
    <s v="CASTILLO"/>
    <s v="JARABA"/>
    <s v="WILSON"/>
    <s v="OMA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2"/>
    <n v="46062"/>
    <s v="NO"/>
    <m/>
    <m/>
    <s v="NO"/>
    <m/>
    <m/>
    <s v="NO"/>
    <s v="NO"/>
    <m/>
    <m/>
    <n v="0"/>
    <m/>
    <m/>
    <s v="NO"/>
    <n v="2223339"/>
    <s v="NO"/>
    <s v="NO"/>
    <x v="0"/>
    <n v="1"/>
    <n v="86020"/>
    <n v="0.16"/>
    <n v="13800"/>
    <s v=" "/>
    <n v="0"/>
    <n v="0"/>
    <n v="0"/>
    <n v="0"/>
    <n v="0"/>
    <n v="13800"/>
    <s v="NINGUNA"/>
    <x v="0"/>
    <n v="1"/>
    <n v="86020"/>
    <n v="0.04"/>
    <n v="3500"/>
    <n v="0"/>
    <s v="               "/>
    <n v="0"/>
    <s v="               "/>
    <n v="0"/>
    <s v="NINGUNA"/>
    <x v="0"/>
    <n v="1"/>
    <n v="860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70"/>
    <x v="170"/>
    <s v="CASTILLO"/>
    <s v="JARABA"/>
    <s v="WILSON"/>
    <s v="OMAR"/>
    <s v="LA_GUAJIRA"/>
    <s v="RIOHACHA"/>
    <s v="1. DEPENDIENTE"/>
    <s v="NINGUNO"/>
    <n v="191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5"/>
    <n v="2711229"/>
    <n v="0.16"/>
    <n v="433800"/>
    <s v=" "/>
    <n v="0"/>
    <n v="0"/>
    <n v="0"/>
    <n v="0"/>
    <n v="0"/>
    <n v="433800"/>
    <s v="NINGUNA"/>
    <x v="0"/>
    <n v="25"/>
    <n v="2711229"/>
    <n v="0.04"/>
    <n v="108500"/>
    <n v="0"/>
    <s v="               "/>
    <n v="0"/>
    <s v="               "/>
    <n v="0"/>
    <s v="NINGUNA"/>
    <x v="0"/>
    <n v="25"/>
    <n v="2711229"/>
    <n v="6.9599999999999995E-2"/>
    <s v="5"/>
    <s v="CENTRO TRABAJO 30"/>
    <s v="5711001"/>
    <n v="188800"/>
    <n v="25"/>
    <x v="1"/>
    <n v="3175155"/>
    <n v="0.04"/>
    <n v="127100"/>
    <n v="3175155"/>
    <n v="0"/>
    <n v="0"/>
    <n v="0"/>
    <n v="0"/>
    <n v="0"/>
    <n v="0"/>
    <n v="0"/>
    <n v="0"/>
    <s v="SI"/>
    <s v="  "/>
    <s v="                "/>
  </r>
  <r>
    <x v="0"/>
    <s v="CC"/>
    <x v="171"/>
    <x v="171"/>
    <s v="OÑATE"/>
    <s v="PACHECO"/>
    <s v="ANGEL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0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71"/>
    <x v="171"/>
    <s v="OÑATE"/>
    <s v="PACHECO"/>
    <s v="ANGEL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0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71"/>
    <x v="171"/>
    <s v="OÑATE"/>
    <s v="PACHECO"/>
    <s v="ANGEL"/>
    <s v="DAVID"/>
    <s v="LA_GUAJIRA"/>
    <s v="RIOHACHA"/>
    <s v="1. DEPENDIENTE"/>
    <s v="NINGUNO"/>
    <n v="19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8"/>
    <n v="1933024"/>
    <n v="0.16"/>
    <n v="309300"/>
    <s v=" "/>
    <n v="0"/>
    <n v="0"/>
    <n v="0"/>
    <n v="0"/>
    <n v="0"/>
    <n v="309300"/>
    <s v="NINGUNA"/>
    <x v="0"/>
    <n v="28"/>
    <n v="1933024"/>
    <n v="0.04"/>
    <n v="77400"/>
    <n v="0"/>
    <s v="               "/>
    <n v="0"/>
    <s v="               "/>
    <n v="0"/>
    <s v="NINGUNA"/>
    <x v="0"/>
    <n v="28"/>
    <n v="1933024"/>
    <n v="6.9599999999999995E-2"/>
    <s v="5"/>
    <s v="CENTRO TRABAJO 30"/>
    <s v="5711001"/>
    <n v="134600"/>
    <n v="28"/>
    <x v="1"/>
    <n v="1933025"/>
    <n v="0.04"/>
    <n v="77400"/>
    <n v="1933025"/>
    <n v="0"/>
    <n v="0"/>
    <n v="0"/>
    <n v="0"/>
    <n v="0"/>
    <n v="0"/>
    <n v="0"/>
    <n v="0"/>
    <s v="SI"/>
    <s v="  "/>
    <s v="                "/>
  </r>
  <r>
    <x v="0"/>
    <s v="CC"/>
    <x v="172"/>
    <x v="172"/>
    <s v="CASTRO"/>
    <s v="SALTAREN"/>
    <s v="JORGE"/>
    <s v="YAIR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30"/>
    <n v="2110655"/>
    <n v="0.16"/>
    <n v="337800"/>
    <s v=" "/>
    <n v="0"/>
    <n v="0"/>
    <n v="0"/>
    <n v="0"/>
    <n v="0"/>
    <n v="337800"/>
    <s v="NINGUNA"/>
    <x v="6"/>
    <n v="30"/>
    <n v="2110655"/>
    <n v="0.04"/>
    <n v="84500"/>
    <n v="0"/>
    <s v="               "/>
    <n v="0"/>
    <s v="               "/>
    <n v="0"/>
    <s v="NINGUNA"/>
    <x v="0"/>
    <n v="30"/>
    <n v="2110655"/>
    <n v="6.9599999999999995E-2"/>
    <s v="5"/>
    <s v="CENTRO TRABAJO 30"/>
    <s v="5711001"/>
    <n v="147000"/>
    <n v="30"/>
    <x v="1"/>
    <n v="2110655"/>
    <n v="0.04"/>
    <n v="84500"/>
    <n v="2110655"/>
    <n v="0"/>
    <n v="0"/>
    <n v="0"/>
    <n v="0"/>
    <n v="0"/>
    <n v="0"/>
    <n v="0"/>
    <n v="0"/>
    <s v="SI"/>
    <s v="  "/>
    <s v="                "/>
  </r>
  <r>
    <x v="0"/>
    <s v="CC"/>
    <x v="173"/>
    <x v="173"/>
    <s v="TORRES"/>
    <s v="COBO"/>
    <s v="XABIER"/>
    <s v="ALFONS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2452635"/>
    <n v="0.16"/>
    <n v="392500"/>
    <s v=" "/>
    <n v="0"/>
    <n v="0"/>
    <n v="0"/>
    <n v="0"/>
    <n v="0"/>
    <n v="392500"/>
    <s v="NINGUNA"/>
    <x v="6"/>
    <n v="30"/>
    <n v="2452635"/>
    <n v="0.04"/>
    <n v="98200"/>
    <n v="0"/>
    <s v="               "/>
    <n v="0"/>
    <s v="               "/>
    <n v="0"/>
    <s v="NINGUNA"/>
    <x v="0"/>
    <n v="30"/>
    <n v="2452635"/>
    <n v="6.9599999999999995E-2"/>
    <s v="5"/>
    <s v="CENTRO TRABAJO 30"/>
    <s v="5711001"/>
    <n v="170800"/>
    <n v="30"/>
    <x v="1"/>
    <n v="2452635"/>
    <n v="0.04"/>
    <n v="98200"/>
    <n v="2452635"/>
    <n v="0"/>
    <n v="0"/>
    <n v="0"/>
    <n v="0"/>
    <n v="0"/>
    <n v="0"/>
    <n v="0"/>
    <n v="0"/>
    <s v="SI"/>
    <s v="  "/>
    <s v="                "/>
  </r>
  <r>
    <x v="0"/>
    <s v="CC"/>
    <x v="174"/>
    <x v="174"/>
    <s v="ARRIETA"/>
    <s v="NIEVES"/>
    <s v="JESUS"/>
    <s v="EDUARDO"/>
    <s v="LA_GUAJIRA"/>
    <s v="RIOHACHA"/>
    <s v="1. DEPENDIENTE"/>
    <s v="NINGUNO"/>
    <n v="197"/>
    <s v="NO"/>
    <s v="NO"/>
    <m/>
    <s v="Todos los sistemas (ARL, AFP, CCF, EPS)"/>
    <n v="46055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9"/>
    <n v="1898548"/>
    <n v="0.16"/>
    <n v="303800"/>
    <s v=" "/>
    <n v="0"/>
    <n v="0"/>
    <n v="0"/>
    <n v="0"/>
    <n v="0"/>
    <n v="303800"/>
    <s v="NINGUNA"/>
    <x v="4"/>
    <n v="29"/>
    <n v="1898548"/>
    <n v="0.04"/>
    <n v="76000"/>
    <n v="0"/>
    <s v="               "/>
    <n v="0"/>
    <s v="               "/>
    <n v="0"/>
    <s v="NINGUNA"/>
    <x v="0"/>
    <n v="29"/>
    <n v="1898548"/>
    <n v="6.9599999999999995E-2"/>
    <s v="5"/>
    <s v="CENTRO TRABAJO 30"/>
    <s v="5711001"/>
    <n v="132200"/>
    <n v="29"/>
    <x v="1"/>
    <n v="1898548"/>
    <n v="0.04"/>
    <n v="76000"/>
    <n v="1898548"/>
    <n v="0"/>
    <n v="0"/>
    <n v="0"/>
    <n v="0"/>
    <n v="0"/>
    <n v="0"/>
    <n v="0"/>
    <n v="0"/>
    <s v="SI"/>
    <s v="  "/>
    <s v="                "/>
  </r>
  <r>
    <x v="0"/>
    <s v="CC"/>
    <x v="175"/>
    <x v="175"/>
    <s v="NIETO"/>
    <s v="EPINAYU"/>
    <s v="YOJANER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6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"/>
    <n v="178560"/>
    <n v="0.16"/>
    <n v="28600"/>
    <s v=" "/>
    <n v="0"/>
    <n v="0"/>
    <n v="0"/>
    <n v="0"/>
    <n v="0"/>
    <n v="28600"/>
    <s v="NINGUNA"/>
    <x v="3"/>
    <n v="3"/>
    <n v="178560"/>
    <n v="0"/>
    <n v="0"/>
    <n v="0"/>
    <s v="               "/>
    <n v="0"/>
    <s v="               "/>
    <n v="0"/>
    <s v="NINGUNA"/>
    <x v="0"/>
    <n v="3"/>
    <n v="178560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75"/>
    <x v="175"/>
    <s v="NIETO"/>
    <s v="EPINAYU"/>
    <s v="YOJANER"/>
    <s v="ANDRES"/>
    <s v="BOGOTA_D.E."/>
    <s v="BOGOTA"/>
    <s v="1. DEPENDIENTE"/>
    <s v="NINGUNO"/>
    <n v="13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0"/>
    <n v="560122"/>
    <n v="0.16"/>
    <n v="89700"/>
    <s v=" "/>
    <n v="0"/>
    <n v="0"/>
    <n v="0"/>
    <n v="0"/>
    <n v="0"/>
    <n v="89700"/>
    <s v="NINGUNA"/>
    <x v="3"/>
    <n v="0"/>
    <n v="560122"/>
    <n v="0.04"/>
    <n v="22500"/>
    <n v="0"/>
    <s v="               "/>
    <n v="0"/>
    <s v="               "/>
    <n v="0"/>
    <s v="NINGUNA"/>
    <x v="0"/>
    <n v="0"/>
    <n v="560122"/>
    <n v="6.9599999999999995E-2"/>
    <s v="5"/>
    <s v="CENTRO TRABAJO 24"/>
    <s v="5711001"/>
    <n v="39000"/>
    <n v="0"/>
    <x v="0"/>
    <n v="1159900"/>
    <n v="0.04"/>
    <n v="46400"/>
    <n v="1159900"/>
    <n v="0"/>
    <n v="0"/>
    <n v="0"/>
    <n v="0"/>
    <n v="0"/>
    <n v="0"/>
    <n v="0"/>
    <n v="0"/>
    <s v="SI"/>
    <s v="  "/>
    <s v="                "/>
  </r>
  <r>
    <x v="0"/>
    <s v="CC"/>
    <x v="176"/>
    <x v="176"/>
    <s v="FERNANDEZ"/>
    <s v="DAZA"/>
    <s v="ALVARO"/>
    <s v="JAVI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5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2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76"/>
    <x v="176"/>
    <s v="FERNANDEZ"/>
    <s v="DAZA"/>
    <s v="ALVARO"/>
    <s v="JAVI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2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76"/>
    <x v="176"/>
    <s v="FERNANDEZ"/>
    <s v="DAZA"/>
    <s v="ALVARO"/>
    <s v="JAVIER"/>
    <s v="LA_GUAJIRA"/>
    <s v="RIOHACHA"/>
    <s v="1. DEPENDIENTE"/>
    <s v="NINGUNO"/>
    <n v="19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8"/>
    <n v="1947748"/>
    <n v="0.16"/>
    <n v="311700"/>
    <s v=" "/>
    <n v="0"/>
    <n v="0"/>
    <n v="0"/>
    <n v="0"/>
    <n v="0"/>
    <n v="311700"/>
    <s v="NINGUNA"/>
    <x v="2"/>
    <n v="28"/>
    <n v="1947748"/>
    <n v="0.04"/>
    <n v="78000"/>
    <n v="0"/>
    <s v="               "/>
    <n v="0"/>
    <s v="               "/>
    <n v="0"/>
    <s v="NINGUNA"/>
    <x v="0"/>
    <n v="28"/>
    <n v="1947748"/>
    <n v="6.9599999999999995E-2"/>
    <s v="5"/>
    <s v="CENTRO TRABAJO 30"/>
    <s v="5711001"/>
    <n v="135600"/>
    <n v="28"/>
    <x v="1"/>
    <n v="1947749"/>
    <n v="0.04"/>
    <n v="78000"/>
    <n v="1947749"/>
    <n v="0"/>
    <n v="0"/>
    <n v="0"/>
    <n v="0"/>
    <n v="0"/>
    <n v="0"/>
    <n v="0"/>
    <n v="0"/>
    <s v="SI"/>
    <s v="  "/>
    <s v="                "/>
  </r>
  <r>
    <x v="0"/>
    <s v="CC"/>
    <x v="177"/>
    <x v="177"/>
    <s v="CAMPO"/>
    <s v="DE LIMA"/>
    <s v="LUIS"/>
    <s v="CARLO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6"/>
    <n v="18700"/>
    <s v=" "/>
    <n v="0"/>
    <n v="0"/>
    <n v="0"/>
    <n v="0"/>
    <n v="0"/>
    <n v="18700"/>
    <s v="NINGUNA"/>
    <x v="0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77"/>
    <x v="177"/>
    <s v="CAMPO"/>
    <s v="DE LIMA"/>
    <s v="LUIS"/>
    <s v="CARLO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8"/>
    <n v="46060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"/>
    <n v="175091"/>
    <n v="0.16"/>
    <n v="28100"/>
    <s v=" "/>
    <n v="0"/>
    <n v="0"/>
    <n v="0"/>
    <n v="0"/>
    <n v="0"/>
    <n v="28100"/>
    <s v="NINGUNA"/>
    <x v="0"/>
    <n v="3"/>
    <n v="175091"/>
    <n v="0"/>
    <n v="0"/>
    <n v="0"/>
    <s v="               "/>
    <n v="0"/>
    <s v="               "/>
    <n v="0"/>
    <s v="NINGUNA"/>
    <x v="0"/>
    <n v="3"/>
    <n v="175091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77"/>
    <x v="177"/>
    <s v="CAMPO"/>
    <s v="DE LIMA"/>
    <s v="LUIS"/>
    <s v="CARLOS"/>
    <s v="BOGOTA_D.E."/>
    <s v="BOGOTA"/>
    <s v="1. DEPENDIENTE"/>
    <s v="NINGUNO"/>
    <n v="35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635725"/>
    <n v="0.16"/>
    <n v="101800"/>
    <s v=" "/>
    <n v="0"/>
    <n v="0"/>
    <n v="0"/>
    <n v="0"/>
    <n v="0"/>
    <n v="101800"/>
    <s v="NINGUNA"/>
    <x v="0"/>
    <n v="2"/>
    <n v="635725"/>
    <n v="0.04"/>
    <n v="25500"/>
    <n v="0"/>
    <s v="               "/>
    <n v="0"/>
    <s v="               "/>
    <n v="0"/>
    <s v="NINGUNA"/>
    <x v="0"/>
    <n v="2"/>
    <n v="635725"/>
    <n v="6.9599999999999995E-2"/>
    <s v="5"/>
    <s v="CENTRO TRABAJO 24"/>
    <s v="5711001"/>
    <n v="44300"/>
    <n v="2"/>
    <x v="0"/>
    <n v="1052570"/>
    <n v="0.04"/>
    <n v="42200"/>
    <n v="1052570"/>
    <n v="0"/>
    <n v="0"/>
    <n v="0"/>
    <n v="0"/>
    <n v="0"/>
    <n v="0"/>
    <n v="0"/>
    <n v="0"/>
    <s v="SI"/>
    <s v="  "/>
    <s v="                "/>
  </r>
  <r>
    <x v="0"/>
    <s v="CC"/>
    <x v="178"/>
    <x v="178"/>
    <s v="PUELLO"/>
    <s v="MADERA"/>
    <s v="FRANCISCO"/>
    <s v="JAVI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0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78"/>
    <x v="178"/>
    <s v="PUELLO"/>
    <s v="MADERA"/>
    <s v="FRANCISCO"/>
    <s v="JAVIER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9"/>
    <n v="2001338"/>
    <n v="0.16"/>
    <n v="320300"/>
    <s v=" "/>
    <n v="0"/>
    <n v="0"/>
    <n v="0"/>
    <n v="0"/>
    <n v="0"/>
    <n v="320300"/>
    <s v="NINGUNA"/>
    <x v="0"/>
    <n v="29"/>
    <n v="2001338"/>
    <n v="0.04"/>
    <n v="80100"/>
    <n v="0"/>
    <s v="               "/>
    <n v="0"/>
    <s v="               "/>
    <n v="0"/>
    <s v="NINGUNA"/>
    <x v="0"/>
    <n v="29"/>
    <n v="2001338"/>
    <n v="6.9599999999999995E-2"/>
    <s v="5"/>
    <s v="CENTRO TRABAJO 30"/>
    <s v="5711001"/>
    <n v="139300"/>
    <n v="29"/>
    <x v="1"/>
    <n v="2001338"/>
    <n v="0.04"/>
    <n v="80100"/>
    <n v="2001338"/>
    <n v="0"/>
    <n v="0"/>
    <n v="0"/>
    <n v="0"/>
    <n v="0"/>
    <n v="0"/>
    <n v="0"/>
    <n v="0"/>
    <s v="SI"/>
    <s v="  "/>
    <s v="                "/>
  </r>
  <r>
    <x v="0"/>
    <s v="CC"/>
    <x v="179"/>
    <x v="179"/>
    <s v="OÑATE"/>
    <s v="VALDEBLANQUEZ"/>
    <s v="YOIMER"/>
    <s v="JASIR"/>
    <s v="LA_GUAJIRA"/>
    <s v="RIOHACHA"/>
    <s v="1. DEPENDIENTE"/>
    <s v="NINGUNO"/>
    <n v="20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30"/>
    <n v="2363980"/>
    <n v="0.16"/>
    <n v="378300"/>
    <s v=" "/>
    <n v="0"/>
    <n v="0"/>
    <n v="0"/>
    <n v="0"/>
    <n v="0"/>
    <n v="378300"/>
    <s v="NINGUNA"/>
    <x v="0"/>
    <n v="30"/>
    <n v="2363980"/>
    <n v="0.04"/>
    <n v="94600"/>
    <n v="0"/>
    <s v="               "/>
    <n v="0"/>
    <s v="               "/>
    <n v="0"/>
    <s v="NINGUNA"/>
    <x v="0"/>
    <n v="30"/>
    <n v="2363980"/>
    <n v="6.9599999999999995E-2"/>
    <s v="5"/>
    <s v="CENTRO TRABAJO 30"/>
    <s v="5711001"/>
    <n v="164600"/>
    <n v="30"/>
    <x v="1"/>
    <n v="2363980"/>
    <n v="0.04"/>
    <n v="94600"/>
    <n v="2363980"/>
    <n v="0"/>
    <n v="0"/>
    <n v="0"/>
    <n v="0"/>
    <n v="0"/>
    <n v="0"/>
    <n v="0"/>
    <n v="0"/>
    <s v="SI"/>
    <s v="  "/>
    <s v="                "/>
  </r>
  <r>
    <x v="0"/>
    <s v="CC"/>
    <x v="180"/>
    <x v="180"/>
    <s v="ORTIZ"/>
    <s v="LUQUE"/>
    <s v="LUIS"/>
    <s v="FABIAN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1"/>
    <n v="58364"/>
    <n v="0.16"/>
    <n v="9400"/>
    <s v=" "/>
    <n v="0"/>
    <n v="0"/>
    <n v="0"/>
    <n v="0"/>
    <n v="0"/>
    <n v="9400"/>
    <s v="NINGUNA"/>
    <x v="0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80"/>
    <x v="180"/>
    <s v="ORTIZ"/>
    <s v="LUQUE"/>
    <s v="LUIS"/>
    <s v="FABIAN"/>
    <s v="LA_GUAJIRA"/>
    <s v="RIOHACHA"/>
    <s v="1. DEPENDIENTE"/>
    <s v="NINGUNO"/>
    <n v="21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9"/>
    <n v="2095847"/>
    <n v="0.16"/>
    <n v="335400"/>
    <s v=" "/>
    <n v="0"/>
    <n v="0"/>
    <n v="0"/>
    <n v="0"/>
    <n v="0"/>
    <n v="335400"/>
    <s v="NINGUNA"/>
    <x v="0"/>
    <n v="29"/>
    <n v="2095847"/>
    <n v="0.04"/>
    <n v="83900"/>
    <n v="0"/>
    <s v="               "/>
    <n v="0"/>
    <s v="               "/>
    <n v="0"/>
    <s v="NINGUNA"/>
    <x v="0"/>
    <n v="29"/>
    <n v="2095847"/>
    <n v="6.9599999999999995E-2"/>
    <s v="5"/>
    <s v="CENTRO TRABAJO 30"/>
    <s v="5711001"/>
    <n v="145900"/>
    <n v="29"/>
    <x v="1"/>
    <n v="2095847"/>
    <n v="0.04"/>
    <n v="83900"/>
    <n v="2095847"/>
    <n v="0"/>
    <n v="0"/>
    <n v="0"/>
    <n v="0"/>
    <n v="0"/>
    <n v="0"/>
    <n v="0"/>
    <n v="0"/>
    <s v="SI"/>
    <s v="  "/>
    <s v="                "/>
  </r>
  <r>
    <x v="0"/>
    <s v="CC"/>
    <x v="181"/>
    <x v="181"/>
    <s v="ORTIZ"/>
    <s v="GUAURIYU"/>
    <s v="CARLOS"/>
    <s v="ANTONI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9"/>
    <n v="46069"/>
    <s v="NO"/>
    <m/>
    <m/>
    <s v="NO"/>
    <m/>
    <m/>
    <s v="NO"/>
    <s v="NO"/>
    <m/>
    <m/>
    <n v="0"/>
    <m/>
    <m/>
    <s v="NO"/>
    <n v="1750905"/>
    <s v="NO"/>
    <s v="NO"/>
    <x v="0"/>
    <n v="1"/>
    <n v="67629"/>
    <n v="0.16"/>
    <n v="10900"/>
    <s v=" "/>
    <n v="0"/>
    <n v="0"/>
    <n v="0"/>
    <n v="0"/>
    <n v="0"/>
    <n v="10900"/>
    <s v="NINGUNA"/>
    <x v="7"/>
    <n v="1"/>
    <n v="67629"/>
    <n v="0.04"/>
    <n v="2800"/>
    <n v="0"/>
    <s v="               "/>
    <n v="0"/>
    <s v="               "/>
    <n v="0"/>
    <s v="NINGUNA"/>
    <x v="0"/>
    <n v="1"/>
    <n v="67629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81"/>
    <x v="181"/>
    <s v="ORTIZ"/>
    <s v="GUAURIYU"/>
    <s v="CARLOS"/>
    <s v="ANTONIO"/>
    <s v="LA_GUAJIRA"/>
    <s v="RIOHACHA"/>
    <s v="1. DEPENDIENTE"/>
    <s v="NINGUNO"/>
    <n v="19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9"/>
    <n v="2001338"/>
    <n v="0.16"/>
    <n v="320300"/>
    <s v=" "/>
    <n v="0"/>
    <n v="0"/>
    <n v="0"/>
    <n v="0"/>
    <n v="0"/>
    <n v="320300"/>
    <s v="NINGUNA"/>
    <x v="7"/>
    <n v="29"/>
    <n v="2001338"/>
    <n v="0.04"/>
    <n v="80100"/>
    <n v="0"/>
    <s v="               "/>
    <n v="0"/>
    <s v="               "/>
    <n v="0"/>
    <s v="NINGUNA"/>
    <x v="0"/>
    <n v="29"/>
    <n v="2001338"/>
    <n v="6.9599999999999995E-2"/>
    <s v="5"/>
    <s v="CENTRO TRABAJO 30"/>
    <s v="5711001"/>
    <n v="139300"/>
    <n v="29"/>
    <x v="1"/>
    <n v="2001338"/>
    <n v="0.04"/>
    <n v="80100"/>
    <n v="2001338"/>
    <n v="0"/>
    <n v="0"/>
    <n v="0"/>
    <n v="0"/>
    <n v="0"/>
    <n v="0"/>
    <n v="0"/>
    <n v="0"/>
    <s v="SI"/>
    <s v="  "/>
    <s v="                "/>
  </r>
  <r>
    <x v="0"/>
    <s v="CC"/>
    <x v="182"/>
    <x v="182"/>
    <s v="PUCHAINA"/>
    <s v="IPUANA"/>
    <s v="JUAN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4"/>
    <n v="1"/>
    <n v="59520"/>
    <n v="0.16"/>
    <n v="9600"/>
    <s v=" "/>
    <n v="0"/>
    <n v="0"/>
    <n v="0"/>
    <n v="0"/>
    <n v="0"/>
    <n v="9600"/>
    <s v="NINGUNA"/>
    <x v="0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82"/>
    <x v="182"/>
    <s v="PUCHAINA"/>
    <s v="IPUANA"/>
    <s v="JUAN"/>
    <s v="DAVID"/>
    <s v="LA_GUAJIRA"/>
    <s v="RIOHACHA"/>
    <s v="1. DEPENDIENTE"/>
    <s v="NINGUNO"/>
    <n v="20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4"/>
    <n v="29"/>
    <n v="2086644"/>
    <n v="0.16"/>
    <n v="333900"/>
    <s v=" "/>
    <n v="0"/>
    <n v="0"/>
    <n v="0"/>
    <n v="0"/>
    <n v="0"/>
    <n v="333900"/>
    <s v="NINGUNA"/>
    <x v="0"/>
    <n v="29"/>
    <n v="2086644"/>
    <n v="0.04"/>
    <n v="83500"/>
    <n v="0"/>
    <s v="               "/>
    <n v="0"/>
    <s v="               "/>
    <n v="0"/>
    <s v="NINGUNA"/>
    <x v="0"/>
    <n v="29"/>
    <n v="2086644"/>
    <n v="6.9599999999999995E-2"/>
    <s v="5"/>
    <s v="CENTRO TRABAJO 30"/>
    <s v="5711001"/>
    <n v="145300"/>
    <n v="29"/>
    <x v="1"/>
    <n v="2086644"/>
    <n v="0.04"/>
    <n v="83500"/>
    <n v="2086644"/>
    <n v="0"/>
    <n v="0"/>
    <n v="0"/>
    <n v="0"/>
    <n v="0"/>
    <n v="0"/>
    <n v="0"/>
    <n v="0"/>
    <s v="SI"/>
    <s v="  "/>
    <s v="                "/>
  </r>
  <r>
    <x v="0"/>
    <s v="CC"/>
    <x v="183"/>
    <x v="183"/>
    <s v="FUENTES"/>
    <s v="PADILLA"/>
    <s v="ROBINSO"/>
    <s v="RAFAEL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20626"/>
    <n v="0.16"/>
    <n v="323400"/>
    <s v=" "/>
    <n v="0"/>
    <n v="0"/>
    <n v="0"/>
    <n v="0"/>
    <n v="0"/>
    <n v="323400"/>
    <s v="NINGUNA"/>
    <x v="2"/>
    <n v="30"/>
    <n v="2020626"/>
    <n v="0.04"/>
    <n v="80900"/>
    <n v="0"/>
    <s v="               "/>
    <n v="0"/>
    <s v="               "/>
    <n v="0"/>
    <s v="NINGUNA"/>
    <x v="0"/>
    <n v="30"/>
    <n v="2020626"/>
    <n v="6.9599999999999995E-2"/>
    <s v="5"/>
    <s v="CENTRO TRABAJO 30"/>
    <s v="5711001"/>
    <n v="140700"/>
    <n v="30"/>
    <x v="1"/>
    <n v="2020626"/>
    <n v="0.04"/>
    <n v="80900"/>
    <n v="2020626"/>
    <n v="0"/>
    <n v="0"/>
    <n v="0"/>
    <n v="0"/>
    <n v="0"/>
    <n v="0"/>
    <n v="0"/>
    <n v="0"/>
    <s v="SI"/>
    <s v="  "/>
    <s v="                "/>
  </r>
  <r>
    <x v="0"/>
    <s v="CC"/>
    <x v="184"/>
    <x v="184"/>
    <s v="VALDEBLANQUEZ"/>
    <s v="DUARTE"/>
    <s v="JORGE"/>
    <s v="ELIECER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69651"/>
    <n v="0.16"/>
    <n v="331200"/>
    <s v=" "/>
    <n v="0"/>
    <n v="0"/>
    <n v="0"/>
    <n v="0"/>
    <n v="0"/>
    <n v="331200"/>
    <s v="NINGUNA"/>
    <x v="0"/>
    <n v="30"/>
    <n v="2069651"/>
    <n v="0.04"/>
    <n v="82800"/>
    <n v="0"/>
    <s v="               "/>
    <n v="0"/>
    <s v="               "/>
    <n v="0"/>
    <s v="NINGUNA"/>
    <x v="0"/>
    <n v="30"/>
    <n v="2069651"/>
    <n v="6.9599999999999995E-2"/>
    <s v="5"/>
    <s v="CENTRO TRABAJO 30"/>
    <s v="5711001"/>
    <n v="144100"/>
    <n v="30"/>
    <x v="1"/>
    <n v="2069651"/>
    <n v="0.04"/>
    <n v="82800"/>
    <n v="2069651"/>
    <n v="0"/>
    <n v="0"/>
    <n v="0"/>
    <n v="0"/>
    <n v="0"/>
    <n v="0"/>
    <n v="0"/>
    <n v="0"/>
    <s v="SI"/>
    <s v="  "/>
    <s v="                "/>
  </r>
  <r>
    <x v="0"/>
    <s v="CC"/>
    <x v="185"/>
    <x v="185"/>
    <s v="ALMANZA"/>
    <s v="CUEVA"/>
    <s v="EDER"/>
    <s v="MANUEL"/>
    <s v="LA_GUAJIRA"/>
    <s v="RIOHACHA"/>
    <s v="1. DEPENDIENTE"/>
    <s v="NINGUNO"/>
    <n v="2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4"/>
    <n v="30"/>
    <n v="2593227"/>
    <n v="0.16"/>
    <n v="415000"/>
    <s v=" "/>
    <n v="0"/>
    <n v="0"/>
    <n v="0"/>
    <n v="0"/>
    <n v="0"/>
    <n v="415000"/>
    <s v="NINGUNA"/>
    <x v="2"/>
    <n v="30"/>
    <n v="2593227"/>
    <n v="0.04"/>
    <n v="103800"/>
    <n v="0"/>
    <s v="               "/>
    <n v="0"/>
    <s v="               "/>
    <n v="0"/>
    <s v="NINGUNA"/>
    <x v="0"/>
    <n v="30"/>
    <n v="2593227"/>
    <n v="6.9599999999999995E-2"/>
    <s v="5"/>
    <s v="CENTRO TRABAJO 30"/>
    <s v="5711001"/>
    <n v="180500"/>
    <n v="30"/>
    <x v="1"/>
    <n v="2454425"/>
    <n v="0.04"/>
    <n v="98200"/>
    <n v="2454425"/>
    <n v="0"/>
    <n v="0"/>
    <n v="0"/>
    <n v="0"/>
    <n v="0"/>
    <n v="0"/>
    <n v="0"/>
    <n v="0"/>
    <s v="SI"/>
    <s v="  "/>
    <s v="                "/>
  </r>
  <r>
    <x v="0"/>
    <s v="CC"/>
    <x v="186"/>
    <x v="186"/>
    <s v="URIYU"/>
    <s v="RAMIREZ"/>
    <s v="JHONY"/>
    <s v=""/>
    <s v="LA_GUAJIRA"/>
    <s v="RIOHACHA"/>
    <s v="1. DEPENDIENTE"/>
    <s v="NINGUNO"/>
    <n v="145"/>
    <s v="NO"/>
    <s v="NO"/>
    <m/>
    <s v="Todos los sistemas (ARL, AFP, CCF, EPS)"/>
    <n v="46062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2"/>
    <n v="1383482"/>
    <n v="0.16"/>
    <n v="221400"/>
    <s v=" "/>
    <n v="0"/>
    <n v="0"/>
    <n v="0"/>
    <n v="0"/>
    <n v="0"/>
    <n v="221400"/>
    <s v="NINGUNA"/>
    <x v="7"/>
    <n v="22"/>
    <n v="1383482"/>
    <n v="0.04"/>
    <n v="55400"/>
    <n v="0"/>
    <s v="               "/>
    <n v="0"/>
    <s v="               "/>
    <n v="0"/>
    <s v="NINGUNA"/>
    <x v="0"/>
    <n v="22"/>
    <n v="1383482"/>
    <n v="6.9599999999999995E-2"/>
    <s v="5"/>
    <s v="CENTRO TRABAJO 30"/>
    <s v="5711001"/>
    <n v="96300"/>
    <n v="22"/>
    <x v="1"/>
    <n v="1383482"/>
    <n v="0.04"/>
    <n v="55400"/>
    <n v="1383482"/>
    <n v="0"/>
    <n v="0"/>
    <n v="0"/>
    <n v="0"/>
    <n v="0"/>
    <n v="0"/>
    <n v="0"/>
    <n v="0"/>
    <s v="SI"/>
    <s v="  "/>
    <s v="                "/>
  </r>
  <r>
    <x v="0"/>
    <s v="CC"/>
    <x v="187"/>
    <x v="187"/>
    <s v="LOPEZ"/>
    <s v="BARRANCO"/>
    <s v="CARLOS"/>
    <s v="MARIO"/>
    <s v="LA_GUAJIRA"/>
    <s v="RIOHACHA"/>
    <s v="1. DEPENDIENTE"/>
    <s v="NINGUNO"/>
    <n v="21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0"/>
    <n v="30"/>
    <n v="2318969"/>
    <n v="0.16"/>
    <n v="371100"/>
    <s v=" "/>
    <n v="0"/>
    <n v="0"/>
    <n v="0"/>
    <n v="0"/>
    <n v="0"/>
    <n v="371100"/>
    <s v="NINGUNA"/>
    <x v="0"/>
    <n v="30"/>
    <n v="2318969"/>
    <n v="0.04"/>
    <n v="92800"/>
    <n v="0"/>
    <s v="               "/>
    <n v="0"/>
    <s v="               "/>
    <n v="0"/>
    <s v="NINGUNA"/>
    <x v="0"/>
    <n v="30"/>
    <n v="2318969"/>
    <n v="6.9599999999999995E-2"/>
    <s v="5"/>
    <s v="CENTRO TRABAJO 30"/>
    <s v="5711001"/>
    <n v="161500"/>
    <n v="30"/>
    <x v="1"/>
    <n v="2318969"/>
    <n v="0.04"/>
    <n v="92800"/>
    <n v="2318969"/>
    <n v="0"/>
    <n v="0"/>
    <n v="0"/>
    <n v="0"/>
    <n v="0"/>
    <n v="0"/>
    <n v="0"/>
    <n v="0"/>
    <s v="SI"/>
    <s v="  "/>
    <s v="                "/>
  </r>
  <r>
    <x v="0"/>
    <s v="CC"/>
    <x v="188"/>
    <x v="188"/>
    <s v="DE ARMAS"/>
    <s v="GOMEZ"/>
    <s v="EDILFRED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0"/>
    <n v="1"/>
    <n v="59520"/>
    <n v="0.04"/>
    <n v="2400"/>
    <n v="0"/>
    <s v="               "/>
    <n v="0"/>
    <s v="               "/>
    <n v="0"/>
    <s v="NINGUNA"/>
    <x v="0"/>
    <n v="1"/>
    <n v="59520"/>
    <n v="0"/>
    <s v="5"/>
    <s v="CENTRO TRABAJO 30"/>
    <s v="5711001"/>
    <n v="0"/>
    <n v="1"/>
    <x v="1"/>
    <n v="59520"/>
    <n v="0.04"/>
    <n v="2400"/>
    <n v="59520"/>
    <n v="0"/>
    <n v="0"/>
    <n v="0"/>
    <n v="0"/>
    <n v="0"/>
    <n v="0"/>
    <n v="0"/>
    <n v="0"/>
    <s v="SI"/>
    <s v="  "/>
    <s v="                "/>
  </r>
  <r>
    <x v="0"/>
    <s v="CC"/>
    <x v="188"/>
    <x v="188"/>
    <s v="DE ARMAS"/>
    <s v="GOMEZ"/>
    <s v="EDILFRED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0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88"/>
    <x v="188"/>
    <s v="DE ARMAS"/>
    <s v="GOMEZ"/>
    <s v="EDILFREDO"/>
    <s v=""/>
    <s v="LA_GUAJIRA"/>
    <s v="RIOHACHA"/>
    <s v="1. DEPENDIENTE"/>
    <s v="NINGUNO"/>
    <n v="19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8"/>
    <n v="1971325"/>
    <n v="0.16"/>
    <n v="315500"/>
    <s v=" "/>
    <n v="0"/>
    <n v="0"/>
    <n v="0"/>
    <n v="0"/>
    <n v="0"/>
    <n v="315500"/>
    <s v="NINGUNA"/>
    <x v="0"/>
    <n v="28"/>
    <n v="1971325"/>
    <n v="0.04"/>
    <n v="78900"/>
    <n v="0"/>
    <s v="               "/>
    <n v="0"/>
    <s v="               "/>
    <n v="0"/>
    <s v="NINGUNA"/>
    <x v="0"/>
    <n v="28"/>
    <n v="1971325"/>
    <n v="6.9599999999999995E-2"/>
    <s v="5"/>
    <s v="CENTRO TRABAJO 30"/>
    <s v="5711001"/>
    <n v="137300"/>
    <n v="28"/>
    <x v="1"/>
    <n v="1971325"/>
    <n v="0.04"/>
    <n v="78900"/>
    <n v="1971325"/>
    <n v="0"/>
    <n v="0"/>
    <n v="0"/>
    <n v="0"/>
    <n v="0"/>
    <n v="0"/>
    <n v="0"/>
    <n v="0"/>
    <s v="SI"/>
    <s v="  "/>
    <s v="                "/>
  </r>
  <r>
    <x v="0"/>
    <s v="CC"/>
    <x v="189"/>
    <x v="189"/>
    <s v="LUQUEZ"/>
    <s v="ROYERO"/>
    <s v="GABRIEL"/>
    <s v="DAVID"/>
    <s v="LA_GUAJIRA"/>
    <s v="RIOHACH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119392"/>
    <n v="0.16"/>
    <n v="339200"/>
    <s v=" "/>
    <n v="0"/>
    <n v="0"/>
    <n v="0"/>
    <n v="0"/>
    <n v="0"/>
    <n v="339200"/>
    <s v="NINGUNA"/>
    <x v="7"/>
    <n v="30"/>
    <n v="2119392"/>
    <n v="0.04"/>
    <n v="84800"/>
    <n v="0"/>
    <s v="               "/>
    <n v="0"/>
    <s v="               "/>
    <n v="0"/>
    <s v="NINGUNA"/>
    <x v="0"/>
    <n v="30"/>
    <n v="2119392"/>
    <n v="6.9599999999999995E-2"/>
    <s v="5"/>
    <s v="CENTRO TRABAJO 30"/>
    <s v="5711001"/>
    <n v="147600"/>
    <n v="30"/>
    <x v="1"/>
    <n v="2119392"/>
    <n v="0.04"/>
    <n v="84800"/>
    <n v="2119392"/>
    <n v="0"/>
    <n v="0"/>
    <n v="0"/>
    <n v="0"/>
    <n v="0"/>
    <n v="0"/>
    <n v="0"/>
    <n v="0"/>
    <s v="SI"/>
    <s v="  "/>
    <s v="                "/>
  </r>
  <r>
    <x v="0"/>
    <s v="CC"/>
    <x v="190"/>
    <x v="190"/>
    <s v="OLIVELLA"/>
    <s v="CORDOBA"/>
    <s v="FERNANDO"/>
    <s v="AUGUS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7"/>
    <n v="46057"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0"/>
    <n v="1"/>
    <n v="58364"/>
    <n v="0.04"/>
    <n v="240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58364"/>
    <n v="0.04"/>
    <n v="2400"/>
    <n v="58364"/>
    <n v="0"/>
    <n v="0"/>
    <n v="0"/>
    <n v="0"/>
    <n v="0"/>
    <n v="0"/>
    <n v="0"/>
    <n v="0"/>
    <s v="SI"/>
    <s v="  "/>
    <s v="                "/>
  </r>
  <r>
    <x v="0"/>
    <s v="CC"/>
    <x v="190"/>
    <x v="190"/>
    <s v="OLIVELLA"/>
    <s v="CORDOBA"/>
    <s v="FERNANDO"/>
    <s v="AUGUSTO"/>
    <s v="LA_GUAJIRA"/>
    <s v="RIOHACHA"/>
    <s v="1. DEPENDIENTE"/>
    <s v="NINGUNO"/>
    <n v="42"/>
    <s v="NO"/>
    <s v="NO"/>
    <m/>
    <s v="NO"/>
    <m/>
    <s v="Todos los sistemas (ARL, AFP, CCF, EPS)"/>
    <n v="46057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"/>
    <n v="499406"/>
    <n v="0.16"/>
    <n v="80000"/>
    <s v=" "/>
    <n v="0"/>
    <n v="0"/>
    <n v="0"/>
    <n v="0"/>
    <n v="0"/>
    <n v="80000"/>
    <s v="NINGUNA"/>
    <x v="0"/>
    <n v="3"/>
    <n v="499406"/>
    <n v="0.04"/>
    <n v="20000"/>
    <n v="0"/>
    <s v="               "/>
    <n v="0"/>
    <s v="               "/>
    <n v="0"/>
    <s v="NINGUNA"/>
    <x v="0"/>
    <n v="3"/>
    <n v="499406"/>
    <n v="6.9599999999999995E-2"/>
    <s v="5"/>
    <s v="CENTRO TRABAJO 30"/>
    <s v="5711001"/>
    <n v="34800"/>
    <n v="3"/>
    <x v="1"/>
    <n v="544663"/>
    <n v="0.04"/>
    <n v="21800"/>
    <n v="544663"/>
    <n v="0"/>
    <n v="0"/>
    <n v="0"/>
    <n v="0"/>
    <n v="0"/>
    <n v="0"/>
    <n v="0"/>
    <n v="0"/>
    <s v="SI"/>
    <s v="  "/>
    <s v="                "/>
  </r>
  <r>
    <x v="0"/>
    <s v="CC"/>
    <x v="191"/>
    <x v="191"/>
    <s v="SAENZ"/>
    <s v="SUAREZ"/>
    <s v="JULIETH"/>
    <s v="FERNANDA"/>
    <s v="BOGOTA_D.E."/>
    <s v="BOGOTA"/>
    <s v="1. DEPENDIENTE"/>
    <s v="NINGUNO"/>
    <n v="135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977061"/>
    <s v="NO"/>
    <s v="NO"/>
    <x v="0"/>
    <n v="21"/>
    <n v="4011811"/>
    <n v="0.16"/>
    <n v="641900"/>
    <s v=" "/>
    <n v="0"/>
    <n v="0"/>
    <n v="0"/>
    <n v="0"/>
    <n v="0"/>
    <n v="641900"/>
    <s v="NINGUNA"/>
    <x v="4"/>
    <n v="21"/>
    <n v="4011811"/>
    <n v="0.04"/>
    <n v="160500"/>
    <n v="0"/>
    <s v="               "/>
    <n v="0"/>
    <s v="               "/>
    <n v="0"/>
    <s v="NINGUNA"/>
    <x v="0"/>
    <n v="21"/>
    <n v="4011811"/>
    <n v="6.9599999999999995E-2"/>
    <s v="5"/>
    <s v="CENTRO TRABAJO 24"/>
    <s v="5711001"/>
    <n v="279300"/>
    <n v="21"/>
    <x v="0"/>
    <n v="4144152"/>
    <n v="0.04"/>
    <n v="165800"/>
    <n v="4144152"/>
    <n v="0"/>
    <n v="0"/>
    <n v="0"/>
    <n v="0"/>
    <n v="0"/>
    <n v="0"/>
    <n v="0"/>
    <n v="0"/>
    <s v="SI"/>
    <s v="  "/>
    <s v="                "/>
  </r>
  <r>
    <x v="0"/>
    <s v="CC"/>
    <x v="192"/>
    <x v="192"/>
    <s v="GAMEZ"/>
    <s v="PEÑARANDA"/>
    <s v="CARLOS"/>
    <s v="JUNIO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1"/>
    <n v="58364"/>
    <n v="0.16"/>
    <n v="9400"/>
    <s v=" "/>
    <n v="0"/>
    <n v="0"/>
    <n v="0"/>
    <n v="0"/>
    <n v="0"/>
    <n v="9400"/>
    <s v="NINGUNA"/>
    <x v="2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192"/>
    <x v="192"/>
    <s v="GAMEZ"/>
    <s v="PEÑARANDA"/>
    <s v="CARLOS"/>
    <s v="JUNIOR"/>
    <s v="LA_GUAJIRA"/>
    <s v="RIOHACHA"/>
    <s v="1. DEPENDIENTE"/>
    <s v="NINGUNO"/>
    <n v="135"/>
    <s v="NO"/>
    <s v="NO"/>
    <m/>
    <s v="Todos los sistemas (ARL, AFP, CCF, EPS)"/>
    <n v="46062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1"/>
    <n v="1315169"/>
    <n v="0.16"/>
    <n v="210500"/>
    <s v=" "/>
    <n v="0"/>
    <n v="0"/>
    <n v="0"/>
    <n v="0"/>
    <n v="0"/>
    <n v="210500"/>
    <s v="NINGUNA"/>
    <x v="2"/>
    <n v="21"/>
    <n v="1315169"/>
    <n v="0.04"/>
    <n v="52700"/>
    <n v="0"/>
    <s v="               "/>
    <n v="0"/>
    <s v="               "/>
    <n v="0"/>
    <s v="NINGUNA"/>
    <x v="0"/>
    <n v="21"/>
    <n v="1315169"/>
    <n v="6.9599999999999995E-2"/>
    <s v="5"/>
    <s v="CENTRO TRABAJO 30"/>
    <s v="5711001"/>
    <n v="91600"/>
    <n v="21"/>
    <x v="1"/>
    <n v="1315169"/>
    <n v="0.04"/>
    <n v="52700"/>
    <n v="1315169"/>
    <n v="0"/>
    <n v="0"/>
    <n v="0"/>
    <n v="0"/>
    <n v="0"/>
    <n v="0"/>
    <n v="0"/>
    <n v="0"/>
    <s v="SI"/>
    <s v="  "/>
    <s v="                "/>
  </r>
  <r>
    <x v="0"/>
    <s v="CC"/>
    <x v="193"/>
    <x v="193"/>
    <s v="BALLESTA"/>
    <s v="PERTUZ"/>
    <s v="ESNEIDER"/>
    <s v="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30"/>
    <n v="2024684"/>
    <n v="0.16"/>
    <n v="324000"/>
    <s v=" "/>
    <n v="0"/>
    <n v="0"/>
    <n v="0"/>
    <n v="0"/>
    <n v="0"/>
    <n v="324000"/>
    <s v="NINGUNA"/>
    <x v="9"/>
    <n v="30"/>
    <n v="2024684"/>
    <n v="0.04"/>
    <n v="81000"/>
    <n v="0"/>
    <s v="               "/>
    <n v="0"/>
    <s v="               "/>
    <n v="0"/>
    <s v="NINGUNA"/>
    <x v="0"/>
    <n v="30"/>
    <n v="2024684"/>
    <n v="6.9599999999999995E-2"/>
    <s v="5"/>
    <s v="CENTRO TRABAJO 30"/>
    <s v="5711001"/>
    <n v="141000"/>
    <n v="30"/>
    <x v="1"/>
    <n v="2024684"/>
    <n v="0.04"/>
    <n v="81000"/>
    <n v="2024684"/>
    <n v="0"/>
    <n v="0"/>
    <n v="0"/>
    <n v="0"/>
    <n v="0"/>
    <n v="0"/>
    <n v="0"/>
    <n v="0"/>
    <s v="SI"/>
    <s v="  "/>
    <s v="                "/>
  </r>
  <r>
    <x v="0"/>
    <s v="CC"/>
    <x v="194"/>
    <x v="194"/>
    <s v="SARMIENTO"/>
    <s v="DAZA"/>
    <s v="CARLOS"/>
    <s v="DARI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060658"/>
    <n v="0.16"/>
    <n v="329800"/>
    <s v=" "/>
    <n v="0"/>
    <n v="0"/>
    <n v="0"/>
    <n v="0"/>
    <n v="0"/>
    <n v="329800"/>
    <s v="NINGUNA"/>
    <x v="2"/>
    <n v="30"/>
    <n v="2060658"/>
    <n v="0.04"/>
    <n v="82500"/>
    <n v="0"/>
    <s v="               "/>
    <n v="0"/>
    <s v="               "/>
    <n v="0"/>
    <s v="NINGUNA"/>
    <x v="0"/>
    <n v="30"/>
    <n v="2060658"/>
    <n v="6.9599999999999995E-2"/>
    <s v="5"/>
    <s v="CENTRO TRABAJO 30"/>
    <s v="5711001"/>
    <n v="143500"/>
    <n v="30"/>
    <x v="1"/>
    <n v="2060658"/>
    <n v="0.04"/>
    <n v="82500"/>
    <n v="2060658"/>
    <n v="0"/>
    <n v="0"/>
    <n v="0"/>
    <n v="0"/>
    <n v="0"/>
    <n v="0"/>
    <n v="0"/>
    <n v="0"/>
    <s v="SI"/>
    <s v="  "/>
    <s v="                "/>
  </r>
  <r>
    <x v="0"/>
    <s v="CC"/>
    <x v="195"/>
    <x v="195"/>
    <s v="ARGUELLES"/>
    <s v="BRITO"/>
    <s v="ANDERSON"/>
    <s v="YESID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060658"/>
    <n v="0.16"/>
    <n v="329800"/>
    <s v=" "/>
    <n v="0"/>
    <n v="0"/>
    <n v="0"/>
    <n v="0"/>
    <n v="0"/>
    <n v="329800"/>
    <s v="NINGUNA"/>
    <x v="2"/>
    <n v="30"/>
    <n v="2060658"/>
    <n v="0.04"/>
    <n v="82500"/>
    <n v="0"/>
    <s v="               "/>
    <n v="0"/>
    <s v="               "/>
    <n v="0"/>
    <s v="NINGUNA"/>
    <x v="0"/>
    <n v="30"/>
    <n v="2060658"/>
    <n v="6.9599999999999995E-2"/>
    <s v="5"/>
    <s v="CENTRO TRABAJO 30"/>
    <s v="5711001"/>
    <n v="143500"/>
    <n v="30"/>
    <x v="1"/>
    <n v="2060658"/>
    <n v="0.04"/>
    <n v="82500"/>
    <n v="2060658"/>
    <n v="0"/>
    <n v="0"/>
    <n v="0"/>
    <n v="0"/>
    <n v="0"/>
    <n v="0"/>
    <n v="0"/>
    <n v="0"/>
    <s v="SI"/>
    <s v="  "/>
    <s v="                "/>
  </r>
  <r>
    <x v="0"/>
    <s v="CC"/>
    <x v="196"/>
    <x v="196"/>
    <s v="YEPES"/>
    <s v="TOLOZA"/>
    <s v="ALI"/>
    <s v="DAVID"/>
    <s v="LA_GUAJIRA"/>
    <s v="RIOHACHA"/>
    <s v="1. DEPENDIENTE"/>
    <s v="NINGUNO"/>
    <n v="200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6"/>
    <n v="1971705"/>
    <n v="0.16"/>
    <n v="315500"/>
    <s v=" "/>
    <n v="0"/>
    <n v="0"/>
    <n v="0"/>
    <n v="0"/>
    <n v="0"/>
    <n v="315500"/>
    <s v="NINGUNA"/>
    <x v="0"/>
    <n v="26"/>
    <n v="1971705"/>
    <n v="0.04"/>
    <n v="78900"/>
    <n v="0"/>
    <s v="               "/>
    <n v="0"/>
    <s v="               "/>
    <n v="0"/>
    <s v="NINGUNA"/>
    <x v="0"/>
    <n v="26"/>
    <n v="1971705"/>
    <n v="6.9599999999999995E-2"/>
    <s v="5"/>
    <s v="CENTRO TRABAJO 30"/>
    <s v="5711001"/>
    <n v="137300"/>
    <n v="26"/>
    <x v="1"/>
    <n v="2077291"/>
    <n v="0.04"/>
    <n v="83100"/>
    <n v="2077291"/>
    <n v="0"/>
    <n v="0"/>
    <n v="0"/>
    <n v="0"/>
    <n v="0"/>
    <n v="0"/>
    <n v="0"/>
    <n v="0"/>
    <s v="SI"/>
    <s v="  "/>
    <s v="                "/>
  </r>
  <r>
    <x v="0"/>
    <s v="CC"/>
    <x v="197"/>
    <x v="197"/>
    <s v="CAMPUZANO"/>
    <s v="BELTRAN"/>
    <s v="ELIO"/>
    <s v="ENRIQUE"/>
    <s v="LA_GUAJIRA"/>
    <s v="RIOHACHA"/>
    <s v="1. DEPENDIENTE"/>
    <s v="NINGUNO"/>
    <n v="202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6"/>
    <n v="2031061"/>
    <n v="0.16"/>
    <n v="325000"/>
    <s v=" "/>
    <n v="0"/>
    <n v="0"/>
    <n v="0"/>
    <n v="0"/>
    <n v="0"/>
    <n v="325000"/>
    <s v="NINGUNA"/>
    <x v="0"/>
    <n v="26"/>
    <n v="2031061"/>
    <n v="0.04"/>
    <n v="81300"/>
    <n v="0"/>
    <s v="               "/>
    <n v="0"/>
    <s v="               "/>
    <n v="0"/>
    <s v="NINGUNA"/>
    <x v="0"/>
    <n v="26"/>
    <n v="2031061"/>
    <n v="6.9599999999999995E-2"/>
    <s v="5"/>
    <s v="CENTRO TRABAJO 30"/>
    <s v="5711001"/>
    <n v="141400"/>
    <n v="26"/>
    <x v="1"/>
    <n v="2139597"/>
    <n v="0.04"/>
    <n v="85600"/>
    <n v="2139597"/>
    <n v="0"/>
    <n v="0"/>
    <n v="0"/>
    <n v="0"/>
    <n v="0"/>
    <n v="0"/>
    <n v="0"/>
    <n v="0"/>
    <s v="SI"/>
    <s v="  "/>
    <s v="                "/>
  </r>
  <r>
    <x v="0"/>
    <s v="CC"/>
    <x v="198"/>
    <x v="198"/>
    <s v="BRITO"/>
    <s v="PUSAINA"/>
    <s v="ALDO"/>
    <s v="ALBERTO"/>
    <s v="LA_GUAJIRA"/>
    <s v="RIOHACHA"/>
    <s v="1. DEPENDIENTE"/>
    <s v="NINGUNO"/>
    <n v="26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895244"/>
    <s v="NO"/>
    <s v="NO"/>
    <x v="0"/>
    <n v="30"/>
    <n v="2803669"/>
    <n v="0.16"/>
    <n v="448600"/>
    <s v=" "/>
    <n v="0"/>
    <n v="0"/>
    <n v="0"/>
    <n v="0"/>
    <n v="0"/>
    <n v="448600"/>
    <s v="NINGUNA"/>
    <x v="7"/>
    <n v="30"/>
    <n v="2803669"/>
    <n v="0.04"/>
    <n v="112200"/>
    <n v="0"/>
    <s v="               "/>
    <n v="0"/>
    <s v="               "/>
    <n v="0"/>
    <s v="NINGUNA"/>
    <x v="0"/>
    <n v="30"/>
    <n v="2803669"/>
    <n v="6.9599999999999995E-2"/>
    <s v="5"/>
    <s v="CENTRO TRABAJO 30"/>
    <s v="5711001"/>
    <n v="195200"/>
    <n v="30"/>
    <x v="1"/>
    <n v="2803669"/>
    <n v="0.04"/>
    <n v="112200"/>
    <n v="2803669"/>
    <n v="0"/>
    <n v="0"/>
    <n v="0"/>
    <n v="0"/>
    <n v="0"/>
    <n v="0"/>
    <n v="0"/>
    <n v="0"/>
    <s v="SI"/>
    <s v="  "/>
    <s v="                "/>
  </r>
  <r>
    <x v="0"/>
    <s v="CC"/>
    <x v="199"/>
    <x v="199"/>
    <s v="VIDAL"/>
    <s v="IPUANA"/>
    <s v="FADUL"/>
    <s v="ANDRES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110655"/>
    <n v="0.16"/>
    <n v="337800"/>
    <s v=" "/>
    <n v="0"/>
    <n v="0"/>
    <n v="0"/>
    <n v="0"/>
    <n v="0"/>
    <n v="337800"/>
    <s v="NINGUNA"/>
    <x v="3"/>
    <n v="30"/>
    <n v="2110655"/>
    <n v="0.04"/>
    <n v="84500"/>
    <n v="0"/>
    <s v="               "/>
    <n v="0"/>
    <s v="               "/>
    <n v="0"/>
    <s v="NINGUNA"/>
    <x v="0"/>
    <n v="30"/>
    <n v="2110655"/>
    <n v="6.9599999999999995E-2"/>
    <s v="5"/>
    <s v="CENTRO TRABAJO 30"/>
    <s v="5711001"/>
    <n v="147000"/>
    <n v="30"/>
    <x v="1"/>
    <n v="2110655"/>
    <n v="0.04"/>
    <n v="84500"/>
    <n v="2110655"/>
    <n v="0"/>
    <n v="0"/>
    <n v="0"/>
    <n v="0"/>
    <n v="0"/>
    <n v="0"/>
    <n v="0"/>
    <n v="0"/>
    <s v="SI"/>
    <s v="  "/>
    <s v="                "/>
  </r>
  <r>
    <x v="0"/>
    <s v="CC"/>
    <x v="200"/>
    <x v="200"/>
    <s v="CURVELO"/>
    <s v="TRILLO"/>
    <s v="FRANCISCO"/>
    <s v="ANTONIO"/>
    <s v="LA_GUAJIRA"/>
    <s v="RIOHACH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181673"/>
    <n v="0.16"/>
    <n v="349100"/>
    <s v=" "/>
    <n v="0"/>
    <n v="0"/>
    <n v="0"/>
    <n v="0"/>
    <n v="0"/>
    <n v="349100"/>
    <s v="NINGUNA"/>
    <x v="3"/>
    <n v="30"/>
    <n v="2181673"/>
    <n v="0.04"/>
    <n v="87300"/>
    <n v="0"/>
    <s v="               "/>
    <n v="0"/>
    <s v="               "/>
    <n v="0"/>
    <s v="NINGUNA"/>
    <x v="0"/>
    <n v="30"/>
    <n v="2181673"/>
    <n v="6.9599999999999995E-2"/>
    <s v="5"/>
    <s v="CENTRO TRABAJO 30"/>
    <s v="5711001"/>
    <n v="151900"/>
    <n v="30"/>
    <x v="1"/>
    <n v="2181673"/>
    <n v="0.04"/>
    <n v="87300"/>
    <n v="2181673"/>
    <n v="0"/>
    <n v="0"/>
    <n v="0"/>
    <n v="0"/>
    <n v="0"/>
    <n v="0"/>
    <n v="0"/>
    <n v="0"/>
    <s v="SI"/>
    <s v="  "/>
    <s v="                "/>
  </r>
  <r>
    <x v="0"/>
    <s v="CC"/>
    <x v="201"/>
    <x v="201"/>
    <s v="AVELLANEDA"/>
    <s v="CHOACHI"/>
    <s v="JUAN"/>
    <s v="CARLOS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11201102"/>
    <s v="NO"/>
    <s v="NO"/>
    <x v="1"/>
    <n v="30"/>
    <n v="11201102"/>
    <n v="0.16"/>
    <n v="1792200"/>
    <s v=" "/>
    <n v="0"/>
    <n v="0"/>
    <n v="56100"/>
    <n v="56100"/>
    <n v="0"/>
    <n v="1904400"/>
    <s v="NINGUNA"/>
    <x v="10"/>
    <n v="30"/>
    <n v="11201102"/>
    <n v="0.04"/>
    <n v="448100"/>
    <n v="0"/>
    <s v="               "/>
    <n v="0"/>
    <s v="               "/>
    <n v="0"/>
    <s v="NINGUNA"/>
    <x v="0"/>
    <n v="30"/>
    <n v="11201102"/>
    <n v="6.9599999999999995E-2"/>
    <s v="5"/>
    <s v="CENTRO TRABAJO 24"/>
    <s v="5711001"/>
    <n v="779600"/>
    <n v="30"/>
    <x v="0"/>
    <n v="11201102"/>
    <n v="0.04"/>
    <n v="448100"/>
    <n v="11201102"/>
    <n v="0"/>
    <n v="0"/>
    <n v="0"/>
    <n v="0"/>
    <n v="0"/>
    <n v="0"/>
    <n v="0"/>
    <n v="0"/>
    <s v="SI"/>
    <s v="  "/>
    <s v="                "/>
  </r>
  <r>
    <x v="0"/>
    <s v="CC"/>
    <x v="202"/>
    <x v="202"/>
    <s v="MONTERO"/>
    <s v="DIAZ"/>
    <s v="BERNARDO"/>
    <s v="ALFRE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2"/>
    <s v="NO"/>
    <s v="NO"/>
    <m/>
    <m/>
    <n v="0"/>
    <m/>
    <m/>
    <s v="NO"/>
    <n v="3743280"/>
    <s v="NO"/>
    <s v="NO"/>
    <x v="0"/>
    <n v="4"/>
    <n v="499104"/>
    <n v="0.16"/>
    <n v="79900"/>
    <s v=" "/>
    <n v="0"/>
    <n v="0"/>
    <n v="0"/>
    <n v="0"/>
    <n v="0"/>
    <n v="79900"/>
    <s v="NINGUNA"/>
    <x v="2"/>
    <n v="4"/>
    <n v="499104"/>
    <n v="0.04"/>
    <n v="20000"/>
    <n v="0"/>
    <s v="               "/>
    <n v="0"/>
    <s v="               "/>
    <n v="0"/>
    <s v="NINGUNA"/>
    <x v="0"/>
    <n v="4"/>
    <n v="499104"/>
    <n v="0"/>
    <s v="5"/>
    <s v="CENTRO TRABAJO 24"/>
    <s v="5711001"/>
    <n v="0"/>
    <n v="4"/>
    <x v="0"/>
    <n v="499104"/>
    <n v="0.04"/>
    <n v="20000"/>
    <n v="499104"/>
    <n v="0"/>
    <n v="0"/>
    <n v="0"/>
    <n v="0"/>
    <n v="0"/>
    <n v="0"/>
    <n v="0"/>
    <n v="0"/>
    <s v="SI"/>
    <s v="  "/>
    <s v="                "/>
  </r>
  <r>
    <x v="0"/>
    <s v="CC"/>
    <x v="202"/>
    <x v="202"/>
    <s v="MONTERO"/>
    <s v="DIAZ"/>
    <s v="BERNARDO"/>
    <s v="ALFREDO"/>
    <s v="BOGOTA_D.E."/>
    <s v="BOGOTA"/>
    <s v="1. DEPENDIENTE"/>
    <s v="NINGUNO"/>
    <n v="144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3743280"/>
    <s v="NO"/>
    <s v="NO"/>
    <x v="0"/>
    <n v="26"/>
    <n v="3366388"/>
    <n v="0.16"/>
    <n v="538700"/>
    <s v=" "/>
    <n v="0"/>
    <n v="0"/>
    <n v="0"/>
    <n v="0"/>
    <n v="0"/>
    <n v="538700"/>
    <s v="NINGUNA"/>
    <x v="2"/>
    <n v="26"/>
    <n v="3366388"/>
    <n v="0.04"/>
    <n v="134700"/>
    <n v="0"/>
    <s v="               "/>
    <n v="0"/>
    <s v="               "/>
    <n v="0"/>
    <s v="NINGUNA"/>
    <x v="0"/>
    <n v="26"/>
    <n v="3366388"/>
    <n v="6.9599999999999995E-2"/>
    <s v="5"/>
    <s v="CENTRO TRABAJO 24"/>
    <s v="5711001"/>
    <n v="234400"/>
    <n v="26"/>
    <x v="0"/>
    <n v="3244176"/>
    <n v="0.04"/>
    <n v="129800"/>
    <n v="3244176"/>
    <n v="0"/>
    <n v="0"/>
    <n v="0"/>
    <n v="0"/>
    <n v="0"/>
    <n v="0"/>
    <n v="0"/>
    <n v="0"/>
    <s v="SI"/>
    <s v="  "/>
    <s v="                "/>
  </r>
  <r>
    <x v="0"/>
    <s v="CC"/>
    <x v="203"/>
    <x v="203"/>
    <s v="MORON"/>
    <s v="PINTO"/>
    <s v="HENRY"/>
    <s v="DAVID"/>
    <s v="LA_GUAJIRA"/>
    <s v="RIOHACHA"/>
    <s v="1. DEPENDIENTE"/>
    <s v="NINGUNO"/>
    <n v="202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6"/>
    <n v="2031061"/>
    <n v="0.16"/>
    <n v="325000"/>
    <s v=" "/>
    <n v="0"/>
    <n v="0"/>
    <n v="0"/>
    <n v="0"/>
    <n v="0"/>
    <n v="325000"/>
    <s v="NINGUNA"/>
    <x v="7"/>
    <n v="26"/>
    <n v="2031061"/>
    <n v="0.04"/>
    <n v="81300"/>
    <n v="0"/>
    <s v="               "/>
    <n v="0"/>
    <s v="               "/>
    <n v="0"/>
    <s v="NINGUNA"/>
    <x v="0"/>
    <n v="26"/>
    <n v="2031061"/>
    <n v="6.9599999999999995E-2"/>
    <s v="5"/>
    <s v="CENTRO TRABAJO 30"/>
    <s v="5711001"/>
    <n v="141400"/>
    <n v="26"/>
    <x v="1"/>
    <n v="2139597"/>
    <n v="0.04"/>
    <n v="85600"/>
    <n v="2139597"/>
    <n v="0"/>
    <n v="0"/>
    <n v="0"/>
    <n v="0"/>
    <n v="0"/>
    <n v="0"/>
    <n v="0"/>
    <n v="0"/>
    <s v="SI"/>
    <s v="  "/>
    <s v="                "/>
  </r>
  <r>
    <x v="0"/>
    <s v="CC"/>
    <x v="204"/>
    <x v="204"/>
    <s v="LOPEZ"/>
    <s v="FERNANDEZ"/>
    <s v="JOSE"/>
    <s v="JAFETH"/>
    <s v="BOGOTA_D.E."/>
    <s v="BOGOT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1989666"/>
    <n v="0.16"/>
    <n v="318400"/>
    <s v=" "/>
    <n v="0"/>
    <n v="0"/>
    <n v="0"/>
    <n v="0"/>
    <n v="0"/>
    <n v="318400"/>
    <s v="NINGUNA"/>
    <x v="10"/>
    <n v="30"/>
    <n v="1989666"/>
    <n v="0.04"/>
    <n v="79600"/>
    <n v="0"/>
    <s v="               "/>
    <n v="0"/>
    <s v="               "/>
    <n v="0"/>
    <s v="NINGUNA"/>
    <x v="0"/>
    <n v="30"/>
    <n v="1989666"/>
    <n v="2.436E-2"/>
    <s v="3"/>
    <s v="CENTRO TRABAJO 24"/>
    <s v="3711001"/>
    <n v="48500"/>
    <n v="30"/>
    <x v="0"/>
    <n v="1989666"/>
    <n v="0.04"/>
    <n v="79600"/>
    <n v="1989666"/>
    <n v="0"/>
    <n v="0"/>
    <n v="0"/>
    <n v="0"/>
    <n v="0"/>
    <n v="0"/>
    <n v="0"/>
    <n v="0"/>
    <s v="SI"/>
    <s v="  "/>
    <s v="                "/>
  </r>
  <r>
    <x v="0"/>
    <s v="CC"/>
    <x v="205"/>
    <x v="205"/>
    <s v="JARAMILLO"/>
    <s v="AGUILAR"/>
    <s v="IVAN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6"/>
    <n v="18700"/>
    <s v=" "/>
    <n v="0"/>
    <n v="0"/>
    <n v="0"/>
    <n v="0"/>
    <n v="0"/>
    <n v="18700"/>
    <s v="NINGUNA"/>
    <x v="3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05"/>
    <x v="205"/>
    <s v="JARAMILLO"/>
    <s v="AGUILAR"/>
    <s v="IVAN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8"/>
    <n v="4605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6"/>
    <n v="18700"/>
    <s v=" "/>
    <n v="0"/>
    <n v="0"/>
    <n v="0"/>
    <n v="0"/>
    <n v="0"/>
    <n v="18700"/>
    <s v="NINGUNA"/>
    <x v="3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05"/>
    <x v="205"/>
    <s v="JARAMILLO"/>
    <s v="AGUILAR"/>
    <s v="IVAN"/>
    <s v="ALEXANDER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6"/>
    <n v="1980249"/>
    <n v="0.16"/>
    <n v="316900"/>
    <s v=" "/>
    <n v="0"/>
    <n v="0"/>
    <n v="0"/>
    <n v="0"/>
    <n v="0"/>
    <n v="316900"/>
    <s v="NINGUNA"/>
    <x v="3"/>
    <n v="26"/>
    <n v="1980249"/>
    <n v="0.04"/>
    <n v="79300"/>
    <n v="0"/>
    <s v="               "/>
    <n v="0"/>
    <s v="               "/>
    <n v="0"/>
    <s v="NINGUNA"/>
    <x v="0"/>
    <n v="26"/>
    <n v="1980249"/>
    <n v="6.9599999999999995E-2"/>
    <s v="5"/>
    <s v="CENTRO TRABAJO 24"/>
    <s v="5711001"/>
    <n v="137900"/>
    <n v="26"/>
    <x v="0"/>
    <n v="1980249"/>
    <n v="0.04"/>
    <n v="79300"/>
    <n v="1980249"/>
    <n v="0"/>
    <n v="0"/>
    <n v="0"/>
    <n v="0"/>
    <n v="0"/>
    <n v="0"/>
    <n v="0"/>
    <n v="0"/>
    <s v="SI"/>
    <s v="  "/>
    <s v="                "/>
  </r>
  <r>
    <x v="0"/>
    <s v="CC"/>
    <x v="206"/>
    <x v="206"/>
    <s v="ARROYO"/>
    <s v="SANMARTIN"/>
    <s v="JOHAN"/>
    <s v="RICARDO"/>
    <s v="BOGOTA_D.E."/>
    <s v="BOGOTA"/>
    <s v="1. DEPENDIENTE"/>
    <s v="NINGUNO"/>
    <n v="30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"/>
    <n v="852449"/>
    <n v="0.16"/>
    <n v="136400"/>
    <s v=" "/>
    <n v="0"/>
    <n v="0"/>
    <n v="0"/>
    <n v="0"/>
    <n v="0"/>
    <n v="136400"/>
    <s v="NINGUNA"/>
    <x v="3"/>
    <n v="3"/>
    <n v="852449"/>
    <n v="0.125"/>
    <n v="106600"/>
    <n v="0"/>
    <s v="               "/>
    <n v="0"/>
    <s v="               "/>
    <n v="0"/>
    <s v="NINGUNA"/>
    <x v="0"/>
    <n v="3"/>
    <n v="852449"/>
    <n v="6.9599999999999995E-2"/>
    <s v="5"/>
    <s v="CENTRO TRABAJO 24"/>
    <s v="5711001"/>
    <n v="59400"/>
    <n v="3"/>
    <x v="0"/>
    <n v="1060549"/>
    <n v="0.04"/>
    <n v="42500"/>
    <n v="1060549"/>
    <n v="0.02"/>
    <n v="21300"/>
    <n v="0.03"/>
    <n v="31900"/>
    <n v="0"/>
    <n v="0"/>
    <n v="0"/>
    <n v="0"/>
    <s v="SI"/>
    <s v="  "/>
    <s v="                "/>
  </r>
  <r>
    <x v="0"/>
    <s v="CC"/>
    <x v="207"/>
    <x v="207"/>
    <s v="ROMERO"/>
    <s v="AVILA"/>
    <s v="YORLAN"/>
    <s v="MANUEL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2"/>
    <n v="30"/>
    <n v="5209465"/>
    <n v="0.16"/>
    <n v="833600"/>
    <s v=" "/>
    <n v="0"/>
    <n v="0"/>
    <n v="0"/>
    <n v="0"/>
    <n v="0"/>
    <n v="833600"/>
    <s v="NINGUNA"/>
    <x v="3"/>
    <n v="30"/>
    <n v="5209465"/>
    <n v="0.04"/>
    <n v="208400"/>
    <n v="0"/>
    <s v="               "/>
    <n v="0"/>
    <s v="               "/>
    <n v="0"/>
    <s v="NINGUNA"/>
    <x v="0"/>
    <n v="30"/>
    <n v="5209465"/>
    <n v="6.9599999999999995E-2"/>
    <s v="5"/>
    <s v="CENTRO TRABAJO 24"/>
    <s v="5711001"/>
    <n v="362600"/>
    <n v="30"/>
    <x v="0"/>
    <n v="5209465"/>
    <n v="0.04"/>
    <n v="208400"/>
    <n v="5209465"/>
    <n v="0"/>
    <n v="0"/>
    <n v="0"/>
    <n v="0"/>
    <n v="0"/>
    <n v="0"/>
    <n v="0"/>
    <n v="0"/>
    <s v="SI"/>
    <s v="  "/>
    <s v="                "/>
  </r>
  <r>
    <x v="0"/>
    <s v="CC"/>
    <x v="208"/>
    <x v="208"/>
    <s v="MEJIA"/>
    <s v="MEDINA"/>
    <s v="LUISA"/>
    <s v="FERNANDA"/>
    <s v="BOGOTA_D.E."/>
    <s v="BOGOTA"/>
    <s v="1. DEPENDIENTE"/>
    <s v="NINGUNO"/>
    <n v="123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15"/>
    <n v="1660072"/>
    <n v="0.16"/>
    <n v="265700"/>
    <s v=" "/>
    <n v="0"/>
    <n v="0"/>
    <n v="0"/>
    <n v="0"/>
    <n v="0"/>
    <n v="265700"/>
    <s v="NINGUNA"/>
    <x v="0"/>
    <n v="15"/>
    <n v="1660072"/>
    <n v="0.04"/>
    <n v="66500"/>
    <n v="0"/>
    <s v="               "/>
    <n v="0"/>
    <s v="               "/>
    <n v="0"/>
    <s v="NINGUNA"/>
    <x v="0"/>
    <n v="15"/>
    <n v="1660072"/>
    <n v="6.9599999999999995E-2"/>
    <s v="5"/>
    <s v="CENTRO TRABAJO 24"/>
    <s v="5711001"/>
    <n v="115600"/>
    <n v="15"/>
    <x v="0"/>
    <n v="2095691"/>
    <n v="0.04"/>
    <n v="83900"/>
    <n v="2095691"/>
    <n v="0"/>
    <n v="0"/>
    <n v="0"/>
    <n v="0"/>
    <n v="0"/>
    <n v="0"/>
    <n v="0"/>
    <n v="0"/>
    <s v="SI"/>
    <s v="  "/>
    <s v="                "/>
  </r>
  <r>
    <x v="0"/>
    <s v="CC"/>
    <x v="209"/>
    <x v="209"/>
    <s v="VARGAS"/>
    <s v="BERNAL"/>
    <s v="OSWALDO"/>
    <s v="JOSE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0"/>
    <n v="3173345"/>
    <n v="0.16"/>
    <n v="507800"/>
    <s v=" "/>
    <n v="0"/>
    <n v="0"/>
    <n v="0"/>
    <n v="0"/>
    <n v="0"/>
    <n v="507800"/>
    <s v="NINGUNA"/>
    <x v="3"/>
    <n v="30"/>
    <n v="3173345"/>
    <n v="0.04"/>
    <n v="127000"/>
    <n v="0"/>
    <s v="               "/>
    <n v="0"/>
    <s v="               "/>
    <n v="0"/>
    <s v="NINGUNA"/>
    <x v="0"/>
    <n v="30"/>
    <n v="3173345"/>
    <n v="6.9599999999999995E-2"/>
    <s v="5"/>
    <s v="CENTRO TRABAJO 24"/>
    <s v="5711001"/>
    <n v="220900"/>
    <n v="30"/>
    <x v="0"/>
    <n v="3173345"/>
    <n v="0.04"/>
    <n v="127000"/>
    <n v="3173345"/>
    <n v="0"/>
    <n v="0"/>
    <n v="0"/>
    <n v="0"/>
    <n v="0"/>
    <n v="0"/>
    <n v="0"/>
    <n v="0"/>
    <s v="SI"/>
    <s v="  "/>
    <s v="                "/>
  </r>
  <r>
    <x v="0"/>
    <s v="CC"/>
    <x v="210"/>
    <x v="210"/>
    <s v="ZABALA"/>
    <s v="OCAMPO"/>
    <s v="MARIA"/>
    <s v="BERENIC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3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10"/>
    <x v="210"/>
    <s v="ZABALA"/>
    <s v="OCAMPO"/>
    <s v="MARIA"/>
    <s v="BERENIC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6"/>
    <n v="46056"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3"/>
    <n v="1"/>
    <n v="59520"/>
    <n v="0.04"/>
    <n v="2400"/>
    <n v="0"/>
    <s v="               "/>
    <n v="0"/>
    <s v="               "/>
    <n v="0"/>
    <s v="NINGUNA"/>
    <x v="0"/>
    <n v="1"/>
    <n v="59520"/>
    <n v="0"/>
    <s v="5"/>
    <s v="CENTRO TRABAJO 24"/>
    <s v="5711001"/>
    <n v="0"/>
    <n v="1"/>
    <x v="0"/>
    <n v="59520"/>
    <n v="0.04"/>
    <n v="2400"/>
    <n v="59520"/>
    <n v="0"/>
    <n v="0"/>
    <n v="0"/>
    <n v="0"/>
    <n v="0"/>
    <n v="0"/>
    <n v="0"/>
    <n v="0"/>
    <s v="SI"/>
    <s v="  "/>
    <s v="                "/>
  </r>
  <r>
    <x v="0"/>
    <s v="CC"/>
    <x v="210"/>
    <x v="210"/>
    <s v="ZABALA"/>
    <s v="OCAMPO"/>
    <s v="MARIA"/>
    <s v="BERENIC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2"/>
    <n v="46063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"/>
    <n v="119040"/>
    <n v="0.16"/>
    <n v="19100"/>
    <s v=" "/>
    <n v="0"/>
    <n v="0"/>
    <n v="0"/>
    <n v="0"/>
    <n v="0"/>
    <n v="19100"/>
    <s v="NINGUNA"/>
    <x v="3"/>
    <n v="2"/>
    <n v="119040"/>
    <n v="0"/>
    <n v="0"/>
    <n v="0"/>
    <s v="               "/>
    <n v="0"/>
    <s v="               "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10"/>
    <x v="210"/>
    <s v="ZABALA"/>
    <s v="OCAMPO"/>
    <s v="MARIA"/>
    <s v="BERENICE"/>
    <s v="BOGOTA_D.E."/>
    <s v="BOGOTA"/>
    <s v="1. DEPENDIENTE"/>
    <s v="NINGUNO"/>
    <n v="19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6"/>
    <n v="2056439"/>
    <n v="0.16"/>
    <n v="329100"/>
    <s v=" "/>
    <n v="0"/>
    <n v="0"/>
    <n v="0"/>
    <n v="0"/>
    <n v="0"/>
    <n v="329100"/>
    <s v="NINGUNA"/>
    <x v="3"/>
    <n v="26"/>
    <n v="2056439"/>
    <n v="0.04"/>
    <n v="82300"/>
    <n v="0"/>
    <s v="               "/>
    <n v="0"/>
    <s v="               "/>
    <n v="0"/>
    <s v="NINGUNA"/>
    <x v="0"/>
    <n v="26"/>
    <n v="2056439"/>
    <n v="6.9599999999999995E-2"/>
    <s v="5"/>
    <s v="CENTRO TRABAJO 24"/>
    <s v="5711001"/>
    <n v="143200"/>
    <n v="26"/>
    <x v="0"/>
    <n v="2056439"/>
    <n v="0.04"/>
    <n v="82300"/>
    <n v="2056439"/>
    <n v="0"/>
    <n v="0"/>
    <n v="0"/>
    <n v="0"/>
    <n v="0"/>
    <n v="0"/>
    <n v="0"/>
    <n v="0"/>
    <s v="SI"/>
    <s v="  "/>
    <s v="                "/>
  </r>
  <r>
    <x v="0"/>
    <s v="CC"/>
    <x v="211"/>
    <x v="211"/>
    <s v="MANOTAS"/>
    <s v="BARRIOS"/>
    <s v="JAIR"/>
    <s v="ANTONIO"/>
    <s v="BOGOTA_D.E."/>
    <s v="BOGOTA"/>
    <s v="1. DEPENDIENTE"/>
    <s v="NINGUNO"/>
    <n v="30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3"/>
    <n v="1025476"/>
    <n v="0.16"/>
    <n v="164100"/>
    <s v=" "/>
    <n v="0"/>
    <n v="0"/>
    <n v="0"/>
    <n v="0"/>
    <n v="0"/>
    <n v="164100"/>
    <s v="NINGUNA"/>
    <x v="9"/>
    <n v="3"/>
    <n v="1025476"/>
    <n v="0.125"/>
    <n v="128200"/>
    <n v="0"/>
    <s v="               "/>
    <n v="0"/>
    <s v="               "/>
    <n v="0"/>
    <s v="NINGUNA"/>
    <x v="0"/>
    <n v="3"/>
    <n v="1025476"/>
    <n v="6.9599999999999995E-2"/>
    <s v="5"/>
    <s v="CENTRO TRABAJO 24"/>
    <s v="5711001"/>
    <n v="71400"/>
    <n v="3"/>
    <x v="0"/>
    <n v="1198833"/>
    <n v="0.04"/>
    <n v="48000"/>
    <n v="1198833"/>
    <n v="0.02"/>
    <n v="24000"/>
    <n v="0.03"/>
    <n v="36000"/>
    <n v="0"/>
    <n v="0"/>
    <n v="0"/>
    <n v="0"/>
    <s v="SI"/>
    <s v="  "/>
    <s v="                "/>
  </r>
  <r>
    <x v="0"/>
    <s v="CC"/>
    <x v="212"/>
    <x v="212"/>
    <s v="RODRIGUEZ"/>
    <s v="HURTADO"/>
    <s v="LINA"/>
    <s v="MARIA"/>
    <s v="BOLIVAR"/>
    <s v="CARTAGENA"/>
    <s v="1. DEPENDIENTE"/>
    <s v="NINGUNO"/>
    <n v="0"/>
    <s v="NO"/>
    <s v="NO"/>
    <m/>
    <s v="Todos los sistemas (ARL, AFP, CCF, EPS)"/>
    <n v="46081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1"/>
    <n v="3"/>
    <n v="567658"/>
    <n v="0.16"/>
    <n v="90900"/>
    <s v=" "/>
    <n v="0"/>
    <n v="0"/>
    <n v="0"/>
    <n v="0"/>
    <n v="0"/>
    <n v="90900"/>
    <s v="NINGUNA"/>
    <x v="3"/>
    <n v="3"/>
    <n v="567658"/>
    <n v="0.04"/>
    <n v="22800"/>
    <n v="0"/>
    <s v="               "/>
    <n v="0"/>
    <s v="               "/>
    <n v="0"/>
    <s v="NINGUNA"/>
    <x v="0"/>
    <n v="3"/>
    <n v="567658"/>
    <n v="6.9599999999999995E-2"/>
    <s v="5"/>
    <s v="CENTRO TRABAJO 8"/>
    <s v="5711001"/>
    <n v="39600"/>
    <n v="3"/>
    <x v="2"/>
    <n v="567658"/>
    <n v="0.04"/>
    <n v="22800"/>
    <n v="567658"/>
    <n v="0"/>
    <n v="0"/>
    <n v="0"/>
    <n v="0"/>
    <n v="0"/>
    <n v="0"/>
    <n v="0"/>
    <n v="0"/>
    <s v="SI"/>
    <s v="  "/>
    <s v="                "/>
  </r>
  <r>
    <x v="0"/>
    <s v="CC"/>
    <x v="213"/>
    <x v="213"/>
    <s v="CERON"/>
    <s v="GUTIERREZ"/>
    <s v="LUIS"/>
    <s v="EFRE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4"/>
    <n v="46055"/>
    <s v="NO"/>
    <m/>
    <m/>
    <s v="NO"/>
    <m/>
    <m/>
    <s v="NO"/>
    <s v="NO"/>
    <m/>
    <m/>
    <n v="0"/>
    <m/>
    <m/>
    <s v="NO"/>
    <n v="2970185"/>
    <s v="NO"/>
    <s v="NO"/>
    <x v="0"/>
    <n v="2"/>
    <n v="364006"/>
    <n v="0.16"/>
    <n v="58300"/>
    <s v=" "/>
    <n v="0"/>
    <n v="0"/>
    <n v="0"/>
    <n v="0"/>
    <n v="0"/>
    <n v="58300"/>
    <s v="NINGUNA"/>
    <x v="3"/>
    <n v="2"/>
    <n v="364006"/>
    <n v="0.125"/>
    <n v="45600"/>
    <n v="0"/>
    <s v="               "/>
    <n v="0"/>
    <s v="               "/>
    <n v="0"/>
    <s v="NINGUNA"/>
    <x v="0"/>
    <n v="2"/>
    <n v="364006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NO"/>
    <s v="  "/>
    <s v="                "/>
  </r>
  <r>
    <x v="0"/>
    <s v="CC"/>
    <x v="213"/>
    <x v="213"/>
    <s v="CERON"/>
    <s v="GUTIERREZ"/>
    <s v="LUIS"/>
    <s v="EFREN"/>
    <s v="BOGOTA_D.E."/>
    <s v="BOGOTA"/>
    <s v="1. DEPENDIENTE"/>
    <s v="NINGUNO"/>
    <n v="22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0"/>
    <n v="1"/>
    <n v="1409330"/>
    <n v="0.16"/>
    <n v="225500"/>
    <s v=" "/>
    <n v="0"/>
    <n v="0"/>
    <n v="0"/>
    <n v="0"/>
    <n v="0"/>
    <n v="225500"/>
    <s v="NINGUNA"/>
    <x v="3"/>
    <n v="1"/>
    <n v="1409330"/>
    <n v="0.125"/>
    <n v="176200"/>
    <n v="0"/>
    <s v="               "/>
    <n v="0"/>
    <s v="               "/>
    <n v="0"/>
    <s v="NINGUNA"/>
    <x v="0"/>
    <n v="1"/>
    <n v="1409330"/>
    <n v="6.9599999999999995E-2"/>
    <s v="5"/>
    <s v="CENTRO TRABAJO 24"/>
    <s v="5711001"/>
    <n v="98100"/>
    <n v="1"/>
    <x v="0"/>
    <n v="2546486"/>
    <n v="0.04"/>
    <n v="101900"/>
    <n v="2546486"/>
    <n v="0.02"/>
    <n v="51000"/>
    <n v="0.03"/>
    <n v="76400"/>
    <n v="0"/>
    <n v="0"/>
    <n v="0"/>
    <n v="0"/>
    <s v="NO"/>
    <s v="  "/>
    <s v="                "/>
  </r>
  <r>
    <x v="0"/>
    <s v="CC"/>
    <x v="214"/>
    <x v="214"/>
    <s v="SARMIENTO"/>
    <s v="CASTILLO"/>
    <s v="GERMAN"/>
    <s v=""/>
    <s v="BOGOTA_D.E."/>
    <s v="BOGOTA"/>
    <s v="1. DEPENDIENTE"/>
    <s v="1. DEPENDIENTE PENSIONADO ACTIVO"/>
    <n v="10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1"/>
    <n v="0"/>
    <n v="0"/>
    <n v="0"/>
    <n v="0"/>
    <s v=" "/>
    <n v="0"/>
    <n v="0"/>
    <n v="0"/>
    <n v="0"/>
    <n v="0"/>
    <n v="0"/>
    <s v="NINGUNA"/>
    <x v="0"/>
    <n v="15"/>
    <n v="1178925"/>
    <n v="0.04"/>
    <n v="47200"/>
    <n v="0"/>
    <s v="               "/>
    <n v="0"/>
    <s v="               "/>
    <n v="0"/>
    <s v="NINGUNA"/>
    <x v="0"/>
    <n v="15"/>
    <n v="1178925"/>
    <n v="6.9599999999999995E-2"/>
    <s v="5"/>
    <s v="CENTRO TRABAJO 24"/>
    <s v="5711001"/>
    <n v="82100"/>
    <n v="15"/>
    <x v="0"/>
    <n v="1178925"/>
    <n v="0.04"/>
    <n v="47200"/>
    <n v="1178925"/>
    <n v="0"/>
    <n v="0"/>
    <n v="0"/>
    <n v="0"/>
    <n v="0"/>
    <n v="0"/>
    <n v="0"/>
    <n v="0"/>
    <s v="SI"/>
    <s v="  "/>
    <s v="                "/>
  </r>
  <r>
    <x v="0"/>
    <s v="CC"/>
    <x v="214"/>
    <x v="214"/>
    <s v="SARMIENTO"/>
    <s v="CASTILLO"/>
    <s v="GERMAN"/>
    <s v=""/>
    <s v="BOGOTA_D.E."/>
    <s v="BOGOTA"/>
    <s v="1. DEPENDIENTE"/>
    <s v="NINGUNO"/>
    <n v="1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1"/>
    <n v="15"/>
    <n v="1499153"/>
    <n v="0.16"/>
    <n v="239900"/>
    <s v=" "/>
    <n v="0"/>
    <n v="0"/>
    <n v="0"/>
    <n v="0"/>
    <n v="0"/>
    <n v="239900"/>
    <s v="NINGUNA"/>
    <x v="0"/>
    <n v="15"/>
    <n v="1499153"/>
    <n v="0.04"/>
    <n v="60000"/>
    <n v="0"/>
    <s v="               "/>
    <n v="0"/>
    <s v="               "/>
    <n v="0"/>
    <s v="NINGUNA"/>
    <x v="0"/>
    <n v="15"/>
    <n v="1499153"/>
    <n v="6.9599999999999995E-2"/>
    <s v="5"/>
    <s v="CENTRO TRABAJO 24"/>
    <s v="5711001"/>
    <n v="104400"/>
    <n v="15"/>
    <x v="0"/>
    <n v="1499153"/>
    <n v="0.04"/>
    <n v="60000"/>
    <n v="1499153"/>
    <n v="0"/>
    <n v="0"/>
    <n v="0"/>
    <n v="0"/>
    <n v="0"/>
    <n v="0"/>
    <n v="0"/>
    <n v="0"/>
    <s v="SI"/>
    <s v="  "/>
    <s v="                "/>
  </r>
  <r>
    <x v="0"/>
    <s v="CC"/>
    <x v="215"/>
    <x v="215"/>
    <s v="PRIETO"/>
    <s v="AMEZQUITA"/>
    <s v="LUIS"/>
    <s v="EDUARDO"/>
    <s v="BOGOTA_D.E."/>
    <s v="BOGOTA"/>
    <s v="1. DEPENDIENTE"/>
    <s v="NINGUNO"/>
    <n v="175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21"/>
    <n v="2928875"/>
    <n v="0.16"/>
    <n v="468700"/>
    <s v=" "/>
    <n v="0"/>
    <n v="0"/>
    <n v="0"/>
    <n v="0"/>
    <n v="0"/>
    <n v="468700"/>
    <s v="NINGUNA"/>
    <x v="10"/>
    <n v="21"/>
    <n v="2928875"/>
    <n v="0.04"/>
    <n v="117200"/>
    <n v="0"/>
    <s v="               "/>
    <n v="0"/>
    <s v="               "/>
    <n v="0"/>
    <s v="NINGUNA"/>
    <x v="0"/>
    <n v="21"/>
    <n v="2928875"/>
    <n v="6.9599999999999995E-2"/>
    <s v="5"/>
    <s v="CENTRO TRABAJO 24"/>
    <s v="5711001"/>
    <n v="203900"/>
    <n v="21"/>
    <x v="0"/>
    <n v="3350717"/>
    <n v="0.04"/>
    <n v="134100"/>
    <n v="3350717"/>
    <n v="0"/>
    <n v="0"/>
    <n v="0"/>
    <n v="0"/>
    <n v="0"/>
    <n v="0"/>
    <n v="0"/>
    <n v="0"/>
    <s v="SI"/>
    <s v="  "/>
    <s v="                "/>
  </r>
  <r>
    <x v="0"/>
    <s v="CC"/>
    <x v="216"/>
    <x v="216"/>
    <s v="GONZALEZ"/>
    <s v="GARZON"/>
    <s v="MARCO"/>
    <s v="ANTONIO"/>
    <s v="BOGOTA_D.E."/>
    <s v="BOGOTA"/>
    <s v="1. DEPENDIENTE"/>
    <s v="NINGUNO"/>
    <n v="22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1"/>
    <n v="30"/>
    <n v="4143533"/>
    <n v="0.16"/>
    <n v="663000"/>
    <s v=" "/>
    <n v="0"/>
    <n v="0"/>
    <n v="0"/>
    <n v="0"/>
    <n v="0"/>
    <n v="663000"/>
    <s v="NINGUNA"/>
    <x v="3"/>
    <n v="30"/>
    <n v="4143533"/>
    <n v="0.04"/>
    <n v="165800"/>
    <n v="0"/>
    <s v="               "/>
    <n v="0"/>
    <s v="               "/>
    <n v="0"/>
    <s v="NINGUNA"/>
    <x v="0"/>
    <n v="30"/>
    <n v="4143533"/>
    <n v="6.9599999999999995E-2"/>
    <s v="5"/>
    <s v="CENTRO TRABAJO 24"/>
    <s v="5711001"/>
    <n v="288400"/>
    <n v="30"/>
    <x v="0"/>
    <n v="4143533"/>
    <n v="0.04"/>
    <n v="165800"/>
    <n v="4143533"/>
    <n v="0"/>
    <n v="0"/>
    <n v="0"/>
    <n v="0"/>
    <n v="0"/>
    <n v="0"/>
    <n v="0"/>
    <n v="0"/>
    <s v="SI"/>
    <s v="  "/>
    <s v="                "/>
  </r>
  <r>
    <x v="0"/>
    <s v="CC"/>
    <x v="217"/>
    <x v="217"/>
    <s v="ALVAREZ"/>
    <s v="CAÑON"/>
    <s v="CARLOS"/>
    <s v="EFREN"/>
    <s v="BOGOTA_D.E."/>
    <s v="BOGOTA"/>
    <s v="1. DEPENDIENTE"/>
    <s v="NINGUNO"/>
    <n v="283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30"/>
    <n v="2862798"/>
    <n v="0.16"/>
    <n v="458100"/>
    <s v=" "/>
    <n v="0"/>
    <n v="0"/>
    <n v="0"/>
    <n v="0"/>
    <n v="0"/>
    <n v="458100"/>
    <s v="NINGUNA"/>
    <x v="0"/>
    <n v="30"/>
    <n v="2862798"/>
    <n v="0.04"/>
    <n v="114600"/>
    <n v="0"/>
    <s v="               "/>
    <n v="0"/>
    <s v="               "/>
    <n v="0"/>
    <s v="NINGUNA"/>
    <x v="0"/>
    <n v="30"/>
    <n v="2862798"/>
    <n v="6.9599999999999995E-2"/>
    <s v="5"/>
    <s v="CENTRO TRABAJO 24"/>
    <s v="5711001"/>
    <n v="199300"/>
    <n v="30"/>
    <x v="0"/>
    <n v="3834114"/>
    <n v="0.04"/>
    <n v="153400"/>
    <n v="3834114"/>
    <n v="0"/>
    <n v="0"/>
    <n v="0"/>
    <n v="0"/>
    <n v="0"/>
    <n v="0"/>
    <n v="0"/>
    <n v="0"/>
    <s v="SI"/>
    <s v="  "/>
    <s v="                "/>
  </r>
  <r>
    <x v="0"/>
    <s v="CC"/>
    <x v="218"/>
    <x v="218"/>
    <s v="ALONSO"/>
    <s v="SANTANA"/>
    <s v="WILSON"/>
    <s v="OSWALDO"/>
    <s v="BOGOTA_D.E."/>
    <s v="BOGOTA"/>
    <s v="1. DEPENDIENTE"/>
    <s v="NINGUNO"/>
    <n v="21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850709"/>
    <n v="0.16"/>
    <n v="456200"/>
    <s v=" "/>
    <n v="0"/>
    <n v="0"/>
    <n v="0"/>
    <n v="0"/>
    <n v="0"/>
    <n v="456200"/>
    <s v="NINGUNA"/>
    <x v="3"/>
    <n v="30"/>
    <n v="2850709"/>
    <n v="0.04"/>
    <n v="114100"/>
    <n v="0"/>
    <s v="               "/>
    <n v="0"/>
    <s v="               "/>
    <n v="0"/>
    <s v="NINGUNA"/>
    <x v="0"/>
    <n v="30"/>
    <n v="2850709"/>
    <n v="6.9599999999999995E-2"/>
    <s v="5"/>
    <s v="CENTRO TRABAJO 24"/>
    <s v="5711001"/>
    <n v="198500"/>
    <n v="30"/>
    <x v="0"/>
    <n v="2850709"/>
    <n v="0.04"/>
    <n v="114100"/>
    <n v="2850709"/>
    <n v="0"/>
    <n v="0"/>
    <n v="0"/>
    <n v="0"/>
    <n v="0"/>
    <n v="0"/>
    <n v="0"/>
    <n v="0"/>
    <s v="SI"/>
    <s v="  "/>
    <s v="                "/>
  </r>
  <r>
    <x v="0"/>
    <s v="CC"/>
    <x v="219"/>
    <x v="219"/>
    <s v="GUERRERO"/>
    <s v="PAREDES"/>
    <s v="JORGE"/>
    <s v="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4152090"/>
    <s v="NO"/>
    <s v="NO"/>
    <x v="2"/>
    <n v="30"/>
    <n v="4816707"/>
    <n v="0.16"/>
    <n v="770700"/>
    <s v=" "/>
    <n v="0"/>
    <n v="0"/>
    <n v="0"/>
    <n v="0"/>
    <n v="0"/>
    <n v="770700"/>
    <s v="NINGUNA"/>
    <x v="6"/>
    <n v="30"/>
    <n v="4816707"/>
    <n v="0.04"/>
    <n v="192700"/>
    <n v="0"/>
    <s v="               "/>
    <n v="0"/>
    <s v="               "/>
    <n v="0"/>
    <s v="NINGUNA"/>
    <x v="0"/>
    <n v="30"/>
    <n v="4816707"/>
    <n v="6.9599999999999995E-2"/>
    <s v="5"/>
    <s v="CENTRO TRABAJO 24"/>
    <s v="5711001"/>
    <n v="335300"/>
    <n v="30"/>
    <x v="0"/>
    <n v="4152090"/>
    <n v="0.04"/>
    <n v="166100"/>
    <n v="4152090"/>
    <n v="0"/>
    <n v="0"/>
    <n v="0"/>
    <n v="0"/>
    <n v="0"/>
    <n v="0"/>
    <n v="0"/>
    <n v="0"/>
    <s v="SI"/>
    <s v="  "/>
    <s v="                "/>
  </r>
  <r>
    <x v="0"/>
    <s v="CC"/>
    <x v="220"/>
    <x v="220"/>
    <s v="VILLALOBOS"/>
    <s v="DE LA BARRERA"/>
    <s v="ERWIN"/>
    <s v="EMILI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0"/>
    <n v="30"/>
    <n v="6384779"/>
    <n v="0.16"/>
    <n v="1021600"/>
    <s v=" "/>
    <n v="0"/>
    <n v="0"/>
    <n v="0"/>
    <n v="0"/>
    <n v="0"/>
    <n v="1021600"/>
    <s v="NINGUNA"/>
    <x v="2"/>
    <n v="30"/>
    <n v="6384779"/>
    <n v="0.04"/>
    <n v="255400"/>
    <n v="0"/>
    <s v="               "/>
    <n v="0"/>
    <s v="               "/>
    <n v="0"/>
    <s v="NINGUNA"/>
    <x v="0"/>
    <n v="30"/>
    <n v="6384779"/>
    <n v="6.9599999999999995E-2"/>
    <s v="5"/>
    <s v="CENTRO TRABAJO 24"/>
    <s v="5711001"/>
    <n v="444400"/>
    <n v="30"/>
    <x v="0"/>
    <n v="6384779"/>
    <n v="0.04"/>
    <n v="255400"/>
    <n v="6384779"/>
    <n v="0"/>
    <n v="0"/>
    <n v="0"/>
    <n v="0"/>
    <n v="0"/>
    <n v="0"/>
    <n v="0"/>
    <n v="0"/>
    <s v="SI"/>
    <s v="  "/>
    <s v="                "/>
  </r>
  <r>
    <x v="0"/>
    <s v="CC"/>
    <x v="221"/>
    <x v="221"/>
    <s v="RAMIREZ"/>
    <s v="GAVIRIA"/>
    <s v="DUVAN"/>
    <s v="ENRIQUE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4"/>
    <n v="238080"/>
    <n v="0.16"/>
    <n v="38100"/>
    <s v=" "/>
    <n v="0"/>
    <n v="0"/>
    <n v="0"/>
    <n v="0"/>
    <n v="0"/>
    <n v="38100"/>
    <s v="NINGUNA"/>
    <x v="3"/>
    <n v="4"/>
    <n v="238080"/>
    <n v="0.04"/>
    <n v="9600"/>
    <n v="0"/>
    <s v="               "/>
    <n v="0"/>
    <s v="               "/>
    <n v="0"/>
    <s v="NINGUNA"/>
    <x v="0"/>
    <n v="4"/>
    <n v="238080"/>
    <n v="6.9599999999999995E-2"/>
    <s v="5"/>
    <s v="CENTRO TRABAJO 24"/>
    <s v="5711001"/>
    <n v="16600"/>
    <n v="4"/>
    <x v="0"/>
    <n v="238080"/>
    <n v="0.04"/>
    <n v="9600"/>
    <n v="238080"/>
    <n v="0"/>
    <n v="0"/>
    <n v="0"/>
    <n v="0"/>
    <n v="0"/>
    <n v="0"/>
    <n v="0"/>
    <n v="0"/>
    <s v="SI"/>
    <s v="  "/>
    <s v="                "/>
  </r>
  <r>
    <x v="0"/>
    <s v="CC"/>
    <x v="222"/>
    <x v="222"/>
    <s v="MANRIQUE"/>
    <s v="QUINTERO"/>
    <s v="JOSE"/>
    <s v="CONRADO"/>
    <s v="BOGOTA_D.E."/>
    <s v="BOGOTA"/>
    <s v="1. DEPENDIENTE"/>
    <s v="NINGUNO"/>
    <n v="33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"/>
    <n v="735908"/>
    <n v="0.16"/>
    <n v="117800"/>
    <s v=" "/>
    <n v="0"/>
    <n v="0"/>
    <n v="0"/>
    <n v="0"/>
    <n v="0"/>
    <n v="117800"/>
    <s v="NINGUNA"/>
    <x v="3"/>
    <n v="3"/>
    <n v="735908"/>
    <n v="0.04"/>
    <n v="29500"/>
    <n v="0"/>
    <s v="               "/>
    <n v="0"/>
    <s v="               "/>
    <n v="0"/>
    <s v="NINGUNA"/>
    <x v="0"/>
    <n v="3"/>
    <n v="735908"/>
    <n v="6.9599999999999995E-2"/>
    <s v="5"/>
    <s v="CENTRO TRABAJO 24"/>
    <s v="5711001"/>
    <n v="51300"/>
    <n v="3"/>
    <x v="0"/>
    <n v="951054"/>
    <n v="0.04"/>
    <n v="38100"/>
    <n v="951054"/>
    <n v="0"/>
    <n v="0"/>
    <n v="0"/>
    <n v="0"/>
    <n v="0"/>
    <n v="0"/>
    <n v="0"/>
    <n v="0"/>
    <s v="SI"/>
    <s v="  "/>
    <s v="                "/>
  </r>
  <r>
    <x v="0"/>
    <s v="CC"/>
    <x v="223"/>
    <x v="223"/>
    <s v="OBANDO"/>
    <s v="CORTES"/>
    <s v="LUIS"/>
    <s v="EDSON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13441322"/>
    <s v="NO"/>
    <s v="NO"/>
    <x v="1"/>
    <n v="30"/>
    <n v="26585710"/>
    <n v="0.16"/>
    <n v="4253800"/>
    <s v=" "/>
    <n v="0"/>
    <n v="0"/>
    <n v="133000"/>
    <n v="133000"/>
    <n v="0"/>
    <n v="4519800"/>
    <s v="NINGUNA"/>
    <x v="2"/>
    <n v="30"/>
    <n v="26585710"/>
    <n v="0.125"/>
    <n v="3323300"/>
    <n v="0"/>
    <s v="               "/>
    <n v="0"/>
    <s v="               "/>
    <n v="0"/>
    <s v="NINGUNA"/>
    <x v="0"/>
    <n v="30"/>
    <n v="26585710"/>
    <n v="6.9599999999999995E-2"/>
    <s v="5"/>
    <s v="CENTRO TRABAJO 24"/>
    <s v="5711001"/>
    <n v="1850400"/>
    <n v="30"/>
    <x v="0"/>
    <n v="13441322"/>
    <n v="0.04"/>
    <n v="537700"/>
    <n v="13441322"/>
    <n v="0.02"/>
    <n v="268900"/>
    <n v="0.03"/>
    <n v="403300"/>
    <n v="0"/>
    <n v="0"/>
    <n v="0"/>
    <n v="0"/>
    <s v="NO"/>
    <s v="  "/>
    <s v="                "/>
  </r>
  <r>
    <x v="0"/>
    <s v="CC"/>
    <x v="224"/>
    <x v="224"/>
    <s v="MATEUS"/>
    <s v="ALMONACID"/>
    <s v="GIOVANNI"/>
    <s v="FRANCESC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10231263"/>
    <s v="NO"/>
    <s v="SI"/>
    <x v="0"/>
    <n v="30"/>
    <n v="10231263"/>
    <n v="0.16"/>
    <n v="1637100"/>
    <s v=" "/>
    <n v="0"/>
    <n v="0"/>
    <n v="51200"/>
    <n v="51200"/>
    <n v="0"/>
    <n v="1739500"/>
    <s v="NINGUNA"/>
    <x v="2"/>
    <n v="30"/>
    <n v="10231263"/>
    <n v="0.04"/>
    <n v="409300"/>
    <n v="0"/>
    <s v="               "/>
    <n v="0"/>
    <s v="               "/>
    <n v="0"/>
    <s v="NINGUNA"/>
    <x v="0"/>
    <n v="30"/>
    <n v="10231263"/>
    <n v="6.9599999999999995E-2"/>
    <s v="5"/>
    <s v="CENTRO TRABAJO 24"/>
    <s v="5711001"/>
    <n v="712100"/>
    <n v="30"/>
    <x v="0"/>
    <n v="10231263"/>
    <n v="0.04"/>
    <n v="409300"/>
    <n v="10231263"/>
    <n v="0"/>
    <n v="0"/>
    <n v="0"/>
    <n v="0"/>
    <n v="0"/>
    <n v="0"/>
    <n v="0"/>
    <n v="0"/>
    <s v="SI"/>
    <s v="  "/>
    <s v="                "/>
  </r>
  <r>
    <x v="0"/>
    <s v="CC"/>
    <x v="225"/>
    <x v="225"/>
    <s v="BRITO"/>
    <s v="EPIAYU"/>
    <s v="ARLEY"/>
    <s v="ALFRED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7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25"/>
    <x v="225"/>
    <s v="BRITO"/>
    <s v="EPIAYU"/>
    <s v="ARLEY"/>
    <s v="ALFRED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7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25"/>
    <x v="225"/>
    <s v="BRITO"/>
    <s v="EPIAYU"/>
    <s v="ARLEY"/>
    <s v="ALFREDO"/>
    <s v="LA_GUAJIRA"/>
    <s v="RIOHACHA"/>
    <s v="1. DEPENDIENTE"/>
    <s v="NINGUNO"/>
    <n v="19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8"/>
    <n v="1898006"/>
    <n v="0.16"/>
    <n v="303700"/>
    <s v=" "/>
    <n v="0"/>
    <n v="0"/>
    <n v="0"/>
    <n v="0"/>
    <n v="0"/>
    <n v="303700"/>
    <s v="NINGUNA"/>
    <x v="7"/>
    <n v="28"/>
    <n v="1898006"/>
    <n v="0.04"/>
    <n v="76000"/>
    <n v="0"/>
    <s v="               "/>
    <n v="0"/>
    <s v="               "/>
    <n v="0"/>
    <s v="NINGUNA"/>
    <x v="0"/>
    <n v="28"/>
    <n v="1898006"/>
    <n v="6.9599999999999995E-2"/>
    <s v="5"/>
    <s v="CENTRO TRABAJO 30"/>
    <s v="5711001"/>
    <n v="132200"/>
    <n v="28"/>
    <x v="1"/>
    <n v="1898007"/>
    <n v="0.04"/>
    <n v="76000"/>
    <n v="1898007"/>
    <n v="0"/>
    <n v="0"/>
    <n v="0"/>
    <n v="0"/>
    <n v="0"/>
    <n v="0"/>
    <n v="0"/>
    <n v="0"/>
    <s v="SI"/>
    <s v="  "/>
    <s v="                "/>
  </r>
  <r>
    <x v="0"/>
    <s v="CC"/>
    <x v="226"/>
    <x v="226"/>
    <s v="EPIAYU"/>
    <s v="EPIAYU"/>
    <s v="JOSE"/>
    <s v="ESNEIDER"/>
    <s v="LA_GUAJIRA"/>
    <s v="RIOHACHA"/>
    <s v="1. DEPENDIENTE"/>
    <s v="NINGUNO"/>
    <n v="21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169134"/>
    <n v="0.16"/>
    <n v="347100"/>
    <s v=" "/>
    <n v="0"/>
    <n v="0"/>
    <n v="0"/>
    <n v="0"/>
    <n v="0"/>
    <n v="347100"/>
    <s v="NINGUNA"/>
    <x v="7"/>
    <n v="30"/>
    <n v="2169134"/>
    <n v="0.04"/>
    <n v="86800"/>
    <n v="0"/>
    <s v="               "/>
    <n v="0"/>
    <s v="               "/>
    <n v="0"/>
    <s v="NINGUNA"/>
    <x v="0"/>
    <n v="30"/>
    <n v="2169134"/>
    <n v="6.9599999999999995E-2"/>
    <s v="5"/>
    <s v="CENTRO TRABAJO 30"/>
    <s v="5711001"/>
    <n v="151000"/>
    <n v="30"/>
    <x v="1"/>
    <n v="2169134"/>
    <n v="0.04"/>
    <n v="86800"/>
    <n v="2169134"/>
    <n v="0"/>
    <n v="0"/>
    <n v="0"/>
    <n v="0"/>
    <n v="0"/>
    <n v="0"/>
    <n v="0"/>
    <n v="0"/>
    <s v="SI"/>
    <s v="  "/>
    <s v="                "/>
  </r>
  <r>
    <x v="0"/>
    <s v="CC"/>
    <x v="227"/>
    <x v="227"/>
    <s v="VIDAL"/>
    <s v="IPUANA"/>
    <s v="JUAN"/>
    <s v="SEBASTIAN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34633"/>
    <n v="0.16"/>
    <n v="325600"/>
    <s v=" "/>
    <n v="0"/>
    <n v="0"/>
    <n v="0"/>
    <n v="0"/>
    <n v="0"/>
    <n v="325600"/>
    <s v="NINGUNA"/>
    <x v="7"/>
    <n v="30"/>
    <n v="2034633"/>
    <n v="0.04"/>
    <n v="81400"/>
    <n v="0"/>
    <s v="               "/>
    <n v="0"/>
    <s v="               "/>
    <n v="0"/>
    <s v="NINGUNA"/>
    <x v="0"/>
    <n v="30"/>
    <n v="2034633"/>
    <n v="6.9599999999999995E-2"/>
    <s v="5"/>
    <s v="CENTRO TRABAJO 30"/>
    <s v="5711001"/>
    <n v="141700"/>
    <n v="30"/>
    <x v="1"/>
    <n v="2034633"/>
    <n v="0.04"/>
    <n v="81400"/>
    <n v="2034633"/>
    <n v="0"/>
    <n v="0"/>
    <n v="0"/>
    <n v="0"/>
    <n v="0"/>
    <n v="0"/>
    <n v="0"/>
    <n v="0"/>
    <s v="SI"/>
    <s v="  "/>
    <s v="                "/>
  </r>
  <r>
    <x v="0"/>
    <s v="CC"/>
    <x v="228"/>
    <x v="228"/>
    <s v="SARMIENTO"/>
    <s v="DAZA"/>
    <s v="SANTIAGO"/>
    <s v=""/>
    <s v="LA_GUAJIRA"/>
    <s v="RIOHACHA"/>
    <s v="1. DEPENDIENTE"/>
    <s v="NINGUNO"/>
    <n v="200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6"/>
    <n v="2565496"/>
    <n v="0.16"/>
    <n v="410500"/>
    <s v=" "/>
    <n v="0"/>
    <n v="0"/>
    <n v="0"/>
    <n v="0"/>
    <n v="0"/>
    <n v="410500"/>
    <s v="NINGUNA"/>
    <x v="2"/>
    <n v="26"/>
    <n v="2565496"/>
    <n v="0.04"/>
    <n v="102700"/>
    <n v="0"/>
    <s v="               "/>
    <n v="0"/>
    <s v="               "/>
    <n v="0"/>
    <s v="NINGUNA"/>
    <x v="0"/>
    <n v="26"/>
    <n v="2565496"/>
    <n v="6.9599999999999995E-2"/>
    <s v="5"/>
    <s v="CENTRO TRABAJO 30"/>
    <s v="5711001"/>
    <n v="178600"/>
    <n v="26"/>
    <x v="1"/>
    <n v="3299401"/>
    <n v="0.04"/>
    <n v="132000"/>
    <n v="3299401"/>
    <n v="0"/>
    <n v="0"/>
    <n v="0"/>
    <n v="0"/>
    <n v="0"/>
    <n v="0"/>
    <n v="0"/>
    <n v="0"/>
    <s v="SI"/>
    <s v="  "/>
    <s v="                "/>
  </r>
  <r>
    <x v="0"/>
    <s v="CC"/>
    <x v="229"/>
    <x v="229"/>
    <s v="ARREGOCES"/>
    <s v="USTATE"/>
    <s v="MAURICIO"/>
    <s v="ALBERTO"/>
    <s v="LA_GUAJIRA"/>
    <s v="RIOHACHA"/>
    <s v="1. DEPENDIENTE"/>
    <s v="NINGUNO"/>
    <n v="2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54529"/>
    <n v="0.16"/>
    <n v="328800"/>
    <s v=" "/>
    <n v="0"/>
    <n v="0"/>
    <n v="0"/>
    <n v="0"/>
    <n v="0"/>
    <n v="328800"/>
    <s v="NINGUNA"/>
    <x v="2"/>
    <n v="30"/>
    <n v="2054529"/>
    <n v="0.04"/>
    <n v="82200"/>
    <n v="0"/>
    <s v="               "/>
    <n v="0"/>
    <s v="               "/>
    <n v="0"/>
    <s v="NINGUNA"/>
    <x v="0"/>
    <n v="30"/>
    <n v="2054529"/>
    <n v="6.9599999999999995E-2"/>
    <s v="5"/>
    <s v="CENTRO TRABAJO 30"/>
    <s v="5711001"/>
    <n v="143000"/>
    <n v="30"/>
    <x v="1"/>
    <n v="2054529"/>
    <n v="0.04"/>
    <n v="82200"/>
    <n v="2054529"/>
    <n v="0"/>
    <n v="0"/>
    <n v="0"/>
    <n v="0"/>
    <n v="0"/>
    <n v="0"/>
    <n v="0"/>
    <n v="0"/>
    <s v="SI"/>
    <s v="  "/>
    <s v="                "/>
  </r>
  <r>
    <x v="0"/>
    <s v="CC"/>
    <x v="230"/>
    <x v="230"/>
    <s v="SOTO"/>
    <s v="EPIAYU"/>
    <s v="NOLVER"/>
    <s v="SEGUNDO"/>
    <s v="LA_GUAJIRA"/>
    <s v="RIOHACHA"/>
    <s v="1. DEPENDIENTE"/>
    <s v="NINGUNO"/>
    <n v="21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149237"/>
    <n v="0.16"/>
    <n v="343900"/>
    <s v=" "/>
    <n v="0"/>
    <n v="0"/>
    <n v="0"/>
    <n v="0"/>
    <n v="0"/>
    <n v="343900"/>
    <s v="NINGUNA"/>
    <x v="2"/>
    <n v="30"/>
    <n v="2149237"/>
    <n v="0.04"/>
    <n v="86000"/>
    <n v="0"/>
    <s v="               "/>
    <n v="0"/>
    <s v="               "/>
    <n v="0"/>
    <s v="NINGUNA"/>
    <x v="0"/>
    <n v="30"/>
    <n v="2149237"/>
    <n v="6.9599999999999995E-2"/>
    <s v="5"/>
    <s v="CENTRO TRABAJO 30"/>
    <s v="5711001"/>
    <n v="149600"/>
    <n v="30"/>
    <x v="1"/>
    <n v="2149237"/>
    <n v="0.04"/>
    <n v="86000"/>
    <n v="2149237"/>
    <n v="0"/>
    <n v="0"/>
    <n v="0"/>
    <n v="0"/>
    <n v="0"/>
    <n v="0"/>
    <n v="0"/>
    <n v="0"/>
    <s v="SI"/>
    <s v="  "/>
    <s v="                "/>
  </r>
  <r>
    <x v="0"/>
    <s v="CC"/>
    <x v="231"/>
    <x v="231"/>
    <s v="HERNANDEZ"/>
    <s v="BERNAL"/>
    <s v="DANIEL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5"/>
    <s v="NO"/>
    <s v="NO"/>
    <m/>
    <m/>
    <n v="0"/>
    <m/>
    <m/>
    <s v="NO"/>
    <n v="1750905"/>
    <s v="NO"/>
    <s v="NO"/>
    <x v="0"/>
    <n v="2"/>
    <n v="116727"/>
    <n v="0.16"/>
    <n v="18700"/>
    <s v=" "/>
    <n v="0"/>
    <n v="0"/>
    <n v="0"/>
    <n v="0"/>
    <n v="0"/>
    <n v="18700"/>
    <s v="NINGUNA"/>
    <x v="2"/>
    <n v="2"/>
    <n v="116727"/>
    <n v="0.04"/>
    <n v="4700"/>
    <n v="0"/>
    <s v="               "/>
    <n v="0"/>
    <s v="               "/>
    <n v="0"/>
    <s v="NINGUNA"/>
    <x v="0"/>
    <n v="2"/>
    <n v="116727"/>
    <n v="0"/>
    <s v="5"/>
    <s v="CENTRO TRABAJO 30"/>
    <s v="5711001"/>
    <n v="0"/>
    <n v="2"/>
    <x v="1"/>
    <n v="116727"/>
    <n v="0.04"/>
    <n v="4700"/>
    <n v="116727"/>
    <n v="0"/>
    <n v="0"/>
    <n v="0"/>
    <n v="0"/>
    <n v="0"/>
    <n v="0"/>
    <n v="0"/>
    <n v="0"/>
    <s v="SI"/>
    <s v="  "/>
    <s v="                "/>
  </r>
  <r>
    <x v="0"/>
    <s v="CC"/>
    <x v="231"/>
    <x v="231"/>
    <s v="HERNANDEZ"/>
    <s v="BERNAL"/>
    <s v="DANIEL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5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2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31"/>
    <x v="231"/>
    <s v="HERNANDEZ"/>
    <s v="BERNAL"/>
    <s v="DANIEL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7"/>
    <n v="46081"/>
    <s v="NO"/>
    <m/>
    <m/>
    <s v="NO"/>
    <m/>
    <m/>
    <s v="NO"/>
    <s v="NO"/>
    <m/>
    <m/>
    <n v="0"/>
    <m/>
    <m/>
    <s v="NO"/>
    <n v="1750905"/>
    <s v="NO"/>
    <s v="NO"/>
    <x v="0"/>
    <n v="27"/>
    <n v="1602226"/>
    <n v="0.16"/>
    <n v="256400"/>
    <s v=" "/>
    <n v="0"/>
    <n v="0"/>
    <n v="0"/>
    <n v="0"/>
    <n v="0"/>
    <n v="256400"/>
    <s v="NINGUNA"/>
    <x v="2"/>
    <n v="27"/>
    <n v="1602226"/>
    <n v="0.04"/>
    <n v="64100"/>
    <n v="0"/>
    <s v="               "/>
    <n v="0"/>
    <s v="               "/>
    <n v="0"/>
    <s v="NINGUNA"/>
    <x v="0"/>
    <n v="27"/>
    <n v="1602226"/>
    <n v="0"/>
    <s v="5"/>
    <s v="CENTRO TRABAJO 30"/>
    <s v="5711001"/>
    <n v="0"/>
    <n v="27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31"/>
    <x v="231"/>
    <s v="HERNANDEZ"/>
    <s v="BERNAL"/>
    <s v="DANIEL"/>
    <s v=""/>
    <s v="LA_GUAJIRA"/>
    <s v="RIOHACHA"/>
    <s v="1. DEPENDIENTE"/>
    <s v="NINGUNO"/>
    <n v="1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0"/>
    <n v="179269"/>
    <n v="0.16"/>
    <n v="28700"/>
    <s v=" "/>
    <n v="0"/>
    <n v="0"/>
    <n v="0"/>
    <n v="0"/>
    <n v="0"/>
    <n v="28700"/>
    <s v="NINGUNA"/>
    <x v="2"/>
    <n v="0"/>
    <n v="179269"/>
    <n v="0.04"/>
    <n v="7200"/>
    <n v="0"/>
    <s v="               "/>
    <n v="0"/>
    <s v="               "/>
    <n v="0"/>
    <s v="NINGUNA"/>
    <x v="0"/>
    <n v="0"/>
    <n v="179269"/>
    <n v="6.9599999999999995E-2"/>
    <s v="5"/>
    <s v="CENTRO TRABAJO 30"/>
    <s v="5711001"/>
    <n v="12500"/>
    <n v="0"/>
    <x v="1"/>
    <n v="179269"/>
    <n v="0.04"/>
    <n v="7200"/>
    <n v="179269"/>
    <n v="0"/>
    <n v="0"/>
    <n v="0"/>
    <n v="0"/>
    <n v="0"/>
    <n v="0"/>
    <n v="0"/>
    <n v="0"/>
    <s v="SI"/>
    <s v="  "/>
    <s v="                "/>
  </r>
  <r>
    <x v="0"/>
    <s v="CC"/>
    <x v="232"/>
    <x v="232"/>
    <s v="ROMERO"/>
    <s v="MELO"/>
    <s v="DANIEL"/>
    <s v="ALEJANDRO"/>
    <s v="BOGOTA_D.E."/>
    <s v="BOGOTA"/>
    <s v="1. DEPENDIENTE"/>
    <s v="NINGUNO"/>
    <n v="170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1"/>
    <n v="2024511"/>
    <n v="0.16"/>
    <n v="324000"/>
    <s v=" "/>
    <n v="0"/>
    <n v="0"/>
    <n v="0"/>
    <n v="0"/>
    <n v="0"/>
    <n v="324000"/>
    <s v="NINGUNA"/>
    <x v="2"/>
    <n v="21"/>
    <n v="2024511"/>
    <n v="0.04"/>
    <n v="81000"/>
    <n v="0"/>
    <s v="               "/>
    <n v="0"/>
    <s v="               "/>
    <n v="0"/>
    <s v="NINGUNA"/>
    <x v="0"/>
    <n v="21"/>
    <n v="2024511"/>
    <n v="6.9599999999999995E-2"/>
    <s v="5"/>
    <s v="CENTRO TRABAJO 24"/>
    <s v="5711001"/>
    <n v="141000"/>
    <n v="21"/>
    <x v="0"/>
    <n v="2472296"/>
    <n v="0.04"/>
    <n v="98900"/>
    <n v="2472296"/>
    <n v="0"/>
    <n v="0"/>
    <n v="0"/>
    <n v="0"/>
    <n v="0"/>
    <n v="0"/>
    <n v="0"/>
    <n v="0"/>
    <s v="SI"/>
    <s v="  "/>
    <s v="                "/>
  </r>
  <r>
    <x v="0"/>
    <s v="CC"/>
    <x v="233"/>
    <x v="233"/>
    <s v="ALMANZA"/>
    <s v="BRANGO"/>
    <s v="WILLIAM"/>
    <s v="DE JESUS"/>
    <s v="BOGOTA_D.E."/>
    <s v="BOGOTA"/>
    <s v="1. DEPENDIENTE"/>
    <s v="NINGUNO"/>
    <n v="162"/>
    <s v="NO"/>
    <s v="NO"/>
    <m/>
    <s v="Todos los sistemas (ARL, AFP, CCF, EPS)"/>
    <n v="46058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26"/>
    <n v="2231156"/>
    <n v="0.16"/>
    <n v="357000"/>
    <s v=" "/>
    <n v="0"/>
    <n v="0"/>
    <n v="0"/>
    <n v="0"/>
    <n v="0"/>
    <n v="357000"/>
    <s v="NINGUNA"/>
    <x v="3"/>
    <n v="26"/>
    <n v="2231156"/>
    <n v="0.04"/>
    <n v="89300"/>
    <n v="0"/>
    <s v="               "/>
    <n v="0"/>
    <s v="               "/>
    <n v="0"/>
    <s v="NINGUNA"/>
    <x v="0"/>
    <n v="26"/>
    <n v="2231156"/>
    <n v="6.9599999999999995E-2"/>
    <s v="5"/>
    <s v="CENTRO TRABAJO 24"/>
    <s v="5711001"/>
    <n v="155300"/>
    <n v="26"/>
    <x v="0"/>
    <n v="2231156"/>
    <n v="0.04"/>
    <n v="89300"/>
    <n v="2231156"/>
    <n v="0"/>
    <n v="0"/>
    <n v="0"/>
    <n v="0"/>
    <n v="0"/>
    <n v="0"/>
    <n v="0"/>
    <n v="0"/>
    <s v="SI"/>
    <s v="  "/>
    <s v="                "/>
  </r>
  <r>
    <x v="0"/>
    <s v="CC"/>
    <x v="234"/>
    <x v="234"/>
    <s v="EPINAYU"/>
    <s v="SAJAUT"/>
    <s v="JEFREY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0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34"/>
    <x v="234"/>
    <s v="EPINAYU"/>
    <s v="SAJAUT"/>
    <s v="JEFREY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0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34"/>
    <x v="234"/>
    <s v="EPINAYU"/>
    <s v="SAJAUT"/>
    <s v="JEFREY"/>
    <s v="ALBERTO"/>
    <s v="LA_GUAJIRA"/>
    <s v="RIOHACHA"/>
    <s v="1. DEPENDIENTE"/>
    <s v="NINGUNO"/>
    <n v="19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8"/>
    <n v="1976195"/>
    <n v="0.16"/>
    <n v="316200"/>
    <s v=" "/>
    <n v="0"/>
    <n v="0"/>
    <n v="0"/>
    <n v="0"/>
    <n v="0"/>
    <n v="316200"/>
    <s v="NINGUNA"/>
    <x v="0"/>
    <n v="28"/>
    <n v="1976195"/>
    <n v="0.04"/>
    <n v="79100"/>
    <n v="0"/>
    <s v="               "/>
    <n v="0"/>
    <s v="               "/>
    <n v="0"/>
    <s v="NINGUNA"/>
    <x v="0"/>
    <n v="28"/>
    <n v="1976195"/>
    <n v="6.9599999999999995E-2"/>
    <s v="5"/>
    <s v="CENTRO TRABAJO 30"/>
    <s v="5711001"/>
    <n v="137600"/>
    <n v="28"/>
    <x v="1"/>
    <n v="1976195"/>
    <n v="0.04"/>
    <n v="79100"/>
    <n v="1976195"/>
    <n v="0"/>
    <n v="0"/>
    <n v="0"/>
    <n v="0"/>
    <n v="0"/>
    <n v="0"/>
    <n v="0"/>
    <n v="0"/>
    <s v="SI"/>
    <s v="  "/>
    <s v="                "/>
  </r>
  <r>
    <x v="0"/>
    <s v="CC"/>
    <x v="235"/>
    <x v="235"/>
    <s v="VIDAL"/>
    <s v="URIANA"/>
    <s v="FABIAN"/>
    <s v="CAMILO"/>
    <s v="LA_GUAJIRA"/>
    <s v="RIOHACHA"/>
    <s v="1. DEPENDIENTE"/>
    <s v="NINGUNO"/>
    <n v="21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159185"/>
    <n v="0.16"/>
    <n v="345500"/>
    <s v=" "/>
    <n v="0"/>
    <n v="0"/>
    <n v="0"/>
    <n v="0"/>
    <n v="0"/>
    <n v="345500"/>
    <s v="NINGUNA"/>
    <x v="7"/>
    <n v="30"/>
    <n v="2159185"/>
    <n v="0.04"/>
    <n v="86400"/>
    <n v="0"/>
    <s v="               "/>
    <n v="0"/>
    <s v="               "/>
    <n v="0"/>
    <s v="NINGUNA"/>
    <x v="0"/>
    <n v="30"/>
    <n v="2159185"/>
    <n v="6.9599999999999995E-2"/>
    <s v="5"/>
    <s v="CENTRO TRABAJO 30"/>
    <s v="5711001"/>
    <n v="150300"/>
    <n v="30"/>
    <x v="1"/>
    <n v="2159185"/>
    <n v="0.04"/>
    <n v="86400"/>
    <n v="2159185"/>
    <n v="0"/>
    <n v="0"/>
    <n v="0"/>
    <n v="0"/>
    <n v="0"/>
    <n v="0"/>
    <n v="0"/>
    <n v="0"/>
    <s v="SI"/>
    <s v="  "/>
    <s v="                "/>
  </r>
  <r>
    <x v="0"/>
    <s v="CC"/>
    <x v="236"/>
    <x v="236"/>
    <s v="PASTRANA"/>
    <s v="PASTRANA"/>
    <s v="CARLOS"/>
    <s v="MARIO"/>
    <s v="BOGOTA_D.E."/>
    <s v="BOGOT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30"/>
    <n v="2213305"/>
    <n v="0.16"/>
    <n v="354200"/>
    <s v=" "/>
    <n v="0"/>
    <n v="0"/>
    <n v="0"/>
    <n v="0"/>
    <n v="0"/>
    <n v="354200"/>
    <s v="NINGUNA"/>
    <x v="3"/>
    <n v="30"/>
    <n v="2213305"/>
    <n v="0.04"/>
    <n v="88600"/>
    <n v="0"/>
    <s v="               "/>
    <n v="0"/>
    <s v="               "/>
    <n v="0"/>
    <s v="NINGUNA"/>
    <x v="0"/>
    <n v="30"/>
    <n v="2213305"/>
    <n v="6.9599999999999995E-2"/>
    <s v="5"/>
    <s v="CENTRO TRABAJO 24"/>
    <s v="5711001"/>
    <n v="154100"/>
    <n v="30"/>
    <x v="0"/>
    <n v="2213305"/>
    <n v="0.04"/>
    <n v="88600"/>
    <n v="2213305"/>
    <n v="0"/>
    <n v="0"/>
    <n v="0"/>
    <n v="0"/>
    <n v="0"/>
    <n v="0"/>
    <n v="0"/>
    <n v="0"/>
    <s v="SI"/>
    <s v="  "/>
    <s v="                "/>
  </r>
  <r>
    <x v="0"/>
    <s v="CC"/>
    <x v="237"/>
    <x v="237"/>
    <s v="NUÑEZ"/>
    <s v="POLANIA"/>
    <s v="CRISTIAN"/>
    <s v="MANU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4678846"/>
    <s v="NO"/>
    <s v="NO"/>
    <x v="1"/>
    <n v="1"/>
    <n v="155962"/>
    <n v="0.16"/>
    <n v="25000"/>
    <s v=" "/>
    <n v="0"/>
    <n v="0"/>
    <n v="0"/>
    <n v="0"/>
    <n v="0"/>
    <n v="25000"/>
    <s v="NINGUNA"/>
    <x v="2"/>
    <n v="1"/>
    <n v="155962"/>
    <n v="0.04"/>
    <n v="6300"/>
    <n v="0"/>
    <s v="               "/>
    <n v="0"/>
    <s v="               "/>
    <n v="0"/>
    <s v="NINGUNA"/>
    <x v="0"/>
    <n v="1"/>
    <n v="155962"/>
    <n v="0"/>
    <s v="5"/>
    <s v="CENTRO TRABAJO 24"/>
    <s v="5711001"/>
    <n v="0"/>
    <n v="1"/>
    <x v="0"/>
    <n v="155962"/>
    <n v="0.04"/>
    <n v="6300"/>
    <n v="155962"/>
    <n v="0"/>
    <n v="0"/>
    <n v="0"/>
    <n v="0"/>
    <n v="0"/>
    <n v="0"/>
    <n v="0"/>
    <n v="0"/>
    <s v="SI"/>
    <s v="  "/>
    <s v="                "/>
  </r>
  <r>
    <x v="0"/>
    <s v="CC"/>
    <x v="237"/>
    <x v="237"/>
    <s v="NUÑEZ"/>
    <s v="POLANIA"/>
    <s v="CRISTIAN"/>
    <s v="MANUEL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678846"/>
    <s v="NO"/>
    <s v="NO"/>
    <x v="1"/>
    <n v="29"/>
    <n v="4522885"/>
    <n v="0.16"/>
    <n v="723700"/>
    <s v=" "/>
    <n v="0"/>
    <n v="0"/>
    <n v="0"/>
    <n v="0"/>
    <n v="0"/>
    <n v="723700"/>
    <s v="NINGUNA"/>
    <x v="2"/>
    <n v="29"/>
    <n v="4522885"/>
    <n v="0.04"/>
    <n v="181000"/>
    <n v="0"/>
    <s v="               "/>
    <n v="0"/>
    <s v="               "/>
    <n v="0"/>
    <s v="NINGUNA"/>
    <x v="0"/>
    <n v="29"/>
    <n v="4522885"/>
    <n v="6.9599999999999995E-2"/>
    <s v="5"/>
    <s v="CENTRO TRABAJO 24"/>
    <s v="5711001"/>
    <n v="314800"/>
    <n v="29"/>
    <x v="0"/>
    <n v="4522885"/>
    <n v="0.04"/>
    <n v="181000"/>
    <n v="4522885"/>
    <n v="0"/>
    <n v="0"/>
    <n v="0"/>
    <n v="0"/>
    <n v="0"/>
    <n v="0"/>
    <n v="0"/>
    <n v="0"/>
    <s v="SI"/>
    <s v="  "/>
    <s v="                "/>
  </r>
  <r>
    <x v="0"/>
    <s v="CC"/>
    <x v="238"/>
    <x v="238"/>
    <s v="RODRIGUEZ"/>
    <s v="AMAYA"/>
    <s v="WILKEN"/>
    <s v="NAWELL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2"/>
    <n v="30"/>
    <n v="4024292"/>
    <n v="0.16"/>
    <n v="643900"/>
    <s v=" "/>
    <n v="0"/>
    <n v="0"/>
    <n v="0"/>
    <n v="0"/>
    <n v="0"/>
    <n v="643900"/>
    <s v="NINGUNA"/>
    <x v="2"/>
    <n v="30"/>
    <n v="4024292"/>
    <n v="0.04"/>
    <n v="161000"/>
    <n v="0"/>
    <s v="               "/>
    <n v="0"/>
    <s v="               "/>
    <n v="0"/>
    <s v="NINGUNA"/>
    <x v="0"/>
    <n v="30"/>
    <n v="4024292"/>
    <n v="2.436E-2"/>
    <s v="3"/>
    <s v="CENTRO TRABAJO 24"/>
    <s v="3711001"/>
    <n v="98100"/>
    <n v="30"/>
    <x v="0"/>
    <n v="4024292"/>
    <n v="0.04"/>
    <n v="161000"/>
    <n v="4024292"/>
    <n v="0"/>
    <n v="0"/>
    <n v="0"/>
    <n v="0"/>
    <n v="0"/>
    <n v="0"/>
    <n v="0"/>
    <n v="0"/>
    <s v="SI"/>
    <s v="  "/>
    <s v="                "/>
  </r>
  <r>
    <x v="0"/>
    <s v="CC"/>
    <x v="239"/>
    <x v="239"/>
    <s v="JIMENEZ"/>
    <s v="MORENO"/>
    <s v="JUAN"/>
    <s v="CARLOS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30"/>
    <n v="2039231"/>
    <n v="0.16"/>
    <n v="326300"/>
    <s v=" "/>
    <n v="0"/>
    <n v="0"/>
    <n v="0"/>
    <n v="0"/>
    <n v="0"/>
    <n v="326300"/>
    <s v="NINGUNA"/>
    <x v="0"/>
    <n v="30"/>
    <n v="2039231"/>
    <n v="0.04"/>
    <n v="81600"/>
    <n v="0"/>
    <s v="               "/>
    <n v="0"/>
    <s v="               "/>
    <n v="0"/>
    <s v="NINGUNA"/>
    <x v="0"/>
    <n v="30"/>
    <n v="2039231"/>
    <n v="6.9599999999999995E-2"/>
    <s v="5"/>
    <s v="CENTRO TRABAJO 30"/>
    <s v="5711001"/>
    <n v="142000"/>
    <n v="30"/>
    <x v="1"/>
    <n v="2039231"/>
    <n v="0.04"/>
    <n v="81600"/>
    <n v="2039231"/>
    <n v="0"/>
    <n v="0"/>
    <n v="0"/>
    <n v="0"/>
    <n v="0"/>
    <n v="0"/>
    <n v="0"/>
    <n v="0"/>
    <s v="SI"/>
    <s v="  "/>
    <s v="                "/>
  </r>
  <r>
    <x v="0"/>
    <s v="CC"/>
    <x v="240"/>
    <x v="240"/>
    <s v="MARTINEZ"/>
    <s v="REYES"/>
    <s v="ALVARO"/>
    <s v="ENRIQUE"/>
    <s v="BOGOTA_D.E."/>
    <s v="BOGOTA"/>
    <s v="1. DEPENDIENTE"/>
    <s v="NINGUNO"/>
    <n v="123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15"/>
    <n v="2357412"/>
    <n v="0.16"/>
    <n v="377200"/>
    <s v=" "/>
    <n v="0"/>
    <n v="0"/>
    <n v="0"/>
    <n v="0"/>
    <n v="0"/>
    <n v="377200"/>
    <s v="NINGUNA"/>
    <x v="0"/>
    <n v="15"/>
    <n v="2357412"/>
    <n v="0.04"/>
    <n v="94300"/>
    <n v="0"/>
    <s v="               "/>
    <n v="0"/>
    <s v="               "/>
    <n v="0"/>
    <s v="NINGUNA"/>
    <x v="0"/>
    <n v="15"/>
    <n v="2357412"/>
    <n v="6.9599999999999995E-2"/>
    <s v="5"/>
    <s v="CENTRO TRABAJO 24"/>
    <s v="5711001"/>
    <n v="164100"/>
    <n v="15"/>
    <x v="0"/>
    <n v="2926830"/>
    <n v="0.04"/>
    <n v="117100"/>
    <n v="2926830"/>
    <n v="0"/>
    <n v="0"/>
    <n v="0"/>
    <n v="0"/>
    <n v="0"/>
    <n v="0"/>
    <n v="0"/>
    <n v="0"/>
    <s v="SI"/>
    <s v="  "/>
    <s v="                "/>
  </r>
  <r>
    <x v="0"/>
    <s v="CC"/>
    <x v="241"/>
    <x v="241"/>
    <s v="RUA"/>
    <s v="VILLALOBOS"/>
    <s v="FABIAN"/>
    <s v="DE JESUS"/>
    <s v="BOGOTA_D.E."/>
    <s v="BOGOTA"/>
    <s v="1. DEPENDIENTE"/>
    <s v="NINGUNO"/>
    <n v="279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296814"/>
    <s v="NO"/>
    <s v="NO"/>
    <x v="1"/>
    <n v="30"/>
    <n v="4057791"/>
    <n v="0.16"/>
    <n v="649300"/>
    <s v=" "/>
    <n v="0"/>
    <n v="0"/>
    <n v="0"/>
    <n v="0"/>
    <n v="0"/>
    <n v="649300"/>
    <s v="NINGUNA"/>
    <x v="12"/>
    <n v="30"/>
    <n v="4057791"/>
    <n v="0.04"/>
    <n v="162400"/>
    <n v="0"/>
    <s v="               "/>
    <n v="0"/>
    <s v="               "/>
    <n v="0"/>
    <s v="NINGUNA"/>
    <x v="0"/>
    <n v="30"/>
    <n v="4057791"/>
    <n v="6.9599999999999995E-2"/>
    <s v="5"/>
    <s v="CENTRO TRABAJO 24"/>
    <s v="5711001"/>
    <n v="282500"/>
    <n v="30"/>
    <x v="0"/>
    <n v="4057791"/>
    <n v="0.04"/>
    <n v="162400"/>
    <n v="4057791"/>
    <n v="0"/>
    <n v="0"/>
    <n v="0"/>
    <n v="0"/>
    <n v="0"/>
    <n v="0"/>
    <n v="0"/>
    <n v="0"/>
    <s v="SI"/>
    <s v="  "/>
    <s v="                "/>
  </r>
  <r>
    <x v="0"/>
    <s v="CC"/>
    <x v="242"/>
    <x v="242"/>
    <s v="SARMIENTO"/>
    <s v="RIVAS"/>
    <s v="JULIO"/>
    <s v="JOSE"/>
    <s v="BOGOTA_D.E."/>
    <s v="BOGOTA"/>
    <s v="1. DEPENDIENTE"/>
    <s v="NINGUNO"/>
    <n v="20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30"/>
    <n v="2519784"/>
    <n v="0.16"/>
    <n v="403200"/>
    <s v=" "/>
    <n v="0"/>
    <n v="0"/>
    <n v="0"/>
    <n v="0"/>
    <n v="0"/>
    <n v="403200"/>
    <s v="NINGUNA"/>
    <x v="3"/>
    <n v="30"/>
    <n v="2519784"/>
    <n v="0.04"/>
    <n v="100800"/>
    <n v="0"/>
    <s v="               "/>
    <n v="0"/>
    <s v="               "/>
    <n v="0"/>
    <s v="NINGUNA"/>
    <x v="0"/>
    <n v="30"/>
    <n v="2519784"/>
    <n v="6.9599999999999995E-2"/>
    <s v="5"/>
    <s v="CENTRO TRABAJO 24"/>
    <s v="5711001"/>
    <n v="175400"/>
    <n v="30"/>
    <x v="0"/>
    <n v="2513890"/>
    <n v="0.04"/>
    <n v="100600"/>
    <n v="2513890"/>
    <n v="0"/>
    <n v="0"/>
    <n v="0"/>
    <n v="0"/>
    <n v="0"/>
    <n v="0"/>
    <n v="0"/>
    <n v="0"/>
    <s v="SI"/>
    <s v="  "/>
    <s v="                "/>
  </r>
  <r>
    <x v="0"/>
    <s v="CC"/>
    <x v="243"/>
    <x v="243"/>
    <s v="JAIMES"/>
    <s v="BALLESTEROS"/>
    <s v="JUAN"/>
    <s v="CARLOS AUGUSTO"/>
    <s v="BOGOTA_D.E."/>
    <s v="BOGOTA"/>
    <s v="1. DEPENDIENTE"/>
    <s v="NINGUNO"/>
    <n v="20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0"/>
    <n v="2764436"/>
    <n v="0.16"/>
    <n v="442400"/>
    <s v=" "/>
    <n v="0"/>
    <n v="0"/>
    <n v="0"/>
    <n v="0"/>
    <n v="0"/>
    <n v="442400"/>
    <s v="NINGUNA"/>
    <x v="10"/>
    <n v="30"/>
    <n v="2764436"/>
    <n v="0.04"/>
    <n v="110600"/>
    <n v="0"/>
    <s v="               "/>
    <n v="0"/>
    <s v="               "/>
    <n v="0"/>
    <s v="NINGUNA"/>
    <x v="0"/>
    <n v="30"/>
    <n v="2764436"/>
    <n v="6.9599999999999995E-2"/>
    <s v="5"/>
    <s v="CENTRO TRABAJO 24"/>
    <s v="5711001"/>
    <n v="192500"/>
    <n v="30"/>
    <x v="0"/>
    <n v="2764436"/>
    <n v="0.04"/>
    <n v="110600"/>
    <n v="2764436"/>
    <n v="0"/>
    <n v="0"/>
    <n v="0"/>
    <n v="0"/>
    <n v="0"/>
    <n v="0"/>
    <n v="0"/>
    <n v="0"/>
    <s v="SI"/>
    <s v="  "/>
    <s v="                "/>
  </r>
  <r>
    <x v="0"/>
    <s v="CC"/>
    <x v="244"/>
    <x v="244"/>
    <s v="PEREZ"/>
    <s v="ESPEJO"/>
    <s v="JOSE"/>
    <s v="DANIEL"/>
    <s v="BOGOTA_D.E."/>
    <s v="BOGOTA"/>
    <s v="1. DEPENDIENTE"/>
    <s v="NINGUNO"/>
    <n v="171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0"/>
    <n v="21"/>
    <n v="3338580"/>
    <n v="0.16"/>
    <n v="534200"/>
    <s v=" "/>
    <n v="0"/>
    <n v="0"/>
    <n v="0"/>
    <n v="0"/>
    <n v="0"/>
    <n v="534200"/>
    <s v="NINGUNA"/>
    <x v="0"/>
    <n v="21"/>
    <n v="3338580"/>
    <n v="0.04"/>
    <n v="133600"/>
    <n v="0"/>
    <s v="               "/>
    <n v="0"/>
    <s v="               "/>
    <n v="0"/>
    <s v="NINGUNA"/>
    <x v="0"/>
    <n v="21"/>
    <n v="3338580"/>
    <n v="6.9599999999999995E-2"/>
    <s v="5"/>
    <s v="CENTRO TRABAJO 24"/>
    <s v="5711001"/>
    <n v="232400"/>
    <n v="21"/>
    <x v="0"/>
    <n v="3978792"/>
    <n v="0.04"/>
    <n v="159200"/>
    <n v="3978792"/>
    <n v="0"/>
    <n v="0"/>
    <n v="0"/>
    <n v="0"/>
    <n v="0"/>
    <n v="0"/>
    <n v="0"/>
    <n v="0"/>
    <s v="SI"/>
    <s v="  "/>
    <s v="                "/>
  </r>
  <r>
    <x v="0"/>
    <s v="CC"/>
    <x v="245"/>
    <x v="245"/>
    <s v="PEREZ"/>
    <s v="URREA"/>
    <s v="REMBERT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6373428"/>
    <s v="NO"/>
    <s v="NO"/>
    <x v="0"/>
    <n v="7"/>
    <n v="1487134"/>
    <n v="0.16"/>
    <n v="238000"/>
    <s v=" "/>
    <n v="0"/>
    <n v="0"/>
    <n v="0"/>
    <n v="0"/>
    <n v="0"/>
    <n v="238000"/>
    <s v="NINGUNA"/>
    <x v="0"/>
    <n v="7"/>
    <n v="1487134"/>
    <n v="0.04"/>
    <n v="59500"/>
    <n v="0"/>
    <s v="               "/>
    <n v="0"/>
    <s v="               "/>
    <n v="0"/>
    <s v="NINGUNA"/>
    <x v="0"/>
    <n v="7"/>
    <n v="1487134"/>
    <n v="0"/>
    <s v="5"/>
    <s v="CENTRO TRABAJO 30"/>
    <s v="5711001"/>
    <n v="0"/>
    <n v="7"/>
    <x v="1"/>
    <n v="1487134"/>
    <n v="0.04"/>
    <n v="59500"/>
    <n v="1487134"/>
    <n v="0"/>
    <n v="0"/>
    <n v="0"/>
    <n v="0"/>
    <n v="0"/>
    <n v="0"/>
    <n v="0"/>
    <n v="0"/>
    <s v="SI"/>
    <s v="  "/>
    <s v="                "/>
  </r>
  <r>
    <x v="0"/>
    <s v="CC"/>
    <x v="245"/>
    <x v="245"/>
    <s v="PEREZ"/>
    <s v="URREA"/>
    <s v="REMBERTO"/>
    <s v="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6373428"/>
    <s v="NO"/>
    <s v="NO"/>
    <x v="0"/>
    <n v="23"/>
    <n v="4886295"/>
    <n v="0.16"/>
    <n v="781900"/>
    <s v=" "/>
    <n v="0"/>
    <n v="0"/>
    <n v="0"/>
    <n v="0"/>
    <n v="0"/>
    <n v="781900"/>
    <s v="NINGUNA"/>
    <x v="0"/>
    <n v="23"/>
    <n v="4886295"/>
    <n v="0.04"/>
    <n v="195500"/>
    <n v="0"/>
    <s v="               "/>
    <n v="0"/>
    <s v="               "/>
    <n v="0"/>
    <s v="NINGUNA"/>
    <x v="0"/>
    <n v="23"/>
    <n v="4886295"/>
    <n v="6.9599999999999995E-2"/>
    <s v="5"/>
    <s v="CENTRO TRABAJO 30"/>
    <s v="5711001"/>
    <n v="340100"/>
    <n v="23"/>
    <x v="1"/>
    <n v="4886295"/>
    <n v="0.04"/>
    <n v="195500"/>
    <n v="4886295"/>
    <n v="0"/>
    <n v="0"/>
    <n v="0"/>
    <n v="0"/>
    <n v="0"/>
    <n v="0"/>
    <n v="0"/>
    <n v="0"/>
    <s v="SI"/>
    <s v="  "/>
    <s v="                "/>
  </r>
  <r>
    <x v="0"/>
    <s v="CC"/>
    <x v="246"/>
    <x v="246"/>
    <s v="DAZA"/>
    <s v="MACARENO"/>
    <s v="RAFAEL"/>
    <s v="SEGUND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223339"/>
    <s v="NO"/>
    <s v="NO"/>
    <x v="1"/>
    <n v="5"/>
    <n v="370557"/>
    <n v="0.16"/>
    <n v="59300"/>
    <s v=" "/>
    <n v="0"/>
    <n v="0"/>
    <n v="0"/>
    <n v="0"/>
    <n v="0"/>
    <n v="59300"/>
    <s v="NINGUNA"/>
    <x v="10"/>
    <n v="5"/>
    <n v="370557"/>
    <n v="0.04"/>
    <n v="14900"/>
    <n v="0"/>
    <s v="               "/>
    <n v="0"/>
    <s v="               "/>
    <n v="0"/>
    <s v="NINGUNA"/>
    <x v="0"/>
    <n v="5"/>
    <n v="370557"/>
    <n v="0"/>
    <s v="5"/>
    <s v="CENTRO TRABAJO 30"/>
    <s v="5711001"/>
    <n v="0"/>
    <n v="5"/>
    <x v="1"/>
    <n v="370557"/>
    <n v="0.04"/>
    <n v="14900"/>
    <n v="370557"/>
    <n v="0"/>
    <n v="0"/>
    <n v="0"/>
    <n v="0"/>
    <n v="0"/>
    <n v="0"/>
    <n v="0"/>
    <n v="0"/>
    <s v="SI"/>
    <s v="  "/>
    <s v="                "/>
  </r>
  <r>
    <x v="0"/>
    <s v="CC"/>
    <x v="246"/>
    <x v="246"/>
    <s v="DAZA"/>
    <s v="MACARENO"/>
    <s v="RAFAEL"/>
    <s v="SEGUNDO"/>
    <s v="LA_GUAJIRA"/>
    <s v="RIOHACHA"/>
    <s v="1. DEPENDIENTE"/>
    <s v="NINGUNO"/>
    <n v="15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25"/>
    <n v="2258150"/>
    <n v="0.16"/>
    <n v="361400"/>
    <s v=" "/>
    <n v="0"/>
    <n v="0"/>
    <n v="0"/>
    <n v="0"/>
    <n v="0"/>
    <n v="361400"/>
    <s v="NINGUNA"/>
    <x v="10"/>
    <n v="25"/>
    <n v="2258150"/>
    <n v="0.04"/>
    <n v="90400"/>
    <n v="0"/>
    <s v="               "/>
    <n v="0"/>
    <s v="               "/>
    <n v="0"/>
    <s v="NINGUNA"/>
    <x v="0"/>
    <n v="25"/>
    <n v="2258150"/>
    <n v="6.9599999999999995E-2"/>
    <s v="5"/>
    <s v="CENTRO TRABAJO 30"/>
    <s v="5711001"/>
    <n v="157200"/>
    <n v="25"/>
    <x v="1"/>
    <n v="2207001"/>
    <n v="0.04"/>
    <n v="88300"/>
    <n v="2207001"/>
    <n v="0"/>
    <n v="0"/>
    <n v="0"/>
    <n v="0"/>
    <n v="0"/>
    <n v="0"/>
    <n v="0"/>
    <n v="0"/>
    <s v="SI"/>
    <s v="  "/>
    <s v="                "/>
  </r>
  <r>
    <x v="0"/>
    <s v="CC"/>
    <x v="247"/>
    <x v="247"/>
    <s v="PORRAS"/>
    <s v="RAMIREZ"/>
    <s v="LAUREANO"/>
    <s v=""/>
    <s v="LA_GUAJIRA"/>
    <s v="RIOHACHA"/>
    <s v="1. DEPENDIENTE"/>
    <s v="1. DEPENDIENTE PENSIONADO ACTIVO"/>
    <n v="171"/>
    <s v="NO"/>
    <s v="NO"/>
    <m/>
    <s v="NO"/>
    <m/>
    <s v="Todos los sistemas (ARL, AFP, CCF, EPS)"/>
    <n v="46079"/>
    <s v="NO"/>
    <s v="NO"/>
    <s v="SI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842037"/>
    <s v="NO"/>
    <s v="NO"/>
    <x v="5"/>
    <n v="0"/>
    <n v="0"/>
    <n v="0"/>
    <n v="0"/>
    <s v=" "/>
    <n v="0"/>
    <n v="0"/>
    <n v="0"/>
    <n v="0"/>
    <n v="0"/>
    <n v="0"/>
    <s v="NINGUNA"/>
    <x v="0"/>
    <n v="26"/>
    <n v="5223985"/>
    <n v="0.04"/>
    <n v="209000"/>
    <n v="0"/>
    <s v="               "/>
    <n v="0"/>
    <s v="               "/>
    <n v="0"/>
    <s v="NINGUNA"/>
    <x v="0"/>
    <n v="26"/>
    <n v="5223985"/>
    <n v="6.9599999999999995E-2"/>
    <s v="5"/>
    <s v="CENTRO TRABAJO 30"/>
    <s v="5711001"/>
    <n v="363600"/>
    <n v="26"/>
    <x v="1"/>
    <n v="5310412"/>
    <n v="0.04"/>
    <n v="212500"/>
    <n v="5310412"/>
    <n v="0"/>
    <n v="0"/>
    <n v="0"/>
    <n v="0"/>
    <n v="0"/>
    <n v="0"/>
    <n v="0"/>
    <n v="0"/>
    <s v="SI"/>
    <s v="  "/>
    <s v="                "/>
  </r>
  <r>
    <x v="0"/>
    <s v="CC"/>
    <x v="248"/>
    <x v="248"/>
    <s v="HERRERA"/>
    <s v=""/>
    <s v="ANDRES"/>
    <s v=""/>
    <s v="LA_GUAJIRA"/>
    <s v="RIOHACHA"/>
    <s v="1. DEPENDIENTE"/>
    <s v="1. DEPENDIENTE PENSIONADO ACTIV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6"/>
    <n v="46080"/>
    <s v="NO"/>
    <s v="NO"/>
    <m/>
    <m/>
    <n v="0"/>
    <m/>
    <m/>
    <s v="NO"/>
    <n v="2970185"/>
    <s v="NO"/>
    <s v="NO"/>
    <x v="5"/>
    <n v="0"/>
    <n v="0"/>
    <n v="0"/>
    <n v="0"/>
    <s v=" "/>
    <n v="0"/>
    <n v="0"/>
    <n v="0"/>
    <n v="0"/>
    <n v="0"/>
    <n v="0"/>
    <s v="NINGUNA"/>
    <x v="0"/>
    <n v="5"/>
    <n v="495031"/>
    <n v="0.04"/>
    <n v="19900"/>
    <n v="0"/>
    <s v="               "/>
    <n v="0"/>
    <s v="               "/>
    <n v="0"/>
    <s v="NINGUNA"/>
    <x v="0"/>
    <n v="5"/>
    <n v="495031"/>
    <n v="0"/>
    <s v="5"/>
    <s v="CENTRO TRABAJO 30"/>
    <s v="5711001"/>
    <n v="0"/>
    <n v="5"/>
    <x v="1"/>
    <n v="495031"/>
    <n v="0.04"/>
    <n v="19900"/>
    <n v="495031"/>
    <n v="0"/>
    <n v="0"/>
    <n v="0"/>
    <n v="0"/>
    <n v="0"/>
    <n v="0"/>
    <n v="0"/>
    <n v="0"/>
    <s v="SI"/>
    <s v="  "/>
    <s v="                "/>
  </r>
  <r>
    <x v="0"/>
    <s v="CC"/>
    <x v="248"/>
    <x v="248"/>
    <s v="HERRERA"/>
    <s v=""/>
    <s v="ANDRES"/>
    <s v=""/>
    <s v="LA_GUAJIRA"/>
    <s v="RIOHACHA"/>
    <s v="1. DEPENDIENTE"/>
    <s v="1. DEPENDIENTE PENSIONADO ACTIVO"/>
    <n v="158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5"/>
    <n v="0"/>
    <n v="0"/>
    <n v="0"/>
    <n v="0"/>
    <s v=" "/>
    <n v="0"/>
    <n v="0"/>
    <n v="0"/>
    <n v="0"/>
    <n v="0"/>
    <n v="0"/>
    <s v="NINGUNA"/>
    <x v="0"/>
    <n v="25"/>
    <n v="3829605"/>
    <n v="0.04"/>
    <n v="153200"/>
    <n v="0"/>
    <s v="               "/>
    <n v="0"/>
    <s v="               "/>
    <n v="0"/>
    <s v="NINGUNA"/>
    <x v="0"/>
    <n v="25"/>
    <n v="3829605"/>
    <n v="6.9599999999999995E-2"/>
    <s v="5"/>
    <s v="CENTRO TRABAJO 30"/>
    <s v="5711001"/>
    <n v="266600"/>
    <n v="25"/>
    <x v="1"/>
    <n v="4680734"/>
    <n v="0.04"/>
    <n v="187300"/>
    <n v="4680734"/>
    <n v="0"/>
    <n v="0"/>
    <n v="0"/>
    <n v="0"/>
    <n v="0"/>
    <n v="0"/>
    <n v="0"/>
    <n v="0"/>
    <s v="SI"/>
    <s v="  "/>
    <s v="                "/>
  </r>
  <r>
    <x v="0"/>
    <s v="CC"/>
    <x v="249"/>
    <x v="249"/>
    <s v="CARRILLO"/>
    <s v="AGUDELO"/>
    <s v="CARLOS"/>
    <s v="ALBERTO"/>
    <s v="BOGOTA_D.E."/>
    <s v="BOGOTA"/>
    <s v="1. DEPENDIENTE"/>
    <s v="NINGUNO"/>
    <n v="20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204670"/>
    <n v="0.16"/>
    <n v="352800"/>
    <s v=" "/>
    <n v="0"/>
    <n v="0"/>
    <n v="0"/>
    <n v="0"/>
    <n v="0"/>
    <n v="352800"/>
    <s v="NINGUNA"/>
    <x v="8"/>
    <n v="30"/>
    <n v="2204670"/>
    <n v="0.04"/>
    <n v="88200"/>
    <n v="0"/>
    <s v="               "/>
    <n v="0"/>
    <s v="               "/>
    <n v="0"/>
    <s v="NINGUNA"/>
    <x v="0"/>
    <n v="30"/>
    <n v="2204670"/>
    <n v="6.9599999999999995E-2"/>
    <s v="5"/>
    <s v="CENTRO TRABAJO 24"/>
    <s v="5711001"/>
    <n v="153500"/>
    <n v="30"/>
    <x v="0"/>
    <n v="2204670"/>
    <n v="0.04"/>
    <n v="88200"/>
    <n v="2204670"/>
    <n v="0"/>
    <n v="0"/>
    <n v="0"/>
    <n v="0"/>
    <n v="0"/>
    <n v="0"/>
    <n v="0"/>
    <n v="0"/>
    <s v="SI"/>
    <s v="  "/>
    <s v="                "/>
  </r>
  <r>
    <x v="0"/>
    <s v="CC"/>
    <x v="250"/>
    <x v="250"/>
    <s v="RAMIREZ"/>
    <s v=""/>
    <s v="JHOJAN"/>
    <s v="ERIZON"/>
    <s v="BOGOTA_D.E."/>
    <s v="BOGOTA"/>
    <s v="1. DEPENDIENTE"/>
    <s v="NINGUNO"/>
    <n v="21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2996236"/>
    <n v="0.16"/>
    <n v="479400"/>
    <s v=" "/>
    <n v="0"/>
    <n v="0"/>
    <n v="0"/>
    <n v="0"/>
    <n v="0"/>
    <n v="479400"/>
    <s v="NINGUNA"/>
    <x v="3"/>
    <n v="30"/>
    <n v="2996236"/>
    <n v="0.04"/>
    <n v="119900"/>
    <n v="0"/>
    <s v="               "/>
    <n v="0"/>
    <s v="               "/>
    <n v="0"/>
    <s v="NINGUNA"/>
    <x v="0"/>
    <n v="30"/>
    <n v="2996236"/>
    <n v="6.9599999999999995E-2"/>
    <s v="5"/>
    <s v="CENTRO TRABAJO 24"/>
    <s v="5711001"/>
    <n v="208600"/>
    <n v="30"/>
    <x v="0"/>
    <n v="2996236"/>
    <n v="0.04"/>
    <n v="119900"/>
    <n v="2996236"/>
    <n v="0"/>
    <n v="0"/>
    <n v="0"/>
    <n v="0"/>
    <n v="0"/>
    <n v="0"/>
    <n v="0"/>
    <n v="0"/>
    <s v="SI"/>
    <s v="  "/>
    <s v="                "/>
  </r>
  <r>
    <x v="0"/>
    <s v="CC"/>
    <x v="251"/>
    <x v="251"/>
    <s v="GONZALEZ"/>
    <s v="MURILLO"/>
    <s v="EDGAR"/>
    <s v="HERNAN"/>
    <s v="VALLE"/>
    <s v="CALI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1889179"/>
    <s v="NO"/>
    <s v="NO"/>
    <x v="1"/>
    <n v="7"/>
    <n v="440809"/>
    <n v="0.16"/>
    <n v="70600"/>
    <s v=" "/>
    <n v="0"/>
    <n v="0"/>
    <n v="0"/>
    <n v="0"/>
    <n v="0"/>
    <n v="70600"/>
    <s v="NINGUNA"/>
    <x v="14"/>
    <n v="7"/>
    <n v="440809"/>
    <n v="0.04"/>
    <n v="17700"/>
    <n v="0"/>
    <s v="               "/>
    <n v="0"/>
    <s v="               "/>
    <n v="0"/>
    <s v="NINGUNA"/>
    <x v="0"/>
    <n v="7"/>
    <n v="440809"/>
    <n v="0"/>
    <s v="5"/>
    <s v="CENTRO TRABAJO 56"/>
    <s v="5711001"/>
    <n v="0"/>
    <n v="7"/>
    <x v="3"/>
    <n v="440809"/>
    <n v="0.04"/>
    <n v="17700"/>
    <n v="440809"/>
    <n v="0"/>
    <n v="0"/>
    <n v="0"/>
    <n v="0"/>
    <n v="0"/>
    <n v="0"/>
    <n v="0"/>
    <n v="0"/>
    <s v="SI"/>
    <s v="  "/>
    <s v="                "/>
  </r>
  <r>
    <x v="0"/>
    <s v="CC"/>
    <x v="251"/>
    <x v="251"/>
    <s v="GONZALEZ"/>
    <s v="MURILLO"/>
    <s v="EDGAR"/>
    <s v="HERNAN"/>
    <s v="VALLE"/>
    <s v="CALI"/>
    <s v="1. DEPENDIENTE"/>
    <s v="NINGUNO"/>
    <n v="15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1"/>
    <n v="23"/>
    <n v="1736234"/>
    <n v="0.16"/>
    <n v="277800"/>
    <s v=" "/>
    <n v="0"/>
    <n v="0"/>
    <n v="0"/>
    <n v="0"/>
    <n v="0"/>
    <n v="277800"/>
    <s v="NINGUNA"/>
    <x v="14"/>
    <n v="23"/>
    <n v="1736234"/>
    <n v="0.04"/>
    <n v="69500"/>
    <n v="0"/>
    <s v="               "/>
    <n v="0"/>
    <s v="               "/>
    <n v="0"/>
    <s v="NINGUNA"/>
    <x v="0"/>
    <n v="23"/>
    <n v="1736234"/>
    <n v="6.9599999999999995E-2"/>
    <s v="5"/>
    <s v="CENTRO TRABAJO 56"/>
    <s v="5711001"/>
    <n v="120900"/>
    <n v="23"/>
    <x v="3"/>
    <n v="1711570"/>
    <n v="0.04"/>
    <n v="68500"/>
    <n v="1711570"/>
    <n v="0"/>
    <n v="0"/>
    <n v="0"/>
    <n v="0"/>
    <n v="0"/>
    <n v="0"/>
    <n v="0"/>
    <n v="0"/>
    <s v="SI"/>
    <s v="  "/>
    <s v="                "/>
  </r>
  <r>
    <x v="0"/>
    <s v="CC"/>
    <x v="252"/>
    <x v="252"/>
    <s v="CAMPO"/>
    <s v="BRITO"/>
    <s v="EFRAIN"/>
    <s v="FRANCISC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4"/>
    <n v="30"/>
    <n v="2110655"/>
    <n v="0.16"/>
    <n v="337800"/>
    <s v=" "/>
    <n v="0"/>
    <n v="0"/>
    <n v="0"/>
    <n v="0"/>
    <n v="0"/>
    <n v="337800"/>
    <s v="NINGUNA"/>
    <x v="2"/>
    <n v="30"/>
    <n v="2110655"/>
    <n v="0.04"/>
    <n v="84500"/>
    <n v="0"/>
    <s v="               "/>
    <n v="0"/>
    <s v="               "/>
    <n v="0"/>
    <s v="NINGUNA"/>
    <x v="0"/>
    <n v="30"/>
    <n v="2110655"/>
    <n v="6.9599999999999995E-2"/>
    <s v="5"/>
    <s v="CENTRO TRABAJO 30"/>
    <s v="5711001"/>
    <n v="147000"/>
    <n v="30"/>
    <x v="1"/>
    <n v="2110655"/>
    <n v="0.04"/>
    <n v="84500"/>
    <n v="2110655"/>
    <n v="0"/>
    <n v="0"/>
    <n v="0"/>
    <n v="0"/>
    <n v="0"/>
    <n v="0"/>
    <n v="0"/>
    <n v="0"/>
    <s v="SI"/>
    <s v="  "/>
    <s v="                "/>
  </r>
  <r>
    <x v="0"/>
    <s v="CC"/>
    <x v="253"/>
    <x v="253"/>
    <s v="ROJAS"/>
    <s v="GUERRA"/>
    <s v="LUIS"/>
    <s v="DAVID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69651"/>
    <n v="0.16"/>
    <n v="331200"/>
    <s v=" "/>
    <n v="0"/>
    <n v="0"/>
    <n v="0"/>
    <n v="0"/>
    <n v="0"/>
    <n v="331200"/>
    <s v="NINGUNA"/>
    <x v="0"/>
    <n v="30"/>
    <n v="2069651"/>
    <n v="0.04"/>
    <n v="82800"/>
    <n v="0"/>
    <s v="               "/>
    <n v="0"/>
    <s v="               "/>
    <n v="0"/>
    <s v="NINGUNA"/>
    <x v="0"/>
    <n v="30"/>
    <n v="2069651"/>
    <n v="6.9599999999999995E-2"/>
    <s v="5"/>
    <s v="CENTRO TRABAJO 30"/>
    <s v="5711001"/>
    <n v="144100"/>
    <n v="30"/>
    <x v="1"/>
    <n v="2069651"/>
    <n v="0.04"/>
    <n v="82800"/>
    <n v="2069651"/>
    <n v="0"/>
    <n v="0"/>
    <n v="0"/>
    <n v="0"/>
    <n v="0"/>
    <n v="0"/>
    <n v="0"/>
    <n v="0"/>
    <s v="SI"/>
    <s v="  "/>
    <s v="                "/>
  </r>
  <r>
    <x v="0"/>
    <s v="CC"/>
    <x v="254"/>
    <x v="254"/>
    <s v="FORERO"/>
    <s v="CALDERON"/>
    <s v="EDIER"/>
    <s v=""/>
    <s v="LA_GUAJIRA"/>
    <s v="RIOHACHA"/>
    <s v="1. DEPENDIENTE"/>
    <s v="NINGUNO"/>
    <n v="44"/>
    <s v="NO"/>
    <s v="NO"/>
    <m/>
    <s v="Todos los sistemas (ARL, AFP, CCF, EPS)"/>
    <n v="46077"/>
    <s v="Todos los sistemas (ARL, AFP, CCF, EPS)"/>
    <n v="46081"/>
    <s v="NO"/>
    <s v="NO"/>
    <s v="NO"/>
    <s v="SI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7"/>
    <n v="488132"/>
    <n v="0.16"/>
    <n v="78200"/>
    <s v=" "/>
    <n v="0"/>
    <n v="0"/>
    <n v="0"/>
    <n v="0"/>
    <n v="0"/>
    <n v="78200"/>
    <s v="COLPENSIONES"/>
    <x v="2"/>
    <n v="7"/>
    <n v="488132"/>
    <n v="0.04"/>
    <n v="19600"/>
    <n v="0"/>
    <s v="               "/>
    <n v="0"/>
    <s v="               "/>
    <n v="0"/>
    <s v="NINGUNA"/>
    <x v="0"/>
    <n v="7"/>
    <n v="488132"/>
    <n v="6.9599999999999995E-2"/>
    <s v="5"/>
    <s v="CENTRO TRABAJO 30"/>
    <s v="5711001"/>
    <n v="34000"/>
    <n v="7"/>
    <x v="1"/>
    <n v="502776"/>
    <n v="0.04"/>
    <n v="20200"/>
    <n v="502776"/>
    <n v="0"/>
    <n v="0"/>
    <n v="0"/>
    <n v="0"/>
    <n v="0"/>
    <n v="0"/>
    <n v="0"/>
    <n v="0"/>
    <s v="SI"/>
    <s v="  "/>
    <s v="                "/>
  </r>
  <r>
    <x v="0"/>
    <s v="CC"/>
    <x v="255"/>
    <x v="255"/>
    <s v="EPINAYU"/>
    <s v="SAJAUT"/>
    <s v="JOHAN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7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55"/>
    <x v="255"/>
    <s v="EPINAYU"/>
    <s v="SAJAUT"/>
    <s v="JOHAN"/>
    <s v="DAVID"/>
    <s v="LA_GUAJIRA"/>
    <s v="RIOHACHA"/>
    <s v="1. DEPENDIENTE"/>
    <s v="NINGUNO"/>
    <n v="20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9"/>
    <n v="2030844"/>
    <n v="0.16"/>
    <n v="325000"/>
    <s v=" "/>
    <n v="0"/>
    <n v="0"/>
    <n v="0"/>
    <n v="0"/>
    <n v="0"/>
    <n v="325000"/>
    <s v="NINGUNA"/>
    <x v="7"/>
    <n v="29"/>
    <n v="2030844"/>
    <n v="0.04"/>
    <n v="81300"/>
    <n v="0"/>
    <s v="               "/>
    <n v="0"/>
    <s v="               "/>
    <n v="0"/>
    <s v="NINGUNA"/>
    <x v="0"/>
    <n v="29"/>
    <n v="2030844"/>
    <n v="6.9599999999999995E-2"/>
    <s v="5"/>
    <s v="CENTRO TRABAJO 30"/>
    <s v="5711001"/>
    <n v="141400"/>
    <n v="29"/>
    <x v="1"/>
    <n v="2030844"/>
    <n v="0.04"/>
    <n v="81300"/>
    <n v="2030844"/>
    <n v="0"/>
    <n v="0"/>
    <n v="0"/>
    <n v="0"/>
    <n v="0"/>
    <n v="0"/>
    <n v="0"/>
    <n v="0"/>
    <s v="SI"/>
    <s v="  "/>
    <s v="                "/>
  </r>
  <r>
    <x v="0"/>
    <s v="CC"/>
    <x v="256"/>
    <x v="256"/>
    <s v="ARGOTE"/>
    <s v="DUARTE"/>
    <s v="LUIS"/>
    <s v="ALFREDO"/>
    <s v="BOGOTA_D.E."/>
    <s v="BOGOTA"/>
    <s v="1. DEPENDIENTE"/>
    <s v="NINGUNO"/>
    <n v="176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1"/>
    <n v="3385101"/>
    <n v="0.16"/>
    <n v="541700"/>
    <s v=" "/>
    <n v="0"/>
    <n v="0"/>
    <n v="0"/>
    <n v="0"/>
    <n v="0"/>
    <n v="541700"/>
    <s v="NINGUNA"/>
    <x v="0"/>
    <n v="21"/>
    <n v="3385101"/>
    <n v="0.04"/>
    <n v="135500"/>
    <n v="0"/>
    <s v="               "/>
    <n v="0"/>
    <s v="               "/>
    <n v="0"/>
    <s v="NINGUNA"/>
    <x v="0"/>
    <n v="21"/>
    <n v="3385101"/>
    <n v="6.9599999999999995E-2"/>
    <s v="5"/>
    <s v="CENTRO TRABAJO 24"/>
    <s v="5711001"/>
    <n v="235700"/>
    <n v="21"/>
    <x v="0"/>
    <n v="4505951"/>
    <n v="0.04"/>
    <n v="180300"/>
    <n v="4505951"/>
    <n v="0"/>
    <n v="0"/>
    <n v="0"/>
    <n v="0"/>
    <n v="0"/>
    <n v="0"/>
    <n v="0"/>
    <n v="0"/>
    <s v="SI"/>
    <s v="  "/>
    <s v="                "/>
  </r>
  <r>
    <x v="0"/>
    <s v="CC"/>
    <x v="257"/>
    <x v="257"/>
    <s v="FUENTES"/>
    <s v="CORDOBA"/>
    <s v="RAFAEL"/>
    <s v="ENRIQUE"/>
    <s v="LA_GUAJIRA"/>
    <s v="RIOHACHA"/>
    <s v="1. DEPENDIENTE"/>
    <s v="NINGUNO"/>
    <n v="201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26"/>
    <n v="2694174"/>
    <n v="0.16"/>
    <n v="431100"/>
    <s v=" "/>
    <n v="0"/>
    <n v="0"/>
    <n v="0"/>
    <n v="0"/>
    <n v="0"/>
    <n v="431100"/>
    <s v="NINGUNA"/>
    <x v="0"/>
    <n v="26"/>
    <n v="2694174"/>
    <n v="0.04"/>
    <n v="107800"/>
    <n v="0"/>
    <s v="               "/>
    <n v="0"/>
    <s v="               "/>
    <n v="0"/>
    <s v="NINGUNA"/>
    <x v="0"/>
    <n v="26"/>
    <n v="2694174"/>
    <n v="6.9599999999999995E-2"/>
    <s v="5"/>
    <s v="CENTRO TRABAJO 30"/>
    <s v="5711001"/>
    <n v="187600"/>
    <n v="26"/>
    <x v="1"/>
    <n v="3219832"/>
    <n v="0.04"/>
    <n v="128800"/>
    <n v="3219832"/>
    <n v="0"/>
    <n v="0"/>
    <n v="0"/>
    <n v="0"/>
    <n v="0"/>
    <n v="0"/>
    <n v="0"/>
    <n v="0"/>
    <s v="SI"/>
    <s v="  "/>
    <s v="                "/>
  </r>
  <r>
    <x v="0"/>
    <s v="CC"/>
    <x v="258"/>
    <x v="258"/>
    <s v="ACUÑA"/>
    <s v="MANRIQUE"/>
    <s v="JOSE"/>
    <s v="JOAQUI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3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58"/>
    <x v="258"/>
    <s v="ACUÑA"/>
    <s v="MANRIQUE"/>
    <s v="JOSE"/>
    <s v="JOAQUI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6"/>
    <n v="46057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6"/>
    <n v="18700"/>
    <s v=" "/>
    <n v="0"/>
    <n v="0"/>
    <n v="0"/>
    <n v="0"/>
    <n v="0"/>
    <n v="18700"/>
    <s v="NINGUNA"/>
    <x v="3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58"/>
    <x v="258"/>
    <s v="ACUÑA"/>
    <s v="MANRIQUE"/>
    <s v="JOSE"/>
    <s v="JOAQUI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58"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3"/>
    <n v="1"/>
    <n v="58364"/>
    <n v="0.04"/>
    <n v="240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58364"/>
    <n v="0.04"/>
    <n v="2400"/>
    <n v="58364"/>
    <n v="0"/>
    <n v="0"/>
    <n v="0"/>
    <n v="0"/>
    <n v="0"/>
    <n v="0"/>
    <n v="0"/>
    <n v="0"/>
    <s v="SI"/>
    <s v="  "/>
    <s v="                "/>
  </r>
  <r>
    <x v="0"/>
    <s v="CC"/>
    <x v="258"/>
    <x v="258"/>
    <s v="ACUÑA"/>
    <s v="MANRIQUE"/>
    <s v="JOSE"/>
    <s v="JOAQUI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0"/>
    <n v="46061"/>
    <s v="NO"/>
    <m/>
    <m/>
    <s v="NO"/>
    <m/>
    <m/>
    <s v="NO"/>
    <s v="NO"/>
    <m/>
    <m/>
    <n v="0"/>
    <m/>
    <m/>
    <s v="NO"/>
    <n v="1750905"/>
    <s v="NO"/>
    <s v="NO"/>
    <x v="0"/>
    <n v="2"/>
    <n v="181456"/>
    <n v="0.16"/>
    <n v="29100"/>
    <s v=" "/>
    <n v="0"/>
    <n v="0"/>
    <n v="0"/>
    <n v="0"/>
    <n v="0"/>
    <n v="29100"/>
    <s v="NINGUNA"/>
    <x v="3"/>
    <n v="2"/>
    <n v="181456"/>
    <n v="0.04"/>
    <n v="7300"/>
    <n v="0"/>
    <s v="               "/>
    <n v="0"/>
    <s v="               "/>
    <n v="0"/>
    <s v="NINGUNA"/>
    <x v="0"/>
    <n v="2"/>
    <n v="181456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58"/>
    <x v="258"/>
    <s v="ACUÑA"/>
    <s v="MANRIQUE"/>
    <s v="JOSE"/>
    <s v="JOAQUI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3"/>
    <n v="4606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6"/>
    <n v="18700"/>
    <s v=" "/>
    <n v="0"/>
    <n v="0"/>
    <n v="0"/>
    <n v="0"/>
    <n v="0"/>
    <n v="18700"/>
    <s v="NINGUNA"/>
    <x v="3"/>
    <n v="2"/>
    <n v="116727"/>
    <n v="0"/>
    <n v="0"/>
    <n v="0"/>
    <s v="               "/>
    <n v="0"/>
    <s v="               "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58"/>
    <x v="258"/>
    <s v="ACUÑA"/>
    <s v="MANRIQUE"/>
    <s v="JOSE"/>
    <s v="JOAQUIN"/>
    <s v="BOGOTA_D.E."/>
    <s v="BOGOTA"/>
    <s v="1. DEPENDIENTE"/>
    <s v="NINGUNO"/>
    <n v="67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7"/>
    <n v="1000114"/>
    <n v="0.16"/>
    <n v="160100"/>
    <s v=" "/>
    <n v="0"/>
    <n v="0"/>
    <n v="0"/>
    <n v="0"/>
    <n v="0"/>
    <n v="160100"/>
    <s v="NINGUNA"/>
    <x v="3"/>
    <n v="7"/>
    <n v="1000114"/>
    <n v="0.04"/>
    <n v="40100"/>
    <n v="0"/>
    <s v="               "/>
    <n v="0"/>
    <s v="               "/>
    <n v="0"/>
    <s v="NINGUNA"/>
    <x v="0"/>
    <n v="7"/>
    <n v="1000114"/>
    <n v="6.9599999999999995E-2"/>
    <s v="5"/>
    <s v="CENTRO TRABAJO 24"/>
    <s v="5711001"/>
    <n v="69700"/>
    <n v="7"/>
    <x v="0"/>
    <n v="1471150"/>
    <n v="0.04"/>
    <n v="58900"/>
    <n v="1471150"/>
    <n v="0"/>
    <n v="0"/>
    <n v="0"/>
    <n v="0"/>
    <n v="0"/>
    <n v="0"/>
    <n v="0"/>
    <n v="0"/>
    <s v="SI"/>
    <s v="  "/>
    <s v="                "/>
  </r>
  <r>
    <x v="0"/>
    <s v="CC"/>
    <x v="259"/>
    <x v="259"/>
    <s v="RONDANO"/>
    <s v="MARTINEZ"/>
    <s v="ELIMELETH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056650"/>
    <s v="NO"/>
    <s v="NO"/>
    <x v="1"/>
    <n v="1"/>
    <n v="68555"/>
    <n v="0.16"/>
    <n v="11000"/>
    <s v=" "/>
    <n v="0"/>
    <n v="0"/>
    <n v="0"/>
    <n v="0"/>
    <n v="0"/>
    <n v="11000"/>
    <s v="NINGUNA"/>
    <x v="3"/>
    <n v="1"/>
    <n v="68555"/>
    <n v="0"/>
    <n v="0"/>
    <n v="0"/>
    <s v="               "/>
    <n v="0"/>
    <s v="               "/>
    <n v="0"/>
    <s v="NINGUNA"/>
    <x v="0"/>
    <n v="1"/>
    <n v="68555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59"/>
    <x v="259"/>
    <s v="RONDANO"/>
    <s v="MARTINEZ"/>
    <s v="ELIMELETH"/>
    <s v=""/>
    <s v="LA_GUAJIRA"/>
    <s v="RIOHACHA"/>
    <s v="1. DEPENDIENTE"/>
    <s v="NINGUNO"/>
    <n v="20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1"/>
    <n v="29"/>
    <n v="2505810"/>
    <n v="0.16"/>
    <n v="401000"/>
    <s v=" "/>
    <n v="0"/>
    <n v="0"/>
    <n v="0"/>
    <n v="0"/>
    <n v="0"/>
    <n v="401000"/>
    <s v="NINGUNA"/>
    <x v="3"/>
    <n v="29"/>
    <n v="2505810"/>
    <n v="0.04"/>
    <n v="100300"/>
    <n v="0"/>
    <s v="               "/>
    <n v="0"/>
    <s v="               "/>
    <n v="0"/>
    <s v="NINGUNA"/>
    <x v="0"/>
    <n v="29"/>
    <n v="2505810"/>
    <n v="6.9599999999999995E-2"/>
    <s v="5"/>
    <s v="CENTRO TRABAJO 30"/>
    <s v="5711001"/>
    <n v="174500"/>
    <n v="29"/>
    <x v="1"/>
    <n v="2374184"/>
    <n v="0.04"/>
    <n v="95000"/>
    <n v="2374184"/>
    <n v="0"/>
    <n v="0"/>
    <n v="0"/>
    <n v="0"/>
    <n v="0"/>
    <n v="0"/>
    <n v="0"/>
    <n v="0"/>
    <s v="SI"/>
    <s v="  "/>
    <s v="                "/>
  </r>
  <r>
    <x v="0"/>
    <s v="CC"/>
    <x v="260"/>
    <x v="260"/>
    <s v="CASTRO"/>
    <s v="GARCIA"/>
    <s v="MILTON"/>
    <s v="RAFAEL"/>
    <s v="LA_GUAJIRA"/>
    <s v="RIOHACHA"/>
    <s v="1. DEPENDIENTE"/>
    <s v="NINGUNO"/>
    <n v="22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2"/>
    <n v="30"/>
    <n v="2687880"/>
    <n v="0.16"/>
    <n v="430100"/>
    <s v=" "/>
    <n v="0"/>
    <n v="0"/>
    <n v="0"/>
    <n v="0"/>
    <n v="0"/>
    <n v="430100"/>
    <s v="NINGUNA"/>
    <x v="3"/>
    <n v="30"/>
    <n v="2687880"/>
    <n v="0.04"/>
    <n v="107600"/>
    <n v="0"/>
    <s v="               "/>
    <n v="0"/>
    <s v="               "/>
    <n v="0"/>
    <s v="NINGUNA"/>
    <x v="0"/>
    <n v="30"/>
    <n v="2687880"/>
    <n v="6.9599999999999995E-2"/>
    <s v="5"/>
    <s v="CENTRO TRABAJO 30"/>
    <s v="5711001"/>
    <n v="187100"/>
    <n v="30"/>
    <x v="1"/>
    <n v="2612179"/>
    <n v="0.04"/>
    <n v="104500"/>
    <n v="2612179"/>
    <n v="0"/>
    <n v="0"/>
    <n v="0"/>
    <n v="0"/>
    <n v="0"/>
    <n v="0"/>
    <n v="0"/>
    <n v="0"/>
    <s v="SI"/>
    <s v="  "/>
    <s v="                "/>
  </r>
  <r>
    <x v="0"/>
    <s v="CC"/>
    <x v="261"/>
    <x v="261"/>
    <s v="MEJIA"/>
    <s v="LOPEZ"/>
    <s v="DIDIER"/>
    <s v="GREGORI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223339"/>
    <s v="NO"/>
    <s v="NO"/>
    <x v="1"/>
    <n v="5"/>
    <n v="370557"/>
    <n v="0.16"/>
    <n v="59300"/>
    <s v=" "/>
    <n v="0"/>
    <n v="0"/>
    <n v="0"/>
    <n v="0"/>
    <n v="0"/>
    <n v="59300"/>
    <s v="NINGUNA"/>
    <x v="10"/>
    <n v="5"/>
    <n v="370557"/>
    <n v="0.04"/>
    <n v="14900"/>
    <n v="0"/>
    <s v="               "/>
    <n v="0"/>
    <s v="               "/>
    <n v="0"/>
    <s v="NINGUNA"/>
    <x v="0"/>
    <n v="5"/>
    <n v="370557"/>
    <n v="0"/>
    <s v="5"/>
    <s v="CENTRO TRABAJO 30"/>
    <s v="5711001"/>
    <n v="0"/>
    <n v="5"/>
    <x v="1"/>
    <n v="370557"/>
    <n v="0.04"/>
    <n v="14900"/>
    <n v="370557"/>
    <n v="0"/>
    <n v="0"/>
    <n v="0"/>
    <n v="0"/>
    <n v="0"/>
    <n v="0"/>
    <n v="0"/>
    <n v="0"/>
    <s v="SI"/>
    <s v="  "/>
    <s v="                "/>
  </r>
  <r>
    <x v="0"/>
    <s v="CC"/>
    <x v="261"/>
    <x v="261"/>
    <s v="MEJIA"/>
    <s v="LOPEZ"/>
    <s v="DIDIER"/>
    <s v="GREGORIO"/>
    <s v="LA_GUAJIRA"/>
    <s v="RIOHACHA"/>
    <s v="1. DEPENDIENTE"/>
    <s v="NINGUNO"/>
    <n v="15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25"/>
    <n v="2258150"/>
    <n v="0.16"/>
    <n v="361400"/>
    <s v=" "/>
    <n v="0"/>
    <n v="0"/>
    <n v="0"/>
    <n v="0"/>
    <n v="0"/>
    <n v="361400"/>
    <s v="NINGUNA"/>
    <x v="10"/>
    <n v="25"/>
    <n v="2258150"/>
    <n v="0.04"/>
    <n v="90400"/>
    <n v="0"/>
    <s v="               "/>
    <n v="0"/>
    <s v="               "/>
    <n v="0"/>
    <s v="NINGUNA"/>
    <x v="0"/>
    <n v="25"/>
    <n v="2258150"/>
    <n v="6.9599999999999995E-2"/>
    <s v="5"/>
    <s v="CENTRO TRABAJO 30"/>
    <s v="5711001"/>
    <n v="157200"/>
    <n v="25"/>
    <x v="1"/>
    <n v="2207001"/>
    <n v="0.04"/>
    <n v="88300"/>
    <n v="2207001"/>
    <n v="0"/>
    <n v="0"/>
    <n v="0"/>
    <n v="0"/>
    <n v="0"/>
    <n v="0"/>
    <n v="0"/>
    <n v="0"/>
    <s v="SI"/>
    <s v="  "/>
    <s v="                "/>
  </r>
  <r>
    <x v="0"/>
    <s v="CC"/>
    <x v="262"/>
    <x v="262"/>
    <s v="PALACIO"/>
    <s v="GONZALEZ"/>
    <s v="DEIBER"/>
    <s v=""/>
    <s v="LA_GUAJIRA"/>
    <s v="RIOHACH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2"/>
    <n v="30"/>
    <n v="2652824"/>
    <n v="0.16"/>
    <n v="424500"/>
    <s v=" "/>
    <n v="0"/>
    <n v="0"/>
    <n v="0"/>
    <n v="0"/>
    <n v="0"/>
    <n v="424500"/>
    <s v="NINGUNA"/>
    <x v="7"/>
    <n v="30"/>
    <n v="2652824"/>
    <n v="0.04"/>
    <n v="106200"/>
    <n v="0"/>
    <s v="               "/>
    <n v="0"/>
    <s v="               "/>
    <n v="0"/>
    <s v="NINGUNA"/>
    <x v="0"/>
    <n v="30"/>
    <n v="2652824"/>
    <n v="6.9599999999999995E-2"/>
    <s v="5"/>
    <s v="CENTRO TRABAJO 30"/>
    <s v="5711001"/>
    <n v="184700"/>
    <n v="30"/>
    <x v="1"/>
    <n v="2553752"/>
    <n v="0.04"/>
    <n v="102200"/>
    <n v="2553752"/>
    <n v="0"/>
    <n v="0"/>
    <n v="0"/>
    <n v="0"/>
    <n v="0"/>
    <n v="0"/>
    <n v="0"/>
    <n v="0"/>
    <s v="SI"/>
    <s v="  "/>
    <s v="                "/>
  </r>
  <r>
    <x v="0"/>
    <s v="CC"/>
    <x v="263"/>
    <x v="263"/>
    <s v="MENDOZA"/>
    <s v="SIERRA"/>
    <s v="EILIS"/>
    <s v=""/>
    <s v="LA_GUAJIRA"/>
    <s v="RIOHACHA"/>
    <s v="1. DEPENDIENTE"/>
    <s v="NINGUNO"/>
    <n v="203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457591"/>
    <s v="NO"/>
    <s v="NO"/>
    <x v="0"/>
    <n v="30"/>
    <n v="2778754"/>
    <n v="0.16"/>
    <n v="444700"/>
    <s v=" "/>
    <n v="0"/>
    <n v="0"/>
    <n v="0"/>
    <n v="0"/>
    <n v="0"/>
    <n v="444700"/>
    <s v="NINGUNA"/>
    <x v="2"/>
    <n v="30"/>
    <n v="2778754"/>
    <n v="0.04"/>
    <n v="111200"/>
    <n v="0"/>
    <s v="               "/>
    <n v="0"/>
    <s v="               "/>
    <n v="0"/>
    <s v="NINGUNA"/>
    <x v="0"/>
    <n v="30"/>
    <n v="2778754"/>
    <n v="6.9599999999999995E-2"/>
    <s v="5"/>
    <s v="CENTRO TRABAJO 30"/>
    <s v="5711001"/>
    <n v="193500"/>
    <n v="30"/>
    <x v="1"/>
    <n v="2778754"/>
    <n v="0.04"/>
    <n v="111200"/>
    <n v="2778754"/>
    <n v="0"/>
    <n v="0"/>
    <n v="0"/>
    <n v="0"/>
    <n v="0"/>
    <n v="0"/>
    <n v="0"/>
    <n v="0"/>
    <s v="SI"/>
    <s v="  "/>
    <s v="                "/>
  </r>
  <r>
    <x v="0"/>
    <s v="CC"/>
    <x v="264"/>
    <x v="264"/>
    <s v="ARANGO"/>
    <s v="GRISALES"/>
    <s v="SANDRA"/>
    <s v="MILEN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8150490"/>
    <s v="NO"/>
    <s v="NO"/>
    <x v="1"/>
    <n v="7"/>
    <n v="1901781"/>
    <n v="0.16"/>
    <n v="304300"/>
    <s v=" "/>
    <n v="0"/>
    <n v="0"/>
    <n v="9600"/>
    <n v="9600"/>
    <n v="0"/>
    <n v="323500"/>
    <s v="NINGUNA"/>
    <x v="2"/>
    <n v="7"/>
    <n v="1901781"/>
    <n v="0.04"/>
    <n v="76100"/>
    <n v="0"/>
    <s v="               "/>
    <n v="0"/>
    <s v="               "/>
    <n v="0"/>
    <s v="NINGUNA"/>
    <x v="0"/>
    <n v="7"/>
    <n v="1901781"/>
    <n v="0"/>
    <s v="5"/>
    <s v="CENTRO TRABAJO 24"/>
    <s v="5711001"/>
    <n v="0"/>
    <n v="7"/>
    <x v="0"/>
    <n v="1901781"/>
    <n v="0.04"/>
    <n v="76100"/>
    <n v="1901781"/>
    <n v="0"/>
    <n v="0"/>
    <n v="0"/>
    <n v="0"/>
    <n v="0"/>
    <n v="0"/>
    <n v="0"/>
    <n v="0"/>
    <s v="SI"/>
    <s v="  "/>
    <s v="                "/>
  </r>
  <r>
    <x v="0"/>
    <s v="CC"/>
    <x v="264"/>
    <x v="264"/>
    <s v="ARANGO"/>
    <s v="GRISALES"/>
    <s v="SANDRA"/>
    <s v="MILENA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8150490"/>
    <s v="NO"/>
    <s v="NO"/>
    <x v="1"/>
    <n v="23"/>
    <n v="6248709"/>
    <n v="0.16"/>
    <n v="999800"/>
    <s v=" "/>
    <n v="0"/>
    <n v="0"/>
    <n v="31300"/>
    <n v="31300"/>
    <n v="0"/>
    <n v="1062400"/>
    <s v="NINGUNA"/>
    <x v="2"/>
    <n v="23"/>
    <n v="6248709"/>
    <n v="0.04"/>
    <n v="250000"/>
    <n v="0"/>
    <s v="               "/>
    <n v="0"/>
    <s v="               "/>
    <n v="0"/>
    <s v="NINGUNA"/>
    <x v="0"/>
    <n v="23"/>
    <n v="6248709"/>
    <n v="6.9599999999999995E-2"/>
    <s v="5"/>
    <s v="CENTRO TRABAJO 24"/>
    <s v="5711001"/>
    <n v="435000"/>
    <n v="23"/>
    <x v="0"/>
    <n v="6248709"/>
    <n v="0.04"/>
    <n v="250000"/>
    <n v="6248709"/>
    <n v="0"/>
    <n v="0"/>
    <n v="0"/>
    <n v="0"/>
    <n v="0"/>
    <n v="0"/>
    <n v="0"/>
    <n v="0"/>
    <s v="SI"/>
    <s v="  "/>
    <s v="                "/>
  </r>
  <r>
    <x v="0"/>
    <s v="CC"/>
    <x v="265"/>
    <x v="265"/>
    <s v="MUÑOZ"/>
    <s v="SUAREZ"/>
    <s v="NESTY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3050412"/>
    <s v="NO"/>
    <s v="SI"/>
    <x v="4"/>
    <n v="1"/>
    <n v="101681"/>
    <n v="0.16"/>
    <n v="16300"/>
    <s v=" "/>
    <n v="0"/>
    <n v="0"/>
    <n v="0"/>
    <n v="0"/>
    <n v="0"/>
    <n v="16300"/>
    <s v="NINGUNA"/>
    <x v="2"/>
    <n v="1"/>
    <n v="101681"/>
    <n v="0.04"/>
    <n v="4100"/>
    <n v="0"/>
    <s v="               "/>
    <n v="0"/>
    <s v="               "/>
    <n v="0"/>
    <s v="NINGUNA"/>
    <x v="0"/>
    <n v="1"/>
    <n v="101681"/>
    <n v="0"/>
    <s v="5"/>
    <s v="CENTRO TRABAJO 24"/>
    <s v="5711001"/>
    <n v="0"/>
    <n v="1"/>
    <x v="0"/>
    <n v="101681"/>
    <n v="0.04"/>
    <n v="4100"/>
    <n v="101681"/>
    <n v="0"/>
    <n v="0"/>
    <n v="0"/>
    <n v="0"/>
    <n v="0"/>
    <n v="0"/>
    <n v="0"/>
    <n v="0"/>
    <s v="SI"/>
    <s v="  "/>
    <s v="                "/>
  </r>
  <r>
    <x v="0"/>
    <s v="CC"/>
    <x v="265"/>
    <x v="265"/>
    <s v="MUÑOZ"/>
    <s v="SUAREZ"/>
    <s v="NESTY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3050412"/>
    <s v="NO"/>
    <s v="SI"/>
    <x v="4"/>
    <n v="7"/>
    <n v="711763"/>
    <n v="0.16"/>
    <n v="113900"/>
    <s v=" "/>
    <n v="0"/>
    <n v="0"/>
    <n v="0"/>
    <n v="0"/>
    <n v="0"/>
    <n v="113900"/>
    <s v="NINGUNA"/>
    <x v="2"/>
    <n v="7"/>
    <n v="711763"/>
    <n v="0.04"/>
    <n v="28500"/>
    <n v="0"/>
    <s v="               "/>
    <n v="0"/>
    <s v="               "/>
    <n v="0"/>
    <s v="NINGUNA"/>
    <x v="0"/>
    <n v="7"/>
    <n v="711763"/>
    <n v="0"/>
    <s v="5"/>
    <s v="CENTRO TRABAJO 24"/>
    <s v="5711001"/>
    <n v="0"/>
    <n v="7"/>
    <x v="0"/>
    <n v="711763"/>
    <n v="0.04"/>
    <n v="28500"/>
    <n v="711763"/>
    <n v="0"/>
    <n v="0"/>
    <n v="0"/>
    <n v="0"/>
    <n v="0"/>
    <n v="0"/>
    <n v="0"/>
    <n v="0"/>
    <s v="SI"/>
    <s v="  "/>
    <s v="                "/>
  </r>
  <r>
    <x v="0"/>
    <s v="CC"/>
    <x v="265"/>
    <x v="265"/>
    <s v="MUÑOZ"/>
    <s v="SUAREZ"/>
    <s v="NESTY"/>
    <s v=""/>
    <s v="BOGOTA_D.E."/>
    <s v="BOGOTA"/>
    <s v="1. DEPENDIENTE"/>
    <s v="NINGUNO"/>
    <n v="151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050412"/>
    <s v="NO"/>
    <s v="SI"/>
    <x v="4"/>
    <n v="22"/>
    <n v="2514279"/>
    <n v="0.16"/>
    <n v="402300"/>
    <s v=" "/>
    <n v="0"/>
    <n v="0"/>
    <n v="0"/>
    <n v="0"/>
    <n v="0"/>
    <n v="402300"/>
    <s v="NINGUNA"/>
    <x v="2"/>
    <n v="22"/>
    <n v="2514279"/>
    <n v="0.04"/>
    <n v="100600"/>
    <n v="0"/>
    <s v="               "/>
    <n v="0"/>
    <s v="               "/>
    <n v="0"/>
    <s v="NINGUNA"/>
    <x v="0"/>
    <n v="22"/>
    <n v="2514279"/>
    <n v="6.9599999999999995E-2"/>
    <s v="5"/>
    <s v="CENTRO TRABAJO 24"/>
    <s v="5711001"/>
    <n v="175000"/>
    <n v="22"/>
    <x v="0"/>
    <n v="2514279"/>
    <n v="0.04"/>
    <n v="100600"/>
    <n v="2514279"/>
    <n v="0"/>
    <n v="0"/>
    <n v="0"/>
    <n v="0"/>
    <n v="0"/>
    <n v="0"/>
    <n v="0"/>
    <n v="0"/>
    <s v="SI"/>
    <s v="  "/>
    <s v="                "/>
  </r>
  <r>
    <x v="0"/>
    <s v="CC"/>
    <x v="266"/>
    <x v="266"/>
    <s v="LONDOÑO"/>
    <s v="BRIGARD"/>
    <s v="MONICA"/>
    <s v="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0672432"/>
    <s v="NO"/>
    <s v="NO"/>
    <x v="1"/>
    <n v="30"/>
    <n v="10672432"/>
    <n v="0.16"/>
    <n v="1707600"/>
    <s v=" "/>
    <n v="0"/>
    <n v="0"/>
    <n v="53400"/>
    <n v="53400"/>
    <n v="0"/>
    <n v="1814400"/>
    <s v="NINGUNA"/>
    <x v="3"/>
    <n v="30"/>
    <n v="10672432"/>
    <n v="0.04"/>
    <n v="426900"/>
    <n v="0"/>
    <s v="               "/>
    <n v="0"/>
    <s v="               "/>
    <n v="0"/>
    <s v="NINGUNA"/>
    <x v="0"/>
    <n v="30"/>
    <n v="10672432"/>
    <n v="5.2199999999999998E-3"/>
    <s v="1"/>
    <s v="CENTRO TRABAJO 24"/>
    <s v="1711001"/>
    <n v="55800"/>
    <n v="30"/>
    <x v="0"/>
    <n v="10672432"/>
    <n v="0.04"/>
    <n v="426900"/>
    <n v="10672432"/>
    <n v="0"/>
    <n v="0"/>
    <n v="0"/>
    <n v="0"/>
    <n v="0"/>
    <n v="0"/>
    <n v="0"/>
    <n v="0"/>
    <s v="SI"/>
    <s v="  "/>
    <s v="                "/>
  </r>
  <r>
    <x v="0"/>
    <s v="CC"/>
    <x v="267"/>
    <x v="267"/>
    <s v="MANOSALVA"/>
    <s v="DIAZ"/>
    <s v="BALVINO"/>
    <s v="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1"/>
    <n v="30"/>
    <n v="2607845"/>
    <n v="0.16"/>
    <n v="417300"/>
    <s v=" "/>
    <n v="0"/>
    <n v="0"/>
    <n v="0"/>
    <n v="0"/>
    <n v="0"/>
    <n v="417300"/>
    <s v="NINGUNA"/>
    <x v="3"/>
    <n v="30"/>
    <n v="2607845"/>
    <n v="0.04"/>
    <n v="104400"/>
    <n v="0"/>
    <s v="               "/>
    <n v="0"/>
    <s v="               "/>
    <n v="0"/>
    <s v="NINGUNA"/>
    <x v="0"/>
    <n v="30"/>
    <n v="2607845"/>
    <n v="6.9599999999999995E-2"/>
    <s v="5"/>
    <s v="CENTRO TRABAJO 24"/>
    <s v="5711001"/>
    <n v="181600"/>
    <n v="30"/>
    <x v="0"/>
    <n v="2607845"/>
    <n v="0.04"/>
    <n v="104400"/>
    <n v="2607845"/>
    <n v="0"/>
    <n v="0"/>
    <n v="0"/>
    <n v="0"/>
    <n v="0"/>
    <n v="0"/>
    <n v="0"/>
    <n v="0"/>
    <s v="SI"/>
    <s v="  "/>
    <s v="                "/>
  </r>
  <r>
    <x v="0"/>
    <s v="CC"/>
    <x v="268"/>
    <x v="268"/>
    <s v="ORTIZ"/>
    <s v="CRISTANCHO"/>
    <s v="JOSE"/>
    <s v="HIGINIO"/>
    <s v="BOGOTA_D.E."/>
    <s v="BOGOTA"/>
    <s v="1. DEPENDIENTE"/>
    <s v="NINGUNO"/>
    <n v="179"/>
    <s v="NO"/>
    <s v="NO"/>
    <m/>
    <s v="Todos los sistemas (ARL, AFP, CCF, EPS)"/>
    <n v="46056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2"/>
    <n v="28"/>
    <n v="2157492"/>
    <n v="0.16"/>
    <n v="345200"/>
    <s v=" "/>
    <n v="0"/>
    <n v="0"/>
    <n v="0"/>
    <n v="0"/>
    <n v="0"/>
    <n v="345200"/>
    <s v="NINGUNA"/>
    <x v="0"/>
    <n v="28"/>
    <n v="2157492"/>
    <n v="0.04"/>
    <n v="86300"/>
    <n v="0"/>
    <s v="               "/>
    <n v="0"/>
    <s v="               "/>
    <n v="0"/>
    <s v="NINGUNA"/>
    <x v="0"/>
    <n v="28"/>
    <n v="2157492"/>
    <n v="6.9599999999999995E-2"/>
    <s v="5"/>
    <s v="CENTRO TRABAJO 24"/>
    <s v="5711001"/>
    <n v="150200"/>
    <n v="28"/>
    <x v="0"/>
    <n v="2068357"/>
    <n v="0.04"/>
    <n v="82800"/>
    <n v="2068357"/>
    <n v="0"/>
    <n v="0"/>
    <n v="0"/>
    <n v="0"/>
    <n v="0"/>
    <n v="0"/>
    <n v="0"/>
    <n v="0"/>
    <s v="SI"/>
    <s v="  "/>
    <s v="                "/>
  </r>
  <r>
    <x v="0"/>
    <s v="CC"/>
    <x v="269"/>
    <x v="269"/>
    <s v="REYES"/>
    <s v="SILVA"/>
    <s v="OSWALDO"/>
    <s v="DE JESUS"/>
    <s v="BOGOTA_D.E."/>
    <s v="BOGOTA"/>
    <s v="1. DEPENDIENTE"/>
    <s v="NINGUNO"/>
    <n v="171"/>
    <s v="NO"/>
    <s v="NO"/>
    <m/>
    <s v="Todos los sistemas (ARL, AFP, CCF, EPS)"/>
    <n v="46056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3415855"/>
    <s v="NO"/>
    <s v="NO"/>
    <x v="2"/>
    <n v="28"/>
    <n v="3188132"/>
    <n v="0.16"/>
    <n v="510200"/>
    <s v=" "/>
    <n v="0"/>
    <n v="0"/>
    <n v="0"/>
    <n v="0"/>
    <n v="0"/>
    <n v="510200"/>
    <s v="NINGUNA"/>
    <x v="3"/>
    <n v="28"/>
    <n v="3188132"/>
    <n v="0.04"/>
    <n v="127600"/>
    <n v="0"/>
    <s v="               "/>
    <n v="0"/>
    <s v="               "/>
    <n v="0"/>
    <s v="NINGUNA"/>
    <x v="0"/>
    <n v="28"/>
    <n v="3188132"/>
    <n v="6.9599999999999995E-2"/>
    <s v="5"/>
    <s v="CENTRO TRABAJO 24"/>
    <s v="5711001"/>
    <n v="221900"/>
    <n v="28"/>
    <x v="0"/>
    <n v="3188132"/>
    <n v="0.04"/>
    <n v="127600"/>
    <n v="3188132"/>
    <n v="0"/>
    <n v="0"/>
    <n v="0"/>
    <n v="0"/>
    <n v="0"/>
    <n v="0"/>
    <n v="0"/>
    <n v="0"/>
    <s v="SI"/>
    <s v="  "/>
    <s v="                "/>
  </r>
  <r>
    <x v="0"/>
    <s v="CC"/>
    <x v="270"/>
    <x v="270"/>
    <s v="BENAVIDES"/>
    <s v="RIVERA"/>
    <s v="ALVARO"/>
    <s v=""/>
    <s v="BOGOTA_D.E."/>
    <s v="BOGOTA"/>
    <s v="1. DEPENDIENTE"/>
    <s v="NINGUNO"/>
    <n v="45"/>
    <s v="NO"/>
    <s v="NO"/>
    <m/>
    <s v="Todos los sistemas (ARL, AFP, CCF, EPS)"/>
    <n v="46074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0"/>
    <n v="10"/>
    <n v="704394"/>
    <n v="0.16"/>
    <n v="112800"/>
    <s v=" "/>
    <n v="0"/>
    <n v="0"/>
    <n v="0"/>
    <n v="0"/>
    <n v="0"/>
    <n v="112800"/>
    <s v="NINGUNA"/>
    <x v="0"/>
    <n v="10"/>
    <n v="704394"/>
    <n v="0.04"/>
    <n v="28200"/>
    <n v="0"/>
    <s v="               "/>
    <n v="0"/>
    <s v="               "/>
    <n v="0"/>
    <s v="NINGUNA"/>
    <x v="0"/>
    <n v="10"/>
    <n v="704394"/>
    <n v="6.9599999999999995E-2"/>
    <s v="5"/>
    <s v="CENTRO TRABAJO 24"/>
    <s v="5711001"/>
    <n v="49100"/>
    <n v="10"/>
    <x v="0"/>
    <n v="704394"/>
    <n v="0.04"/>
    <n v="28200"/>
    <n v="704394"/>
    <n v="0"/>
    <n v="0"/>
    <n v="0"/>
    <n v="0"/>
    <n v="0"/>
    <n v="0"/>
    <n v="0"/>
    <n v="0"/>
    <s v="SI"/>
    <s v="  "/>
    <s v="                "/>
  </r>
  <r>
    <x v="0"/>
    <s v="CC"/>
    <x v="271"/>
    <x v="271"/>
    <s v="RIAÑO"/>
    <s v="DIAZ"/>
    <s v="ARCENIO"/>
    <s v=""/>
    <s v="LA_GUAJIRA"/>
    <s v="RIOHACHA"/>
    <s v="1. DEPENDIENTE"/>
    <s v="NINGUNO"/>
    <n v="20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539029"/>
    <s v="NO"/>
    <s v="NO"/>
    <x v="2"/>
    <n v="30"/>
    <n v="2973434"/>
    <n v="0.16"/>
    <n v="475800"/>
    <s v=" "/>
    <n v="0"/>
    <n v="0"/>
    <n v="0"/>
    <n v="0"/>
    <n v="0"/>
    <n v="475800"/>
    <s v="NINGUNA"/>
    <x v="0"/>
    <n v="30"/>
    <n v="2973434"/>
    <n v="0.04"/>
    <n v="119000"/>
    <n v="0"/>
    <s v="               "/>
    <n v="0"/>
    <s v="               "/>
    <n v="0"/>
    <s v="NINGUNA"/>
    <x v="0"/>
    <n v="30"/>
    <n v="2973434"/>
    <n v="6.9599999999999995E-2"/>
    <s v="5"/>
    <s v="CENTRO TRABAJO 30"/>
    <s v="5711001"/>
    <n v="207000"/>
    <n v="30"/>
    <x v="1"/>
    <n v="2973434"/>
    <n v="0.04"/>
    <n v="119000"/>
    <n v="2973434"/>
    <n v="0"/>
    <n v="0"/>
    <n v="0"/>
    <n v="0"/>
    <n v="0"/>
    <n v="0"/>
    <n v="0"/>
    <n v="0"/>
    <s v="SI"/>
    <s v="  "/>
    <s v="                "/>
  </r>
  <r>
    <x v="0"/>
    <s v="CC"/>
    <x v="272"/>
    <x v="272"/>
    <s v="SAENZ"/>
    <s v="AMADO"/>
    <s v="JAIRO"/>
    <s v="ARMAN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5"/>
    <n v="46068"/>
    <s v="NO"/>
    <s v="NO"/>
    <m/>
    <m/>
    <n v="0"/>
    <m/>
    <m/>
    <s v="NO"/>
    <n v="7698446"/>
    <s v="NO"/>
    <s v="NO"/>
    <x v="1"/>
    <n v="14"/>
    <n v="3592609"/>
    <n v="0.16"/>
    <n v="574900"/>
    <s v=" "/>
    <n v="0"/>
    <n v="0"/>
    <n v="18000"/>
    <n v="18000"/>
    <n v="0"/>
    <n v="610900"/>
    <s v="NINGUNA"/>
    <x v="8"/>
    <n v="14"/>
    <n v="3592609"/>
    <n v="0.04"/>
    <n v="143800"/>
    <n v="0"/>
    <s v="               "/>
    <n v="0"/>
    <s v="               "/>
    <n v="0"/>
    <s v="NINGUNA"/>
    <x v="0"/>
    <n v="14"/>
    <n v="3592609"/>
    <n v="0"/>
    <s v="1"/>
    <s v="CENTRO TRABAJO 24"/>
    <s v="1711001"/>
    <n v="0"/>
    <n v="14"/>
    <x v="0"/>
    <n v="3592609"/>
    <n v="0.04"/>
    <n v="143800"/>
    <n v="3592609"/>
    <n v="0"/>
    <n v="0"/>
    <n v="0"/>
    <n v="0"/>
    <n v="0"/>
    <n v="0"/>
    <n v="0"/>
    <n v="0"/>
    <s v="SI"/>
    <s v="  "/>
    <s v="                "/>
  </r>
  <r>
    <x v="0"/>
    <s v="CC"/>
    <x v="272"/>
    <x v="272"/>
    <s v="SAENZ"/>
    <s v="AMADO"/>
    <s v="JAIRO"/>
    <s v="ARMANDO"/>
    <s v="BOGOTA_D.E."/>
    <s v="BOGOTA"/>
    <s v="1. DEPENDIENTE"/>
    <s v="NINGUNO"/>
    <n v="94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7698446"/>
    <s v="NO"/>
    <s v="NO"/>
    <x v="1"/>
    <n v="16"/>
    <n v="4105838"/>
    <n v="0.16"/>
    <n v="657000"/>
    <s v=" "/>
    <n v="0"/>
    <n v="0"/>
    <n v="20600"/>
    <n v="20600"/>
    <n v="0"/>
    <n v="698200"/>
    <s v="NINGUNA"/>
    <x v="8"/>
    <n v="16"/>
    <n v="4105838"/>
    <n v="0.04"/>
    <n v="164300"/>
    <n v="0"/>
    <s v="               "/>
    <n v="0"/>
    <s v="               "/>
    <n v="0"/>
    <s v="NINGUNA"/>
    <x v="0"/>
    <n v="16"/>
    <n v="4105838"/>
    <n v="5.2199999999999998E-3"/>
    <s v="1"/>
    <s v="CENTRO TRABAJO 24"/>
    <s v="1711001"/>
    <n v="21500"/>
    <n v="16"/>
    <x v="0"/>
    <n v="4105838"/>
    <n v="0.04"/>
    <n v="164300"/>
    <n v="4105838"/>
    <n v="0"/>
    <n v="0"/>
    <n v="0"/>
    <n v="0"/>
    <n v="0"/>
    <n v="0"/>
    <n v="0"/>
    <n v="0"/>
    <s v="SI"/>
    <s v="  "/>
    <s v="                "/>
  </r>
  <r>
    <x v="0"/>
    <s v="CC"/>
    <x v="273"/>
    <x v="273"/>
    <s v="CARDENAS"/>
    <s v="VARGAS"/>
    <s v="HECTOR"/>
    <s v="HERNAN"/>
    <s v="BOGOTA_D.E."/>
    <s v="BOGOTA"/>
    <s v="1. DEPENDIENTE"/>
    <s v="NINGUNO"/>
    <n v="210"/>
    <s v="NO"/>
    <s v="NO"/>
    <m/>
    <s v="NO"/>
    <m/>
    <s v="NO"/>
    <m/>
    <s v="NO"/>
    <s v="SI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945925"/>
    <n v="0.16"/>
    <n v="471400"/>
    <s v=" "/>
    <n v="0"/>
    <n v="0"/>
    <n v="0"/>
    <n v="0"/>
    <n v="0"/>
    <n v="471400"/>
    <s v="NINGUNA"/>
    <x v="15"/>
    <n v="30"/>
    <n v="2945925"/>
    <n v="0.04"/>
    <n v="117900"/>
    <n v="0"/>
    <s v="               "/>
    <n v="0"/>
    <s v="               "/>
    <n v="0"/>
    <s v="SALUD TOTAL"/>
    <x v="0"/>
    <n v="30"/>
    <n v="2945925"/>
    <n v="6.9599999999999995E-2"/>
    <s v="5"/>
    <s v="CENTRO TRABAJO 24"/>
    <s v="5711001"/>
    <n v="205100"/>
    <n v="30"/>
    <x v="0"/>
    <n v="2945925"/>
    <n v="0.04"/>
    <n v="117900"/>
    <n v="2945925"/>
    <n v="0"/>
    <n v="0"/>
    <n v="0"/>
    <n v="0"/>
    <n v="0"/>
    <n v="0"/>
    <n v="0"/>
    <n v="0"/>
    <s v="SI"/>
    <s v="  "/>
    <s v="                "/>
  </r>
  <r>
    <x v="0"/>
    <s v="CC"/>
    <x v="274"/>
    <x v="274"/>
    <s v="MENDOZA"/>
    <s v="CARVAJAL"/>
    <s v="FLORO"/>
    <s v="VICENTE"/>
    <s v="BOGOTA_D.E."/>
    <s v="BOGOTA"/>
    <s v="1. DEPENDIENTE"/>
    <s v="NINGUNO"/>
    <n v="23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3192261"/>
    <n v="0.16"/>
    <n v="510800"/>
    <s v=" "/>
    <n v="0"/>
    <n v="0"/>
    <n v="0"/>
    <n v="0"/>
    <n v="0"/>
    <n v="510800"/>
    <s v="NINGUNA"/>
    <x v="3"/>
    <n v="30"/>
    <n v="3192261"/>
    <n v="0.04"/>
    <n v="127700"/>
    <n v="0"/>
    <s v="               "/>
    <n v="0"/>
    <s v="               "/>
    <n v="0"/>
    <s v="NINGUNA"/>
    <x v="0"/>
    <n v="30"/>
    <n v="3192261"/>
    <n v="6.9599999999999995E-2"/>
    <s v="5"/>
    <s v="CENTRO TRABAJO 24"/>
    <s v="5711001"/>
    <n v="222200"/>
    <n v="30"/>
    <x v="0"/>
    <n v="3192261"/>
    <n v="0.04"/>
    <n v="127700"/>
    <n v="3192261"/>
    <n v="0"/>
    <n v="0"/>
    <n v="0"/>
    <n v="0"/>
    <n v="0"/>
    <n v="0"/>
    <n v="0"/>
    <n v="0"/>
    <s v="SI"/>
    <s v="  "/>
    <s v="                "/>
  </r>
  <r>
    <x v="0"/>
    <s v="CC"/>
    <x v="275"/>
    <x v="275"/>
    <s v="CALIXTO"/>
    <s v="SOCHA"/>
    <s v="LUIS"/>
    <s v="CARLOS"/>
    <s v="BOGOTA_D.E."/>
    <s v="BOGOTA"/>
    <s v="1. DEPENDIENTE"/>
    <s v="NINGUNO"/>
    <n v="229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3804822"/>
    <n v="0.16"/>
    <n v="608800"/>
    <s v=" "/>
    <n v="0"/>
    <n v="0"/>
    <n v="0"/>
    <n v="0"/>
    <n v="0"/>
    <n v="608800"/>
    <s v="NINGUNA"/>
    <x v="0"/>
    <n v="30"/>
    <n v="3804822"/>
    <n v="0.04"/>
    <n v="152200"/>
    <n v="0"/>
    <s v="               "/>
    <n v="0"/>
    <s v="               "/>
    <n v="0"/>
    <s v="NINGUNA"/>
    <x v="0"/>
    <n v="30"/>
    <n v="3804822"/>
    <n v="6.9599999999999995E-2"/>
    <s v="5"/>
    <s v="CENTRO TRABAJO 24"/>
    <s v="5711001"/>
    <n v="264900"/>
    <n v="30"/>
    <x v="0"/>
    <n v="4501372"/>
    <n v="0.04"/>
    <n v="180100"/>
    <n v="4501372"/>
    <n v="0"/>
    <n v="0"/>
    <n v="0"/>
    <n v="0"/>
    <n v="0"/>
    <n v="0"/>
    <n v="0"/>
    <n v="0"/>
    <s v="SI"/>
    <s v="  "/>
    <s v="                "/>
  </r>
  <r>
    <x v="0"/>
    <s v="CC"/>
    <x v="276"/>
    <x v="276"/>
    <s v="MUÑOZ"/>
    <s v="HERRERA"/>
    <s v="SANDRA"/>
    <s v="MARCEL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50905"/>
    <s v="NO"/>
    <s v="NO"/>
    <x v="2"/>
    <n v="1"/>
    <n v="58364"/>
    <n v="0.16"/>
    <n v="9400"/>
    <s v=" "/>
    <n v="0"/>
    <n v="0"/>
    <n v="0"/>
    <n v="0"/>
    <n v="0"/>
    <n v="9400"/>
    <s v="NINGUNA"/>
    <x v="3"/>
    <n v="1"/>
    <n v="58364"/>
    <n v="0.04"/>
    <n v="240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58364"/>
    <n v="0.04"/>
    <n v="2400"/>
    <n v="58364"/>
    <n v="0"/>
    <n v="0"/>
    <n v="0"/>
    <n v="0"/>
    <n v="0"/>
    <n v="0"/>
    <n v="0"/>
    <n v="0"/>
    <s v="SI"/>
    <s v="  "/>
    <s v="                "/>
  </r>
  <r>
    <x v="0"/>
    <s v="CC"/>
    <x v="276"/>
    <x v="276"/>
    <s v="MUÑOZ"/>
    <s v="HERRERA"/>
    <s v="SANDRA"/>
    <s v="MARCELA"/>
    <s v="BOGOTA_D.E."/>
    <s v="BOGOTA"/>
    <s v="1. DEPENDIENTE"/>
    <s v="NINGUNO"/>
    <n v="22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9"/>
    <n v="2205081"/>
    <n v="0.16"/>
    <n v="352900"/>
    <s v=" "/>
    <n v="0"/>
    <n v="0"/>
    <n v="0"/>
    <n v="0"/>
    <n v="0"/>
    <n v="352900"/>
    <s v="NINGUNA"/>
    <x v="3"/>
    <n v="29"/>
    <n v="2205081"/>
    <n v="0.04"/>
    <n v="88300"/>
    <n v="0"/>
    <s v="               "/>
    <n v="0"/>
    <s v="               "/>
    <n v="0"/>
    <s v="NINGUNA"/>
    <x v="0"/>
    <n v="29"/>
    <n v="2205081"/>
    <n v="6.9599999999999995E-2"/>
    <s v="5"/>
    <s v="CENTRO TRABAJO 24"/>
    <s v="5711001"/>
    <n v="153500"/>
    <n v="29"/>
    <x v="0"/>
    <n v="2205081"/>
    <n v="0.04"/>
    <n v="88300"/>
    <n v="2205081"/>
    <n v="0"/>
    <n v="0"/>
    <n v="0"/>
    <n v="0"/>
    <n v="0"/>
    <n v="0"/>
    <n v="0"/>
    <n v="0"/>
    <s v="SI"/>
    <s v="  "/>
    <s v="                "/>
  </r>
  <r>
    <x v="0"/>
    <s v="CC"/>
    <x v="277"/>
    <x v="277"/>
    <s v="GAVIRIA"/>
    <s v="MORALES"/>
    <s v="NET"/>
    <s v="TRINIDAD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85595"/>
    <s v="NO"/>
    <s v="NO"/>
    <x v="1"/>
    <n v="1"/>
    <n v="59520"/>
    <n v="0.16"/>
    <n v="9600"/>
    <s v=" "/>
    <n v="0"/>
    <n v="0"/>
    <n v="0"/>
    <n v="0"/>
    <n v="0"/>
    <n v="9600"/>
    <s v="NINGUNA"/>
    <x v="2"/>
    <n v="1"/>
    <n v="59520"/>
    <n v="0.04"/>
    <n v="2400"/>
    <n v="0"/>
    <s v="               "/>
    <n v="0"/>
    <s v="               "/>
    <n v="0"/>
    <s v="NINGUNA"/>
    <x v="0"/>
    <n v="1"/>
    <n v="59520"/>
    <n v="0"/>
    <s v="5"/>
    <s v="CENTRO TRABAJO 24"/>
    <s v="5711001"/>
    <n v="0"/>
    <n v="1"/>
    <x v="0"/>
    <n v="59520"/>
    <n v="0.04"/>
    <n v="2400"/>
    <n v="59520"/>
    <n v="0"/>
    <n v="0"/>
    <n v="0"/>
    <n v="0"/>
    <n v="0"/>
    <n v="0"/>
    <n v="0"/>
    <n v="0"/>
    <s v="SI"/>
    <s v="  "/>
    <s v="                "/>
  </r>
  <r>
    <x v="0"/>
    <s v="CC"/>
    <x v="277"/>
    <x v="277"/>
    <s v="GAVIRIA"/>
    <s v="MORALES"/>
    <s v="NET"/>
    <s v="TRINIDAD"/>
    <s v="BOGOTA_D.E."/>
    <s v="BOGOTA"/>
    <s v="1. DEPENDIENTE"/>
    <s v="NINGUNO"/>
    <n v="19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1"/>
    <n v="29"/>
    <n v="2178292"/>
    <n v="0.16"/>
    <n v="348600"/>
    <s v=" "/>
    <n v="0"/>
    <n v="0"/>
    <n v="0"/>
    <n v="0"/>
    <n v="0"/>
    <n v="348600"/>
    <s v="NINGUNA"/>
    <x v="2"/>
    <n v="29"/>
    <n v="2178292"/>
    <n v="0.04"/>
    <n v="87200"/>
    <n v="0"/>
    <s v="               "/>
    <n v="0"/>
    <s v="               "/>
    <n v="0"/>
    <s v="NINGUNA"/>
    <x v="0"/>
    <n v="29"/>
    <n v="2178292"/>
    <n v="6.9599999999999995E-2"/>
    <s v="5"/>
    <s v="CENTRO TRABAJO 24"/>
    <s v="5711001"/>
    <n v="151700"/>
    <n v="29"/>
    <x v="0"/>
    <n v="2178292"/>
    <n v="0.04"/>
    <n v="87200"/>
    <n v="2178292"/>
    <n v="0"/>
    <n v="0"/>
    <n v="0"/>
    <n v="0"/>
    <n v="0"/>
    <n v="0"/>
    <n v="0"/>
    <n v="0"/>
    <s v="SI"/>
    <s v="  "/>
    <s v="                "/>
  </r>
  <r>
    <x v="0"/>
    <s v="CC"/>
    <x v="278"/>
    <x v="278"/>
    <s v="GUANUMEN"/>
    <s v="MOLINA"/>
    <s v="SANDRA"/>
    <s v=""/>
    <s v="BOGOTA_D.E."/>
    <s v="BOGOTA"/>
    <s v="1. DEPENDIENTE"/>
    <s v="NINGUNO"/>
    <n v="39"/>
    <s v="NO"/>
    <s v="NO"/>
    <m/>
    <s v="NO"/>
    <m/>
    <s v="Todos los sistemas (ARL, AFP, CCF, EPS)"/>
    <n v="4605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450089"/>
    <s v="NO"/>
    <s v="NO"/>
    <x v="1"/>
    <n v="6"/>
    <n v="1453357"/>
    <n v="0.16"/>
    <n v="232600"/>
    <s v=" "/>
    <n v="0"/>
    <n v="0"/>
    <n v="0"/>
    <n v="0"/>
    <n v="0"/>
    <n v="232600"/>
    <s v="NINGUNA"/>
    <x v="2"/>
    <n v="6"/>
    <n v="1453357"/>
    <n v="0.125"/>
    <n v="181700"/>
    <n v="0"/>
    <s v="               "/>
    <n v="0"/>
    <s v="               "/>
    <n v="0"/>
    <s v="NINGUNA"/>
    <x v="0"/>
    <n v="6"/>
    <n v="1453357"/>
    <n v="5.2199999999999998E-3"/>
    <s v="1"/>
    <s v="CENTRO TRABAJO 24"/>
    <s v="1711001"/>
    <n v="7600"/>
    <n v="6"/>
    <x v="0"/>
    <n v="6572807"/>
    <n v="0.04"/>
    <n v="263000"/>
    <n v="6572807"/>
    <n v="0.02"/>
    <n v="131500"/>
    <n v="0.03"/>
    <n v="197200"/>
    <n v="0"/>
    <n v="0"/>
    <n v="0"/>
    <n v="0"/>
    <s v="SI"/>
    <s v="  "/>
    <s v="                "/>
  </r>
  <r>
    <x v="0"/>
    <s v="PT"/>
    <x v="279"/>
    <x v="279"/>
    <s v="CHIRINOS"/>
    <s v="ALVARADO"/>
    <s v="HECTOR"/>
    <s v="JOSE"/>
    <s v="BOGOTA_D.E."/>
    <s v="BOGOTA"/>
    <s v="1. DEPENDIENTE"/>
    <s v="NINGUNO"/>
    <n v="159"/>
    <s v="NO"/>
    <s v="NO"/>
    <m/>
    <s v="Todos los sistemas (ARL, AFP, CCF, EPS)"/>
    <n v="46058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6"/>
    <n v="2225529"/>
    <n v="0.16"/>
    <n v="356100"/>
    <s v=" "/>
    <n v="0"/>
    <n v="0"/>
    <n v="0"/>
    <n v="0"/>
    <n v="0"/>
    <n v="356100"/>
    <s v="NINGUNA"/>
    <x v="0"/>
    <n v="26"/>
    <n v="2225529"/>
    <n v="0.04"/>
    <n v="89100"/>
    <n v="0"/>
    <s v="               "/>
    <n v="0"/>
    <s v="               "/>
    <n v="0"/>
    <s v="NINGUNA"/>
    <x v="0"/>
    <n v="26"/>
    <n v="2225529"/>
    <n v="6.9599999999999995E-2"/>
    <s v="5"/>
    <s v="CENTRO TRABAJO 24"/>
    <s v="5711001"/>
    <n v="154900"/>
    <n v="26"/>
    <x v="0"/>
    <n v="2225529"/>
    <n v="0.04"/>
    <n v="89100"/>
    <n v="2225529"/>
    <n v="0"/>
    <n v="0"/>
    <n v="0"/>
    <n v="0"/>
    <n v="0"/>
    <n v="0"/>
    <n v="0"/>
    <n v="0"/>
    <s v="SI"/>
    <s v="  "/>
    <s v="                "/>
  </r>
  <r>
    <x v="0"/>
    <s v="CC"/>
    <x v="280"/>
    <x v="280"/>
    <s v="CAMARGO"/>
    <s v="GONZALEZ"/>
    <s v="LEIDIS"/>
    <s v="PAOL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5"/>
    <n v="46059"/>
    <s v="NO"/>
    <s v="NO"/>
    <m/>
    <m/>
    <n v="0"/>
    <m/>
    <m/>
    <s v="NO"/>
    <n v="2223339"/>
    <s v="NO"/>
    <s v="NO"/>
    <x v="0"/>
    <n v="5"/>
    <n v="370557"/>
    <n v="0.16"/>
    <n v="59300"/>
    <s v=" "/>
    <n v="0"/>
    <n v="0"/>
    <n v="0"/>
    <n v="0"/>
    <n v="0"/>
    <n v="59300"/>
    <s v="NINGUNA"/>
    <x v="10"/>
    <n v="5"/>
    <n v="370557"/>
    <n v="0.04"/>
    <n v="14900"/>
    <n v="0"/>
    <s v="               "/>
    <n v="0"/>
    <s v="               "/>
    <n v="0"/>
    <s v="NINGUNA"/>
    <x v="0"/>
    <n v="5"/>
    <n v="370557"/>
    <n v="0"/>
    <s v="5"/>
    <s v="CENTRO TRABAJO 30"/>
    <s v="5711001"/>
    <n v="0"/>
    <n v="5"/>
    <x v="1"/>
    <n v="370557"/>
    <n v="0.04"/>
    <n v="14900"/>
    <n v="370557"/>
    <n v="0"/>
    <n v="0"/>
    <n v="0"/>
    <n v="0"/>
    <n v="0"/>
    <n v="0"/>
    <n v="0"/>
    <n v="0"/>
    <s v="SI"/>
    <s v="  "/>
    <s v="                "/>
  </r>
  <r>
    <x v="0"/>
    <s v="CC"/>
    <x v="280"/>
    <x v="280"/>
    <s v="CAMARGO"/>
    <s v="GONZALEZ"/>
    <s v="LEIDIS"/>
    <s v="PAOL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1"/>
    <n v="46063"/>
    <s v="NO"/>
    <m/>
    <m/>
    <s v="NO"/>
    <m/>
    <m/>
    <s v="NO"/>
    <s v="NO"/>
    <m/>
    <m/>
    <n v="0"/>
    <m/>
    <m/>
    <s v="NO"/>
    <n v="2223339"/>
    <s v="NO"/>
    <s v="NO"/>
    <x v="0"/>
    <n v="3"/>
    <n v="257603"/>
    <n v="0.16"/>
    <n v="41300"/>
    <s v=" "/>
    <n v="0"/>
    <n v="0"/>
    <n v="0"/>
    <n v="0"/>
    <n v="0"/>
    <n v="41300"/>
    <s v="NINGUNA"/>
    <x v="10"/>
    <n v="3"/>
    <n v="257603"/>
    <n v="0.04"/>
    <n v="10400"/>
    <n v="0"/>
    <s v="               "/>
    <n v="0"/>
    <s v="               "/>
    <n v="0"/>
    <s v="NINGUNA"/>
    <x v="0"/>
    <n v="3"/>
    <n v="257603"/>
    <n v="0"/>
    <s v="5"/>
    <s v="CENTRO TRABAJO 30"/>
    <s v="5711001"/>
    <n v="0"/>
    <n v="3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80"/>
    <x v="280"/>
    <s v="CAMARGO"/>
    <s v="GONZALEZ"/>
    <s v="LEIDIS"/>
    <s v="PAOLA"/>
    <s v="LA_GUAJIRA"/>
    <s v="RIOHACHA"/>
    <s v="1. DEPENDIENTE"/>
    <s v="NINGUNO"/>
    <n v="13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2"/>
    <n v="2157375"/>
    <n v="0.16"/>
    <n v="345200"/>
    <s v=" "/>
    <n v="0"/>
    <n v="0"/>
    <n v="0"/>
    <n v="0"/>
    <n v="0"/>
    <n v="345200"/>
    <s v="NINGUNA"/>
    <x v="10"/>
    <n v="22"/>
    <n v="2157375"/>
    <n v="0.04"/>
    <n v="86300"/>
    <n v="0"/>
    <s v="               "/>
    <n v="0"/>
    <s v="               "/>
    <n v="0"/>
    <s v="NINGUNA"/>
    <x v="0"/>
    <n v="22"/>
    <n v="2157375"/>
    <n v="6.9599999999999995E-2"/>
    <s v="5"/>
    <s v="CENTRO TRABAJO 30"/>
    <s v="5711001"/>
    <n v="150200"/>
    <n v="22"/>
    <x v="1"/>
    <n v="1839140"/>
    <n v="0.04"/>
    <n v="73600"/>
    <n v="1839140"/>
    <n v="0"/>
    <n v="0"/>
    <n v="0"/>
    <n v="0"/>
    <n v="0"/>
    <n v="0"/>
    <n v="0"/>
    <n v="0"/>
    <s v="SI"/>
    <s v="  "/>
    <s v="                "/>
  </r>
  <r>
    <x v="0"/>
    <s v="CC"/>
    <x v="281"/>
    <x v="281"/>
    <s v="CHINCHILLA"/>
    <s v="BUELVAS"/>
    <s v="YULEMA"/>
    <s v="PATRICIA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1"/>
    <n v="30"/>
    <n v="5676577"/>
    <n v="0.16"/>
    <n v="908300"/>
    <s v=" "/>
    <n v="0"/>
    <n v="0"/>
    <n v="0"/>
    <n v="0"/>
    <n v="0"/>
    <n v="908300"/>
    <s v="NINGUNA"/>
    <x v="2"/>
    <n v="30"/>
    <n v="5676577"/>
    <n v="0.04"/>
    <n v="227100"/>
    <n v="0"/>
    <s v="               "/>
    <n v="0"/>
    <s v="               "/>
    <n v="0"/>
    <s v="NINGUNA"/>
    <x v="0"/>
    <n v="30"/>
    <n v="5676577"/>
    <n v="6.9599999999999995E-2"/>
    <s v="5"/>
    <s v="CENTRO TRABAJO 30"/>
    <s v="5711001"/>
    <n v="395100"/>
    <n v="30"/>
    <x v="1"/>
    <n v="5676577"/>
    <n v="0.04"/>
    <n v="227100"/>
    <n v="5676577"/>
    <n v="0"/>
    <n v="0"/>
    <n v="0"/>
    <n v="0"/>
    <n v="0"/>
    <n v="0"/>
    <n v="0"/>
    <n v="0"/>
    <s v="SI"/>
    <s v="  "/>
    <s v="                "/>
  </r>
  <r>
    <x v="0"/>
    <s v="CC"/>
    <x v="282"/>
    <x v="282"/>
    <s v="ARRIETA"/>
    <s v="MOLINA"/>
    <s v="FREDIS"/>
    <s v="HERNAN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110655"/>
    <n v="0.16"/>
    <n v="337800"/>
    <s v=" "/>
    <n v="0"/>
    <n v="0"/>
    <n v="0"/>
    <n v="0"/>
    <n v="0"/>
    <n v="337800"/>
    <s v="NINGUNA"/>
    <x v="3"/>
    <n v="30"/>
    <n v="2110655"/>
    <n v="0.04"/>
    <n v="84500"/>
    <n v="0"/>
    <s v="               "/>
    <n v="0"/>
    <s v="               "/>
    <n v="0"/>
    <s v="NINGUNA"/>
    <x v="0"/>
    <n v="30"/>
    <n v="2110655"/>
    <n v="6.9599999999999995E-2"/>
    <s v="5"/>
    <s v="CENTRO TRABAJO 30"/>
    <s v="5711001"/>
    <n v="147000"/>
    <n v="30"/>
    <x v="1"/>
    <n v="2110655"/>
    <n v="0.04"/>
    <n v="84500"/>
    <n v="2110655"/>
    <n v="0"/>
    <n v="0"/>
    <n v="0"/>
    <n v="0"/>
    <n v="0"/>
    <n v="0"/>
    <n v="0"/>
    <n v="0"/>
    <s v="SI"/>
    <s v="  "/>
    <s v="                "/>
  </r>
  <r>
    <x v="0"/>
    <s v="CC"/>
    <x v="283"/>
    <x v="283"/>
    <s v="IGUARAN"/>
    <s v="BELEÑO"/>
    <s v="NORYE"/>
    <s v="IVAN"/>
    <s v="BOGOTA_D.E."/>
    <s v="BOGOTA"/>
    <s v="1. DEPENDIENTE"/>
    <s v="NINGUNO"/>
    <n v="231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SI"/>
    <x v="0"/>
    <n v="30"/>
    <n v="3922265"/>
    <n v="0.16"/>
    <n v="627600"/>
    <s v=" "/>
    <n v="0"/>
    <n v="0"/>
    <n v="0"/>
    <n v="0"/>
    <n v="0"/>
    <n v="627600"/>
    <s v="NINGUNA"/>
    <x v="0"/>
    <n v="30"/>
    <n v="3922265"/>
    <n v="0.04"/>
    <n v="156900"/>
    <n v="0"/>
    <s v="               "/>
    <n v="0"/>
    <s v="               "/>
    <n v="0"/>
    <s v="NINGUNA"/>
    <x v="0"/>
    <n v="30"/>
    <n v="3922265"/>
    <n v="6.9599999999999995E-2"/>
    <s v="5"/>
    <s v="CENTRO TRABAJO 24"/>
    <s v="5711001"/>
    <n v="273000"/>
    <n v="30"/>
    <x v="0"/>
    <n v="4549550"/>
    <n v="0.04"/>
    <n v="182000"/>
    <n v="4549550"/>
    <n v="0"/>
    <n v="0"/>
    <n v="0"/>
    <n v="0"/>
    <n v="0"/>
    <n v="0"/>
    <n v="0"/>
    <n v="0"/>
    <s v="SI"/>
    <s v="  "/>
    <s v="                "/>
  </r>
  <r>
    <x v="0"/>
    <s v="CC"/>
    <x v="284"/>
    <x v="284"/>
    <s v="TRIVIÑO"/>
    <s v="NIETO"/>
    <s v="LUZ"/>
    <s v="DARY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1750905"/>
    <n v="0.16"/>
    <n v="280200"/>
    <s v=" "/>
    <n v="0"/>
    <n v="0"/>
    <n v="0"/>
    <n v="0"/>
    <n v="0"/>
    <n v="280200"/>
    <s v="NINGUNA"/>
    <x v="8"/>
    <n v="30"/>
    <n v="1750905"/>
    <n v="0.04"/>
    <n v="70100"/>
    <n v="0"/>
    <s v="               "/>
    <n v="0"/>
    <s v="               "/>
    <n v="0"/>
    <s v="NINGUNA"/>
    <x v="0"/>
    <n v="30"/>
    <n v="1750905"/>
    <n v="5.2199999999999998E-3"/>
    <s v="1"/>
    <s v="CENTRO TRABAJO 24"/>
    <s v="1711001"/>
    <n v="9200"/>
    <n v="30"/>
    <x v="0"/>
    <n v="1750905"/>
    <n v="0.04"/>
    <n v="70100"/>
    <n v="1750905"/>
    <n v="0"/>
    <n v="0"/>
    <n v="0"/>
    <n v="0"/>
    <n v="0"/>
    <n v="0"/>
    <n v="0"/>
    <n v="0"/>
    <s v="SI"/>
    <s v="  "/>
    <s v="                "/>
  </r>
  <r>
    <x v="0"/>
    <s v="CC"/>
    <x v="285"/>
    <x v="285"/>
    <s v="TORRES"/>
    <s v="PADILLA"/>
    <s v="LIDIA"/>
    <s v="ESPERANZ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SI"/>
    <x v="1"/>
    <n v="30"/>
    <n v="5676577"/>
    <n v="0.16"/>
    <n v="908300"/>
    <s v=" "/>
    <n v="0"/>
    <n v="0"/>
    <n v="0"/>
    <n v="0"/>
    <n v="0"/>
    <n v="908300"/>
    <s v="NINGUNA"/>
    <x v="8"/>
    <n v="30"/>
    <n v="5676577"/>
    <n v="0.04"/>
    <n v="227100"/>
    <n v="0"/>
    <s v="               "/>
    <n v="0"/>
    <s v="               "/>
    <n v="0"/>
    <s v="NINGUNA"/>
    <x v="0"/>
    <n v="30"/>
    <n v="5676577"/>
    <n v="5.2199999999999998E-3"/>
    <s v="1"/>
    <s v="CENTRO TRABAJO 24"/>
    <s v="1711001"/>
    <n v="29700"/>
    <n v="30"/>
    <x v="0"/>
    <n v="5676577"/>
    <n v="0.04"/>
    <n v="227100"/>
    <n v="5676577"/>
    <n v="0"/>
    <n v="0"/>
    <n v="0"/>
    <n v="0"/>
    <n v="0"/>
    <n v="0"/>
    <n v="0"/>
    <n v="0"/>
    <s v="SI"/>
    <s v="  "/>
    <s v="                "/>
  </r>
  <r>
    <x v="0"/>
    <s v="CC"/>
    <x v="286"/>
    <x v="286"/>
    <s v="MARIN"/>
    <s v="SIERRA"/>
    <s v="ANGELA"/>
    <s v="CONSUEL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30"/>
    <n v="1750905"/>
    <n v="0.16"/>
    <n v="280200"/>
    <s v=" "/>
    <n v="0"/>
    <n v="0"/>
    <n v="0"/>
    <n v="0"/>
    <n v="0"/>
    <n v="280200"/>
    <s v="NINGUNA"/>
    <x v="10"/>
    <n v="30"/>
    <n v="1750905"/>
    <n v="0.04"/>
    <n v="70100"/>
    <n v="0"/>
    <s v="               "/>
    <n v="0"/>
    <s v="               "/>
    <n v="0"/>
    <s v="NINGUNA"/>
    <x v="0"/>
    <n v="30"/>
    <n v="1750905"/>
    <n v="2.436E-2"/>
    <s v="3"/>
    <s v="CENTRO TRABAJO 24"/>
    <s v="3711001"/>
    <n v="42700"/>
    <n v="30"/>
    <x v="0"/>
    <n v="1750905"/>
    <n v="0.04"/>
    <n v="70100"/>
    <n v="1750905"/>
    <n v="0"/>
    <n v="0"/>
    <n v="0"/>
    <n v="0"/>
    <n v="0"/>
    <n v="0"/>
    <n v="0"/>
    <n v="0"/>
    <s v="SI"/>
    <s v="  "/>
    <s v="                "/>
  </r>
  <r>
    <x v="0"/>
    <s v="CC"/>
    <x v="287"/>
    <x v="287"/>
    <s v="MURAD"/>
    <s v="GUTIERREZ"/>
    <s v="CATHERINE"/>
    <s v="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6882380"/>
    <s v="NO"/>
    <s v="NO"/>
    <x v="1"/>
    <n v="30"/>
    <n v="16882380"/>
    <n v="0.16"/>
    <n v="2701200"/>
    <s v=" "/>
    <n v="0"/>
    <n v="0"/>
    <n v="84500"/>
    <n v="84500"/>
    <n v="0"/>
    <n v="2870200"/>
    <s v="NINGUNA"/>
    <x v="9"/>
    <n v="30"/>
    <n v="16882380"/>
    <n v="0.125"/>
    <n v="2110300"/>
    <n v="0"/>
    <s v="               "/>
    <n v="0"/>
    <s v="               "/>
    <n v="0"/>
    <s v="NINGUNA"/>
    <x v="0"/>
    <n v="30"/>
    <n v="16882380"/>
    <n v="5.2199999999999998E-3"/>
    <s v="1"/>
    <s v="CENTRO TRABAJO 24"/>
    <s v="1711001"/>
    <n v="88200"/>
    <n v="30"/>
    <x v="0"/>
    <n v="16882380"/>
    <n v="0.04"/>
    <n v="675300"/>
    <n v="16882380"/>
    <n v="0.02"/>
    <n v="337700"/>
    <n v="0.03"/>
    <n v="506500"/>
    <n v="0"/>
    <n v="0"/>
    <n v="0"/>
    <n v="0"/>
    <s v="SI"/>
    <s v="  "/>
    <s v="                "/>
  </r>
  <r>
    <x v="0"/>
    <s v="CC"/>
    <x v="288"/>
    <x v="288"/>
    <s v="PULIDO"/>
    <s v="GONZALEZ"/>
    <s v="GRETHEL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8812118"/>
    <s v="NO"/>
    <s v="SI"/>
    <x v="4"/>
    <n v="7"/>
    <n v="2056161"/>
    <n v="0.16"/>
    <n v="329000"/>
    <s v=" "/>
    <n v="0"/>
    <n v="0"/>
    <n v="10300"/>
    <n v="10300"/>
    <n v="0"/>
    <n v="349600"/>
    <s v="NINGUNA"/>
    <x v="8"/>
    <n v="7"/>
    <n v="2056161"/>
    <n v="0.04"/>
    <n v="82300"/>
    <n v="0"/>
    <s v="               "/>
    <n v="0"/>
    <s v="               "/>
    <n v="0"/>
    <s v="NINGUNA"/>
    <x v="0"/>
    <n v="7"/>
    <n v="2056161"/>
    <n v="0"/>
    <s v="5"/>
    <s v="CENTRO TRABAJO 24"/>
    <s v="5711001"/>
    <n v="0"/>
    <n v="7"/>
    <x v="0"/>
    <n v="2056161"/>
    <n v="0.04"/>
    <n v="82300"/>
    <n v="2056161"/>
    <n v="0"/>
    <n v="0"/>
    <n v="0"/>
    <n v="0"/>
    <n v="0"/>
    <n v="0"/>
    <n v="0"/>
    <n v="0"/>
    <s v="SI"/>
    <s v="  "/>
    <s v="                "/>
  </r>
  <r>
    <x v="0"/>
    <s v="CC"/>
    <x v="288"/>
    <x v="288"/>
    <s v="PULIDO"/>
    <s v="GONZALEZ"/>
    <s v="GRETHEL"/>
    <s v="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8812118"/>
    <s v="NO"/>
    <s v="SI"/>
    <x v="4"/>
    <n v="23"/>
    <n v="6755958"/>
    <n v="0.16"/>
    <n v="1081000"/>
    <s v=" "/>
    <n v="0"/>
    <n v="0"/>
    <n v="33800"/>
    <n v="33800"/>
    <n v="0"/>
    <n v="1148600"/>
    <s v="NINGUNA"/>
    <x v="8"/>
    <n v="23"/>
    <n v="6755958"/>
    <n v="0.04"/>
    <n v="270300"/>
    <n v="0"/>
    <s v="               "/>
    <n v="0"/>
    <s v="               "/>
    <n v="0"/>
    <s v="NINGUNA"/>
    <x v="0"/>
    <n v="23"/>
    <n v="6755958"/>
    <n v="6.9599999999999995E-2"/>
    <s v="5"/>
    <s v="CENTRO TRABAJO 24"/>
    <s v="5711001"/>
    <n v="470300"/>
    <n v="23"/>
    <x v="0"/>
    <n v="6755958"/>
    <n v="0.04"/>
    <n v="270300"/>
    <n v="6755958"/>
    <n v="0"/>
    <n v="0"/>
    <n v="0"/>
    <n v="0"/>
    <n v="0"/>
    <n v="0"/>
    <n v="0"/>
    <n v="0"/>
    <s v="SI"/>
    <s v="  "/>
    <s v="                "/>
  </r>
  <r>
    <x v="0"/>
    <s v="CC"/>
    <x v="289"/>
    <x v="289"/>
    <s v="AREVALO"/>
    <s v="GAMBA"/>
    <s v="JULIA"/>
    <s v=""/>
    <s v="BOGOTA_D.E."/>
    <s v="BOGOT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30"/>
    <n v="2049356"/>
    <n v="0.16"/>
    <n v="327900"/>
    <s v=" "/>
    <n v="0"/>
    <n v="0"/>
    <n v="0"/>
    <n v="0"/>
    <n v="0"/>
    <n v="327900"/>
    <s v="NINGUNA"/>
    <x v="8"/>
    <n v="30"/>
    <n v="2049356"/>
    <n v="0.04"/>
    <n v="82000"/>
    <n v="0"/>
    <s v="               "/>
    <n v="0"/>
    <s v="               "/>
    <n v="0"/>
    <s v="NINGUNA"/>
    <x v="0"/>
    <n v="30"/>
    <n v="2049356"/>
    <n v="6.9599999999999995E-2"/>
    <s v="5"/>
    <s v="CENTRO TRABAJO 24"/>
    <s v="5711001"/>
    <n v="142700"/>
    <n v="30"/>
    <x v="0"/>
    <n v="2049356"/>
    <n v="0.04"/>
    <n v="82000"/>
    <n v="2049356"/>
    <n v="0"/>
    <n v="0"/>
    <n v="0"/>
    <n v="0"/>
    <n v="0"/>
    <n v="0"/>
    <n v="0"/>
    <n v="0"/>
    <s v="SI"/>
    <s v="  "/>
    <s v="                "/>
  </r>
  <r>
    <x v="0"/>
    <s v="CC"/>
    <x v="290"/>
    <x v="290"/>
    <s v="DALEMAN"/>
    <s v="CASTILLO"/>
    <s v="MARISOL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78"/>
    <n v="46079"/>
    <s v="NO"/>
    <m/>
    <m/>
    <s v="NO"/>
    <m/>
    <m/>
    <s v="NO"/>
    <s v="NO"/>
    <m/>
    <m/>
    <n v="0"/>
    <m/>
    <m/>
    <s v="NO"/>
    <n v="2219704"/>
    <s v="NO"/>
    <s v="NO"/>
    <x v="0"/>
    <n v="2"/>
    <n v="137230"/>
    <n v="0.16"/>
    <n v="22000"/>
    <s v=" "/>
    <n v="0"/>
    <n v="0"/>
    <n v="0"/>
    <n v="0"/>
    <n v="0"/>
    <n v="22000"/>
    <s v="NINGUNA"/>
    <x v="2"/>
    <n v="2"/>
    <n v="137230"/>
    <n v="0.04"/>
    <n v="5500"/>
    <n v="0"/>
    <s v="               "/>
    <n v="0"/>
    <s v="               "/>
    <n v="0"/>
    <s v="NINGUNA"/>
    <x v="0"/>
    <n v="2"/>
    <n v="137230"/>
    <n v="0"/>
    <s v="1"/>
    <s v="CENTRO TRABAJO 24"/>
    <s v="1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290"/>
    <x v="290"/>
    <s v="DALEMAN"/>
    <s v="CASTILLO"/>
    <s v="MARISOL"/>
    <s v=""/>
    <s v="BOGOTA_D.E."/>
    <s v="BOGOTA"/>
    <s v="1. DEPENDIENTE"/>
    <s v="NINGUNO"/>
    <n v="172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2219704"/>
    <s v="NO"/>
    <s v="NO"/>
    <x v="0"/>
    <n v="28"/>
    <n v="2071724"/>
    <n v="0.16"/>
    <n v="331500"/>
    <s v=" "/>
    <n v="0"/>
    <n v="0"/>
    <n v="0"/>
    <n v="0"/>
    <n v="0"/>
    <n v="331500"/>
    <s v="NINGUNA"/>
    <x v="2"/>
    <n v="28"/>
    <n v="2071724"/>
    <n v="0.04"/>
    <n v="82900"/>
    <n v="0"/>
    <s v="               "/>
    <n v="0"/>
    <s v="               "/>
    <n v="0"/>
    <s v="NINGUNA"/>
    <x v="0"/>
    <n v="28"/>
    <n v="2071724"/>
    <n v="5.2199999999999998E-3"/>
    <s v="1"/>
    <s v="CENTRO TRABAJO 24"/>
    <s v="1711001"/>
    <n v="10900"/>
    <n v="28"/>
    <x v="0"/>
    <n v="2071724"/>
    <n v="0.04"/>
    <n v="82900"/>
    <n v="2071724"/>
    <n v="0"/>
    <n v="0"/>
    <n v="0"/>
    <n v="0"/>
    <n v="0"/>
    <n v="0"/>
    <n v="0"/>
    <n v="0"/>
    <s v="SI"/>
    <s v="  "/>
    <s v="                "/>
  </r>
  <r>
    <x v="0"/>
    <s v="CC"/>
    <x v="291"/>
    <x v="291"/>
    <s v="YARA"/>
    <s v="CARDONA"/>
    <s v="LUZ"/>
    <s v="JOHANNA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1"/>
    <n v="30"/>
    <n v="6384779"/>
    <n v="0.16"/>
    <n v="1021600"/>
    <s v=" "/>
    <n v="0"/>
    <n v="0"/>
    <n v="0"/>
    <n v="0"/>
    <n v="0"/>
    <n v="1021600"/>
    <s v="NINGUNA"/>
    <x v="8"/>
    <n v="30"/>
    <n v="6384779"/>
    <n v="0.04"/>
    <n v="255400"/>
    <n v="0"/>
    <s v="               "/>
    <n v="0"/>
    <s v="               "/>
    <n v="0"/>
    <s v="NINGUNA"/>
    <x v="0"/>
    <n v="30"/>
    <n v="6384779"/>
    <n v="6.9599999999999995E-2"/>
    <s v="5"/>
    <s v="CENTRO TRABAJO 24"/>
    <s v="5711001"/>
    <n v="444400"/>
    <n v="30"/>
    <x v="0"/>
    <n v="6384779"/>
    <n v="0.04"/>
    <n v="255400"/>
    <n v="6384779"/>
    <n v="0"/>
    <n v="0"/>
    <n v="0"/>
    <n v="0"/>
    <n v="0"/>
    <n v="0"/>
    <n v="0"/>
    <n v="0"/>
    <s v="SI"/>
    <s v="  "/>
    <s v="                "/>
  </r>
  <r>
    <x v="0"/>
    <s v="CC"/>
    <x v="292"/>
    <x v="292"/>
    <s v="ARIAS"/>
    <s v="GARNICA"/>
    <s v="ANDREA"/>
    <s v="MILEN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8569658"/>
    <s v="NO"/>
    <s v="NO"/>
    <x v="2"/>
    <n v="30"/>
    <n v="8569658"/>
    <n v="0.16"/>
    <n v="1371200"/>
    <s v=" "/>
    <n v="0"/>
    <n v="0"/>
    <n v="42900"/>
    <n v="42900"/>
    <n v="0"/>
    <n v="1457000"/>
    <s v="NINGUNA"/>
    <x v="8"/>
    <n v="30"/>
    <n v="8569658"/>
    <n v="0.04"/>
    <n v="342800"/>
    <n v="0"/>
    <s v="               "/>
    <n v="0"/>
    <s v="               "/>
    <n v="0"/>
    <s v="NINGUNA"/>
    <x v="0"/>
    <n v="30"/>
    <n v="8569658"/>
    <n v="5.2199999999999998E-3"/>
    <s v="1"/>
    <s v="CENTRO TRABAJO 24"/>
    <s v="1711001"/>
    <n v="44800"/>
    <n v="30"/>
    <x v="0"/>
    <n v="8569658"/>
    <n v="0.04"/>
    <n v="342800"/>
    <n v="8569658"/>
    <n v="0"/>
    <n v="0"/>
    <n v="0"/>
    <n v="0"/>
    <n v="0"/>
    <n v="0"/>
    <n v="0"/>
    <n v="0"/>
    <s v="SI"/>
    <s v="  "/>
    <s v="                "/>
  </r>
  <r>
    <x v="0"/>
    <s v="CC"/>
    <x v="293"/>
    <x v="293"/>
    <s v="TORO"/>
    <s v="AVILA"/>
    <s v="EDITH"/>
    <s v="MILEN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8150490"/>
    <s v="NO"/>
    <s v="NO"/>
    <x v="1"/>
    <n v="30"/>
    <n v="8150490"/>
    <n v="0.16"/>
    <n v="1304100"/>
    <s v=" "/>
    <n v="0"/>
    <n v="0"/>
    <n v="40800"/>
    <n v="40800"/>
    <n v="0"/>
    <n v="1385700"/>
    <s v="NINGUNA"/>
    <x v="0"/>
    <n v="30"/>
    <n v="8150490"/>
    <n v="0.04"/>
    <n v="326100"/>
    <n v="0"/>
    <s v="               "/>
    <n v="0"/>
    <s v="               "/>
    <n v="0"/>
    <s v="NINGUNA"/>
    <x v="0"/>
    <n v="30"/>
    <n v="8150490"/>
    <n v="6.9599999999999995E-2"/>
    <s v="5"/>
    <s v="CENTRO TRABAJO 24"/>
    <s v="5711001"/>
    <n v="567300"/>
    <n v="30"/>
    <x v="0"/>
    <n v="8150490"/>
    <n v="0.04"/>
    <n v="326100"/>
    <n v="8150490"/>
    <n v="0"/>
    <n v="0"/>
    <n v="0"/>
    <n v="0"/>
    <n v="0"/>
    <n v="0"/>
    <n v="0"/>
    <n v="0"/>
    <s v="SI"/>
    <s v="  "/>
    <s v="                "/>
  </r>
  <r>
    <x v="0"/>
    <s v="PT"/>
    <x v="294"/>
    <x v="294"/>
    <s v="COMAS"/>
    <s v="GARCIA"/>
    <s v="FRANK"/>
    <s v="HENRIS"/>
    <s v="LA_GUAJIRA"/>
    <s v="RIOHACHA"/>
    <s v="1. DEPENDIENTE"/>
    <s v="NINGUNO"/>
    <n v="1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5"/>
    <n v="1136694"/>
    <n v="0.16"/>
    <n v="181900"/>
    <s v=" "/>
    <n v="0"/>
    <n v="0"/>
    <n v="0"/>
    <n v="0"/>
    <n v="0"/>
    <n v="181900"/>
    <s v="NINGUNA"/>
    <x v="0"/>
    <n v="15"/>
    <n v="1136694"/>
    <n v="0.04"/>
    <n v="45500"/>
    <n v="0"/>
    <s v="               "/>
    <n v="0"/>
    <s v="               "/>
    <n v="0"/>
    <s v="NINGUNA"/>
    <x v="0"/>
    <n v="15"/>
    <n v="1136694"/>
    <n v="6.9599999999999995E-2"/>
    <s v="5"/>
    <s v="CENTRO TRABAJO 30"/>
    <s v="5711001"/>
    <n v="79200"/>
    <n v="15"/>
    <x v="1"/>
    <n v="1136694"/>
    <n v="0.04"/>
    <n v="45500"/>
    <n v="1136694"/>
    <n v="0"/>
    <n v="0"/>
    <n v="0"/>
    <n v="0"/>
    <n v="0"/>
    <n v="0"/>
    <n v="0"/>
    <n v="0"/>
    <s v="SI"/>
    <s v="  "/>
    <s v="                "/>
  </r>
  <r>
    <x v="0"/>
    <s v="PT"/>
    <x v="294"/>
    <x v="294"/>
    <s v="COMAS"/>
    <s v="GARCIA"/>
    <s v="FRANK"/>
    <s v="HENRIS"/>
    <s v="LA_GUAJIRA"/>
    <s v="RIOHACHA"/>
    <s v="1. DEPENDIENTE"/>
    <s v="NINGUNO"/>
    <n v="9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SI"/>
    <m/>
    <m/>
    <n v="0"/>
    <m/>
    <m/>
    <s v="NO"/>
    <n v="1785595"/>
    <s v="NO"/>
    <s v="NO"/>
    <x v="0"/>
    <n v="15"/>
    <n v="1131768"/>
    <n v="0.16"/>
    <n v="181100"/>
    <s v=" "/>
    <n v="0"/>
    <n v="0"/>
    <n v="0"/>
    <n v="0"/>
    <n v="0"/>
    <n v="181100"/>
    <s v="NINGUNA"/>
    <x v="0"/>
    <n v="15"/>
    <n v="1131768"/>
    <n v="0.04"/>
    <n v="45300"/>
    <n v="0"/>
    <s v="               "/>
    <n v="0"/>
    <s v="               "/>
    <n v="0"/>
    <s v="NINGUNA"/>
    <x v="0"/>
    <n v="15"/>
    <n v="1131768"/>
    <n v="6.9599999999999995E-2"/>
    <s v="5"/>
    <s v="CENTRO TRABAJO 30"/>
    <s v="5711001"/>
    <n v="78800"/>
    <n v="15"/>
    <x v="1"/>
    <n v="1131768"/>
    <n v="0.04"/>
    <n v="45300"/>
    <n v="1131768"/>
    <n v="0"/>
    <n v="0"/>
    <n v="0"/>
    <n v="0"/>
    <n v="0"/>
    <n v="0"/>
    <n v="0"/>
    <n v="0"/>
    <s v="SI"/>
    <s v="  "/>
    <s v="                "/>
  </r>
  <r>
    <x v="0"/>
    <s v="CC"/>
    <x v="295"/>
    <x v="295"/>
    <s v="VELEZ"/>
    <s v="MENDOZA"/>
    <s v="LUIS"/>
    <s v="CRISTOBAL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2951824"/>
    <n v="0.16"/>
    <n v="472300"/>
    <s v=" "/>
    <n v="0"/>
    <n v="0"/>
    <n v="0"/>
    <n v="0"/>
    <n v="0"/>
    <n v="472300"/>
    <s v="NINGUNA"/>
    <x v="0"/>
    <n v="30"/>
    <n v="2951824"/>
    <n v="0.04"/>
    <n v="118100"/>
    <n v="0"/>
    <s v="               "/>
    <n v="0"/>
    <s v="               "/>
    <n v="0"/>
    <s v="NINGUNA"/>
    <x v="0"/>
    <n v="30"/>
    <n v="2951824"/>
    <n v="6.9599999999999995E-2"/>
    <s v="5"/>
    <s v="CENTRO TRABAJO 24"/>
    <s v="5711001"/>
    <n v="205500"/>
    <n v="30"/>
    <x v="0"/>
    <n v="2951824"/>
    <n v="0.04"/>
    <n v="118100"/>
    <n v="2951824"/>
    <n v="0"/>
    <n v="0"/>
    <n v="0"/>
    <n v="0"/>
    <n v="0"/>
    <n v="0"/>
    <n v="0"/>
    <n v="0"/>
    <s v="SI"/>
    <s v="  "/>
    <s v="                "/>
  </r>
  <r>
    <x v="0"/>
    <s v="CC"/>
    <x v="296"/>
    <x v="296"/>
    <s v="HERNANDEZ"/>
    <s v="SUAREZ"/>
    <s v="OSCAR"/>
    <s v="MAURICIO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0"/>
    <n v="4"/>
    <n v="260887"/>
    <n v="0.16"/>
    <n v="41800"/>
    <s v=" "/>
    <n v="0"/>
    <n v="0"/>
    <n v="0"/>
    <n v="0"/>
    <n v="0"/>
    <n v="41800"/>
    <s v="NINGUNA"/>
    <x v="10"/>
    <n v="4"/>
    <n v="260887"/>
    <n v="0.04"/>
    <n v="10500"/>
    <n v="0"/>
    <s v="               "/>
    <n v="0"/>
    <s v="               "/>
    <n v="0"/>
    <s v="NINGUNA"/>
    <x v="0"/>
    <n v="4"/>
    <n v="260887"/>
    <n v="6.9599999999999995E-2"/>
    <s v="5"/>
    <s v="CENTRO TRABAJO 24"/>
    <s v="5711001"/>
    <n v="18200"/>
    <n v="4"/>
    <x v="0"/>
    <n v="260887"/>
    <n v="0.04"/>
    <n v="10500"/>
    <n v="260887"/>
    <n v="0"/>
    <n v="0"/>
    <n v="0"/>
    <n v="0"/>
    <n v="0"/>
    <n v="0"/>
    <n v="0"/>
    <n v="0"/>
    <s v="SI"/>
    <s v="  "/>
    <s v="                "/>
  </r>
  <r>
    <x v="0"/>
    <s v="PT"/>
    <x v="297"/>
    <x v="297"/>
    <s v="ALVAREZ"/>
    <s v="BELIZARIO"/>
    <s v="JOHAN"/>
    <s v="ALEJANDR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1"/>
    <n v="58364"/>
    <n v="0.16"/>
    <n v="9400"/>
    <s v=" "/>
    <n v="0"/>
    <n v="0"/>
    <n v="0"/>
    <n v="0"/>
    <n v="0"/>
    <n v="9400"/>
    <s v="NINGUNA"/>
    <x v="3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PT"/>
    <x v="297"/>
    <x v="297"/>
    <s v="ALVAREZ"/>
    <s v="BELIZARIO"/>
    <s v="JOHAN"/>
    <s v="ALEJANDRO"/>
    <s v="BOGOTA_D.E."/>
    <s v="BOGOT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9"/>
    <n v="2051478"/>
    <n v="0.16"/>
    <n v="328300"/>
    <s v=" "/>
    <n v="0"/>
    <n v="0"/>
    <n v="0"/>
    <n v="0"/>
    <n v="0"/>
    <n v="328300"/>
    <s v="NINGUNA"/>
    <x v="3"/>
    <n v="29"/>
    <n v="2051478"/>
    <n v="0.04"/>
    <n v="82100"/>
    <n v="0"/>
    <s v="               "/>
    <n v="0"/>
    <s v="               "/>
    <n v="0"/>
    <s v="NINGUNA"/>
    <x v="0"/>
    <n v="29"/>
    <n v="2051478"/>
    <n v="6.9599999999999995E-2"/>
    <s v="5"/>
    <s v="CENTRO TRABAJO 24"/>
    <s v="5711001"/>
    <n v="142800"/>
    <n v="29"/>
    <x v="0"/>
    <n v="2051478"/>
    <n v="0.04"/>
    <n v="82100"/>
    <n v="2051478"/>
    <n v="0"/>
    <n v="0"/>
    <n v="0"/>
    <n v="0"/>
    <n v="0"/>
    <n v="0"/>
    <n v="0"/>
    <n v="0"/>
    <s v="SI"/>
    <s v="  "/>
    <s v="                "/>
  </r>
  <r>
    <x v="0"/>
    <s v="CC"/>
    <x v="298"/>
    <x v="298"/>
    <s v="BUESAQUILLO"/>
    <s v="YANGUATIN"/>
    <s v="CLAUDIA"/>
    <s v="LORENA"/>
    <s v="BOGOTA_D.E."/>
    <s v="BOGOTA"/>
    <s v="1. DEPENDIENTE"/>
    <s v="NINGUNO"/>
    <n v="25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570051"/>
    <n v="0.16"/>
    <n v="411300"/>
    <s v=" "/>
    <n v="0"/>
    <n v="0"/>
    <n v="0"/>
    <n v="0"/>
    <n v="0"/>
    <n v="411300"/>
    <s v="NINGUNA"/>
    <x v="0"/>
    <n v="30"/>
    <n v="2570051"/>
    <n v="0.04"/>
    <n v="102900"/>
    <n v="0"/>
    <s v="               "/>
    <n v="0"/>
    <s v="               "/>
    <n v="0"/>
    <s v="NINGUNA"/>
    <x v="0"/>
    <n v="30"/>
    <n v="2570051"/>
    <n v="6.9599999999999995E-2"/>
    <s v="5"/>
    <s v="CENTRO TRABAJO 24"/>
    <s v="5711001"/>
    <n v="178900"/>
    <n v="30"/>
    <x v="0"/>
    <n v="2570051"/>
    <n v="0.04"/>
    <n v="102900"/>
    <n v="2570051"/>
    <n v="0"/>
    <n v="0"/>
    <n v="0"/>
    <n v="0"/>
    <n v="0"/>
    <n v="0"/>
    <n v="0"/>
    <n v="0"/>
    <s v="SI"/>
    <s v="  "/>
    <s v="                "/>
  </r>
  <r>
    <x v="0"/>
    <s v="CC"/>
    <x v="299"/>
    <x v="299"/>
    <s v="PALENCIA"/>
    <s v="MORA"/>
    <s v="LUZ"/>
    <s v="AIDEE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2"/>
    <n v="30"/>
    <n v="5209465"/>
    <n v="0.16"/>
    <n v="833600"/>
    <s v=" "/>
    <n v="0"/>
    <n v="0"/>
    <n v="0"/>
    <n v="0"/>
    <n v="0"/>
    <n v="833600"/>
    <s v="NINGUNA"/>
    <x v="9"/>
    <n v="30"/>
    <n v="5209465"/>
    <n v="0.04"/>
    <n v="208400"/>
    <n v="0"/>
    <s v="               "/>
    <n v="0"/>
    <s v="               "/>
    <n v="0"/>
    <s v="NINGUNA"/>
    <x v="0"/>
    <n v="30"/>
    <n v="5209465"/>
    <n v="6.9599999999999995E-2"/>
    <s v="5"/>
    <s v="CENTRO TRABAJO 24"/>
    <s v="5711001"/>
    <n v="362600"/>
    <n v="30"/>
    <x v="0"/>
    <n v="5209465"/>
    <n v="0.04"/>
    <n v="208400"/>
    <n v="5209465"/>
    <n v="0"/>
    <n v="0"/>
    <n v="0"/>
    <n v="0"/>
    <n v="0"/>
    <n v="0"/>
    <n v="0"/>
    <n v="0"/>
    <s v="SI"/>
    <s v="  "/>
    <s v="                "/>
  </r>
  <r>
    <x v="0"/>
    <s v="CC"/>
    <x v="300"/>
    <x v="300"/>
    <s v="CANOLES"/>
    <s v="PELUFFO"/>
    <s v="KADIS"/>
    <s v="ARELIS DEL CARMEN"/>
    <s v="BOGOTA_D.E."/>
    <s v="BOGOTA"/>
    <s v="1. DEPENDIENTE"/>
    <s v="1. DEPENDIENTE PENSIONADO ACTIV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5602605"/>
    <s v="NO"/>
    <s v="SI"/>
    <x v="5"/>
    <n v="0"/>
    <n v="0"/>
    <n v="0"/>
    <n v="0"/>
    <s v=" "/>
    <n v="0"/>
    <n v="0"/>
    <n v="0"/>
    <n v="0"/>
    <n v="0"/>
    <n v="0"/>
    <s v="NINGUNA"/>
    <x v="2"/>
    <n v="7"/>
    <n v="1307275"/>
    <n v="0.04"/>
    <n v="52300"/>
    <n v="0"/>
    <s v="               "/>
    <n v="0"/>
    <s v="               "/>
    <n v="0"/>
    <s v="NINGUNA"/>
    <x v="0"/>
    <n v="7"/>
    <n v="1307275"/>
    <n v="0"/>
    <s v="1"/>
    <s v="CENTRO TRABAJO 24"/>
    <s v="1711001"/>
    <n v="0"/>
    <n v="7"/>
    <x v="0"/>
    <n v="1307275"/>
    <n v="0.04"/>
    <n v="52300"/>
    <n v="1307275"/>
    <n v="0"/>
    <n v="0"/>
    <n v="0"/>
    <n v="0"/>
    <n v="0"/>
    <n v="0"/>
    <n v="0"/>
    <n v="0"/>
    <s v="SI"/>
    <s v="  "/>
    <s v="                "/>
  </r>
  <r>
    <x v="0"/>
    <s v="CC"/>
    <x v="300"/>
    <x v="300"/>
    <s v="CANOLES"/>
    <s v="PELUFFO"/>
    <s v="KADIS"/>
    <s v="ARELIS DEL CARMEN"/>
    <s v="BOGOTA_D.E."/>
    <s v="BOGOTA"/>
    <s v="1. DEPENDIENTE"/>
    <s v="1. DEPENDIENTE PENSIONADO ACTIV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5602605"/>
    <s v="NO"/>
    <s v="SI"/>
    <x v="5"/>
    <n v="0"/>
    <n v="0"/>
    <n v="0"/>
    <n v="0"/>
    <s v=" "/>
    <n v="0"/>
    <n v="0"/>
    <n v="0"/>
    <n v="0"/>
    <n v="0"/>
    <n v="0"/>
    <s v="NINGUNA"/>
    <x v="2"/>
    <n v="23"/>
    <n v="4482509"/>
    <n v="0.04"/>
    <n v="179400"/>
    <n v="0"/>
    <s v="               "/>
    <n v="0"/>
    <s v="               "/>
    <n v="0"/>
    <s v="NINGUNA"/>
    <x v="0"/>
    <n v="23"/>
    <n v="4482509"/>
    <n v="5.2199999999999998E-3"/>
    <s v="1"/>
    <s v="CENTRO TRABAJO 24"/>
    <s v="1711001"/>
    <n v="23400"/>
    <n v="23"/>
    <x v="0"/>
    <n v="4482509"/>
    <n v="0.04"/>
    <n v="179400"/>
    <n v="4482509"/>
    <n v="0"/>
    <n v="0"/>
    <n v="0"/>
    <n v="0"/>
    <n v="0"/>
    <n v="0"/>
    <n v="0"/>
    <n v="0"/>
    <s v="SI"/>
    <s v="  "/>
    <s v="                "/>
  </r>
  <r>
    <x v="0"/>
    <s v="CC"/>
    <x v="301"/>
    <x v="301"/>
    <s v="ISSAACS"/>
    <s v="GUERRA"/>
    <s v="MARIA"/>
    <s v="ISAB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0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01"/>
    <x v="301"/>
    <s v="ISSAACS"/>
    <s v="GUERRA"/>
    <s v="MARIA"/>
    <s v="ISAB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79"/>
    <n v="46079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0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01"/>
    <x v="301"/>
    <s v="ISSAACS"/>
    <s v="GUERRA"/>
    <s v="MARIA"/>
    <s v="ISABEL"/>
    <s v="BOGOTA_D.E."/>
    <s v="BOGOTA"/>
    <s v="1. DEPENDIENTE"/>
    <s v="NINGUNO"/>
    <n v="211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8"/>
    <n v="2932330"/>
    <n v="0.16"/>
    <n v="469200"/>
    <s v=" "/>
    <n v="0"/>
    <n v="0"/>
    <n v="0"/>
    <n v="0"/>
    <n v="0"/>
    <n v="469200"/>
    <s v="NINGUNA"/>
    <x v="0"/>
    <n v="28"/>
    <n v="2932330"/>
    <n v="0.04"/>
    <n v="117300"/>
    <n v="0"/>
    <s v="               "/>
    <n v="0"/>
    <s v="               "/>
    <n v="0"/>
    <s v="NINGUNA"/>
    <x v="0"/>
    <n v="28"/>
    <n v="2932330"/>
    <n v="6.9599999999999995E-2"/>
    <s v="5"/>
    <s v="CENTRO TRABAJO 24"/>
    <s v="5711001"/>
    <n v="204100"/>
    <n v="28"/>
    <x v="0"/>
    <n v="3700418"/>
    <n v="0.04"/>
    <n v="148100"/>
    <n v="3700418"/>
    <n v="0"/>
    <n v="0"/>
    <n v="0"/>
    <n v="0"/>
    <n v="0"/>
    <n v="0"/>
    <n v="0"/>
    <n v="0"/>
    <s v="SI"/>
    <s v="  "/>
    <s v="                "/>
  </r>
  <r>
    <x v="0"/>
    <s v="CC"/>
    <x v="302"/>
    <x v="302"/>
    <s v="GALLEGO"/>
    <s v="CAICEDO"/>
    <s v="CARLOS"/>
    <s v="EMILIO"/>
    <s v="BOGOTA_D.E."/>
    <s v="BOGOTA"/>
    <s v="1. DEPENDIENTE"/>
    <s v="NINGUNO"/>
    <n v="20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15447"/>
    <s v="NO"/>
    <s v="NO"/>
    <x v="1"/>
    <n v="30"/>
    <n v="2112434"/>
    <n v="0.16"/>
    <n v="338000"/>
    <s v=" "/>
    <n v="0"/>
    <n v="0"/>
    <n v="0"/>
    <n v="0"/>
    <n v="0"/>
    <n v="338000"/>
    <s v="NINGUNA"/>
    <x v="10"/>
    <n v="30"/>
    <n v="2112434"/>
    <n v="0.04"/>
    <n v="84500"/>
    <n v="0"/>
    <s v="               "/>
    <n v="0"/>
    <s v="               "/>
    <n v="0"/>
    <s v="NINGUNA"/>
    <x v="0"/>
    <n v="30"/>
    <n v="2112434"/>
    <n v="4.3499999999999997E-2"/>
    <s v="4"/>
    <s v="CENTRO TRABAJO 24"/>
    <s v="4711001"/>
    <n v="91900"/>
    <n v="30"/>
    <x v="0"/>
    <n v="2112434"/>
    <n v="0.04"/>
    <n v="84500"/>
    <n v="2112434"/>
    <n v="0"/>
    <n v="0"/>
    <n v="0"/>
    <n v="0"/>
    <n v="0"/>
    <n v="0"/>
    <n v="0"/>
    <n v="0"/>
    <s v="SI"/>
    <s v="  "/>
    <s v="                "/>
  </r>
  <r>
    <x v="0"/>
    <s v="CC"/>
    <x v="303"/>
    <x v="303"/>
    <s v="ENTENCIPA"/>
    <s v="MENDOZA"/>
    <s v="LUZ"/>
    <s v="ANGELA"/>
    <s v="BOGOTA_D.E."/>
    <s v="BOGOTA"/>
    <s v="1. DEPENDIENTE"/>
    <s v="NINGUNO"/>
    <n v="90"/>
    <s v="NO"/>
    <s v="NO"/>
    <m/>
    <s v="NO"/>
    <m/>
    <s v="Todos los sistemas (ARL, AFP, CCF, EPS)"/>
    <n v="46067"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639331"/>
    <s v="NO"/>
    <s v="NO"/>
    <x v="2"/>
    <n v="14"/>
    <n v="1819665"/>
    <n v="0.16"/>
    <n v="291200"/>
    <s v=" "/>
    <n v="0"/>
    <n v="0"/>
    <n v="0"/>
    <n v="0"/>
    <n v="0"/>
    <n v="291200"/>
    <s v="NINGUNA"/>
    <x v="0"/>
    <n v="14"/>
    <n v="1819665"/>
    <n v="0.04"/>
    <n v="72800"/>
    <n v="0"/>
    <s v="               "/>
    <n v="0"/>
    <s v="               "/>
    <n v="0"/>
    <s v="NINGUNA"/>
    <x v="0"/>
    <n v="14"/>
    <n v="1819665"/>
    <n v="6.9599999999999995E-2"/>
    <s v="5"/>
    <s v="CENTRO TRABAJO 24"/>
    <s v="5711001"/>
    <n v="126700"/>
    <n v="14"/>
    <x v="0"/>
    <n v="3576014"/>
    <n v="0.04"/>
    <n v="143100"/>
    <n v="3576014"/>
    <n v="0"/>
    <n v="0"/>
    <n v="0"/>
    <n v="0"/>
    <n v="0"/>
    <n v="0"/>
    <n v="0"/>
    <n v="0"/>
    <s v="SI"/>
    <s v="  "/>
    <s v="                "/>
  </r>
  <r>
    <x v="0"/>
    <s v="PT"/>
    <x v="304"/>
    <x v="304"/>
    <s v="BRICEÑO"/>
    <s v="RINCON"/>
    <s v="DALMIRO"/>
    <s v="JESU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58"/>
    <s v="NO"/>
    <s v="NO"/>
    <m/>
    <m/>
    <n v="0"/>
    <m/>
    <m/>
    <s v="NO"/>
    <n v="1750905"/>
    <s v="NO"/>
    <s v="NO"/>
    <x v="2"/>
    <n v="1"/>
    <n v="58364"/>
    <n v="0.16"/>
    <n v="9400"/>
    <s v=" "/>
    <n v="0"/>
    <n v="0"/>
    <n v="0"/>
    <n v="0"/>
    <n v="0"/>
    <n v="9400"/>
    <s v="NINGUNA"/>
    <x v="3"/>
    <n v="1"/>
    <n v="58364"/>
    <n v="0.04"/>
    <n v="240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58364"/>
    <n v="0.04"/>
    <n v="2400"/>
    <n v="58364"/>
    <n v="0"/>
    <n v="0"/>
    <n v="0"/>
    <n v="0"/>
    <n v="0"/>
    <n v="0"/>
    <n v="0"/>
    <n v="0"/>
    <s v="SI"/>
    <s v="  "/>
    <s v="                "/>
  </r>
  <r>
    <x v="0"/>
    <s v="PT"/>
    <x v="304"/>
    <x v="304"/>
    <s v="BRICEÑO"/>
    <s v="RINCON"/>
    <s v="DALMIRO"/>
    <s v="JESU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9"/>
    <n v="46081"/>
    <s v="NO"/>
    <s v="NO"/>
    <m/>
    <m/>
    <n v="0"/>
    <m/>
    <m/>
    <s v="NO"/>
    <n v="1750905"/>
    <s v="NO"/>
    <s v="NO"/>
    <x v="2"/>
    <n v="3"/>
    <n v="175091"/>
    <n v="0.16"/>
    <n v="28100"/>
    <s v=" "/>
    <n v="0"/>
    <n v="0"/>
    <n v="0"/>
    <n v="0"/>
    <n v="0"/>
    <n v="28100"/>
    <s v="NINGUNA"/>
    <x v="3"/>
    <n v="3"/>
    <n v="175091"/>
    <n v="0.04"/>
    <n v="7100"/>
    <n v="0"/>
    <s v="               "/>
    <n v="0"/>
    <s v="               "/>
    <n v="0"/>
    <s v="NINGUNA"/>
    <x v="0"/>
    <n v="3"/>
    <n v="175091"/>
    <n v="0"/>
    <s v="5"/>
    <s v="CENTRO TRABAJO 24"/>
    <s v="5711001"/>
    <n v="0"/>
    <n v="3"/>
    <x v="0"/>
    <n v="175091"/>
    <n v="0.04"/>
    <n v="7100"/>
    <n v="175091"/>
    <n v="0"/>
    <n v="0"/>
    <n v="0"/>
    <n v="0"/>
    <n v="0"/>
    <n v="0"/>
    <n v="0"/>
    <n v="0"/>
    <s v="SI"/>
    <s v="  "/>
    <s v="                "/>
  </r>
  <r>
    <x v="0"/>
    <s v="PT"/>
    <x v="304"/>
    <x v="304"/>
    <s v="BRICEÑO"/>
    <s v="RINCON"/>
    <s v="DALMIRO"/>
    <s v="JESUS"/>
    <s v="BOGOTA_D.E."/>
    <s v="BOGOTA"/>
    <s v="1. DEPENDIENTE"/>
    <s v="NINGUNO"/>
    <n v="195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6"/>
    <n v="2515069"/>
    <n v="0.16"/>
    <n v="402500"/>
    <s v=" "/>
    <n v="0"/>
    <n v="0"/>
    <n v="0"/>
    <n v="0"/>
    <n v="0"/>
    <n v="402500"/>
    <s v="NINGUNA"/>
    <x v="3"/>
    <n v="26"/>
    <n v="2515069"/>
    <n v="0.04"/>
    <n v="100700"/>
    <n v="0"/>
    <s v="               "/>
    <n v="0"/>
    <s v="               "/>
    <n v="0"/>
    <s v="NINGUNA"/>
    <x v="0"/>
    <n v="26"/>
    <n v="2515069"/>
    <n v="6.9599999999999995E-2"/>
    <s v="5"/>
    <s v="CENTRO TRABAJO 24"/>
    <s v="5711001"/>
    <n v="175100"/>
    <n v="26"/>
    <x v="0"/>
    <n v="3235087"/>
    <n v="0.04"/>
    <n v="129500"/>
    <n v="3235087"/>
    <n v="0"/>
    <n v="0"/>
    <n v="0"/>
    <n v="0"/>
    <n v="0"/>
    <n v="0"/>
    <n v="0"/>
    <n v="0"/>
    <s v="SI"/>
    <s v="  "/>
    <s v="                "/>
  </r>
  <r>
    <x v="0"/>
    <s v="PT"/>
    <x v="305"/>
    <x v="305"/>
    <s v="NELO"/>
    <s v="OCHOA"/>
    <s v="DIANGER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1"/>
    <n v="69164"/>
    <n v="0.16"/>
    <n v="11100"/>
    <s v=" "/>
    <n v="0"/>
    <n v="0"/>
    <n v="0"/>
    <n v="0"/>
    <n v="0"/>
    <n v="11100"/>
    <s v="NINGUNA"/>
    <x v="3"/>
    <n v="1"/>
    <n v="69164"/>
    <n v="0"/>
    <n v="0"/>
    <n v="0"/>
    <s v="               "/>
    <n v="0"/>
    <s v="               "/>
    <n v="0"/>
    <s v="NINGUNA"/>
    <x v="0"/>
    <n v="1"/>
    <n v="691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PT"/>
    <x v="305"/>
    <x v="305"/>
    <s v="NELO"/>
    <s v="OCHOA"/>
    <s v="DIANGER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79"/>
    <n v="46081"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"/>
    <n v="207491"/>
    <n v="0.16"/>
    <n v="33200"/>
    <s v=" "/>
    <n v="0"/>
    <n v="0"/>
    <n v="0"/>
    <n v="0"/>
    <n v="0"/>
    <n v="33200"/>
    <s v="NINGUNA"/>
    <x v="3"/>
    <n v="3"/>
    <n v="207491"/>
    <n v="0"/>
    <n v="0"/>
    <n v="0"/>
    <s v="               "/>
    <n v="0"/>
    <s v="               "/>
    <n v="0"/>
    <s v="NINGUNA"/>
    <x v="0"/>
    <n v="3"/>
    <n v="207491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PT"/>
    <x v="305"/>
    <x v="305"/>
    <s v="NELO"/>
    <s v="OCHOA"/>
    <s v="DIANGER"/>
    <s v="RAFAEL"/>
    <s v="BOGOTA_D.E."/>
    <s v="BOGOTA"/>
    <s v="1. DEPENDIENTE"/>
    <s v="NINGUNO"/>
    <n v="195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26"/>
    <n v="2984106"/>
    <n v="0.16"/>
    <n v="477500"/>
    <s v=" "/>
    <n v="0"/>
    <n v="0"/>
    <n v="0"/>
    <n v="0"/>
    <n v="0"/>
    <n v="477500"/>
    <s v="NINGUNA"/>
    <x v="3"/>
    <n v="26"/>
    <n v="2984106"/>
    <n v="0.04"/>
    <n v="119400"/>
    <n v="0"/>
    <s v="               "/>
    <n v="0"/>
    <s v="               "/>
    <n v="0"/>
    <s v="NINGUNA"/>
    <x v="0"/>
    <n v="26"/>
    <n v="2984106"/>
    <n v="6.9599999999999995E-2"/>
    <s v="5"/>
    <s v="CENTRO TRABAJO 24"/>
    <s v="5711001"/>
    <n v="207700"/>
    <n v="26"/>
    <x v="0"/>
    <n v="3706002"/>
    <n v="0.04"/>
    <n v="148300"/>
    <n v="3706002"/>
    <n v="0"/>
    <n v="0"/>
    <n v="0"/>
    <n v="0"/>
    <n v="0"/>
    <n v="0"/>
    <n v="0"/>
    <n v="0"/>
    <s v="SI"/>
    <s v="  "/>
    <s v="                "/>
  </r>
  <r>
    <x v="0"/>
    <s v="CC"/>
    <x v="306"/>
    <x v="306"/>
    <s v="MUÑOZ"/>
    <s v="BEDON"/>
    <s v="MARIO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4"/>
    <n v="46055"/>
    <s v="NO"/>
    <m/>
    <m/>
    <s v="NO"/>
    <m/>
    <m/>
    <s v="NO"/>
    <s v="NO"/>
    <m/>
    <m/>
    <n v="0"/>
    <m/>
    <m/>
    <s v="NO"/>
    <n v="1785595"/>
    <s v="NO"/>
    <s v="NO"/>
    <x v="0"/>
    <n v="2"/>
    <n v="175970"/>
    <n v="0.16"/>
    <n v="28200"/>
    <s v=" "/>
    <n v="0"/>
    <n v="0"/>
    <n v="0"/>
    <n v="0"/>
    <n v="0"/>
    <n v="28200"/>
    <s v="NINGUNA"/>
    <x v="0"/>
    <n v="2"/>
    <n v="175970"/>
    <n v="0.04"/>
    <n v="7100"/>
    <n v="0"/>
    <s v="               "/>
    <n v="0"/>
    <s v="               "/>
    <n v="0"/>
    <s v="NINGUNA"/>
    <x v="0"/>
    <n v="2"/>
    <n v="17597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06"/>
    <x v="306"/>
    <s v="MUÑOZ"/>
    <s v="BEDON"/>
    <s v="MARIO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6"/>
    <n v="9600"/>
    <s v=" "/>
    <n v="0"/>
    <n v="0"/>
    <n v="0"/>
    <n v="0"/>
    <n v="0"/>
    <n v="9600"/>
    <s v="NINGUNA"/>
    <x v="0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06"/>
    <x v="306"/>
    <s v="MUÑOZ"/>
    <s v="BEDON"/>
    <s v="MARIO"/>
    <s v=""/>
    <s v="BOGOTA_D.E."/>
    <s v="BOGOTA"/>
    <s v="1. DEPENDIENTE"/>
    <s v="NINGUNO"/>
    <n v="19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7"/>
    <n v="2192252"/>
    <n v="0.16"/>
    <n v="350800"/>
    <s v=" "/>
    <n v="0"/>
    <n v="0"/>
    <n v="0"/>
    <n v="0"/>
    <n v="0"/>
    <n v="350800"/>
    <s v="NINGUNA"/>
    <x v="0"/>
    <n v="27"/>
    <n v="2192252"/>
    <n v="0.04"/>
    <n v="87700"/>
    <n v="0"/>
    <s v="               "/>
    <n v="0"/>
    <s v="               "/>
    <n v="0"/>
    <s v="NINGUNA"/>
    <x v="0"/>
    <n v="27"/>
    <n v="2192252"/>
    <n v="6.9599999999999995E-2"/>
    <s v="5"/>
    <s v="CENTRO TRABAJO 24"/>
    <s v="5711001"/>
    <n v="152600"/>
    <n v="27"/>
    <x v="0"/>
    <n v="2192252"/>
    <n v="0.04"/>
    <n v="87700"/>
    <n v="2192252"/>
    <n v="0"/>
    <n v="0"/>
    <n v="0"/>
    <n v="0"/>
    <n v="0"/>
    <n v="0"/>
    <n v="0"/>
    <n v="0"/>
    <s v="SI"/>
    <s v="  "/>
    <s v="                "/>
  </r>
  <r>
    <x v="0"/>
    <s v="CC"/>
    <x v="307"/>
    <x v="307"/>
    <s v="CALDON"/>
    <s v="BOLAÑOS"/>
    <s v="JAIRO"/>
    <s v=""/>
    <s v="BOGOTA_D.E."/>
    <s v="BOGOTA"/>
    <s v="1. DEPENDIENTE"/>
    <s v="NINGUNO"/>
    <n v="45"/>
    <s v="NO"/>
    <s v="NO"/>
    <m/>
    <s v="Todos los sistemas (ARL, AFP, CCF, EPS)"/>
    <n v="46074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2"/>
    <n v="10"/>
    <n v="704394"/>
    <n v="0.16"/>
    <n v="112800"/>
    <s v=" "/>
    <n v="0"/>
    <n v="0"/>
    <n v="0"/>
    <n v="0"/>
    <n v="0"/>
    <n v="112800"/>
    <s v="NINGUNA"/>
    <x v="3"/>
    <n v="10"/>
    <n v="704394"/>
    <n v="0.04"/>
    <n v="28200"/>
    <n v="0"/>
    <s v="               "/>
    <n v="0"/>
    <s v="               "/>
    <n v="0"/>
    <s v="NINGUNA"/>
    <x v="0"/>
    <n v="10"/>
    <n v="704394"/>
    <n v="6.9599999999999995E-2"/>
    <s v="5"/>
    <s v="CENTRO TRABAJO 24"/>
    <s v="5711001"/>
    <n v="49100"/>
    <n v="10"/>
    <x v="0"/>
    <n v="704394"/>
    <n v="0.04"/>
    <n v="28200"/>
    <n v="704394"/>
    <n v="0"/>
    <n v="0"/>
    <n v="0"/>
    <n v="0"/>
    <n v="0"/>
    <n v="0"/>
    <n v="0"/>
    <n v="0"/>
    <s v="SI"/>
    <s v="  "/>
    <s v="                "/>
  </r>
  <r>
    <x v="0"/>
    <s v="CC"/>
    <x v="308"/>
    <x v="308"/>
    <s v="CATAÑO"/>
    <s v="CADAVID"/>
    <s v="IVAN"/>
    <s v="DARI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0"/>
    <s v="NO"/>
    <s v="NO"/>
    <m/>
    <m/>
    <n v="0"/>
    <m/>
    <m/>
    <s v="NO"/>
    <n v="3726196"/>
    <s v="NO"/>
    <s v="NO"/>
    <x v="1"/>
    <n v="7"/>
    <n v="869446"/>
    <n v="0.16"/>
    <n v="139200"/>
    <s v=" "/>
    <n v="0"/>
    <n v="0"/>
    <n v="0"/>
    <n v="0"/>
    <n v="0"/>
    <n v="139200"/>
    <s v="NINGUNA"/>
    <x v="9"/>
    <n v="7"/>
    <n v="869446"/>
    <n v="0.04"/>
    <n v="34800"/>
    <n v="0"/>
    <s v="               "/>
    <n v="0"/>
    <s v="               "/>
    <n v="0"/>
    <s v="NINGUNA"/>
    <x v="0"/>
    <n v="7"/>
    <n v="869446"/>
    <n v="0"/>
    <s v="5"/>
    <s v="CENTRO TRABAJO 30"/>
    <s v="5711001"/>
    <n v="0"/>
    <n v="7"/>
    <x v="1"/>
    <n v="869446"/>
    <n v="0.04"/>
    <n v="34800"/>
    <n v="869446"/>
    <n v="0"/>
    <n v="0"/>
    <n v="0"/>
    <n v="0"/>
    <n v="0"/>
    <n v="0"/>
    <n v="0"/>
    <n v="0"/>
    <s v="SI"/>
    <s v="  "/>
    <s v="                "/>
  </r>
  <r>
    <x v="0"/>
    <s v="CC"/>
    <x v="308"/>
    <x v="308"/>
    <s v="CATAÑO"/>
    <s v="CADAVID"/>
    <s v="IVAN"/>
    <s v="DARIO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3726196"/>
    <s v="NO"/>
    <s v="NO"/>
    <x v="1"/>
    <n v="23"/>
    <n v="2856751"/>
    <n v="0.16"/>
    <n v="457100"/>
    <s v=" "/>
    <n v="0"/>
    <n v="0"/>
    <n v="0"/>
    <n v="0"/>
    <n v="0"/>
    <n v="457100"/>
    <s v="NINGUNA"/>
    <x v="9"/>
    <n v="23"/>
    <n v="2856751"/>
    <n v="0.04"/>
    <n v="114300"/>
    <n v="0"/>
    <s v="               "/>
    <n v="0"/>
    <s v="               "/>
    <n v="0"/>
    <s v="NINGUNA"/>
    <x v="0"/>
    <n v="23"/>
    <n v="2856751"/>
    <n v="6.9599999999999995E-2"/>
    <s v="5"/>
    <s v="CENTRO TRABAJO 30"/>
    <s v="5711001"/>
    <n v="198900"/>
    <n v="23"/>
    <x v="1"/>
    <n v="2856751"/>
    <n v="0.04"/>
    <n v="114300"/>
    <n v="2856751"/>
    <n v="0"/>
    <n v="0"/>
    <n v="0"/>
    <n v="0"/>
    <n v="0"/>
    <n v="0"/>
    <n v="0"/>
    <n v="0"/>
    <s v="SI"/>
    <s v="  "/>
    <s v="                "/>
  </r>
  <r>
    <x v="0"/>
    <s v="CC"/>
    <x v="309"/>
    <x v="309"/>
    <s v="GOMEZ"/>
    <s v="RUIZ"/>
    <s v="ANDRES"/>
    <s v="ANTONIO"/>
    <s v="BOGOTA_D.E."/>
    <s v="BOGOTA"/>
    <s v="1. DEPENDIENTE"/>
    <s v="NINGUNO"/>
    <n v="225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30"/>
    <n v="3549799"/>
    <n v="0.16"/>
    <n v="568000"/>
    <s v=" "/>
    <n v="0"/>
    <n v="0"/>
    <n v="0"/>
    <n v="0"/>
    <n v="0"/>
    <n v="568000"/>
    <s v="NINGUNA"/>
    <x v="0"/>
    <n v="30"/>
    <n v="3549799"/>
    <n v="0.04"/>
    <n v="142000"/>
    <n v="0"/>
    <s v="               "/>
    <n v="0"/>
    <s v="               "/>
    <n v="0"/>
    <s v="NINGUNA"/>
    <x v="0"/>
    <n v="30"/>
    <n v="3549799"/>
    <n v="6.9599999999999995E-2"/>
    <s v="5"/>
    <s v="CENTRO TRABAJO 24"/>
    <s v="5711001"/>
    <n v="247100"/>
    <n v="30"/>
    <x v="0"/>
    <n v="3565766"/>
    <n v="0.04"/>
    <n v="142700"/>
    <n v="3565766"/>
    <n v="0"/>
    <n v="0"/>
    <n v="0"/>
    <n v="0"/>
    <n v="0"/>
    <n v="0"/>
    <n v="0"/>
    <n v="0"/>
    <s v="SI"/>
    <s v="  "/>
    <s v="                "/>
  </r>
  <r>
    <x v="0"/>
    <s v="CC"/>
    <x v="310"/>
    <x v="310"/>
    <s v="ARIAS"/>
    <s v="MONTOYA"/>
    <s v="PEDRO"/>
    <s v="PABLO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3195371"/>
    <n v="0.16"/>
    <n v="511300"/>
    <s v=" "/>
    <n v="0"/>
    <n v="0"/>
    <n v="0"/>
    <n v="0"/>
    <n v="0"/>
    <n v="511300"/>
    <s v="NINGUNA"/>
    <x v="0"/>
    <n v="30"/>
    <n v="3195371"/>
    <n v="0.04"/>
    <n v="127900"/>
    <n v="0"/>
    <s v="               "/>
    <n v="0"/>
    <s v="               "/>
    <n v="0"/>
    <s v="NINGUNA"/>
    <x v="0"/>
    <n v="30"/>
    <n v="3195371"/>
    <n v="6.9599999999999995E-2"/>
    <s v="5"/>
    <s v="CENTRO TRABAJO 24"/>
    <s v="5711001"/>
    <n v="222400"/>
    <n v="30"/>
    <x v="0"/>
    <n v="2949702"/>
    <n v="0.04"/>
    <n v="118000"/>
    <n v="2949702"/>
    <n v="0"/>
    <n v="0"/>
    <n v="0"/>
    <n v="0"/>
    <n v="0"/>
    <n v="0"/>
    <n v="0"/>
    <n v="0"/>
    <s v="SI"/>
    <s v="  "/>
    <s v="                "/>
  </r>
  <r>
    <x v="0"/>
    <s v="CC"/>
    <x v="311"/>
    <x v="311"/>
    <s v="SALDARRIAGA"/>
    <s v="VERGARA"/>
    <s v="GUILLERMO"/>
    <s v="LEON"/>
    <s v="ANTIOQUIA"/>
    <s v="MEDELLIN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1750905"/>
    <s v="NO"/>
    <s v="NO"/>
    <x v="0"/>
    <n v="5"/>
    <n v="291818"/>
    <n v="0.16"/>
    <n v="46700"/>
    <s v=" "/>
    <n v="0"/>
    <n v="0"/>
    <n v="0"/>
    <n v="0"/>
    <n v="0"/>
    <n v="46700"/>
    <s v="NINGUNA"/>
    <x v="0"/>
    <n v="5"/>
    <n v="291818"/>
    <n v="0.04"/>
    <n v="11700"/>
    <n v="0"/>
    <s v="               "/>
    <n v="0"/>
    <s v="               "/>
    <n v="0"/>
    <s v="NINGUNA"/>
    <x v="0"/>
    <n v="5"/>
    <n v="291818"/>
    <n v="0"/>
    <s v="1"/>
    <s v="CENTRO TRABAJO 4"/>
    <s v="1711001"/>
    <n v="0"/>
    <n v="5"/>
    <x v="4"/>
    <n v="291818"/>
    <n v="0.04"/>
    <n v="11700"/>
    <n v="291818"/>
    <n v="0"/>
    <n v="0"/>
    <n v="0"/>
    <n v="0"/>
    <n v="0"/>
    <n v="0"/>
    <n v="0"/>
    <n v="0"/>
    <s v="SI"/>
    <s v="  "/>
    <s v="                "/>
  </r>
  <r>
    <x v="0"/>
    <s v="CC"/>
    <x v="311"/>
    <x v="311"/>
    <s v="SALDARRIAGA"/>
    <s v="VERGARA"/>
    <s v="GUILLERMO"/>
    <s v="LEON"/>
    <s v="ANTIOQUIA"/>
    <s v="MEDELLIN"/>
    <s v="1. DEPENDIENTE"/>
    <s v="NINGUNO"/>
    <n v="135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5"/>
    <n v="1459088"/>
    <n v="0.16"/>
    <n v="233500"/>
    <s v=" "/>
    <n v="0"/>
    <n v="0"/>
    <n v="0"/>
    <n v="0"/>
    <n v="0"/>
    <n v="233500"/>
    <s v="NINGUNA"/>
    <x v="0"/>
    <n v="25"/>
    <n v="1459088"/>
    <n v="0.04"/>
    <n v="58400"/>
    <n v="0"/>
    <s v="               "/>
    <n v="0"/>
    <s v="               "/>
    <n v="0"/>
    <s v="NINGUNA"/>
    <x v="0"/>
    <n v="25"/>
    <n v="1459088"/>
    <n v="5.2199999999999998E-3"/>
    <s v="1"/>
    <s v="CENTRO TRABAJO 4"/>
    <s v="1711001"/>
    <n v="7700"/>
    <n v="25"/>
    <x v="4"/>
    <n v="1459088"/>
    <n v="0.04"/>
    <n v="58400"/>
    <n v="1459088"/>
    <n v="0"/>
    <n v="0"/>
    <n v="0"/>
    <n v="0"/>
    <n v="0"/>
    <n v="0"/>
    <n v="0"/>
    <n v="0"/>
    <s v="SI"/>
    <s v="  "/>
    <s v="                "/>
  </r>
  <r>
    <x v="0"/>
    <s v="CC"/>
    <x v="312"/>
    <x v="312"/>
    <s v="MORENO"/>
    <s v="RODRIGUEZ"/>
    <s v="ZAMIR"/>
    <s v="FERNANDO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0"/>
    <n v="30"/>
    <n v="5676577"/>
    <n v="0.16"/>
    <n v="908300"/>
    <s v=" "/>
    <n v="0"/>
    <n v="0"/>
    <n v="0"/>
    <n v="0"/>
    <n v="0"/>
    <n v="908300"/>
    <s v="NINGUNA"/>
    <x v="2"/>
    <n v="30"/>
    <n v="5676577"/>
    <n v="0.04"/>
    <n v="227100"/>
    <n v="0"/>
    <s v="               "/>
    <n v="0"/>
    <s v="               "/>
    <n v="0"/>
    <s v="NINGUNA"/>
    <x v="0"/>
    <n v="30"/>
    <n v="5676577"/>
    <n v="6.9599999999999995E-2"/>
    <s v="5"/>
    <s v="CENTRO TRABAJO 30"/>
    <s v="5711001"/>
    <n v="395100"/>
    <n v="30"/>
    <x v="1"/>
    <n v="5676577"/>
    <n v="0.04"/>
    <n v="227100"/>
    <n v="5676577"/>
    <n v="0"/>
    <n v="0"/>
    <n v="0"/>
    <n v="0"/>
    <n v="0"/>
    <n v="0"/>
    <n v="0"/>
    <n v="0"/>
    <s v="SI"/>
    <s v="  "/>
    <s v="                "/>
  </r>
  <r>
    <x v="0"/>
    <s v="CC"/>
    <x v="313"/>
    <x v="313"/>
    <s v="BARRAZA"/>
    <s v="SOLANO"/>
    <s v="DEBIS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6"/>
    <s v="NO"/>
    <s v="NO"/>
    <m/>
    <m/>
    <n v="0"/>
    <m/>
    <m/>
    <s v="NO"/>
    <n v="2891569"/>
    <s v="NO"/>
    <s v="NO"/>
    <x v="0"/>
    <n v="3"/>
    <n v="289157"/>
    <n v="0.16"/>
    <n v="46300"/>
    <s v=" "/>
    <n v="0"/>
    <n v="0"/>
    <n v="0"/>
    <n v="0"/>
    <n v="0"/>
    <n v="46300"/>
    <s v="NINGUNA"/>
    <x v="12"/>
    <n v="3"/>
    <n v="289157"/>
    <n v="0.04"/>
    <n v="11600"/>
    <n v="0"/>
    <s v="               "/>
    <n v="0"/>
    <s v="               "/>
    <n v="0"/>
    <s v="NINGUNA"/>
    <x v="0"/>
    <n v="3"/>
    <n v="289157"/>
    <n v="0"/>
    <s v="5"/>
    <s v="CENTRO TRABAJO 30"/>
    <s v="5711001"/>
    <n v="0"/>
    <n v="3"/>
    <x v="1"/>
    <n v="289157"/>
    <n v="0.04"/>
    <n v="11600"/>
    <n v="289157"/>
    <n v="0"/>
    <n v="0"/>
    <n v="0"/>
    <n v="0"/>
    <n v="0"/>
    <n v="0"/>
    <n v="0"/>
    <n v="0"/>
    <s v="SI"/>
    <s v="  "/>
    <s v="                "/>
  </r>
  <r>
    <x v="0"/>
    <s v="CC"/>
    <x v="313"/>
    <x v="313"/>
    <s v="BARRAZA"/>
    <s v="SOLANO"/>
    <s v="DEBIS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7"/>
    <n v="46057"/>
    <s v="NO"/>
    <m/>
    <m/>
    <s v="NO"/>
    <m/>
    <m/>
    <s v="NO"/>
    <m/>
    <m/>
    <s v="NO"/>
    <s v="NO"/>
    <m/>
    <m/>
    <n v="0"/>
    <m/>
    <m/>
    <s v="NO"/>
    <n v="2891569"/>
    <s v="NO"/>
    <s v="NO"/>
    <x v="0"/>
    <n v="1"/>
    <n v="96386"/>
    <n v="0.16"/>
    <n v="15500"/>
    <s v=" "/>
    <n v="0"/>
    <n v="0"/>
    <n v="0"/>
    <n v="0"/>
    <n v="0"/>
    <n v="15500"/>
    <s v="NINGUNA"/>
    <x v="12"/>
    <n v="1"/>
    <n v="96386"/>
    <n v="0"/>
    <n v="0"/>
    <n v="0"/>
    <s v="               "/>
    <n v="0"/>
    <s v="               "/>
    <n v="0"/>
    <s v="NINGUNA"/>
    <x v="0"/>
    <n v="1"/>
    <n v="96386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13"/>
    <x v="313"/>
    <s v="BARRAZA"/>
    <s v="SOLANO"/>
    <s v="DEBIS"/>
    <s v="ALBERTO"/>
    <s v="LA_GUAJIRA"/>
    <s v="RIOHACHA"/>
    <s v="1. DEPENDIENTE"/>
    <s v="NINGUNO"/>
    <n v="17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0"/>
    <n v="26"/>
    <n v="3483157"/>
    <n v="0.16"/>
    <n v="557400"/>
    <s v=" "/>
    <n v="0"/>
    <n v="0"/>
    <n v="0"/>
    <n v="0"/>
    <n v="0"/>
    <n v="557400"/>
    <s v="NINGUNA"/>
    <x v="12"/>
    <n v="26"/>
    <n v="3483157"/>
    <n v="0.04"/>
    <n v="139400"/>
    <n v="0"/>
    <s v="               "/>
    <n v="0"/>
    <s v="               "/>
    <n v="0"/>
    <s v="NINGUNA"/>
    <x v="0"/>
    <n v="26"/>
    <n v="3483157"/>
    <n v="6.9599999999999995E-2"/>
    <s v="5"/>
    <s v="CENTRO TRABAJO 30"/>
    <s v="5711001"/>
    <n v="242500"/>
    <n v="26"/>
    <x v="1"/>
    <n v="3483157"/>
    <n v="0.04"/>
    <n v="139400"/>
    <n v="3483157"/>
    <n v="0"/>
    <n v="0"/>
    <n v="0"/>
    <n v="0"/>
    <n v="0"/>
    <n v="0"/>
    <n v="0"/>
    <n v="0"/>
    <s v="SI"/>
    <s v="  "/>
    <s v="                "/>
  </r>
  <r>
    <x v="0"/>
    <s v="CC"/>
    <x v="314"/>
    <x v="314"/>
    <s v="LAVALLE"/>
    <s v="MORENO"/>
    <s v="FIDILBERTO"/>
    <s v=""/>
    <s v="BOGOTA_D.E."/>
    <s v="BOGOTA"/>
    <s v="1. DEPENDIENTE"/>
    <s v="NINGUNO"/>
    <n v="229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1"/>
    <n v="30"/>
    <n v="5409291"/>
    <n v="0.16"/>
    <n v="865500"/>
    <s v=" "/>
    <n v="0"/>
    <n v="0"/>
    <n v="0"/>
    <n v="0"/>
    <n v="0"/>
    <n v="865500"/>
    <s v="NINGUNA"/>
    <x v="9"/>
    <n v="30"/>
    <n v="5409291"/>
    <n v="0.04"/>
    <n v="216400"/>
    <n v="0"/>
    <s v="               "/>
    <n v="0"/>
    <s v="               "/>
    <n v="0"/>
    <s v="NINGUNA"/>
    <x v="0"/>
    <n v="30"/>
    <n v="5409291"/>
    <n v="6.9599999999999995E-2"/>
    <s v="5"/>
    <s v="CENTRO TRABAJO 24"/>
    <s v="5711001"/>
    <n v="376500"/>
    <n v="30"/>
    <x v="0"/>
    <n v="6934507"/>
    <n v="0.04"/>
    <n v="277400"/>
    <n v="6934507"/>
    <n v="0"/>
    <n v="0"/>
    <n v="0"/>
    <n v="0"/>
    <n v="0"/>
    <n v="0"/>
    <n v="0"/>
    <n v="0"/>
    <s v="SI"/>
    <s v="  "/>
    <s v="                "/>
  </r>
  <r>
    <x v="0"/>
    <s v="CC"/>
    <x v="315"/>
    <x v="315"/>
    <s v="URREA"/>
    <s v="PACHECO"/>
    <s v="CARLOS"/>
    <s v="ANDRES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8601766"/>
    <s v="NO"/>
    <s v="NO"/>
    <x v="1"/>
    <n v="30"/>
    <n v="8601766"/>
    <n v="0.16"/>
    <n v="1376300"/>
    <s v=" "/>
    <n v="0"/>
    <n v="0"/>
    <n v="43100"/>
    <n v="43100"/>
    <n v="0"/>
    <n v="1462500"/>
    <s v="NINGUNA"/>
    <x v="2"/>
    <n v="30"/>
    <n v="8601766"/>
    <n v="0.04"/>
    <n v="344100"/>
    <n v="0"/>
    <s v="               "/>
    <n v="0"/>
    <s v="               "/>
    <n v="0"/>
    <s v="NINGUNA"/>
    <x v="0"/>
    <n v="30"/>
    <n v="8601766"/>
    <n v="6.9599999999999995E-2"/>
    <s v="5"/>
    <s v="CENTRO TRABAJO 24"/>
    <s v="5711001"/>
    <n v="598700"/>
    <n v="30"/>
    <x v="0"/>
    <n v="8601766"/>
    <n v="0.04"/>
    <n v="344100"/>
    <n v="8601766"/>
    <n v="0"/>
    <n v="0"/>
    <n v="0"/>
    <n v="0"/>
    <n v="0"/>
    <n v="0"/>
    <n v="0"/>
    <n v="0"/>
    <s v="SI"/>
    <s v="  "/>
    <s v="                "/>
  </r>
  <r>
    <x v="0"/>
    <s v="CC"/>
    <x v="316"/>
    <x v="316"/>
    <s v="CAMARGO"/>
    <s v="OROZCO"/>
    <s v="JAIDEN"/>
    <s v="AUGUSTO"/>
    <s v="BOGOTA_D.E."/>
    <s v="BOGOTA"/>
    <s v="1. DEPENDIENTE"/>
    <s v="NINGUNO"/>
    <n v="127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0"/>
    <n v="15"/>
    <n v="3188494"/>
    <n v="0.16"/>
    <n v="510200"/>
    <s v=" "/>
    <n v="0"/>
    <n v="0"/>
    <n v="0"/>
    <n v="0"/>
    <n v="0"/>
    <n v="510200"/>
    <s v="NINGUNA"/>
    <x v="6"/>
    <n v="15"/>
    <n v="3188494"/>
    <n v="0.04"/>
    <n v="127600"/>
    <n v="0"/>
    <s v="               "/>
    <n v="0"/>
    <s v="               "/>
    <n v="0"/>
    <s v="NINGUNA"/>
    <x v="0"/>
    <n v="15"/>
    <n v="3188494"/>
    <n v="6.9599999999999995E-2"/>
    <s v="5"/>
    <s v="CENTRO TRABAJO 24"/>
    <s v="5711001"/>
    <n v="222000"/>
    <n v="15"/>
    <x v="0"/>
    <n v="4171872"/>
    <n v="0.04"/>
    <n v="166900"/>
    <n v="4171872"/>
    <n v="0"/>
    <n v="0"/>
    <n v="0"/>
    <n v="0"/>
    <n v="0"/>
    <n v="0"/>
    <n v="0"/>
    <n v="0"/>
    <s v="SI"/>
    <s v="  "/>
    <s v="                "/>
  </r>
  <r>
    <x v="0"/>
    <s v="CC"/>
    <x v="317"/>
    <x v="317"/>
    <s v="NUÑEZ"/>
    <s v="ROJAS"/>
    <s v="JOSE"/>
    <s v="DAVID"/>
    <s v="BOGOTA_D.E."/>
    <s v="BOGOTA"/>
    <s v="1. DEPENDIENTE"/>
    <s v="NINGUNO"/>
    <n v="180"/>
    <s v="NO"/>
    <s v="NO"/>
    <m/>
    <s v="NO"/>
    <m/>
    <s v="NO"/>
    <m/>
    <s v="SI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415855"/>
    <s v="NO"/>
    <s v="NO"/>
    <x v="1"/>
    <n v="30"/>
    <n v="3685694"/>
    <n v="0.16"/>
    <n v="589800"/>
    <s v=" "/>
    <n v="0"/>
    <n v="0"/>
    <n v="0"/>
    <n v="0"/>
    <n v="0"/>
    <n v="589800"/>
    <s v="NINGUNA"/>
    <x v="2"/>
    <n v="30"/>
    <n v="3685694"/>
    <n v="0.04"/>
    <n v="147500"/>
    <n v="0"/>
    <s v="               "/>
    <n v="0"/>
    <s v="               "/>
    <n v="0"/>
    <s v="NINGUNA"/>
    <x v="0"/>
    <n v="30"/>
    <n v="3685694"/>
    <n v="6.9599999999999995E-2"/>
    <s v="5"/>
    <s v="CENTRO TRABAJO 24"/>
    <s v="5711001"/>
    <n v="256600"/>
    <n v="30"/>
    <x v="0"/>
    <n v="3589754"/>
    <n v="0.04"/>
    <n v="143600"/>
    <n v="3589754"/>
    <n v="0"/>
    <n v="0"/>
    <n v="0"/>
    <n v="0"/>
    <n v="0"/>
    <n v="0"/>
    <n v="0"/>
    <n v="0"/>
    <s v="SI"/>
    <s v="  "/>
    <s v="                "/>
  </r>
  <r>
    <x v="0"/>
    <s v="CC"/>
    <x v="318"/>
    <x v="318"/>
    <s v="GOMEZ"/>
    <s v="REYES"/>
    <s v="CARLOS"/>
    <s v="JUL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6"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"/>
    <n v="222334"/>
    <n v="0.16"/>
    <n v="35600"/>
    <s v=" "/>
    <n v="0"/>
    <n v="0"/>
    <n v="0"/>
    <n v="0"/>
    <n v="0"/>
    <n v="35600"/>
    <s v="NINGUNA"/>
    <x v="0"/>
    <n v="3"/>
    <n v="222334"/>
    <n v="0"/>
    <n v="0"/>
    <n v="0"/>
    <s v="               "/>
    <n v="0"/>
    <s v="               "/>
    <n v="0"/>
    <s v="NINGUNA"/>
    <x v="0"/>
    <n v="3"/>
    <n v="222334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18"/>
    <x v="318"/>
    <s v="GOMEZ"/>
    <s v="REYES"/>
    <s v="CARLOS"/>
    <s v="JULIO"/>
    <s v="BOGOTA_D.E."/>
    <s v="BOGOTA"/>
    <s v="1. DEPENDIENTE"/>
    <s v="NINGUNO"/>
    <n v="0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0"/>
    <n v="323125"/>
    <n v="0.16"/>
    <n v="51700"/>
    <s v=" "/>
    <n v="0"/>
    <n v="0"/>
    <n v="0"/>
    <n v="0"/>
    <n v="0"/>
    <n v="51700"/>
    <s v="NINGUNA"/>
    <x v="0"/>
    <n v="0"/>
    <n v="323125"/>
    <n v="0.04"/>
    <n v="13000"/>
    <n v="0"/>
    <s v="               "/>
    <n v="0"/>
    <s v="               "/>
    <n v="0"/>
    <s v="NINGUNA"/>
    <x v="0"/>
    <n v="0"/>
    <n v="323125"/>
    <n v="6.9599999999999995E-2"/>
    <s v="5"/>
    <s v="CENTRO TRABAJO 24"/>
    <s v="5711001"/>
    <n v="22500"/>
    <n v="0"/>
    <x v="0"/>
    <n v="794357"/>
    <n v="0.04"/>
    <n v="31800"/>
    <n v="794357"/>
    <n v="0"/>
    <n v="0"/>
    <n v="0"/>
    <n v="0"/>
    <n v="0"/>
    <n v="0"/>
    <n v="0"/>
    <n v="0"/>
    <s v="SI"/>
    <s v="  "/>
    <s v="                "/>
  </r>
  <r>
    <x v="0"/>
    <s v="CC"/>
    <x v="319"/>
    <x v="319"/>
    <s v="CANTILLO"/>
    <s v="VELANDIA"/>
    <s v="LUIS"/>
    <s v="MIGUEL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2"/>
    <n v="30"/>
    <n v="3882345"/>
    <n v="0.16"/>
    <n v="621200"/>
    <s v=" "/>
    <n v="0"/>
    <n v="0"/>
    <n v="0"/>
    <n v="0"/>
    <n v="0"/>
    <n v="621200"/>
    <s v="NINGUNA"/>
    <x v="3"/>
    <n v="30"/>
    <n v="3882345"/>
    <n v="0.04"/>
    <n v="155300"/>
    <n v="0"/>
    <s v="               "/>
    <n v="0"/>
    <s v="               "/>
    <n v="0"/>
    <s v="NINGUNA"/>
    <x v="0"/>
    <n v="30"/>
    <n v="3882345"/>
    <n v="6.9599999999999995E-2"/>
    <s v="5"/>
    <s v="CENTRO TRABAJO 30"/>
    <s v="5711001"/>
    <n v="270300"/>
    <n v="30"/>
    <x v="1"/>
    <n v="3882345"/>
    <n v="0.04"/>
    <n v="155300"/>
    <n v="3882345"/>
    <n v="0"/>
    <n v="0"/>
    <n v="0"/>
    <n v="0"/>
    <n v="0"/>
    <n v="0"/>
    <n v="0"/>
    <n v="0"/>
    <s v="SI"/>
    <s v="  "/>
    <s v="                "/>
  </r>
  <r>
    <x v="0"/>
    <s v="CC"/>
    <x v="320"/>
    <x v="320"/>
    <s v="TAMAYO"/>
    <s v="PEDRAZA"/>
    <s v="JUAN"/>
    <s v="MANUEL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11201102"/>
    <s v="NO"/>
    <s v="NO"/>
    <x v="1"/>
    <n v="30"/>
    <n v="11201102"/>
    <n v="0.16"/>
    <n v="1792200"/>
    <s v=" "/>
    <n v="0"/>
    <n v="0"/>
    <n v="56100"/>
    <n v="56100"/>
    <n v="0"/>
    <n v="1904400"/>
    <s v="NINGUNA"/>
    <x v="2"/>
    <n v="30"/>
    <n v="11201102"/>
    <n v="0.04"/>
    <n v="448100"/>
    <n v="0"/>
    <s v="               "/>
    <n v="0"/>
    <s v="               "/>
    <n v="0"/>
    <s v="NINGUNA"/>
    <x v="0"/>
    <n v="30"/>
    <n v="11201102"/>
    <n v="6.9599999999999995E-2"/>
    <s v="5"/>
    <s v="CENTRO TRABAJO 24"/>
    <s v="5711001"/>
    <n v="779600"/>
    <n v="30"/>
    <x v="0"/>
    <n v="11201102"/>
    <n v="0.04"/>
    <n v="448100"/>
    <n v="11201102"/>
    <n v="0"/>
    <n v="0"/>
    <n v="0"/>
    <n v="0"/>
    <n v="0"/>
    <n v="0"/>
    <n v="0"/>
    <n v="0"/>
    <s v="SI"/>
    <s v="  "/>
    <s v="                "/>
  </r>
  <r>
    <x v="0"/>
    <s v="CC"/>
    <x v="321"/>
    <x v="321"/>
    <s v="VILLAFAÑE"/>
    <s v="JIMENEZ"/>
    <s v="WILLIAM"/>
    <s v="RAFAEL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3264484"/>
    <n v="0.16"/>
    <n v="522400"/>
    <s v=" "/>
    <n v="0"/>
    <n v="0"/>
    <n v="0"/>
    <n v="0"/>
    <n v="0"/>
    <n v="522400"/>
    <s v="NINGUNA"/>
    <x v="3"/>
    <n v="30"/>
    <n v="3264484"/>
    <n v="0.04"/>
    <n v="130600"/>
    <n v="0"/>
    <s v="               "/>
    <n v="0"/>
    <s v="               "/>
    <n v="0"/>
    <s v="NINGUNA"/>
    <x v="0"/>
    <n v="30"/>
    <n v="3264484"/>
    <n v="6.9599999999999995E-2"/>
    <s v="5"/>
    <s v="CENTRO TRABAJO 24"/>
    <s v="5711001"/>
    <n v="227300"/>
    <n v="30"/>
    <x v="0"/>
    <n v="2839845"/>
    <n v="0.04"/>
    <n v="113600"/>
    <n v="2839845"/>
    <n v="0"/>
    <n v="0"/>
    <n v="0"/>
    <n v="0"/>
    <n v="0"/>
    <n v="0"/>
    <n v="0"/>
    <n v="0"/>
    <s v="SI"/>
    <s v="  "/>
    <s v="                "/>
  </r>
  <r>
    <x v="0"/>
    <s v="CC"/>
    <x v="322"/>
    <x v="322"/>
    <s v="CANTILLO"/>
    <s v="REYES"/>
    <s v="GIANCARLOS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3639331"/>
    <s v="NO"/>
    <s v="NO"/>
    <x v="0"/>
    <n v="1"/>
    <n v="121312"/>
    <n v="0.16"/>
    <n v="19500"/>
    <s v=" "/>
    <n v="0"/>
    <n v="0"/>
    <n v="0"/>
    <n v="0"/>
    <n v="0"/>
    <n v="19500"/>
    <s v="NINGUNA"/>
    <x v="2"/>
    <n v="1"/>
    <n v="121312"/>
    <n v="0.04"/>
    <n v="4900"/>
    <n v="0"/>
    <s v="               "/>
    <n v="0"/>
    <s v="               "/>
    <n v="0"/>
    <s v="NINGUNA"/>
    <x v="0"/>
    <n v="1"/>
    <n v="121312"/>
    <n v="0"/>
    <s v="5"/>
    <s v="CENTRO TRABAJO 24"/>
    <s v="5711001"/>
    <n v="0"/>
    <n v="1"/>
    <x v="0"/>
    <n v="121312"/>
    <n v="0.04"/>
    <n v="4900"/>
    <n v="121312"/>
    <n v="0"/>
    <n v="0"/>
    <n v="0"/>
    <n v="0"/>
    <n v="0"/>
    <n v="0"/>
    <n v="0"/>
    <n v="0"/>
    <s v="SI"/>
    <s v="  "/>
    <s v="                "/>
  </r>
  <r>
    <x v="0"/>
    <s v="CC"/>
    <x v="322"/>
    <x v="322"/>
    <s v="CANTILLO"/>
    <s v="REYES"/>
    <s v="GIANCARLOS"/>
    <s v="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639331"/>
    <s v="NO"/>
    <s v="NO"/>
    <x v="0"/>
    <n v="29"/>
    <n v="3755406"/>
    <n v="0.16"/>
    <n v="600900"/>
    <s v=" "/>
    <n v="0"/>
    <n v="0"/>
    <n v="0"/>
    <n v="0"/>
    <n v="0"/>
    <n v="600900"/>
    <s v="NINGUNA"/>
    <x v="2"/>
    <n v="29"/>
    <n v="3755406"/>
    <n v="0.04"/>
    <n v="150300"/>
    <n v="0"/>
    <s v="               "/>
    <n v="0"/>
    <s v="               "/>
    <n v="0"/>
    <s v="NINGUNA"/>
    <x v="0"/>
    <n v="29"/>
    <n v="3755406"/>
    <n v="6.9599999999999995E-2"/>
    <s v="5"/>
    <s v="CENTRO TRABAJO 24"/>
    <s v="5711001"/>
    <n v="261400"/>
    <n v="29"/>
    <x v="0"/>
    <n v="3755406"/>
    <n v="0.04"/>
    <n v="150300"/>
    <n v="3755406"/>
    <n v="0"/>
    <n v="0"/>
    <n v="0"/>
    <n v="0"/>
    <n v="0"/>
    <n v="0"/>
    <n v="0"/>
    <n v="0"/>
    <s v="SI"/>
    <s v="  "/>
    <s v="                "/>
  </r>
  <r>
    <x v="0"/>
    <s v="CC"/>
    <x v="323"/>
    <x v="323"/>
    <s v="MEDRANO"/>
    <s v="FABRA"/>
    <s v="YESID"/>
    <s v=""/>
    <s v="BOGOTA_D.E."/>
    <s v="BOGOTA"/>
    <s v="1. DEPENDIENTE"/>
    <s v="NINGUNO"/>
    <n v="91"/>
    <s v="NO"/>
    <s v="NO"/>
    <m/>
    <s v="NO"/>
    <m/>
    <s v="Todos los sistemas (ARL, AFP, CCF, EPS)"/>
    <n v="46063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10"/>
    <n v="1583035"/>
    <n v="0.16"/>
    <n v="253300"/>
    <s v=" "/>
    <n v="0"/>
    <n v="0"/>
    <n v="0"/>
    <n v="0"/>
    <n v="0"/>
    <n v="253300"/>
    <s v="NINGUNA"/>
    <x v="12"/>
    <n v="10"/>
    <n v="1583035"/>
    <n v="0.04"/>
    <n v="63400"/>
    <n v="0"/>
    <s v="               "/>
    <n v="0"/>
    <s v="               "/>
    <n v="0"/>
    <s v="NINGUNA"/>
    <x v="0"/>
    <n v="10"/>
    <n v="1583035"/>
    <n v="6.9599999999999995E-2"/>
    <s v="5"/>
    <s v="CENTRO TRABAJO 24"/>
    <s v="5711001"/>
    <n v="110200"/>
    <n v="10"/>
    <x v="0"/>
    <n v="1433718"/>
    <n v="0.04"/>
    <n v="57400"/>
    <n v="1433718"/>
    <n v="0"/>
    <n v="0"/>
    <n v="0"/>
    <n v="0"/>
    <n v="0"/>
    <n v="0"/>
    <n v="0"/>
    <n v="0"/>
    <s v="SI"/>
    <s v="  "/>
    <s v="                "/>
  </r>
  <r>
    <x v="0"/>
    <s v="CC"/>
    <x v="324"/>
    <x v="324"/>
    <s v="VANEGAS"/>
    <s v="PATERNINA"/>
    <s v="JAIRO"/>
    <s v="RAMON"/>
    <s v="BOLIVAR"/>
    <s v="CARTAGEN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4476794"/>
    <s v="NO"/>
    <s v="NO"/>
    <x v="1"/>
    <n v="7"/>
    <n v="1044586"/>
    <n v="0.16"/>
    <n v="167200"/>
    <s v=" "/>
    <n v="0"/>
    <n v="0"/>
    <n v="0"/>
    <n v="0"/>
    <n v="0"/>
    <n v="167200"/>
    <s v="NINGUNA"/>
    <x v="3"/>
    <n v="7"/>
    <n v="1044586"/>
    <n v="0.04"/>
    <n v="41800"/>
    <n v="0"/>
    <s v="               "/>
    <n v="0"/>
    <s v="               "/>
    <n v="0"/>
    <s v="NINGUNA"/>
    <x v="0"/>
    <n v="7"/>
    <n v="1044586"/>
    <n v="0"/>
    <s v="5"/>
    <s v="CENTRO TRABAJO 8"/>
    <s v="5711001"/>
    <n v="0"/>
    <n v="7"/>
    <x v="2"/>
    <n v="1044586"/>
    <n v="0.04"/>
    <n v="41800"/>
    <n v="1044586"/>
    <n v="0"/>
    <n v="0"/>
    <n v="0"/>
    <n v="0"/>
    <n v="0"/>
    <n v="0"/>
    <n v="0"/>
    <n v="0"/>
    <s v="SI"/>
    <s v="  "/>
    <s v="                "/>
  </r>
  <r>
    <x v="0"/>
    <s v="CC"/>
    <x v="324"/>
    <x v="324"/>
    <s v="VANEGAS"/>
    <s v="PATERNINA"/>
    <s v="JAIRO"/>
    <s v="RAMON"/>
    <s v="BOLIVAR"/>
    <s v="CARTAGENA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476794"/>
    <s v="NO"/>
    <s v="NO"/>
    <x v="1"/>
    <n v="23"/>
    <n v="3432209"/>
    <n v="0.16"/>
    <n v="549200"/>
    <s v=" "/>
    <n v="0"/>
    <n v="0"/>
    <n v="0"/>
    <n v="0"/>
    <n v="0"/>
    <n v="549200"/>
    <s v="NINGUNA"/>
    <x v="3"/>
    <n v="23"/>
    <n v="3432209"/>
    <n v="0.04"/>
    <n v="137300"/>
    <n v="0"/>
    <s v="               "/>
    <n v="0"/>
    <s v="               "/>
    <n v="0"/>
    <s v="NINGUNA"/>
    <x v="0"/>
    <n v="23"/>
    <n v="3432209"/>
    <n v="6.9599999999999995E-2"/>
    <s v="5"/>
    <s v="CENTRO TRABAJO 8"/>
    <s v="5711001"/>
    <n v="238900"/>
    <n v="23"/>
    <x v="2"/>
    <n v="3432209"/>
    <n v="0.04"/>
    <n v="137300"/>
    <n v="3432209"/>
    <n v="0"/>
    <n v="0"/>
    <n v="0"/>
    <n v="0"/>
    <n v="0"/>
    <n v="0"/>
    <n v="0"/>
    <n v="0"/>
    <s v="SI"/>
    <s v="  "/>
    <s v="                "/>
  </r>
  <r>
    <x v="0"/>
    <s v="CC"/>
    <x v="325"/>
    <x v="325"/>
    <s v="RAMOS"/>
    <s v="MENDOZA"/>
    <s v="JUAN"/>
    <s v="CARLOS"/>
    <s v="BOGOTA_D.E."/>
    <s v="BOGOTA"/>
    <s v="1. DEPENDIENTE"/>
    <s v="NINGUNO"/>
    <n v="178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1"/>
    <n v="3162326"/>
    <n v="0.16"/>
    <n v="506000"/>
    <s v=" "/>
    <n v="0"/>
    <n v="0"/>
    <n v="0"/>
    <n v="0"/>
    <n v="0"/>
    <n v="506000"/>
    <s v="NINGUNA"/>
    <x v="3"/>
    <n v="21"/>
    <n v="3162326"/>
    <n v="0.04"/>
    <n v="126500"/>
    <n v="0"/>
    <s v="               "/>
    <n v="0"/>
    <s v="               "/>
    <n v="0"/>
    <s v="NINGUNA"/>
    <x v="0"/>
    <n v="21"/>
    <n v="3162326"/>
    <n v="6.9599999999999995E-2"/>
    <s v="5"/>
    <s v="CENTRO TRABAJO 24"/>
    <s v="5711001"/>
    <n v="220100"/>
    <n v="21"/>
    <x v="0"/>
    <n v="3713291"/>
    <n v="0.04"/>
    <n v="148600"/>
    <n v="3713291"/>
    <n v="0"/>
    <n v="0"/>
    <n v="0"/>
    <n v="0"/>
    <n v="0"/>
    <n v="0"/>
    <n v="0"/>
    <n v="0"/>
    <s v="SI"/>
    <s v="  "/>
    <s v="                "/>
  </r>
  <r>
    <x v="0"/>
    <s v="CC"/>
    <x v="326"/>
    <x v="326"/>
    <s v="ORTIZ"/>
    <s v="RICO"/>
    <s v="JORGE"/>
    <s v="WADITH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8"/>
    <s v="NO"/>
    <s v="NO"/>
    <m/>
    <m/>
    <n v="0"/>
    <m/>
    <m/>
    <s v="NO"/>
    <n v="2665550"/>
    <s v="NO"/>
    <s v="NO"/>
    <x v="2"/>
    <n v="5"/>
    <n v="444259"/>
    <n v="0.16"/>
    <n v="71100"/>
    <s v=" "/>
    <n v="0"/>
    <n v="0"/>
    <n v="0"/>
    <n v="0"/>
    <n v="0"/>
    <n v="71100"/>
    <s v="NINGUNA"/>
    <x v="3"/>
    <n v="5"/>
    <n v="444259"/>
    <n v="0.04"/>
    <n v="17800"/>
    <n v="0"/>
    <s v="               "/>
    <n v="0"/>
    <s v="               "/>
    <n v="0"/>
    <s v="NINGUNA"/>
    <x v="0"/>
    <n v="5"/>
    <n v="444259"/>
    <n v="0"/>
    <s v="5"/>
    <s v="CENTRO TRABAJO 30"/>
    <s v="5711001"/>
    <n v="0"/>
    <n v="5"/>
    <x v="1"/>
    <n v="444259"/>
    <n v="0.04"/>
    <n v="17800"/>
    <n v="444259"/>
    <n v="0"/>
    <n v="0"/>
    <n v="0"/>
    <n v="0"/>
    <n v="0"/>
    <n v="0"/>
    <n v="0"/>
    <n v="0"/>
    <s v="SI"/>
    <s v="  "/>
    <s v="                "/>
  </r>
  <r>
    <x v="0"/>
    <s v="CC"/>
    <x v="326"/>
    <x v="326"/>
    <s v="ORTIZ"/>
    <s v="RICO"/>
    <s v="JORGE"/>
    <s v="WADITH"/>
    <s v="LA_GUAJIRA"/>
    <s v="RIOHACHA"/>
    <s v="1. DEPENDIENTE"/>
    <s v="NINGUNO"/>
    <n v="16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2"/>
    <n v="25"/>
    <n v="3415673"/>
    <n v="0.16"/>
    <n v="546600"/>
    <s v=" "/>
    <n v="0"/>
    <n v="0"/>
    <n v="0"/>
    <n v="0"/>
    <n v="0"/>
    <n v="546600"/>
    <s v="NINGUNA"/>
    <x v="3"/>
    <n v="25"/>
    <n v="3415673"/>
    <n v="0.04"/>
    <n v="136700"/>
    <n v="0"/>
    <s v="               "/>
    <n v="0"/>
    <s v="               "/>
    <n v="0"/>
    <s v="NINGUNA"/>
    <x v="0"/>
    <n v="25"/>
    <n v="3415673"/>
    <n v="6.9599999999999995E-2"/>
    <s v="5"/>
    <s v="CENTRO TRABAJO 30"/>
    <s v="5711001"/>
    <n v="237800"/>
    <n v="25"/>
    <x v="1"/>
    <n v="3415673"/>
    <n v="0.04"/>
    <n v="136700"/>
    <n v="3415673"/>
    <n v="0"/>
    <n v="0"/>
    <n v="0"/>
    <n v="0"/>
    <n v="0"/>
    <n v="0"/>
    <n v="0"/>
    <n v="0"/>
    <s v="SI"/>
    <s v="  "/>
    <s v="                "/>
  </r>
  <r>
    <x v="0"/>
    <s v="CC"/>
    <x v="327"/>
    <x v="327"/>
    <s v="MEDRANO"/>
    <s v="FABRA"/>
    <s v="JULIO"/>
    <s v="CESAR"/>
    <s v="BOGOTA_D.E."/>
    <s v="BOGOTA"/>
    <s v="1. DEPENDIENTE"/>
    <s v="NINGUNO"/>
    <n v="123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5"/>
    <n v="2670517"/>
    <n v="0.16"/>
    <n v="427300"/>
    <s v=" "/>
    <n v="0"/>
    <n v="0"/>
    <n v="0"/>
    <n v="0"/>
    <n v="0"/>
    <n v="427300"/>
    <s v="NINGUNA"/>
    <x v="4"/>
    <n v="15"/>
    <n v="2670517"/>
    <n v="0.04"/>
    <n v="106900"/>
    <n v="0"/>
    <s v="               "/>
    <n v="0"/>
    <s v="               "/>
    <n v="0"/>
    <s v="NINGUNA"/>
    <x v="0"/>
    <n v="15"/>
    <n v="2670517"/>
    <n v="6.9599999999999995E-2"/>
    <s v="5"/>
    <s v="CENTRO TRABAJO 24"/>
    <s v="5711001"/>
    <n v="185900"/>
    <n v="15"/>
    <x v="0"/>
    <n v="2405378"/>
    <n v="0.04"/>
    <n v="96300"/>
    <n v="2405378"/>
    <n v="0"/>
    <n v="0"/>
    <n v="0"/>
    <n v="0"/>
    <n v="0"/>
    <n v="0"/>
    <n v="0"/>
    <n v="0"/>
    <s v="SI"/>
    <s v="  "/>
    <s v="                "/>
  </r>
  <r>
    <x v="0"/>
    <s v="CC"/>
    <x v="328"/>
    <x v="328"/>
    <s v="LEAL"/>
    <s v="RODRIGUEZ"/>
    <s v="GUILLERMO"/>
    <s v="LUIS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484143"/>
    <s v="NO"/>
    <s v="NO"/>
    <x v="0"/>
    <n v="30"/>
    <n v="4484143"/>
    <n v="0.16"/>
    <n v="717500"/>
    <s v=" "/>
    <n v="0"/>
    <n v="0"/>
    <n v="0"/>
    <n v="0"/>
    <n v="0"/>
    <n v="717500"/>
    <s v="NINGUNA"/>
    <x v="6"/>
    <n v="30"/>
    <n v="4484143"/>
    <n v="0.04"/>
    <n v="179400"/>
    <n v="0"/>
    <s v="               "/>
    <n v="0"/>
    <s v="               "/>
    <n v="0"/>
    <s v="NINGUNA"/>
    <x v="0"/>
    <n v="30"/>
    <n v="4484143"/>
    <n v="6.9599999999999995E-2"/>
    <s v="5"/>
    <s v="CENTRO TRABAJO 30"/>
    <s v="5711001"/>
    <n v="312100"/>
    <n v="30"/>
    <x v="1"/>
    <n v="4484143"/>
    <n v="0.04"/>
    <n v="179400"/>
    <n v="4484143"/>
    <n v="0"/>
    <n v="0"/>
    <n v="0"/>
    <n v="0"/>
    <n v="0"/>
    <n v="0"/>
    <n v="0"/>
    <n v="0"/>
    <s v="SI"/>
    <s v="  "/>
    <s v="                "/>
  </r>
  <r>
    <x v="0"/>
    <s v="CC"/>
    <x v="329"/>
    <x v="329"/>
    <s v="AGUILERA"/>
    <s v="ANGULO"/>
    <s v="CARLOS"/>
    <s v="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2"/>
    <n v="30"/>
    <n v="4331067"/>
    <n v="0.16"/>
    <n v="693000"/>
    <s v=" "/>
    <n v="0"/>
    <n v="0"/>
    <n v="0"/>
    <n v="0"/>
    <n v="0"/>
    <n v="693000"/>
    <s v="NINGUNA"/>
    <x v="3"/>
    <n v="30"/>
    <n v="4331067"/>
    <n v="0.04"/>
    <n v="173300"/>
    <n v="0"/>
    <s v="               "/>
    <n v="0"/>
    <s v="               "/>
    <n v="0"/>
    <s v="NINGUNA"/>
    <x v="0"/>
    <n v="30"/>
    <n v="4331067"/>
    <n v="6.9599999999999995E-2"/>
    <s v="5"/>
    <s v="CENTRO TRABAJO 24"/>
    <s v="5711001"/>
    <n v="301500"/>
    <n v="30"/>
    <x v="0"/>
    <n v="4028022"/>
    <n v="0.04"/>
    <n v="161200"/>
    <n v="4028022"/>
    <n v="0"/>
    <n v="0"/>
    <n v="0"/>
    <n v="0"/>
    <n v="0"/>
    <n v="0"/>
    <n v="0"/>
    <n v="0"/>
    <s v="SI"/>
    <s v="  "/>
    <s v="                "/>
  </r>
  <r>
    <x v="0"/>
    <s v="CC"/>
    <x v="330"/>
    <x v="330"/>
    <s v="CONTRERAS"/>
    <s v="HERNANDEZ"/>
    <s v="SERGIO"/>
    <s v="LUIS"/>
    <s v="BOLIVAR"/>
    <s v="CARTAGENA"/>
    <s v="1. DEPENDIENTE"/>
    <s v="NINGUNO"/>
    <n v="103"/>
    <s v="NO"/>
    <s v="NO"/>
    <m/>
    <s v="NO"/>
    <m/>
    <s v="Todos los sistemas (ARL, AFP, CCF, EPS)"/>
    <n v="46081"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0"/>
    <n v="15"/>
    <n v="1024689"/>
    <n v="0.16"/>
    <n v="164000"/>
    <s v=" "/>
    <n v="0"/>
    <n v="0"/>
    <n v="0"/>
    <n v="0"/>
    <n v="0"/>
    <n v="164000"/>
    <s v="NINGUNA"/>
    <x v="12"/>
    <n v="15"/>
    <n v="1024689"/>
    <n v="0.04"/>
    <n v="41000"/>
    <n v="0"/>
    <s v="               "/>
    <n v="0"/>
    <s v="               "/>
    <n v="0"/>
    <s v="NINGUNA"/>
    <x v="0"/>
    <n v="15"/>
    <n v="1024689"/>
    <n v="6.9599999999999995E-2"/>
    <s v="5"/>
    <s v="CENTRO TRABAJO 8"/>
    <s v="5711001"/>
    <n v="71400"/>
    <n v="15"/>
    <x v="2"/>
    <n v="1024689"/>
    <n v="0.04"/>
    <n v="41000"/>
    <n v="1024689"/>
    <n v="0"/>
    <n v="0"/>
    <n v="0"/>
    <n v="0"/>
    <n v="0"/>
    <n v="0"/>
    <n v="0"/>
    <n v="0"/>
    <s v="SI"/>
    <s v="  "/>
    <s v="                "/>
  </r>
  <r>
    <x v="0"/>
    <s v="CC"/>
    <x v="330"/>
    <x v="330"/>
    <s v="CONTRERAS"/>
    <s v="HERNANDEZ"/>
    <s v="SERGIO"/>
    <s v="LUIS"/>
    <s v="BOLIVAR"/>
    <s v="CARTAGENA"/>
    <s v="1. DEPENDIENTE"/>
    <s v="NINGUNO"/>
    <n v="192"/>
    <s v="NO"/>
    <s v="NO"/>
    <m/>
    <s v="NO"/>
    <m/>
    <s v="Todos los sistemas (ARL, AFP, CCF, EPS)"/>
    <n v="46081"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0"/>
    <n v="15"/>
    <n v="1195814"/>
    <n v="0.16"/>
    <n v="191400"/>
    <s v=" "/>
    <n v="0"/>
    <n v="0"/>
    <n v="0"/>
    <n v="0"/>
    <n v="0"/>
    <n v="191400"/>
    <s v="NINGUNA"/>
    <x v="12"/>
    <n v="15"/>
    <n v="1195814"/>
    <n v="0.04"/>
    <n v="47900"/>
    <n v="0"/>
    <s v="               "/>
    <n v="0"/>
    <s v="               "/>
    <n v="0"/>
    <s v="NINGUNA"/>
    <x v="0"/>
    <n v="15"/>
    <n v="1195814"/>
    <n v="6.9599999999999995E-2"/>
    <s v="5"/>
    <s v="CENTRO TRABAJO 8"/>
    <s v="5711001"/>
    <n v="83300"/>
    <n v="15"/>
    <x v="2"/>
    <n v="1858315"/>
    <n v="0.04"/>
    <n v="74400"/>
    <n v="1858315"/>
    <n v="0"/>
    <n v="0"/>
    <n v="0"/>
    <n v="0"/>
    <n v="0"/>
    <n v="0"/>
    <n v="0"/>
    <n v="0"/>
    <s v="SI"/>
    <s v="  "/>
    <s v="                "/>
  </r>
  <r>
    <x v="0"/>
    <s v="CC"/>
    <x v="331"/>
    <x v="331"/>
    <s v="ORTIZ"/>
    <s v="CASSIANI"/>
    <s v="EDWIN"/>
    <s v="EDUARD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4"/>
    <n v="30"/>
    <n v="2452635"/>
    <n v="0.16"/>
    <n v="392500"/>
    <s v=" "/>
    <n v="0"/>
    <n v="0"/>
    <n v="0"/>
    <n v="0"/>
    <n v="0"/>
    <n v="392500"/>
    <s v="NINGUNA"/>
    <x v="9"/>
    <n v="30"/>
    <n v="2452635"/>
    <n v="0.04"/>
    <n v="98200"/>
    <n v="0"/>
    <s v="               "/>
    <n v="0"/>
    <s v="               "/>
    <n v="0"/>
    <s v="NINGUNA"/>
    <x v="0"/>
    <n v="30"/>
    <n v="2452635"/>
    <n v="6.9599999999999995E-2"/>
    <s v="5"/>
    <s v="CENTRO TRABAJO 30"/>
    <s v="5711001"/>
    <n v="170800"/>
    <n v="30"/>
    <x v="1"/>
    <n v="2452635"/>
    <n v="0.04"/>
    <n v="98200"/>
    <n v="2452635"/>
    <n v="0"/>
    <n v="0"/>
    <n v="0"/>
    <n v="0"/>
    <n v="0"/>
    <n v="0"/>
    <n v="0"/>
    <n v="0"/>
    <s v="SI"/>
    <s v="  "/>
    <s v="                "/>
  </r>
  <r>
    <x v="0"/>
    <s v="CC"/>
    <x v="332"/>
    <x v="332"/>
    <s v="MONTAÑEZ"/>
    <s v="ALARCON"/>
    <s v="JORGE"/>
    <s v="OSVAL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1"/>
    <n v="74112"/>
    <n v="0.16"/>
    <n v="11900"/>
    <s v=" "/>
    <n v="0"/>
    <n v="0"/>
    <n v="0"/>
    <n v="0"/>
    <n v="0"/>
    <n v="11900"/>
    <s v="NINGUNA"/>
    <x v="0"/>
    <n v="1"/>
    <n v="74112"/>
    <n v="0"/>
    <n v="0"/>
    <n v="0"/>
    <s v="               "/>
    <n v="0"/>
    <s v="               "/>
    <n v="0"/>
    <s v="NINGUNA"/>
    <x v="0"/>
    <n v="1"/>
    <n v="74112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32"/>
    <x v="332"/>
    <s v="MONTAÑEZ"/>
    <s v="ALARCON"/>
    <s v="JORGE"/>
    <s v="OSVAL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4"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6"/>
    <n v="444668"/>
    <n v="0.16"/>
    <n v="71200"/>
    <s v=" "/>
    <n v="0"/>
    <n v="0"/>
    <n v="0"/>
    <n v="0"/>
    <n v="0"/>
    <n v="71200"/>
    <s v="NINGUNA"/>
    <x v="0"/>
    <n v="6"/>
    <n v="444668"/>
    <n v="0"/>
    <n v="0"/>
    <n v="0"/>
    <s v="               "/>
    <n v="0"/>
    <s v="               "/>
    <n v="0"/>
    <s v="NINGUNA"/>
    <x v="0"/>
    <n v="6"/>
    <n v="444668"/>
    <n v="0"/>
    <s v="5"/>
    <s v="CENTRO TRABAJO 24"/>
    <s v="5711001"/>
    <n v="0"/>
    <n v="6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32"/>
    <x v="332"/>
    <s v="MONTAÑEZ"/>
    <s v="ALARCON"/>
    <s v="JORGE"/>
    <s v="OSVALDO"/>
    <s v="BOGOTA_D.E."/>
    <s v="BOGOTA"/>
    <s v="1. DEPENDIENTE"/>
    <s v="NINGUNO"/>
    <n v="122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14"/>
    <n v="2191197"/>
    <n v="0.16"/>
    <n v="350600"/>
    <s v=" "/>
    <n v="0"/>
    <n v="0"/>
    <n v="0"/>
    <n v="0"/>
    <n v="0"/>
    <n v="350600"/>
    <s v="NINGUNA"/>
    <x v="0"/>
    <n v="14"/>
    <n v="2191197"/>
    <n v="0.04"/>
    <n v="87700"/>
    <n v="0"/>
    <s v="               "/>
    <n v="0"/>
    <s v="               "/>
    <n v="0"/>
    <s v="NINGUNA"/>
    <x v="0"/>
    <n v="14"/>
    <n v="2191197"/>
    <n v="6.9599999999999995E-2"/>
    <s v="5"/>
    <s v="CENTRO TRABAJO 24"/>
    <s v="5711001"/>
    <n v="152600"/>
    <n v="14"/>
    <x v="0"/>
    <n v="2685692"/>
    <n v="0.04"/>
    <n v="107500"/>
    <n v="2685692"/>
    <n v="0"/>
    <n v="0"/>
    <n v="0"/>
    <n v="0"/>
    <n v="0"/>
    <n v="0"/>
    <n v="0"/>
    <n v="0"/>
    <s v="SI"/>
    <s v="  "/>
    <s v="                "/>
  </r>
  <r>
    <x v="0"/>
    <s v="CC"/>
    <x v="333"/>
    <x v="333"/>
    <s v="LADINO"/>
    <s v="MESA"/>
    <s v="LUIS"/>
    <s v="FERNEY"/>
    <s v="BOGOTA_D.E."/>
    <s v="BOGOTA"/>
    <s v="1. DEPENDIENTE"/>
    <s v="NINGUNO"/>
    <n v="22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3162196"/>
    <n v="0.16"/>
    <n v="506000"/>
    <s v=" "/>
    <n v="0"/>
    <n v="0"/>
    <n v="0"/>
    <n v="0"/>
    <n v="0"/>
    <n v="506000"/>
    <s v="NINGUNA"/>
    <x v="10"/>
    <n v="30"/>
    <n v="3162196"/>
    <n v="0.04"/>
    <n v="126500"/>
    <n v="0"/>
    <s v="               "/>
    <n v="0"/>
    <s v="               "/>
    <n v="0"/>
    <s v="NINGUNA"/>
    <x v="0"/>
    <n v="30"/>
    <n v="3162196"/>
    <n v="6.9599999999999995E-2"/>
    <s v="5"/>
    <s v="CENTRO TRABAJO 24"/>
    <s v="5711001"/>
    <n v="220100"/>
    <n v="30"/>
    <x v="0"/>
    <n v="3162196"/>
    <n v="0.04"/>
    <n v="126500"/>
    <n v="3162196"/>
    <n v="0"/>
    <n v="0"/>
    <n v="0"/>
    <n v="0"/>
    <n v="0"/>
    <n v="0"/>
    <n v="0"/>
    <n v="0"/>
    <s v="SI"/>
    <s v="  "/>
    <s v="                "/>
  </r>
  <r>
    <x v="0"/>
    <s v="CC"/>
    <x v="334"/>
    <x v="334"/>
    <s v="MARTINEZ"/>
    <s v="NOY"/>
    <s v="EDGAR"/>
    <s v="OVIDI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712340"/>
    <n v="0.16"/>
    <n v="434000"/>
    <s v=" "/>
    <n v="0"/>
    <n v="0"/>
    <n v="0"/>
    <n v="0"/>
    <n v="0"/>
    <n v="434000"/>
    <s v="NINGUNA"/>
    <x v="8"/>
    <n v="30"/>
    <n v="2712340"/>
    <n v="0.04"/>
    <n v="108500"/>
    <n v="0"/>
    <s v="               "/>
    <n v="0"/>
    <s v="               "/>
    <n v="0"/>
    <s v="NINGUNA"/>
    <x v="0"/>
    <n v="30"/>
    <n v="2712340"/>
    <n v="6.9599999999999995E-2"/>
    <s v="5"/>
    <s v="CENTRO TRABAJO 24"/>
    <s v="5711001"/>
    <n v="188800"/>
    <n v="30"/>
    <x v="0"/>
    <n v="2712340"/>
    <n v="0.04"/>
    <n v="108500"/>
    <n v="2712340"/>
    <n v="0"/>
    <n v="0"/>
    <n v="0"/>
    <n v="0"/>
    <n v="0"/>
    <n v="0"/>
    <n v="0"/>
    <n v="0"/>
    <s v="SI"/>
    <s v="  "/>
    <s v="                "/>
  </r>
  <r>
    <x v="0"/>
    <s v="CC"/>
    <x v="335"/>
    <x v="335"/>
    <s v="LEON"/>
    <s v="MARTINEZ"/>
    <s v="CARLOS"/>
    <s v="ABEL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24711738"/>
    <s v="SI"/>
    <s v="NO"/>
    <x v="1"/>
    <n v="30"/>
    <n v="17298217"/>
    <n v="0.16"/>
    <n v="2767800"/>
    <s v=" "/>
    <n v="0"/>
    <n v="0"/>
    <n v="86500"/>
    <n v="86500"/>
    <n v="0"/>
    <n v="2940800"/>
    <s v="NINGUNA"/>
    <x v="2"/>
    <n v="30"/>
    <n v="17298217"/>
    <n v="0.125"/>
    <n v="2162300"/>
    <n v="0"/>
    <s v="               "/>
    <n v="0"/>
    <s v="               "/>
    <n v="0"/>
    <s v="NINGUNA"/>
    <x v="0"/>
    <n v="30"/>
    <n v="17298217"/>
    <n v="6.9599999999999995E-2"/>
    <s v="5"/>
    <s v="CENTRO TRABAJO 24"/>
    <s v="5711001"/>
    <n v="1204000"/>
    <n v="30"/>
    <x v="0"/>
    <n v="17298217"/>
    <n v="0.04"/>
    <n v="692000"/>
    <n v="17298217"/>
    <n v="0.02"/>
    <n v="346000"/>
    <n v="0.03"/>
    <n v="519000"/>
    <n v="0"/>
    <n v="0"/>
    <n v="0"/>
    <n v="0"/>
    <s v="NO"/>
    <s v="  "/>
    <s v="                "/>
  </r>
  <r>
    <x v="0"/>
    <s v="CC"/>
    <x v="336"/>
    <x v="336"/>
    <s v="TORRES"/>
    <s v="LEON"/>
    <s v="ARIOSTO"/>
    <s v=""/>
    <s v="BOGOTA_D.E."/>
    <s v="BOGOTA"/>
    <s v="1. DEPENDIENTE"/>
    <s v="NINGUNO"/>
    <n v="34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1"/>
    <n v="3"/>
    <n v="1414888"/>
    <n v="0.16"/>
    <n v="226400"/>
    <s v=" "/>
    <n v="0"/>
    <n v="0"/>
    <n v="0"/>
    <n v="0"/>
    <n v="0"/>
    <n v="226400"/>
    <s v="NINGUNA"/>
    <x v="0"/>
    <n v="3"/>
    <n v="1414888"/>
    <n v="0.125"/>
    <n v="176900"/>
    <n v="0"/>
    <s v="               "/>
    <n v="0"/>
    <s v="               "/>
    <n v="0"/>
    <s v="NINGUNA"/>
    <x v="0"/>
    <n v="3"/>
    <n v="1414888"/>
    <n v="6.9599999999999995E-2"/>
    <s v="5"/>
    <s v="CENTRO TRABAJO 24"/>
    <s v="5711001"/>
    <n v="98500"/>
    <n v="3"/>
    <x v="0"/>
    <n v="2281837"/>
    <n v="0.04"/>
    <n v="91300"/>
    <n v="2281837"/>
    <n v="0.02"/>
    <n v="45700"/>
    <n v="0.03"/>
    <n v="68500"/>
    <n v="0"/>
    <n v="0"/>
    <n v="0"/>
    <n v="0"/>
    <s v="SI"/>
    <s v="  "/>
    <s v="                "/>
  </r>
  <r>
    <x v="0"/>
    <s v="CC"/>
    <x v="337"/>
    <x v="337"/>
    <s v="GARZON"/>
    <s v="OSORIO"/>
    <s v="RODRIGO"/>
    <s v="ALBERT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0"/>
    <s v="NO"/>
    <s v="NO"/>
    <m/>
    <m/>
    <n v="0"/>
    <m/>
    <m/>
    <s v="NO"/>
    <n v="11650406"/>
    <s v="NO"/>
    <s v="NO"/>
    <x v="1"/>
    <n v="7"/>
    <n v="2718429"/>
    <n v="0.16"/>
    <n v="435000"/>
    <s v=" "/>
    <n v="0"/>
    <n v="0"/>
    <n v="13600"/>
    <n v="13600"/>
    <n v="0"/>
    <n v="462200"/>
    <s v="NINGUNA"/>
    <x v="2"/>
    <n v="7"/>
    <n v="2718429"/>
    <n v="0.04"/>
    <n v="108800"/>
    <n v="0"/>
    <s v="               "/>
    <n v="0"/>
    <s v="               "/>
    <n v="0"/>
    <s v="NINGUNA"/>
    <x v="0"/>
    <n v="7"/>
    <n v="2718429"/>
    <n v="0"/>
    <s v="5"/>
    <s v="CENTRO TRABAJO 24"/>
    <s v="5711001"/>
    <n v="0"/>
    <n v="7"/>
    <x v="0"/>
    <n v="2718429"/>
    <n v="0.04"/>
    <n v="108800"/>
    <n v="2718429"/>
    <n v="0"/>
    <n v="0"/>
    <n v="0"/>
    <n v="0"/>
    <n v="0"/>
    <n v="0"/>
    <n v="0"/>
    <n v="0"/>
    <s v="SI"/>
    <s v="  "/>
    <s v="                "/>
  </r>
  <r>
    <x v="0"/>
    <s v="CC"/>
    <x v="337"/>
    <x v="337"/>
    <s v="GARZON"/>
    <s v="OSORIO"/>
    <s v="RODRIGO"/>
    <s v="ALBERTO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11650406"/>
    <s v="NO"/>
    <s v="NO"/>
    <x v="1"/>
    <n v="23"/>
    <n v="8931978"/>
    <n v="0.16"/>
    <n v="1429200"/>
    <s v=" "/>
    <n v="0"/>
    <n v="0"/>
    <n v="44700"/>
    <n v="44700"/>
    <n v="0"/>
    <n v="1518600"/>
    <s v="NINGUNA"/>
    <x v="2"/>
    <n v="23"/>
    <n v="8931978"/>
    <n v="0.04"/>
    <n v="357300"/>
    <n v="0"/>
    <s v="               "/>
    <n v="0"/>
    <s v="               "/>
    <n v="0"/>
    <s v="NINGUNA"/>
    <x v="0"/>
    <n v="23"/>
    <n v="8931978"/>
    <n v="6.9599999999999995E-2"/>
    <s v="5"/>
    <s v="CENTRO TRABAJO 24"/>
    <s v="5711001"/>
    <n v="621700"/>
    <n v="23"/>
    <x v="0"/>
    <n v="8931978"/>
    <n v="0.04"/>
    <n v="357300"/>
    <n v="8931978"/>
    <n v="0"/>
    <n v="0"/>
    <n v="0"/>
    <n v="0"/>
    <n v="0"/>
    <n v="0"/>
    <n v="0"/>
    <n v="0"/>
    <s v="SI"/>
    <s v="  "/>
    <s v="                "/>
  </r>
  <r>
    <x v="0"/>
    <s v="CC"/>
    <x v="338"/>
    <x v="338"/>
    <s v="CASTRO"/>
    <s v="DIAZ"/>
    <s v="LIBARD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056650"/>
    <s v="NO"/>
    <s v="NO"/>
    <x v="4"/>
    <n v="5"/>
    <n v="342775"/>
    <n v="0.16"/>
    <n v="54900"/>
    <s v=" "/>
    <n v="0"/>
    <n v="0"/>
    <n v="0"/>
    <n v="0"/>
    <n v="0"/>
    <n v="54900"/>
    <s v="NINGUNA"/>
    <x v="0"/>
    <n v="5"/>
    <n v="342775"/>
    <n v="0.04"/>
    <n v="13800"/>
    <n v="0"/>
    <s v="               "/>
    <n v="0"/>
    <s v="               "/>
    <n v="0"/>
    <s v="NINGUNA"/>
    <x v="0"/>
    <n v="5"/>
    <n v="342775"/>
    <n v="0"/>
    <s v="5"/>
    <s v="CENTRO TRABAJO 30"/>
    <s v="5711001"/>
    <n v="0"/>
    <n v="5"/>
    <x v="1"/>
    <n v="342775"/>
    <n v="0.04"/>
    <n v="13800"/>
    <n v="342775"/>
    <n v="0"/>
    <n v="0"/>
    <n v="0"/>
    <n v="0"/>
    <n v="0"/>
    <n v="0"/>
    <n v="0"/>
    <n v="0"/>
    <s v="SI"/>
    <s v="  "/>
    <s v="                "/>
  </r>
  <r>
    <x v="0"/>
    <s v="CC"/>
    <x v="338"/>
    <x v="338"/>
    <s v="CASTRO"/>
    <s v="DIAZ"/>
    <s v="LIBARDO"/>
    <s v=""/>
    <s v="LA_GUAJIRA"/>
    <s v="RIOHACHA"/>
    <s v="1. DEPENDIENTE"/>
    <s v="NINGUNO"/>
    <n v="16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4"/>
    <n v="25"/>
    <n v="2257626"/>
    <n v="0.16"/>
    <n v="361300"/>
    <s v=" "/>
    <n v="0"/>
    <n v="0"/>
    <n v="0"/>
    <n v="0"/>
    <n v="0"/>
    <n v="361300"/>
    <s v="NINGUNA"/>
    <x v="0"/>
    <n v="25"/>
    <n v="2257626"/>
    <n v="0.04"/>
    <n v="90400"/>
    <n v="0"/>
    <s v="               "/>
    <n v="0"/>
    <s v="               "/>
    <n v="0"/>
    <s v="NINGUNA"/>
    <x v="0"/>
    <n v="25"/>
    <n v="2257626"/>
    <n v="6.9599999999999995E-2"/>
    <s v="5"/>
    <s v="CENTRO TRABAJO 30"/>
    <s v="5711001"/>
    <n v="157200"/>
    <n v="25"/>
    <x v="1"/>
    <n v="2187606"/>
    <n v="0.04"/>
    <n v="87600"/>
    <n v="2187606"/>
    <n v="0"/>
    <n v="0"/>
    <n v="0"/>
    <n v="0"/>
    <n v="0"/>
    <n v="0"/>
    <n v="0"/>
    <n v="0"/>
    <s v="SI"/>
    <s v="  "/>
    <s v="                "/>
  </r>
  <r>
    <x v="0"/>
    <s v="CC"/>
    <x v="339"/>
    <x v="339"/>
    <s v="DOMINGUEZ"/>
    <s v="SILVA"/>
    <s v="OBIDIO"/>
    <s v="LEONEL"/>
    <s v="BOGOTA_D.E."/>
    <s v="BOGOTA"/>
    <s v="1. DEPENDIENTE"/>
    <s v="NINGUNO"/>
    <n v="45"/>
    <s v="NO"/>
    <s v="NO"/>
    <m/>
    <s v="Todos los sistemas (ARL, AFP, CCF, EPS)"/>
    <n v="46074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4"/>
    <n v="10"/>
    <n v="704394"/>
    <n v="0.16"/>
    <n v="112800"/>
    <s v=" "/>
    <n v="0"/>
    <n v="0"/>
    <n v="0"/>
    <n v="0"/>
    <n v="0"/>
    <n v="112800"/>
    <s v="NINGUNA"/>
    <x v="0"/>
    <n v="10"/>
    <n v="704394"/>
    <n v="0.04"/>
    <n v="28200"/>
    <n v="0"/>
    <s v="               "/>
    <n v="0"/>
    <s v="               "/>
    <n v="0"/>
    <s v="NINGUNA"/>
    <x v="0"/>
    <n v="10"/>
    <n v="704394"/>
    <n v="6.9599999999999995E-2"/>
    <s v="5"/>
    <s v="CENTRO TRABAJO 24"/>
    <s v="5711001"/>
    <n v="49100"/>
    <n v="10"/>
    <x v="0"/>
    <n v="704394"/>
    <n v="0.04"/>
    <n v="28200"/>
    <n v="704394"/>
    <n v="0"/>
    <n v="0"/>
    <n v="0"/>
    <n v="0"/>
    <n v="0"/>
    <n v="0"/>
    <n v="0"/>
    <n v="0"/>
    <s v="SI"/>
    <s v="  "/>
    <s v="                "/>
  </r>
  <r>
    <x v="0"/>
    <s v="CC"/>
    <x v="340"/>
    <x v="340"/>
    <s v="CARVAJAL"/>
    <s v="ALVAREZ"/>
    <s v="GUSTAV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5408090"/>
    <s v="NO"/>
    <s v="NO"/>
    <x v="2"/>
    <n v="7"/>
    <n v="1261888"/>
    <n v="0.16"/>
    <n v="202000"/>
    <s v=" "/>
    <n v="0"/>
    <n v="0"/>
    <n v="0"/>
    <n v="0"/>
    <n v="0"/>
    <n v="202000"/>
    <s v="NINGUNA"/>
    <x v="0"/>
    <n v="7"/>
    <n v="1261888"/>
    <n v="0.04"/>
    <n v="50500"/>
    <n v="0"/>
    <s v="               "/>
    <n v="0"/>
    <s v="               "/>
    <n v="0"/>
    <s v="NINGUNA"/>
    <x v="0"/>
    <n v="7"/>
    <n v="1261888"/>
    <n v="0"/>
    <s v="5"/>
    <s v="CENTRO TRABAJO 30"/>
    <s v="5711001"/>
    <n v="0"/>
    <n v="7"/>
    <x v="1"/>
    <n v="1261888"/>
    <n v="0.04"/>
    <n v="50500"/>
    <n v="1261888"/>
    <n v="0"/>
    <n v="0"/>
    <n v="0"/>
    <n v="0"/>
    <n v="0"/>
    <n v="0"/>
    <n v="0"/>
    <n v="0"/>
    <s v="SI"/>
    <s v="  "/>
    <s v="                "/>
  </r>
  <r>
    <x v="0"/>
    <s v="CC"/>
    <x v="340"/>
    <x v="340"/>
    <s v="CARVAJAL"/>
    <s v="ALVAREZ"/>
    <s v="GUSTAVO"/>
    <s v="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5408090"/>
    <s v="NO"/>
    <s v="NO"/>
    <x v="2"/>
    <n v="23"/>
    <n v="4146203"/>
    <n v="0.16"/>
    <n v="663400"/>
    <s v=" "/>
    <n v="0"/>
    <n v="0"/>
    <n v="0"/>
    <n v="0"/>
    <n v="0"/>
    <n v="663400"/>
    <s v="NINGUNA"/>
    <x v="0"/>
    <n v="23"/>
    <n v="4146203"/>
    <n v="0.04"/>
    <n v="165900"/>
    <n v="0"/>
    <s v="               "/>
    <n v="0"/>
    <s v="               "/>
    <n v="0"/>
    <s v="NINGUNA"/>
    <x v="0"/>
    <n v="23"/>
    <n v="4146203"/>
    <n v="6.9599999999999995E-2"/>
    <s v="5"/>
    <s v="CENTRO TRABAJO 30"/>
    <s v="5711001"/>
    <n v="288600"/>
    <n v="23"/>
    <x v="1"/>
    <n v="4146203"/>
    <n v="0.04"/>
    <n v="165900"/>
    <n v="4146203"/>
    <n v="0"/>
    <n v="0"/>
    <n v="0"/>
    <n v="0"/>
    <n v="0"/>
    <n v="0"/>
    <n v="0"/>
    <n v="0"/>
    <s v="SI"/>
    <s v="  "/>
    <s v="                "/>
  </r>
  <r>
    <x v="0"/>
    <s v="CC"/>
    <x v="341"/>
    <x v="341"/>
    <s v="REYES"/>
    <s v="OLARTE"/>
    <s v="RAFAEL"/>
    <s v="ANTONIO"/>
    <s v="LA_GUAJIRA"/>
    <s v="RIOHACHA"/>
    <s v="1. DEPENDIENTE"/>
    <s v="NINGUNO"/>
    <n v="123"/>
    <s v="NO"/>
    <s v="NO"/>
    <m/>
    <s v="NO"/>
    <m/>
    <s v="Todos los sistemas (ARL, AFP, CCF, EPS)"/>
    <n v="46067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14"/>
    <n v="2265192"/>
    <n v="0.16"/>
    <n v="362500"/>
    <s v=" "/>
    <n v="0"/>
    <n v="0"/>
    <n v="0"/>
    <n v="0"/>
    <n v="0"/>
    <n v="362500"/>
    <s v="NINGUNA"/>
    <x v="10"/>
    <n v="14"/>
    <n v="2265192"/>
    <n v="0.04"/>
    <n v="90700"/>
    <n v="0"/>
    <s v="               "/>
    <n v="0"/>
    <s v="               "/>
    <n v="0"/>
    <s v="NINGUNA"/>
    <x v="0"/>
    <n v="14"/>
    <n v="2265192"/>
    <n v="6.9599999999999995E-2"/>
    <s v="5"/>
    <s v="CENTRO TRABAJO 30"/>
    <s v="5711001"/>
    <n v="157700"/>
    <n v="14"/>
    <x v="1"/>
    <n v="3033977"/>
    <n v="0.04"/>
    <n v="121400"/>
    <n v="3033977"/>
    <n v="0"/>
    <n v="0"/>
    <n v="0"/>
    <n v="0"/>
    <n v="0"/>
    <n v="0"/>
    <n v="0"/>
    <n v="0"/>
    <s v="SI"/>
    <s v="  "/>
    <s v="                "/>
  </r>
  <r>
    <x v="0"/>
    <s v="CC"/>
    <x v="342"/>
    <x v="342"/>
    <s v="ZAMUDIO"/>
    <s v="MENDOZA"/>
    <s v="CAMILO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9203890"/>
    <s v="NO"/>
    <s v="NO"/>
    <x v="2"/>
    <n v="7"/>
    <n v="2147575"/>
    <n v="0.16"/>
    <n v="343700"/>
    <s v=" "/>
    <n v="0"/>
    <n v="0"/>
    <n v="10800"/>
    <n v="10800"/>
    <n v="0"/>
    <n v="365300"/>
    <s v="NINGUNA"/>
    <x v="2"/>
    <n v="7"/>
    <n v="2147575"/>
    <n v="0.04"/>
    <n v="86000"/>
    <n v="0"/>
    <s v="               "/>
    <n v="0"/>
    <s v="               "/>
    <n v="0"/>
    <s v="NINGUNA"/>
    <x v="0"/>
    <n v="7"/>
    <n v="2147575"/>
    <n v="0"/>
    <s v="5"/>
    <s v="CENTRO TRABAJO 24"/>
    <s v="5711001"/>
    <n v="0"/>
    <n v="7"/>
    <x v="0"/>
    <n v="2147575"/>
    <n v="0.04"/>
    <n v="86000"/>
    <n v="2147575"/>
    <n v="0"/>
    <n v="0"/>
    <n v="0"/>
    <n v="0"/>
    <n v="0"/>
    <n v="0"/>
    <n v="0"/>
    <n v="0"/>
    <s v="SI"/>
    <s v="  "/>
    <s v="                "/>
  </r>
  <r>
    <x v="0"/>
    <s v="CC"/>
    <x v="342"/>
    <x v="342"/>
    <s v="ZAMUDIO"/>
    <s v="MENDOZA"/>
    <s v="CAMILO"/>
    <s v="ANDRES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9203890"/>
    <s v="NO"/>
    <s v="NO"/>
    <x v="2"/>
    <n v="23"/>
    <n v="7056316"/>
    <n v="0.16"/>
    <n v="1129100"/>
    <s v=" "/>
    <n v="0"/>
    <n v="0"/>
    <n v="35300"/>
    <n v="35300"/>
    <n v="0"/>
    <n v="1199700"/>
    <s v="NINGUNA"/>
    <x v="2"/>
    <n v="23"/>
    <n v="7056316"/>
    <n v="0.04"/>
    <n v="282300"/>
    <n v="0"/>
    <s v="               "/>
    <n v="0"/>
    <s v="               "/>
    <n v="0"/>
    <s v="NINGUNA"/>
    <x v="0"/>
    <n v="23"/>
    <n v="7056316"/>
    <n v="6.9599999999999995E-2"/>
    <s v="5"/>
    <s v="CENTRO TRABAJO 24"/>
    <s v="5711001"/>
    <n v="491200"/>
    <n v="23"/>
    <x v="0"/>
    <n v="7056316"/>
    <n v="0.04"/>
    <n v="282300"/>
    <n v="7056316"/>
    <n v="0"/>
    <n v="0"/>
    <n v="0"/>
    <n v="0"/>
    <n v="0"/>
    <n v="0"/>
    <n v="0"/>
    <n v="0"/>
    <s v="SI"/>
    <s v="  "/>
    <s v="                "/>
  </r>
  <r>
    <x v="0"/>
    <s v="CC"/>
    <x v="343"/>
    <x v="343"/>
    <s v="MIELES"/>
    <s v="HERRERA"/>
    <s v="VICTOR"/>
    <s v="ELOY"/>
    <s v="LA_GUAJIRA"/>
    <s v="RIOHACHA"/>
    <s v="1. DEPENDIENTE"/>
    <s v="NINGUNO"/>
    <n v="25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545380"/>
    <n v="0.16"/>
    <n v="407300"/>
    <s v=" "/>
    <n v="0"/>
    <n v="0"/>
    <n v="0"/>
    <n v="0"/>
    <n v="0"/>
    <n v="407300"/>
    <s v="NINGUNA"/>
    <x v="0"/>
    <n v="30"/>
    <n v="2545380"/>
    <n v="0.04"/>
    <n v="101900"/>
    <n v="0"/>
    <s v="               "/>
    <n v="0"/>
    <s v="               "/>
    <n v="0"/>
    <s v="NINGUNA"/>
    <x v="0"/>
    <n v="30"/>
    <n v="2545380"/>
    <n v="6.9599999999999995E-2"/>
    <s v="5"/>
    <s v="CENTRO TRABAJO 30"/>
    <s v="5711001"/>
    <n v="177200"/>
    <n v="30"/>
    <x v="1"/>
    <n v="2545380"/>
    <n v="0.04"/>
    <n v="101900"/>
    <n v="2545380"/>
    <n v="0"/>
    <n v="0"/>
    <n v="0"/>
    <n v="0"/>
    <n v="0"/>
    <n v="0"/>
    <n v="0"/>
    <n v="0"/>
    <s v="SI"/>
    <s v="  "/>
    <s v="                "/>
  </r>
  <r>
    <x v="0"/>
    <s v="CC"/>
    <x v="344"/>
    <x v="344"/>
    <s v="MENDOZA"/>
    <s v="HERNANDEZ"/>
    <s v="JULIO"/>
    <s v="ALEXON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1"/>
    <n v="68555"/>
    <n v="0.16"/>
    <n v="11000"/>
    <s v=" "/>
    <n v="0"/>
    <n v="0"/>
    <n v="0"/>
    <n v="0"/>
    <n v="0"/>
    <n v="11000"/>
    <s v="NINGUNA"/>
    <x v="6"/>
    <n v="1"/>
    <n v="68555"/>
    <n v="0"/>
    <n v="0"/>
    <n v="0"/>
    <s v="               "/>
    <n v="0"/>
    <s v="               "/>
    <n v="0"/>
    <s v="NINGUNA"/>
    <x v="0"/>
    <n v="1"/>
    <n v="68555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44"/>
    <x v="344"/>
    <s v="MENDOZA"/>
    <s v="HERNANDEZ"/>
    <s v="JULIO"/>
    <s v="ALEXON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29"/>
    <n v="2434575"/>
    <n v="0.16"/>
    <n v="389600"/>
    <s v=" "/>
    <n v="0"/>
    <n v="0"/>
    <n v="0"/>
    <n v="0"/>
    <n v="0"/>
    <n v="389600"/>
    <s v="NINGUNA"/>
    <x v="6"/>
    <n v="29"/>
    <n v="2434575"/>
    <n v="0.04"/>
    <n v="97400"/>
    <n v="0"/>
    <s v="               "/>
    <n v="0"/>
    <s v="               "/>
    <n v="0"/>
    <s v="NINGUNA"/>
    <x v="0"/>
    <n v="29"/>
    <n v="2434575"/>
    <n v="6.9599999999999995E-2"/>
    <s v="5"/>
    <s v="CENTRO TRABAJO 30"/>
    <s v="5711001"/>
    <n v="169500"/>
    <n v="29"/>
    <x v="1"/>
    <n v="2304913"/>
    <n v="0.04"/>
    <n v="92200"/>
    <n v="2304913"/>
    <n v="0"/>
    <n v="0"/>
    <n v="0"/>
    <n v="0"/>
    <n v="0"/>
    <n v="0"/>
    <n v="0"/>
    <n v="0"/>
    <s v="SI"/>
    <s v="  "/>
    <s v="                "/>
  </r>
  <r>
    <x v="0"/>
    <s v="CC"/>
    <x v="345"/>
    <x v="345"/>
    <s v="MIER"/>
    <s v="BARRIOS"/>
    <s v="ANTONIO"/>
    <s v="JOSE"/>
    <s v="LA_GUAJIRA"/>
    <s v="RIOHACHA"/>
    <s v="1. DEPENDIENTE"/>
    <s v="NINGUNO"/>
    <n v="19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30"/>
    <n v="2702349"/>
    <n v="0.16"/>
    <n v="432400"/>
    <s v=" "/>
    <n v="0"/>
    <n v="0"/>
    <n v="0"/>
    <n v="0"/>
    <n v="0"/>
    <n v="432400"/>
    <s v="NINGUNA"/>
    <x v="3"/>
    <n v="30"/>
    <n v="2702349"/>
    <n v="0.04"/>
    <n v="108100"/>
    <n v="0"/>
    <s v="               "/>
    <n v="0"/>
    <s v="               "/>
    <n v="0"/>
    <s v="NINGUNA"/>
    <x v="0"/>
    <n v="30"/>
    <n v="2702349"/>
    <n v="6.9599999999999995E-2"/>
    <s v="5"/>
    <s v="CENTRO TRABAJO 30"/>
    <s v="5711001"/>
    <n v="188100"/>
    <n v="30"/>
    <x v="1"/>
    <n v="2552294"/>
    <n v="0.04"/>
    <n v="102100"/>
    <n v="2552294"/>
    <n v="0"/>
    <n v="0"/>
    <n v="0"/>
    <n v="0"/>
    <n v="0"/>
    <n v="0"/>
    <n v="0"/>
    <n v="0"/>
    <s v="SI"/>
    <s v="  "/>
    <s v="                "/>
  </r>
  <r>
    <x v="0"/>
    <s v="CC"/>
    <x v="346"/>
    <x v="346"/>
    <s v="MENDOZA"/>
    <s v="HERNANDEZ"/>
    <s v="ADIEL"/>
    <s v="ENRIQUE"/>
    <s v="BOLIVAR"/>
    <s v="CARTAGENA"/>
    <s v="1. DEPENDIENTE"/>
    <s v="NINGUNO"/>
    <n v="20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534205"/>
    <s v="NO"/>
    <s v="NO"/>
    <x v="1"/>
    <n v="30"/>
    <n v="3955901"/>
    <n v="0.16"/>
    <n v="633000"/>
    <s v=" "/>
    <n v="0"/>
    <n v="0"/>
    <n v="0"/>
    <n v="0"/>
    <n v="0"/>
    <n v="633000"/>
    <s v="NINGUNA"/>
    <x v="6"/>
    <n v="30"/>
    <n v="3955901"/>
    <n v="0.04"/>
    <n v="158300"/>
    <n v="0"/>
    <s v="               "/>
    <n v="0"/>
    <s v="               "/>
    <n v="0"/>
    <s v="NINGUNA"/>
    <x v="0"/>
    <n v="30"/>
    <n v="3955901"/>
    <n v="6.9599999999999995E-2"/>
    <s v="5"/>
    <s v="CENTRO TRABAJO 8"/>
    <s v="5711001"/>
    <n v="275400"/>
    <n v="30"/>
    <x v="2"/>
    <n v="3955901"/>
    <n v="0.04"/>
    <n v="158300"/>
    <n v="3955901"/>
    <n v="0"/>
    <n v="0"/>
    <n v="0"/>
    <n v="0"/>
    <n v="0"/>
    <n v="0"/>
    <n v="0"/>
    <n v="0"/>
    <s v="SI"/>
    <s v="  "/>
    <s v="                "/>
  </r>
  <r>
    <x v="0"/>
    <s v="CC"/>
    <x v="347"/>
    <x v="347"/>
    <s v="GONZALEZ"/>
    <s v="QUERUZ"/>
    <s v="CARLOS"/>
    <s v="ANDRES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1"/>
    <n v="30"/>
    <n v="2544653"/>
    <n v="0.16"/>
    <n v="407200"/>
    <s v=" "/>
    <n v="0"/>
    <n v="0"/>
    <n v="0"/>
    <n v="0"/>
    <n v="0"/>
    <n v="407200"/>
    <s v="NINGUNA"/>
    <x v="0"/>
    <n v="30"/>
    <n v="2544653"/>
    <n v="0.04"/>
    <n v="101800"/>
    <n v="0"/>
    <s v="               "/>
    <n v="0"/>
    <s v="               "/>
    <n v="0"/>
    <s v="NINGUNA"/>
    <x v="0"/>
    <n v="30"/>
    <n v="2544653"/>
    <n v="6.9599999999999995E-2"/>
    <s v="5"/>
    <s v="CENTRO TRABAJO 30"/>
    <s v="5711001"/>
    <n v="177200"/>
    <n v="30"/>
    <x v="1"/>
    <n v="2373468"/>
    <n v="0.04"/>
    <n v="95000"/>
    <n v="2373468"/>
    <n v="0"/>
    <n v="0"/>
    <n v="0"/>
    <n v="0"/>
    <n v="0"/>
    <n v="0"/>
    <n v="0"/>
    <n v="0"/>
    <s v="SI"/>
    <s v="  "/>
    <s v="                "/>
  </r>
  <r>
    <x v="0"/>
    <s v="CC"/>
    <x v="348"/>
    <x v="348"/>
    <s v="CAMARGO"/>
    <s v="MAESTRE"/>
    <s v="JOSE"/>
    <s v="FERNAN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7262840"/>
    <s v="NO"/>
    <s v="NO"/>
    <x v="0"/>
    <n v="30"/>
    <n v="14394928"/>
    <n v="0.16"/>
    <n v="2303200"/>
    <s v=" "/>
    <n v="0"/>
    <n v="0"/>
    <n v="72000"/>
    <n v="72000"/>
    <n v="0"/>
    <n v="2447200"/>
    <s v="NINGUNA"/>
    <x v="3"/>
    <n v="30"/>
    <n v="14394928"/>
    <n v="0.125"/>
    <n v="1799400"/>
    <n v="0"/>
    <s v="               "/>
    <n v="0"/>
    <s v="               "/>
    <n v="0"/>
    <s v="NINGUNA"/>
    <x v="0"/>
    <n v="30"/>
    <n v="14394928"/>
    <n v="5.2199999999999998E-3"/>
    <s v="1"/>
    <s v="CENTRO TRABAJO 24"/>
    <s v="1711001"/>
    <n v="75200"/>
    <n v="30"/>
    <x v="0"/>
    <n v="7262840"/>
    <n v="0.04"/>
    <n v="290600"/>
    <n v="7262840"/>
    <n v="0.02"/>
    <n v="145300"/>
    <n v="0.03"/>
    <n v="217900"/>
    <n v="0"/>
    <n v="0"/>
    <n v="0"/>
    <n v="0"/>
    <s v="SI"/>
    <s v="  "/>
    <s v="                "/>
  </r>
  <r>
    <x v="0"/>
    <s v="CC"/>
    <x v="349"/>
    <x v="349"/>
    <s v="CORZO"/>
    <s v="PACHECO"/>
    <s v="CARLOS"/>
    <s v="GUSTAV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1"/>
    <n v="59520"/>
    <n v="0.16"/>
    <n v="9600"/>
    <s v=" "/>
    <n v="0"/>
    <n v="0"/>
    <n v="0"/>
    <n v="0"/>
    <n v="0"/>
    <n v="9600"/>
    <s v="NINGUNA"/>
    <x v="3"/>
    <n v="1"/>
    <n v="59520"/>
    <n v="0"/>
    <n v="0"/>
    <n v="0"/>
    <s v="               "/>
    <n v="0"/>
    <s v="               "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49"/>
    <x v="349"/>
    <s v="CORZO"/>
    <s v="PACHECO"/>
    <s v="CARLOS"/>
    <s v="GUSTAV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1785595"/>
    <s v="NO"/>
    <s v="NO"/>
    <x v="2"/>
    <n v="1"/>
    <n v="59520"/>
    <n v="0.16"/>
    <n v="9600"/>
    <s v=" "/>
    <n v="0"/>
    <n v="0"/>
    <n v="0"/>
    <n v="0"/>
    <n v="0"/>
    <n v="9600"/>
    <s v="NINGUNA"/>
    <x v="3"/>
    <n v="1"/>
    <n v="59520"/>
    <n v="0.04"/>
    <n v="2400"/>
    <n v="0"/>
    <s v="               "/>
    <n v="0"/>
    <s v="               "/>
    <n v="0"/>
    <s v="NINGUNA"/>
    <x v="0"/>
    <n v="1"/>
    <n v="59520"/>
    <n v="0"/>
    <s v="5"/>
    <s v="CENTRO TRABAJO 30"/>
    <s v="5711001"/>
    <n v="0"/>
    <n v="1"/>
    <x v="1"/>
    <n v="59520"/>
    <n v="0.04"/>
    <n v="2400"/>
    <n v="59520"/>
    <n v="0"/>
    <n v="0"/>
    <n v="0"/>
    <n v="0"/>
    <n v="0"/>
    <n v="0"/>
    <n v="0"/>
    <n v="0"/>
    <s v="SI"/>
    <s v="  "/>
    <s v="                "/>
  </r>
  <r>
    <x v="0"/>
    <s v="CC"/>
    <x v="349"/>
    <x v="349"/>
    <s v="CORZO"/>
    <s v="PACHECO"/>
    <s v="CARLOS"/>
    <s v="GUSTAVO"/>
    <s v="LA_GUAJIRA"/>
    <s v="RIOHACHA"/>
    <s v="1. DEPENDIENTE"/>
    <s v="NINGUNO"/>
    <n v="19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28"/>
    <n v="1935613"/>
    <n v="0.16"/>
    <n v="309700"/>
    <s v=" "/>
    <n v="0"/>
    <n v="0"/>
    <n v="0"/>
    <n v="0"/>
    <n v="0"/>
    <n v="309700"/>
    <s v="NINGUNA"/>
    <x v="3"/>
    <n v="28"/>
    <n v="1935613"/>
    <n v="0.04"/>
    <n v="77500"/>
    <n v="0"/>
    <s v="               "/>
    <n v="0"/>
    <s v="               "/>
    <n v="0"/>
    <s v="NINGUNA"/>
    <x v="0"/>
    <n v="28"/>
    <n v="1935613"/>
    <n v="6.9599999999999995E-2"/>
    <s v="5"/>
    <s v="CENTRO TRABAJO 30"/>
    <s v="5711001"/>
    <n v="134800"/>
    <n v="28"/>
    <x v="1"/>
    <n v="1935613"/>
    <n v="0.04"/>
    <n v="77500"/>
    <n v="1935613"/>
    <n v="0"/>
    <n v="0"/>
    <n v="0"/>
    <n v="0"/>
    <n v="0"/>
    <n v="0"/>
    <n v="0"/>
    <n v="0"/>
    <s v="SI"/>
    <s v="  "/>
    <s v="                "/>
  </r>
  <r>
    <x v="0"/>
    <s v="CC"/>
    <x v="350"/>
    <x v="350"/>
    <s v="LOBO"/>
    <s v="BARRIOS"/>
    <s v="SAUL"/>
    <s v="ANTONIO"/>
    <s v="BOGOTA_D.E."/>
    <s v="BOGOTA"/>
    <s v="1. DEPENDIENTE"/>
    <s v="NINGUNO"/>
    <n v="21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3060826"/>
    <n v="0.16"/>
    <n v="489800"/>
    <s v=" "/>
    <n v="0"/>
    <n v="0"/>
    <n v="0"/>
    <n v="0"/>
    <n v="0"/>
    <n v="489800"/>
    <s v="NINGUNA"/>
    <x v="6"/>
    <n v="30"/>
    <n v="3060826"/>
    <n v="0.04"/>
    <n v="122500"/>
    <n v="0"/>
    <s v="               "/>
    <n v="0"/>
    <s v="               "/>
    <n v="0"/>
    <s v="NINGUNA"/>
    <x v="0"/>
    <n v="30"/>
    <n v="3060826"/>
    <n v="6.9599999999999995E-2"/>
    <s v="5"/>
    <s v="CENTRO TRABAJO 24"/>
    <s v="5711001"/>
    <n v="213100"/>
    <n v="30"/>
    <x v="0"/>
    <n v="2976528"/>
    <n v="0.04"/>
    <n v="119100"/>
    <n v="2976528"/>
    <n v="0"/>
    <n v="0"/>
    <n v="0"/>
    <n v="0"/>
    <n v="0"/>
    <n v="0"/>
    <n v="0"/>
    <n v="0"/>
    <s v="SI"/>
    <s v="  "/>
    <s v="                "/>
  </r>
  <r>
    <x v="0"/>
    <s v="CC"/>
    <x v="351"/>
    <x v="351"/>
    <s v="DUERO"/>
    <s v="LOSADA"/>
    <s v="JAIRO"/>
    <s v="ENRIQUE"/>
    <s v="BOGOTA_D.E."/>
    <s v="BOGOTA"/>
    <s v="1. DEPENDIENTE"/>
    <s v="NINGUNO"/>
    <n v="69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1"/>
    <n v="7"/>
    <n v="1886552"/>
    <n v="0.16"/>
    <n v="301900"/>
    <s v=" "/>
    <n v="0"/>
    <n v="0"/>
    <n v="0"/>
    <n v="0"/>
    <n v="0"/>
    <n v="301900"/>
    <s v="NINGUNA"/>
    <x v="9"/>
    <n v="7"/>
    <n v="1886552"/>
    <n v="0.04"/>
    <n v="75500"/>
    <n v="0"/>
    <s v="               "/>
    <n v="0"/>
    <s v="               "/>
    <n v="0"/>
    <s v="NINGUNA"/>
    <x v="0"/>
    <n v="7"/>
    <n v="1886552"/>
    <n v="6.9599999999999995E-2"/>
    <s v="5"/>
    <s v="CENTRO TRABAJO 24"/>
    <s v="5711001"/>
    <n v="131400"/>
    <n v="7"/>
    <x v="0"/>
    <n v="2353890"/>
    <n v="0.04"/>
    <n v="94200"/>
    <n v="2353890"/>
    <n v="0"/>
    <n v="0"/>
    <n v="0"/>
    <n v="0"/>
    <n v="0"/>
    <n v="0"/>
    <n v="0"/>
    <n v="0"/>
    <s v="SI"/>
    <s v="  "/>
    <s v="                "/>
  </r>
  <r>
    <x v="0"/>
    <s v="CC"/>
    <x v="352"/>
    <x v="352"/>
    <s v="CARMONA"/>
    <s v="ARENAS"/>
    <s v="ORLANDO"/>
    <s v="DE JESUS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1"/>
    <n v="30"/>
    <n v="3076166"/>
    <n v="0.16"/>
    <n v="492200"/>
    <s v=" "/>
    <n v="0"/>
    <n v="0"/>
    <n v="0"/>
    <n v="0"/>
    <n v="0"/>
    <n v="492200"/>
    <s v="NINGUNA"/>
    <x v="2"/>
    <n v="30"/>
    <n v="3076166"/>
    <n v="0.04"/>
    <n v="123100"/>
    <n v="0"/>
    <s v="               "/>
    <n v="0"/>
    <s v="               "/>
    <n v="0"/>
    <s v="NINGUNA"/>
    <x v="0"/>
    <n v="30"/>
    <n v="3076166"/>
    <n v="6.9599999999999995E-2"/>
    <s v="5"/>
    <s v="CENTRO TRABAJO 30"/>
    <s v="5711001"/>
    <n v="214200"/>
    <n v="30"/>
    <x v="1"/>
    <n v="3076166"/>
    <n v="0.04"/>
    <n v="123100"/>
    <n v="3076166"/>
    <n v="0"/>
    <n v="0"/>
    <n v="0"/>
    <n v="0"/>
    <n v="0"/>
    <n v="0"/>
    <n v="0"/>
    <n v="0"/>
    <s v="SI"/>
    <s v="  "/>
    <s v="                "/>
  </r>
  <r>
    <x v="0"/>
    <s v="PT"/>
    <x v="353"/>
    <x v="353"/>
    <s v="VERGARA"/>
    <s v="ARCIA"/>
    <s v="CARLOS"/>
    <s v="ALBERTO"/>
    <s v="BOGOTA_D.E."/>
    <s v="BOGOTA"/>
    <s v="1. DEPENDIENTE"/>
    <s v="NINGUNO"/>
    <n v="33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1"/>
    <n v="3"/>
    <n v="996180"/>
    <n v="0.16"/>
    <n v="159400"/>
    <s v=" "/>
    <n v="0"/>
    <n v="0"/>
    <n v="0"/>
    <n v="0"/>
    <n v="0"/>
    <n v="159400"/>
    <s v="NINGUNA"/>
    <x v="2"/>
    <n v="3"/>
    <n v="996180"/>
    <n v="0.125"/>
    <n v="124600"/>
    <n v="0"/>
    <s v="               "/>
    <n v="0"/>
    <s v="               "/>
    <n v="0"/>
    <s v="NINGUNA"/>
    <x v="0"/>
    <n v="3"/>
    <n v="996180"/>
    <n v="6.9599999999999995E-2"/>
    <s v="5"/>
    <s v="CENTRO TRABAJO 24"/>
    <s v="5711001"/>
    <n v="69400"/>
    <n v="3"/>
    <x v="0"/>
    <n v="1807808"/>
    <n v="0.04"/>
    <n v="72400"/>
    <n v="1807808"/>
    <n v="0.02"/>
    <n v="36200"/>
    <n v="0.03"/>
    <n v="54300"/>
    <n v="0"/>
    <n v="0"/>
    <n v="0"/>
    <n v="0"/>
    <s v="SI"/>
    <s v="  "/>
    <s v="                "/>
  </r>
  <r>
    <x v="0"/>
    <s v="CC"/>
    <x v="354"/>
    <x v="354"/>
    <s v="ALVAREZ"/>
    <s v="PACHECO"/>
    <s v="EDER"/>
    <s v="JULI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1"/>
    <n v="74112"/>
    <n v="0.16"/>
    <n v="11900"/>
    <s v=" "/>
    <n v="0"/>
    <n v="0"/>
    <n v="0"/>
    <n v="0"/>
    <n v="0"/>
    <n v="11900"/>
    <s v="NINGUNA"/>
    <x v="0"/>
    <n v="1"/>
    <n v="74112"/>
    <n v="0"/>
    <n v="0"/>
    <n v="0"/>
    <s v="               "/>
    <n v="0"/>
    <s v="               "/>
    <n v="0"/>
    <s v="NINGUNA"/>
    <x v="0"/>
    <n v="1"/>
    <n v="74112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54"/>
    <x v="354"/>
    <s v="ALVAREZ"/>
    <s v="PACHECO"/>
    <s v="EDER"/>
    <s v="JULIO"/>
    <s v="LA_GUAJIRA"/>
    <s v="RIOHACHA"/>
    <s v="1. DEPENDIENTE"/>
    <s v="NINGUNO"/>
    <n v="211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9"/>
    <n v="3332691"/>
    <n v="0.16"/>
    <n v="533300"/>
    <s v=" "/>
    <n v="0"/>
    <n v="0"/>
    <n v="0"/>
    <n v="0"/>
    <n v="0"/>
    <n v="533300"/>
    <s v="NINGUNA"/>
    <x v="0"/>
    <n v="29"/>
    <n v="3332691"/>
    <n v="0.04"/>
    <n v="133400"/>
    <n v="0"/>
    <s v="               "/>
    <n v="0"/>
    <s v="               "/>
    <n v="0"/>
    <s v="NINGUNA"/>
    <x v="0"/>
    <n v="29"/>
    <n v="3332691"/>
    <n v="6.9599999999999995E-2"/>
    <s v="5"/>
    <s v="CENTRO TRABAJO 30"/>
    <s v="5711001"/>
    <n v="232000"/>
    <n v="29"/>
    <x v="1"/>
    <n v="3381750"/>
    <n v="0.04"/>
    <n v="135300"/>
    <n v="3381750"/>
    <n v="0"/>
    <n v="0"/>
    <n v="0"/>
    <n v="0"/>
    <n v="0"/>
    <n v="0"/>
    <n v="0"/>
    <n v="0"/>
    <s v="SI"/>
    <s v="  "/>
    <s v="                "/>
  </r>
  <r>
    <x v="0"/>
    <s v="CC"/>
    <x v="355"/>
    <x v="355"/>
    <s v="HERRERA"/>
    <s v="PEREZ"/>
    <s v="LUIS"/>
    <s v="ALFONS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3235758"/>
    <s v="NO"/>
    <s v="NO"/>
    <x v="4"/>
    <n v="1"/>
    <n v="107859"/>
    <n v="0.16"/>
    <n v="17300"/>
    <s v=" "/>
    <n v="0"/>
    <n v="0"/>
    <n v="0"/>
    <n v="0"/>
    <n v="0"/>
    <n v="17300"/>
    <s v="NINGUNA"/>
    <x v="8"/>
    <n v="1"/>
    <n v="107859"/>
    <n v="0.04"/>
    <n v="4400"/>
    <n v="0"/>
    <s v="               "/>
    <n v="0"/>
    <s v="               "/>
    <n v="0"/>
    <s v="NINGUNA"/>
    <x v="0"/>
    <n v="1"/>
    <n v="107859"/>
    <n v="0"/>
    <s v="5"/>
    <s v="CENTRO TRABAJO 24"/>
    <s v="5711001"/>
    <n v="0"/>
    <n v="1"/>
    <x v="0"/>
    <n v="107859"/>
    <n v="0.04"/>
    <n v="4400"/>
    <n v="107859"/>
    <n v="0"/>
    <n v="0"/>
    <n v="0"/>
    <n v="0"/>
    <n v="0"/>
    <n v="0"/>
    <n v="0"/>
    <n v="0"/>
    <s v="SI"/>
    <s v="  "/>
    <s v="                "/>
  </r>
  <r>
    <x v="0"/>
    <s v="CC"/>
    <x v="355"/>
    <x v="355"/>
    <s v="HERRERA"/>
    <s v="PEREZ"/>
    <s v="LUIS"/>
    <s v="ALFONSO"/>
    <s v="BOGOTA_D.E."/>
    <s v="BOGOTA"/>
    <s v="1. DEPENDIENTE"/>
    <s v="NINGUNO"/>
    <n v="180"/>
    <s v="NO"/>
    <s v="NO"/>
    <m/>
    <s v="NO"/>
    <m/>
    <s v="NO"/>
    <m/>
    <s v="NO"/>
    <s v="NO"/>
    <s v="NO"/>
    <s v="SI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3235758"/>
    <s v="NO"/>
    <s v="NO"/>
    <x v="4"/>
    <n v="29"/>
    <n v="3127900"/>
    <n v="0.16"/>
    <n v="500500"/>
    <s v=" "/>
    <n v="0"/>
    <n v="0"/>
    <n v="0"/>
    <n v="0"/>
    <n v="0"/>
    <n v="500500"/>
    <s v="COLPENSIONES"/>
    <x v="8"/>
    <n v="29"/>
    <n v="3127900"/>
    <n v="0.04"/>
    <n v="125200"/>
    <n v="0"/>
    <s v="               "/>
    <n v="0"/>
    <s v="               "/>
    <n v="0"/>
    <s v="NINGUNA"/>
    <x v="0"/>
    <n v="29"/>
    <n v="3127900"/>
    <n v="6.9599999999999995E-2"/>
    <s v="5"/>
    <s v="CENTRO TRABAJO 24"/>
    <s v="5711001"/>
    <n v="217800"/>
    <n v="29"/>
    <x v="0"/>
    <n v="3127900"/>
    <n v="0.04"/>
    <n v="125200"/>
    <n v="3127900"/>
    <n v="0"/>
    <n v="0"/>
    <n v="0"/>
    <n v="0"/>
    <n v="0"/>
    <n v="0"/>
    <n v="0"/>
    <n v="0"/>
    <s v="SI"/>
    <s v="  "/>
    <s v="                "/>
  </r>
  <r>
    <x v="0"/>
    <s v="CC"/>
    <x v="356"/>
    <x v="356"/>
    <s v="MESTIZO"/>
    <s v="TORRES"/>
    <s v="ANTHONI"/>
    <s v=""/>
    <s v="BOGOTA_D.E."/>
    <s v="BOGOTA"/>
    <s v="1. DEPENDIENTE"/>
    <s v="1. DEPENDIENTE PENSIONADO ACTIVO"/>
    <n v="222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469610"/>
    <s v="NO"/>
    <s v="NO"/>
    <x v="5"/>
    <n v="0"/>
    <n v="0"/>
    <n v="0"/>
    <n v="0"/>
    <s v=" "/>
    <n v="0"/>
    <n v="0"/>
    <n v="0"/>
    <n v="0"/>
    <n v="0"/>
    <n v="0"/>
    <s v="NINGUNA"/>
    <x v="10"/>
    <n v="30"/>
    <n v="3543891"/>
    <n v="0.04"/>
    <n v="141800"/>
    <n v="0"/>
    <s v="               "/>
    <n v="0"/>
    <s v="               "/>
    <n v="0"/>
    <s v="NINGUNA"/>
    <x v="0"/>
    <n v="30"/>
    <n v="3543891"/>
    <n v="6.9599999999999995E-2"/>
    <s v="5"/>
    <s v="CENTRO TRABAJO 24"/>
    <s v="5711001"/>
    <n v="246700"/>
    <n v="30"/>
    <x v="0"/>
    <n v="3543891"/>
    <n v="0.04"/>
    <n v="141800"/>
    <n v="3543891"/>
    <n v="0"/>
    <n v="0"/>
    <n v="0"/>
    <n v="0"/>
    <n v="0"/>
    <n v="0"/>
    <n v="0"/>
    <n v="0"/>
    <s v="SI"/>
    <s v="  "/>
    <s v="                "/>
  </r>
  <r>
    <x v="0"/>
    <s v="CC"/>
    <x v="357"/>
    <x v="357"/>
    <s v="RINCON"/>
    <s v="GUERRERO"/>
    <s v="HECTOR"/>
    <s v="JAIME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1"/>
    <n v="30"/>
    <n v="6384779"/>
    <n v="0.16"/>
    <n v="1021600"/>
    <s v=" "/>
    <n v="0"/>
    <n v="0"/>
    <n v="0"/>
    <n v="0"/>
    <n v="0"/>
    <n v="1021600"/>
    <s v="NINGUNA"/>
    <x v="8"/>
    <n v="30"/>
    <n v="6384779"/>
    <n v="0.04"/>
    <n v="255400"/>
    <n v="0"/>
    <s v="               "/>
    <n v="0"/>
    <s v="               "/>
    <n v="0"/>
    <s v="NINGUNA"/>
    <x v="0"/>
    <n v="30"/>
    <n v="6384779"/>
    <n v="6.9599999999999995E-2"/>
    <s v="5"/>
    <s v="CENTRO TRABAJO 24"/>
    <s v="5711001"/>
    <n v="444400"/>
    <n v="30"/>
    <x v="0"/>
    <n v="6384779"/>
    <n v="0.04"/>
    <n v="255400"/>
    <n v="6384779"/>
    <n v="0"/>
    <n v="0"/>
    <n v="0"/>
    <n v="0"/>
    <n v="0"/>
    <n v="0"/>
    <n v="0"/>
    <n v="0"/>
    <s v="SI"/>
    <s v="  "/>
    <s v="                "/>
  </r>
  <r>
    <x v="0"/>
    <s v="CC"/>
    <x v="358"/>
    <x v="358"/>
    <s v="VELASQUEZ"/>
    <s v="TORRES"/>
    <s v="JOSE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8367173"/>
    <s v="NO"/>
    <s v="NO"/>
    <x v="1"/>
    <n v="5"/>
    <n v="1394529"/>
    <n v="0.16"/>
    <n v="223200"/>
    <s v=" "/>
    <n v="0"/>
    <n v="0"/>
    <n v="7000"/>
    <n v="7000"/>
    <n v="0"/>
    <n v="237200"/>
    <s v="NINGUNA"/>
    <x v="2"/>
    <n v="5"/>
    <n v="1394529"/>
    <n v="0.04"/>
    <n v="55800"/>
    <n v="0"/>
    <s v="               "/>
    <n v="0"/>
    <s v="               "/>
    <n v="0"/>
    <s v="NINGUNA"/>
    <x v="0"/>
    <n v="5"/>
    <n v="1394529"/>
    <n v="0"/>
    <s v="5"/>
    <s v="CENTRO TRABAJO 24"/>
    <s v="5711001"/>
    <n v="0"/>
    <n v="5"/>
    <x v="0"/>
    <n v="1394529"/>
    <n v="0.04"/>
    <n v="55800"/>
    <n v="1394529"/>
    <n v="0"/>
    <n v="0"/>
    <n v="0"/>
    <n v="0"/>
    <n v="0"/>
    <n v="0"/>
    <n v="0"/>
    <n v="0"/>
    <s v="SI"/>
    <s v="  "/>
    <s v="                "/>
  </r>
  <r>
    <x v="0"/>
    <s v="CC"/>
    <x v="358"/>
    <x v="358"/>
    <s v="VELASQUEZ"/>
    <s v="TORRES"/>
    <s v="JOSE"/>
    <s v="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8367173"/>
    <s v="NO"/>
    <s v="NO"/>
    <x v="1"/>
    <n v="25"/>
    <n v="6972645"/>
    <n v="0.16"/>
    <n v="1115700"/>
    <s v=" "/>
    <n v="0"/>
    <n v="0"/>
    <n v="34900"/>
    <n v="34900"/>
    <n v="0"/>
    <n v="1185500"/>
    <s v="NINGUNA"/>
    <x v="2"/>
    <n v="25"/>
    <n v="6972645"/>
    <n v="0.04"/>
    <n v="279000"/>
    <n v="0"/>
    <s v="               "/>
    <n v="0"/>
    <s v="               "/>
    <n v="0"/>
    <s v="NINGUNA"/>
    <x v="0"/>
    <n v="25"/>
    <n v="6972645"/>
    <n v="6.9599999999999995E-2"/>
    <s v="5"/>
    <s v="CENTRO TRABAJO 24"/>
    <s v="5711001"/>
    <n v="485300"/>
    <n v="25"/>
    <x v="0"/>
    <n v="6972645"/>
    <n v="0.04"/>
    <n v="279000"/>
    <n v="6972645"/>
    <n v="0"/>
    <n v="0"/>
    <n v="0"/>
    <n v="0"/>
    <n v="0"/>
    <n v="0"/>
    <n v="0"/>
    <n v="0"/>
    <s v="SI"/>
    <s v="  "/>
    <s v="                "/>
  </r>
  <r>
    <x v="0"/>
    <s v="CC"/>
    <x v="359"/>
    <x v="359"/>
    <s v="PAEZ"/>
    <s v="HERNANDEZ"/>
    <s v="LUIS"/>
    <s v="MARCEL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6882380"/>
    <s v="NO"/>
    <s v="NO"/>
    <x v="1"/>
    <n v="30"/>
    <n v="16882380"/>
    <n v="0.16"/>
    <n v="2701200"/>
    <s v=" "/>
    <n v="0"/>
    <n v="0"/>
    <n v="84500"/>
    <n v="84500"/>
    <n v="0"/>
    <n v="2870200"/>
    <s v="NINGUNA"/>
    <x v="2"/>
    <n v="30"/>
    <n v="16882380"/>
    <n v="0.125"/>
    <n v="2110300"/>
    <n v="0"/>
    <s v="               "/>
    <n v="0"/>
    <s v="               "/>
    <n v="0"/>
    <s v="NINGUNA"/>
    <x v="0"/>
    <n v="30"/>
    <n v="16882380"/>
    <n v="6.9599999999999995E-2"/>
    <s v="5"/>
    <s v="CENTRO TRABAJO 24"/>
    <s v="5711001"/>
    <n v="1175100"/>
    <n v="30"/>
    <x v="0"/>
    <n v="16882380"/>
    <n v="0.04"/>
    <n v="675300"/>
    <n v="16882380"/>
    <n v="0.02"/>
    <n v="337700"/>
    <n v="0.03"/>
    <n v="506500"/>
    <n v="0"/>
    <n v="0"/>
    <n v="0"/>
    <n v="0"/>
    <s v="SI"/>
    <s v="  "/>
    <s v="                "/>
  </r>
  <r>
    <x v="0"/>
    <s v="CC"/>
    <x v="360"/>
    <x v="360"/>
    <s v="ZAMUDIO"/>
    <s v="AMAYA"/>
    <s v="MAURICIO"/>
    <s v="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24711738"/>
    <s v="SI"/>
    <s v="NO"/>
    <x v="1"/>
    <n v="30"/>
    <n v="17298217"/>
    <n v="0.16"/>
    <n v="2767800"/>
    <s v=" "/>
    <n v="0"/>
    <n v="0"/>
    <n v="86500"/>
    <n v="86500"/>
    <n v="0"/>
    <n v="2940800"/>
    <s v="NINGUNA"/>
    <x v="2"/>
    <n v="30"/>
    <n v="17298217"/>
    <n v="0.125"/>
    <n v="2162300"/>
    <n v="0"/>
    <s v="               "/>
    <n v="0"/>
    <s v="               "/>
    <n v="0"/>
    <s v="NINGUNA"/>
    <x v="0"/>
    <n v="30"/>
    <n v="17298217"/>
    <n v="6.9599999999999995E-2"/>
    <s v="5"/>
    <s v="CENTRO TRABAJO 24"/>
    <s v="5711001"/>
    <n v="1204000"/>
    <n v="30"/>
    <x v="0"/>
    <n v="17298217"/>
    <n v="0.04"/>
    <n v="692000"/>
    <n v="17298217"/>
    <n v="0.02"/>
    <n v="346000"/>
    <n v="0.03"/>
    <n v="519000"/>
    <n v="0"/>
    <n v="0"/>
    <n v="0"/>
    <n v="0"/>
    <s v="NO"/>
    <s v="  "/>
    <s v="                "/>
  </r>
  <r>
    <x v="0"/>
    <s v="CC"/>
    <x v="361"/>
    <x v="361"/>
    <s v="MEDINA"/>
    <s v="SILVA"/>
    <s v="JOSE"/>
    <s v="WILSON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7189330"/>
    <s v="NO"/>
    <s v="NO"/>
    <x v="1"/>
    <n v="30"/>
    <n v="7189330"/>
    <n v="0.16"/>
    <n v="1150300"/>
    <s v=" "/>
    <n v="0"/>
    <n v="0"/>
    <n v="36000"/>
    <n v="36000"/>
    <n v="0"/>
    <n v="1222300"/>
    <s v="NINGUNA"/>
    <x v="3"/>
    <n v="30"/>
    <n v="7189330"/>
    <n v="0.04"/>
    <n v="287600"/>
    <n v="0"/>
    <s v="               "/>
    <n v="0"/>
    <s v="               "/>
    <n v="0"/>
    <s v="NINGUNA"/>
    <x v="0"/>
    <n v="30"/>
    <n v="7189330"/>
    <n v="6.9599999999999995E-2"/>
    <s v="5"/>
    <s v="CENTRO TRABAJO 24"/>
    <s v="5711001"/>
    <n v="500400"/>
    <n v="30"/>
    <x v="0"/>
    <n v="7189330"/>
    <n v="0.04"/>
    <n v="287600"/>
    <n v="7189330"/>
    <n v="0"/>
    <n v="0"/>
    <n v="0"/>
    <n v="0"/>
    <n v="0"/>
    <n v="0"/>
    <n v="0"/>
    <n v="0"/>
    <s v="SI"/>
    <s v="  "/>
    <s v="                "/>
  </r>
  <r>
    <x v="0"/>
    <s v="CC"/>
    <x v="362"/>
    <x v="362"/>
    <s v="OLAYA"/>
    <s v="LEIVA"/>
    <s v="HARMAN"/>
    <s v="YAMIR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3761020"/>
    <s v="NO"/>
    <s v="NO"/>
    <x v="1"/>
    <n v="30"/>
    <n v="3761020"/>
    <n v="0.16"/>
    <n v="601800"/>
    <s v=" "/>
    <n v="0"/>
    <n v="0"/>
    <n v="0"/>
    <n v="0"/>
    <n v="0"/>
    <n v="601800"/>
    <s v="NINGUNA"/>
    <x v="3"/>
    <n v="30"/>
    <n v="3761020"/>
    <n v="0.04"/>
    <n v="150500"/>
    <n v="0"/>
    <s v="               "/>
    <n v="0"/>
    <s v="               "/>
    <n v="0"/>
    <s v="NINGUNA"/>
    <x v="0"/>
    <n v="30"/>
    <n v="3761020"/>
    <n v="6.9599999999999995E-2"/>
    <s v="5"/>
    <s v="CENTRO TRABAJO 24"/>
    <s v="5711001"/>
    <n v="261800"/>
    <n v="30"/>
    <x v="0"/>
    <n v="3761020"/>
    <n v="0.04"/>
    <n v="150500"/>
    <n v="3761020"/>
    <n v="0"/>
    <n v="0"/>
    <n v="0"/>
    <n v="0"/>
    <n v="0"/>
    <n v="0"/>
    <n v="0"/>
    <n v="0"/>
    <s v="SI"/>
    <s v="  "/>
    <s v="                "/>
  </r>
  <r>
    <x v="0"/>
    <s v="CC"/>
    <x v="363"/>
    <x v="363"/>
    <s v="GALEANO"/>
    <s v="RUNZA"/>
    <s v="HAROL"/>
    <s v=""/>
    <s v="BOGOTA_D.E."/>
    <s v="BOGOT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1"/>
    <n v="30"/>
    <n v="3550059"/>
    <n v="0.16"/>
    <n v="568100"/>
    <s v=" "/>
    <n v="0"/>
    <n v="0"/>
    <n v="0"/>
    <n v="0"/>
    <n v="0"/>
    <n v="568100"/>
    <s v="NINGUNA"/>
    <x v="0"/>
    <n v="30"/>
    <n v="3550059"/>
    <n v="0.04"/>
    <n v="142100"/>
    <n v="0"/>
    <s v="               "/>
    <n v="0"/>
    <s v="               "/>
    <n v="0"/>
    <s v="NINGUNA"/>
    <x v="0"/>
    <n v="30"/>
    <n v="3550059"/>
    <n v="6.9599999999999995E-2"/>
    <s v="5"/>
    <s v="CENTRO TRABAJO 24"/>
    <s v="5711001"/>
    <n v="247100"/>
    <n v="30"/>
    <x v="0"/>
    <n v="3550059"/>
    <n v="0.04"/>
    <n v="142100"/>
    <n v="3550059"/>
    <n v="0"/>
    <n v="0"/>
    <n v="0"/>
    <n v="0"/>
    <n v="0"/>
    <n v="0"/>
    <n v="0"/>
    <n v="0"/>
    <s v="SI"/>
    <s v="  "/>
    <s v="                "/>
  </r>
  <r>
    <x v="0"/>
    <s v="CC"/>
    <x v="364"/>
    <x v="364"/>
    <s v="BARAJAS"/>
    <s v="LOPEZ"/>
    <s v="JOSE"/>
    <s v="DE LA CRUZ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4613967"/>
    <s v="NO"/>
    <s v="NO"/>
    <x v="2"/>
    <n v="7"/>
    <n v="1076593"/>
    <n v="0.16"/>
    <n v="172300"/>
    <s v=" "/>
    <n v="0"/>
    <n v="0"/>
    <n v="0"/>
    <n v="0"/>
    <n v="0"/>
    <n v="172300"/>
    <s v="NINGUNA"/>
    <x v="2"/>
    <n v="7"/>
    <n v="1076593"/>
    <n v="0.04"/>
    <n v="43100"/>
    <n v="0"/>
    <s v="               "/>
    <n v="0"/>
    <s v="               "/>
    <n v="0"/>
    <s v="NINGUNA"/>
    <x v="0"/>
    <n v="7"/>
    <n v="1076593"/>
    <n v="0"/>
    <s v="5"/>
    <s v="CENTRO TRABAJO 30"/>
    <s v="5711001"/>
    <n v="0"/>
    <n v="7"/>
    <x v="1"/>
    <n v="1076593"/>
    <n v="0.04"/>
    <n v="43100"/>
    <n v="1076593"/>
    <n v="0"/>
    <n v="0"/>
    <n v="0"/>
    <n v="0"/>
    <n v="0"/>
    <n v="0"/>
    <n v="0"/>
    <n v="0"/>
    <s v="SI"/>
    <s v="  "/>
    <s v="                "/>
  </r>
  <r>
    <x v="0"/>
    <s v="CC"/>
    <x v="364"/>
    <x v="364"/>
    <s v="BARAJAS"/>
    <s v="LOPEZ"/>
    <s v="JOSE"/>
    <s v="DE LA CRUZ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613967"/>
    <s v="NO"/>
    <s v="NO"/>
    <x v="2"/>
    <n v="23"/>
    <n v="3537375"/>
    <n v="0.16"/>
    <n v="566000"/>
    <s v=" "/>
    <n v="0"/>
    <n v="0"/>
    <n v="0"/>
    <n v="0"/>
    <n v="0"/>
    <n v="566000"/>
    <s v="NINGUNA"/>
    <x v="2"/>
    <n v="23"/>
    <n v="3537375"/>
    <n v="0.04"/>
    <n v="141500"/>
    <n v="0"/>
    <s v="               "/>
    <n v="0"/>
    <s v="               "/>
    <n v="0"/>
    <s v="NINGUNA"/>
    <x v="0"/>
    <n v="23"/>
    <n v="3537375"/>
    <n v="6.9599999999999995E-2"/>
    <s v="5"/>
    <s v="CENTRO TRABAJO 30"/>
    <s v="5711001"/>
    <n v="246300"/>
    <n v="23"/>
    <x v="1"/>
    <n v="3537375"/>
    <n v="0.04"/>
    <n v="141500"/>
    <n v="3537375"/>
    <n v="0"/>
    <n v="0"/>
    <n v="0"/>
    <n v="0"/>
    <n v="0"/>
    <n v="0"/>
    <n v="0"/>
    <n v="0"/>
    <s v="SI"/>
    <s v="  "/>
    <s v="                "/>
  </r>
  <r>
    <x v="0"/>
    <s v="CC"/>
    <x v="365"/>
    <x v="365"/>
    <s v="PEREZ"/>
    <s v="MARIN"/>
    <s v="ERVIN"/>
    <s v="CELEDON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4"/>
    <n v="46054"/>
    <s v="NO"/>
    <s v="NO"/>
    <m/>
    <m/>
    <n v="0"/>
    <m/>
    <m/>
    <s v="NO"/>
    <n v="8150490"/>
    <s v="NO"/>
    <s v="NO"/>
    <x v="0"/>
    <n v="1"/>
    <n v="271683"/>
    <n v="0.16"/>
    <n v="43500"/>
    <s v=" "/>
    <n v="0"/>
    <n v="0"/>
    <n v="1400"/>
    <n v="1400"/>
    <n v="0"/>
    <n v="46300"/>
    <s v="NINGUNA"/>
    <x v="2"/>
    <n v="1"/>
    <n v="271683"/>
    <n v="0.125"/>
    <n v="34000"/>
    <n v="0"/>
    <s v="               "/>
    <n v="0"/>
    <s v="               "/>
    <n v="0"/>
    <s v="NINGUNA"/>
    <x v="0"/>
    <n v="1"/>
    <n v="271683"/>
    <n v="0"/>
    <s v="1"/>
    <s v="CENTRO TRABAJO 24"/>
    <s v="1711001"/>
    <n v="0"/>
    <n v="1"/>
    <x v="0"/>
    <n v="271683"/>
    <n v="0.04"/>
    <n v="10900"/>
    <n v="271683"/>
    <n v="0.02"/>
    <n v="5500"/>
    <n v="0.03"/>
    <n v="8200"/>
    <n v="0"/>
    <n v="0"/>
    <n v="0"/>
    <n v="0"/>
    <s v="SI"/>
    <s v="  "/>
    <s v="                "/>
  </r>
  <r>
    <x v="0"/>
    <s v="CC"/>
    <x v="365"/>
    <x v="365"/>
    <s v="PEREZ"/>
    <s v="MARIN"/>
    <s v="ERVIN"/>
    <s v="CELEDON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7"/>
    <n v="46059"/>
    <s v="NO"/>
    <m/>
    <m/>
    <s v="NO"/>
    <m/>
    <m/>
    <s v="NO"/>
    <s v="NO"/>
    <m/>
    <m/>
    <n v="0"/>
    <m/>
    <m/>
    <s v="NO"/>
    <n v="8150490"/>
    <s v="NO"/>
    <s v="NO"/>
    <x v="0"/>
    <n v="3"/>
    <n v="680278"/>
    <n v="0.16"/>
    <n v="108900"/>
    <s v=" "/>
    <n v="0"/>
    <n v="0"/>
    <n v="3500"/>
    <n v="3500"/>
    <n v="0"/>
    <n v="115900"/>
    <s v="NINGUNA"/>
    <x v="2"/>
    <n v="3"/>
    <n v="680278"/>
    <n v="0.125"/>
    <n v="85100"/>
    <n v="0"/>
    <s v="               "/>
    <n v="0"/>
    <s v="               "/>
    <n v="0"/>
    <s v="NINGUNA"/>
    <x v="0"/>
    <n v="3"/>
    <n v="680278"/>
    <n v="0"/>
    <s v="1"/>
    <s v="CENTRO TRABAJO 24"/>
    <s v="1711001"/>
    <n v="0"/>
    <n v="3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65"/>
    <x v="365"/>
    <s v="PEREZ"/>
    <s v="MARIN"/>
    <s v="ERVIN"/>
    <s v="CELEDONIO"/>
    <s v="BOGOTA_D.E."/>
    <s v="BOGOTA"/>
    <s v="1. DEPENDIENTE"/>
    <s v="NINGUNO"/>
    <n v="164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8150490"/>
    <s v="NO"/>
    <s v="NO"/>
    <x v="0"/>
    <n v="26"/>
    <n v="15140255"/>
    <n v="0.16"/>
    <n v="2422500"/>
    <s v=" "/>
    <n v="0"/>
    <n v="0"/>
    <n v="75800"/>
    <n v="75800"/>
    <n v="0"/>
    <n v="2574100"/>
    <s v="NINGUNA"/>
    <x v="2"/>
    <n v="26"/>
    <n v="15140255"/>
    <n v="0.125"/>
    <n v="1892600"/>
    <n v="0"/>
    <s v="               "/>
    <n v="0"/>
    <s v="               "/>
    <n v="0"/>
    <s v="NINGUNA"/>
    <x v="0"/>
    <n v="26"/>
    <n v="15140255"/>
    <n v="5.2199999999999998E-3"/>
    <s v="1"/>
    <s v="CENTRO TRABAJO 24"/>
    <s v="1711001"/>
    <n v="79100"/>
    <n v="26"/>
    <x v="0"/>
    <n v="7063758"/>
    <n v="0.04"/>
    <n v="282600"/>
    <n v="7063758"/>
    <n v="0.02"/>
    <n v="141300"/>
    <n v="0.03"/>
    <n v="212000"/>
    <n v="0"/>
    <n v="0"/>
    <n v="0"/>
    <n v="0"/>
    <s v="SI"/>
    <s v="  "/>
    <s v="                "/>
  </r>
  <r>
    <x v="0"/>
    <s v="CC"/>
    <x v="366"/>
    <x v="366"/>
    <s v="TORRES"/>
    <s v="GARCIA"/>
    <s v="JUAN"/>
    <s v="FREDY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"/>
    <n v="74112"/>
    <n v="0.16"/>
    <n v="11900"/>
    <s v=" "/>
    <n v="0"/>
    <n v="0"/>
    <n v="0"/>
    <n v="0"/>
    <n v="0"/>
    <n v="11900"/>
    <s v="NINGUNA"/>
    <x v="3"/>
    <n v="1"/>
    <n v="74112"/>
    <n v="0"/>
    <n v="0"/>
    <n v="0"/>
    <s v="               "/>
    <n v="0"/>
    <s v="               "/>
    <n v="0"/>
    <s v="NINGUNA"/>
    <x v="0"/>
    <n v="1"/>
    <n v="74112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66"/>
    <x v="366"/>
    <s v="TORRES"/>
    <s v="GARCIA"/>
    <s v="JUAN"/>
    <s v="FREDY"/>
    <s v="BOGOTA_D.E."/>
    <s v="BOGOT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9"/>
    <n v="2719971"/>
    <n v="0.16"/>
    <n v="435200"/>
    <s v=" "/>
    <n v="0"/>
    <n v="0"/>
    <n v="0"/>
    <n v="0"/>
    <n v="0"/>
    <n v="435200"/>
    <s v="NINGUNA"/>
    <x v="3"/>
    <n v="29"/>
    <n v="2719971"/>
    <n v="0.04"/>
    <n v="108800"/>
    <n v="0"/>
    <s v="               "/>
    <n v="0"/>
    <s v="               "/>
    <n v="0"/>
    <s v="NINGUNA"/>
    <x v="0"/>
    <n v="29"/>
    <n v="2719971"/>
    <n v="6.9599999999999995E-2"/>
    <s v="5"/>
    <s v="CENTRO TRABAJO 24"/>
    <s v="5711001"/>
    <n v="189400"/>
    <n v="29"/>
    <x v="0"/>
    <n v="2719971"/>
    <n v="0.04"/>
    <n v="108800"/>
    <n v="2719971"/>
    <n v="0"/>
    <n v="0"/>
    <n v="0"/>
    <n v="0"/>
    <n v="0"/>
    <n v="0"/>
    <n v="0"/>
    <n v="0"/>
    <s v="SI"/>
    <s v="  "/>
    <s v="                "/>
  </r>
  <r>
    <x v="0"/>
    <s v="CC"/>
    <x v="367"/>
    <x v="367"/>
    <s v="AROCA"/>
    <s v="CONTRERAS"/>
    <s v="WILLIAM"/>
    <s v="JOSE"/>
    <s v="BOGOTA_D.E."/>
    <s v="BOGOTA"/>
    <s v="1. DEPENDIENTE"/>
    <s v="NINGUNO"/>
    <n v="45"/>
    <s v="NO"/>
    <s v="NO"/>
    <m/>
    <s v="Todos los sistemas (ARL, AFP, CCF, EPS)"/>
    <n v="46074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0"/>
    <n v="10"/>
    <n v="704394"/>
    <n v="0.16"/>
    <n v="112800"/>
    <s v=" "/>
    <n v="0"/>
    <n v="0"/>
    <n v="0"/>
    <n v="0"/>
    <n v="0"/>
    <n v="112800"/>
    <s v="NINGUNA"/>
    <x v="8"/>
    <n v="10"/>
    <n v="704394"/>
    <n v="0.04"/>
    <n v="28200"/>
    <n v="0"/>
    <s v="               "/>
    <n v="0"/>
    <s v="               "/>
    <n v="0"/>
    <s v="NINGUNA"/>
    <x v="0"/>
    <n v="10"/>
    <n v="704394"/>
    <n v="6.9599999999999995E-2"/>
    <s v="5"/>
    <s v="CENTRO TRABAJO 24"/>
    <s v="5711001"/>
    <n v="49100"/>
    <n v="10"/>
    <x v="0"/>
    <n v="704394"/>
    <n v="0.04"/>
    <n v="28200"/>
    <n v="704394"/>
    <n v="0"/>
    <n v="0"/>
    <n v="0"/>
    <n v="0"/>
    <n v="0"/>
    <n v="0"/>
    <n v="0"/>
    <n v="0"/>
    <s v="SI"/>
    <s v="  "/>
    <s v="                "/>
  </r>
  <r>
    <x v="0"/>
    <s v="CC"/>
    <x v="368"/>
    <x v="368"/>
    <s v="JIMENEZ"/>
    <s v="CARDENAS"/>
    <s v="HENRY"/>
    <s v=""/>
    <s v="BOGOTA_D.E."/>
    <s v="BOGOTA"/>
    <s v="1. DEPENDIENTE"/>
    <s v="NINGUNO"/>
    <n v="2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1"/>
    <n v="30"/>
    <n v="2099090"/>
    <n v="0.16"/>
    <n v="335900"/>
    <s v=" "/>
    <n v="0"/>
    <n v="0"/>
    <n v="0"/>
    <n v="0"/>
    <n v="0"/>
    <n v="335900"/>
    <s v="NINGUNA"/>
    <x v="2"/>
    <n v="30"/>
    <n v="2099090"/>
    <n v="0.04"/>
    <n v="84000"/>
    <n v="0"/>
    <s v="               "/>
    <n v="0"/>
    <s v="               "/>
    <n v="0"/>
    <s v="NINGUNA"/>
    <x v="0"/>
    <n v="30"/>
    <n v="2099090"/>
    <n v="6.9599999999999995E-2"/>
    <s v="5"/>
    <s v="CENTRO TRABAJO 24"/>
    <s v="5711001"/>
    <n v="146100"/>
    <n v="30"/>
    <x v="0"/>
    <n v="2099090"/>
    <n v="0.04"/>
    <n v="84000"/>
    <n v="2099090"/>
    <n v="0"/>
    <n v="0"/>
    <n v="0"/>
    <n v="0"/>
    <n v="0"/>
    <n v="0"/>
    <n v="0"/>
    <n v="0"/>
    <s v="SI"/>
    <s v="  "/>
    <s v="                "/>
  </r>
  <r>
    <x v="0"/>
    <s v="CC"/>
    <x v="369"/>
    <x v="369"/>
    <s v="CARDONA"/>
    <s v="GOMEZ"/>
    <s v="JAIME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9"/>
    <n v="46081"/>
    <s v="NO"/>
    <s v="NO"/>
    <m/>
    <m/>
    <n v="0"/>
    <m/>
    <m/>
    <s v="NO"/>
    <n v="4024292"/>
    <s v="NO"/>
    <s v="NO"/>
    <x v="0"/>
    <n v="3"/>
    <n v="402430"/>
    <n v="0.16"/>
    <n v="64400"/>
    <s v=" "/>
    <n v="0"/>
    <n v="0"/>
    <n v="0"/>
    <n v="0"/>
    <n v="0"/>
    <n v="64400"/>
    <s v="NINGUNA"/>
    <x v="10"/>
    <n v="3"/>
    <n v="402430"/>
    <n v="0.04"/>
    <n v="16100"/>
    <n v="0"/>
    <s v="               "/>
    <n v="0"/>
    <s v="               "/>
    <n v="0"/>
    <s v="NINGUNA"/>
    <x v="0"/>
    <n v="3"/>
    <n v="402430"/>
    <n v="0"/>
    <s v="5"/>
    <s v="CENTRO TRABAJO 24"/>
    <s v="5711001"/>
    <n v="0"/>
    <n v="3"/>
    <x v="0"/>
    <n v="402430"/>
    <n v="0.04"/>
    <n v="16100"/>
    <n v="402430"/>
    <n v="0"/>
    <n v="0"/>
    <n v="0"/>
    <n v="0"/>
    <n v="0"/>
    <n v="0"/>
    <n v="0"/>
    <n v="0"/>
    <s v="SI"/>
    <s v="  "/>
    <s v="                "/>
  </r>
  <r>
    <x v="0"/>
    <s v="CC"/>
    <x v="369"/>
    <x v="369"/>
    <s v="CARDONA"/>
    <s v="GOMEZ"/>
    <s v="JAIME"/>
    <s v=""/>
    <s v="BOGOTA_D.E."/>
    <s v="BOGOTA"/>
    <s v="1. DEPENDIENTE"/>
    <s v="NINGUNO"/>
    <n v="164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0"/>
    <n v="27"/>
    <n v="3756006"/>
    <n v="0.16"/>
    <n v="601000"/>
    <s v=" "/>
    <n v="0"/>
    <n v="0"/>
    <n v="0"/>
    <n v="0"/>
    <n v="0"/>
    <n v="601000"/>
    <s v="NINGUNA"/>
    <x v="10"/>
    <n v="27"/>
    <n v="3756006"/>
    <n v="0.04"/>
    <n v="150300"/>
    <n v="0"/>
    <s v="               "/>
    <n v="0"/>
    <s v="               "/>
    <n v="0"/>
    <s v="NINGUNA"/>
    <x v="0"/>
    <n v="27"/>
    <n v="3756006"/>
    <n v="6.9599999999999995E-2"/>
    <s v="5"/>
    <s v="CENTRO TRABAJO 24"/>
    <s v="5711001"/>
    <n v="261500"/>
    <n v="27"/>
    <x v="0"/>
    <n v="4428063"/>
    <n v="0.04"/>
    <n v="177200"/>
    <n v="4428063"/>
    <n v="0"/>
    <n v="0"/>
    <n v="0"/>
    <n v="0"/>
    <n v="0"/>
    <n v="0"/>
    <n v="0"/>
    <n v="0"/>
    <s v="SI"/>
    <s v="  "/>
    <s v="                "/>
  </r>
  <r>
    <x v="0"/>
    <s v="CC"/>
    <x v="370"/>
    <x v="370"/>
    <s v="MUÑOZ"/>
    <s v="MOSQUERA"/>
    <s v="CAMILO"/>
    <s v="ARTUR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41554091"/>
    <s v="SI"/>
    <s v="NO"/>
    <x v="3"/>
    <n v="30"/>
    <n v="29087864"/>
    <n v="0.16"/>
    <n v="4654100"/>
    <s v=" "/>
    <n v="0"/>
    <n v="0"/>
    <n v="145500"/>
    <n v="203700"/>
    <n v="0"/>
    <n v="5003300"/>
    <s v="NINGUNA"/>
    <x v="1"/>
    <n v="30"/>
    <n v="29087864"/>
    <n v="0.125"/>
    <n v="3636000"/>
    <n v="0"/>
    <s v="               "/>
    <n v="0"/>
    <s v="               "/>
    <n v="0"/>
    <s v="NINGUNA"/>
    <x v="0"/>
    <n v="30"/>
    <n v="29087864"/>
    <n v="6.9599999999999995E-2"/>
    <s v="5"/>
    <s v="CENTRO TRABAJO 24"/>
    <s v="5711001"/>
    <n v="2024600"/>
    <n v="30"/>
    <x v="0"/>
    <n v="29087864"/>
    <n v="0.04"/>
    <n v="1163600"/>
    <n v="29087864"/>
    <n v="0.02"/>
    <n v="581800"/>
    <n v="0.03"/>
    <n v="872700"/>
    <n v="0"/>
    <n v="0"/>
    <n v="0"/>
    <n v="0"/>
    <s v="NO"/>
    <s v="  "/>
    <s v="                "/>
  </r>
  <r>
    <x v="0"/>
    <s v="CC"/>
    <x v="371"/>
    <x v="371"/>
    <s v="SANCHEZ"/>
    <s v="SALAMANCA"/>
    <s v="JOHN"/>
    <s v="ALEJANDR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2382840"/>
    <s v="NO"/>
    <s v="NO"/>
    <x v="0"/>
    <n v="30"/>
    <n v="2382840"/>
    <n v="0.16"/>
    <n v="381300"/>
    <s v=" "/>
    <n v="0"/>
    <n v="0"/>
    <n v="0"/>
    <n v="0"/>
    <n v="0"/>
    <n v="381300"/>
    <s v="NINGUNA"/>
    <x v="9"/>
    <n v="30"/>
    <n v="2382840"/>
    <n v="0.04"/>
    <n v="95400"/>
    <n v="0"/>
    <s v="               "/>
    <n v="0"/>
    <s v="               "/>
    <n v="0"/>
    <s v="NINGUNA"/>
    <x v="0"/>
    <n v="30"/>
    <n v="2382840"/>
    <n v="5.2199999999999998E-3"/>
    <s v="1"/>
    <s v="CENTRO TRABAJO 24"/>
    <s v="1711001"/>
    <n v="12500"/>
    <n v="30"/>
    <x v="0"/>
    <n v="2382840"/>
    <n v="0.04"/>
    <n v="95400"/>
    <n v="2382840"/>
    <n v="0"/>
    <n v="0"/>
    <n v="0"/>
    <n v="0"/>
    <n v="0"/>
    <n v="0"/>
    <n v="0"/>
    <n v="0"/>
    <s v="SI"/>
    <s v="  "/>
    <s v="                "/>
  </r>
  <r>
    <x v="0"/>
    <s v="CC"/>
    <x v="372"/>
    <x v="372"/>
    <s v="MOYA"/>
    <s v="FUQUENE"/>
    <s v="JOSE"/>
    <s v="ANTONIO"/>
    <s v="CALDAS"/>
    <s v="MANIZALES"/>
    <s v="1. DEPENDIENTE"/>
    <s v="NINGUNO"/>
    <n v="63"/>
    <s v="NO"/>
    <s v="NO"/>
    <m/>
    <s v="Todos los sistemas (ARL, AFP, CCF, EPS)"/>
    <n v="46072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1201102"/>
    <s v="NO"/>
    <s v="NO"/>
    <x v="2"/>
    <n v="12"/>
    <n v="4480441"/>
    <n v="0.16"/>
    <n v="716900"/>
    <s v=" "/>
    <n v="0"/>
    <n v="0"/>
    <n v="0"/>
    <n v="0"/>
    <n v="0"/>
    <n v="716900"/>
    <s v="NINGUNA"/>
    <x v="9"/>
    <n v="12"/>
    <n v="4480441"/>
    <n v="0.04"/>
    <n v="179300"/>
    <n v="0"/>
    <s v="               "/>
    <n v="0"/>
    <s v="               "/>
    <n v="0"/>
    <s v="NINGUNA"/>
    <x v="0"/>
    <n v="12"/>
    <n v="4480441"/>
    <n v="6.9599999999999995E-2"/>
    <s v="5"/>
    <s v="CENTRO TRABAJO 11"/>
    <s v="5711001"/>
    <n v="311900"/>
    <n v="12"/>
    <x v="5"/>
    <n v="4480441"/>
    <n v="0.04"/>
    <n v="179300"/>
    <n v="4480441"/>
    <n v="0"/>
    <n v="0"/>
    <n v="0"/>
    <n v="0"/>
    <n v="0"/>
    <n v="0"/>
    <n v="0"/>
    <n v="0"/>
    <s v="SI"/>
    <s v="  "/>
    <s v="                "/>
  </r>
  <r>
    <x v="0"/>
    <s v="CC"/>
    <x v="373"/>
    <x v="373"/>
    <s v="PEÑA"/>
    <s v="RAMOS"/>
    <s v="EDGAR"/>
    <s v="FABIA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8"/>
    <n v="46059"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2"/>
    <n v="148223"/>
    <n v="0.16"/>
    <n v="23800"/>
    <s v=" "/>
    <n v="0"/>
    <n v="0"/>
    <n v="0"/>
    <n v="0"/>
    <n v="0"/>
    <n v="23800"/>
    <s v="NINGUNA"/>
    <x v="3"/>
    <n v="2"/>
    <n v="148223"/>
    <n v="0"/>
    <n v="0"/>
    <n v="0"/>
    <s v="               "/>
    <n v="0"/>
    <s v="               "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73"/>
    <x v="373"/>
    <s v="PEÑA"/>
    <s v="RAMOS"/>
    <s v="EDGAR"/>
    <s v="FABIAN"/>
    <s v="BOGOTA_D.E."/>
    <s v="BOGOTA"/>
    <s v="1. DEPENDIENTE"/>
    <s v="NINGUNO"/>
    <n v="38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5"/>
    <n v="761763"/>
    <n v="0.16"/>
    <n v="121900"/>
    <s v=" "/>
    <n v="0"/>
    <n v="0"/>
    <n v="0"/>
    <n v="0"/>
    <n v="0"/>
    <n v="121900"/>
    <s v="NINGUNA"/>
    <x v="3"/>
    <n v="5"/>
    <n v="761763"/>
    <n v="0.04"/>
    <n v="30500"/>
    <n v="0"/>
    <s v="               "/>
    <n v="0"/>
    <s v="               "/>
    <n v="0"/>
    <s v="NINGUNA"/>
    <x v="0"/>
    <n v="5"/>
    <n v="761763"/>
    <n v="6.9599999999999995E-2"/>
    <s v="5"/>
    <s v="CENTRO TRABAJO 24"/>
    <s v="5711001"/>
    <n v="53100"/>
    <n v="5"/>
    <x v="0"/>
    <n v="806594"/>
    <n v="0.04"/>
    <n v="32300"/>
    <n v="806594"/>
    <n v="0"/>
    <n v="0"/>
    <n v="0"/>
    <n v="0"/>
    <n v="0"/>
    <n v="0"/>
    <n v="0"/>
    <n v="0"/>
    <s v="SI"/>
    <s v="  "/>
    <s v="                "/>
  </r>
  <r>
    <x v="0"/>
    <s v="CC"/>
    <x v="374"/>
    <x v="374"/>
    <s v="CORDOBA"/>
    <s v="HILARION"/>
    <s v="JOHN"/>
    <s v="JAIRO"/>
    <s v="BOGOTA_D.E."/>
    <s v="BOGOT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898887"/>
    <s v="NO"/>
    <s v="NO"/>
    <x v="2"/>
    <n v="30"/>
    <n v="2157827"/>
    <n v="0.16"/>
    <n v="345300"/>
    <s v=" "/>
    <n v="0"/>
    <n v="0"/>
    <n v="0"/>
    <n v="0"/>
    <n v="0"/>
    <n v="345300"/>
    <s v="NINGUNA"/>
    <x v="10"/>
    <n v="30"/>
    <n v="2157827"/>
    <n v="0.04"/>
    <n v="86400"/>
    <n v="0"/>
    <s v="               "/>
    <n v="0"/>
    <s v="               "/>
    <n v="0"/>
    <s v="NINGUNA"/>
    <x v="0"/>
    <n v="30"/>
    <n v="2157827"/>
    <n v="2.436E-2"/>
    <s v="3"/>
    <s v="CENTRO TRABAJO 24"/>
    <s v="3711001"/>
    <n v="52600"/>
    <n v="30"/>
    <x v="0"/>
    <n v="2157827"/>
    <n v="0.04"/>
    <n v="86400"/>
    <n v="2157827"/>
    <n v="0"/>
    <n v="0"/>
    <n v="0"/>
    <n v="0"/>
    <n v="0"/>
    <n v="0"/>
    <n v="0"/>
    <n v="0"/>
    <s v="SI"/>
    <s v="  "/>
    <s v="                "/>
  </r>
  <r>
    <x v="0"/>
    <s v="CC"/>
    <x v="375"/>
    <x v="375"/>
    <s v="PULIDO"/>
    <s v="MORALES"/>
    <s v="GERMAN"/>
    <s v=""/>
    <s v="BOGOTA_D.E."/>
    <s v="BOGOTA"/>
    <s v="1. DEPENDIENTE"/>
    <s v="NINGUNO"/>
    <n v="22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8522"/>
    <s v="NO"/>
    <s v="NO"/>
    <x v="2"/>
    <n v="30"/>
    <n v="2663343"/>
    <n v="0.16"/>
    <n v="426200"/>
    <s v=" "/>
    <n v="0"/>
    <n v="0"/>
    <n v="0"/>
    <n v="0"/>
    <n v="0"/>
    <n v="426200"/>
    <s v="NINGUNA"/>
    <x v="10"/>
    <n v="30"/>
    <n v="2663343"/>
    <n v="0.04"/>
    <n v="106600"/>
    <n v="0"/>
    <s v="               "/>
    <n v="0"/>
    <s v="               "/>
    <n v="0"/>
    <s v="NINGUNA"/>
    <x v="0"/>
    <n v="30"/>
    <n v="2663343"/>
    <n v="2.436E-2"/>
    <s v="3"/>
    <s v="CENTRO TRABAJO 24"/>
    <s v="3711001"/>
    <n v="64900"/>
    <n v="30"/>
    <x v="0"/>
    <n v="2663343"/>
    <n v="0.04"/>
    <n v="106600"/>
    <n v="2663343"/>
    <n v="0"/>
    <n v="0"/>
    <n v="0"/>
    <n v="0"/>
    <n v="0"/>
    <n v="0"/>
    <n v="0"/>
    <n v="0"/>
    <s v="SI"/>
    <s v="  "/>
    <s v="                "/>
  </r>
  <r>
    <x v="0"/>
    <s v="CC"/>
    <x v="376"/>
    <x v="376"/>
    <s v="ACUÑA"/>
    <s v="CIFUENTES"/>
    <s v="GIOVANNY"/>
    <s v="ANDRES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503370"/>
    <s v="NO"/>
    <s v="NO"/>
    <x v="4"/>
    <n v="30"/>
    <n v="3659429"/>
    <n v="0.16"/>
    <n v="585600"/>
    <s v=" "/>
    <n v="0"/>
    <n v="0"/>
    <n v="0"/>
    <n v="0"/>
    <n v="0"/>
    <n v="585600"/>
    <s v="NINGUNA"/>
    <x v="10"/>
    <n v="30"/>
    <n v="3659429"/>
    <n v="0.04"/>
    <n v="146400"/>
    <n v="0"/>
    <s v="               "/>
    <n v="0"/>
    <s v="               "/>
    <n v="0"/>
    <s v="NINGUNA"/>
    <x v="0"/>
    <n v="30"/>
    <n v="3659429"/>
    <n v="6.9599999999999995E-2"/>
    <s v="5"/>
    <s v="CENTRO TRABAJO 24"/>
    <s v="5711001"/>
    <n v="254700"/>
    <n v="30"/>
    <x v="0"/>
    <n v="3659429"/>
    <n v="0.04"/>
    <n v="146400"/>
    <n v="3659429"/>
    <n v="0"/>
    <n v="0"/>
    <n v="0"/>
    <n v="0"/>
    <n v="0"/>
    <n v="0"/>
    <n v="0"/>
    <n v="0"/>
    <s v="SI"/>
    <s v="  "/>
    <s v="                "/>
  </r>
  <r>
    <x v="0"/>
    <s v="CC"/>
    <x v="377"/>
    <x v="377"/>
    <s v="MIRA"/>
    <s v="VELASQUEZ"/>
    <s v="HORACIO"/>
    <s v="DE JESUS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0"/>
    <n v="30"/>
    <n v="3630035"/>
    <n v="0.16"/>
    <n v="580900"/>
    <s v=" "/>
    <n v="0"/>
    <n v="0"/>
    <n v="0"/>
    <n v="0"/>
    <n v="0"/>
    <n v="580900"/>
    <s v="NINGUNA"/>
    <x v="0"/>
    <n v="30"/>
    <n v="3630035"/>
    <n v="0.04"/>
    <n v="145300"/>
    <n v="0"/>
    <s v="               "/>
    <n v="0"/>
    <s v="               "/>
    <n v="0"/>
    <s v="NINGUNA"/>
    <x v="0"/>
    <n v="30"/>
    <n v="3630035"/>
    <n v="6.9599999999999995E-2"/>
    <s v="5"/>
    <s v="CENTRO TRABAJO 24"/>
    <s v="5711001"/>
    <n v="252700"/>
    <n v="30"/>
    <x v="0"/>
    <n v="3630035"/>
    <n v="0.04"/>
    <n v="145300"/>
    <n v="3630035"/>
    <n v="0"/>
    <n v="0"/>
    <n v="0"/>
    <n v="0"/>
    <n v="0"/>
    <n v="0"/>
    <n v="0"/>
    <n v="0"/>
    <s v="SI"/>
    <s v="  "/>
    <s v="                "/>
  </r>
  <r>
    <x v="0"/>
    <s v="CC"/>
    <x v="378"/>
    <x v="378"/>
    <s v="DIAZ"/>
    <s v="GALINDO"/>
    <s v="ALEJANDRO"/>
    <s v=""/>
    <s v="BOGOTA_D.E."/>
    <s v="BOGOTA"/>
    <s v="1. DEPENDIENTE"/>
    <s v="NINGUNO"/>
    <n v="217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050412"/>
    <s v="NO"/>
    <s v="NO"/>
    <x v="2"/>
    <n v="30"/>
    <n v="3561703"/>
    <n v="0.16"/>
    <n v="569900"/>
    <s v=" "/>
    <n v="0"/>
    <n v="0"/>
    <n v="0"/>
    <n v="0"/>
    <n v="0"/>
    <n v="569900"/>
    <s v="NINGUNA"/>
    <x v="8"/>
    <n v="30"/>
    <n v="3561703"/>
    <n v="0.04"/>
    <n v="142500"/>
    <n v="0"/>
    <s v="               "/>
    <n v="0"/>
    <s v="               "/>
    <n v="0"/>
    <s v="NINGUNA"/>
    <x v="0"/>
    <n v="30"/>
    <n v="3561703"/>
    <n v="6.9599999999999995E-2"/>
    <s v="5"/>
    <s v="CENTRO TRABAJO 24"/>
    <s v="5711001"/>
    <n v="247900"/>
    <n v="30"/>
    <x v="0"/>
    <n v="3561703"/>
    <n v="0.04"/>
    <n v="142500"/>
    <n v="3561703"/>
    <n v="0"/>
    <n v="0"/>
    <n v="0"/>
    <n v="0"/>
    <n v="0"/>
    <n v="0"/>
    <n v="0"/>
    <n v="0"/>
    <s v="SI"/>
    <s v="  "/>
    <s v="                "/>
  </r>
  <r>
    <x v="0"/>
    <s v="CC"/>
    <x v="379"/>
    <x v="379"/>
    <s v="ANGARITA"/>
    <s v="MONTANO"/>
    <s v="OMAR"/>
    <s v="ANDRES"/>
    <s v="BOGOTA_D.E."/>
    <s v="BOGOTA"/>
    <s v="1. DEPENDIENTE"/>
    <s v="NINGUNO"/>
    <n v="229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967739"/>
    <n v="0.16"/>
    <n v="474900"/>
    <s v=" "/>
    <n v="0"/>
    <n v="0"/>
    <n v="0"/>
    <n v="0"/>
    <n v="0"/>
    <n v="474900"/>
    <s v="NINGUNA"/>
    <x v="0"/>
    <n v="30"/>
    <n v="2967739"/>
    <n v="0.04"/>
    <n v="118800"/>
    <n v="0"/>
    <s v="               "/>
    <n v="0"/>
    <s v="               "/>
    <n v="0"/>
    <s v="NINGUNA"/>
    <x v="0"/>
    <n v="30"/>
    <n v="2967739"/>
    <n v="6.9599999999999995E-2"/>
    <s v="5"/>
    <s v="CENTRO TRABAJO 24"/>
    <s v="5711001"/>
    <n v="206600"/>
    <n v="30"/>
    <x v="0"/>
    <n v="3484962"/>
    <n v="0.04"/>
    <n v="139400"/>
    <n v="3484962"/>
    <n v="0"/>
    <n v="0"/>
    <n v="0"/>
    <n v="0"/>
    <n v="0"/>
    <n v="0"/>
    <n v="0"/>
    <n v="0"/>
    <s v="SI"/>
    <s v="  "/>
    <s v="                "/>
  </r>
  <r>
    <x v="0"/>
    <s v="CC"/>
    <x v="380"/>
    <x v="380"/>
    <s v="GARCIA"/>
    <s v="MUJICA"/>
    <s v="EDY"/>
    <s v="YONATAN"/>
    <s v="BOGOTA_D.E."/>
    <s v="BOGOTA"/>
    <s v="1. DEPENDIENTE"/>
    <s v="NINGUNO"/>
    <n v="22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0"/>
    <n v="30"/>
    <n v="4129279"/>
    <n v="0.16"/>
    <n v="660700"/>
    <s v=" "/>
    <n v="0"/>
    <n v="0"/>
    <n v="0"/>
    <n v="0"/>
    <n v="0"/>
    <n v="660700"/>
    <s v="NINGUNA"/>
    <x v="0"/>
    <n v="30"/>
    <n v="4129279"/>
    <n v="0.04"/>
    <n v="165200"/>
    <n v="0"/>
    <s v="               "/>
    <n v="0"/>
    <s v="               "/>
    <n v="0"/>
    <s v="NINGUNA"/>
    <x v="0"/>
    <n v="30"/>
    <n v="4129279"/>
    <n v="6.9599999999999995E-2"/>
    <s v="5"/>
    <s v="CENTRO TRABAJO 24"/>
    <s v="5711001"/>
    <n v="287400"/>
    <n v="30"/>
    <x v="0"/>
    <n v="4129279"/>
    <n v="0.04"/>
    <n v="165200"/>
    <n v="4129279"/>
    <n v="0"/>
    <n v="0"/>
    <n v="0"/>
    <n v="0"/>
    <n v="0"/>
    <n v="0"/>
    <n v="0"/>
    <n v="0"/>
    <s v="SI"/>
    <s v="  "/>
    <s v="                "/>
  </r>
  <r>
    <x v="0"/>
    <s v="CC"/>
    <x v="381"/>
    <x v="381"/>
    <s v="SANTACRUZ"/>
    <s v="RODRIGUEZ"/>
    <s v="WILMAR"/>
    <s v="GIOVANNY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7"/>
    <n v="46058"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2"/>
    <n v="148223"/>
    <n v="0.16"/>
    <n v="23800"/>
    <s v=" "/>
    <n v="0"/>
    <n v="0"/>
    <n v="0"/>
    <n v="0"/>
    <n v="0"/>
    <n v="23800"/>
    <s v="NINGUNA"/>
    <x v="10"/>
    <n v="2"/>
    <n v="148223"/>
    <n v="0"/>
    <n v="0"/>
    <n v="0"/>
    <s v="               "/>
    <n v="0"/>
    <s v="               "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81"/>
    <x v="381"/>
    <s v="SANTACRUZ"/>
    <s v="RODRIGUEZ"/>
    <s v="WILMAR"/>
    <s v="GIOVANNY"/>
    <s v="BOGOTA_D.E."/>
    <s v="BOGOTA"/>
    <s v="1. DEPENDIENTE"/>
    <s v="NINGUNO"/>
    <n v="159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19"/>
    <n v="2616953"/>
    <n v="0.16"/>
    <n v="418800"/>
    <s v=" "/>
    <n v="0"/>
    <n v="0"/>
    <n v="0"/>
    <n v="0"/>
    <n v="0"/>
    <n v="418800"/>
    <s v="NINGUNA"/>
    <x v="10"/>
    <n v="19"/>
    <n v="2616953"/>
    <n v="0.04"/>
    <n v="104700"/>
    <n v="0"/>
    <s v="               "/>
    <n v="0"/>
    <s v="               "/>
    <n v="0"/>
    <s v="NINGUNA"/>
    <x v="0"/>
    <n v="19"/>
    <n v="2616953"/>
    <n v="6.9599999999999995E-2"/>
    <s v="5"/>
    <s v="CENTRO TRABAJO 24"/>
    <s v="5711001"/>
    <n v="182200"/>
    <n v="19"/>
    <x v="0"/>
    <n v="2813686"/>
    <n v="0.04"/>
    <n v="112600"/>
    <n v="2813686"/>
    <n v="0"/>
    <n v="0"/>
    <n v="0"/>
    <n v="0"/>
    <n v="0"/>
    <n v="0"/>
    <n v="0"/>
    <n v="0"/>
    <s v="SI"/>
    <s v="  "/>
    <s v="                "/>
  </r>
  <r>
    <x v="0"/>
    <s v="CC"/>
    <x v="382"/>
    <x v="382"/>
    <s v="MUÑOZ"/>
    <s v="SARMIENTO"/>
    <s v="ALVARO"/>
    <s v="JAVIER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8352209"/>
    <s v="NO"/>
    <s v="NO"/>
    <x v="4"/>
    <n v="30"/>
    <n v="16487612"/>
    <n v="0.16"/>
    <n v="2638100"/>
    <s v=" "/>
    <n v="0"/>
    <n v="0"/>
    <n v="82500"/>
    <n v="82500"/>
    <n v="0"/>
    <n v="2803100"/>
    <s v="NINGUNA"/>
    <x v="2"/>
    <n v="30"/>
    <n v="16487612"/>
    <n v="0.125"/>
    <n v="2061000"/>
    <n v="0"/>
    <s v="               "/>
    <n v="0"/>
    <s v="               "/>
    <n v="0"/>
    <s v="NINGUNA"/>
    <x v="0"/>
    <n v="30"/>
    <n v="16487612"/>
    <n v="5.2199999999999998E-3"/>
    <s v="1"/>
    <s v="CENTRO TRABAJO 24"/>
    <s v="1711001"/>
    <n v="86100"/>
    <n v="30"/>
    <x v="0"/>
    <n v="8352209"/>
    <n v="0.04"/>
    <n v="334100"/>
    <n v="8352209"/>
    <n v="0.02"/>
    <n v="167100"/>
    <n v="0.03"/>
    <n v="250600"/>
    <n v="0"/>
    <n v="0"/>
    <n v="0"/>
    <n v="0"/>
    <s v="SI"/>
    <s v="  "/>
    <s v="                "/>
  </r>
  <r>
    <x v="0"/>
    <s v="CC"/>
    <x v="383"/>
    <x v="383"/>
    <s v="CANTOR"/>
    <s v="CHIA"/>
    <s v="IVAN"/>
    <s v="GIOVANNI"/>
    <s v="BOGOTA_D.E."/>
    <s v="BOGOTA"/>
    <s v="1. DEPENDIENTE"/>
    <s v="NINGUNO"/>
    <n v="25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4"/>
    <n v="30"/>
    <n v="2771406"/>
    <n v="0.16"/>
    <n v="443500"/>
    <s v=" "/>
    <n v="0"/>
    <n v="0"/>
    <n v="0"/>
    <n v="0"/>
    <n v="0"/>
    <n v="443500"/>
    <s v="NINGUNA"/>
    <x v="8"/>
    <n v="30"/>
    <n v="2771406"/>
    <n v="0.04"/>
    <n v="110900"/>
    <n v="0"/>
    <s v="               "/>
    <n v="0"/>
    <s v="               "/>
    <n v="0"/>
    <s v="NINGUNA"/>
    <x v="0"/>
    <n v="30"/>
    <n v="2771406"/>
    <n v="6.9599999999999995E-2"/>
    <s v="5"/>
    <s v="CENTRO TRABAJO 24"/>
    <s v="5711001"/>
    <n v="192900"/>
    <n v="30"/>
    <x v="0"/>
    <n v="2771406"/>
    <n v="0.04"/>
    <n v="110900"/>
    <n v="2771406"/>
    <n v="0"/>
    <n v="0"/>
    <n v="0"/>
    <n v="0"/>
    <n v="0"/>
    <n v="0"/>
    <n v="0"/>
    <n v="0"/>
    <s v="SI"/>
    <s v="  "/>
    <s v="                "/>
  </r>
  <r>
    <x v="0"/>
    <s v="CC"/>
    <x v="384"/>
    <x v="384"/>
    <s v="GUTIERREZ"/>
    <s v="PIZA"/>
    <s v="JAVIER"/>
    <s v=""/>
    <s v="BOGOTA_D.E."/>
    <s v="BOGOTA"/>
    <s v="1. DEPENDIENTE"/>
    <s v="NINGUNO"/>
    <n v="72"/>
    <s v="NO"/>
    <s v="NO"/>
    <m/>
    <s v="Todos los sistemas (ARL, AFP, CCF, EPS)"/>
    <n v="46071"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7262840"/>
    <s v="NO"/>
    <s v="SI"/>
    <x v="2"/>
    <n v="13"/>
    <n v="3147231"/>
    <n v="0.16"/>
    <n v="503600"/>
    <s v=" "/>
    <n v="0"/>
    <n v="0"/>
    <n v="0"/>
    <n v="0"/>
    <n v="0"/>
    <n v="503600"/>
    <s v="NINGUNA"/>
    <x v="2"/>
    <n v="13"/>
    <n v="3147231"/>
    <n v="0.04"/>
    <n v="125900"/>
    <n v="0"/>
    <s v="               "/>
    <n v="0"/>
    <s v="               "/>
    <n v="0"/>
    <s v="NINGUNA"/>
    <x v="0"/>
    <n v="13"/>
    <n v="3147231"/>
    <n v="6.9599999999999995E-2"/>
    <s v="5"/>
    <s v="CENTRO TRABAJO 24"/>
    <s v="5711001"/>
    <n v="219100"/>
    <n v="13"/>
    <x v="0"/>
    <n v="3147231"/>
    <n v="0.04"/>
    <n v="125900"/>
    <n v="3147231"/>
    <n v="0"/>
    <n v="0"/>
    <n v="0"/>
    <n v="0"/>
    <n v="0"/>
    <n v="0"/>
    <n v="0"/>
    <n v="0"/>
    <s v="SI"/>
    <s v="  "/>
    <s v="                "/>
  </r>
  <r>
    <x v="0"/>
    <s v="CC"/>
    <x v="385"/>
    <x v="385"/>
    <s v="RUIZ"/>
    <s v="VEGA"/>
    <s v="SERGIO"/>
    <s v="ARTUR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1"/>
    <n v="30"/>
    <n v="4024292"/>
    <n v="0.16"/>
    <n v="643900"/>
    <s v=" "/>
    <n v="0"/>
    <n v="0"/>
    <n v="0"/>
    <n v="0"/>
    <n v="0"/>
    <n v="643900"/>
    <s v="NINGUNA"/>
    <x v="8"/>
    <n v="30"/>
    <n v="4024292"/>
    <n v="0.04"/>
    <n v="161000"/>
    <n v="0"/>
    <s v="               "/>
    <n v="0"/>
    <s v="               "/>
    <n v="0"/>
    <s v="NINGUNA"/>
    <x v="0"/>
    <n v="30"/>
    <n v="4024292"/>
    <n v="6.9599999999999995E-2"/>
    <s v="5"/>
    <s v="CENTRO TRABAJO 24"/>
    <s v="5711001"/>
    <n v="280100"/>
    <n v="30"/>
    <x v="0"/>
    <n v="4024292"/>
    <n v="0.04"/>
    <n v="161000"/>
    <n v="4024292"/>
    <n v="0"/>
    <n v="0"/>
    <n v="0"/>
    <n v="0"/>
    <n v="0"/>
    <n v="0"/>
    <n v="0"/>
    <n v="0"/>
    <s v="SI"/>
    <s v="  "/>
    <s v="                "/>
  </r>
  <r>
    <x v="0"/>
    <s v="CC"/>
    <x v="386"/>
    <x v="386"/>
    <s v="ESPINOSA"/>
    <s v="VERA"/>
    <s v="JORGE"/>
    <s v="ARMAN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0"/>
    <n v="30"/>
    <n v="5209465"/>
    <n v="0.16"/>
    <n v="833600"/>
    <s v=" "/>
    <n v="0"/>
    <n v="0"/>
    <n v="0"/>
    <n v="0"/>
    <n v="0"/>
    <n v="833600"/>
    <s v="NINGUNA"/>
    <x v="2"/>
    <n v="30"/>
    <n v="5209465"/>
    <n v="0.04"/>
    <n v="208400"/>
    <n v="0"/>
    <s v="               "/>
    <n v="0"/>
    <s v="               "/>
    <n v="0"/>
    <s v="NINGUNA"/>
    <x v="0"/>
    <n v="30"/>
    <n v="5209465"/>
    <n v="5.2199999999999998E-3"/>
    <s v="1"/>
    <s v="CENTRO TRABAJO 24"/>
    <s v="1711001"/>
    <n v="27200"/>
    <n v="30"/>
    <x v="0"/>
    <n v="5209465"/>
    <n v="0.04"/>
    <n v="208400"/>
    <n v="5209465"/>
    <n v="0"/>
    <n v="0"/>
    <n v="0"/>
    <n v="0"/>
    <n v="0"/>
    <n v="0"/>
    <n v="0"/>
    <n v="0"/>
    <s v="SI"/>
    <s v="  "/>
    <s v="                "/>
  </r>
  <r>
    <x v="0"/>
    <s v="CC"/>
    <x v="387"/>
    <x v="387"/>
    <s v="GUZMAN"/>
    <s v="GARAIS"/>
    <s v="GOHAMIR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2223339"/>
    <s v="NO"/>
    <s v="SI"/>
    <x v="0"/>
    <n v="1"/>
    <n v="74112"/>
    <n v="0.16"/>
    <n v="11900"/>
    <s v=" "/>
    <n v="0"/>
    <n v="0"/>
    <n v="0"/>
    <n v="0"/>
    <n v="0"/>
    <n v="11900"/>
    <s v="NINGUNA"/>
    <x v="0"/>
    <n v="1"/>
    <n v="74112"/>
    <n v="0.04"/>
    <n v="3000"/>
    <n v="0"/>
    <s v="               "/>
    <n v="0"/>
    <s v="               "/>
    <n v="0"/>
    <s v="NINGUNA"/>
    <x v="0"/>
    <n v="1"/>
    <n v="74112"/>
    <n v="0"/>
    <s v="5"/>
    <s v="CENTRO TRABAJO 30"/>
    <s v="5711001"/>
    <n v="0"/>
    <n v="1"/>
    <x v="1"/>
    <n v="74112"/>
    <n v="0.04"/>
    <n v="3000"/>
    <n v="74112"/>
    <n v="0"/>
    <n v="0"/>
    <n v="0"/>
    <n v="0"/>
    <n v="0"/>
    <n v="0"/>
    <n v="0"/>
    <n v="0"/>
    <s v="SI"/>
    <s v="  "/>
    <s v="                "/>
  </r>
  <r>
    <x v="0"/>
    <s v="CC"/>
    <x v="387"/>
    <x v="387"/>
    <s v="GUZMAN"/>
    <s v="GARAIS"/>
    <s v="GOHAMIR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6"/>
    <n v="46056"/>
    <s v="NO"/>
    <m/>
    <m/>
    <s v="NO"/>
    <m/>
    <m/>
    <s v="NO"/>
    <s v="NO"/>
    <m/>
    <m/>
    <n v="0"/>
    <m/>
    <m/>
    <s v="NO"/>
    <n v="2223339"/>
    <s v="NO"/>
    <s v="SI"/>
    <x v="0"/>
    <n v="1"/>
    <n v="87005"/>
    <n v="0.16"/>
    <n v="14000"/>
    <s v=" "/>
    <n v="0"/>
    <n v="0"/>
    <n v="0"/>
    <n v="0"/>
    <n v="0"/>
    <n v="14000"/>
    <s v="NINGUNA"/>
    <x v="0"/>
    <n v="1"/>
    <n v="87005"/>
    <n v="0.04"/>
    <n v="3500"/>
    <n v="0"/>
    <s v="               "/>
    <n v="0"/>
    <s v="               "/>
    <n v="0"/>
    <s v="NINGUNA"/>
    <x v="0"/>
    <n v="1"/>
    <n v="87005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87"/>
    <x v="387"/>
    <s v="GUZMAN"/>
    <s v="GARAIS"/>
    <s v="GOHAMIR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2223339"/>
    <s v="NO"/>
    <s v="SI"/>
    <x v="0"/>
    <n v="1"/>
    <n v="74112"/>
    <n v="0.16"/>
    <n v="11900"/>
    <s v=" "/>
    <n v="0"/>
    <n v="0"/>
    <n v="0"/>
    <n v="0"/>
    <n v="0"/>
    <n v="11900"/>
    <s v="NINGUNA"/>
    <x v="0"/>
    <n v="1"/>
    <n v="74112"/>
    <n v="0"/>
    <n v="0"/>
    <n v="0"/>
    <s v="               "/>
    <n v="0"/>
    <s v="               "/>
    <n v="0"/>
    <s v="NINGUNA"/>
    <x v="0"/>
    <n v="1"/>
    <n v="74112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87"/>
    <x v="387"/>
    <s v="GUZMAN"/>
    <s v="GARAIS"/>
    <s v="GOHAMIR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6"/>
    <n v="46080"/>
    <s v="NO"/>
    <s v="NO"/>
    <m/>
    <m/>
    <n v="0"/>
    <m/>
    <m/>
    <s v="NO"/>
    <n v="2223339"/>
    <s v="NO"/>
    <s v="SI"/>
    <x v="0"/>
    <n v="5"/>
    <n v="370557"/>
    <n v="0.16"/>
    <n v="59300"/>
    <s v=" "/>
    <n v="0"/>
    <n v="0"/>
    <n v="0"/>
    <n v="0"/>
    <n v="0"/>
    <n v="59300"/>
    <s v="NINGUNA"/>
    <x v="0"/>
    <n v="5"/>
    <n v="370557"/>
    <n v="0.04"/>
    <n v="14900"/>
    <n v="0"/>
    <s v="               "/>
    <n v="0"/>
    <s v="               "/>
    <n v="0"/>
    <s v="NINGUNA"/>
    <x v="0"/>
    <n v="5"/>
    <n v="370557"/>
    <n v="0"/>
    <s v="5"/>
    <s v="CENTRO TRABAJO 30"/>
    <s v="5711001"/>
    <n v="0"/>
    <n v="5"/>
    <x v="1"/>
    <n v="370557"/>
    <n v="0.04"/>
    <n v="14900"/>
    <n v="370557"/>
    <n v="0"/>
    <n v="0"/>
    <n v="0"/>
    <n v="0"/>
    <n v="0"/>
    <n v="0"/>
    <n v="0"/>
    <n v="0"/>
    <s v="SI"/>
    <s v="  "/>
    <s v="                "/>
  </r>
  <r>
    <x v="0"/>
    <s v="CC"/>
    <x v="387"/>
    <x v="387"/>
    <s v="GUZMAN"/>
    <s v="GARAIS"/>
    <s v="GOHAMIR"/>
    <s v="DAVID"/>
    <s v="LA_GUAJIRA"/>
    <s v="RIOHACHA"/>
    <s v="1. DEPENDIENTE"/>
    <s v="NINGUNO"/>
    <n v="145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SI"/>
    <x v="0"/>
    <n v="22"/>
    <n v="3548197"/>
    <n v="0.16"/>
    <n v="567800"/>
    <s v=" "/>
    <n v="0"/>
    <n v="0"/>
    <n v="0"/>
    <n v="0"/>
    <n v="0"/>
    <n v="567800"/>
    <s v="NINGUNA"/>
    <x v="0"/>
    <n v="22"/>
    <n v="3548197"/>
    <n v="0.04"/>
    <n v="142000"/>
    <n v="0"/>
    <s v="               "/>
    <n v="0"/>
    <s v="               "/>
    <n v="0"/>
    <s v="NINGUNA"/>
    <x v="0"/>
    <n v="22"/>
    <n v="3548197"/>
    <n v="6.9599999999999995E-2"/>
    <s v="5"/>
    <s v="CENTRO TRABAJO 30"/>
    <s v="5711001"/>
    <n v="247000"/>
    <n v="22"/>
    <x v="1"/>
    <n v="5256886"/>
    <n v="0.04"/>
    <n v="210300"/>
    <n v="5256886"/>
    <n v="0"/>
    <n v="0"/>
    <n v="0"/>
    <n v="0"/>
    <n v="0"/>
    <n v="0"/>
    <n v="0"/>
    <n v="0"/>
    <s v="SI"/>
    <s v="  "/>
    <s v="                "/>
  </r>
  <r>
    <x v="0"/>
    <s v="CC"/>
    <x v="388"/>
    <x v="388"/>
    <s v="CONDE"/>
    <s v="RODRIGUEZ"/>
    <s v="GUSTAVO"/>
    <s v="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3335771"/>
    <n v="0.16"/>
    <n v="533800"/>
    <s v=" "/>
    <n v="0"/>
    <n v="0"/>
    <n v="0"/>
    <n v="0"/>
    <n v="0"/>
    <n v="533800"/>
    <s v="NINGUNA"/>
    <x v="3"/>
    <n v="30"/>
    <n v="3335771"/>
    <n v="0.04"/>
    <n v="133500"/>
    <n v="0"/>
    <s v="               "/>
    <n v="0"/>
    <s v="               "/>
    <n v="0"/>
    <s v="NINGUNA"/>
    <x v="0"/>
    <n v="30"/>
    <n v="3335771"/>
    <n v="6.9599999999999995E-2"/>
    <s v="5"/>
    <s v="CENTRO TRABAJO 24"/>
    <s v="5711001"/>
    <n v="232200"/>
    <n v="30"/>
    <x v="0"/>
    <n v="2949702"/>
    <n v="0.04"/>
    <n v="118000"/>
    <n v="2949702"/>
    <n v="0"/>
    <n v="0"/>
    <n v="0"/>
    <n v="0"/>
    <n v="0"/>
    <n v="0"/>
    <n v="0"/>
    <n v="0"/>
    <s v="SI"/>
    <s v="  "/>
    <s v="                "/>
  </r>
  <r>
    <x v="0"/>
    <s v="CC"/>
    <x v="389"/>
    <x v="389"/>
    <s v="MENCO"/>
    <s v="TABORDA"/>
    <s v="ALEXANDER"/>
    <s v="RICARD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0"/>
    <n v="30"/>
    <n v="3427729"/>
    <n v="0.16"/>
    <n v="548500"/>
    <s v=" "/>
    <n v="0"/>
    <n v="0"/>
    <n v="0"/>
    <n v="0"/>
    <n v="0"/>
    <n v="548500"/>
    <s v="NINGUNA"/>
    <x v="3"/>
    <n v="30"/>
    <n v="3427729"/>
    <n v="0.04"/>
    <n v="137200"/>
    <n v="0"/>
    <s v="               "/>
    <n v="0"/>
    <s v="               "/>
    <n v="0"/>
    <s v="NINGUNA"/>
    <x v="0"/>
    <n v="30"/>
    <n v="3427729"/>
    <n v="6.9599999999999995E-2"/>
    <s v="5"/>
    <s v="CENTRO TRABAJO 30"/>
    <s v="5711001"/>
    <n v="238600"/>
    <n v="30"/>
    <x v="1"/>
    <n v="3427729"/>
    <n v="0.04"/>
    <n v="137200"/>
    <n v="3427729"/>
    <n v="0"/>
    <n v="0"/>
    <n v="0"/>
    <n v="0"/>
    <n v="0"/>
    <n v="0"/>
    <n v="0"/>
    <n v="0"/>
    <s v="SI"/>
    <s v="  "/>
    <s v="                "/>
  </r>
  <r>
    <x v="0"/>
    <s v="CC"/>
    <x v="390"/>
    <x v="390"/>
    <s v="BOLAÑO"/>
    <s v="BENJUMEA"/>
    <s v="JORGE"/>
    <s v="ENRIQUE"/>
    <s v="BOGOTA_D.E."/>
    <s v="BOGOTA"/>
    <s v="1. DEPENDIENTE"/>
    <s v="NINGUNO"/>
    <n v="175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1"/>
    <n v="3062549"/>
    <n v="0.16"/>
    <n v="490100"/>
    <s v=" "/>
    <n v="0"/>
    <n v="0"/>
    <n v="0"/>
    <n v="0"/>
    <n v="0"/>
    <n v="490100"/>
    <s v="NINGUNA"/>
    <x v="2"/>
    <n v="21"/>
    <n v="3062549"/>
    <n v="0.04"/>
    <n v="122600"/>
    <n v="0"/>
    <s v="               "/>
    <n v="0"/>
    <s v="               "/>
    <n v="0"/>
    <s v="NINGUNA"/>
    <x v="0"/>
    <n v="21"/>
    <n v="3062549"/>
    <n v="6.9599999999999995E-2"/>
    <s v="5"/>
    <s v="CENTRO TRABAJO 24"/>
    <s v="5711001"/>
    <n v="213200"/>
    <n v="21"/>
    <x v="0"/>
    <n v="3711045"/>
    <n v="0.04"/>
    <n v="148500"/>
    <n v="3711045"/>
    <n v="0"/>
    <n v="0"/>
    <n v="0"/>
    <n v="0"/>
    <n v="0"/>
    <n v="0"/>
    <n v="0"/>
    <n v="0"/>
    <s v="SI"/>
    <s v="  "/>
    <s v="                "/>
  </r>
  <r>
    <x v="0"/>
    <s v="CC"/>
    <x v="391"/>
    <x v="391"/>
    <s v="SANCHEZ"/>
    <s v="RADA"/>
    <s v="BILL"/>
    <s v="MOISES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223339"/>
    <s v="NO"/>
    <s v="NO"/>
    <x v="0"/>
    <n v="5"/>
    <n v="370557"/>
    <n v="0.16"/>
    <n v="59300"/>
    <s v=" "/>
    <n v="0"/>
    <n v="0"/>
    <n v="0"/>
    <n v="0"/>
    <n v="0"/>
    <n v="59300"/>
    <s v="NINGUNA"/>
    <x v="3"/>
    <n v="5"/>
    <n v="370557"/>
    <n v="0.04"/>
    <n v="14900"/>
    <n v="0"/>
    <s v="               "/>
    <n v="0"/>
    <s v="               "/>
    <n v="0"/>
    <s v="NINGUNA"/>
    <x v="0"/>
    <n v="5"/>
    <n v="370557"/>
    <n v="0"/>
    <s v="5"/>
    <s v="CENTRO TRABAJO 30"/>
    <s v="5711001"/>
    <n v="0"/>
    <n v="5"/>
    <x v="1"/>
    <n v="370557"/>
    <n v="0.04"/>
    <n v="14900"/>
    <n v="370557"/>
    <n v="0"/>
    <n v="0"/>
    <n v="0"/>
    <n v="0"/>
    <n v="0"/>
    <n v="0"/>
    <n v="0"/>
    <n v="0"/>
    <s v="SI"/>
    <s v="  "/>
    <s v="                "/>
  </r>
  <r>
    <x v="0"/>
    <s v="CC"/>
    <x v="391"/>
    <x v="391"/>
    <s v="SANCHEZ"/>
    <s v="RADA"/>
    <s v="BILL"/>
    <s v="MOISES"/>
    <s v="LA_GUAJIRA"/>
    <s v="RIOHACHA"/>
    <s v="1. DEPENDIENTE"/>
    <s v="NINGUNO"/>
    <n v="15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5"/>
    <n v="2234402"/>
    <n v="0.16"/>
    <n v="357600"/>
    <s v=" "/>
    <n v="0"/>
    <n v="0"/>
    <n v="0"/>
    <n v="0"/>
    <n v="0"/>
    <n v="357600"/>
    <s v="NINGUNA"/>
    <x v="3"/>
    <n v="25"/>
    <n v="2234402"/>
    <n v="0.04"/>
    <n v="89400"/>
    <n v="0"/>
    <s v="               "/>
    <n v="0"/>
    <s v="               "/>
    <n v="0"/>
    <s v="NINGUNA"/>
    <x v="0"/>
    <n v="25"/>
    <n v="2234402"/>
    <n v="6.9599999999999995E-2"/>
    <s v="5"/>
    <s v="CENTRO TRABAJO 30"/>
    <s v="5711001"/>
    <n v="155600"/>
    <n v="25"/>
    <x v="1"/>
    <n v="2156471"/>
    <n v="0.04"/>
    <n v="86300"/>
    <n v="2156471"/>
    <n v="0"/>
    <n v="0"/>
    <n v="0"/>
    <n v="0"/>
    <n v="0"/>
    <n v="0"/>
    <n v="0"/>
    <n v="0"/>
    <s v="SI"/>
    <s v="  "/>
    <s v="                "/>
  </r>
  <r>
    <x v="0"/>
    <s v="CC"/>
    <x v="392"/>
    <x v="392"/>
    <s v="OROZCO"/>
    <s v="RIVERO"/>
    <s v="JOSE"/>
    <s v="LUIS"/>
    <s v="BOGOTA_D.E."/>
    <s v="BOGOTA"/>
    <s v="1. DEPENDIENTE"/>
    <s v="NINGUNO"/>
    <n v="68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7"/>
    <n v="1808619"/>
    <n v="0.16"/>
    <n v="289400"/>
    <s v=" "/>
    <n v="0"/>
    <n v="0"/>
    <n v="0"/>
    <n v="0"/>
    <n v="0"/>
    <n v="289400"/>
    <s v="NINGUNA"/>
    <x v="0"/>
    <n v="7"/>
    <n v="1808619"/>
    <n v="0.04"/>
    <n v="72400"/>
    <n v="0"/>
    <s v="               "/>
    <n v="0"/>
    <s v="               "/>
    <n v="0"/>
    <s v="NINGUNA"/>
    <x v="0"/>
    <n v="7"/>
    <n v="1808619"/>
    <n v="6.9599999999999995E-2"/>
    <s v="5"/>
    <s v="CENTRO TRABAJO 24"/>
    <s v="5711001"/>
    <n v="125900"/>
    <n v="7"/>
    <x v="0"/>
    <n v="2878789"/>
    <n v="0.04"/>
    <n v="115200"/>
    <n v="2878789"/>
    <n v="0"/>
    <n v="0"/>
    <n v="0"/>
    <n v="0"/>
    <n v="0"/>
    <n v="0"/>
    <n v="0"/>
    <n v="0"/>
    <s v="SI"/>
    <s v="  "/>
    <s v="                "/>
  </r>
  <r>
    <x v="0"/>
    <s v="CC"/>
    <x v="393"/>
    <x v="393"/>
    <s v="AREVALO"/>
    <s v="MEJIA"/>
    <s v="ALDERSON"/>
    <s v="ENRIQU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4"/>
    <n v="46054"/>
    <s v="NO"/>
    <m/>
    <m/>
    <s v="NO"/>
    <m/>
    <m/>
    <s v="NO"/>
    <s v="NO"/>
    <m/>
    <m/>
    <n v="0"/>
    <m/>
    <m/>
    <s v="NO"/>
    <n v="3140434"/>
    <s v="NO"/>
    <s v="NO"/>
    <x v="0"/>
    <n v="1"/>
    <n v="99923"/>
    <n v="0.16"/>
    <n v="16000"/>
    <s v=" "/>
    <n v="0"/>
    <n v="0"/>
    <n v="0"/>
    <n v="0"/>
    <n v="0"/>
    <n v="16000"/>
    <s v="NINGUNA"/>
    <x v="2"/>
    <n v="1"/>
    <n v="99923"/>
    <n v="0.04"/>
    <n v="4000"/>
    <n v="0"/>
    <s v="               "/>
    <n v="0"/>
    <s v="               "/>
    <n v="0"/>
    <s v="NINGUNA"/>
    <x v="0"/>
    <n v="1"/>
    <n v="99923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93"/>
    <x v="393"/>
    <s v="AREVALO"/>
    <s v="MEJIA"/>
    <s v="ALDERSON"/>
    <s v="ENRIQU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3140434"/>
    <s v="NO"/>
    <s v="NO"/>
    <x v="0"/>
    <n v="7"/>
    <n v="732768"/>
    <n v="0.16"/>
    <n v="117300"/>
    <s v=" "/>
    <n v="0"/>
    <n v="0"/>
    <n v="0"/>
    <n v="0"/>
    <n v="0"/>
    <n v="117300"/>
    <s v="NINGUNA"/>
    <x v="2"/>
    <n v="7"/>
    <n v="732768"/>
    <n v="0.04"/>
    <n v="29400"/>
    <n v="0"/>
    <s v="               "/>
    <n v="0"/>
    <s v="               "/>
    <n v="0"/>
    <s v="NINGUNA"/>
    <x v="0"/>
    <n v="7"/>
    <n v="732768"/>
    <n v="0"/>
    <s v="5"/>
    <s v="CENTRO TRABAJO 30"/>
    <s v="5711001"/>
    <n v="0"/>
    <n v="7"/>
    <x v="1"/>
    <n v="732768"/>
    <n v="0.04"/>
    <n v="29400"/>
    <n v="732768"/>
    <n v="0"/>
    <n v="0"/>
    <n v="0"/>
    <n v="0"/>
    <n v="0"/>
    <n v="0"/>
    <n v="0"/>
    <n v="0"/>
    <s v="SI"/>
    <s v="  "/>
    <s v="                "/>
  </r>
  <r>
    <x v="0"/>
    <s v="CC"/>
    <x v="393"/>
    <x v="393"/>
    <s v="AREVALO"/>
    <s v="MEJIA"/>
    <s v="ALDERSON"/>
    <s v="ENRIQUE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3140434"/>
    <s v="NO"/>
    <s v="NO"/>
    <x v="0"/>
    <n v="22"/>
    <n v="2302985"/>
    <n v="0.16"/>
    <n v="368500"/>
    <s v=" "/>
    <n v="0"/>
    <n v="0"/>
    <n v="0"/>
    <n v="0"/>
    <n v="0"/>
    <n v="368500"/>
    <s v="NINGUNA"/>
    <x v="2"/>
    <n v="22"/>
    <n v="2302985"/>
    <n v="0.04"/>
    <n v="92200"/>
    <n v="0"/>
    <s v="               "/>
    <n v="0"/>
    <s v="               "/>
    <n v="0"/>
    <s v="NINGUNA"/>
    <x v="0"/>
    <n v="22"/>
    <n v="2302985"/>
    <n v="6.9599999999999995E-2"/>
    <s v="5"/>
    <s v="CENTRO TRABAJO 30"/>
    <s v="5711001"/>
    <n v="160300"/>
    <n v="22"/>
    <x v="1"/>
    <n v="2302985"/>
    <n v="0.04"/>
    <n v="92200"/>
    <n v="2302985"/>
    <n v="0"/>
    <n v="0"/>
    <n v="0"/>
    <n v="0"/>
    <n v="0"/>
    <n v="0"/>
    <n v="0"/>
    <n v="0"/>
    <s v="SI"/>
    <s v="  "/>
    <s v="                "/>
  </r>
  <r>
    <x v="0"/>
    <s v="CC"/>
    <x v="394"/>
    <x v="394"/>
    <s v="CERVERA"/>
    <s v="ALVAREZ"/>
    <s v="DARWIN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3"/>
    <n v="46054"/>
    <n v="46056"/>
    <s v="NO"/>
    <n v="1785595"/>
    <s v="NO"/>
    <s v="NO"/>
    <x v="0"/>
    <n v="3"/>
    <n v="258303"/>
    <n v="0.16"/>
    <n v="41400"/>
    <s v=" "/>
    <n v="0"/>
    <n v="0"/>
    <n v="0"/>
    <n v="0"/>
    <n v="0"/>
    <n v="41400"/>
    <s v="NINGUNA"/>
    <x v="10"/>
    <n v="3"/>
    <n v="258303"/>
    <n v="0.04"/>
    <n v="10400"/>
    <n v="0"/>
    <s v="               "/>
    <n v="0"/>
    <s v="               "/>
    <n v="0"/>
    <s v="NINGUNA"/>
    <x v="0"/>
    <n v="3"/>
    <n v="258303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94"/>
    <x v="394"/>
    <s v="CERVERA"/>
    <s v="ALVAREZ"/>
    <s v="DARWIN"/>
    <s v="RAFAEL"/>
    <s v="BOGOTA_D.E."/>
    <s v="BOGOTA"/>
    <s v="1. DEPENDIENTE"/>
    <s v="NINGUNO"/>
    <n v="148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8"/>
    <n v="1862162"/>
    <n v="0.16"/>
    <n v="298000"/>
    <s v=" "/>
    <n v="0"/>
    <n v="0"/>
    <n v="0"/>
    <n v="0"/>
    <n v="0"/>
    <n v="298000"/>
    <s v="NINGUNA"/>
    <x v="10"/>
    <n v="18"/>
    <n v="1862162"/>
    <n v="0.04"/>
    <n v="74500"/>
    <n v="0"/>
    <s v="               "/>
    <n v="0"/>
    <s v="               "/>
    <n v="0"/>
    <s v="NINGUNA"/>
    <x v="0"/>
    <n v="18"/>
    <n v="1862162"/>
    <n v="6.9599999999999995E-2"/>
    <s v="5"/>
    <s v="CENTRO TRABAJO 24"/>
    <s v="5711001"/>
    <n v="129700"/>
    <n v="18"/>
    <x v="0"/>
    <n v="2278942"/>
    <n v="0.04"/>
    <n v="91200"/>
    <n v="2278942"/>
    <n v="0"/>
    <n v="0"/>
    <n v="0"/>
    <n v="0"/>
    <n v="0"/>
    <n v="0"/>
    <n v="0"/>
    <n v="0"/>
    <s v="SI"/>
    <s v="  "/>
    <s v="                "/>
  </r>
  <r>
    <x v="0"/>
    <s v="CC"/>
    <x v="395"/>
    <x v="395"/>
    <s v="CANTILLO"/>
    <s v="DE LA ROSA"/>
    <s v="JOSE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6"/>
    <n v="9400"/>
    <s v=" "/>
    <n v="0"/>
    <n v="0"/>
    <n v="0"/>
    <n v="0"/>
    <n v="0"/>
    <n v="9400"/>
    <s v="NINGUNA"/>
    <x v="0"/>
    <n v="1"/>
    <n v="58364"/>
    <n v="0"/>
    <n v="0"/>
    <n v="0"/>
    <s v="               "/>
    <n v="0"/>
    <s v="               "/>
    <n v="0"/>
    <s v="NINGUNA"/>
    <x v="0"/>
    <n v="1"/>
    <n v="583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95"/>
    <x v="395"/>
    <s v="CANTILLO"/>
    <s v="DE LA ROSA"/>
    <s v="JOSE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8"/>
    <n v="46059"/>
    <s v="NO"/>
    <m/>
    <m/>
    <s v="NO"/>
    <m/>
    <m/>
    <s v="NO"/>
    <s v="NO"/>
    <m/>
    <m/>
    <n v="0"/>
    <m/>
    <m/>
    <s v="NO"/>
    <n v="1750905"/>
    <s v="NO"/>
    <s v="NO"/>
    <x v="0"/>
    <n v="2"/>
    <n v="203264"/>
    <n v="0.16"/>
    <n v="32600"/>
    <s v=" "/>
    <n v="0"/>
    <n v="0"/>
    <n v="0"/>
    <n v="0"/>
    <n v="0"/>
    <n v="32600"/>
    <s v="NINGUNA"/>
    <x v="0"/>
    <n v="2"/>
    <n v="203264"/>
    <n v="0.04"/>
    <n v="8200"/>
    <n v="0"/>
    <s v="               "/>
    <n v="0"/>
    <s v="               "/>
    <n v="0"/>
    <s v="NINGUNA"/>
    <x v="0"/>
    <n v="2"/>
    <n v="203264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95"/>
    <x v="395"/>
    <s v="CANTILLO"/>
    <s v="DE LA ROSA"/>
    <s v="JOSE"/>
    <s v="RAFAEL"/>
    <s v="BOGOTA_D.E."/>
    <s v="BOGOTA"/>
    <s v="1. DEPENDIENTE"/>
    <s v="NINGUNO"/>
    <n v="19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7"/>
    <n v="2466989"/>
    <n v="0.16"/>
    <n v="394800"/>
    <s v=" "/>
    <n v="0"/>
    <n v="0"/>
    <n v="0"/>
    <n v="0"/>
    <n v="0"/>
    <n v="394800"/>
    <s v="NINGUNA"/>
    <x v="0"/>
    <n v="27"/>
    <n v="2466989"/>
    <n v="0.04"/>
    <n v="98700"/>
    <n v="0"/>
    <s v="               "/>
    <n v="0"/>
    <s v="               "/>
    <n v="0"/>
    <s v="NINGUNA"/>
    <x v="0"/>
    <n v="27"/>
    <n v="2466989"/>
    <n v="6.9599999999999995E-2"/>
    <s v="5"/>
    <s v="CENTRO TRABAJO 24"/>
    <s v="5711001"/>
    <n v="171800"/>
    <n v="27"/>
    <x v="0"/>
    <n v="2466989"/>
    <n v="0.04"/>
    <n v="98700"/>
    <n v="2466989"/>
    <n v="0"/>
    <n v="0"/>
    <n v="0"/>
    <n v="0"/>
    <n v="0"/>
    <n v="0"/>
    <n v="0"/>
    <n v="0"/>
    <s v="SI"/>
    <s v="  "/>
    <s v="                "/>
  </r>
  <r>
    <x v="0"/>
    <s v="CC"/>
    <x v="396"/>
    <x v="396"/>
    <s v="RODRIGUEZ"/>
    <s v="CARRASCAL"/>
    <s v="MANUEL"/>
    <s v="JOS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"/>
    <n v="74112"/>
    <n v="0.16"/>
    <n v="11900"/>
    <s v=" "/>
    <n v="0"/>
    <n v="0"/>
    <n v="0"/>
    <n v="0"/>
    <n v="0"/>
    <n v="11900"/>
    <s v="NINGUNA"/>
    <x v="0"/>
    <n v="1"/>
    <n v="74112"/>
    <n v="0"/>
    <n v="0"/>
    <n v="0"/>
    <s v="               "/>
    <n v="0"/>
    <s v="               "/>
    <n v="0"/>
    <s v="NINGUNA"/>
    <x v="0"/>
    <n v="1"/>
    <n v="74112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396"/>
    <x v="396"/>
    <s v="RODRIGUEZ"/>
    <s v="CARRASCAL"/>
    <s v="MANUEL"/>
    <s v="JOSE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9"/>
    <n v="2549755"/>
    <n v="0.16"/>
    <n v="408000"/>
    <s v=" "/>
    <n v="0"/>
    <n v="0"/>
    <n v="0"/>
    <n v="0"/>
    <n v="0"/>
    <n v="408000"/>
    <s v="NINGUNA"/>
    <x v="0"/>
    <n v="29"/>
    <n v="2549755"/>
    <n v="0.04"/>
    <n v="102000"/>
    <n v="0"/>
    <s v="               "/>
    <n v="0"/>
    <s v="               "/>
    <n v="0"/>
    <s v="NINGUNA"/>
    <x v="0"/>
    <n v="29"/>
    <n v="2549755"/>
    <n v="6.9599999999999995E-2"/>
    <s v="5"/>
    <s v="CENTRO TRABAJO 30"/>
    <s v="5711001"/>
    <n v="177500"/>
    <n v="29"/>
    <x v="1"/>
    <n v="2496879"/>
    <n v="0.04"/>
    <n v="99900"/>
    <n v="2496879"/>
    <n v="0"/>
    <n v="0"/>
    <n v="0"/>
    <n v="0"/>
    <n v="0"/>
    <n v="0"/>
    <n v="0"/>
    <n v="0"/>
    <s v="SI"/>
    <s v="  "/>
    <s v="                "/>
  </r>
  <r>
    <x v="0"/>
    <s v="CC"/>
    <x v="397"/>
    <x v="397"/>
    <s v="AGUIRRE"/>
    <s v="MERINO"/>
    <s v="VICTOR"/>
    <s v="ALFONSO"/>
    <s v="BOGOTA_D.E."/>
    <s v="BOGOTA"/>
    <s v="1. DEPENDIENTE"/>
    <s v="NINGUNO"/>
    <n v="32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"/>
    <n v="1145990"/>
    <n v="0.16"/>
    <n v="183400"/>
    <s v=" "/>
    <n v="0"/>
    <n v="0"/>
    <n v="0"/>
    <n v="0"/>
    <n v="0"/>
    <n v="183400"/>
    <s v="NINGUNA"/>
    <x v="3"/>
    <n v="3"/>
    <n v="1145990"/>
    <n v="0.125"/>
    <n v="143300"/>
    <n v="0"/>
    <s v="               "/>
    <n v="0"/>
    <s v="               "/>
    <n v="0"/>
    <s v="NINGUNA"/>
    <x v="0"/>
    <n v="3"/>
    <n v="1145990"/>
    <n v="6.9599999999999995E-2"/>
    <s v="5"/>
    <s v="CENTRO TRABAJO 24"/>
    <s v="5711001"/>
    <n v="79800"/>
    <n v="3"/>
    <x v="0"/>
    <n v="1658332"/>
    <n v="0.04"/>
    <n v="66400"/>
    <n v="1658332"/>
    <n v="0.02"/>
    <n v="33200"/>
    <n v="0.03"/>
    <n v="49800"/>
    <n v="0"/>
    <n v="0"/>
    <n v="0"/>
    <n v="0"/>
    <s v="SI"/>
    <s v="  "/>
    <s v="                "/>
  </r>
  <r>
    <x v="0"/>
    <s v="CC"/>
    <x v="398"/>
    <x v="398"/>
    <s v="MEJIA"/>
    <s v="GIRALDO"/>
    <s v="ROBINSON"/>
    <s v="ENRIQUE"/>
    <s v="LA_GUAJIRA"/>
    <s v="RIOHACHA"/>
    <s v="1. DEPENDIENTE"/>
    <s v="NINGUNO"/>
    <n v="45"/>
    <s v="NO"/>
    <s v="NO"/>
    <m/>
    <s v="NO"/>
    <m/>
    <s v="Todos los sistemas (ARL, AFP, CCF, EPS)"/>
    <n v="4605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4"/>
    <n v="5"/>
    <n v="577779"/>
    <n v="0.16"/>
    <n v="92500"/>
    <s v=" "/>
    <n v="0"/>
    <n v="0"/>
    <n v="0"/>
    <n v="0"/>
    <n v="0"/>
    <n v="92500"/>
    <s v="NINGUNA"/>
    <x v="0"/>
    <n v="5"/>
    <n v="577779"/>
    <n v="0.04"/>
    <n v="23200"/>
    <n v="0"/>
    <s v="               "/>
    <n v="0"/>
    <s v="               "/>
    <n v="0"/>
    <s v="NINGUNA"/>
    <x v="0"/>
    <n v="5"/>
    <n v="577779"/>
    <n v="6.9599999999999995E-2"/>
    <s v="5"/>
    <s v="CENTRO TRABAJO 30"/>
    <s v="5711001"/>
    <n v="40300"/>
    <n v="5"/>
    <x v="1"/>
    <n v="559021"/>
    <n v="0.04"/>
    <n v="22400"/>
    <n v="559021"/>
    <n v="0"/>
    <n v="0"/>
    <n v="0"/>
    <n v="0"/>
    <n v="0"/>
    <n v="0"/>
    <n v="0"/>
    <n v="0"/>
    <s v="SI"/>
    <s v="  "/>
    <s v="                "/>
  </r>
  <r>
    <x v="0"/>
    <s v="CC"/>
    <x v="399"/>
    <x v="399"/>
    <s v="DIAZ"/>
    <s v="ANAYA"/>
    <s v="ALEXANDER"/>
    <s v="EMILIO"/>
    <s v="BOGOTA_D.E."/>
    <s v="BOGOT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308750"/>
    <s v="NO"/>
    <s v="NO"/>
    <x v="2"/>
    <n v="30"/>
    <n v="2685886"/>
    <n v="0.16"/>
    <n v="429800"/>
    <s v=" "/>
    <n v="0"/>
    <n v="0"/>
    <n v="0"/>
    <n v="0"/>
    <n v="0"/>
    <n v="429800"/>
    <s v="NINGUNA"/>
    <x v="12"/>
    <n v="30"/>
    <n v="2685886"/>
    <n v="0.04"/>
    <n v="107500"/>
    <n v="0"/>
    <s v="               "/>
    <n v="0"/>
    <s v="               "/>
    <n v="0"/>
    <s v="NINGUNA"/>
    <x v="0"/>
    <n v="30"/>
    <n v="2685886"/>
    <n v="6.9599999999999995E-2"/>
    <s v="5"/>
    <s v="CENTRO TRABAJO 24"/>
    <s v="5711001"/>
    <n v="187000"/>
    <n v="30"/>
    <x v="0"/>
    <n v="2623579"/>
    <n v="0.04"/>
    <n v="105000"/>
    <n v="2623579"/>
    <n v="0"/>
    <n v="0"/>
    <n v="0"/>
    <n v="0"/>
    <n v="0"/>
    <n v="0"/>
    <n v="0"/>
    <n v="0"/>
    <s v="SI"/>
    <s v="  "/>
    <s v="                "/>
  </r>
  <r>
    <x v="0"/>
    <s v="CC"/>
    <x v="400"/>
    <x v="400"/>
    <s v="PALACIOS"/>
    <s v="ASPRILLA"/>
    <s v="LUIS"/>
    <s v="ALBERT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"/>
    <n v="148223"/>
    <n v="0.16"/>
    <n v="23800"/>
    <s v=" "/>
    <n v="0"/>
    <n v="0"/>
    <n v="0"/>
    <n v="0"/>
    <n v="0"/>
    <n v="23800"/>
    <s v="NINGUNA"/>
    <x v="3"/>
    <n v="2"/>
    <n v="148223"/>
    <n v="0"/>
    <n v="0"/>
    <n v="0"/>
    <s v="               "/>
    <n v="0"/>
    <s v="               "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400"/>
    <x v="400"/>
    <s v="PALACIOS"/>
    <s v="ASPRILLA"/>
    <s v="LUIS"/>
    <s v="ALBERTO"/>
    <s v="BOGOTA_D.E."/>
    <s v="BOGOT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8"/>
    <n v="2854296"/>
    <n v="0.16"/>
    <n v="456700"/>
    <s v=" "/>
    <n v="0"/>
    <n v="0"/>
    <n v="0"/>
    <n v="0"/>
    <n v="0"/>
    <n v="456700"/>
    <s v="NINGUNA"/>
    <x v="3"/>
    <n v="28"/>
    <n v="2854296"/>
    <n v="0.04"/>
    <n v="114200"/>
    <n v="0"/>
    <s v="               "/>
    <n v="0"/>
    <s v="               "/>
    <n v="0"/>
    <s v="NINGUNA"/>
    <x v="0"/>
    <n v="28"/>
    <n v="2854296"/>
    <n v="6.9599999999999995E-2"/>
    <s v="5"/>
    <s v="CENTRO TRABAJO 24"/>
    <s v="5711001"/>
    <n v="198700"/>
    <n v="28"/>
    <x v="0"/>
    <n v="2854296"/>
    <n v="0.04"/>
    <n v="114200"/>
    <n v="2854296"/>
    <n v="0"/>
    <n v="0"/>
    <n v="0"/>
    <n v="0"/>
    <n v="0"/>
    <n v="0"/>
    <n v="0"/>
    <n v="0"/>
    <s v="SI"/>
    <s v="  "/>
    <s v="                "/>
  </r>
  <r>
    <x v="0"/>
    <s v="CC"/>
    <x v="401"/>
    <x v="401"/>
    <s v="JIMENEZ"/>
    <s v="CAMACHO"/>
    <s v="GUSTAVO"/>
    <s v="ALBERTO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1"/>
    <n v="30"/>
    <n v="4337067"/>
    <n v="0.16"/>
    <n v="694000"/>
    <s v=" "/>
    <n v="0"/>
    <n v="0"/>
    <n v="0"/>
    <n v="0"/>
    <n v="0"/>
    <n v="694000"/>
    <s v="NINGUNA"/>
    <x v="12"/>
    <n v="30"/>
    <n v="4337067"/>
    <n v="0.04"/>
    <n v="173500"/>
    <n v="0"/>
    <s v="               "/>
    <n v="0"/>
    <s v="               "/>
    <n v="0"/>
    <s v="NINGUNA"/>
    <x v="0"/>
    <n v="30"/>
    <n v="4337067"/>
    <n v="6.9599999999999995E-2"/>
    <s v="5"/>
    <s v="CENTRO TRABAJO 24"/>
    <s v="5711001"/>
    <n v="301900"/>
    <n v="30"/>
    <x v="0"/>
    <n v="4028022"/>
    <n v="0.04"/>
    <n v="161200"/>
    <n v="4028022"/>
    <n v="0"/>
    <n v="0"/>
    <n v="0"/>
    <n v="0"/>
    <n v="0"/>
    <n v="0"/>
    <n v="0"/>
    <n v="0"/>
    <s v="SI"/>
    <s v="  "/>
    <s v="                "/>
  </r>
  <r>
    <x v="0"/>
    <s v="CC"/>
    <x v="402"/>
    <x v="402"/>
    <s v="TAPIAS"/>
    <s v="VILLA"/>
    <s v="EMERSON"/>
    <s v=""/>
    <s v="LA_GUAJIRA"/>
    <s v="RIOHACHA"/>
    <s v="1. DEPENDIENTE"/>
    <s v="NINGUNO"/>
    <n v="172"/>
    <s v="NO"/>
    <s v="NO"/>
    <m/>
    <s v="NO"/>
    <m/>
    <s v="Todos los sistemas (ARL, AFP, CCF, EPS)"/>
    <n v="4607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539029"/>
    <s v="NO"/>
    <s v="NO"/>
    <x v="0"/>
    <n v="23"/>
    <n v="2558768"/>
    <n v="0.16"/>
    <n v="409500"/>
    <s v=" "/>
    <n v="0"/>
    <n v="0"/>
    <n v="0"/>
    <n v="0"/>
    <n v="0"/>
    <n v="409500"/>
    <s v="NINGUNA"/>
    <x v="12"/>
    <n v="23"/>
    <n v="2558768"/>
    <n v="0.04"/>
    <n v="102400"/>
    <n v="0"/>
    <s v="               "/>
    <n v="0"/>
    <s v="               "/>
    <n v="0"/>
    <s v="NINGUNA"/>
    <x v="0"/>
    <n v="23"/>
    <n v="2558768"/>
    <n v="6.9599999999999995E-2"/>
    <s v="5"/>
    <s v="CENTRO TRABAJO 30"/>
    <s v="5711001"/>
    <n v="178100"/>
    <n v="23"/>
    <x v="1"/>
    <n v="2640046"/>
    <n v="0.04"/>
    <n v="105700"/>
    <n v="2640046"/>
    <n v="0"/>
    <n v="0"/>
    <n v="0"/>
    <n v="0"/>
    <n v="0"/>
    <n v="0"/>
    <n v="0"/>
    <n v="0"/>
    <s v="SI"/>
    <s v="  "/>
    <s v="                "/>
  </r>
  <r>
    <x v="0"/>
    <s v="CC"/>
    <x v="403"/>
    <x v="403"/>
    <s v="DUARTE"/>
    <s v="VANEGAS"/>
    <s v="EDGARDO"/>
    <s v="JOSE"/>
    <s v="BOGOTA_D.E."/>
    <s v="BOGOTA"/>
    <s v="1. DEPENDIENTE"/>
    <s v="NINGUNO"/>
    <n v="28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"/>
    <n v="653978"/>
    <n v="0.16"/>
    <n v="104700"/>
    <s v=" "/>
    <n v="0"/>
    <n v="0"/>
    <n v="0"/>
    <n v="0"/>
    <n v="0"/>
    <n v="104700"/>
    <s v="NINGUNA"/>
    <x v="3"/>
    <n v="3"/>
    <n v="653978"/>
    <n v="0.04"/>
    <n v="26200"/>
    <n v="0"/>
    <s v="               "/>
    <n v="0"/>
    <s v="               "/>
    <n v="0"/>
    <s v="NINGUNA"/>
    <x v="0"/>
    <n v="3"/>
    <n v="653978"/>
    <n v="6.9599999999999995E-2"/>
    <s v="5"/>
    <s v="CENTRO TRABAJO 24"/>
    <s v="5711001"/>
    <n v="45600"/>
    <n v="3"/>
    <x v="0"/>
    <n v="583808"/>
    <n v="0.04"/>
    <n v="23400"/>
    <n v="583808"/>
    <n v="0"/>
    <n v="0"/>
    <n v="0"/>
    <n v="0"/>
    <n v="0"/>
    <n v="0"/>
    <n v="0"/>
    <n v="0"/>
    <s v="SI"/>
    <s v="  "/>
    <s v="                "/>
  </r>
  <r>
    <x v="0"/>
    <s v="CC"/>
    <x v="404"/>
    <x v="404"/>
    <s v="FERREIRA"/>
    <s v="RIVERA"/>
    <s v="FERNANDO"/>
    <s v=""/>
    <s v="ANTIOQUIA"/>
    <s v="MEDELLIN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81"/>
    <s v="NO"/>
    <s v="NO"/>
    <m/>
    <m/>
    <n v="0"/>
    <m/>
    <m/>
    <s v="NO"/>
    <n v="1810000"/>
    <s v="NO"/>
    <s v="NO"/>
    <x v="1"/>
    <n v="30"/>
    <n v="1810000"/>
    <n v="0.16"/>
    <n v="289600"/>
    <s v=" "/>
    <n v="0"/>
    <n v="0"/>
    <n v="0"/>
    <n v="0"/>
    <n v="0"/>
    <n v="289600"/>
    <s v="NINGUNA"/>
    <x v="2"/>
    <n v="30"/>
    <n v="1810000"/>
    <n v="0.04"/>
    <n v="72400"/>
    <n v="0"/>
    <s v="               "/>
    <n v="0"/>
    <s v="               "/>
    <n v="0"/>
    <s v="NINGUNA"/>
    <x v="0"/>
    <n v="30"/>
    <n v="1810000"/>
    <n v="0"/>
    <s v="1"/>
    <s v="CENTRO TRABAJO 4"/>
    <s v="1711001"/>
    <n v="0"/>
    <n v="30"/>
    <x v="4"/>
    <n v="1810000"/>
    <n v="0.04"/>
    <n v="72400"/>
    <n v="1810000"/>
    <n v="0"/>
    <n v="0"/>
    <n v="0"/>
    <n v="0"/>
    <n v="0"/>
    <n v="0"/>
    <n v="0"/>
    <n v="0"/>
    <s v="SI"/>
    <s v="  "/>
    <s v="                "/>
  </r>
  <r>
    <x v="0"/>
    <s v="CC"/>
    <x v="405"/>
    <x v="405"/>
    <s v="ANTOLINEZ"/>
    <s v="CRUZ"/>
    <s v="EDGAR"/>
    <s v="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713687"/>
    <n v="0.16"/>
    <n v="434200"/>
    <s v=" "/>
    <n v="0"/>
    <n v="0"/>
    <n v="0"/>
    <n v="0"/>
    <n v="0"/>
    <n v="434200"/>
    <s v="NINGUNA"/>
    <x v="2"/>
    <n v="30"/>
    <n v="2713687"/>
    <n v="0.04"/>
    <n v="108600"/>
    <n v="0"/>
    <s v="               "/>
    <n v="0"/>
    <s v="               "/>
    <n v="0"/>
    <s v="NINGUNA"/>
    <x v="0"/>
    <n v="30"/>
    <n v="2713687"/>
    <n v="6.9599999999999995E-2"/>
    <s v="5"/>
    <s v="CENTRO TRABAJO 24"/>
    <s v="5711001"/>
    <n v="188900"/>
    <n v="30"/>
    <x v="0"/>
    <n v="2713687"/>
    <n v="0.04"/>
    <n v="108600"/>
    <n v="2713687"/>
    <n v="0"/>
    <n v="0"/>
    <n v="0"/>
    <n v="0"/>
    <n v="0"/>
    <n v="0"/>
    <n v="0"/>
    <n v="0"/>
    <s v="SI"/>
    <s v="  "/>
    <s v="                "/>
  </r>
  <r>
    <x v="0"/>
    <s v="CC"/>
    <x v="406"/>
    <x v="406"/>
    <s v="REYES"/>
    <s v="GUERRERO"/>
    <s v="LIBARDO"/>
    <s v=""/>
    <s v="BOLIVAR"/>
    <s v="CARTAGENA"/>
    <s v="1. DEPENDIENTE"/>
    <s v="NINGUNO"/>
    <n v="20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308750"/>
    <s v="NO"/>
    <s v="NO"/>
    <x v="1"/>
    <n v="30"/>
    <n v="2703357"/>
    <n v="0.16"/>
    <n v="432600"/>
    <s v=" "/>
    <n v="0"/>
    <n v="0"/>
    <n v="0"/>
    <n v="0"/>
    <n v="0"/>
    <n v="432600"/>
    <s v="NINGUNA"/>
    <x v="12"/>
    <n v="30"/>
    <n v="2703357"/>
    <n v="0.04"/>
    <n v="108200"/>
    <n v="0"/>
    <s v="               "/>
    <n v="0"/>
    <s v="               "/>
    <n v="0"/>
    <s v="NINGUNA"/>
    <x v="0"/>
    <n v="30"/>
    <n v="2703357"/>
    <n v="6.9599999999999995E-2"/>
    <s v="5"/>
    <s v="CENTRO TRABAJO 8"/>
    <s v="5711001"/>
    <n v="188200"/>
    <n v="30"/>
    <x v="2"/>
    <n v="2636697"/>
    <n v="0.04"/>
    <n v="105500"/>
    <n v="2636697"/>
    <n v="0"/>
    <n v="0"/>
    <n v="0"/>
    <n v="0"/>
    <n v="0"/>
    <n v="0"/>
    <n v="0"/>
    <n v="0"/>
    <s v="SI"/>
    <s v="  "/>
    <s v="                "/>
  </r>
  <r>
    <x v="0"/>
    <s v="CC"/>
    <x v="407"/>
    <x v="407"/>
    <s v="MARTINEZ"/>
    <s v="GOMEZ"/>
    <s v="HERNAN"/>
    <s v="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6882380"/>
    <s v="NO"/>
    <s v="NO"/>
    <x v="1"/>
    <n v="30"/>
    <n v="16882380"/>
    <n v="0.16"/>
    <n v="2701200"/>
    <s v=" "/>
    <n v="0"/>
    <n v="0"/>
    <n v="84500"/>
    <n v="84500"/>
    <n v="0"/>
    <n v="2870200"/>
    <s v="NINGUNA"/>
    <x v="2"/>
    <n v="30"/>
    <n v="16882380"/>
    <n v="0.125"/>
    <n v="2110300"/>
    <n v="0"/>
    <s v="               "/>
    <n v="0"/>
    <s v="               "/>
    <n v="0"/>
    <s v="NINGUNA"/>
    <x v="0"/>
    <n v="30"/>
    <n v="16882380"/>
    <n v="5.2199999999999998E-3"/>
    <s v="1"/>
    <s v="CENTRO TRABAJO 24"/>
    <s v="1711001"/>
    <n v="88200"/>
    <n v="30"/>
    <x v="0"/>
    <n v="16882380"/>
    <n v="0.04"/>
    <n v="675300"/>
    <n v="16882380"/>
    <n v="0.02"/>
    <n v="337700"/>
    <n v="0.03"/>
    <n v="506500"/>
    <n v="0"/>
    <n v="0"/>
    <n v="0"/>
    <n v="0"/>
    <s v="SI"/>
    <s v="  "/>
    <s v="                "/>
  </r>
  <r>
    <x v="0"/>
    <s v="CC"/>
    <x v="408"/>
    <x v="408"/>
    <s v="SANTOS"/>
    <s v="RUEDA"/>
    <s v="TEODOR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3050412"/>
    <s v="NO"/>
    <s v="NO"/>
    <x v="0"/>
    <n v="7"/>
    <n v="711763"/>
    <n v="0.16"/>
    <n v="113900"/>
    <s v=" "/>
    <n v="0"/>
    <n v="0"/>
    <n v="0"/>
    <n v="0"/>
    <n v="0"/>
    <n v="113900"/>
    <s v="NINGUNA"/>
    <x v="0"/>
    <n v="7"/>
    <n v="711763"/>
    <n v="0.04"/>
    <n v="28500"/>
    <n v="0"/>
    <s v="               "/>
    <n v="0"/>
    <s v="               "/>
    <n v="0"/>
    <s v="NINGUNA"/>
    <x v="0"/>
    <n v="7"/>
    <n v="711763"/>
    <n v="0"/>
    <s v="5"/>
    <s v="CENTRO TRABAJO 30"/>
    <s v="5711001"/>
    <n v="0"/>
    <n v="7"/>
    <x v="1"/>
    <n v="711763"/>
    <n v="0.04"/>
    <n v="28500"/>
    <n v="711763"/>
    <n v="0"/>
    <n v="0"/>
    <n v="0"/>
    <n v="0"/>
    <n v="0"/>
    <n v="0"/>
    <n v="0"/>
    <n v="0"/>
    <s v="SI"/>
    <s v="  "/>
    <s v="                "/>
  </r>
  <r>
    <x v="0"/>
    <s v="CC"/>
    <x v="408"/>
    <x v="408"/>
    <s v="SANTOS"/>
    <s v="RUEDA"/>
    <s v="TEODORO"/>
    <s v=""/>
    <s v="LA_GUAJIRA"/>
    <s v="RIOHACHA"/>
    <s v="1. DEPENDIENTE"/>
    <s v="NINGUNO"/>
    <n v="153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050412"/>
    <s v="NO"/>
    <s v="NO"/>
    <x v="0"/>
    <n v="23"/>
    <n v="2934743"/>
    <n v="0.16"/>
    <n v="469600"/>
    <s v=" "/>
    <n v="0"/>
    <n v="0"/>
    <n v="0"/>
    <n v="0"/>
    <n v="0"/>
    <n v="469600"/>
    <s v="NINGUNA"/>
    <x v="0"/>
    <n v="23"/>
    <n v="2934743"/>
    <n v="0.04"/>
    <n v="117400"/>
    <n v="0"/>
    <s v="               "/>
    <n v="0"/>
    <s v="               "/>
    <n v="0"/>
    <s v="NINGUNA"/>
    <x v="0"/>
    <n v="23"/>
    <n v="2934743"/>
    <n v="6.9599999999999995E-2"/>
    <s v="5"/>
    <s v="CENTRO TRABAJO 30"/>
    <s v="5711001"/>
    <n v="204300"/>
    <n v="23"/>
    <x v="1"/>
    <n v="2650623"/>
    <n v="0.04"/>
    <n v="106100"/>
    <n v="2650623"/>
    <n v="0"/>
    <n v="0"/>
    <n v="0"/>
    <n v="0"/>
    <n v="0"/>
    <n v="0"/>
    <n v="0"/>
    <n v="0"/>
    <s v="SI"/>
    <s v="  "/>
    <s v="                "/>
  </r>
  <r>
    <x v="0"/>
    <s v="CC"/>
    <x v="409"/>
    <x v="409"/>
    <s v="CANDELA"/>
    <s v="SANDOVAL"/>
    <s v="JHON"/>
    <s v="ARNULFO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3160713"/>
    <n v="0.16"/>
    <n v="505800"/>
    <s v=" "/>
    <n v="0"/>
    <n v="0"/>
    <n v="0"/>
    <n v="0"/>
    <n v="0"/>
    <n v="505800"/>
    <s v="NINGUNA"/>
    <x v="0"/>
    <n v="30"/>
    <n v="3160713"/>
    <n v="0.04"/>
    <n v="126500"/>
    <n v="0"/>
    <s v="               "/>
    <n v="0"/>
    <s v="               "/>
    <n v="0"/>
    <s v="NINGUNA"/>
    <x v="0"/>
    <n v="30"/>
    <n v="3160713"/>
    <n v="6.9599999999999995E-2"/>
    <s v="5"/>
    <s v="CENTRO TRABAJO 24"/>
    <s v="5711001"/>
    <n v="220000"/>
    <n v="30"/>
    <x v="0"/>
    <n v="3160713"/>
    <n v="0.04"/>
    <n v="126500"/>
    <n v="3160713"/>
    <n v="0"/>
    <n v="0"/>
    <n v="0"/>
    <n v="0"/>
    <n v="0"/>
    <n v="0"/>
    <n v="0"/>
    <n v="0"/>
    <s v="SI"/>
    <s v="  "/>
    <s v="                "/>
  </r>
  <r>
    <x v="0"/>
    <s v="CC"/>
    <x v="410"/>
    <x v="410"/>
    <s v="VANEGAS"/>
    <s v="HERRERA"/>
    <s v="JESUS"/>
    <s v="HADAM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8422300"/>
    <s v="NO"/>
    <s v="NO"/>
    <x v="0"/>
    <n v="30"/>
    <n v="8422300"/>
    <n v="0.16"/>
    <n v="1347600"/>
    <s v=" "/>
    <n v="0"/>
    <n v="0"/>
    <n v="42200"/>
    <n v="42200"/>
    <n v="0"/>
    <n v="1432000"/>
    <s v="NINGUNA"/>
    <x v="0"/>
    <n v="30"/>
    <n v="8422300"/>
    <n v="0.04"/>
    <n v="336900"/>
    <n v="0"/>
    <s v="               "/>
    <n v="0"/>
    <s v="               "/>
    <n v="0"/>
    <s v="NINGUNA"/>
    <x v="0"/>
    <n v="30"/>
    <n v="8422300"/>
    <n v="6.9599999999999995E-2"/>
    <s v="5"/>
    <s v="CENTRO TRABAJO 24"/>
    <s v="5711001"/>
    <n v="586200"/>
    <n v="30"/>
    <x v="0"/>
    <n v="8422300"/>
    <n v="0.04"/>
    <n v="336900"/>
    <n v="8422300"/>
    <n v="0"/>
    <n v="0"/>
    <n v="0"/>
    <n v="0"/>
    <n v="0"/>
    <n v="0"/>
    <n v="0"/>
    <n v="0"/>
    <s v="SI"/>
    <s v="  "/>
    <s v="                "/>
  </r>
  <r>
    <x v="0"/>
    <s v="CC"/>
    <x v="411"/>
    <x v="411"/>
    <s v="CORDOBA"/>
    <s v="DUARTE"/>
    <s v="JOSE"/>
    <s v="MARI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0"/>
    <s v="NO"/>
    <s v="NO"/>
    <m/>
    <m/>
    <n v="0"/>
    <m/>
    <m/>
    <s v="NO"/>
    <n v="6384779"/>
    <s v="NO"/>
    <s v="NO"/>
    <x v="0"/>
    <n v="7"/>
    <n v="1489782"/>
    <n v="0.16"/>
    <n v="238400"/>
    <s v=" "/>
    <n v="0"/>
    <n v="0"/>
    <n v="0"/>
    <n v="0"/>
    <n v="0"/>
    <n v="238400"/>
    <s v="NINGUNA"/>
    <x v="2"/>
    <n v="7"/>
    <n v="1489782"/>
    <n v="0.04"/>
    <n v="59600"/>
    <n v="0"/>
    <s v="               "/>
    <n v="0"/>
    <s v="               "/>
    <n v="0"/>
    <s v="NINGUNA"/>
    <x v="0"/>
    <n v="7"/>
    <n v="1489782"/>
    <n v="0"/>
    <s v="5"/>
    <s v="CENTRO TRABAJO 30"/>
    <s v="5711001"/>
    <n v="0"/>
    <n v="7"/>
    <x v="1"/>
    <n v="1489782"/>
    <n v="0.04"/>
    <n v="59600"/>
    <n v="1489782"/>
    <n v="0"/>
    <n v="0"/>
    <n v="0"/>
    <n v="0"/>
    <n v="0"/>
    <n v="0"/>
    <n v="0"/>
    <n v="0"/>
    <s v="SI"/>
    <s v="  "/>
    <s v="                "/>
  </r>
  <r>
    <x v="0"/>
    <s v="CC"/>
    <x v="411"/>
    <x v="411"/>
    <s v="CORDOBA"/>
    <s v="DUARTE"/>
    <s v="JOSE"/>
    <s v="MARI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1"/>
    <n v="46066"/>
    <s v="NO"/>
    <m/>
    <m/>
    <s v="NO"/>
    <m/>
    <m/>
    <s v="NO"/>
    <m/>
    <m/>
    <s v="NO"/>
    <s v="NO"/>
    <m/>
    <m/>
    <n v="0"/>
    <m/>
    <m/>
    <s v="NO"/>
    <n v="6384779"/>
    <s v="NO"/>
    <s v="NO"/>
    <x v="0"/>
    <n v="6"/>
    <n v="1276956"/>
    <n v="0.16"/>
    <n v="204400"/>
    <s v=" "/>
    <n v="0"/>
    <n v="0"/>
    <n v="0"/>
    <n v="0"/>
    <n v="0"/>
    <n v="204400"/>
    <s v="NINGUNA"/>
    <x v="2"/>
    <n v="6"/>
    <n v="1276956"/>
    <n v="0"/>
    <n v="0"/>
    <n v="0"/>
    <s v="               "/>
    <n v="0"/>
    <s v="               "/>
    <n v="0"/>
    <s v="NINGUNA"/>
    <x v="0"/>
    <n v="6"/>
    <n v="1276956"/>
    <n v="0"/>
    <s v="5"/>
    <s v="CENTRO TRABAJO 30"/>
    <s v="5711001"/>
    <n v="0"/>
    <n v="6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411"/>
    <x v="411"/>
    <s v="CORDOBA"/>
    <s v="DUARTE"/>
    <s v="JOSE"/>
    <s v="MARI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9"/>
    <s v="NO"/>
    <m/>
    <m/>
    <s v="NO"/>
    <m/>
    <m/>
    <s v="NO"/>
    <m/>
    <m/>
    <s v="NO"/>
    <s v="NO"/>
    <m/>
    <m/>
    <n v="0"/>
    <m/>
    <m/>
    <s v="NO"/>
    <n v="6384779"/>
    <s v="NO"/>
    <s v="NO"/>
    <x v="0"/>
    <n v="11"/>
    <n v="2341086"/>
    <n v="0.16"/>
    <n v="374600"/>
    <s v=" "/>
    <n v="0"/>
    <n v="0"/>
    <n v="0"/>
    <n v="0"/>
    <n v="0"/>
    <n v="374600"/>
    <s v="NINGUNA"/>
    <x v="2"/>
    <n v="11"/>
    <n v="2341086"/>
    <n v="0"/>
    <n v="0"/>
    <n v="0"/>
    <s v="               "/>
    <n v="0"/>
    <s v="               "/>
    <n v="0"/>
    <s v="NINGUNA"/>
    <x v="0"/>
    <n v="11"/>
    <n v="2341086"/>
    <n v="0"/>
    <s v="5"/>
    <s v="CENTRO TRABAJO 30"/>
    <s v="5711001"/>
    <n v="0"/>
    <n v="11"/>
    <x v="1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411"/>
    <x v="411"/>
    <s v="CORDOBA"/>
    <s v="DUARTE"/>
    <s v="JOSE"/>
    <s v="MARIA"/>
    <s v="LA_GUAJIRA"/>
    <s v="RIOHACHA"/>
    <s v="1. DEPENDIENTE"/>
    <s v="NINGUNO"/>
    <n v="9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0"/>
    <n v="6"/>
    <n v="1276956"/>
    <n v="0.16"/>
    <n v="204400"/>
    <s v=" "/>
    <n v="0"/>
    <n v="0"/>
    <n v="0"/>
    <n v="0"/>
    <n v="0"/>
    <n v="204400"/>
    <s v="NINGUNA"/>
    <x v="2"/>
    <n v="6"/>
    <n v="1276956"/>
    <n v="0.04"/>
    <n v="51100"/>
    <n v="0"/>
    <s v="               "/>
    <n v="0"/>
    <s v="               "/>
    <n v="0"/>
    <s v="NINGUNA"/>
    <x v="0"/>
    <n v="6"/>
    <n v="1276956"/>
    <n v="6.9599999999999995E-2"/>
    <s v="5"/>
    <s v="CENTRO TRABAJO 30"/>
    <s v="5711001"/>
    <n v="88900"/>
    <n v="6"/>
    <x v="1"/>
    <n v="1276956"/>
    <n v="0.04"/>
    <n v="51100"/>
    <n v="1276956"/>
    <n v="0"/>
    <n v="0"/>
    <n v="0"/>
    <n v="0"/>
    <n v="0"/>
    <n v="0"/>
    <n v="0"/>
    <n v="0"/>
    <s v="SI"/>
    <s v="  "/>
    <s v="                "/>
  </r>
  <r>
    <x v="0"/>
    <s v="CC"/>
    <x v="412"/>
    <x v="412"/>
    <s v="HERRERA"/>
    <s v="OTALVAREZ"/>
    <s v="ALEXANDER"/>
    <s v="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1"/>
    <n v="30"/>
    <n v="2825679"/>
    <n v="0.16"/>
    <n v="452200"/>
    <s v=" "/>
    <n v="0"/>
    <n v="0"/>
    <n v="0"/>
    <n v="0"/>
    <n v="0"/>
    <n v="452200"/>
    <s v="NINGUNA"/>
    <x v="0"/>
    <n v="30"/>
    <n v="2825679"/>
    <n v="0.04"/>
    <n v="113100"/>
    <n v="0"/>
    <s v="               "/>
    <n v="0"/>
    <s v="               "/>
    <n v="0"/>
    <s v="NINGUNA"/>
    <x v="0"/>
    <n v="30"/>
    <n v="2825679"/>
    <n v="6.9599999999999995E-2"/>
    <s v="5"/>
    <s v="CENTRO TRABAJO 24"/>
    <s v="5711001"/>
    <n v="196700"/>
    <n v="30"/>
    <x v="0"/>
    <n v="2825679"/>
    <n v="0.04"/>
    <n v="113100"/>
    <n v="2825679"/>
    <n v="0"/>
    <n v="0"/>
    <n v="0"/>
    <n v="0"/>
    <n v="0"/>
    <n v="0"/>
    <n v="0"/>
    <n v="0"/>
    <s v="SI"/>
    <s v="  "/>
    <s v="                "/>
  </r>
  <r>
    <x v="0"/>
    <s v="CC"/>
    <x v="413"/>
    <x v="413"/>
    <s v="URBINA"/>
    <s v="BELLO"/>
    <s v="BEDEL"/>
    <s v="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4"/>
    <n v="30"/>
    <n v="2941214"/>
    <n v="0.16"/>
    <n v="470600"/>
    <s v=" "/>
    <n v="0"/>
    <n v="0"/>
    <n v="0"/>
    <n v="0"/>
    <n v="0"/>
    <n v="470600"/>
    <s v="NINGUNA"/>
    <x v="3"/>
    <n v="30"/>
    <n v="2941214"/>
    <n v="0.04"/>
    <n v="117700"/>
    <n v="0"/>
    <s v="               "/>
    <n v="0"/>
    <s v="               "/>
    <n v="0"/>
    <s v="NINGUNA"/>
    <x v="0"/>
    <n v="30"/>
    <n v="2941214"/>
    <n v="6.9599999999999995E-2"/>
    <s v="5"/>
    <s v="CENTRO TRABAJO 24"/>
    <s v="5711001"/>
    <n v="204800"/>
    <n v="30"/>
    <x v="0"/>
    <n v="2941214"/>
    <n v="0.04"/>
    <n v="117700"/>
    <n v="2941214"/>
    <n v="0"/>
    <n v="0"/>
    <n v="0"/>
    <n v="0"/>
    <n v="0"/>
    <n v="0"/>
    <n v="0"/>
    <n v="0"/>
    <s v="SI"/>
    <s v="  "/>
    <s v="                "/>
  </r>
  <r>
    <x v="0"/>
    <s v="CC"/>
    <x v="414"/>
    <x v="414"/>
    <s v="ROMERO"/>
    <s v="DIAZ"/>
    <s v="ROBERTO"/>
    <s v="CARLOS"/>
    <s v="BOGOTA_D.E."/>
    <s v="BOGOTA"/>
    <s v="1. DEPENDIENTE"/>
    <s v="NINGUNO"/>
    <n v="34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1"/>
    <n v="3"/>
    <n v="1251616"/>
    <n v="0.16"/>
    <n v="200300"/>
    <s v=" "/>
    <n v="0"/>
    <n v="0"/>
    <n v="0"/>
    <n v="0"/>
    <n v="0"/>
    <n v="200300"/>
    <s v="NINGUNA"/>
    <x v="3"/>
    <n v="3"/>
    <n v="1251616"/>
    <n v="0.125"/>
    <n v="156500"/>
    <n v="0"/>
    <s v="               "/>
    <n v="0"/>
    <s v="               "/>
    <n v="0"/>
    <s v="NINGUNA"/>
    <x v="0"/>
    <n v="3"/>
    <n v="1251616"/>
    <n v="6.9599999999999995E-2"/>
    <s v="5"/>
    <s v="CENTRO TRABAJO 24"/>
    <s v="5711001"/>
    <n v="87200"/>
    <n v="3"/>
    <x v="0"/>
    <n v="1875016"/>
    <n v="0.04"/>
    <n v="75100"/>
    <n v="1875016"/>
    <n v="0.02"/>
    <n v="37600"/>
    <n v="0.03"/>
    <n v="56300"/>
    <n v="0"/>
    <n v="0"/>
    <n v="0"/>
    <n v="0"/>
    <s v="SI"/>
    <s v="  "/>
    <s v="                "/>
  </r>
  <r>
    <x v="0"/>
    <s v="CC"/>
    <x v="415"/>
    <x v="415"/>
    <s v="APONTE"/>
    <s v="SIERRA"/>
    <s v="FRANCISCO"/>
    <s v="JAVIER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902458"/>
    <s v="NO"/>
    <s v="NO"/>
    <x v="0"/>
    <n v="30"/>
    <n v="4902458"/>
    <n v="0.16"/>
    <n v="784400"/>
    <s v=" "/>
    <n v="0"/>
    <n v="0"/>
    <n v="0"/>
    <n v="0"/>
    <n v="0"/>
    <n v="784400"/>
    <s v="NINGUNA"/>
    <x v="3"/>
    <n v="30"/>
    <n v="4902458"/>
    <n v="0.04"/>
    <n v="196100"/>
    <n v="0"/>
    <s v="               "/>
    <n v="0"/>
    <s v="               "/>
    <n v="0"/>
    <s v="NINGUNA"/>
    <x v="0"/>
    <n v="30"/>
    <n v="4902458"/>
    <n v="6.9599999999999995E-2"/>
    <s v="5"/>
    <s v="CENTRO TRABAJO 30"/>
    <s v="5711001"/>
    <n v="341300"/>
    <n v="30"/>
    <x v="1"/>
    <n v="4902458"/>
    <n v="0.04"/>
    <n v="196100"/>
    <n v="4902458"/>
    <n v="0"/>
    <n v="0"/>
    <n v="0"/>
    <n v="0"/>
    <n v="0"/>
    <n v="0"/>
    <n v="0"/>
    <n v="0"/>
    <s v="SI"/>
    <s v="  "/>
    <s v="                "/>
  </r>
  <r>
    <x v="0"/>
    <s v="CC"/>
    <x v="416"/>
    <x v="416"/>
    <s v="RAMIREZ"/>
    <s v="CASTILLO"/>
    <s v="JESUS"/>
    <s v="EMIL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9"/>
    <n v="46060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"/>
    <n v="119040"/>
    <n v="0.16"/>
    <n v="19100"/>
    <s v=" "/>
    <n v="0"/>
    <n v="0"/>
    <n v="0"/>
    <n v="0"/>
    <n v="0"/>
    <n v="19100"/>
    <s v="NINGUNA"/>
    <x v="0"/>
    <n v="2"/>
    <n v="119040"/>
    <n v="0"/>
    <n v="0"/>
    <n v="0"/>
    <s v="               "/>
    <n v="0"/>
    <s v="               "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416"/>
    <x v="416"/>
    <s v="RAMIREZ"/>
    <s v="CASTILLO"/>
    <s v="JESUS"/>
    <s v="EMIL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0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"/>
    <n v="119040"/>
    <n v="0.16"/>
    <n v="19100"/>
    <s v=" "/>
    <n v="0"/>
    <n v="0"/>
    <n v="0"/>
    <n v="0"/>
    <n v="0"/>
    <n v="19100"/>
    <s v="NINGUNA"/>
    <x v="0"/>
    <n v="2"/>
    <n v="119040"/>
    <n v="0"/>
    <n v="0"/>
    <n v="0"/>
    <s v="               "/>
    <n v="0"/>
    <s v="               "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416"/>
    <x v="416"/>
    <s v="RAMIREZ"/>
    <s v="CASTILLO"/>
    <s v="JESUS"/>
    <s v="EMILI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6"/>
    <n v="2153022"/>
    <n v="0.16"/>
    <n v="344500"/>
    <s v=" "/>
    <n v="0"/>
    <n v="0"/>
    <n v="0"/>
    <n v="0"/>
    <n v="0"/>
    <n v="344500"/>
    <s v="NINGUNA"/>
    <x v="0"/>
    <n v="26"/>
    <n v="2153022"/>
    <n v="0.04"/>
    <n v="86200"/>
    <n v="0"/>
    <s v="               "/>
    <n v="0"/>
    <s v="               "/>
    <n v="0"/>
    <s v="NINGUNA"/>
    <x v="0"/>
    <n v="26"/>
    <n v="2153022"/>
    <n v="6.9599999999999995E-2"/>
    <s v="5"/>
    <s v="CENTRO TRABAJO 24"/>
    <s v="5711001"/>
    <n v="149900"/>
    <n v="26"/>
    <x v="0"/>
    <n v="2153022"/>
    <n v="0.04"/>
    <n v="86200"/>
    <n v="2153022"/>
    <n v="0"/>
    <n v="0"/>
    <n v="0"/>
    <n v="0"/>
    <n v="0"/>
    <n v="0"/>
    <n v="0"/>
    <n v="0"/>
    <s v="SI"/>
    <s v="  "/>
    <s v="                "/>
  </r>
  <r>
    <x v="0"/>
    <s v="CC"/>
    <x v="417"/>
    <x v="417"/>
    <s v="CALDERON"/>
    <s v="SANCHEZ"/>
    <s v="JOHN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0"/>
    <s v="NO"/>
    <s v="NO"/>
    <m/>
    <m/>
    <n v="0"/>
    <m/>
    <m/>
    <s v="NO"/>
    <n v="6340158"/>
    <s v="NO"/>
    <s v="NO"/>
    <x v="1"/>
    <n v="7"/>
    <n v="1479371"/>
    <n v="0.16"/>
    <n v="236700"/>
    <s v=" "/>
    <n v="0"/>
    <n v="0"/>
    <n v="0"/>
    <n v="0"/>
    <n v="0"/>
    <n v="236700"/>
    <s v="NINGUNA"/>
    <x v="2"/>
    <n v="7"/>
    <n v="1479371"/>
    <n v="0.04"/>
    <n v="59200"/>
    <n v="0"/>
    <s v="               "/>
    <n v="0"/>
    <s v="               "/>
    <n v="0"/>
    <s v="NINGUNA"/>
    <x v="0"/>
    <n v="7"/>
    <n v="1479371"/>
    <n v="0"/>
    <s v="5"/>
    <s v="CENTRO TRABAJO 24"/>
    <s v="5711001"/>
    <n v="0"/>
    <n v="7"/>
    <x v="0"/>
    <n v="1479371"/>
    <n v="0.04"/>
    <n v="59200"/>
    <n v="1479371"/>
    <n v="0"/>
    <n v="0"/>
    <n v="0"/>
    <n v="0"/>
    <n v="0"/>
    <n v="0"/>
    <n v="0"/>
    <n v="0"/>
    <s v="SI"/>
    <s v="  "/>
    <s v="                "/>
  </r>
  <r>
    <x v="0"/>
    <s v="CC"/>
    <x v="417"/>
    <x v="417"/>
    <s v="CALDERON"/>
    <s v="SANCHEZ"/>
    <s v="JOHN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3"/>
    <n v="46063"/>
    <s v="NO"/>
    <s v="NO"/>
    <m/>
    <m/>
    <n v="0"/>
    <m/>
    <m/>
    <s v="NO"/>
    <n v="6340158"/>
    <s v="NO"/>
    <s v="NO"/>
    <x v="1"/>
    <n v="1"/>
    <n v="211339"/>
    <n v="0.16"/>
    <n v="33900"/>
    <s v=" "/>
    <n v="0"/>
    <n v="0"/>
    <n v="0"/>
    <n v="0"/>
    <n v="0"/>
    <n v="33900"/>
    <s v="NINGUNA"/>
    <x v="2"/>
    <n v="1"/>
    <n v="211339"/>
    <n v="0.04"/>
    <n v="8500"/>
    <n v="0"/>
    <s v="               "/>
    <n v="0"/>
    <s v="               "/>
    <n v="0"/>
    <s v="NINGUNA"/>
    <x v="0"/>
    <n v="1"/>
    <n v="211339"/>
    <n v="0"/>
    <s v="5"/>
    <s v="CENTRO TRABAJO 24"/>
    <s v="5711001"/>
    <n v="0"/>
    <n v="1"/>
    <x v="0"/>
    <n v="211339"/>
    <n v="0.04"/>
    <n v="8500"/>
    <n v="211339"/>
    <n v="0"/>
    <n v="0"/>
    <n v="0"/>
    <n v="0"/>
    <n v="0"/>
    <n v="0"/>
    <n v="0"/>
    <n v="0"/>
    <s v="SI"/>
    <s v="  "/>
    <s v="                "/>
  </r>
  <r>
    <x v="0"/>
    <s v="CC"/>
    <x v="417"/>
    <x v="417"/>
    <s v="CALDERON"/>
    <s v="SANCHEZ"/>
    <s v="JOHN"/>
    <s v=""/>
    <s v="BOGOTA_D.E."/>
    <s v="BOGOTA"/>
    <s v="1. DEPENDIENTE"/>
    <s v="NINGUNO"/>
    <n v="39"/>
    <s v="NO"/>
    <s v="NO"/>
    <m/>
    <s v="NO"/>
    <m/>
    <s v="Todos los sistemas (ARL, AFP, CCF, EPS)"/>
    <n v="46068"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6340158"/>
    <s v="NO"/>
    <s v="NO"/>
    <x v="1"/>
    <n v="7"/>
    <n v="2523130"/>
    <n v="0.16"/>
    <n v="403800"/>
    <s v=" "/>
    <n v="0"/>
    <n v="0"/>
    <n v="0"/>
    <n v="0"/>
    <n v="0"/>
    <n v="403800"/>
    <s v="NINGUNA"/>
    <x v="2"/>
    <n v="7"/>
    <n v="2523130"/>
    <n v="0.04"/>
    <n v="101000"/>
    <n v="0"/>
    <s v="               "/>
    <n v="0"/>
    <s v="               "/>
    <n v="0"/>
    <s v="NINGUNA"/>
    <x v="0"/>
    <n v="7"/>
    <n v="2523130"/>
    <n v="6.9599999999999995E-2"/>
    <s v="5"/>
    <s v="CENTRO TRABAJO 24"/>
    <s v="5711001"/>
    <n v="175700"/>
    <n v="7"/>
    <x v="0"/>
    <n v="2720532"/>
    <n v="0.04"/>
    <n v="108900"/>
    <n v="2720532"/>
    <n v="0"/>
    <n v="0"/>
    <n v="0"/>
    <n v="0"/>
    <n v="0"/>
    <n v="0"/>
    <n v="0"/>
    <n v="0"/>
    <s v="SI"/>
    <s v="  "/>
    <s v="                "/>
  </r>
  <r>
    <x v="0"/>
    <s v="CC"/>
    <x v="418"/>
    <x v="418"/>
    <s v="TORRES"/>
    <s v="BETANCOURT"/>
    <s v="ARISTOBULO"/>
    <s v="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7662332"/>
    <s v="NO"/>
    <s v="NO"/>
    <x v="1"/>
    <n v="30"/>
    <n v="7662332"/>
    <n v="0.16"/>
    <n v="1226000"/>
    <s v=" "/>
    <n v="0"/>
    <n v="0"/>
    <n v="38400"/>
    <n v="38400"/>
    <n v="0"/>
    <n v="1302800"/>
    <s v="NINGUNA"/>
    <x v="0"/>
    <n v="30"/>
    <n v="7662332"/>
    <n v="0.04"/>
    <n v="306500"/>
    <n v="0"/>
    <s v="               "/>
    <n v="0"/>
    <s v="               "/>
    <n v="0"/>
    <s v="NINGUNA"/>
    <x v="0"/>
    <n v="30"/>
    <n v="7662332"/>
    <n v="6.9599999999999995E-2"/>
    <s v="5"/>
    <s v="CENTRO TRABAJO 24"/>
    <s v="5711001"/>
    <n v="533300"/>
    <n v="30"/>
    <x v="0"/>
    <n v="5108221"/>
    <n v="0.04"/>
    <n v="204400"/>
    <n v="5108221"/>
    <n v="0"/>
    <n v="0"/>
    <n v="0"/>
    <n v="0"/>
    <n v="0"/>
    <n v="0"/>
    <n v="0"/>
    <n v="0"/>
    <s v="SI"/>
    <s v="  "/>
    <s v="                "/>
  </r>
  <r>
    <x v="0"/>
    <s v="CC"/>
    <x v="419"/>
    <x v="419"/>
    <s v="BERNAL"/>
    <s v="LEAL"/>
    <s v="HELVER"/>
    <s v="GUSTAVO"/>
    <s v="BOGOTA_D.E."/>
    <s v="BOGOTA"/>
    <s v="1. DEPENDIENTE"/>
    <s v="NINGUNO"/>
    <n v="180"/>
    <s v="NO"/>
    <s v="NO"/>
    <m/>
    <s v="Todos los sistemas (ARL, AFP, CCF, EPS)"/>
    <n v="46055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459847"/>
    <s v="NO"/>
    <s v="NO"/>
    <x v="1"/>
    <n v="29"/>
    <n v="5729532"/>
    <n v="0.16"/>
    <n v="916800"/>
    <s v=" "/>
    <n v="0"/>
    <n v="0"/>
    <n v="0"/>
    <n v="0"/>
    <n v="0"/>
    <n v="916800"/>
    <s v="NINGUNA"/>
    <x v="2"/>
    <n v="29"/>
    <n v="5729532"/>
    <n v="0.04"/>
    <n v="229200"/>
    <n v="0"/>
    <s v="               "/>
    <n v="0"/>
    <s v="               "/>
    <n v="0"/>
    <s v="NINGUNA"/>
    <x v="0"/>
    <n v="29"/>
    <n v="5729532"/>
    <n v="6.9599999999999995E-2"/>
    <s v="5"/>
    <s v="CENTRO TRABAJO 24"/>
    <s v="5711001"/>
    <n v="398800"/>
    <n v="29"/>
    <x v="0"/>
    <n v="5729532"/>
    <n v="0.04"/>
    <n v="229200"/>
    <n v="5729532"/>
    <n v="0"/>
    <n v="0"/>
    <n v="0"/>
    <n v="0"/>
    <n v="0"/>
    <n v="0"/>
    <n v="0"/>
    <n v="0"/>
    <s v="SI"/>
    <s v="  "/>
    <s v="                "/>
  </r>
  <r>
    <x v="0"/>
    <s v="CC"/>
    <x v="420"/>
    <x v="420"/>
    <s v="MORA"/>
    <s v="CUBILLOS"/>
    <s v="JESUS"/>
    <s v="ELKY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4"/>
    <n v="46057"/>
    <s v="NO"/>
    <s v="NO"/>
    <m/>
    <m/>
    <n v="0"/>
    <m/>
    <m/>
    <s v="NO"/>
    <n v="8428565"/>
    <s v="NO"/>
    <s v="NO"/>
    <x v="1"/>
    <n v="4"/>
    <n v="1123809"/>
    <n v="0.16"/>
    <n v="179900"/>
    <s v=" "/>
    <n v="0"/>
    <n v="0"/>
    <n v="5700"/>
    <n v="5700"/>
    <n v="0"/>
    <n v="191300"/>
    <s v="NINGUNA"/>
    <x v="2"/>
    <n v="4"/>
    <n v="1123809"/>
    <n v="0.04"/>
    <n v="45000"/>
    <n v="0"/>
    <s v="               "/>
    <n v="0"/>
    <s v="               "/>
    <n v="0"/>
    <s v="NINGUNA"/>
    <x v="0"/>
    <n v="4"/>
    <n v="1123809"/>
    <n v="0"/>
    <s v="5"/>
    <s v="CENTRO TRABAJO 24"/>
    <s v="5711001"/>
    <n v="0"/>
    <n v="4"/>
    <x v="0"/>
    <n v="1123809"/>
    <n v="0.04"/>
    <n v="45000"/>
    <n v="1123809"/>
    <n v="0"/>
    <n v="0"/>
    <n v="0"/>
    <n v="0"/>
    <n v="0"/>
    <n v="0"/>
    <n v="0"/>
    <n v="0"/>
    <s v="SI"/>
    <s v="  "/>
    <s v="                "/>
  </r>
  <r>
    <x v="0"/>
    <s v="CC"/>
    <x v="420"/>
    <x v="420"/>
    <s v="MORA"/>
    <s v="CUBILLOS"/>
    <s v="JESUS"/>
    <s v="ELKY"/>
    <s v="BOGOTA_D.E."/>
    <s v="BOGOTA"/>
    <s v="1. DEPENDIENTE"/>
    <s v="NINGUNO"/>
    <n v="153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8428565"/>
    <s v="NO"/>
    <s v="NO"/>
    <x v="1"/>
    <n v="26"/>
    <n v="7304757"/>
    <n v="0.16"/>
    <n v="1168800"/>
    <s v=" "/>
    <n v="0"/>
    <n v="0"/>
    <n v="36600"/>
    <n v="36600"/>
    <n v="0"/>
    <n v="1242000"/>
    <s v="NINGUNA"/>
    <x v="2"/>
    <n v="26"/>
    <n v="7304757"/>
    <n v="0.04"/>
    <n v="292200"/>
    <n v="0"/>
    <s v="               "/>
    <n v="0"/>
    <s v="               "/>
    <n v="0"/>
    <s v="NINGUNA"/>
    <x v="0"/>
    <n v="26"/>
    <n v="7304757"/>
    <n v="6.9599999999999995E-2"/>
    <s v="5"/>
    <s v="CENTRO TRABAJO 24"/>
    <s v="5711001"/>
    <n v="508500"/>
    <n v="26"/>
    <x v="0"/>
    <n v="7304757"/>
    <n v="0.04"/>
    <n v="292200"/>
    <n v="7304757"/>
    <n v="0"/>
    <n v="0"/>
    <n v="0"/>
    <n v="0"/>
    <n v="0"/>
    <n v="0"/>
    <n v="0"/>
    <n v="0"/>
    <s v="SI"/>
    <s v="  "/>
    <s v="                "/>
  </r>
  <r>
    <x v="0"/>
    <s v="CC"/>
    <x v="421"/>
    <x v="421"/>
    <s v="PADILLA"/>
    <s v="ESPINOSA"/>
    <s v="JHON"/>
    <s v="JAIR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"/>
    <n v="148223"/>
    <n v="0.16"/>
    <n v="23800"/>
    <s v=" "/>
    <n v="0"/>
    <n v="0"/>
    <n v="0"/>
    <n v="0"/>
    <n v="0"/>
    <n v="23800"/>
    <s v="NINGUNA"/>
    <x v="0"/>
    <n v="2"/>
    <n v="148223"/>
    <n v="0"/>
    <n v="0"/>
    <n v="0"/>
    <s v="               "/>
    <n v="0"/>
    <s v="               "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421"/>
    <x v="421"/>
    <s v="PADILLA"/>
    <s v="ESPINOSA"/>
    <s v="JHON"/>
    <s v="JAIRO"/>
    <s v="BOGOTA_D.E."/>
    <s v="BOGOTA"/>
    <s v="1. DEPENDIENTE"/>
    <s v="NINGUNO"/>
    <n v="213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8"/>
    <n v="3585149"/>
    <n v="0.16"/>
    <n v="573700"/>
    <s v=" "/>
    <n v="0"/>
    <n v="0"/>
    <n v="0"/>
    <n v="0"/>
    <n v="0"/>
    <n v="573700"/>
    <s v="NINGUNA"/>
    <x v="0"/>
    <n v="28"/>
    <n v="3585149"/>
    <n v="0.04"/>
    <n v="143500"/>
    <n v="0"/>
    <s v="               "/>
    <n v="0"/>
    <s v="               "/>
    <n v="0"/>
    <s v="NINGUNA"/>
    <x v="0"/>
    <n v="28"/>
    <n v="3585149"/>
    <n v="6.9599999999999995E-2"/>
    <s v="5"/>
    <s v="CENTRO TRABAJO 24"/>
    <s v="5711001"/>
    <n v="249600"/>
    <n v="28"/>
    <x v="0"/>
    <n v="4234152"/>
    <n v="0.04"/>
    <n v="169400"/>
    <n v="4234152"/>
    <n v="0"/>
    <n v="0"/>
    <n v="0"/>
    <n v="0"/>
    <n v="0"/>
    <n v="0"/>
    <n v="0"/>
    <n v="0"/>
    <s v="SI"/>
    <s v="  "/>
    <s v="                "/>
  </r>
  <r>
    <x v="0"/>
    <s v="CC"/>
    <x v="422"/>
    <x v="422"/>
    <s v="MORALES"/>
    <s v="TAFUR"/>
    <s v="HENRY"/>
    <s v=""/>
    <s v="ANTIOQUIA"/>
    <s v="MEDELLIN"/>
    <s v="1. DEPENDIENTE"/>
    <s v="NINGUNO"/>
    <n v="188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9729530"/>
    <s v="NO"/>
    <s v="NO"/>
    <x v="1"/>
    <n v="30"/>
    <n v="11704368"/>
    <n v="0.16"/>
    <n v="1872700"/>
    <s v=" "/>
    <n v="0"/>
    <n v="0"/>
    <n v="58600"/>
    <n v="58600"/>
    <n v="0"/>
    <n v="1989900"/>
    <s v="NINGUNA"/>
    <x v="0"/>
    <n v="30"/>
    <n v="11704368"/>
    <n v="0.125"/>
    <n v="1463100"/>
    <n v="0"/>
    <s v="               "/>
    <n v="0"/>
    <s v="               "/>
    <n v="0"/>
    <s v="NINGUNA"/>
    <x v="0"/>
    <n v="30"/>
    <n v="11704368"/>
    <n v="6.9599999999999995E-2"/>
    <s v="5"/>
    <s v="CENTRO TRABAJO 4"/>
    <s v="5711001"/>
    <n v="814700"/>
    <n v="30"/>
    <x v="4"/>
    <n v="9729530"/>
    <n v="0.04"/>
    <n v="389200"/>
    <n v="9729530"/>
    <n v="0.02"/>
    <n v="194600"/>
    <n v="0.03"/>
    <n v="291900"/>
    <n v="0"/>
    <n v="0"/>
    <n v="0"/>
    <n v="0"/>
    <s v="SI"/>
    <s v="  "/>
    <s v="                "/>
  </r>
  <r>
    <x v="0"/>
    <s v="CC"/>
    <x v="423"/>
    <x v="423"/>
    <s v="SAIZ"/>
    <s v="PINEDA"/>
    <s v="HERMES"/>
    <s v="FERNAN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6882380"/>
    <s v="NO"/>
    <s v="SI"/>
    <x v="1"/>
    <n v="30"/>
    <n v="16882380"/>
    <n v="0.16"/>
    <n v="2701200"/>
    <s v=" "/>
    <n v="0"/>
    <n v="0"/>
    <n v="84500"/>
    <n v="84500"/>
    <n v="0"/>
    <n v="2870200"/>
    <s v="NINGUNA"/>
    <x v="1"/>
    <n v="30"/>
    <n v="16882380"/>
    <n v="0.04"/>
    <n v="675300"/>
    <n v="0"/>
    <s v="               "/>
    <n v="0"/>
    <s v="               "/>
    <n v="0"/>
    <s v="NINGUNA"/>
    <x v="0"/>
    <n v="30"/>
    <n v="16882380"/>
    <n v="6.9599999999999995E-2"/>
    <s v="5"/>
    <s v="CENTRO TRABAJO 24"/>
    <s v="5711001"/>
    <n v="1175100"/>
    <n v="30"/>
    <x v="0"/>
    <n v="16882380"/>
    <n v="0.04"/>
    <n v="675300"/>
    <n v="16882380"/>
    <n v="0"/>
    <n v="0"/>
    <n v="0"/>
    <n v="0"/>
    <n v="0"/>
    <n v="0"/>
    <n v="0"/>
    <n v="0"/>
    <s v="SI"/>
    <s v="  "/>
    <s v="                "/>
  </r>
  <r>
    <x v="0"/>
    <s v="CC"/>
    <x v="424"/>
    <x v="424"/>
    <s v="ORJUELA"/>
    <s v="SALINAS"/>
    <s v="HUGO"/>
    <s v="NIVELSO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58"/>
    <s v="NO"/>
    <s v="NO"/>
    <m/>
    <m/>
    <n v="0"/>
    <m/>
    <m/>
    <s v="NO"/>
    <n v="3415855"/>
    <s v="NO"/>
    <s v="NO"/>
    <x v="1"/>
    <n v="1"/>
    <n v="113862"/>
    <n v="0.16"/>
    <n v="18300"/>
    <s v=" "/>
    <n v="0"/>
    <n v="0"/>
    <n v="0"/>
    <n v="0"/>
    <n v="0"/>
    <n v="18300"/>
    <s v="NINGUNA"/>
    <x v="1"/>
    <n v="1"/>
    <n v="113862"/>
    <n v="0.04"/>
    <n v="4600"/>
    <n v="0"/>
    <s v="               "/>
    <n v="0"/>
    <s v="               "/>
    <n v="0"/>
    <s v="NINGUNA"/>
    <x v="0"/>
    <n v="1"/>
    <n v="113862"/>
    <n v="0"/>
    <s v="5"/>
    <s v="CENTRO TRABAJO 24"/>
    <s v="5711001"/>
    <n v="0"/>
    <n v="1"/>
    <x v="0"/>
    <n v="113862"/>
    <n v="0.04"/>
    <n v="4600"/>
    <n v="113862"/>
    <n v="0"/>
    <n v="0"/>
    <n v="0"/>
    <n v="0"/>
    <n v="0"/>
    <n v="0"/>
    <n v="0"/>
    <n v="0"/>
    <s v="SI"/>
    <s v="  "/>
    <s v="                "/>
  </r>
  <r>
    <x v="0"/>
    <s v="CC"/>
    <x v="424"/>
    <x v="424"/>
    <s v="ORJUELA"/>
    <s v="SALINAS"/>
    <s v="HUGO"/>
    <s v="NIVELSON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3415855"/>
    <s v="NO"/>
    <s v="NO"/>
    <x v="1"/>
    <n v="29"/>
    <n v="3301994"/>
    <n v="0.16"/>
    <n v="528400"/>
    <s v=" "/>
    <n v="0"/>
    <n v="0"/>
    <n v="0"/>
    <n v="0"/>
    <n v="0"/>
    <n v="528400"/>
    <s v="NINGUNA"/>
    <x v="1"/>
    <n v="29"/>
    <n v="3301994"/>
    <n v="0.04"/>
    <n v="132100"/>
    <n v="0"/>
    <s v="               "/>
    <n v="0"/>
    <s v="               "/>
    <n v="0"/>
    <s v="NINGUNA"/>
    <x v="0"/>
    <n v="29"/>
    <n v="3301994"/>
    <n v="6.9599999999999995E-2"/>
    <s v="5"/>
    <s v="CENTRO TRABAJO 24"/>
    <s v="5711001"/>
    <n v="229900"/>
    <n v="29"/>
    <x v="0"/>
    <n v="3301994"/>
    <n v="0.04"/>
    <n v="132100"/>
    <n v="3301994"/>
    <n v="0"/>
    <n v="0"/>
    <n v="0"/>
    <n v="0"/>
    <n v="0"/>
    <n v="0"/>
    <n v="0"/>
    <n v="0"/>
    <s v="SI"/>
    <s v="  "/>
    <s v="                "/>
  </r>
  <r>
    <x v="0"/>
    <s v="CC"/>
    <x v="425"/>
    <x v="425"/>
    <s v="CARDONA"/>
    <s v="SANCHEZ"/>
    <s v="JULIO"/>
    <s v="ENRIQUE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1650406"/>
    <s v="NO"/>
    <s v="NO"/>
    <x v="1"/>
    <n v="30"/>
    <n v="11650406"/>
    <n v="0.16"/>
    <n v="1864100"/>
    <s v=" "/>
    <n v="0"/>
    <n v="0"/>
    <n v="58300"/>
    <n v="58300"/>
    <n v="0"/>
    <n v="1980700"/>
    <s v="NINGUNA"/>
    <x v="8"/>
    <n v="30"/>
    <n v="11650406"/>
    <n v="0.04"/>
    <n v="466100"/>
    <n v="0"/>
    <s v="               "/>
    <n v="0"/>
    <s v="               "/>
    <n v="0"/>
    <s v="NINGUNA"/>
    <x v="0"/>
    <n v="30"/>
    <n v="11650406"/>
    <n v="6.9599999999999995E-2"/>
    <s v="5"/>
    <s v="CENTRO TRABAJO 24"/>
    <s v="5711001"/>
    <n v="810900"/>
    <n v="30"/>
    <x v="0"/>
    <n v="11650406"/>
    <n v="0.04"/>
    <n v="466100"/>
    <n v="11650406"/>
    <n v="0"/>
    <n v="0"/>
    <n v="0"/>
    <n v="0"/>
    <n v="0"/>
    <n v="0"/>
    <n v="0"/>
    <n v="0"/>
    <s v="SI"/>
    <s v="  "/>
    <s v="                "/>
  </r>
  <r>
    <x v="0"/>
    <s v="CC"/>
    <x v="426"/>
    <x v="426"/>
    <s v="POVEDA"/>
    <s v="TOBAR"/>
    <s v="ROBERT"/>
    <s v="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4937231"/>
    <s v="NO"/>
    <s v="NO"/>
    <x v="1"/>
    <n v="30"/>
    <n v="5616084"/>
    <n v="0.16"/>
    <n v="898600"/>
    <s v=" "/>
    <n v="0"/>
    <n v="0"/>
    <n v="0"/>
    <n v="0"/>
    <n v="0"/>
    <n v="898600"/>
    <s v="NINGUNA"/>
    <x v="0"/>
    <n v="30"/>
    <n v="5616084"/>
    <n v="0.04"/>
    <n v="224700"/>
    <n v="0"/>
    <s v="               "/>
    <n v="0"/>
    <s v="               "/>
    <n v="0"/>
    <s v="NINGUNA"/>
    <x v="0"/>
    <n v="30"/>
    <n v="5616084"/>
    <n v="6.9599999999999995E-2"/>
    <s v="5"/>
    <s v="CENTRO TRABAJO 24"/>
    <s v="5711001"/>
    <n v="390900"/>
    <n v="30"/>
    <x v="0"/>
    <n v="4937231"/>
    <n v="0.04"/>
    <n v="197500"/>
    <n v="4937231"/>
    <n v="0"/>
    <n v="0"/>
    <n v="0"/>
    <n v="0"/>
    <n v="0"/>
    <n v="0"/>
    <n v="0"/>
    <n v="0"/>
    <s v="SI"/>
    <s v="  "/>
    <s v="                "/>
  </r>
  <r>
    <x v="0"/>
    <s v="CC"/>
    <x v="427"/>
    <x v="427"/>
    <s v="BERNAL"/>
    <s v="LOZANO"/>
    <s v="JORGE"/>
    <s v="HUMBERT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1"/>
    <s v="NO"/>
    <s v="NO"/>
    <m/>
    <m/>
    <n v="0"/>
    <m/>
    <m/>
    <s v="NO"/>
    <n v="6167245"/>
    <s v="NO"/>
    <s v="SI"/>
    <x v="1"/>
    <n v="3"/>
    <n v="616725"/>
    <n v="0.16"/>
    <n v="98700"/>
    <s v=" "/>
    <n v="0"/>
    <n v="0"/>
    <n v="0"/>
    <n v="0"/>
    <n v="0"/>
    <n v="98700"/>
    <s v="NINGUNA"/>
    <x v="0"/>
    <n v="3"/>
    <n v="616725"/>
    <n v="0.04"/>
    <n v="24700"/>
    <n v="0"/>
    <s v="               "/>
    <n v="0"/>
    <s v="               "/>
    <n v="0"/>
    <s v="NINGUNA"/>
    <x v="0"/>
    <n v="3"/>
    <n v="616725"/>
    <n v="0"/>
    <s v="5"/>
    <s v="CENTRO TRABAJO 24"/>
    <s v="5711001"/>
    <n v="0"/>
    <n v="3"/>
    <x v="0"/>
    <n v="616725"/>
    <n v="0.04"/>
    <n v="24700"/>
    <n v="616725"/>
    <n v="0"/>
    <n v="0"/>
    <n v="0"/>
    <n v="0"/>
    <n v="0"/>
    <n v="0"/>
    <n v="0"/>
    <n v="0"/>
    <s v="SI"/>
    <s v="  "/>
    <s v="                "/>
  </r>
  <r>
    <x v="0"/>
    <s v="CC"/>
    <x v="427"/>
    <x v="427"/>
    <s v="BERNAL"/>
    <s v="LOZANO"/>
    <s v="JORGE"/>
    <s v="HUMBERTO"/>
    <s v="BOGOTA_D.E."/>
    <s v="BOGOTA"/>
    <s v="1. DEPENDIENTE"/>
    <s v="NINGUNO"/>
    <n v="153"/>
    <s v="NO"/>
    <s v="NO"/>
    <m/>
    <s v="NO"/>
    <m/>
    <s v="NO"/>
    <m/>
    <s v="NO"/>
    <s v="NO"/>
    <s v="NO"/>
    <s v="NO"/>
    <s v="SI"/>
    <n v="46054"/>
    <s v="NO"/>
    <s v="NO"/>
    <m/>
    <m/>
    <s v="NO"/>
    <m/>
    <m/>
    <s v="NO"/>
    <m/>
    <m/>
    <s v="NO"/>
    <m/>
    <m/>
    <s v="NO"/>
    <s v="NO"/>
    <m/>
    <m/>
    <n v="0"/>
    <m/>
    <m/>
    <s v="NO"/>
    <n v="6167245"/>
    <s v="NO"/>
    <s v="SI"/>
    <x v="1"/>
    <n v="27"/>
    <n v="5550521"/>
    <n v="0.16"/>
    <n v="888100"/>
    <s v=" "/>
    <n v="0"/>
    <n v="0"/>
    <n v="0"/>
    <n v="0"/>
    <n v="0"/>
    <n v="888100"/>
    <s v="NINGUNA"/>
    <x v="0"/>
    <n v="27"/>
    <n v="5550521"/>
    <n v="0.04"/>
    <n v="222100"/>
    <n v="0"/>
    <s v="               "/>
    <n v="0"/>
    <s v="               "/>
    <n v="0"/>
    <s v="NINGUNA"/>
    <x v="0"/>
    <n v="27"/>
    <n v="5550521"/>
    <n v="6.9599999999999995E-2"/>
    <s v="5"/>
    <s v="CENTRO TRABAJO 24"/>
    <s v="5711001"/>
    <n v="386400"/>
    <n v="27"/>
    <x v="0"/>
    <n v="5550521"/>
    <n v="0.04"/>
    <n v="222100"/>
    <n v="5550521"/>
    <n v="0"/>
    <n v="0"/>
    <n v="0"/>
    <n v="0"/>
    <n v="0"/>
    <n v="0"/>
    <n v="0"/>
    <n v="0"/>
    <s v="SI"/>
    <s v="  "/>
    <s v="                "/>
  </r>
  <r>
    <x v="0"/>
    <s v="CC"/>
    <x v="428"/>
    <x v="428"/>
    <s v="PARRA"/>
    <s v="DELGADO"/>
    <s v="JOSE"/>
    <s v="GABRI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4"/>
    <n v="46055"/>
    <s v="NO"/>
    <m/>
    <m/>
    <s v="NO"/>
    <m/>
    <m/>
    <s v="NO"/>
    <s v="NO"/>
    <m/>
    <m/>
    <n v="0"/>
    <m/>
    <m/>
    <s v="NO"/>
    <n v="2223339"/>
    <s v="NO"/>
    <s v="NO"/>
    <x v="1"/>
    <n v="2"/>
    <n v="255500"/>
    <n v="0.16"/>
    <n v="40900"/>
    <s v=" "/>
    <n v="0"/>
    <n v="0"/>
    <n v="0"/>
    <n v="0"/>
    <n v="0"/>
    <n v="40900"/>
    <s v="NINGUNA"/>
    <x v="3"/>
    <n v="2"/>
    <n v="255500"/>
    <n v="0.04"/>
    <n v="10300"/>
    <n v="0"/>
    <s v="               "/>
    <n v="0"/>
    <s v="               "/>
    <n v="0"/>
    <s v="NINGUNA"/>
    <x v="0"/>
    <n v="2"/>
    <n v="25550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428"/>
    <x v="428"/>
    <s v="PARRA"/>
    <s v="DELGADO"/>
    <s v="JOSE"/>
    <s v="GABRI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10"/>
    <n v="46072"/>
    <n v="46081"/>
    <s v="NO"/>
    <n v="2223339"/>
    <s v="NO"/>
    <s v="NO"/>
    <x v="1"/>
    <n v="10"/>
    <n v="1277500"/>
    <n v="0.16"/>
    <n v="204400"/>
    <s v=" "/>
    <n v="0"/>
    <n v="0"/>
    <n v="0"/>
    <n v="0"/>
    <n v="0"/>
    <n v="204400"/>
    <s v="NINGUNA"/>
    <x v="3"/>
    <n v="10"/>
    <n v="1277500"/>
    <n v="0.04"/>
    <n v="51100"/>
    <n v="0"/>
    <s v="               "/>
    <n v="0"/>
    <s v="               "/>
    <n v="0"/>
    <s v="NINGUNA"/>
    <x v="0"/>
    <n v="10"/>
    <n v="1277500"/>
    <n v="0"/>
    <s v="5"/>
    <s v="CENTRO TRABAJO 24"/>
    <s v="5711001"/>
    <n v="0"/>
    <n v="10"/>
    <x v="0"/>
    <n v="0"/>
    <n v="0"/>
    <n v="0"/>
    <n v="0"/>
    <n v="0"/>
    <n v="0"/>
    <n v="0"/>
    <n v="0"/>
    <n v="0"/>
    <n v="0"/>
    <n v="0"/>
    <n v="0"/>
    <s v="SI"/>
    <s v="  "/>
    <s v="                "/>
  </r>
  <r>
    <x v="0"/>
    <s v="CC"/>
    <x v="428"/>
    <x v="428"/>
    <s v="PARRA"/>
    <s v="DELGADO"/>
    <s v="JOSE"/>
    <s v="GABRIEL"/>
    <s v="BOGOTA_D.E."/>
    <s v="BOGOTA"/>
    <s v="1. DEPENDIENTE"/>
    <s v="NINGUNO"/>
    <n v="14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18"/>
    <n v="2056842"/>
    <n v="0.16"/>
    <n v="329100"/>
    <s v=" "/>
    <n v="0"/>
    <n v="0"/>
    <n v="0"/>
    <n v="0"/>
    <n v="0"/>
    <n v="329100"/>
    <s v="NINGUNA"/>
    <x v="3"/>
    <n v="18"/>
    <n v="2056842"/>
    <n v="0.04"/>
    <n v="82300"/>
    <n v="0"/>
    <s v="               "/>
    <n v="0"/>
    <s v="               "/>
    <n v="0"/>
    <s v="NINGUNA"/>
    <x v="0"/>
    <n v="18"/>
    <n v="2056842"/>
    <n v="6.9599999999999995E-2"/>
    <s v="5"/>
    <s v="CENTRO TRABAJO 24"/>
    <s v="5711001"/>
    <n v="143200"/>
    <n v="18"/>
    <x v="0"/>
    <n v="2056842"/>
    <n v="0.04"/>
    <n v="82300"/>
    <n v="2056842"/>
    <n v="0"/>
    <n v="0"/>
    <n v="0"/>
    <n v="0"/>
    <n v="0"/>
    <n v="0"/>
    <n v="0"/>
    <n v="0"/>
    <s v="SI"/>
    <s v="  "/>
    <s v="                "/>
  </r>
  <r>
    <x v="0"/>
    <s v="CC"/>
    <x v="429"/>
    <x v="429"/>
    <s v="HERNANDEZ"/>
    <s v="BOMBITA"/>
    <s v="CARLOS"/>
    <s v="ALBERTO"/>
    <s v="BOGOTA_D.E."/>
    <s v="BOGOTA"/>
    <s v="1. DEPENDIENTE"/>
    <s v="NINGUNO"/>
    <n v="68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SI"/>
    <x v="2"/>
    <n v="7"/>
    <n v="1757051"/>
    <n v="0.16"/>
    <n v="281200"/>
    <s v=" "/>
    <n v="0"/>
    <n v="0"/>
    <n v="0"/>
    <n v="0"/>
    <n v="0"/>
    <n v="281200"/>
    <s v="NINGUNA"/>
    <x v="0"/>
    <n v="7"/>
    <n v="1757051"/>
    <n v="0.04"/>
    <n v="70300"/>
    <n v="0"/>
    <s v="               "/>
    <n v="0"/>
    <s v="               "/>
    <n v="0"/>
    <s v="NINGUNA"/>
    <x v="0"/>
    <n v="7"/>
    <n v="1757051"/>
    <n v="6.9599999999999995E-2"/>
    <s v="5"/>
    <s v="CENTRO TRABAJO 24"/>
    <s v="5711001"/>
    <n v="122300"/>
    <n v="7"/>
    <x v="0"/>
    <n v="2340224"/>
    <n v="0.04"/>
    <n v="93700"/>
    <n v="2340224"/>
    <n v="0"/>
    <n v="0"/>
    <n v="0"/>
    <n v="0"/>
    <n v="0"/>
    <n v="0"/>
    <n v="0"/>
    <n v="0"/>
    <s v="SI"/>
    <s v="  "/>
    <s v="                "/>
  </r>
  <r>
    <x v="0"/>
    <s v="CC"/>
    <x v="430"/>
    <x v="430"/>
    <s v="GUZMAN"/>
    <s v="PEÑA"/>
    <s v="JOSE"/>
    <s v="LEONARD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16882380"/>
    <s v="NO"/>
    <s v="NO"/>
    <x v="2"/>
    <n v="30"/>
    <n v="16882380"/>
    <n v="0.16"/>
    <n v="2701200"/>
    <s v=" "/>
    <n v="0"/>
    <n v="0"/>
    <n v="84500"/>
    <n v="84500"/>
    <n v="0"/>
    <n v="2870200"/>
    <s v="NINGUNA"/>
    <x v="2"/>
    <n v="30"/>
    <n v="16882380"/>
    <n v="0.125"/>
    <n v="2110300"/>
    <n v="0"/>
    <s v="               "/>
    <n v="0"/>
    <s v="               "/>
    <n v="0"/>
    <s v="NINGUNA"/>
    <x v="0"/>
    <n v="30"/>
    <n v="16882380"/>
    <n v="6.9599999999999995E-2"/>
    <s v="5"/>
    <s v="CENTRO TRABAJO 24"/>
    <s v="5711001"/>
    <n v="1175100"/>
    <n v="30"/>
    <x v="0"/>
    <n v="16882380"/>
    <n v="0.04"/>
    <n v="675300"/>
    <n v="16882380"/>
    <n v="0.02"/>
    <n v="337700"/>
    <n v="0.03"/>
    <n v="506500"/>
    <n v="0"/>
    <n v="0"/>
    <n v="0"/>
    <n v="0"/>
    <s v="SI"/>
    <s v="  "/>
    <s v="                "/>
  </r>
  <r>
    <x v="0"/>
    <s v="CC"/>
    <x v="431"/>
    <x v="431"/>
    <s v="CARDENAS"/>
    <s v="FIGUEROA"/>
    <s v="OSCAR"/>
    <s v="ORLAN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0"/>
    <s v="NO"/>
    <s v="NO"/>
    <m/>
    <m/>
    <n v="0"/>
    <m/>
    <m/>
    <s v="NO"/>
    <n v="7458355"/>
    <s v="NO"/>
    <s v="SI"/>
    <x v="1"/>
    <n v="7"/>
    <n v="1740283"/>
    <n v="0.16"/>
    <n v="278500"/>
    <s v=" "/>
    <n v="0"/>
    <n v="0"/>
    <n v="8800"/>
    <n v="8800"/>
    <n v="0"/>
    <n v="296100"/>
    <s v="NINGUNA"/>
    <x v="8"/>
    <n v="7"/>
    <n v="1740283"/>
    <n v="0.04"/>
    <n v="69700"/>
    <n v="0"/>
    <s v="               "/>
    <n v="0"/>
    <s v="               "/>
    <n v="0"/>
    <s v="NINGUNA"/>
    <x v="0"/>
    <n v="7"/>
    <n v="1740283"/>
    <n v="0"/>
    <s v="5"/>
    <s v="CENTRO TRABAJO 24"/>
    <s v="5711001"/>
    <n v="0"/>
    <n v="7"/>
    <x v="0"/>
    <n v="1740283"/>
    <n v="0.04"/>
    <n v="69700"/>
    <n v="1740283"/>
    <n v="0"/>
    <n v="0"/>
    <n v="0"/>
    <n v="0"/>
    <n v="0"/>
    <n v="0"/>
    <n v="0"/>
    <n v="0"/>
    <s v="SI"/>
    <s v="  "/>
    <s v="                "/>
  </r>
  <r>
    <x v="0"/>
    <s v="CC"/>
    <x v="431"/>
    <x v="431"/>
    <s v="CARDENAS"/>
    <s v="FIGUEROA"/>
    <s v="OSCAR"/>
    <s v="ORLANDO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7458355"/>
    <s v="NO"/>
    <s v="SI"/>
    <x v="1"/>
    <n v="23"/>
    <n v="5718073"/>
    <n v="0.16"/>
    <n v="914900"/>
    <s v=" "/>
    <n v="0"/>
    <n v="0"/>
    <n v="28600"/>
    <n v="28600"/>
    <n v="0"/>
    <n v="972100"/>
    <s v="NINGUNA"/>
    <x v="8"/>
    <n v="23"/>
    <n v="5718073"/>
    <n v="0.04"/>
    <n v="228800"/>
    <n v="0"/>
    <s v="               "/>
    <n v="0"/>
    <s v="               "/>
    <n v="0"/>
    <s v="NINGUNA"/>
    <x v="0"/>
    <n v="23"/>
    <n v="5718073"/>
    <n v="6.9599999999999995E-2"/>
    <s v="5"/>
    <s v="CENTRO TRABAJO 24"/>
    <s v="5711001"/>
    <n v="398000"/>
    <n v="23"/>
    <x v="0"/>
    <n v="5718073"/>
    <n v="0.04"/>
    <n v="228800"/>
    <n v="5718073"/>
    <n v="0"/>
    <n v="0"/>
    <n v="0"/>
    <n v="0"/>
    <n v="0"/>
    <n v="0"/>
    <n v="0"/>
    <n v="0"/>
    <s v="SI"/>
    <s v="  "/>
    <s v="                "/>
  </r>
  <r>
    <x v="0"/>
    <s v="CC"/>
    <x v="432"/>
    <x v="432"/>
    <s v="VILLATE"/>
    <s v="GOMEZ"/>
    <s v="LUIS"/>
    <s v="FRANCISCO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3160713"/>
    <n v="0.16"/>
    <n v="505800"/>
    <s v=" "/>
    <n v="0"/>
    <n v="0"/>
    <n v="0"/>
    <n v="0"/>
    <n v="0"/>
    <n v="505800"/>
    <s v="NINGUNA"/>
    <x v="0"/>
    <n v="30"/>
    <n v="3160713"/>
    <n v="0.04"/>
    <n v="126500"/>
    <n v="0"/>
    <s v="               "/>
    <n v="0"/>
    <s v="               "/>
    <n v="0"/>
    <s v="NINGUNA"/>
    <x v="0"/>
    <n v="30"/>
    <n v="3160713"/>
    <n v="6.9599999999999995E-2"/>
    <s v="5"/>
    <s v="CENTRO TRABAJO 24"/>
    <s v="5711001"/>
    <n v="220000"/>
    <n v="30"/>
    <x v="0"/>
    <n v="3160713"/>
    <n v="0.04"/>
    <n v="126500"/>
    <n v="3160713"/>
    <n v="0"/>
    <n v="0"/>
    <n v="0"/>
    <n v="0"/>
    <n v="0"/>
    <n v="0"/>
    <n v="0"/>
    <n v="0"/>
    <s v="SI"/>
    <s v="  "/>
    <s v="                "/>
  </r>
  <r>
    <x v="0"/>
    <s v="CC"/>
    <x v="433"/>
    <x v="433"/>
    <s v="GUZMAN"/>
    <s v="BOHADA"/>
    <s v="MAURICIO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81"/>
    <s v="NO"/>
    <s v="NO"/>
    <m/>
    <m/>
    <n v="0"/>
    <m/>
    <m/>
    <s v="NO"/>
    <n v="2418000"/>
    <s v="NO"/>
    <s v="NO"/>
    <x v="1"/>
    <n v="30"/>
    <n v="2418000"/>
    <n v="0.16"/>
    <n v="386900"/>
    <s v=" "/>
    <n v="0"/>
    <n v="0"/>
    <n v="0"/>
    <n v="0"/>
    <n v="0"/>
    <n v="386900"/>
    <s v="NINGUNA"/>
    <x v="2"/>
    <n v="30"/>
    <n v="2418000"/>
    <n v="0.04"/>
    <n v="96800"/>
    <n v="0"/>
    <s v="               "/>
    <n v="0"/>
    <s v="               "/>
    <n v="0"/>
    <s v="NINGUNA"/>
    <x v="0"/>
    <n v="30"/>
    <n v="2418000"/>
    <n v="0"/>
    <s v="1"/>
    <s v="CENTRO TRABAJO 24"/>
    <s v="1711001"/>
    <n v="0"/>
    <n v="30"/>
    <x v="0"/>
    <n v="2418000"/>
    <n v="0.04"/>
    <n v="96800"/>
    <n v="2418000"/>
    <n v="0"/>
    <n v="0"/>
    <n v="0"/>
    <n v="0"/>
    <n v="0"/>
    <n v="0"/>
    <n v="0"/>
    <n v="0"/>
    <s v="SI"/>
    <s v="  "/>
    <s v="                "/>
  </r>
  <r>
    <x v="0"/>
    <s v="CC"/>
    <x v="434"/>
    <x v="434"/>
    <s v="MORENO"/>
    <s v="CASTRO"/>
    <s v="JOSE"/>
    <s v="ANTONIO"/>
    <s v="BOGOTA_D.E."/>
    <s v="BOGOTA"/>
    <s v="1. DEPENDIENTE"/>
    <s v="NINGUNO"/>
    <n v="67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1"/>
    <n v="7"/>
    <n v="2189385"/>
    <n v="0.16"/>
    <n v="350400"/>
    <s v=" "/>
    <n v="0"/>
    <n v="0"/>
    <n v="0"/>
    <n v="0"/>
    <n v="0"/>
    <n v="350400"/>
    <s v="NINGUNA"/>
    <x v="3"/>
    <n v="7"/>
    <n v="2189385"/>
    <n v="0.125"/>
    <n v="273700"/>
    <n v="0"/>
    <s v="               "/>
    <n v="0"/>
    <s v="               "/>
    <n v="0"/>
    <s v="NINGUNA"/>
    <x v="0"/>
    <n v="7"/>
    <n v="2189385"/>
    <n v="6.9599999999999995E-2"/>
    <s v="5"/>
    <s v="CENTRO TRABAJO 24"/>
    <s v="5711001"/>
    <n v="152400"/>
    <n v="7"/>
    <x v="0"/>
    <n v="3329190"/>
    <n v="0.04"/>
    <n v="133200"/>
    <n v="3329190"/>
    <n v="0.02"/>
    <n v="66600"/>
    <n v="0.03"/>
    <n v="99900"/>
    <n v="0"/>
    <n v="0"/>
    <n v="0"/>
    <n v="0"/>
    <s v="SI"/>
    <s v="  "/>
    <s v="                "/>
  </r>
  <r>
    <x v="0"/>
    <s v="CC"/>
    <x v="435"/>
    <x v="435"/>
    <s v="LOAIZA"/>
    <s v="GOMEZ"/>
    <s v="IVAN"/>
    <s v="DARIO"/>
    <s v="ANTIOQUIA"/>
    <s v="MEDELLIN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515144"/>
    <n v="0.16"/>
    <n v="402500"/>
    <s v=" "/>
    <n v="0"/>
    <n v="0"/>
    <n v="0"/>
    <n v="0"/>
    <n v="0"/>
    <n v="402500"/>
    <s v="NINGUNA"/>
    <x v="0"/>
    <n v="30"/>
    <n v="2515144"/>
    <n v="0.04"/>
    <n v="100700"/>
    <n v="0"/>
    <s v="               "/>
    <n v="0"/>
    <s v="               "/>
    <n v="0"/>
    <s v="NINGUNA"/>
    <x v="0"/>
    <n v="30"/>
    <n v="2515144"/>
    <n v="6.9599999999999995E-2"/>
    <s v="5"/>
    <s v="CENTRO TRABAJO 4"/>
    <s v="5711001"/>
    <n v="175100"/>
    <n v="30"/>
    <x v="4"/>
    <n v="2515144"/>
    <n v="0.04"/>
    <n v="100700"/>
    <n v="2515144"/>
    <n v="0"/>
    <n v="0"/>
    <n v="0"/>
    <n v="0"/>
    <n v="0"/>
    <n v="0"/>
    <n v="0"/>
    <n v="0"/>
    <s v="SI"/>
    <s v="  "/>
    <s v="                "/>
  </r>
  <r>
    <x v="0"/>
    <s v="CC"/>
    <x v="436"/>
    <x v="436"/>
    <s v="OSORIO"/>
    <s v="BENJUMEA"/>
    <s v="JHON"/>
    <s v="JAIRO"/>
    <s v="ANTIOQUIA"/>
    <s v="MEDELLIN"/>
    <s v="1. DEPENDIENTE"/>
    <s v="NINGUNO"/>
    <n v="22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86374"/>
    <s v="NO"/>
    <s v="NO"/>
    <x v="1"/>
    <n v="30"/>
    <n v="2920092"/>
    <n v="0.16"/>
    <n v="467300"/>
    <s v=" "/>
    <n v="0"/>
    <n v="0"/>
    <n v="0"/>
    <n v="0"/>
    <n v="0"/>
    <n v="467300"/>
    <s v="NINGUNA"/>
    <x v="2"/>
    <n v="30"/>
    <n v="2920092"/>
    <n v="0.04"/>
    <n v="116900"/>
    <n v="0"/>
    <s v="               "/>
    <n v="0"/>
    <s v="               "/>
    <n v="0"/>
    <s v="NINGUNA"/>
    <x v="0"/>
    <n v="30"/>
    <n v="2920092"/>
    <n v="2.436E-2"/>
    <s v="3"/>
    <s v="CENTRO TRABAJO 4"/>
    <s v="3711001"/>
    <n v="71200"/>
    <n v="30"/>
    <x v="4"/>
    <n v="2920092"/>
    <n v="0.04"/>
    <n v="116900"/>
    <n v="2920092"/>
    <n v="0"/>
    <n v="0"/>
    <n v="0"/>
    <n v="0"/>
    <n v="0"/>
    <n v="0"/>
    <n v="0"/>
    <n v="0"/>
    <s v="SI"/>
    <s v="  "/>
    <s v="                "/>
  </r>
  <r>
    <x v="0"/>
    <s v="CC"/>
    <x v="437"/>
    <x v="437"/>
    <s v="ESPINOSA"/>
    <s v="JARAMILLO"/>
    <s v="OVER"/>
    <s v="ALONSO"/>
    <s v="BOGOTA_D.E."/>
    <s v="BOGOTA"/>
    <s v="1. DEPENDIENTE"/>
    <s v="NINGUNO"/>
    <n v="21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996237"/>
    <n v="0.16"/>
    <n v="479400"/>
    <s v=" "/>
    <n v="0"/>
    <n v="0"/>
    <n v="0"/>
    <n v="0"/>
    <n v="0"/>
    <n v="479400"/>
    <s v="NINGUNA"/>
    <x v="0"/>
    <n v="30"/>
    <n v="2996237"/>
    <n v="0.04"/>
    <n v="119900"/>
    <n v="0"/>
    <s v="               "/>
    <n v="0"/>
    <s v="               "/>
    <n v="0"/>
    <s v="NINGUNA"/>
    <x v="0"/>
    <n v="30"/>
    <n v="2996237"/>
    <n v="6.9599999999999995E-2"/>
    <s v="5"/>
    <s v="CENTRO TRABAJO 24"/>
    <s v="5711001"/>
    <n v="208600"/>
    <n v="30"/>
    <x v="0"/>
    <n v="2996237"/>
    <n v="0.04"/>
    <n v="119900"/>
    <n v="2996237"/>
    <n v="0"/>
    <n v="0"/>
    <n v="0"/>
    <n v="0"/>
    <n v="0"/>
    <n v="0"/>
    <n v="0"/>
    <n v="0"/>
    <s v="SI"/>
    <s v="  "/>
    <s v="                "/>
  </r>
  <r>
    <x v="1"/>
    <s v="CC"/>
    <x v="0"/>
    <x v="0"/>
    <s v="MENDEZ"/>
    <s v="ROJAS"/>
    <s v="CARLOS"/>
    <s v="ALBERT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32509"/>
    <n v="0.15999999642372131"/>
    <n v="325300"/>
    <s v="Sin Riesgo"/>
    <n v="0"/>
    <n v="0"/>
    <n v="0"/>
    <n v="0"/>
    <n v="0"/>
    <n v="325300"/>
    <s v="NINGUNA"/>
    <x v="0"/>
    <n v="30"/>
    <n v="2032509"/>
    <n v="3.9999999105930328E-2"/>
    <n v="81400"/>
    <n v="0"/>
    <m/>
    <n v="0"/>
    <m/>
    <n v="0"/>
    <s v="NINGUNA"/>
    <x v="0"/>
    <n v="30"/>
    <n v="2032509"/>
    <n v="6.9600000977516174E-2"/>
    <s v="5"/>
    <s v="CENTRO TRABAJO 24"/>
    <s v="5711001"/>
    <n v="141500"/>
    <n v="30"/>
    <x v="0"/>
    <n v="2032509"/>
    <n v="3.9999999105930328E-2"/>
    <n v="81400"/>
    <n v="0"/>
    <n v="0"/>
    <n v="0"/>
    <n v="0"/>
    <n v="0"/>
    <n v="0"/>
    <n v="0"/>
    <n v="0"/>
    <n v="0"/>
    <s v="SI"/>
    <s v=" "/>
    <s v="                "/>
  </r>
  <r>
    <x v="1"/>
    <s v="CC"/>
    <x v="1"/>
    <x v="1"/>
    <s v="MOSQUERA"/>
    <s v="MOSQUERA"/>
    <s v="BRAYAN"/>
    <s v="STIVEN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4"/>
    <n v="233454"/>
    <n v="0.15999999642372131"/>
    <n v="37400"/>
    <s v="Sin Riesgo"/>
    <n v="0"/>
    <n v="0"/>
    <n v="0"/>
    <n v="0"/>
    <n v="0"/>
    <n v="37400"/>
    <s v="NINGUNA"/>
    <x v="1"/>
    <n v="4"/>
    <n v="233454"/>
    <n v="3.9999999105930328E-2"/>
    <n v="9400"/>
    <n v="0"/>
    <m/>
    <n v="0"/>
    <m/>
    <n v="0"/>
    <s v="NINGUNA"/>
    <x v="0"/>
    <n v="4"/>
    <n v="233454"/>
    <n v="6.9600000977516174E-2"/>
    <s v="5"/>
    <s v="CENTRO TRABAJO 24"/>
    <s v="5711001"/>
    <n v="16300"/>
    <n v="4"/>
    <x v="0"/>
    <n v="233454"/>
    <n v="3.9999999105930328E-2"/>
    <n v="9400"/>
    <n v="0"/>
    <n v="0"/>
    <n v="0"/>
    <n v="0"/>
    <n v="0"/>
    <n v="0"/>
    <n v="0"/>
    <n v="0"/>
    <n v="0"/>
    <s v="SI"/>
    <s v=" "/>
    <s v="                "/>
  </r>
  <r>
    <x v="1"/>
    <s v="CC"/>
    <x v="2"/>
    <x v="2"/>
    <s v="RUA"/>
    <s v="MANGA"/>
    <s v="CARLOS"/>
    <s v="MARIO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0"/>
    <n v="30"/>
    <n v="2222363"/>
    <n v="0.15999999642372131"/>
    <n v="355600"/>
    <s v="Sin Riesgo"/>
    <n v="0"/>
    <n v="0"/>
    <n v="0"/>
    <n v="0"/>
    <n v="0"/>
    <n v="355600"/>
    <s v="NINGUNA"/>
    <x v="2"/>
    <n v="30"/>
    <n v="2222363"/>
    <n v="3.9999999105930328E-2"/>
    <n v="88900"/>
    <n v="0"/>
    <m/>
    <n v="0"/>
    <m/>
    <n v="0"/>
    <s v="NINGUNA"/>
    <x v="0"/>
    <n v="30"/>
    <n v="2222363"/>
    <n v="6.9600000977516174E-2"/>
    <s v="5"/>
    <s v="CENTRO TRABAJO 30"/>
    <s v="5711001"/>
    <n v="154700"/>
    <n v="30"/>
    <x v="1"/>
    <n v="2222363"/>
    <n v="3.9999999105930328E-2"/>
    <n v="88900"/>
    <n v="0"/>
    <n v="0"/>
    <n v="0"/>
    <n v="0"/>
    <n v="0"/>
    <n v="0"/>
    <n v="0"/>
    <n v="0"/>
    <n v="0"/>
    <s v="SI"/>
    <s v=" "/>
    <s v="                "/>
  </r>
  <r>
    <x v="1"/>
    <s v="CC"/>
    <x v="3"/>
    <x v="3"/>
    <s v="SANTANA"/>
    <s v="VIDES"/>
    <s v="OSCAR"/>
    <s v="JUNIOR"/>
    <s v="BOLIVAR"/>
    <s v="CARTAGENA"/>
    <s v="1. DEPENDIENTE"/>
    <s v="NINGUNO"/>
    <n v="20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308750"/>
    <s v="NO"/>
    <s v="NO"/>
    <x v="0"/>
    <n v="30"/>
    <n v="2643077"/>
    <n v="0.15999999642372131"/>
    <n v="422900"/>
    <s v="Sin Riesgo"/>
    <n v="0"/>
    <n v="0"/>
    <n v="0"/>
    <n v="0"/>
    <n v="0"/>
    <n v="422900"/>
    <s v="NINGUNA"/>
    <x v="0"/>
    <n v="30"/>
    <n v="2643077"/>
    <n v="3.9999999105930328E-2"/>
    <n v="105800"/>
    <n v="0"/>
    <m/>
    <n v="0"/>
    <m/>
    <n v="0"/>
    <s v="NINGUNA"/>
    <x v="0"/>
    <n v="30"/>
    <n v="2643077"/>
    <n v="6.9600000977516174E-2"/>
    <s v="5"/>
    <s v="CENTRO TRABAJO 8"/>
    <s v="5711001"/>
    <n v="184000"/>
    <n v="30"/>
    <x v="2"/>
    <n v="2584226"/>
    <n v="3.9999999105930328E-2"/>
    <n v="103400"/>
    <n v="0"/>
    <n v="0"/>
    <n v="0"/>
    <n v="0"/>
    <n v="0"/>
    <n v="0"/>
    <n v="0"/>
    <n v="0"/>
    <n v="0"/>
    <s v="SI"/>
    <s v=" "/>
    <s v="                "/>
  </r>
  <r>
    <x v="1"/>
    <s v="CC"/>
    <x v="4"/>
    <x v="4"/>
    <s v="CANTILLO"/>
    <s v="PERTUZ"/>
    <s v="GIANTKHRLOOS"/>
    <s v="G.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2"/>
    <n v="1"/>
    <n v="58364"/>
    <n v="3.9999999105930328E-2"/>
    <n v="2400"/>
    <n v="0"/>
    <m/>
    <n v="0"/>
    <m/>
    <n v="0"/>
    <s v="NINGUNA"/>
    <x v="0"/>
    <n v="1"/>
    <n v="58364"/>
    <n v="0"/>
    <s v="5"/>
    <s v="CENTRO TRABAJO 24"/>
    <s v="5711001"/>
    <n v="0"/>
    <n v="1"/>
    <x v="0"/>
    <n v="58364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4"/>
    <x v="4"/>
    <s v="CANTILLO"/>
    <s v="PERTUZ"/>
    <s v="GIANTKHRLOOS"/>
    <s v="G.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9"/>
    <n v="2073895"/>
    <n v="0.15999999642372131"/>
    <n v="331900"/>
    <s v="Sin Riesgo"/>
    <n v="0"/>
    <n v="0"/>
    <n v="0"/>
    <n v="0"/>
    <n v="0"/>
    <n v="331900"/>
    <s v="NINGUNA"/>
    <x v="2"/>
    <n v="29"/>
    <n v="2073895"/>
    <n v="3.9999999105930328E-2"/>
    <n v="83000"/>
    <n v="0"/>
    <m/>
    <n v="0"/>
    <m/>
    <n v="0"/>
    <s v="NINGUNA"/>
    <x v="0"/>
    <n v="29"/>
    <n v="2073895"/>
    <n v="6.9600000977516174E-2"/>
    <s v="5"/>
    <s v="CENTRO TRABAJO 24"/>
    <s v="5711001"/>
    <n v="144400"/>
    <n v="29"/>
    <x v="0"/>
    <n v="2073895"/>
    <n v="3.9999999105930328E-2"/>
    <n v="83000"/>
    <n v="0"/>
    <n v="0"/>
    <n v="0"/>
    <n v="0"/>
    <n v="0"/>
    <n v="0"/>
    <n v="0"/>
    <n v="0"/>
    <n v="0"/>
    <s v="SI"/>
    <s v=" "/>
    <s v="                "/>
  </r>
  <r>
    <x v="1"/>
    <s v="CC"/>
    <x v="5"/>
    <x v="5"/>
    <s v="ZABALETA"/>
    <s v="SALCEDO"/>
    <s v="NEL"/>
    <s v="ENRIQU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5999999642372131"/>
    <n v="18700"/>
    <s v="Sin Riesgo"/>
    <n v="0"/>
    <n v="0"/>
    <n v="0"/>
    <n v="0"/>
    <n v="0"/>
    <n v="18700"/>
    <s v="NINGUNA"/>
    <x v="3"/>
    <n v="2"/>
    <n v="116727"/>
    <n v="0"/>
    <n v="0"/>
    <n v="0"/>
    <m/>
    <n v="0"/>
    <m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5"/>
    <x v="5"/>
    <s v="ZABALETA"/>
    <s v="SALCEDO"/>
    <s v="NEL"/>
    <s v="ENRIQU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5"/>
    <n v="46061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7"/>
    <n v="408545"/>
    <n v="0.15999999642372131"/>
    <n v="65400"/>
    <s v="Sin Riesgo"/>
    <n v="0"/>
    <n v="0"/>
    <n v="0"/>
    <n v="0"/>
    <n v="0"/>
    <n v="65400"/>
    <s v="NINGUNA"/>
    <x v="3"/>
    <n v="7"/>
    <n v="408545"/>
    <n v="0"/>
    <n v="0"/>
    <n v="0"/>
    <m/>
    <n v="0"/>
    <m/>
    <n v="0"/>
    <s v="NINGUNA"/>
    <x v="0"/>
    <n v="7"/>
    <n v="408545"/>
    <n v="0"/>
    <s v="5"/>
    <s v="CENTRO TRABAJO 24"/>
    <s v="5711001"/>
    <n v="0"/>
    <n v="7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5"/>
    <x v="5"/>
    <s v="ZABALETA"/>
    <s v="SALCEDO"/>
    <s v="NEL"/>
    <s v="ENRIQUE"/>
    <s v="BOGOTA_D.E."/>
    <s v="BOGOTA"/>
    <s v="1. DEPENDIENTE"/>
    <s v="NINGUNO"/>
    <n v="14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1"/>
    <n v="1545572"/>
    <n v="0.15999999642372131"/>
    <n v="247300"/>
    <s v="Sin Riesgo"/>
    <n v="0"/>
    <n v="0"/>
    <n v="0"/>
    <n v="0"/>
    <n v="0"/>
    <n v="247300"/>
    <s v="NINGUNA"/>
    <x v="3"/>
    <n v="21"/>
    <n v="1545572"/>
    <n v="3.9999999105930328E-2"/>
    <n v="61900"/>
    <n v="0"/>
    <m/>
    <n v="0"/>
    <m/>
    <n v="0"/>
    <s v="NINGUNA"/>
    <x v="0"/>
    <n v="21"/>
    <n v="1545572"/>
    <n v="6.9600000977516174E-2"/>
    <s v="5"/>
    <s v="CENTRO TRABAJO 24"/>
    <s v="5711001"/>
    <n v="107600"/>
    <n v="21"/>
    <x v="0"/>
    <n v="1545572"/>
    <n v="3.9999999105930328E-2"/>
    <n v="61900"/>
    <n v="0"/>
    <n v="0"/>
    <n v="0"/>
    <n v="0"/>
    <n v="0"/>
    <n v="0"/>
    <n v="0"/>
    <n v="0"/>
    <n v="0"/>
    <s v="SI"/>
    <s v=" "/>
    <s v="                "/>
  </r>
  <r>
    <x v="1"/>
    <s v="CC"/>
    <x v="6"/>
    <x v="6"/>
    <s v="SANCHEZ"/>
    <s v="VARGAS"/>
    <s v="OMAR"/>
    <s v="ALEJANDRO"/>
    <s v="BOGOTA_D.E."/>
    <s v="BOGOTA"/>
    <s v="1. DEPENDIENTE"/>
    <s v="NINGUNO"/>
    <n v="162"/>
    <s v="NO"/>
    <s v="NO"/>
    <m/>
    <s v="Todos los sistemas (ARL, AFP, CCF, EPS)"/>
    <n v="46059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5"/>
    <n v="2334844"/>
    <n v="0.15999999642372131"/>
    <n v="373600"/>
    <s v="Sin Riesgo"/>
    <n v="0"/>
    <n v="0"/>
    <n v="0"/>
    <n v="0"/>
    <n v="0"/>
    <n v="373600"/>
    <s v="NINGUNA"/>
    <x v="0"/>
    <n v="25"/>
    <n v="2334844"/>
    <n v="3.9999999105930328E-2"/>
    <n v="93400"/>
    <n v="0"/>
    <m/>
    <n v="0"/>
    <m/>
    <n v="0"/>
    <s v="NINGUNA"/>
    <x v="0"/>
    <n v="25"/>
    <n v="2334844"/>
    <n v="6.9600000977516174E-2"/>
    <s v="5"/>
    <s v="CENTRO TRABAJO 24"/>
    <s v="5711001"/>
    <n v="162600"/>
    <n v="25"/>
    <x v="0"/>
    <n v="2334844"/>
    <n v="3.9999999105930328E-2"/>
    <n v="93400"/>
    <n v="0"/>
    <n v="0"/>
    <n v="0"/>
    <n v="0"/>
    <n v="0"/>
    <n v="0"/>
    <n v="0"/>
    <n v="0"/>
    <n v="0"/>
    <s v="SI"/>
    <s v=" "/>
    <s v="                "/>
  </r>
  <r>
    <x v="1"/>
    <s v="CC"/>
    <x v="7"/>
    <x v="7"/>
    <s v="MANGA"/>
    <s v="FRIA"/>
    <s v="JUAN"/>
    <s v="LUIS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4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7"/>
    <x v="7"/>
    <s v="MANGA"/>
    <s v="FRIA"/>
    <s v="JUAN"/>
    <s v="LUIS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4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7"/>
    <x v="7"/>
    <s v="MANGA"/>
    <s v="FRIA"/>
    <s v="JUAN"/>
    <s v="LUIS"/>
    <s v="LA_GUAJIRA"/>
    <s v="RIOHACHA"/>
    <s v="1. DEPENDIENTE"/>
    <s v="NINGUNO"/>
    <n v="19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8"/>
    <n v="1972818"/>
    <n v="0.15999999642372131"/>
    <n v="315700"/>
    <s v="Sin Riesgo"/>
    <n v="0"/>
    <n v="0"/>
    <n v="0"/>
    <n v="0"/>
    <n v="0"/>
    <n v="315700"/>
    <s v="NINGUNA"/>
    <x v="4"/>
    <n v="28"/>
    <n v="1972818"/>
    <n v="3.9999999105930328E-2"/>
    <n v="79000"/>
    <n v="0"/>
    <m/>
    <n v="0"/>
    <m/>
    <n v="0"/>
    <s v="NINGUNA"/>
    <x v="0"/>
    <n v="28"/>
    <n v="1972818"/>
    <n v="6.9600000977516174E-2"/>
    <s v="5"/>
    <s v="CENTRO TRABAJO 30"/>
    <s v="5711001"/>
    <n v="137400"/>
    <n v="28"/>
    <x v="1"/>
    <n v="1972819"/>
    <n v="3.9999999105930328E-2"/>
    <n v="79000"/>
    <n v="0"/>
    <n v="0"/>
    <n v="0"/>
    <n v="0"/>
    <n v="0"/>
    <n v="0"/>
    <n v="0"/>
    <n v="0"/>
    <n v="0"/>
    <s v="SI"/>
    <s v=" "/>
    <s v="                "/>
  </r>
  <r>
    <x v="1"/>
    <s v="CC"/>
    <x v="8"/>
    <x v="8"/>
    <s v="OSORIO"/>
    <s v="HERNANDEZ"/>
    <s v="KEVIN"/>
    <s v="ALBERTO"/>
    <s v="BOGOTA_D.E."/>
    <s v="BOGOTA"/>
    <s v="1. DEPENDIENTE"/>
    <s v="NINGUNO"/>
    <n v="0"/>
    <s v="NO"/>
    <s v="NO"/>
    <m/>
    <s v="Todos los sistemas (ARL, AFP, CCF, EPS)"/>
    <n v="46081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1"/>
    <n v="3"/>
    <n v="178560"/>
    <n v="0.15999999642372131"/>
    <n v="28600"/>
    <s v="Sin Riesgo"/>
    <n v="0"/>
    <n v="0"/>
    <n v="0"/>
    <n v="0"/>
    <n v="0"/>
    <n v="28600"/>
    <s v="NINGUNA"/>
    <x v="5"/>
    <n v="3"/>
    <n v="178560"/>
    <n v="3.9999999105930328E-2"/>
    <n v="7200"/>
    <n v="0"/>
    <m/>
    <n v="0"/>
    <m/>
    <n v="0"/>
    <s v="NINGUNA"/>
    <x v="0"/>
    <n v="3"/>
    <n v="178560"/>
    <n v="6.9600000977516174E-2"/>
    <s v="5"/>
    <s v="CENTRO TRABAJO 24"/>
    <s v="5711001"/>
    <n v="12500"/>
    <n v="3"/>
    <x v="0"/>
    <n v="178560"/>
    <n v="3.9999999105930328E-2"/>
    <n v="7200"/>
    <n v="0"/>
    <n v="0"/>
    <n v="0"/>
    <n v="0"/>
    <n v="0"/>
    <n v="0"/>
    <n v="0"/>
    <n v="0"/>
    <n v="0"/>
    <s v="SI"/>
    <s v=" "/>
    <s v="                "/>
  </r>
  <r>
    <x v="1"/>
    <s v="CC"/>
    <x v="9"/>
    <x v="9"/>
    <s v="ALVAREZ"/>
    <s v="CORREA"/>
    <s v="JOSE"/>
    <s v="ANGEL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6"/>
    <n v="1"/>
    <n v="59520"/>
    <n v="0"/>
    <n v="0"/>
    <n v="0"/>
    <m/>
    <n v="0"/>
    <m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9"/>
    <x v="9"/>
    <s v="ALVAREZ"/>
    <s v="CORREA"/>
    <s v="JOSE"/>
    <s v="ANGEL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6"/>
    <n v="46056"/>
    <s v="NO"/>
    <m/>
    <m/>
    <s v="NO"/>
    <m/>
    <m/>
    <s v="NO"/>
    <s v="NO"/>
    <m/>
    <m/>
    <n v="0"/>
    <m/>
    <m/>
    <s v="NO"/>
    <n v="1785595"/>
    <s v="NO"/>
    <s v="NO"/>
    <x v="0"/>
    <n v="1"/>
    <n v="69937"/>
    <n v="0.15999999642372131"/>
    <n v="11200"/>
    <s v="Sin Riesgo"/>
    <n v="0"/>
    <n v="0"/>
    <n v="0"/>
    <n v="0"/>
    <n v="0"/>
    <n v="11200"/>
    <s v="NINGUNA"/>
    <x v="6"/>
    <n v="1"/>
    <n v="69937"/>
    <n v="3.9999999105930328E-2"/>
    <n v="2800"/>
    <n v="0"/>
    <m/>
    <n v="0"/>
    <m/>
    <n v="0"/>
    <s v="NINGUNA"/>
    <x v="0"/>
    <n v="1"/>
    <n v="69937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9"/>
    <x v="9"/>
    <s v="ALVAREZ"/>
    <s v="CORREA"/>
    <s v="JOSE"/>
    <s v="ANGEL"/>
    <s v="LA_GUAJIRA"/>
    <s v="RIOHACHA"/>
    <s v="1. DEPENDIENTE"/>
    <s v="NINGUNO"/>
    <n v="192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4"/>
    <n v="2913713"/>
    <n v="0.15999999642372131"/>
    <n v="466200"/>
    <s v="Sin Riesgo"/>
    <n v="0"/>
    <n v="0"/>
    <n v="0"/>
    <n v="0"/>
    <n v="0"/>
    <n v="466200"/>
    <s v="NINGUNA"/>
    <x v="6"/>
    <n v="24"/>
    <n v="2913713"/>
    <n v="3.9999999105930328E-2"/>
    <n v="116600"/>
    <n v="0"/>
    <m/>
    <n v="0"/>
    <m/>
    <n v="0"/>
    <s v="NINGUNA"/>
    <x v="0"/>
    <n v="24"/>
    <n v="2913713"/>
    <n v="6.9600000977516174E-2"/>
    <s v="5"/>
    <s v="CENTRO TRABAJO 30"/>
    <s v="5711001"/>
    <n v="202800"/>
    <n v="24"/>
    <x v="1"/>
    <n v="4259565"/>
    <n v="3.9999999105930328E-2"/>
    <n v="170400"/>
    <n v="0"/>
    <n v="0"/>
    <n v="0"/>
    <n v="0"/>
    <n v="0"/>
    <n v="0"/>
    <n v="0"/>
    <n v="0"/>
    <n v="0"/>
    <s v="SI"/>
    <s v=" "/>
    <s v="                "/>
  </r>
  <r>
    <x v="1"/>
    <s v="CC"/>
    <x v="11"/>
    <x v="11"/>
    <s v="DE AVILA"/>
    <s v="ARRIETA"/>
    <s v="BRAYAN"/>
    <s v="RAFAEL"/>
    <s v="BOGOTA_D.E."/>
    <s v="BOGOTA"/>
    <s v="1. DEPENDIENTE"/>
    <s v="NINGUNO"/>
    <n v="24"/>
    <s v="NO"/>
    <s v="NO"/>
    <m/>
    <s v="NO"/>
    <m/>
    <s v="Todos los sistemas (ARL, AFP, CCF, EPS)"/>
    <n v="46055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"/>
    <n v="980747"/>
    <n v="0.15999999642372131"/>
    <n v="157000"/>
    <s v="Sin Riesgo"/>
    <n v="0"/>
    <n v="0"/>
    <n v="0"/>
    <n v="0"/>
    <n v="0"/>
    <n v="157000"/>
    <s v="NINGUNA"/>
    <x v="3"/>
    <n v="2"/>
    <n v="980747"/>
    <n v="0.125"/>
    <n v="122600"/>
    <n v="0"/>
    <m/>
    <n v="0"/>
    <m/>
    <n v="0"/>
    <s v="NINGUNA"/>
    <x v="0"/>
    <n v="2"/>
    <n v="980747"/>
    <n v="6.9600000977516174E-2"/>
    <s v="5"/>
    <s v="CENTRO TRABAJO 24"/>
    <s v="5711001"/>
    <n v="68300"/>
    <n v="2"/>
    <x v="0"/>
    <n v="1535765"/>
    <n v="3.9999999105930328E-2"/>
    <n v="61500"/>
    <n v="1535765"/>
    <n v="1.9999999552965164E-2"/>
    <n v="30800"/>
    <n v="2.9999999329447746E-2"/>
    <n v="46100"/>
    <n v="0"/>
    <n v="0"/>
    <n v="0"/>
    <n v="0"/>
    <s v="NO"/>
    <s v=" "/>
    <s v="                "/>
  </r>
  <r>
    <x v="1"/>
    <s v="CC"/>
    <x v="12"/>
    <x v="12"/>
    <s v="RODRIGUEZ"/>
    <s v="CONTRERAS"/>
    <s v="BLADIMIR"/>
    <s v="JOSE"/>
    <s v="LA_GUAJIRA"/>
    <s v="RIOHACHA"/>
    <s v="1. DEPENDIENTE"/>
    <s v="NINGUNO"/>
    <n v="20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2602824"/>
    <n v="0.15999999642372131"/>
    <n v="416500"/>
    <s v="Sin Riesgo"/>
    <n v="0"/>
    <n v="0"/>
    <n v="0"/>
    <n v="0"/>
    <n v="0"/>
    <n v="416500"/>
    <s v="NINGUNA"/>
    <x v="3"/>
    <n v="30"/>
    <n v="2602824"/>
    <n v="3.9999999105930328E-2"/>
    <n v="104200"/>
    <n v="0"/>
    <m/>
    <n v="0"/>
    <m/>
    <n v="0"/>
    <s v="NINGUNA"/>
    <x v="0"/>
    <n v="30"/>
    <n v="2602824"/>
    <n v="6.9600000977516174E-2"/>
    <s v="5"/>
    <s v="CENTRO TRABAJO 30"/>
    <s v="5711001"/>
    <n v="181200"/>
    <n v="30"/>
    <x v="1"/>
    <n v="2602824"/>
    <n v="3.9999999105930328E-2"/>
    <n v="104200"/>
    <n v="0"/>
    <n v="0"/>
    <n v="0"/>
    <n v="0"/>
    <n v="0"/>
    <n v="0"/>
    <n v="0"/>
    <n v="0"/>
    <n v="0"/>
    <s v="SI"/>
    <s v=" "/>
    <s v="                "/>
  </r>
  <r>
    <x v="1"/>
    <s v="CC"/>
    <x v="13"/>
    <x v="13"/>
    <s v="PACHECO"/>
    <s v="AGUDELO"/>
    <s v="DANIEL"/>
    <s v="JOSE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59702"/>
    <n v="0.15999999642372131"/>
    <n v="329600"/>
    <s v="Sin Riesgo"/>
    <n v="0"/>
    <n v="0"/>
    <n v="0"/>
    <n v="0"/>
    <n v="0"/>
    <n v="329600"/>
    <s v="NINGUNA"/>
    <x v="0"/>
    <n v="30"/>
    <n v="2059702"/>
    <n v="3.9999999105930328E-2"/>
    <n v="82400"/>
    <n v="0"/>
    <m/>
    <n v="0"/>
    <m/>
    <n v="0"/>
    <s v="NINGUNA"/>
    <x v="0"/>
    <n v="30"/>
    <n v="2059702"/>
    <n v="6.9600000977516174E-2"/>
    <s v="5"/>
    <s v="CENTRO TRABAJO 30"/>
    <s v="5711001"/>
    <n v="143400"/>
    <n v="30"/>
    <x v="1"/>
    <n v="2059702"/>
    <n v="3.9999999105930328E-2"/>
    <n v="82400"/>
    <n v="0"/>
    <n v="0"/>
    <n v="0"/>
    <n v="0"/>
    <n v="0"/>
    <n v="0"/>
    <n v="0"/>
    <n v="0"/>
    <n v="0"/>
    <s v="SI"/>
    <s v=" "/>
    <s v="                "/>
  </r>
  <r>
    <x v="1"/>
    <s v="CC"/>
    <x v="14"/>
    <x v="14"/>
    <s v="CERVANTES"/>
    <s v="MUÑOZ"/>
    <s v="ONER"/>
    <s v="DAVID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"/>
    <n v="116727"/>
    <n v="0.15999999642372131"/>
    <n v="18700"/>
    <s v="Sin Riesgo"/>
    <n v="0"/>
    <n v="0"/>
    <n v="0"/>
    <n v="0"/>
    <n v="0"/>
    <n v="18700"/>
    <s v="NINGUNA"/>
    <x v="3"/>
    <n v="2"/>
    <n v="116727"/>
    <n v="0"/>
    <n v="0"/>
    <n v="0"/>
    <m/>
    <n v="0"/>
    <m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4"/>
    <x v="14"/>
    <s v="CERVANTES"/>
    <s v="MUÑOZ"/>
    <s v="ONER"/>
    <s v="DAVID"/>
    <s v="BOGOTA_D.E."/>
    <s v="BOGOTA"/>
    <s v="1. DEPENDIENTE"/>
    <s v="NINGUNO"/>
    <n v="24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1"/>
    <n v="721400"/>
    <n v="0.15999999642372131"/>
    <n v="115500"/>
    <s v="Sin Riesgo"/>
    <n v="0"/>
    <n v="0"/>
    <n v="0"/>
    <n v="0"/>
    <n v="0"/>
    <n v="115500"/>
    <s v="NINGUNA"/>
    <x v="3"/>
    <n v="1"/>
    <n v="721400"/>
    <n v="3.9999999105930328E-2"/>
    <n v="28900"/>
    <n v="0"/>
    <m/>
    <n v="0"/>
    <m/>
    <n v="0"/>
    <s v="NINGUNA"/>
    <x v="0"/>
    <n v="1"/>
    <n v="721400"/>
    <n v="6.9600000977516174E-2"/>
    <s v="5"/>
    <s v="CENTRO TRABAJO 24"/>
    <s v="5711001"/>
    <n v="50300"/>
    <n v="1"/>
    <x v="0"/>
    <n v="1302414"/>
    <n v="3.9999999105930328E-2"/>
    <n v="52100"/>
    <n v="0"/>
    <n v="0"/>
    <n v="0"/>
    <n v="0"/>
    <n v="0"/>
    <n v="0"/>
    <n v="0"/>
    <n v="0"/>
    <n v="0"/>
    <s v="SI"/>
    <s v=" "/>
    <s v="                "/>
  </r>
  <r>
    <x v="1"/>
    <s v="CC"/>
    <x v="15"/>
    <x v="15"/>
    <s v="CUEVA"/>
    <s v="CONTRERAS"/>
    <s v="EDAIR"/>
    <s v="ALEJANDR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110655"/>
    <n v="0.15999999642372131"/>
    <n v="337800"/>
    <s v="Sin Riesgo"/>
    <n v="0"/>
    <n v="0"/>
    <n v="0"/>
    <n v="0"/>
    <n v="0"/>
    <n v="337800"/>
    <s v="NINGUNA"/>
    <x v="0"/>
    <n v="30"/>
    <n v="2110655"/>
    <n v="3.9999999105930328E-2"/>
    <n v="84500"/>
    <n v="0"/>
    <m/>
    <n v="0"/>
    <m/>
    <n v="0"/>
    <s v="NINGUNA"/>
    <x v="0"/>
    <n v="30"/>
    <n v="2110655"/>
    <n v="6.9600000977516174E-2"/>
    <s v="5"/>
    <s v="CENTRO TRABAJO 30"/>
    <s v="5711001"/>
    <n v="147000"/>
    <n v="30"/>
    <x v="1"/>
    <n v="2110655"/>
    <n v="3.9999999105930328E-2"/>
    <n v="84500"/>
    <n v="0"/>
    <n v="0"/>
    <n v="0"/>
    <n v="0"/>
    <n v="0"/>
    <n v="0"/>
    <n v="0"/>
    <n v="0"/>
    <n v="0"/>
    <s v="SI"/>
    <s v=" "/>
    <s v="                "/>
  </r>
  <r>
    <x v="1"/>
    <s v="CC"/>
    <x v="16"/>
    <x v="16"/>
    <s v="GOMEZ"/>
    <s v="ORTEGA"/>
    <s v="JEINER"/>
    <s v="JOS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5"/>
    <n v="46056"/>
    <s v="NO"/>
    <m/>
    <m/>
    <s v="NO"/>
    <m/>
    <m/>
    <s v="NO"/>
    <s v="NO"/>
    <m/>
    <m/>
    <n v="0"/>
    <m/>
    <m/>
    <s v="NO"/>
    <n v="2074908"/>
    <s v="NO"/>
    <s v="NO"/>
    <x v="0"/>
    <n v="2"/>
    <n v="162980"/>
    <n v="0.15999999642372131"/>
    <n v="26100"/>
    <s v="Sin Riesgo"/>
    <n v="0"/>
    <n v="0"/>
    <n v="0"/>
    <n v="0"/>
    <n v="0"/>
    <n v="26100"/>
    <s v="NINGUNA"/>
    <x v="0"/>
    <n v="2"/>
    <n v="162980"/>
    <n v="3.9999999105930328E-2"/>
    <n v="6600"/>
    <n v="0"/>
    <m/>
    <n v="0"/>
    <m/>
    <n v="0"/>
    <s v="NINGUNA"/>
    <x v="0"/>
    <n v="2"/>
    <n v="162980"/>
    <n v="0"/>
    <s v="5"/>
    <s v="CENTRO TRABAJO 30"/>
    <s v="5711001"/>
    <n v="0"/>
    <n v="2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6"/>
    <x v="16"/>
    <s v="GOMEZ"/>
    <s v="ORTEGA"/>
    <s v="JEINER"/>
    <s v="JOSE"/>
    <s v="LA_GUAJIRA"/>
    <s v="RIOHACHA"/>
    <s v="1. DEPENDIENTE"/>
    <s v="NINGUNO"/>
    <n v="18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28"/>
    <n v="2237443"/>
    <n v="0.15999999642372131"/>
    <n v="358000"/>
    <s v="Sin Riesgo"/>
    <n v="0"/>
    <n v="0"/>
    <n v="0"/>
    <n v="0"/>
    <n v="0"/>
    <n v="358000"/>
    <s v="NINGUNA"/>
    <x v="0"/>
    <n v="28"/>
    <n v="2237443"/>
    <n v="3.9999999105930328E-2"/>
    <n v="89500"/>
    <n v="0"/>
    <m/>
    <n v="0"/>
    <m/>
    <n v="0"/>
    <s v="NINGUNA"/>
    <x v="0"/>
    <n v="28"/>
    <n v="2237443"/>
    <n v="6.9600000977516174E-2"/>
    <s v="5"/>
    <s v="CENTRO TRABAJO 30"/>
    <s v="5711001"/>
    <n v="155800"/>
    <n v="28"/>
    <x v="1"/>
    <n v="2237443"/>
    <n v="3.9999999105930328E-2"/>
    <n v="89500"/>
    <n v="0"/>
    <n v="0"/>
    <n v="0"/>
    <n v="0"/>
    <n v="0"/>
    <n v="0"/>
    <n v="0"/>
    <n v="0"/>
    <n v="0"/>
    <s v="SI"/>
    <s v=" "/>
    <s v="                "/>
  </r>
  <r>
    <x v="1"/>
    <s v="CC"/>
    <x v="17"/>
    <x v="17"/>
    <s v="BRITO"/>
    <s v="BRITO"/>
    <s v="NEIDER"/>
    <s v="IVAN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69651"/>
    <n v="0.15999999642372131"/>
    <n v="331200"/>
    <s v="Sin Riesgo"/>
    <n v="0"/>
    <n v="0"/>
    <n v="0"/>
    <n v="0"/>
    <n v="0"/>
    <n v="331200"/>
    <s v="NINGUNA"/>
    <x v="0"/>
    <n v="30"/>
    <n v="2069651"/>
    <n v="3.9999999105930328E-2"/>
    <n v="82800"/>
    <n v="0"/>
    <m/>
    <n v="0"/>
    <m/>
    <n v="0"/>
    <s v="NINGUNA"/>
    <x v="0"/>
    <n v="30"/>
    <n v="2069651"/>
    <n v="6.9600000977516174E-2"/>
    <s v="5"/>
    <s v="CENTRO TRABAJO 30"/>
    <s v="5711001"/>
    <n v="144100"/>
    <n v="30"/>
    <x v="1"/>
    <n v="2069651"/>
    <n v="3.9999999105930328E-2"/>
    <n v="82800"/>
    <n v="0"/>
    <n v="0"/>
    <n v="0"/>
    <n v="0"/>
    <n v="0"/>
    <n v="0"/>
    <n v="0"/>
    <n v="0"/>
    <n v="0"/>
    <s v="SI"/>
    <s v=" "/>
    <s v="                "/>
  </r>
  <r>
    <x v="1"/>
    <s v="CC"/>
    <x v="18"/>
    <x v="18"/>
    <s v="MARTINEZ"/>
    <s v="LARA"/>
    <s v="CAMILO"/>
    <s v="ENRIQU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1"/>
    <n v="58364"/>
    <n v="0.15999999642372131"/>
    <n v="9400"/>
    <s v="Sin Riesgo"/>
    <n v="0"/>
    <n v="0"/>
    <n v="0"/>
    <n v="0"/>
    <n v="0"/>
    <n v="9400"/>
    <s v="NINGUNA"/>
    <x v="2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8"/>
    <x v="18"/>
    <s v="MARTINEZ"/>
    <s v="LARA"/>
    <s v="CAMILO"/>
    <s v="ENRIQU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0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"/>
    <n v="116727"/>
    <n v="0.15999999642372131"/>
    <n v="18700"/>
    <s v="Sin Riesgo"/>
    <n v="0"/>
    <n v="0"/>
    <n v="0"/>
    <n v="0"/>
    <n v="0"/>
    <n v="18700"/>
    <s v="NINGUNA"/>
    <x v="2"/>
    <n v="2"/>
    <n v="116727"/>
    <n v="0"/>
    <n v="0"/>
    <n v="0"/>
    <m/>
    <n v="0"/>
    <m/>
    <n v="0"/>
    <s v="NINGUNA"/>
    <x v="0"/>
    <n v="2"/>
    <n v="116727"/>
    <n v="0"/>
    <s v="5"/>
    <s v="CENTRO TRABAJO 30"/>
    <s v="5711001"/>
    <n v="0"/>
    <n v="2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8"/>
    <x v="18"/>
    <s v="MARTINEZ"/>
    <s v="LARA"/>
    <s v="CAMILO"/>
    <s v="ENRIQUE"/>
    <s v="LA_GUAJIRA"/>
    <s v="RIOHACHA"/>
    <s v="1. DEPENDIENTE"/>
    <s v="NINGUNO"/>
    <n v="18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7"/>
    <n v="1859541"/>
    <n v="0.15999999642372131"/>
    <n v="297600"/>
    <s v="Sin Riesgo"/>
    <n v="0"/>
    <n v="0"/>
    <n v="0"/>
    <n v="0"/>
    <n v="0"/>
    <n v="297600"/>
    <s v="NINGUNA"/>
    <x v="2"/>
    <n v="27"/>
    <n v="1859541"/>
    <n v="3.9999999105930328E-2"/>
    <n v="74400"/>
    <n v="0"/>
    <m/>
    <n v="0"/>
    <m/>
    <n v="0"/>
    <s v="NINGUNA"/>
    <x v="0"/>
    <n v="27"/>
    <n v="1859541"/>
    <n v="6.9600000977516174E-2"/>
    <s v="5"/>
    <s v="CENTRO TRABAJO 30"/>
    <s v="5711001"/>
    <n v="129500"/>
    <n v="27"/>
    <x v="1"/>
    <n v="1859541"/>
    <n v="3.9999999105930328E-2"/>
    <n v="74400"/>
    <n v="0"/>
    <n v="0"/>
    <n v="0"/>
    <n v="0"/>
    <n v="0"/>
    <n v="0"/>
    <n v="0"/>
    <n v="0"/>
    <n v="0"/>
    <s v="SI"/>
    <s v=" "/>
    <s v="                "/>
  </r>
  <r>
    <x v="1"/>
    <s v="CC"/>
    <x v="19"/>
    <x v="19"/>
    <s v="IPUANA"/>
    <s v="URIANA"/>
    <s v="SAMIR"/>
    <s v="ANTONI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1"/>
    <n v="58364"/>
    <n v="0.15999999642372131"/>
    <n v="9400"/>
    <s v="Sin Riesgo"/>
    <n v="0"/>
    <n v="0"/>
    <n v="0"/>
    <n v="0"/>
    <n v="0"/>
    <n v="9400"/>
    <s v="NINGUNA"/>
    <x v="0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9"/>
    <x v="19"/>
    <s v="IPUANA"/>
    <s v="URIANA"/>
    <s v="SAMIR"/>
    <s v="ANTONIO"/>
    <s v="LA_GUAJIRA"/>
    <s v="RIOHACHA"/>
    <s v="1. DEPENDIENTE"/>
    <s v="NINGUNO"/>
    <n v="21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9"/>
    <n v="2035959"/>
    <n v="0.15999999642372131"/>
    <n v="325800"/>
    <s v="Sin Riesgo"/>
    <n v="0"/>
    <n v="0"/>
    <n v="0"/>
    <n v="0"/>
    <n v="0"/>
    <n v="325800"/>
    <s v="NINGUNA"/>
    <x v="0"/>
    <n v="29"/>
    <n v="2035959"/>
    <n v="3.9999999105930328E-2"/>
    <n v="81500"/>
    <n v="0"/>
    <m/>
    <n v="0"/>
    <m/>
    <n v="0"/>
    <s v="NINGUNA"/>
    <x v="0"/>
    <n v="29"/>
    <n v="2035959"/>
    <n v="6.9600000977516174E-2"/>
    <s v="5"/>
    <s v="CENTRO TRABAJO 30"/>
    <s v="5711001"/>
    <n v="141800"/>
    <n v="29"/>
    <x v="1"/>
    <n v="2035959"/>
    <n v="3.9999999105930328E-2"/>
    <n v="81500"/>
    <n v="0"/>
    <n v="0"/>
    <n v="0"/>
    <n v="0"/>
    <n v="0"/>
    <n v="0"/>
    <n v="0"/>
    <n v="0"/>
    <n v="0"/>
    <s v="SI"/>
    <s v=" "/>
    <s v="                "/>
  </r>
  <r>
    <x v="1"/>
    <s v="CC"/>
    <x v="20"/>
    <x v="20"/>
    <s v="RIZO"/>
    <s v="RIVAS"/>
    <s v="ANDRES"/>
    <s v="MANUEL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"/>
    <n v="116727"/>
    <n v="0.15999999642372131"/>
    <n v="18700"/>
    <s v="Sin Riesgo"/>
    <n v="0"/>
    <n v="0"/>
    <n v="0"/>
    <n v="0"/>
    <n v="0"/>
    <n v="18700"/>
    <s v="NINGUNA"/>
    <x v="7"/>
    <n v="2"/>
    <n v="116727"/>
    <n v="0"/>
    <n v="0"/>
    <n v="0"/>
    <m/>
    <n v="0"/>
    <m/>
    <n v="0"/>
    <s v="NINGUNA"/>
    <x v="0"/>
    <n v="2"/>
    <n v="116727"/>
    <n v="0"/>
    <s v="5"/>
    <s v="CENTRO TRABAJO 30"/>
    <s v="5711001"/>
    <n v="0"/>
    <n v="2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0"/>
    <x v="20"/>
    <s v="RIZO"/>
    <s v="RIVAS"/>
    <s v="ANDRES"/>
    <s v="MANUEL"/>
    <s v="LA_GUAJIRA"/>
    <s v="RIOHACHA"/>
    <s v="1. DEPENDIENTE"/>
    <s v="NINGUNO"/>
    <n v="19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8"/>
    <n v="1982769"/>
    <n v="0.15999999642372131"/>
    <n v="317300"/>
    <s v="Sin Riesgo"/>
    <n v="0"/>
    <n v="0"/>
    <n v="0"/>
    <n v="0"/>
    <n v="0"/>
    <n v="317300"/>
    <s v="NINGUNA"/>
    <x v="7"/>
    <n v="28"/>
    <n v="1982769"/>
    <n v="3.9999999105930328E-2"/>
    <n v="79400"/>
    <n v="0"/>
    <m/>
    <n v="0"/>
    <m/>
    <n v="0"/>
    <s v="NINGUNA"/>
    <x v="0"/>
    <n v="28"/>
    <n v="1982769"/>
    <n v="6.9600000977516174E-2"/>
    <s v="5"/>
    <s v="CENTRO TRABAJO 30"/>
    <s v="5711001"/>
    <n v="138100"/>
    <n v="28"/>
    <x v="1"/>
    <n v="1982769"/>
    <n v="3.9999999105930328E-2"/>
    <n v="79400"/>
    <n v="0"/>
    <n v="0"/>
    <n v="0"/>
    <n v="0"/>
    <n v="0"/>
    <n v="0"/>
    <n v="0"/>
    <n v="0"/>
    <n v="0"/>
    <s v="SI"/>
    <s v=" "/>
    <s v="                "/>
  </r>
  <r>
    <x v="1"/>
    <s v="CC"/>
    <x v="21"/>
    <x v="21"/>
    <s v="DIAZ"/>
    <s v="LOPEZ"/>
    <s v="JAIME"/>
    <s v="LUIS"/>
    <s v="LA_GUAJIRA"/>
    <s v="RIOHACHA"/>
    <s v="1. DEPENDIENTE"/>
    <s v="NINGUNO"/>
    <n v="204"/>
    <s v="NO"/>
    <s v="NO"/>
    <m/>
    <s v="NO"/>
    <m/>
    <s v="Todos los sistemas (ARL, AFP, CCF, EPS)"/>
    <n v="4607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3"/>
    <n v="2062991"/>
    <n v="0.15999999642372131"/>
    <n v="330100"/>
    <s v="Sin Riesgo"/>
    <n v="0"/>
    <n v="0"/>
    <n v="0"/>
    <n v="0"/>
    <n v="0"/>
    <n v="330100"/>
    <s v="NINGUNA"/>
    <x v="0"/>
    <n v="23"/>
    <n v="2062991"/>
    <n v="3.9999999105930328E-2"/>
    <n v="82600"/>
    <n v="0"/>
    <m/>
    <n v="0"/>
    <m/>
    <n v="0"/>
    <s v="NINGUNA"/>
    <x v="0"/>
    <n v="23"/>
    <n v="2062991"/>
    <n v="6.9600000977516174E-2"/>
    <s v="5"/>
    <s v="CENTRO TRABAJO 30"/>
    <s v="5711001"/>
    <n v="143600"/>
    <n v="23"/>
    <x v="1"/>
    <n v="2780760"/>
    <n v="3.9999999105930328E-2"/>
    <n v="111300"/>
    <n v="0"/>
    <n v="0"/>
    <n v="0"/>
    <n v="0"/>
    <n v="0"/>
    <n v="0"/>
    <n v="0"/>
    <n v="0"/>
    <n v="0"/>
    <s v="SI"/>
    <s v=" "/>
    <s v="                "/>
  </r>
  <r>
    <x v="1"/>
    <s v="CC"/>
    <x v="22"/>
    <x v="22"/>
    <s v="MENDOZA"/>
    <s v="VALDEZ"/>
    <s v="ARAMIS"/>
    <s v=""/>
    <s v="BOGOTA_D.E."/>
    <s v="BOGOTA"/>
    <s v="1. DEPENDIENTE"/>
    <s v="NINGUNO"/>
    <n v="22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3157161"/>
    <n v="0.15999999642372131"/>
    <n v="505200"/>
    <s v="Sin Riesgo"/>
    <n v="0"/>
    <n v="0"/>
    <n v="0"/>
    <n v="0"/>
    <n v="0"/>
    <n v="505200"/>
    <s v="NINGUNA"/>
    <x v="3"/>
    <n v="30"/>
    <n v="3157161"/>
    <n v="3.9999999105930328E-2"/>
    <n v="126300"/>
    <n v="0"/>
    <m/>
    <n v="0"/>
    <m/>
    <n v="0"/>
    <s v="NINGUNA"/>
    <x v="0"/>
    <n v="30"/>
    <n v="3157161"/>
    <n v="6.9600000977516174E-2"/>
    <s v="5"/>
    <s v="CENTRO TRABAJO 24"/>
    <s v="5711001"/>
    <n v="219800"/>
    <n v="30"/>
    <x v="0"/>
    <n v="3157161"/>
    <n v="3.9999999105930328E-2"/>
    <n v="126300"/>
    <n v="0"/>
    <n v="0"/>
    <n v="0"/>
    <n v="0"/>
    <n v="0"/>
    <n v="0"/>
    <n v="0"/>
    <n v="0"/>
    <n v="0"/>
    <s v="SI"/>
    <s v=" "/>
    <s v="                "/>
  </r>
  <r>
    <x v="1"/>
    <s v="CC"/>
    <x v="23"/>
    <x v="23"/>
    <s v="MEJIA"/>
    <s v="SIERRA"/>
    <s v="ABRAHAN"/>
    <s v="JOS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1"/>
    <n v="59520"/>
    <n v="0.15999999642372131"/>
    <n v="9600"/>
    <s v="Sin Riesgo"/>
    <n v="0"/>
    <n v="0"/>
    <n v="0"/>
    <n v="0"/>
    <n v="0"/>
    <n v="9600"/>
    <s v="NINGUNA"/>
    <x v="2"/>
    <n v="1"/>
    <n v="59520"/>
    <n v="0"/>
    <n v="0"/>
    <n v="0"/>
    <m/>
    <n v="0"/>
    <m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3"/>
    <x v="23"/>
    <s v="MEJIA"/>
    <s v="SIERRA"/>
    <s v="ABRAHAN"/>
    <s v="JOSE"/>
    <s v="LA_GUAJIRA"/>
    <s v="RIOHACHA"/>
    <s v="1. DEPENDIENTE"/>
    <s v="NINGUNO"/>
    <n v="162"/>
    <s v="NO"/>
    <s v="NO"/>
    <m/>
    <s v="NO"/>
    <m/>
    <s v="Todos los sistemas (ARL, AFP, CCF, EPS)"/>
    <n v="4607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22"/>
    <n v="1682166"/>
    <n v="0.15999999642372131"/>
    <n v="269200"/>
    <s v="Sin Riesgo"/>
    <n v="0"/>
    <n v="0"/>
    <n v="0"/>
    <n v="0"/>
    <n v="0"/>
    <n v="269200"/>
    <s v="NINGUNA"/>
    <x v="2"/>
    <n v="22"/>
    <n v="1682166"/>
    <n v="3.9999999105930328E-2"/>
    <n v="67300"/>
    <n v="0"/>
    <m/>
    <n v="0"/>
    <m/>
    <n v="0"/>
    <s v="NINGUNA"/>
    <x v="0"/>
    <n v="22"/>
    <n v="1682166"/>
    <n v="6.9600000977516174E-2"/>
    <s v="5"/>
    <s v="CENTRO TRABAJO 30"/>
    <s v="5711001"/>
    <n v="117100"/>
    <n v="22"/>
    <x v="1"/>
    <n v="2503076"/>
    <n v="3.9999999105930328E-2"/>
    <n v="100200"/>
    <n v="0"/>
    <n v="0"/>
    <n v="0"/>
    <n v="0"/>
    <n v="0"/>
    <n v="0"/>
    <n v="0"/>
    <n v="0"/>
    <n v="0"/>
    <s v="SI"/>
    <s v=" "/>
    <s v="                "/>
  </r>
  <r>
    <x v="1"/>
    <s v="CC"/>
    <x v="24"/>
    <x v="24"/>
    <s v="SIERRA"/>
    <s v="CASTRO"/>
    <s v="JUAN"/>
    <s v="DAVID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2452635"/>
    <n v="0.15999999642372131"/>
    <n v="392500"/>
    <s v="Sin Riesgo"/>
    <n v="0"/>
    <n v="0"/>
    <n v="0"/>
    <n v="0"/>
    <n v="0"/>
    <n v="392500"/>
    <s v="NINGUNA"/>
    <x v="0"/>
    <n v="30"/>
    <n v="2452635"/>
    <n v="3.9999999105930328E-2"/>
    <n v="98200"/>
    <n v="0"/>
    <m/>
    <n v="0"/>
    <m/>
    <n v="0"/>
    <s v="NINGUNA"/>
    <x v="0"/>
    <n v="30"/>
    <n v="2452635"/>
    <n v="6.9600000977516174E-2"/>
    <s v="5"/>
    <s v="CENTRO TRABAJO 30"/>
    <s v="5711001"/>
    <n v="170800"/>
    <n v="30"/>
    <x v="1"/>
    <n v="2452635"/>
    <n v="3.9999999105930328E-2"/>
    <n v="98200"/>
    <n v="0"/>
    <n v="0"/>
    <n v="0"/>
    <n v="0"/>
    <n v="0"/>
    <n v="0"/>
    <n v="0"/>
    <n v="0"/>
    <n v="0"/>
    <s v="SI"/>
    <s v=" "/>
    <s v="                "/>
  </r>
  <r>
    <x v="1"/>
    <s v="CE"/>
    <x v="25"/>
    <x v="25"/>
    <s v="HEREDIA"/>
    <s v="MENDOZA"/>
    <s v="HECTOR"/>
    <s v="YOHAN"/>
    <s v="VALLE"/>
    <s v="CALI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7656636"/>
    <s v="NO"/>
    <s v="NO"/>
    <x v="3"/>
    <n v="7"/>
    <n v="1786549"/>
    <n v="0.15999999642372131"/>
    <n v="285900"/>
    <s v="Sin Riesgo"/>
    <n v="0"/>
    <n v="0"/>
    <n v="9000"/>
    <n v="9000"/>
    <n v="0"/>
    <n v="303900"/>
    <s v="NINGUNA"/>
    <x v="2"/>
    <n v="7"/>
    <n v="1786549"/>
    <n v="3.9999999105930328E-2"/>
    <n v="71500"/>
    <n v="0"/>
    <m/>
    <n v="0"/>
    <m/>
    <n v="0"/>
    <s v="NINGUNA"/>
    <x v="0"/>
    <n v="7"/>
    <n v="1786549"/>
    <n v="0"/>
    <s v="5"/>
    <s v="CENTRO TRABAJO 56"/>
    <s v="5711001"/>
    <n v="0"/>
    <n v="7"/>
    <x v="3"/>
    <n v="1786549"/>
    <n v="3.9999999105930328E-2"/>
    <n v="71500"/>
    <n v="0"/>
    <n v="0"/>
    <n v="0"/>
    <n v="0"/>
    <n v="0"/>
    <n v="0"/>
    <n v="0"/>
    <n v="0"/>
    <n v="0"/>
    <s v="SI"/>
    <s v=" "/>
    <s v="                "/>
  </r>
  <r>
    <x v="1"/>
    <s v="CE"/>
    <x v="25"/>
    <x v="25"/>
    <s v="HEREDIA"/>
    <s v="MENDOZA"/>
    <s v="HECTOR"/>
    <s v="YOHAN"/>
    <s v="VALLE"/>
    <s v="CALI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7656636"/>
    <s v="NO"/>
    <s v="NO"/>
    <x v="3"/>
    <n v="23"/>
    <n v="5870088"/>
    <n v="0.15999999642372131"/>
    <n v="939300"/>
    <s v="Sin Riesgo"/>
    <n v="0"/>
    <n v="0"/>
    <n v="29400"/>
    <n v="29400"/>
    <n v="0"/>
    <n v="998100"/>
    <s v="NINGUNA"/>
    <x v="2"/>
    <n v="23"/>
    <n v="5870088"/>
    <n v="3.9999999105930328E-2"/>
    <n v="234900"/>
    <n v="0"/>
    <m/>
    <n v="0"/>
    <m/>
    <n v="0"/>
    <s v="NINGUNA"/>
    <x v="0"/>
    <n v="23"/>
    <n v="5870088"/>
    <n v="6.9600000977516174E-2"/>
    <s v="5"/>
    <s v="CENTRO TRABAJO 56"/>
    <s v="5711001"/>
    <n v="408600"/>
    <n v="23"/>
    <x v="3"/>
    <n v="5870088"/>
    <n v="3.9999999105930328E-2"/>
    <n v="234900"/>
    <n v="0"/>
    <n v="0"/>
    <n v="0"/>
    <n v="0"/>
    <n v="0"/>
    <n v="0"/>
    <n v="0"/>
    <n v="0"/>
    <n v="0"/>
    <s v="SI"/>
    <s v=" "/>
    <s v="                "/>
  </r>
  <r>
    <x v="1"/>
    <s v="CC"/>
    <x v="26"/>
    <x v="26"/>
    <s v="VARGAS"/>
    <s v="PARRA"/>
    <s v="JUAN"/>
    <s v="MANUEL"/>
    <s v="BOGOTA_D.E."/>
    <s v="BOGOTA"/>
    <s v="1. DEPENDIENTE"/>
    <s v="NINGUNO"/>
    <n v="74"/>
    <s v="NO"/>
    <s v="NO"/>
    <m/>
    <s v="Todos los sistemas (ARL, AFP, CCF, EPS)"/>
    <n v="46071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13"/>
    <n v="922706"/>
    <n v="0.15999999642372131"/>
    <n v="147700"/>
    <s v="Sin Riesgo"/>
    <n v="0"/>
    <n v="0"/>
    <n v="0"/>
    <n v="0"/>
    <n v="0"/>
    <n v="147700"/>
    <s v="NINGUNA"/>
    <x v="8"/>
    <n v="13"/>
    <n v="922706"/>
    <n v="3.9999999105930328E-2"/>
    <n v="37000"/>
    <n v="0"/>
    <m/>
    <n v="0"/>
    <m/>
    <n v="0"/>
    <s v="NINGUNA"/>
    <x v="0"/>
    <n v="13"/>
    <n v="922706"/>
    <n v="6.9600000977516174E-2"/>
    <s v="5"/>
    <s v="CENTRO TRABAJO 24"/>
    <s v="5711001"/>
    <n v="64300"/>
    <n v="13"/>
    <x v="0"/>
    <n v="922706"/>
    <n v="3.9999999105930328E-2"/>
    <n v="37000"/>
    <n v="0"/>
    <n v="0"/>
    <n v="0"/>
    <n v="0"/>
    <n v="0"/>
    <n v="0"/>
    <n v="0"/>
    <n v="0"/>
    <n v="0"/>
    <s v="SI"/>
    <s v=" "/>
    <s v="                "/>
  </r>
  <r>
    <x v="1"/>
    <s v="CC"/>
    <x v="27"/>
    <x v="27"/>
    <s v="CORREA"/>
    <s v="SANCHEZ"/>
    <s v="LUISA"/>
    <s v="FERNANDA"/>
    <s v="BOGOTA_D.E."/>
    <s v="BOGOTA"/>
    <s v="1. DEPENDIENTE"/>
    <s v="NINGUNO"/>
    <n v="74"/>
    <s v="NO"/>
    <s v="NO"/>
    <m/>
    <s v="Todos los sistemas (ARL, AFP, CCF, EPS)"/>
    <n v="46071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1"/>
    <n v="13"/>
    <n v="794049"/>
    <n v="0.15999999642372131"/>
    <n v="127100"/>
    <s v="Sin Riesgo"/>
    <n v="0"/>
    <n v="0"/>
    <n v="0"/>
    <n v="0"/>
    <n v="0"/>
    <n v="127100"/>
    <s v="NINGUNA"/>
    <x v="0"/>
    <n v="13"/>
    <n v="794049"/>
    <n v="3.9999999105930328E-2"/>
    <n v="31800"/>
    <n v="0"/>
    <m/>
    <n v="0"/>
    <m/>
    <n v="0"/>
    <s v="NINGUNA"/>
    <x v="0"/>
    <n v="13"/>
    <n v="794049"/>
    <n v="6.9600000977516174E-2"/>
    <s v="5"/>
    <s v="CENTRO TRABAJO 24"/>
    <s v="5711001"/>
    <n v="55300"/>
    <n v="13"/>
    <x v="0"/>
    <n v="794049"/>
    <n v="3.9999999105930328E-2"/>
    <n v="31800"/>
    <n v="0"/>
    <n v="0"/>
    <n v="0"/>
    <n v="0"/>
    <n v="0"/>
    <n v="0"/>
    <n v="0"/>
    <n v="0"/>
    <n v="0"/>
    <s v="SI"/>
    <s v=" "/>
    <s v="                "/>
  </r>
  <r>
    <x v="1"/>
    <s v="CC"/>
    <x v="28"/>
    <x v="28"/>
    <s v="GIRALDO"/>
    <s v="MONSALVE"/>
    <s v="JONATHAN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8150490"/>
    <s v="NO"/>
    <s v="NO"/>
    <x v="2"/>
    <n v="1"/>
    <n v="271683"/>
    <n v="0.15999999642372131"/>
    <n v="43500"/>
    <s v="Sin Riesgo"/>
    <n v="0"/>
    <n v="0"/>
    <n v="1400"/>
    <n v="1400"/>
    <n v="0"/>
    <n v="46300"/>
    <s v="NINGUNA"/>
    <x v="9"/>
    <n v="1"/>
    <n v="271683"/>
    <n v="3.9999999105930328E-2"/>
    <n v="10900"/>
    <n v="0"/>
    <m/>
    <n v="0"/>
    <m/>
    <n v="0"/>
    <s v="NINGUNA"/>
    <x v="0"/>
    <n v="1"/>
    <n v="271683"/>
    <n v="0"/>
    <s v="5"/>
    <s v="CENTRO TRABAJO 24"/>
    <s v="5711001"/>
    <n v="0"/>
    <n v="1"/>
    <x v="0"/>
    <n v="271683"/>
    <n v="3.9999999105930328E-2"/>
    <n v="10900"/>
    <n v="0"/>
    <n v="0"/>
    <n v="0"/>
    <n v="0"/>
    <n v="0"/>
    <n v="0"/>
    <n v="0"/>
    <n v="0"/>
    <n v="0"/>
    <s v="SI"/>
    <s v=" "/>
    <s v="                "/>
  </r>
  <r>
    <x v="1"/>
    <s v="CC"/>
    <x v="28"/>
    <x v="28"/>
    <s v="GIRALDO"/>
    <s v="MONSALVE"/>
    <s v="JONATHAN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8150490"/>
    <s v="NO"/>
    <s v="NO"/>
    <x v="2"/>
    <n v="1"/>
    <n v="271683"/>
    <n v="0.15999999642372131"/>
    <n v="43500"/>
    <s v="Sin Riesgo"/>
    <n v="0"/>
    <n v="0"/>
    <n v="1400"/>
    <n v="1400"/>
    <n v="0"/>
    <n v="46300"/>
    <s v="NINGUNA"/>
    <x v="9"/>
    <n v="1"/>
    <n v="271683"/>
    <n v="3.9999999105930328E-2"/>
    <n v="10900"/>
    <n v="0"/>
    <m/>
    <n v="0"/>
    <m/>
    <n v="0"/>
    <s v="NINGUNA"/>
    <x v="0"/>
    <n v="1"/>
    <n v="271683"/>
    <n v="0"/>
    <s v="5"/>
    <s v="CENTRO TRABAJO 24"/>
    <s v="5711001"/>
    <n v="0"/>
    <n v="1"/>
    <x v="0"/>
    <n v="271683"/>
    <n v="3.9999999105930328E-2"/>
    <n v="10900"/>
    <n v="0"/>
    <n v="0"/>
    <n v="0"/>
    <n v="0"/>
    <n v="0"/>
    <n v="0"/>
    <n v="0"/>
    <n v="0"/>
    <n v="0"/>
    <s v="SI"/>
    <s v=" "/>
    <s v="                "/>
  </r>
  <r>
    <x v="1"/>
    <s v="CC"/>
    <x v="28"/>
    <x v="28"/>
    <s v="GIRALDO"/>
    <s v="MONSALVE"/>
    <s v="JONATHAN"/>
    <s v="ALEXANDER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8150490"/>
    <s v="NO"/>
    <s v="NO"/>
    <x v="2"/>
    <n v="28"/>
    <n v="7844229"/>
    <n v="0.15999999642372131"/>
    <n v="1255100"/>
    <s v="Sin Riesgo"/>
    <n v="0"/>
    <n v="0"/>
    <n v="39300"/>
    <n v="39300"/>
    <n v="0"/>
    <n v="1333700"/>
    <s v="NINGUNA"/>
    <x v="9"/>
    <n v="28"/>
    <n v="7844229"/>
    <n v="3.9999999105930328E-2"/>
    <n v="313800"/>
    <n v="0"/>
    <m/>
    <n v="0"/>
    <m/>
    <n v="0"/>
    <s v="NINGUNA"/>
    <x v="0"/>
    <n v="28"/>
    <n v="7844229"/>
    <n v="6.9600000977516174E-2"/>
    <s v="5"/>
    <s v="CENTRO TRABAJO 24"/>
    <s v="5711001"/>
    <n v="546000"/>
    <n v="28"/>
    <x v="0"/>
    <n v="7844229"/>
    <n v="3.9999999105930328E-2"/>
    <n v="313800"/>
    <n v="0"/>
    <n v="0"/>
    <n v="0"/>
    <n v="0"/>
    <n v="0"/>
    <n v="0"/>
    <n v="0"/>
    <n v="0"/>
    <n v="0"/>
    <s v="SI"/>
    <s v=" "/>
    <s v="                "/>
  </r>
  <r>
    <x v="1"/>
    <s v="CC"/>
    <x v="29"/>
    <x v="29"/>
    <s v="VEGA"/>
    <s v="LARA"/>
    <s v="IVAN"/>
    <s v="ENRIQUE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637686"/>
    <s v="NO"/>
    <s v="NO"/>
    <x v="2"/>
    <n v="30"/>
    <n v="3822877"/>
    <n v="0.15999999642372131"/>
    <n v="611700"/>
    <s v="Sin Riesgo"/>
    <n v="0"/>
    <n v="0"/>
    <n v="0"/>
    <n v="0"/>
    <n v="0"/>
    <n v="611700"/>
    <s v="NINGUNA"/>
    <x v="10"/>
    <n v="30"/>
    <n v="3822877"/>
    <n v="3.9999999105930328E-2"/>
    <n v="153000"/>
    <n v="0"/>
    <m/>
    <n v="0"/>
    <m/>
    <n v="0"/>
    <s v="NINGUNA"/>
    <x v="0"/>
    <n v="30"/>
    <n v="3822877"/>
    <n v="6.9600000977516174E-2"/>
    <s v="5"/>
    <s v="CENTRO TRABAJO 24"/>
    <s v="5711001"/>
    <n v="266100"/>
    <n v="30"/>
    <x v="0"/>
    <n v="3822877"/>
    <n v="3.9999999105930328E-2"/>
    <n v="153000"/>
    <n v="0"/>
    <n v="0"/>
    <n v="0"/>
    <n v="0"/>
    <n v="0"/>
    <n v="0"/>
    <n v="0"/>
    <n v="0"/>
    <n v="0"/>
    <s v="SI"/>
    <s v=" "/>
    <s v="                "/>
  </r>
  <r>
    <x v="1"/>
    <s v="CC"/>
    <x v="30"/>
    <x v="30"/>
    <s v="CONTRERAS"/>
    <s v="LOPEZ"/>
    <s v="MARIA"/>
    <s v="CLAR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859404"/>
    <s v="NO"/>
    <s v="NO"/>
    <x v="2"/>
    <n v="30"/>
    <n v="2859404"/>
    <n v="0.15999999642372131"/>
    <n v="457600"/>
    <s v="Sin Riesgo"/>
    <n v="0"/>
    <n v="0"/>
    <n v="0"/>
    <n v="0"/>
    <n v="0"/>
    <n v="457600"/>
    <s v="NINGUNA"/>
    <x v="2"/>
    <n v="30"/>
    <n v="2859404"/>
    <n v="3.9999999105930328E-2"/>
    <n v="114400"/>
    <n v="0"/>
    <m/>
    <n v="0"/>
    <m/>
    <n v="0"/>
    <s v="NINGUNA"/>
    <x v="0"/>
    <n v="30"/>
    <n v="2859404"/>
    <n v="5.2200001664459705E-3"/>
    <s v="1"/>
    <s v="CENTRO TRABAJO 24"/>
    <s v="1711001"/>
    <n v="15000"/>
    <n v="30"/>
    <x v="0"/>
    <n v="2859404"/>
    <n v="3.9999999105930328E-2"/>
    <n v="114400"/>
    <n v="0"/>
    <n v="0"/>
    <n v="0"/>
    <n v="0"/>
    <n v="0"/>
    <n v="0"/>
    <n v="0"/>
    <n v="0"/>
    <n v="0"/>
    <s v="SI"/>
    <s v=" "/>
    <s v="                "/>
  </r>
  <r>
    <x v="1"/>
    <s v="CC"/>
    <x v="31"/>
    <x v="31"/>
    <s v="MATEUS"/>
    <s v="RUEDA"/>
    <s v="DANIEL"/>
    <s v="RICAR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8150490"/>
    <s v="NO"/>
    <s v="NO"/>
    <x v="0"/>
    <n v="30"/>
    <n v="11436796"/>
    <n v="0.15999999642372131"/>
    <n v="1829900"/>
    <s v="Sin Riesgo"/>
    <n v="0"/>
    <n v="0"/>
    <n v="57200"/>
    <n v="57200"/>
    <n v="0"/>
    <n v="1944300"/>
    <s v="NINGUNA"/>
    <x v="8"/>
    <n v="30"/>
    <n v="11436796"/>
    <n v="3.9999999105930328E-2"/>
    <n v="457500"/>
    <n v="0"/>
    <m/>
    <n v="0"/>
    <m/>
    <n v="0"/>
    <s v="NINGUNA"/>
    <x v="0"/>
    <n v="30"/>
    <n v="11436796"/>
    <n v="6.9600000977516174E-2"/>
    <s v="5"/>
    <s v="CENTRO TRABAJO 24"/>
    <s v="5711001"/>
    <n v="796100"/>
    <n v="30"/>
    <x v="0"/>
    <n v="11436796"/>
    <n v="3.9999999105930328E-2"/>
    <n v="457500"/>
    <n v="0"/>
    <n v="0"/>
    <n v="0"/>
    <n v="0"/>
    <n v="0"/>
    <n v="0"/>
    <n v="0"/>
    <n v="0"/>
    <n v="0"/>
    <s v="SI"/>
    <s v=" "/>
    <s v="                "/>
  </r>
  <r>
    <x v="1"/>
    <s v="CC"/>
    <x v="32"/>
    <x v="32"/>
    <s v="MORENO"/>
    <s v="MONTAÑO"/>
    <s v="JENIFER"/>
    <s v="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660341"/>
    <s v="NO"/>
    <s v="NO"/>
    <x v="2"/>
    <n v="30"/>
    <n v="3660341"/>
    <n v="0.15999999642372131"/>
    <n v="585700"/>
    <s v="Sin Riesgo"/>
    <n v="0"/>
    <n v="0"/>
    <n v="0"/>
    <n v="0"/>
    <n v="0"/>
    <n v="585700"/>
    <s v="NINGUNA"/>
    <x v="2"/>
    <n v="30"/>
    <n v="3660341"/>
    <n v="3.9999999105930328E-2"/>
    <n v="146500"/>
    <n v="0"/>
    <m/>
    <n v="0"/>
    <m/>
    <n v="0"/>
    <s v="NINGUNA"/>
    <x v="0"/>
    <n v="30"/>
    <n v="3660341"/>
    <n v="6.9600000977516174E-2"/>
    <s v="5"/>
    <s v="CENTRO TRABAJO 24"/>
    <s v="5711001"/>
    <n v="254800"/>
    <n v="30"/>
    <x v="0"/>
    <n v="3660341"/>
    <n v="3.9999999105930328E-2"/>
    <n v="146500"/>
    <n v="0"/>
    <n v="0"/>
    <n v="0"/>
    <n v="0"/>
    <n v="0"/>
    <n v="0"/>
    <n v="0"/>
    <n v="0"/>
    <n v="0"/>
    <s v="SI"/>
    <s v=" "/>
    <s v="                "/>
  </r>
  <r>
    <x v="1"/>
    <s v="CC"/>
    <x v="33"/>
    <x v="33"/>
    <s v="SAENZ"/>
    <s v="VARGAS"/>
    <s v="FABIO"/>
    <s v="MAURICI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0"/>
    <n v="30"/>
    <n v="5676577"/>
    <n v="0.15999999642372131"/>
    <n v="908300"/>
    <s v="Sin Riesgo"/>
    <n v="0"/>
    <n v="0"/>
    <n v="0"/>
    <n v="0"/>
    <n v="0"/>
    <n v="908300"/>
    <s v="NINGUNA"/>
    <x v="8"/>
    <n v="30"/>
    <n v="5676577"/>
    <n v="3.9999999105930328E-2"/>
    <n v="227100"/>
    <n v="0"/>
    <m/>
    <n v="0"/>
    <m/>
    <n v="0"/>
    <s v="NINGUNA"/>
    <x v="0"/>
    <n v="30"/>
    <n v="5676577"/>
    <n v="6.9600000977516174E-2"/>
    <s v="5"/>
    <s v="CENTRO TRABAJO 24"/>
    <s v="5711001"/>
    <n v="395100"/>
    <n v="30"/>
    <x v="0"/>
    <n v="5676577"/>
    <n v="3.9999999105930328E-2"/>
    <n v="227100"/>
    <n v="0"/>
    <n v="0"/>
    <n v="0"/>
    <n v="0"/>
    <n v="0"/>
    <n v="0"/>
    <n v="0"/>
    <n v="0"/>
    <n v="0"/>
    <s v="SI"/>
    <s v=" "/>
    <s v="                "/>
  </r>
  <r>
    <x v="1"/>
    <s v="CC"/>
    <x v="34"/>
    <x v="34"/>
    <s v="QUIROGA"/>
    <s v="CASTIBLANCO"/>
    <s v="ANDRES"/>
    <s v="EDUAR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798033"/>
    <s v="NO"/>
    <s v="NO"/>
    <x v="0"/>
    <n v="30"/>
    <n v="4798033"/>
    <n v="0.15999999642372131"/>
    <n v="767700"/>
    <s v="Sin Riesgo"/>
    <n v="0"/>
    <n v="0"/>
    <n v="0"/>
    <n v="0"/>
    <n v="0"/>
    <n v="767700"/>
    <s v="NINGUNA"/>
    <x v="8"/>
    <n v="30"/>
    <n v="4798033"/>
    <n v="3.9999999105930328E-2"/>
    <n v="192000"/>
    <n v="0"/>
    <m/>
    <n v="0"/>
    <m/>
    <n v="0"/>
    <s v="NINGUNA"/>
    <x v="0"/>
    <n v="30"/>
    <n v="4798033"/>
    <n v="5.2200001664459705E-3"/>
    <s v="1"/>
    <s v="CENTRO TRABAJO 24"/>
    <s v="1711001"/>
    <n v="25100"/>
    <n v="30"/>
    <x v="0"/>
    <n v="4798033"/>
    <n v="3.9999999105930328E-2"/>
    <n v="192000"/>
    <n v="0"/>
    <n v="0"/>
    <n v="0"/>
    <n v="0"/>
    <n v="0"/>
    <n v="0"/>
    <n v="0"/>
    <n v="0"/>
    <n v="0"/>
    <s v="SI"/>
    <s v=" "/>
    <s v="                "/>
  </r>
  <r>
    <x v="1"/>
    <s v="CC"/>
    <x v="35"/>
    <x v="35"/>
    <s v="VELASQUEZ"/>
    <s v="SANTIAGO"/>
    <s v="NICOLAS"/>
    <s v="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0"/>
    <n v="30"/>
    <n v="5209465"/>
    <n v="0.15999999642372131"/>
    <n v="833600"/>
    <s v="Sin Riesgo"/>
    <n v="0"/>
    <n v="0"/>
    <n v="0"/>
    <n v="0"/>
    <n v="0"/>
    <n v="833600"/>
    <s v="NINGUNA"/>
    <x v="2"/>
    <n v="30"/>
    <n v="5209465"/>
    <n v="3.9999999105930328E-2"/>
    <n v="208400"/>
    <n v="0"/>
    <m/>
    <n v="0"/>
    <m/>
    <n v="0"/>
    <s v="NINGUNA"/>
    <x v="0"/>
    <n v="30"/>
    <n v="5209465"/>
    <n v="5.2200001664459705E-3"/>
    <s v="1"/>
    <s v="CENTRO TRABAJO 24"/>
    <s v="1711001"/>
    <n v="27200"/>
    <n v="30"/>
    <x v="0"/>
    <n v="5209465"/>
    <n v="3.9999999105930328E-2"/>
    <n v="208400"/>
    <n v="0"/>
    <n v="0"/>
    <n v="0"/>
    <n v="0"/>
    <n v="0"/>
    <n v="0"/>
    <n v="0"/>
    <n v="0"/>
    <n v="0"/>
    <s v="SI"/>
    <s v=" "/>
    <s v="                "/>
  </r>
  <r>
    <x v="1"/>
    <s v="CC"/>
    <x v="36"/>
    <x v="36"/>
    <s v="TORRES"/>
    <s v="SONZA"/>
    <s v="ANDRES"/>
    <s v=""/>
    <s v="BOGOTA_D.E."/>
    <s v="BOGOTA"/>
    <s v="1. DEPENDIENTE"/>
    <s v="NINGUNO"/>
    <n v="20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056817"/>
    <n v="0.15999999642372131"/>
    <n v="329100"/>
    <s v="Sin Riesgo"/>
    <n v="0"/>
    <n v="0"/>
    <n v="0"/>
    <n v="0"/>
    <n v="0"/>
    <n v="329100"/>
    <s v="NINGUNA"/>
    <x v="3"/>
    <n v="30"/>
    <n v="2056817"/>
    <n v="3.9999999105930328E-2"/>
    <n v="82300"/>
    <n v="0"/>
    <m/>
    <n v="0"/>
    <m/>
    <n v="0"/>
    <s v="NINGUNA"/>
    <x v="0"/>
    <n v="30"/>
    <n v="2056817"/>
    <n v="6.9600000977516174E-2"/>
    <s v="5"/>
    <s v="CENTRO TRABAJO 24"/>
    <s v="5711001"/>
    <n v="143200"/>
    <n v="30"/>
    <x v="0"/>
    <n v="2056817"/>
    <n v="3.9999999105930328E-2"/>
    <n v="82300"/>
    <n v="0"/>
    <n v="0"/>
    <n v="0"/>
    <n v="0"/>
    <n v="0"/>
    <n v="0"/>
    <n v="0"/>
    <n v="0"/>
    <n v="0"/>
    <s v="SI"/>
    <s v=" "/>
    <s v="                "/>
  </r>
  <r>
    <x v="1"/>
    <s v="CC"/>
    <x v="37"/>
    <x v="37"/>
    <s v="MORENO"/>
    <s v="QUINTANA"/>
    <s v="IVAN"/>
    <s v="ERNESTO"/>
    <s v="BOGOTA_D.E."/>
    <s v="BOGOTA"/>
    <s v="1. DEPENDIENTE"/>
    <s v="NINGUNO"/>
    <n v="23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3179561"/>
    <n v="0.15999999642372131"/>
    <n v="508800"/>
    <s v="Sin Riesgo"/>
    <n v="0"/>
    <n v="0"/>
    <n v="0"/>
    <n v="0"/>
    <n v="0"/>
    <n v="508800"/>
    <s v="NINGUNA"/>
    <x v="0"/>
    <n v="30"/>
    <n v="3179561"/>
    <n v="3.9999999105930328E-2"/>
    <n v="127200"/>
    <n v="0"/>
    <m/>
    <n v="0"/>
    <m/>
    <n v="0"/>
    <s v="NINGUNA"/>
    <x v="0"/>
    <n v="30"/>
    <n v="3179561"/>
    <n v="6.9600000977516174E-2"/>
    <s v="5"/>
    <s v="CENTRO TRABAJO 24"/>
    <s v="5711001"/>
    <n v="221300"/>
    <n v="30"/>
    <x v="0"/>
    <n v="3179561"/>
    <n v="3.9999999105930328E-2"/>
    <n v="127200"/>
    <n v="0"/>
    <n v="0"/>
    <n v="0"/>
    <n v="0"/>
    <n v="0"/>
    <n v="0"/>
    <n v="0"/>
    <n v="0"/>
    <n v="0"/>
    <s v="SI"/>
    <s v=" "/>
    <s v="                "/>
  </r>
  <r>
    <x v="1"/>
    <s v="CC"/>
    <x v="38"/>
    <x v="38"/>
    <s v="CASTILLO"/>
    <s v="DUARTE"/>
    <s v="DEIBY"/>
    <s v="HERNAN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4"/>
    <n v="296446"/>
    <n v="0.15999999642372131"/>
    <n v="47500"/>
    <s v="Sin Riesgo"/>
    <n v="0"/>
    <n v="0"/>
    <n v="0"/>
    <n v="0"/>
    <n v="0"/>
    <n v="47500"/>
    <s v="NINGUNA"/>
    <x v="0"/>
    <n v="4"/>
    <n v="296446"/>
    <n v="3.9999999105930328E-2"/>
    <n v="11900"/>
    <n v="0"/>
    <m/>
    <n v="0"/>
    <m/>
    <n v="0"/>
    <s v="NINGUNA"/>
    <x v="0"/>
    <n v="4"/>
    <n v="296446"/>
    <n v="6.9600000977516174E-2"/>
    <s v="5"/>
    <s v="CENTRO TRABAJO 24"/>
    <s v="5711001"/>
    <n v="20700"/>
    <n v="4"/>
    <x v="0"/>
    <n v="296446"/>
    <n v="3.9999999105930328E-2"/>
    <n v="11900"/>
    <n v="0"/>
    <n v="0"/>
    <n v="0"/>
    <n v="0"/>
    <n v="0"/>
    <n v="0"/>
    <n v="0"/>
    <n v="0"/>
    <n v="0"/>
    <s v="SI"/>
    <s v=" "/>
    <s v="                "/>
  </r>
  <r>
    <x v="1"/>
    <s v="CC"/>
    <x v="39"/>
    <x v="39"/>
    <s v="RAMIREZ"/>
    <s v="RIVADENEIRA"/>
    <s v="EDUARDO"/>
    <s v="ENRIQUE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1650406"/>
    <s v="NO"/>
    <s v="SI"/>
    <x v="0"/>
    <n v="30"/>
    <n v="12815447"/>
    <n v="0.15999999642372131"/>
    <n v="2050500"/>
    <s v="Sin Riesgo"/>
    <n v="0"/>
    <n v="0"/>
    <n v="64100"/>
    <n v="64100"/>
    <n v="0"/>
    <n v="2178700"/>
    <s v="NINGUNA"/>
    <x v="9"/>
    <n v="30"/>
    <n v="12815447"/>
    <n v="3.9999999105930328E-2"/>
    <n v="512700"/>
    <n v="0"/>
    <m/>
    <n v="0"/>
    <m/>
    <n v="0"/>
    <s v="NINGUNA"/>
    <x v="0"/>
    <n v="30"/>
    <n v="12815447"/>
    <n v="6.9600000977516174E-2"/>
    <s v="5"/>
    <s v="CENTRO TRABAJO 24"/>
    <s v="5711001"/>
    <n v="892000"/>
    <n v="30"/>
    <x v="0"/>
    <n v="11650406"/>
    <n v="3.9999999105930328E-2"/>
    <n v="466100"/>
    <n v="0"/>
    <n v="0"/>
    <n v="0"/>
    <n v="0"/>
    <n v="0"/>
    <n v="0"/>
    <n v="0"/>
    <n v="0"/>
    <n v="0"/>
    <s v="SI"/>
    <s v=" "/>
    <s v="                "/>
  </r>
  <r>
    <x v="1"/>
    <s v="CC"/>
    <x v="40"/>
    <x v="40"/>
    <s v="QUIJANO"/>
    <s v="ALARCON"/>
    <s v="JOHAN"/>
    <s v="STIVEN"/>
    <s v="BOGOTA_D.E."/>
    <s v="BOGOTA"/>
    <s v="1. DEPENDIENTE"/>
    <s v="NINGUNO"/>
    <n v="2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20709"/>
    <s v="NO"/>
    <s v="NO"/>
    <x v="0"/>
    <n v="30"/>
    <n v="2911072"/>
    <n v="0.15999999642372131"/>
    <n v="465800"/>
    <s v="Sin Riesgo"/>
    <n v="0"/>
    <n v="0"/>
    <n v="0"/>
    <n v="0"/>
    <n v="0"/>
    <n v="465800"/>
    <s v="NINGUNA"/>
    <x v="10"/>
    <n v="30"/>
    <n v="2911072"/>
    <n v="3.9999999105930328E-2"/>
    <n v="116500"/>
    <n v="0"/>
    <m/>
    <n v="0"/>
    <m/>
    <n v="0"/>
    <s v="NINGUNA"/>
    <x v="0"/>
    <n v="30"/>
    <n v="2911072"/>
    <n v="6.9600000977516174E-2"/>
    <s v="5"/>
    <s v="CENTRO TRABAJO 24"/>
    <s v="5711001"/>
    <n v="202700"/>
    <n v="30"/>
    <x v="0"/>
    <n v="2911072"/>
    <n v="3.9999999105930328E-2"/>
    <n v="116500"/>
    <n v="0"/>
    <n v="0"/>
    <n v="0"/>
    <n v="0"/>
    <n v="0"/>
    <n v="0"/>
    <n v="0"/>
    <n v="0"/>
    <n v="0"/>
    <s v="SI"/>
    <s v=" "/>
    <s v="                "/>
  </r>
  <r>
    <x v="1"/>
    <s v="CC"/>
    <x v="41"/>
    <x v="41"/>
    <s v="ANTOLINEZ"/>
    <s v="GARCIA"/>
    <s v="CAMILO"/>
    <s v="ANDRES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2"/>
    <n v="30"/>
    <n v="5676577"/>
    <n v="0.15999999642372131"/>
    <n v="908300"/>
    <s v="Sin Riesgo"/>
    <n v="0"/>
    <n v="0"/>
    <n v="0"/>
    <n v="0"/>
    <n v="0"/>
    <n v="908300"/>
    <s v="NINGUNA"/>
    <x v="8"/>
    <n v="30"/>
    <n v="5676577"/>
    <n v="3.9999999105930328E-2"/>
    <n v="227100"/>
    <n v="0"/>
    <m/>
    <n v="0"/>
    <m/>
    <n v="0"/>
    <s v="NINGUNA"/>
    <x v="0"/>
    <n v="30"/>
    <n v="5676577"/>
    <n v="6.9600000977516174E-2"/>
    <s v="5"/>
    <s v="CENTRO TRABAJO 30"/>
    <s v="5711001"/>
    <n v="395100"/>
    <n v="30"/>
    <x v="1"/>
    <n v="5676577"/>
    <n v="3.9999999105930328E-2"/>
    <n v="227100"/>
    <n v="0"/>
    <n v="0"/>
    <n v="0"/>
    <n v="0"/>
    <n v="0"/>
    <n v="0"/>
    <n v="0"/>
    <n v="0"/>
    <n v="0"/>
    <s v="SI"/>
    <s v=" "/>
    <s v="                "/>
  </r>
  <r>
    <x v="1"/>
    <s v="CC"/>
    <x v="42"/>
    <x v="42"/>
    <s v="OLMOS"/>
    <s v="ROMERO"/>
    <s v="NELSON"/>
    <s v="BERNARD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1650406"/>
    <s v="NO"/>
    <s v="SI"/>
    <x v="0"/>
    <n v="30"/>
    <n v="11650406"/>
    <n v="0.15999999642372131"/>
    <n v="1864100"/>
    <s v="Sin Riesgo"/>
    <n v="0"/>
    <n v="0"/>
    <n v="58300"/>
    <n v="58300"/>
    <n v="0"/>
    <n v="1980700"/>
    <s v="NINGUNA"/>
    <x v="8"/>
    <n v="30"/>
    <n v="11650406"/>
    <n v="0.125"/>
    <n v="1456400"/>
    <n v="0"/>
    <m/>
    <n v="0"/>
    <m/>
    <n v="0"/>
    <s v="NINGUNA"/>
    <x v="0"/>
    <n v="30"/>
    <n v="11650406"/>
    <n v="6.9600000977516174E-2"/>
    <s v="5"/>
    <s v="CENTRO TRABAJO 24"/>
    <s v="5711001"/>
    <n v="810900"/>
    <n v="30"/>
    <x v="0"/>
    <n v="11650406"/>
    <n v="3.9999999105930328E-2"/>
    <n v="466100"/>
    <n v="11650406"/>
    <n v="1.9999999552965164E-2"/>
    <n v="233100"/>
    <n v="2.9999999329447746E-2"/>
    <n v="349600"/>
    <n v="0"/>
    <n v="0"/>
    <n v="0"/>
    <n v="0"/>
    <s v="NO"/>
    <s v=" "/>
    <s v="                "/>
  </r>
  <r>
    <x v="1"/>
    <s v="CC"/>
    <x v="43"/>
    <x v="43"/>
    <s v="OSPINA"/>
    <s v="VILLAMIL"/>
    <s v="ALEJANDRA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5209465"/>
    <s v="NO"/>
    <s v="NO"/>
    <x v="4"/>
    <n v="1"/>
    <n v="173649"/>
    <n v="0.15999999642372131"/>
    <n v="27800"/>
    <s v="Sin Riesgo"/>
    <n v="0"/>
    <n v="0"/>
    <n v="0"/>
    <n v="0"/>
    <n v="0"/>
    <n v="27800"/>
    <s v="NINGUNA"/>
    <x v="8"/>
    <n v="1"/>
    <n v="173649"/>
    <n v="3.9999999105930328E-2"/>
    <n v="7000"/>
    <n v="0"/>
    <m/>
    <n v="0"/>
    <m/>
    <n v="0"/>
    <s v="NINGUNA"/>
    <x v="0"/>
    <n v="1"/>
    <n v="173649"/>
    <n v="0"/>
    <s v="5"/>
    <s v="CENTRO TRABAJO 24"/>
    <s v="5711001"/>
    <n v="0"/>
    <n v="1"/>
    <x v="0"/>
    <n v="173649"/>
    <n v="3.9999999105930328E-2"/>
    <n v="7000"/>
    <n v="0"/>
    <n v="0"/>
    <n v="0"/>
    <n v="0"/>
    <n v="0"/>
    <n v="0"/>
    <n v="0"/>
    <n v="0"/>
    <n v="0"/>
    <s v="SI"/>
    <s v=" "/>
    <s v="                "/>
  </r>
  <r>
    <x v="1"/>
    <s v="CC"/>
    <x v="43"/>
    <x v="43"/>
    <s v="OSPINA"/>
    <s v="VILLAMIL"/>
    <s v="ALEJANDRA"/>
    <s v="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4"/>
    <n v="29"/>
    <n v="5035817"/>
    <n v="0.15999999642372131"/>
    <n v="805800"/>
    <s v="Sin Riesgo"/>
    <n v="0"/>
    <n v="0"/>
    <n v="0"/>
    <n v="0"/>
    <n v="0"/>
    <n v="805800"/>
    <s v="NINGUNA"/>
    <x v="8"/>
    <n v="29"/>
    <n v="5035817"/>
    <n v="3.9999999105930328E-2"/>
    <n v="201500"/>
    <n v="0"/>
    <m/>
    <n v="0"/>
    <m/>
    <n v="0"/>
    <s v="NINGUNA"/>
    <x v="0"/>
    <n v="29"/>
    <n v="5035817"/>
    <n v="6.9600000977516174E-2"/>
    <s v="5"/>
    <s v="CENTRO TRABAJO 24"/>
    <s v="5711001"/>
    <n v="350500"/>
    <n v="29"/>
    <x v="0"/>
    <n v="5035817"/>
    <n v="3.9999999105930328E-2"/>
    <n v="201500"/>
    <n v="0"/>
    <n v="0"/>
    <n v="0"/>
    <n v="0"/>
    <n v="0"/>
    <n v="0"/>
    <n v="0"/>
    <n v="0"/>
    <n v="0"/>
    <s v="SI"/>
    <s v=" "/>
    <s v="                "/>
  </r>
  <r>
    <x v="1"/>
    <s v="CC"/>
    <x v="44"/>
    <x v="44"/>
    <s v="MONTOYA"/>
    <s v="VILLAMIZAR"/>
    <s v="MARIA"/>
    <s v="CAMIL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3"/>
    <n v="30"/>
    <n v="7086256"/>
    <n v="0.15999999642372131"/>
    <n v="1133900"/>
    <s v="Sin Riesgo"/>
    <n v="0"/>
    <n v="0"/>
    <n v="35500"/>
    <n v="35500"/>
    <n v="0"/>
    <n v="1204900"/>
    <s v="NINGUNA"/>
    <x v="2"/>
    <n v="30"/>
    <n v="7086256"/>
    <n v="3.9999999105930328E-2"/>
    <n v="283500"/>
    <n v="0"/>
    <m/>
    <n v="0"/>
    <m/>
    <n v="0"/>
    <s v="NINGUNA"/>
    <x v="0"/>
    <n v="30"/>
    <n v="7086256"/>
    <n v="5.2200001664459705E-3"/>
    <s v="1"/>
    <s v="CENTRO TRABAJO 24"/>
    <s v="1711001"/>
    <n v="37000"/>
    <n v="30"/>
    <x v="0"/>
    <n v="4024292"/>
    <n v="3.9999999105930328E-2"/>
    <n v="161000"/>
    <n v="0"/>
    <n v="0"/>
    <n v="0"/>
    <n v="0"/>
    <n v="0"/>
    <n v="0"/>
    <n v="0"/>
    <n v="0"/>
    <n v="0"/>
    <s v="SI"/>
    <s v=" "/>
    <s v="                "/>
  </r>
  <r>
    <x v="1"/>
    <s v="CC"/>
    <x v="45"/>
    <x v="45"/>
    <s v="MALDONADO"/>
    <s v="MARTINEZ"/>
    <s v="EDWARD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2223339"/>
    <s v="NO"/>
    <s v="NO"/>
    <x v="2"/>
    <n v="1"/>
    <n v="74112"/>
    <n v="0.15999999642372131"/>
    <n v="11900"/>
    <s v="Sin Riesgo"/>
    <n v="0"/>
    <n v="0"/>
    <n v="0"/>
    <n v="0"/>
    <n v="0"/>
    <n v="11900"/>
    <s v="NINGUNA"/>
    <x v="3"/>
    <n v="1"/>
    <n v="74112"/>
    <n v="3.9999999105930328E-2"/>
    <n v="3000"/>
    <n v="0"/>
    <m/>
    <n v="0"/>
    <m/>
    <n v="0"/>
    <s v="NINGUNA"/>
    <x v="0"/>
    <n v="1"/>
    <n v="74112"/>
    <n v="0"/>
    <s v="5"/>
    <s v="CENTRO TRABAJO 24"/>
    <s v="5711001"/>
    <n v="0"/>
    <n v="1"/>
    <x v="0"/>
    <n v="74112"/>
    <n v="3.9999999105930328E-2"/>
    <n v="3000"/>
    <n v="0"/>
    <n v="0"/>
    <n v="0"/>
    <n v="0"/>
    <n v="0"/>
    <n v="0"/>
    <n v="0"/>
    <n v="0"/>
    <n v="0"/>
    <s v="SI"/>
    <s v=" "/>
    <s v="                "/>
  </r>
  <r>
    <x v="1"/>
    <s v="CC"/>
    <x v="45"/>
    <x v="45"/>
    <s v="MALDONADO"/>
    <s v="MARTINEZ"/>
    <s v="EDWARD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77"/>
    <n v="46078"/>
    <s v="NO"/>
    <m/>
    <m/>
    <s v="NO"/>
    <m/>
    <m/>
    <s v="NO"/>
    <s v="NO"/>
    <m/>
    <m/>
    <n v="0"/>
    <m/>
    <m/>
    <s v="NO"/>
    <n v="2223339"/>
    <s v="NO"/>
    <s v="NO"/>
    <x v="2"/>
    <n v="2"/>
    <n v="217110"/>
    <n v="0.15999999642372131"/>
    <n v="34800"/>
    <s v="Sin Riesgo"/>
    <n v="0"/>
    <n v="0"/>
    <n v="0"/>
    <n v="0"/>
    <n v="0"/>
    <n v="34800"/>
    <s v="NINGUNA"/>
    <x v="3"/>
    <n v="2"/>
    <n v="217110"/>
    <n v="3.9999999105930328E-2"/>
    <n v="8700"/>
    <n v="0"/>
    <m/>
    <n v="0"/>
    <m/>
    <n v="0"/>
    <s v="NINGUNA"/>
    <x v="0"/>
    <n v="2"/>
    <n v="21711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45"/>
    <x v="45"/>
    <s v="MALDONADO"/>
    <s v="MARTINEZ"/>
    <s v="EDWARD"/>
    <s v="ALEXANDER"/>
    <s v="BOGOTA_D.E."/>
    <s v="BOGOTA"/>
    <s v="1. DEPENDIENTE"/>
    <s v="NINGUNO"/>
    <n v="199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7"/>
    <n v="3088757"/>
    <n v="0.15999999642372131"/>
    <n v="494300"/>
    <s v="Sin Riesgo"/>
    <n v="0"/>
    <n v="0"/>
    <n v="0"/>
    <n v="0"/>
    <n v="0"/>
    <n v="494300"/>
    <s v="NINGUNA"/>
    <x v="3"/>
    <n v="27"/>
    <n v="3088757"/>
    <n v="3.9999999105930328E-2"/>
    <n v="123600"/>
    <n v="0"/>
    <m/>
    <n v="0"/>
    <m/>
    <n v="0"/>
    <s v="NINGUNA"/>
    <x v="0"/>
    <n v="27"/>
    <n v="3088757"/>
    <n v="6.9600000977516174E-2"/>
    <s v="5"/>
    <s v="CENTRO TRABAJO 24"/>
    <s v="5711001"/>
    <n v="215000"/>
    <n v="27"/>
    <x v="0"/>
    <n v="3490022"/>
    <n v="3.9999999105930328E-2"/>
    <n v="139700"/>
    <n v="0"/>
    <n v="0"/>
    <n v="0"/>
    <n v="0"/>
    <n v="0"/>
    <n v="0"/>
    <n v="0"/>
    <n v="0"/>
    <n v="0"/>
    <s v="SI"/>
    <s v=" "/>
    <s v="                "/>
  </r>
  <r>
    <x v="1"/>
    <s v="CC"/>
    <x v="46"/>
    <x v="46"/>
    <s v="VEGA"/>
    <s v="SANCHEZ"/>
    <s v="DANILO"/>
    <s v="ESTEBA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4024292"/>
    <s v="NO"/>
    <s v="NO"/>
    <x v="0"/>
    <n v="1"/>
    <n v="134144"/>
    <n v="0.15999999642372131"/>
    <n v="21500"/>
    <s v="Sin Riesgo"/>
    <n v="0"/>
    <n v="0"/>
    <n v="0"/>
    <n v="0"/>
    <n v="0"/>
    <n v="21500"/>
    <s v="NINGUNA"/>
    <x v="2"/>
    <n v="1"/>
    <n v="134144"/>
    <n v="3.9999999105930328E-2"/>
    <n v="5400"/>
    <n v="0"/>
    <m/>
    <n v="0"/>
    <m/>
    <n v="0"/>
    <s v="NINGUNA"/>
    <x v="0"/>
    <n v="1"/>
    <n v="134144"/>
    <n v="0"/>
    <s v="5"/>
    <s v="CENTRO TRABAJO 24"/>
    <s v="5711001"/>
    <n v="0"/>
    <n v="1"/>
    <x v="0"/>
    <n v="134144"/>
    <n v="3.9999999105930328E-2"/>
    <n v="5400"/>
    <n v="0"/>
    <n v="0"/>
    <n v="0"/>
    <n v="0"/>
    <n v="0"/>
    <n v="0"/>
    <n v="0"/>
    <n v="0"/>
    <n v="0"/>
    <s v="SI"/>
    <s v=" "/>
    <s v="                "/>
  </r>
  <r>
    <x v="1"/>
    <s v="CC"/>
    <x v="46"/>
    <x v="46"/>
    <s v="VEGA"/>
    <s v="SANCHEZ"/>
    <s v="DANILO"/>
    <s v="ESTEBAN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0"/>
    <n v="29"/>
    <n v="3890149"/>
    <n v="0.15999999642372131"/>
    <n v="622500"/>
    <s v="Sin Riesgo"/>
    <n v="0"/>
    <n v="0"/>
    <n v="0"/>
    <n v="0"/>
    <n v="0"/>
    <n v="622500"/>
    <s v="NINGUNA"/>
    <x v="2"/>
    <n v="29"/>
    <n v="3890149"/>
    <n v="3.9999999105930328E-2"/>
    <n v="155700"/>
    <n v="0"/>
    <m/>
    <n v="0"/>
    <m/>
    <n v="0"/>
    <s v="NINGUNA"/>
    <x v="0"/>
    <n v="29"/>
    <n v="3890149"/>
    <n v="6.9600000977516174E-2"/>
    <s v="5"/>
    <s v="CENTRO TRABAJO 24"/>
    <s v="5711001"/>
    <n v="270800"/>
    <n v="29"/>
    <x v="0"/>
    <n v="3890149"/>
    <n v="3.9999999105930328E-2"/>
    <n v="155700"/>
    <n v="0"/>
    <n v="0"/>
    <n v="0"/>
    <n v="0"/>
    <n v="0"/>
    <n v="0"/>
    <n v="0"/>
    <n v="0"/>
    <n v="0"/>
    <s v="SI"/>
    <s v=" "/>
    <s v="                "/>
  </r>
  <r>
    <x v="1"/>
    <s v="CC"/>
    <x v="47"/>
    <x v="47"/>
    <s v="OVALLE"/>
    <s v="LINARES"/>
    <s v="RAMIRO"/>
    <s v="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9740088"/>
    <s v="NO"/>
    <s v="SI"/>
    <x v="4"/>
    <n v="30"/>
    <n v="9740088"/>
    <n v="0.15999999642372131"/>
    <n v="1558500"/>
    <s v="Sin Riesgo"/>
    <n v="0"/>
    <n v="0"/>
    <n v="48800"/>
    <n v="48800"/>
    <n v="0"/>
    <n v="1656100"/>
    <s v="NINGUNA"/>
    <x v="8"/>
    <n v="30"/>
    <n v="9740088"/>
    <n v="3.9999999105930328E-2"/>
    <n v="389700"/>
    <n v="0"/>
    <m/>
    <n v="0"/>
    <m/>
    <n v="0"/>
    <s v="NINGUNA"/>
    <x v="0"/>
    <n v="30"/>
    <n v="9740088"/>
    <n v="6.9600000977516174E-2"/>
    <s v="5"/>
    <s v="CENTRO TRABAJO 24"/>
    <s v="5711001"/>
    <n v="678000"/>
    <n v="30"/>
    <x v="0"/>
    <n v="9740088"/>
    <n v="3.9999999105930328E-2"/>
    <n v="389700"/>
    <n v="0"/>
    <n v="0"/>
    <n v="0"/>
    <n v="0"/>
    <n v="0"/>
    <n v="0"/>
    <n v="0"/>
    <n v="0"/>
    <n v="0"/>
    <s v="SI"/>
    <s v=" "/>
    <s v="                "/>
  </r>
  <r>
    <x v="1"/>
    <s v="CC"/>
    <x v="48"/>
    <x v="48"/>
    <s v="MARTINEZ"/>
    <s v="NEIRA"/>
    <s v="SANDRA"/>
    <s v="MILENA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8812118"/>
    <s v="NO"/>
    <s v="NO"/>
    <x v="4"/>
    <n v="30"/>
    <n v="8812118"/>
    <n v="0.15999999642372131"/>
    <n v="1410000"/>
    <s v="Sin Riesgo"/>
    <n v="0"/>
    <n v="0"/>
    <n v="44100"/>
    <n v="44100"/>
    <n v="0"/>
    <n v="1498200"/>
    <s v="NINGUNA"/>
    <x v="8"/>
    <n v="30"/>
    <n v="8812118"/>
    <n v="3.9999999105930328E-2"/>
    <n v="352500"/>
    <n v="0"/>
    <m/>
    <n v="0"/>
    <m/>
    <n v="0"/>
    <s v="NINGUNA"/>
    <x v="0"/>
    <n v="30"/>
    <n v="8812118"/>
    <n v="6.9600000977516174E-2"/>
    <s v="5"/>
    <s v="CENTRO TRABAJO 24"/>
    <s v="5711001"/>
    <n v="613400"/>
    <n v="30"/>
    <x v="0"/>
    <n v="8812118"/>
    <n v="3.9999999105930328E-2"/>
    <n v="352500"/>
    <n v="0"/>
    <n v="0"/>
    <n v="0"/>
    <n v="0"/>
    <n v="0"/>
    <n v="0"/>
    <n v="0"/>
    <n v="0"/>
    <n v="0"/>
    <s v="SI"/>
    <s v=" "/>
    <s v="                "/>
  </r>
  <r>
    <x v="1"/>
    <s v="CC"/>
    <x v="49"/>
    <x v="49"/>
    <s v="BECERRA"/>
    <s v="MELGAREJO"/>
    <s v="KAREN"/>
    <s v="JULIETH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3639331"/>
    <s v="NO"/>
    <s v="NO"/>
    <x v="2"/>
    <n v="1"/>
    <n v="121312"/>
    <n v="0.15999999642372131"/>
    <n v="19500"/>
    <s v="Sin Riesgo"/>
    <n v="0"/>
    <n v="0"/>
    <n v="0"/>
    <n v="0"/>
    <n v="0"/>
    <n v="19500"/>
    <s v="NINGUNA"/>
    <x v="3"/>
    <n v="1"/>
    <n v="121312"/>
    <n v="3.9999999105930328E-2"/>
    <n v="4900"/>
    <n v="0"/>
    <m/>
    <n v="0"/>
    <m/>
    <n v="0"/>
    <s v="NINGUNA"/>
    <x v="0"/>
    <n v="1"/>
    <n v="121312"/>
    <n v="0"/>
    <s v="5"/>
    <s v="CENTRO TRABAJO 24"/>
    <s v="5711001"/>
    <n v="0"/>
    <n v="1"/>
    <x v="0"/>
    <n v="121312"/>
    <n v="3.9999999105930328E-2"/>
    <n v="4900"/>
    <n v="0"/>
    <n v="0"/>
    <n v="0"/>
    <n v="0"/>
    <n v="0"/>
    <n v="0"/>
    <n v="0"/>
    <n v="0"/>
    <n v="0"/>
    <s v="SI"/>
    <s v=" "/>
    <s v="                "/>
  </r>
  <r>
    <x v="1"/>
    <s v="CC"/>
    <x v="49"/>
    <x v="49"/>
    <s v="BECERRA"/>
    <s v="MELGAREJO"/>
    <s v="KAREN"/>
    <s v="JULIETH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639331"/>
    <s v="NO"/>
    <s v="NO"/>
    <x v="2"/>
    <n v="29"/>
    <n v="3710740"/>
    <n v="0.15999999642372131"/>
    <n v="593800"/>
    <s v="Sin Riesgo"/>
    <n v="0"/>
    <n v="0"/>
    <n v="0"/>
    <n v="0"/>
    <n v="0"/>
    <n v="593800"/>
    <s v="NINGUNA"/>
    <x v="3"/>
    <n v="29"/>
    <n v="3710740"/>
    <n v="3.9999999105930328E-2"/>
    <n v="148500"/>
    <n v="0"/>
    <m/>
    <n v="0"/>
    <m/>
    <n v="0"/>
    <s v="NINGUNA"/>
    <x v="0"/>
    <n v="29"/>
    <n v="3710740"/>
    <n v="6.9600000977516174E-2"/>
    <s v="5"/>
    <s v="CENTRO TRABAJO 24"/>
    <s v="5711001"/>
    <n v="258300"/>
    <n v="29"/>
    <x v="0"/>
    <n v="3710740"/>
    <n v="3.9999999105930328E-2"/>
    <n v="148500"/>
    <n v="0"/>
    <n v="0"/>
    <n v="0"/>
    <n v="0"/>
    <n v="0"/>
    <n v="0"/>
    <n v="0"/>
    <n v="0"/>
    <n v="0"/>
    <s v="SI"/>
    <s v=" "/>
    <s v="                "/>
  </r>
  <r>
    <x v="1"/>
    <s v="CC"/>
    <x v="50"/>
    <x v="50"/>
    <s v="SACHICA"/>
    <s v="D'ALEMAN"/>
    <s v="KELLY"/>
    <s v="DANIEL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30"/>
    <n v="1750905"/>
    <n v="0.15999999642372131"/>
    <n v="280200"/>
    <s v="Sin Riesgo"/>
    <n v="0"/>
    <n v="0"/>
    <n v="0"/>
    <n v="0"/>
    <n v="0"/>
    <n v="280200"/>
    <s v="NINGUNA"/>
    <x v="2"/>
    <n v="30"/>
    <n v="1750905"/>
    <n v="3.9999999105930328E-2"/>
    <n v="70100"/>
    <n v="0"/>
    <m/>
    <n v="0"/>
    <m/>
    <n v="0"/>
    <s v="NINGUNA"/>
    <x v="0"/>
    <n v="30"/>
    <n v="1750905"/>
    <n v="5.2200001664459705E-3"/>
    <s v="1"/>
    <s v="CENTRO TRABAJO 24"/>
    <s v="1711001"/>
    <n v="9200"/>
    <n v="30"/>
    <x v="0"/>
    <n v="1750905"/>
    <n v="3.9999999105930328E-2"/>
    <n v="70100"/>
    <n v="0"/>
    <n v="0"/>
    <n v="0"/>
    <n v="0"/>
    <n v="0"/>
    <n v="0"/>
    <n v="0"/>
    <n v="0"/>
    <n v="0"/>
    <s v="SI"/>
    <s v=" "/>
    <s v="                "/>
  </r>
  <r>
    <x v="1"/>
    <s v="CC"/>
    <x v="51"/>
    <x v="51"/>
    <s v="BUSTOS"/>
    <s v="OVIEDO"/>
    <s v="OSCAR"/>
    <s v="EDUAR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6"/>
    <n v="46056"/>
    <s v="NO"/>
    <s v="NO"/>
    <m/>
    <m/>
    <n v="0"/>
    <m/>
    <m/>
    <s v="NO"/>
    <n v="2074908"/>
    <s v="NO"/>
    <s v="NO"/>
    <x v="4"/>
    <n v="1"/>
    <n v="69164"/>
    <n v="0.15999999642372131"/>
    <n v="11100"/>
    <s v="Sin Riesgo"/>
    <n v="0"/>
    <n v="0"/>
    <n v="0"/>
    <n v="0"/>
    <n v="0"/>
    <n v="11100"/>
    <s v="NINGUNA"/>
    <x v="10"/>
    <n v="1"/>
    <n v="69164"/>
    <n v="3.9999999105930328E-2"/>
    <n v="2800"/>
    <n v="0"/>
    <m/>
    <n v="0"/>
    <m/>
    <n v="0"/>
    <s v="NINGUNA"/>
    <x v="0"/>
    <n v="1"/>
    <n v="69164"/>
    <n v="0"/>
    <s v="5"/>
    <s v="CENTRO TRABAJO 24"/>
    <s v="5711001"/>
    <n v="0"/>
    <n v="1"/>
    <x v="0"/>
    <n v="69164"/>
    <n v="3.9999999105930328E-2"/>
    <n v="2800"/>
    <n v="0"/>
    <n v="0"/>
    <n v="0"/>
    <n v="0"/>
    <n v="0"/>
    <n v="0"/>
    <n v="0"/>
    <n v="0"/>
    <n v="0"/>
    <s v="SI"/>
    <s v=" "/>
    <s v="                "/>
  </r>
  <r>
    <x v="1"/>
    <s v="CC"/>
    <x v="51"/>
    <x v="51"/>
    <s v="BUSTOS"/>
    <s v="OVIEDO"/>
    <s v="OSCAR"/>
    <s v="EDUAR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7"/>
    <n v="46058"/>
    <s v="NO"/>
    <m/>
    <m/>
    <s v="NO"/>
    <m/>
    <m/>
    <s v="NO"/>
    <s v="NO"/>
    <m/>
    <m/>
    <n v="0"/>
    <m/>
    <m/>
    <s v="NO"/>
    <n v="2074908"/>
    <s v="NO"/>
    <s v="NO"/>
    <x v="4"/>
    <n v="2"/>
    <n v="200102"/>
    <n v="0.15999999642372131"/>
    <n v="32100"/>
    <s v="Sin Riesgo"/>
    <n v="0"/>
    <n v="0"/>
    <n v="0"/>
    <n v="0"/>
    <n v="0"/>
    <n v="32100"/>
    <s v="NINGUNA"/>
    <x v="10"/>
    <n v="2"/>
    <n v="200102"/>
    <n v="3.9999999105930328E-2"/>
    <n v="8100"/>
    <n v="0"/>
    <m/>
    <n v="0"/>
    <m/>
    <n v="0"/>
    <s v="NINGUNA"/>
    <x v="0"/>
    <n v="2"/>
    <n v="200102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51"/>
    <x v="51"/>
    <s v="BUSTOS"/>
    <s v="OVIEDO"/>
    <s v="OSCAR"/>
    <s v="EDUAR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4"/>
    <n v="27"/>
    <n v="2700948"/>
    <n v="0.15999999642372131"/>
    <n v="432200"/>
    <s v="Sin Riesgo"/>
    <n v="0"/>
    <n v="0"/>
    <n v="0"/>
    <n v="0"/>
    <n v="0"/>
    <n v="432200"/>
    <s v="NINGUNA"/>
    <x v="10"/>
    <n v="27"/>
    <n v="2700948"/>
    <n v="3.9999999105930328E-2"/>
    <n v="108100"/>
    <n v="0"/>
    <m/>
    <n v="0"/>
    <m/>
    <n v="0"/>
    <s v="NINGUNA"/>
    <x v="0"/>
    <n v="27"/>
    <n v="2700948"/>
    <n v="6.9600000977516174E-2"/>
    <s v="5"/>
    <s v="CENTRO TRABAJO 24"/>
    <s v="5711001"/>
    <n v="188000"/>
    <n v="27"/>
    <x v="0"/>
    <n v="2700948"/>
    <n v="3.9999999105930328E-2"/>
    <n v="108100"/>
    <n v="0"/>
    <n v="0"/>
    <n v="0"/>
    <n v="0"/>
    <n v="0"/>
    <n v="0"/>
    <n v="0"/>
    <n v="0"/>
    <n v="0"/>
    <s v="SI"/>
    <s v=" "/>
    <s v="                "/>
  </r>
  <r>
    <x v="1"/>
    <s v="CC"/>
    <x v="52"/>
    <x v="52"/>
    <s v="MARTINEZ"/>
    <s v="JARAMILLO"/>
    <s v="ANGIE"/>
    <s v="XIOMAR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6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"/>
    <n v="178560"/>
    <n v="0.15999999642372131"/>
    <n v="28600"/>
    <s v="Sin Riesgo"/>
    <n v="0"/>
    <n v="0"/>
    <n v="0"/>
    <n v="0"/>
    <n v="0"/>
    <n v="28600"/>
    <s v="NINGUNA"/>
    <x v="2"/>
    <n v="3"/>
    <n v="178560"/>
    <n v="0"/>
    <n v="0"/>
    <n v="0"/>
    <m/>
    <n v="0"/>
    <m/>
    <n v="0"/>
    <s v="NINGUNA"/>
    <x v="0"/>
    <n v="3"/>
    <n v="178560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52"/>
    <x v="52"/>
    <s v="MARTINEZ"/>
    <s v="JARAMILLO"/>
    <s v="ANGIE"/>
    <s v="XIOMAR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5"/>
    <n v="46056"/>
    <s v="NO"/>
    <m/>
    <m/>
    <s v="NO"/>
    <m/>
    <m/>
    <s v="NO"/>
    <s v="NO"/>
    <m/>
    <m/>
    <n v="0"/>
    <m/>
    <m/>
    <s v="NO"/>
    <n v="1785595"/>
    <s v="NO"/>
    <s v="NO"/>
    <x v="0"/>
    <n v="2"/>
    <n v="119040"/>
    <n v="0.15999999642372131"/>
    <n v="19100"/>
    <s v="Sin Riesgo"/>
    <n v="0"/>
    <n v="0"/>
    <n v="0"/>
    <n v="0"/>
    <n v="0"/>
    <n v="19100"/>
    <s v="NINGUNA"/>
    <x v="2"/>
    <n v="2"/>
    <n v="119040"/>
    <n v="3.9999999105930328E-2"/>
    <n v="4800"/>
    <n v="0"/>
    <m/>
    <n v="0"/>
    <m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52"/>
    <x v="52"/>
    <s v="MARTINEZ"/>
    <s v="JARAMILLO"/>
    <s v="ANGIE"/>
    <s v="XIOMAR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5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7"/>
    <n v="416639"/>
    <n v="0.15999999642372131"/>
    <n v="66700"/>
    <s v="Sin Riesgo"/>
    <n v="0"/>
    <n v="0"/>
    <n v="0"/>
    <n v="0"/>
    <n v="0"/>
    <n v="66700"/>
    <s v="NINGUNA"/>
    <x v="2"/>
    <n v="7"/>
    <n v="416639"/>
    <n v="0"/>
    <n v="0"/>
    <n v="0"/>
    <m/>
    <n v="0"/>
    <m/>
    <n v="0"/>
    <s v="NINGUNA"/>
    <x v="0"/>
    <n v="7"/>
    <n v="416639"/>
    <n v="0"/>
    <s v="5"/>
    <s v="CENTRO TRABAJO 24"/>
    <s v="5711001"/>
    <n v="0"/>
    <n v="7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52"/>
    <x v="52"/>
    <s v="MARTINEZ"/>
    <s v="JARAMILLO"/>
    <s v="ANGIE"/>
    <s v="XIOMARA"/>
    <s v="BOGOTA_D.E."/>
    <s v="BOGOTA"/>
    <s v="1. DEPENDIENTE"/>
    <s v="NINGUNO"/>
    <n v="1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8"/>
    <n v="1257763"/>
    <n v="0.15999999642372131"/>
    <n v="201300"/>
    <s v="Sin Riesgo"/>
    <n v="0"/>
    <n v="0"/>
    <n v="0"/>
    <n v="0"/>
    <n v="0"/>
    <n v="201300"/>
    <s v="NINGUNA"/>
    <x v="2"/>
    <n v="18"/>
    <n v="1257763"/>
    <n v="3.9999999105930328E-2"/>
    <n v="50400"/>
    <n v="0"/>
    <m/>
    <n v="0"/>
    <m/>
    <n v="0"/>
    <s v="NINGUNA"/>
    <x v="0"/>
    <n v="18"/>
    <n v="1257763"/>
    <n v="6.9600000977516174E-2"/>
    <s v="5"/>
    <s v="CENTRO TRABAJO 24"/>
    <s v="5711001"/>
    <n v="87600"/>
    <n v="18"/>
    <x v="0"/>
    <n v="1257763"/>
    <n v="3.9999999105930328E-2"/>
    <n v="50400"/>
    <n v="0"/>
    <n v="0"/>
    <n v="0"/>
    <n v="0"/>
    <n v="0"/>
    <n v="0"/>
    <n v="0"/>
    <n v="0"/>
    <n v="0"/>
    <s v="SI"/>
    <s v=" "/>
    <s v="                "/>
  </r>
  <r>
    <x v="1"/>
    <s v="CC"/>
    <x v="53"/>
    <x v="53"/>
    <s v="SANCHEZ"/>
    <s v="SOSA"/>
    <s v="DUVAN"/>
    <s v="DAVID"/>
    <s v="BOGOTA_D.E."/>
    <s v="BOGOTA"/>
    <s v="1. DEPENDIENTE"/>
    <s v="NINGUNO"/>
    <n v="74"/>
    <s v="NO"/>
    <s v="NO"/>
    <m/>
    <s v="Todos los sistemas (ARL, AFP, CCF, EPS)"/>
    <n v="46071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3"/>
    <n v="988712"/>
    <n v="0.15999999642372131"/>
    <n v="158200"/>
    <s v="Sin Riesgo"/>
    <n v="0"/>
    <n v="0"/>
    <n v="0"/>
    <n v="0"/>
    <n v="0"/>
    <n v="158200"/>
    <s v="NINGUNA"/>
    <x v="2"/>
    <n v="13"/>
    <n v="988712"/>
    <n v="3.9999999105930328E-2"/>
    <n v="39600"/>
    <n v="0"/>
    <m/>
    <n v="0"/>
    <m/>
    <n v="0"/>
    <s v="NINGUNA"/>
    <x v="0"/>
    <n v="13"/>
    <n v="988712"/>
    <n v="6.9600000977516174E-2"/>
    <s v="5"/>
    <s v="CENTRO TRABAJO 24"/>
    <s v="5711001"/>
    <n v="68900"/>
    <n v="13"/>
    <x v="0"/>
    <n v="988712"/>
    <n v="3.9999999105930328E-2"/>
    <n v="39600"/>
    <n v="0"/>
    <n v="0"/>
    <n v="0"/>
    <n v="0"/>
    <n v="0"/>
    <n v="0"/>
    <n v="0"/>
    <n v="0"/>
    <n v="0"/>
    <s v="SI"/>
    <s v=" "/>
    <s v="                "/>
  </r>
  <r>
    <x v="1"/>
    <s v="CC"/>
    <x v="55"/>
    <x v="55"/>
    <s v="AMAYA"/>
    <s v="GARCIA"/>
    <s v="DAVID"/>
    <s v="FABIA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956650"/>
    <s v="NO"/>
    <s v="NO"/>
    <x v="2"/>
    <n v="1"/>
    <n v="65222"/>
    <n v="0.15999999642372131"/>
    <n v="10500"/>
    <s v="Sin Riesgo"/>
    <n v="0"/>
    <n v="0"/>
    <n v="0"/>
    <n v="0"/>
    <n v="0"/>
    <n v="10500"/>
    <s v="NINGUNA"/>
    <x v="0"/>
    <n v="1"/>
    <n v="65222"/>
    <n v="0"/>
    <n v="0"/>
    <n v="0"/>
    <m/>
    <n v="0"/>
    <m/>
    <n v="0"/>
    <s v="NINGUNA"/>
    <x v="0"/>
    <n v="1"/>
    <n v="65222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55"/>
    <x v="55"/>
    <s v="AMAYA"/>
    <s v="GARCIA"/>
    <s v="DAVID"/>
    <s v="FABIAN"/>
    <s v="BOGOTA_D.E."/>
    <s v="BOGOTA"/>
    <s v="1. DEPENDIENTE"/>
    <s v="NINGUNO"/>
    <n v="20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2"/>
    <n v="29"/>
    <n v="2207398"/>
    <n v="0.15999999642372131"/>
    <n v="353200"/>
    <s v="Sin Riesgo"/>
    <n v="0"/>
    <n v="0"/>
    <n v="0"/>
    <n v="0"/>
    <n v="0"/>
    <n v="353200"/>
    <s v="NINGUNA"/>
    <x v="0"/>
    <n v="29"/>
    <n v="2207398"/>
    <n v="3.9999999105930328E-2"/>
    <n v="88300"/>
    <n v="0"/>
    <m/>
    <n v="0"/>
    <m/>
    <n v="0"/>
    <s v="NINGUNA"/>
    <x v="0"/>
    <n v="29"/>
    <n v="2207398"/>
    <n v="6.9600000977516174E-2"/>
    <s v="5"/>
    <s v="CENTRO TRABAJO 24"/>
    <s v="5711001"/>
    <n v="153700"/>
    <n v="29"/>
    <x v="0"/>
    <n v="2207398"/>
    <n v="3.9999999105930328E-2"/>
    <n v="88300"/>
    <n v="0"/>
    <n v="0"/>
    <n v="0"/>
    <n v="0"/>
    <n v="0"/>
    <n v="0"/>
    <n v="0"/>
    <n v="0"/>
    <n v="0"/>
    <s v="SI"/>
    <s v=" "/>
    <s v="                "/>
  </r>
  <r>
    <x v="1"/>
    <s v="CC"/>
    <x v="56"/>
    <x v="56"/>
    <s v="SANCHEZ"/>
    <s v="SUAREZ"/>
    <s v="ROBERT"/>
    <s v="JOSE"/>
    <s v="BOGOTA_D.E."/>
    <s v="BOGOTA"/>
    <s v="1. DEPENDIENTE"/>
    <s v="NINGUNO"/>
    <n v="90"/>
    <s v="NO"/>
    <s v="NO"/>
    <m/>
    <s v="Todos los sistemas (ARL, AFP, CCF, EPS)"/>
    <n v="46069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534205"/>
    <s v="NO"/>
    <s v="NO"/>
    <x v="0"/>
    <n v="15"/>
    <n v="1767103"/>
    <n v="0.15999999642372131"/>
    <n v="282800"/>
    <s v="Sin Riesgo"/>
    <n v="0"/>
    <n v="0"/>
    <n v="0"/>
    <n v="0"/>
    <n v="0"/>
    <n v="282800"/>
    <s v="NINGUNA"/>
    <x v="9"/>
    <n v="15"/>
    <n v="1767103"/>
    <n v="3.9999999105930328E-2"/>
    <n v="70700"/>
    <n v="0"/>
    <m/>
    <n v="0"/>
    <m/>
    <n v="0"/>
    <s v="NINGUNA"/>
    <x v="0"/>
    <n v="15"/>
    <n v="1767103"/>
    <n v="6.9600000977516174E-2"/>
    <s v="5"/>
    <s v="CENTRO TRABAJO 24"/>
    <s v="5711001"/>
    <n v="123000"/>
    <n v="15"/>
    <x v="0"/>
    <n v="1767103"/>
    <n v="3.9999999105930328E-2"/>
    <n v="70700"/>
    <n v="0"/>
    <n v="0"/>
    <n v="0"/>
    <n v="0"/>
    <n v="0"/>
    <n v="0"/>
    <n v="0"/>
    <n v="0"/>
    <n v="0"/>
    <s v="SI"/>
    <s v=" "/>
    <s v="                "/>
  </r>
  <r>
    <x v="1"/>
    <s v="CC"/>
    <x v="57"/>
    <x v="57"/>
    <s v="MARTIN"/>
    <s v="RIOS"/>
    <s v="LUIS"/>
    <s v="ANDRES"/>
    <s v="BOGOTA_D.E."/>
    <s v="BOGOTA"/>
    <s v="1. DEPENDIENTE"/>
    <s v="NINGUNO"/>
    <n v="126"/>
    <s v="NO"/>
    <s v="NO"/>
    <m/>
    <s v="Todos los sistemas (ARL, AFP, CCF, EPS)"/>
    <n v="46063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149192"/>
    <s v="NO"/>
    <s v="NO"/>
    <x v="1"/>
    <n v="21"/>
    <n v="3604435"/>
    <n v="0.15999999642372131"/>
    <n v="576800"/>
    <s v="Sin Riesgo"/>
    <n v="0"/>
    <n v="0"/>
    <n v="0"/>
    <n v="0"/>
    <n v="0"/>
    <n v="576800"/>
    <s v="NINGUNA"/>
    <x v="8"/>
    <n v="21"/>
    <n v="3604435"/>
    <n v="3.9999999105930328E-2"/>
    <n v="144200"/>
    <n v="0"/>
    <m/>
    <n v="0"/>
    <m/>
    <n v="0"/>
    <s v="NINGUNA"/>
    <x v="0"/>
    <n v="21"/>
    <n v="3604435"/>
    <n v="6.9600000977516174E-2"/>
    <s v="5"/>
    <s v="CENTRO TRABAJO 24"/>
    <s v="5711001"/>
    <n v="250900"/>
    <n v="21"/>
    <x v="0"/>
    <n v="3604435"/>
    <n v="3.9999999105930328E-2"/>
    <n v="144200"/>
    <n v="0"/>
    <n v="0"/>
    <n v="0"/>
    <n v="0"/>
    <n v="0"/>
    <n v="0"/>
    <n v="0"/>
    <n v="0"/>
    <n v="0"/>
    <s v="SI"/>
    <s v=" "/>
    <s v="                "/>
  </r>
  <r>
    <x v="1"/>
    <s v="CC"/>
    <x v="58"/>
    <x v="58"/>
    <s v="RIVERA"/>
    <s v="GOMEZ"/>
    <s v="ANGIE"/>
    <s v="LORENA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4"/>
    <n v="30"/>
    <n v="6819901"/>
    <n v="0.15999999642372131"/>
    <n v="1091200"/>
    <s v="Sin Riesgo"/>
    <n v="0"/>
    <n v="0"/>
    <n v="0"/>
    <n v="0"/>
    <n v="0"/>
    <n v="1091200"/>
    <s v="NINGUNA"/>
    <x v="2"/>
    <n v="30"/>
    <n v="6819901"/>
    <n v="3.9999999105930328E-2"/>
    <n v="272800"/>
    <n v="0"/>
    <m/>
    <n v="0"/>
    <m/>
    <n v="0"/>
    <s v="NINGUNA"/>
    <x v="0"/>
    <n v="30"/>
    <n v="6819901"/>
    <n v="6.9600000977516174E-2"/>
    <s v="5"/>
    <s v="CENTRO TRABAJO 24"/>
    <s v="5711001"/>
    <n v="474700"/>
    <n v="30"/>
    <x v="0"/>
    <n v="5209465"/>
    <n v="3.9999999105930328E-2"/>
    <n v="208400"/>
    <n v="0"/>
    <n v="0"/>
    <n v="0"/>
    <n v="0"/>
    <n v="0"/>
    <n v="0"/>
    <n v="0"/>
    <n v="0"/>
    <n v="0"/>
    <s v="SI"/>
    <s v=" "/>
    <s v="                "/>
  </r>
  <r>
    <x v="1"/>
    <s v="CC"/>
    <x v="59"/>
    <x v="59"/>
    <s v="LOPEZ"/>
    <s v="HURTADO"/>
    <s v="CARLOS"/>
    <s v="ALEXANDER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859408"/>
    <s v="NO"/>
    <s v="NO"/>
    <x v="0"/>
    <n v="30"/>
    <n v="2859408"/>
    <n v="0.15999999642372131"/>
    <n v="457600"/>
    <s v="Sin Riesgo"/>
    <n v="0"/>
    <n v="0"/>
    <n v="0"/>
    <n v="0"/>
    <n v="0"/>
    <n v="457600"/>
    <s v="NINGUNA"/>
    <x v="3"/>
    <n v="30"/>
    <n v="2859408"/>
    <n v="3.9999999105930328E-2"/>
    <n v="114400"/>
    <n v="0"/>
    <m/>
    <n v="0"/>
    <m/>
    <n v="0"/>
    <s v="NINGUNA"/>
    <x v="0"/>
    <n v="30"/>
    <n v="2859408"/>
    <n v="5.2200001664459705E-3"/>
    <s v="1"/>
    <s v="CENTRO TRABAJO 24"/>
    <s v="1711001"/>
    <n v="15000"/>
    <n v="30"/>
    <x v="0"/>
    <n v="2859408"/>
    <n v="3.9999999105930328E-2"/>
    <n v="114400"/>
    <n v="0"/>
    <n v="0"/>
    <n v="0"/>
    <n v="0"/>
    <n v="0"/>
    <n v="0"/>
    <n v="0"/>
    <n v="0"/>
    <n v="0"/>
    <s v="SI"/>
    <s v=" "/>
    <s v="                "/>
  </r>
  <r>
    <x v="1"/>
    <s v="CC"/>
    <x v="60"/>
    <x v="60"/>
    <s v="TAPIA"/>
    <s v="LEAL"/>
    <s v="HARINSON"/>
    <s v="LEONAR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9"/>
    <n v="46070"/>
    <s v="NO"/>
    <m/>
    <m/>
    <s v="NO"/>
    <m/>
    <m/>
    <s v="NO"/>
    <s v="NO"/>
    <m/>
    <m/>
    <n v="0"/>
    <m/>
    <m/>
    <s v="NO"/>
    <n v="1750905"/>
    <s v="NO"/>
    <s v="NO"/>
    <x v="1"/>
    <n v="2"/>
    <n v="128936"/>
    <n v="0.15999999642372131"/>
    <n v="20700"/>
    <s v="Sin Riesgo"/>
    <n v="0"/>
    <n v="0"/>
    <n v="0"/>
    <n v="0"/>
    <n v="0"/>
    <n v="20700"/>
    <s v="NINGUNA"/>
    <x v="11"/>
    <n v="2"/>
    <n v="128936"/>
    <n v="3.9999999105930328E-2"/>
    <n v="5200"/>
    <n v="0"/>
    <m/>
    <n v="0"/>
    <m/>
    <n v="0"/>
    <s v="NINGUNA"/>
    <x v="0"/>
    <n v="2"/>
    <n v="128936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60"/>
    <x v="60"/>
    <s v="TAPIA"/>
    <s v="LEAL"/>
    <s v="HARINSON"/>
    <s v="LEONARDO"/>
    <s v="BOGOTA_D.E."/>
    <s v="BOGOTA"/>
    <s v="1. DEPENDIENTE"/>
    <s v="NINGUNO"/>
    <n v="17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8"/>
    <n v="1878311"/>
    <n v="0.15999999642372131"/>
    <n v="300600"/>
    <s v="Sin Riesgo"/>
    <n v="0"/>
    <n v="0"/>
    <n v="0"/>
    <n v="0"/>
    <n v="0"/>
    <n v="300600"/>
    <s v="NINGUNA"/>
    <x v="11"/>
    <n v="28"/>
    <n v="1878311"/>
    <n v="3.9999999105930328E-2"/>
    <n v="75200"/>
    <n v="0"/>
    <m/>
    <n v="0"/>
    <m/>
    <n v="0"/>
    <s v="NINGUNA"/>
    <x v="0"/>
    <n v="28"/>
    <n v="1878311"/>
    <n v="6.9600000977516174E-2"/>
    <s v="5"/>
    <s v="CENTRO TRABAJO 24"/>
    <s v="5711001"/>
    <n v="130800"/>
    <n v="28"/>
    <x v="0"/>
    <n v="1878311"/>
    <n v="3.9999999105930328E-2"/>
    <n v="75200"/>
    <n v="0"/>
    <n v="0"/>
    <n v="0"/>
    <n v="0"/>
    <n v="0"/>
    <n v="0"/>
    <n v="0"/>
    <n v="0"/>
    <n v="0"/>
    <s v="SI"/>
    <s v=" "/>
    <s v="                "/>
  </r>
  <r>
    <x v="1"/>
    <s v="CC"/>
    <x v="61"/>
    <x v="61"/>
    <s v="PALACIOS"/>
    <s v="ORJUELA"/>
    <s v="JENNY"/>
    <s v="ALEJANDRA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4891516"/>
    <s v="NO"/>
    <s v="NO"/>
    <x v="4"/>
    <n v="30"/>
    <n v="4891516"/>
    <n v="0.15999999642372131"/>
    <n v="782700"/>
    <s v="Sin Riesgo"/>
    <n v="0"/>
    <n v="0"/>
    <n v="0"/>
    <n v="0"/>
    <n v="0"/>
    <n v="782700"/>
    <s v="NINGUNA"/>
    <x v="2"/>
    <n v="30"/>
    <n v="4891516"/>
    <n v="3.9999999105930328E-2"/>
    <n v="195700"/>
    <n v="0"/>
    <m/>
    <n v="0"/>
    <m/>
    <n v="0"/>
    <s v="NINGUNA"/>
    <x v="0"/>
    <n v="30"/>
    <n v="4891516"/>
    <n v="6.9600000977516174E-2"/>
    <s v="5"/>
    <s v="CENTRO TRABAJO 24"/>
    <s v="5711001"/>
    <n v="340500"/>
    <n v="30"/>
    <x v="0"/>
    <n v="4891516"/>
    <n v="3.9999999105930328E-2"/>
    <n v="195700"/>
    <n v="0"/>
    <n v="0"/>
    <n v="0"/>
    <n v="0"/>
    <n v="0"/>
    <n v="0"/>
    <n v="0"/>
    <n v="0"/>
    <n v="0"/>
    <s v="SI"/>
    <s v=" "/>
    <s v="                "/>
  </r>
  <r>
    <x v="1"/>
    <s v="CC"/>
    <x v="62"/>
    <x v="62"/>
    <s v="OYUELA"/>
    <s v="RODRIGUEZ"/>
    <s v="JUAN"/>
    <s v="PABL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5209465"/>
    <s v="NO"/>
    <s v="NO"/>
    <x v="1"/>
    <n v="1"/>
    <n v="173649"/>
    <n v="0.15999999642372131"/>
    <n v="27800"/>
    <s v="Sin Riesgo"/>
    <n v="0"/>
    <n v="0"/>
    <n v="0"/>
    <n v="0"/>
    <n v="0"/>
    <n v="27800"/>
    <s v="NINGUNA"/>
    <x v="3"/>
    <n v="1"/>
    <n v="173649"/>
    <n v="3.9999999105930328E-2"/>
    <n v="7000"/>
    <n v="0"/>
    <m/>
    <n v="0"/>
    <m/>
    <n v="0"/>
    <s v="NINGUNA"/>
    <x v="0"/>
    <n v="1"/>
    <n v="173649"/>
    <n v="0"/>
    <s v="5"/>
    <s v="CENTRO TRABAJO 24"/>
    <s v="5711001"/>
    <n v="0"/>
    <n v="1"/>
    <x v="0"/>
    <n v="173649"/>
    <n v="3.9999999105930328E-2"/>
    <n v="7000"/>
    <n v="0"/>
    <n v="0"/>
    <n v="0"/>
    <n v="0"/>
    <n v="0"/>
    <n v="0"/>
    <n v="0"/>
    <n v="0"/>
    <n v="0"/>
    <s v="SI"/>
    <s v=" "/>
    <s v="                "/>
  </r>
  <r>
    <x v="1"/>
    <s v="CC"/>
    <x v="62"/>
    <x v="62"/>
    <s v="OYUELA"/>
    <s v="RODRIGUEZ"/>
    <s v="JUAN"/>
    <s v="PABL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1"/>
    <n v="29"/>
    <n v="5035817"/>
    <n v="0.15999999642372131"/>
    <n v="805800"/>
    <s v="Sin Riesgo"/>
    <n v="0"/>
    <n v="0"/>
    <n v="0"/>
    <n v="0"/>
    <n v="0"/>
    <n v="805800"/>
    <s v="NINGUNA"/>
    <x v="3"/>
    <n v="29"/>
    <n v="5035817"/>
    <n v="3.9999999105930328E-2"/>
    <n v="201500"/>
    <n v="0"/>
    <m/>
    <n v="0"/>
    <m/>
    <n v="0"/>
    <s v="NINGUNA"/>
    <x v="0"/>
    <n v="29"/>
    <n v="5035817"/>
    <n v="6.9600000977516174E-2"/>
    <s v="5"/>
    <s v="CENTRO TRABAJO 24"/>
    <s v="5711001"/>
    <n v="350500"/>
    <n v="29"/>
    <x v="0"/>
    <n v="5035817"/>
    <n v="3.9999999105930328E-2"/>
    <n v="201500"/>
    <n v="0"/>
    <n v="0"/>
    <n v="0"/>
    <n v="0"/>
    <n v="0"/>
    <n v="0"/>
    <n v="0"/>
    <n v="0"/>
    <n v="0"/>
    <s v="SI"/>
    <s v=" "/>
    <s v="                "/>
  </r>
  <r>
    <x v="1"/>
    <s v="CC"/>
    <x v="63"/>
    <x v="438"/>
    <s v="DIAZ"/>
    <s v="LEGUIZAMON"/>
    <s v="YEZID"/>
    <s v="ALEJANDRO"/>
    <s v="BOGOTA_D.E."/>
    <s v="BOGOTA"/>
    <s v="1. DEPENDIENTE"/>
    <s v="NINGUNO"/>
    <n v="27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9"/>
    <n v="46060"/>
    <s v="NO"/>
    <m/>
    <m/>
    <s v="NO"/>
    <m/>
    <m/>
    <s v="NO"/>
    <s v="NO"/>
    <m/>
    <m/>
    <n v="0"/>
    <m/>
    <m/>
    <s v="NO"/>
    <n v="2223339"/>
    <s v="NO"/>
    <s v="NO"/>
    <x v="0"/>
    <n v="2"/>
    <n v="148223"/>
    <n v="0.15999999642372131"/>
    <n v="23800"/>
    <s v="Sin Riesgo"/>
    <n v="0"/>
    <n v="0"/>
    <n v="0"/>
    <n v="0"/>
    <n v="0"/>
    <n v="23800"/>
    <s v="NINGUNA"/>
    <x v="2"/>
    <n v="2"/>
    <n v="148223"/>
    <n v="3.9999999105930328E-2"/>
    <n v="6000"/>
    <n v="0"/>
    <m/>
    <n v="0"/>
    <m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63"/>
    <x v="438"/>
    <s v="DIAZ"/>
    <s v="LEGUIZAMON"/>
    <s v="YEZID"/>
    <s v="ALEJANDRO"/>
    <s v="BOGOTA_D.E."/>
    <s v="BOGOTA"/>
    <s v="1. DEPENDIENTE"/>
    <s v="NINGUNO"/>
    <n v="0"/>
    <s v="NO"/>
    <s v="NO"/>
    <m/>
    <s v="Todos los sistemas (ARL, AFP, CCF, EPS)"/>
    <n v="46058"/>
    <s v="Todos los sistemas (ARL, AFP, CCF, EPS)"/>
    <n v="46062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"/>
    <n v="222334"/>
    <n v="0.15999999642372131"/>
    <n v="35600"/>
    <s v="Sin Riesgo"/>
    <n v="0"/>
    <n v="0"/>
    <n v="0"/>
    <n v="0"/>
    <n v="0"/>
    <n v="35600"/>
    <s v="NINGUNA"/>
    <x v="2"/>
    <n v="3"/>
    <n v="222334"/>
    <n v="3.9999999105930328E-2"/>
    <n v="8900"/>
    <n v="0"/>
    <m/>
    <n v="0"/>
    <m/>
    <n v="0"/>
    <s v="NINGUNA"/>
    <x v="0"/>
    <n v="3"/>
    <n v="222334"/>
    <n v="6.9600000977516174E-2"/>
    <s v="5"/>
    <s v="CENTRO TRABAJO 24"/>
    <s v="5711001"/>
    <n v="15500"/>
    <n v="3"/>
    <x v="0"/>
    <n v="237897"/>
    <n v="3.9999999105930328E-2"/>
    <n v="9600"/>
    <n v="0"/>
    <n v="0"/>
    <n v="0"/>
    <n v="0"/>
    <n v="0"/>
    <n v="0"/>
    <n v="0"/>
    <n v="0"/>
    <n v="0"/>
    <s v="SI"/>
    <s v=" "/>
    <s v="                "/>
  </r>
  <r>
    <x v="1"/>
    <s v="CC"/>
    <x v="64"/>
    <x v="64"/>
    <s v="MOLINA"/>
    <s v="PAEZ"/>
    <s v="JOHN"/>
    <s v="EDINSSON"/>
    <s v="BOGOTA_D.E."/>
    <s v="BOGOTA"/>
    <s v="1. DEPENDIENTE"/>
    <s v="NINGUNO"/>
    <n v="94"/>
    <s v="NO"/>
    <s v="NO"/>
    <m/>
    <s v="Todos los sistemas (ARL, AFP, CCF, EPS)"/>
    <n v="46069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SI"/>
    <x v="3"/>
    <n v="15"/>
    <n v="2838289"/>
    <n v="0.15999999642372131"/>
    <n v="454200"/>
    <s v="Sin Riesgo"/>
    <n v="0"/>
    <n v="0"/>
    <n v="0"/>
    <n v="0"/>
    <n v="0"/>
    <n v="454200"/>
    <s v="NINGUNA"/>
    <x v="10"/>
    <n v="15"/>
    <n v="2838289"/>
    <n v="3.9999999105930328E-2"/>
    <n v="113600"/>
    <n v="0"/>
    <m/>
    <n v="0"/>
    <m/>
    <n v="0"/>
    <s v="NINGUNA"/>
    <x v="0"/>
    <n v="15"/>
    <n v="2838289"/>
    <n v="6.9600000977516174E-2"/>
    <s v="5"/>
    <s v="CENTRO TRABAJO 24"/>
    <s v="5711001"/>
    <n v="197600"/>
    <n v="15"/>
    <x v="0"/>
    <n v="2838289"/>
    <n v="3.9999999105930328E-2"/>
    <n v="113600"/>
    <n v="0"/>
    <n v="0"/>
    <n v="0"/>
    <n v="0"/>
    <n v="0"/>
    <n v="0"/>
    <n v="0"/>
    <n v="0"/>
    <n v="0"/>
    <s v="SI"/>
    <s v=" "/>
    <s v="                "/>
  </r>
  <r>
    <x v="1"/>
    <s v="CC"/>
    <x v="65"/>
    <x v="65"/>
    <s v="GIRALDO"/>
    <s v="RESTREPO"/>
    <s v="LUISA"/>
    <s v="FERNAND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219704"/>
    <s v="NO"/>
    <s v="NO"/>
    <x v="1"/>
    <n v="30"/>
    <n v="2219704"/>
    <n v="0.15999999642372131"/>
    <n v="355200"/>
    <s v="Sin Riesgo"/>
    <n v="0"/>
    <n v="0"/>
    <n v="0"/>
    <n v="0"/>
    <n v="0"/>
    <n v="355200"/>
    <s v="NINGUNA"/>
    <x v="2"/>
    <n v="30"/>
    <n v="2219704"/>
    <n v="3.9999999105930328E-2"/>
    <n v="88800"/>
    <n v="0"/>
    <m/>
    <n v="0"/>
    <m/>
    <n v="0"/>
    <s v="NINGUNA"/>
    <x v="0"/>
    <n v="30"/>
    <n v="2219704"/>
    <n v="5.2200001664459705E-3"/>
    <s v="1"/>
    <s v="CENTRO TRABAJO 24"/>
    <s v="1711001"/>
    <n v="11600"/>
    <n v="30"/>
    <x v="0"/>
    <n v="2219704"/>
    <n v="3.9999999105930328E-2"/>
    <n v="88800"/>
    <n v="0"/>
    <n v="0"/>
    <n v="0"/>
    <n v="0"/>
    <n v="0"/>
    <n v="0"/>
    <n v="0"/>
    <n v="0"/>
    <n v="0"/>
    <s v="SI"/>
    <s v=" "/>
    <s v="                "/>
  </r>
  <r>
    <x v="1"/>
    <s v="CC"/>
    <x v="66"/>
    <x v="66"/>
    <s v="PAVA"/>
    <s v="NIÑO"/>
    <s v="ANGIE"/>
    <s v="HASBLEIDY"/>
    <s v="BOGOTA_D.E."/>
    <s v="BOGOTA"/>
    <s v="1. DEPENDIENTE"/>
    <s v="NINGUNO"/>
    <n v="94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660341"/>
    <s v="NO"/>
    <s v="NO"/>
    <x v="0"/>
    <n v="15"/>
    <n v="1601269"/>
    <n v="0.15999999642372131"/>
    <n v="256300"/>
    <s v="Sin Riesgo"/>
    <n v="0"/>
    <n v="0"/>
    <n v="0"/>
    <n v="0"/>
    <n v="0"/>
    <n v="256300"/>
    <s v="NINGUNA"/>
    <x v="8"/>
    <n v="15"/>
    <n v="1601269"/>
    <n v="3.9999999105930328E-2"/>
    <n v="64100"/>
    <n v="0"/>
    <m/>
    <n v="0"/>
    <m/>
    <n v="0"/>
    <s v="NINGUNA"/>
    <x v="0"/>
    <n v="15"/>
    <n v="1601269"/>
    <n v="5.2200001664459705E-3"/>
    <s v="1"/>
    <s v="CENTRO TRABAJO 24"/>
    <s v="1711001"/>
    <n v="8400"/>
    <n v="15"/>
    <x v="0"/>
    <n v="1601269"/>
    <n v="3.9999999105930328E-2"/>
    <n v="64100"/>
    <n v="0"/>
    <n v="0"/>
    <n v="0"/>
    <n v="0"/>
    <n v="0"/>
    <n v="0"/>
    <n v="0"/>
    <n v="0"/>
    <n v="0"/>
    <s v="SI"/>
    <s v=" "/>
    <s v="                "/>
  </r>
  <r>
    <x v="1"/>
    <s v="CC"/>
    <x v="66"/>
    <x v="66"/>
    <s v="PAVA"/>
    <s v="NIÑO"/>
    <s v="ANGIE"/>
    <s v="HASBLEIDY"/>
    <s v="BOGOTA_D.E."/>
    <s v="BOGOTA"/>
    <s v="1. DEPENDIENTE"/>
    <s v="NINGUNO"/>
    <n v="94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660341"/>
    <s v="NO"/>
    <s v="NO"/>
    <x v="0"/>
    <n v="15"/>
    <n v="4614376"/>
    <n v="0.15999999642372131"/>
    <n v="738400"/>
    <s v="Sin Riesgo"/>
    <n v="0"/>
    <n v="0"/>
    <n v="0"/>
    <n v="0"/>
    <n v="0"/>
    <n v="738400"/>
    <s v="NINGUNA"/>
    <x v="8"/>
    <n v="15"/>
    <n v="4614376"/>
    <n v="3.9999999105930328E-2"/>
    <n v="184600"/>
    <n v="0"/>
    <m/>
    <n v="0"/>
    <m/>
    <n v="0"/>
    <s v="NINGUNA"/>
    <x v="0"/>
    <n v="15"/>
    <n v="4614376"/>
    <n v="5.2200001664459705E-3"/>
    <s v="1"/>
    <s v="CENTRO TRABAJO 24"/>
    <s v="1711001"/>
    <n v="24100"/>
    <n v="15"/>
    <x v="0"/>
    <n v="2059073"/>
    <n v="3.9999999105930328E-2"/>
    <n v="82400"/>
    <n v="0"/>
    <n v="0"/>
    <n v="0"/>
    <n v="0"/>
    <n v="0"/>
    <n v="0"/>
    <n v="0"/>
    <n v="0"/>
    <n v="0"/>
    <s v="SI"/>
    <s v=" "/>
    <s v="                "/>
  </r>
  <r>
    <x v="1"/>
    <s v="CC"/>
    <x v="67"/>
    <x v="67"/>
    <s v="MORALES"/>
    <s v="VANEGAS"/>
    <s v="MARIA"/>
    <s v="FERNAND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8"/>
    <n v="46061"/>
    <s v="NO"/>
    <s v="NO"/>
    <m/>
    <m/>
    <n v="0"/>
    <m/>
    <m/>
    <s v="NO"/>
    <n v="3660341"/>
    <s v="NO"/>
    <s v="NO"/>
    <x v="1"/>
    <n v="4"/>
    <n v="427670"/>
    <n v="0.15999999642372131"/>
    <n v="68500"/>
    <s v="Sin Riesgo"/>
    <n v="0"/>
    <n v="0"/>
    <n v="0"/>
    <n v="0"/>
    <n v="0"/>
    <n v="68500"/>
    <s v="NINGUNA"/>
    <x v="2"/>
    <n v="4"/>
    <n v="427670"/>
    <n v="3.9999999105930328E-2"/>
    <n v="17200"/>
    <n v="0"/>
    <m/>
    <n v="0"/>
    <m/>
    <n v="0"/>
    <s v="NINGUNA"/>
    <x v="0"/>
    <n v="4"/>
    <n v="427670"/>
    <n v="0"/>
    <s v="1"/>
    <s v="CENTRO TRABAJO 24"/>
    <s v="1711001"/>
    <n v="0"/>
    <n v="4"/>
    <x v="0"/>
    <n v="448036"/>
    <n v="3.9999999105930328E-2"/>
    <n v="18000"/>
    <n v="0"/>
    <n v="0"/>
    <n v="0"/>
    <n v="0"/>
    <n v="0"/>
    <n v="0"/>
    <n v="0"/>
    <n v="0"/>
    <n v="0"/>
    <s v="SI"/>
    <s v=" "/>
    <s v="                "/>
  </r>
  <r>
    <x v="1"/>
    <s v="CC"/>
    <x v="67"/>
    <x v="67"/>
    <s v="MORALES"/>
    <s v="VANEGAS"/>
    <s v="MARIA"/>
    <s v="FERNANDA"/>
    <s v="BOGOTA_D.E."/>
    <s v="BOGOTA"/>
    <s v="1. DEPENDIENTE"/>
    <s v="NINGUNO"/>
    <n v="7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660341"/>
    <s v="NO"/>
    <s v="NO"/>
    <x v="1"/>
    <n v="26"/>
    <n v="3212306"/>
    <n v="0.15999999642372131"/>
    <n v="514000"/>
    <s v="Sin Riesgo"/>
    <n v="0"/>
    <n v="0"/>
    <n v="0"/>
    <n v="0"/>
    <n v="0"/>
    <n v="514000"/>
    <s v="NINGUNA"/>
    <x v="2"/>
    <n v="26"/>
    <n v="3212306"/>
    <n v="3.9999999105930328E-2"/>
    <n v="128500"/>
    <n v="0"/>
    <m/>
    <n v="0"/>
    <m/>
    <n v="0"/>
    <s v="NINGUNA"/>
    <x v="0"/>
    <n v="26"/>
    <n v="3212306"/>
    <n v="5.2200001664459705E-3"/>
    <s v="1"/>
    <s v="CENTRO TRABAJO 24"/>
    <s v="1711001"/>
    <n v="16800"/>
    <n v="26"/>
    <x v="0"/>
    <n v="3212305"/>
    <n v="3.9999999105930328E-2"/>
    <n v="128500"/>
    <n v="0"/>
    <n v="0"/>
    <n v="0"/>
    <n v="0"/>
    <n v="0"/>
    <n v="0"/>
    <n v="0"/>
    <n v="0"/>
    <n v="0"/>
    <s v="SI"/>
    <s v=" "/>
    <s v="                "/>
  </r>
  <r>
    <x v="1"/>
    <s v="CC"/>
    <x v="68"/>
    <x v="68"/>
    <s v="SUAREZ"/>
    <s v="CORDOBA"/>
    <s v="JHONATAN"/>
    <s v="DE JESUS"/>
    <s v="BOGOTA_D.E."/>
    <s v="BOGOTA"/>
    <s v="1. DEPENDIENTE"/>
    <s v="NINGUNO"/>
    <n v="90"/>
    <s v="NO"/>
    <s v="NO"/>
    <m/>
    <s v="Todos los sistemas (ARL, AFP, CCF, EPS)"/>
    <n v="46069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102789"/>
    <s v="NO"/>
    <s v="NO"/>
    <x v="0"/>
    <n v="15"/>
    <n v="1547463"/>
    <n v="0.15999999642372131"/>
    <n v="247600"/>
    <s v="Sin Riesgo"/>
    <n v="0"/>
    <n v="0"/>
    <n v="0"/>
    <n v="0"/>
    <n v="0"/>
    <n v="247600"/>
    <s v="NINGUNA"/>
    <x v="0"/>
    <n v="15"/>
    <n v="1547463"/>
    <n v="3.9999999105930328E-2"/>
    <n v="61900"/>
    <n v="0"/>
    <m/>
    <n v="0"/>
    <m/>
    <n v="0"/>
    <s v="NINGUNA"/>
    <x v="0"/>
    <n v="15"/>
    <n v="1547463"/>
    <n v="6.9600000977516174E-2"/>
    <s v="5"/>
    <s v="CENTRO TRABAJO 24"/>
    <s v="5711001"/>
    <n v="107800"/>
    <n v="15"/>
    <x v="0"/>
    <n v="1051395"/>
    <n v="3.9999999105930328E-2"/>
    <n v="42100"/>
    <n v="0"/>
    <n v="0"/>
    <n v="0"/>
    <n v="0"/>
    <n v="0"/>
    <n v="0"/>
    <n v="0"/>
    <n v="0"/>
    <n v="0"/>
    <s v="SI"/>
    <s v=" "/>
    <s v="                "/>
  </r>
  <r>
    <x v="1"/>
    <s v="CC"/>
    <x v="69"/>
    <x v="69"/>
    <s v="CASTRO"/>
    <s v="MACEA"/>
    <s v="EFREN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75091"/>
    <n v="0.15999999642372131"/>
    <n v="28100"/>
    <s v="Sin Riesgo"/>
    <n v="0"/>
    <n v="0"/>
    <n v="0"/>
    <n v="0"/>
    <n v="0"/>
    <n v="28100"/>
    <s v="NINGUNA"/>
    <x v="10"/>
    <n v="2"/>
    <n v="175091"/>
    <n v="0"/>
    <n v="0"/>
    <n v="0"/>
    <m/>
    <n v="0"/>
    <m/>
    <n v="0"/>
    <s v="NINGUNA"/>
    <x v="0"/>
    <n v="2"/>
    <n v="175091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69"/>
    <x v="69"/>
    <s v="CASTRO"/>
    <s v="MACEA"/>
    <s v="EFREN"/>
    <s v=""/>
    <s v="BOGOTA_D.E."/>
    <s v="BOGOTA"/>
    <s v="1. DEPENDIENTE"/>
    <s v="NINGUNO"/>
    <n v="6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346838"/>
    <n v="0.15999999642372131"/>
    <n v="55500"/>
    <s v="Sin Riesgo"/>
    <n v="0"/>
    <n v="0"/>
    <n v="0"/>
    <n v="0"/>
    <n v="0"/>
    <n v="55500"/>
    <s v="NINGUNA"/>
    <x v="10"/>
    <n v="1"/>
    <n v="346838"/>
    <n v="3.9999999105930328E-2"/>
    <n v="13900"/>
    <n v="0"/>
    <m/>
    <n v="0"/>
    <m/>
    <n v="0"/>
    <s v="NINGUNA"/>
    <x v="0"/>
    <n v="1"/>
    <n v="346838"/>
    <n v="6.9600000977516174E-2"/>
    <s v="5"/>
    <s v="CENTRO TRABAJO 24"/>
    <s v="5711001"/>
    <n v="24200"/>
    <n v="1"/>
    <x v="0"/>
    <n v="753174"/>
    <n v="3.9999999105930328E-2"/>
    <n v="30200"/>
    <n v="0"/>
    <n v="0"/>
    <n v="0"/>
    <n v="0"/>
    <n v="0"/>
    <n v="0"/>
    <n v="0"/>
    <n v="0"/>
    <n v="0"/>
    <s v="SI"/>
    <s v=" "/>
    <s v="                "/>
  </r>
  <r>
    <x v="1"/>
    <s v="CC"/>
    <x v="70"/>
    <x v="439"/>
    <s v="HERNANDEZ"/>
    <s v="MERCHAN"/>
    <s v="JONATHAN"/>
    <s v="EDGARDO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237314"/>
    <n v="0.15999999642372131"/>
    <n v="358000"/>
    <s v="Sin Riesgo"/>
    <n v="0"/>
    <n v="0"/>
    <n v="0"/>
    <n v="0"/>
    <n v="0"/>
    <n v="358000"/>
    <s v="NINGUNA"/>
    <x v="3"/>
    <n v="30"/>
    <n v="2237314"/>
    <n v="3.9999999105930328E-2"/>
    <n v="89500"/>
    <n v="0"/>
    <m/>
    <n v="0"/>
    <m/>
    <n v="0"/>
    <s v="NINGUNA"/>
    <x v="0"/>
    <n v="30"/>
    <n v="2237314"/>
    <n v="6.9600000977516174E-2"/>
    <s v="5"/>
    <s v="CENTRO TRABAJO 24"/>
    <s v="5711001"/>
    <n v="155800"/>
    <n v="30"/>
    <x v="0"/>
    <n v="2237314"/>
    <n v="3.9999999105930328E-2"/>
    <n v="89500"/>
    <n v="0"/>
    <n v="0"/>
    <n v="0"/>
    <n v="0"/>
    <n v="0"/>
    <n v="0"/>
    <n v="0"/>
    <n v="0"/>
    <n v="0"/>
    <s v="SI"/>
    <s v=" "/>
    <s v="                "/>
  </r>
  <r>
    <x v="1"/>
    <s v="CC"/>
    <x v="71"/>
    <x v="71"/>
    <s v="POLO"/>
    <s v="CABALLERO"/>
    <s v="ESTEFER"/>
    <s v="JOS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4"/>
    <n v="46058"/>
    <s v="NO"/>
    <s v="NO"/>
    <m/>
    <m/>
    <n v="0"/>
    <m/>
    <m/>
    <s v="NO"/>
    <n v="1889179"/>
    <s v="NO"/>
    <s v="NO"/>
    <x v="2"/>
    <n v="5"/>
    <n v="331364"/>
    <n v="0.15999999642372131"/>
    <n v="53100"/>
    <s v="Sin Riesgo"/>
    <n v="0"/>
    <n v="0"/>
    <n v="0"/>
    <n v="0"/>
    <n v="0"/>
    <n v="53100"/>
    <s v="NINGUNA"/>
    <x v="10"/>
    <n v="5"/>
    <n v="331364"/>
    <n v="3.9999999105930328E-2"/>
    <n v="13300"/>
    <n v="0"/>
    <m/>
    <n v="0"/>
    <m/>
    <n v="0"/>
    <s v="NINGUNA"/>
    <x v="0"/>
    <n v="5"/>
    <n v="331364"/>
    <n v="0"/>
    <s v="3"/>
    <s v="CENTRO TRABAJO 24"/>
    <s v="3711001"/>
    <n v="0"/>
    <n v="5"/>
    <x v="0"/>
    <n v="314864"/>
    <n v="3.9999999105930328E-2"/>
    <n v="12600"/>
    <n v="0"/>
    <n v="0"/>
    <n v="0"/>
    <n v="0"/>
    <n v="0"/>
    <n v="0"/>
    <n v="0"/>
    <n v="0"/>
    <n v="0"/>
    <s v="SI"/>
    <s v=" "/>
    <s v="                "/>
  </r>
  <r>
    <x v="1"/>
    <s v="CC"/>
    <x v="71"/>
    <x v="71"/>
    <s v="POLO"/>
    <s v="CABALLERO"/>
    <s v="ESTEFER"/>
    <s v="JOSE"/>
    <s v="BOGOTA_D.E."/>
    <s v="BOGOTA"/>
    <s v="1. DEPENDIENTE"/>
    <s v="NINGUNO"/>
    <n v="14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2"/>
    <n v="25"/>
    <n v="1574316"/>
    <n v="0.15999999642372131"/>
    <n v="251900"/>
    <s v="Sin Riesgo"/>
    <n v="0"/>
    <n v="0"/>
    <n v="0"/>
    <n v="0"/>
    <n v="0"/>
    <n v="251900"/>
    <s v="NINGUNA"/>
    <x v="10"/>
    <n v="25"/>
    <n v="1574316"/>
    <n v="3.9999999105930328E-2"/>
    <n v="63000"/>
    <n v="0"/>
    <m/>
    <n v="0"/>
    <m/>
    <n v="0"/>
    <s v="NINGUNA"/>
    <x v="0"/>
    <n v="25"/>
    <n v="1574316"/>
    <n v="2.4360001087188721E-2"/>
    <s v="3"/>
    <s v="CENTRO TRABAJO 24"/>
    <s v="3711001"/>
    <n v="38400"/>
    <n v="25"/>
    <x v="0"/>
    <n v="1574316"/>
    <n v="3.9999999105930328E-2"/>
    <n v="63000"/>
    <n v="0"/>
    <n v="0"/>
    <n v="0"/>
    <n v="0"/>
    <n v="0"/>
    <n v="0"/>
    <n v="0"/>
    <n v="0"/>
    <n v="0"/>
    <s v="SI"/>
    <s v=" "/>
    <s v="                "/>
  </r>
  <r>
    <x v="1"/>
    <s v="CC"/>
    <x v="72"/>
    <x v="72"/>
    <s v="SANDOVAL"/>
    <s v="RODRIGUEZ"/>
    <s v="IRON"/>
    <s v="LUIS"/>
    <s v="LA_GUAJIRA"/>
    <s v="RIOHACHA"/>
    <s v="1. DEPENDIENTE"/>
    <s v="NINGUNO"/>
    <n v="202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0"/>
    <n v="30"/>
    <n v="2285022"/>
    <n v="0.15999999642372131"/>
    <n v="365700"/>
    <s v="Sin Riesgo"/>
    <n v="0"/>
    <n v="0"/>
    <n v="0"/>
    <n v="0"/>
    <n v="0"/>
    <n v="365700"/>
    <s v="NINGUNA"/>
    <x v="2"/>
    <n v="30"/>
    <n v="2285022"/>
    <n v="3.9999999105930328E-2"/>
    <n v="91500"/>
    <n v="0"/>
    <m/>
    <n v="0"/>
    <m/>
    <n v="0"/>
    <s v="NINGUNA"/>
    <x v="0"/>
    <n v="30"/>
    <n v="2285022"/>
    <n v="6.9600000977516174E-2"/>
    <s v="5"/>
    <s v="CENTRO TRABAJO 30"/>
    <s v="5711001"/>
    <n v="159100"/>
    <n v="30"/>
    <x v="1"/>
    <n v="2285022"/>
    <n v="3.9999999105930328E-2"/>
    <n v="91500"/>
    <n v="0"/>
    <n v="0"/>
    <n v="0"/>
    <n v="0"/>
    <n v="0"/>
    <n v="0"/>
    <n v="0"/>
    <n v="0"/>
    <n v="0"/>
    <s v="SI"/>
    <s v=" "/>
    <s v="                "/>
  </r>
  <r>
    <x v="1"/>
    <s v="CC"/>
    <x v="73"/>
    <x v="73"/>
    <s v="DIAZ"/>
    <s v="ESCOBAR"/>
    <s v="FERNANDO"/>
    <s v="JOS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2"/>
    <n v="1"/>
    <n v="59520"/>
    <n v="0"/>
    <n v="0"/>
    <n v="0"/>
    <m/>
    <n v="0"/>
    <m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73"/>
    <x v="73"/>
    <s v="DIAZ"/>
    <s v="ESCOBAR"/>
    <s v="FERNANDO"/>
    <s v="JOSE"/>
    <s v="LA_GUAJIRA"/>
    <s v="RIOHACHA"/>
    <s v="1. DEPENDIENTE"/>
    <s v="NINGUNO"/>
    <n v="201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5"/>
    <n v="1950683"/>
    <n v="0.15999999642372131"/>
    <n v="312200"/>
    <s v="Sin Riesgo"/>
    <n v="0"/>
    <n v="0"/>
    <n v="0"/>
    <n v="0"/>
    <n v="0"/>
    <n v="312200"/>
    <s v="NINGUNA"/>
    <x v="2"/>
    <n v="25"/>
    <n v="1950683"/>
    <n v="3.9999999105930328E-2"/>
    <n v="78100"/>
    <n v="0"/>
    <m/>
    <n v="0"/>
    <m/>
    <n v="0"/>
    <s v="NINGUNA"/>
    <x v="0"/>
    <n v="25"/>
    <n v="1950683"/>
    <n v="6.9600000977516174E-2"/>
    <s v="5"/>
    <s v="CENTRO TRABAJO 30"/>
    <s v="5711001"/>
    <n v="135800"/>
    <n v="25"/>
    <x v="1"/>
    <n v="2058337"/>
    <n v="3.9999999105930328E-2"/>
    <n v="82400"/>
    <n v="0"/>
    <n v="0"/>
    <n v="0"/>
    <n v="0"/>
    <n v="0"/>
    <n v="0"/>
    <n v="0"/>
    <n v="0"/>
    <n v="0"/>
    <s v="SI"/>
    <s v=" "/>
    <s v="                "/>
  </r>
  <r>
    <x v="1"/>
    <s v="CC"/>
    <x v="74"/>
    <x v="74"/>
    <s v="SALAS"/>
    <s v="GUERRA"/>
    <s v="RONAL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2665550"/>
    <s v="NO"/>
    <s v="NO"/>
    <x v="2"/>
    <n v="2"/>
    <n v="177704"/>
    <n v="0.15999999642372131"/>
    <n v="28500"/>
    <s v="Sin Riesgo"/>
    <n v="0"/>
    <n v="0"/>
    <n v="0"/>
    <n v="0"/>
    <n v="0"/>
    <n v="28500"/>
    <s v="NINGUNA"/>
    <x v="12"/>
    <n v="2"/>
    <n v="177704"/>
    <n v="8.5000000894069672E-2"/>
    <n v="15200"/>
    <n v="0"/>
    <m/>
    <n v="0"/>
    <m/>
    <n v="0"/>
    <s v="NINGUNA"/>
    <x v="0"/>
    <n v="2"/>
    <n v="177704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NO"/>
    <s v=" "/>
    <s v="                "/>
  </r>
  <r>
    <x v="1"/>
    <s v="CC"/>
    <x v="74"/>
    <x v="74"/>
    <s v="SALAS"/>
    <s v="GUERRA"/>
    <s v="RONAL"/>
    <s v="RAFAEL"/>
    <s v="BOGOTA_D.E."/>
    <s v="BOGOTA"/>
    <s v="1. DEPENDIENTE"/>
    <s v="NINGUNO"/>
    <n v="23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2"/>
    <n v="1"/>
    <n v="1063865"/>
    <n v="0.15999999642372131"/>
    <n v="170300"/>
    <s v="Sin Riesgo"/>
    <n v="0"/>
    <n v="0"/>
    <n v="0"/>
    <n v="0"/>
    <n v="0"/>
    <n v="170300"/>
    <s v="NINGUNA"/>
    <x v="12"/>
    <n v="1"/>
    <n v="1063865"/>
    <n v="0.125"/>
    <n v="133000"/>
    <n v="0"/>
    <m/>
    <n v="0"/>
    <m/>
    <n v="0"/>
    <s v="NINGUNA"/>
    <x v="0"/>
    <n v="1"/>
    <n v="1063865"/>
    <n v="6.9600000977516174E-2"/>
    <s v="5"/>
    <s v="CENTRO TRABAJO 24"/>
    <s v="5711001"/>
    <n v="74100"/>
    <n v="1"/>
    <x v="0"/>
    <n v="1788796"/>
    <n v="3.9999999105930328E-2"/>
    <n v="71600"/>
    <n v="1788796"/>
    <n v="1.9999999552965164E-2"/>
    <n v="35800"/>
    <n v="2.9999999329447746E-2"/>
    <n v="53700"/>
    <n v="0"/>
    <n v="0"/>
    <n v="0"/>
    <n v="0"/>
    <s v="NO"/>
    <s v=" "/>
    <s v="                "/>
  </r>
  <r>
    <x v="1"/>
    <s v="CC"/>
    <x v="76"/>
    <x v="76"/>
    <s v="GOMEZ"/>
    <s v="SIERRA"/>
    <s v="OSWALD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1"/>
    <n v="74112"/>
    <n v="0.15999999642372131"/>
    <n v="11900"/>
    <s v="Sin Riesgo"/>
    <n v="0"/>
    <n v="0"/>
    <n v="0"/>
    <n v="0"/>
    <n v="0"/>
    <n v="11900"/>
    <s v="NINGUNA"/>
    <x v="12"/>
    <n v="1"/>
    <n v="74112"/>
    <n v="0"/>
    <n v="0"/>
    <n v="0"/>
    <m/>
    <n v="0"/>
    <m/>
    <n v="0"/>
    <s v="NINGUNA"/>
    <x v="0"/>
    <n v="1"/>
    <n v="74112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76"/>
    <x v="76"/>
    <s v="GOMEZ"/>
    <s v="SIERRA"/>
    <s v="OSWALD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5"/>
    <n v="46059"/>
    <s v="NO"/>
    <s v="NO"/>
    <m/>
    <m/>
    <n v="0"/>
    <m/>
    <m/>
    <s v="NO"/>
    <n v="2223339"/>
    <s v="NO"/>
    <s v="NO"/>
    <x v="4"/>
    <n v="5"/>
    <n v="370557"/>
    <n v="0.15999999642372131"/>
    <n v="59300"/>
    <s v="Sin Riesgo"/>
    <n v="0"/>
    <n v="0"/>
    <n v="0"/>
    <n v="0"/>
    <n v="0"/>
    <n v="59300"/>
    <s v="NINGUNA"/>
    <x v="12"/>
    <n v="5"/>
    <n v="370557"/>
    <n v="3.9999999105930328E-2"/>
    <n v="14900"/>
    <n v="0"/>
    <m/>
    <n v="0"/>
    <m/>
    <n v="0"/>
    <s v="NINGUNA"/>
    <x v="0"/>
    <n v="5"/>
    <n v="370557"/>
    <n v="0"/>
    <s v="5"/>
    <s v="CENTRO TRABAJO 30"/>
    <s v="5711001"/>
    <n v="0"/>
    <n v="5"/>
    <x v="1"/>
    <n v="370557"/>
    <n v="3.9999999105930328E-2"/>
    <n v="14900"/>
    <n v="0"/>
    <n v="0"/>
    <n v="0"/>
    <n v="0"/>
    <n v="0"/>
    <n v="0"/>
    <n v="0"/>
    <n v="0"/>
    <n v="0"/>
    <s v="SI"/>
    <s v=" "/>
    <s v="                "/>
  </r>
  <r>
    <x v="1"/>
    <s v="CC"/>
    <x v="76"/>
    <x v="76"/>
    <s v="GOMEZ"/>
    <s v="SIERRA"/>
    <s v="OSWALDO"/>
    <s v=""/>
    <s v="LA_GUAJIRA"/>
    <s v="RIOHACHA"/>
    <s v="1. DEPENDIENTE"/>
    <s v="NINGUNO"/>
    <n v="15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24"/>
    <n v="2289733"/>
    <n v="0.15999999642372131"/>
    <n v="366400"/>
    <s v="Sin Riesgo"/>
    <n v="0"/>
    <n v="0"/>
    <n v="0"/>
    <n v="0"/>
    <n v="0"/>
    <n v="366400"/>
    <s v="NINGUNA"/>
    <x v="12"/>
    <n v="24"/>
    <n v="2289733"/>
    <n v="3.9999999105930328E-2"/>
    <n v="91600"/>
    <n v="0"/>
    <m/>
    <n v="0"/>
    <m/>
    <n v="0"/>
    <s v="NINGUNA"/>
    <x v="0"/>
    <n v="24"/>
    <n v="2289733"/>
    <n v="6.9600000977516174E-2"/>
    <s v="5"/>
    <s v="CENTRO TRABAJO 30"/>
    <s v="5711001"/>
    <n v="159400"/>
    <n v="24"/>
    <x v="1"/>
    <n v="2057095"/>
    <n v="3.9999999105930328E-2"/>
    <n v="82300"/>
    <n v="0"/>
    <n v="0"/>
    <n v="0"/>
    <n v="0"/>
    <n v="0"/>
    <n v="0"/>
    <n v="0"/>
    <n v="0"/>
    <n v="0"/>
    <s v="SI"/>
    <s v=" "/>
    <s v="                "/>
  </r>
  <r>
    <x v="1"/>
    <s v="CC"/>
    <x v="77"/>
    <x v="440"/>
    <s v="VILLARREAL"/>
    <s v="MOVILLA"/>
    <s v="GUSTAVO"/>
    <s v="JOSE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86374"/>
    <s v="NO"/>
    <s v="NO"/>
    <x v="2"/>
    <n v="30"/>
    <n v="2286374"/>
    <n v="0.15999999642372131"/>
    <n v="365900"/>
    <s v="Sin Riesgo"/>
    <n v="0"/>
    <n v="0"/>
    <n v="0"/>
    <n v="0"/>
    <n v="0"/>
    <n v="365900"/>
    <s v="NINGUNA"/>
    <x v="3"/>
    <n v="30"/>
    <n v="2286374"/>
    <n v="3.9999999105930328E-2"/>
    <n v="91500"/>
    <n v="0"/>
    <m/>
    <n v="0"/>
    <m/>
    <n v="0"/>
    <s v="NINGUNA"/>
    <x v="0"/>
    <n v="30"/>
    <n v="2286374"/>
    <n v="6.9600000977516174E-2"/>
    <s v="5"/>
    <s v="CENTRO TRABAJO 24"/>
    <s v="5711001"/>
    <n v="159200"/>
    <n v="30"/>
    <x v="0"/>
    <n v="2286374"/>
    <n v="3.9999999105930328E-2"/>
    <n v="91500"/>
    <n v="0"/>
    <n v="0"/>
    <n v="0"/>
    <n v="0"/>
    <n v="0"/>
    <n v="0"/>
    <n v="0"/>
    <n v="0"/>
    <n v="0"/>
    <s v="SI"/>
    <s v=" "/>
    <s v="                "/>
  </r>
  <r>
    <x v="1"/>
    <s v="CC"/>
    <x v="78"/>
    <x v="78"/>
    <s v="SANES"/>
    <s v="ANAYA"/>
    <s v="STIVENSON"/>
    <s v="JOSE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0"/>
    <n v="4"/>
    <n v="260887"/>
    <n v="0.15999999642372131"/>
    <n v="41800"/>
    <s v="Sin Riesgo"/>
    <n v="0"/>
    <n v="0"/>
    <n v="0"/>
    <n v="0"/>
    <n v="0"/>
    <n v="41800"/>
    <s v="NINGUNA"/>
    <x v="3"/>
    <n v="4"/>
    <n v="260887"/>
    <n v="3.9999999105930328E-2"/>
    <n v="10500"/>
    <n v="0"/>
    <m/>
    <n v="0"/>
    <m/>
    <n v="0"/>
    <s v="NINGUNA"/>
    <x v="0"/>
    <n v="4"/>
    <n v="260887"/>
    <n v="6.9600000977516174E-2"/>
    <s v="5"/>
    <s v="CENTRO TRABAJO 24"/>
    <s v="5711001"/>
    <n v="18200"/>
    <n v="4"/>
    <x v="0"/>
    <n v="260887"/>
    <n v="3.9999999105930328E-2"/>
    <n v="10500"/>
    <n v="0"/>
    <n v="0"/>
    <n v="0"/>
    <n v="0"/>
    <n v="0"/>
    <n v="0"/>
    <n v="0"/>
    <n v="0"/>
    <n v="0"/>
    <s v="SI"/>
    <s v=" "/>
    <s v="                "/>
  </r>
  <r>
    <x v="1"/>
    <s v="CC"/>
    <x v="79"/>
    <x v="79"/>
    <s v="SUAREZ"/>
    <s v="MENDOZA"/>
    <s v="WILLIAM"/>
    <s v="RICARD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1"/>
    <n v="30"/>
    <n v="5676577"/>
    <n v="0.15999999642372131"/>
    <n v="908300"/>
    <s v="Sin Riesgo"/>
    <n v="0"/>
    <n v="0"/>
    <n v="0"/>
    <n v="0"/>
    <n v="0"/>
    <n v="908300"/>
    <s v="NINGUNA"/>
    <x v="0"/>
    <n v="30"/>
    <n v="5676577"/>
    <n v="3.9999999105930328E-2"/>
    <n v="227100"/>
    <n v="0"/>
    <m/>
    <n v="0"/>
    <m/>
    <n v="0"/>
    <s v="NINGUNA"/>
    <x v="0"/>
    <n v="30"/>
    <n v="5676577"/>
    <n v="6.9600000977516174E-2"/>
    <s v="5"/>
    <s v="CENTRO TRABAJO 24"/>
    <s v="5711001"/>
    <n v="395100"/>
    <n v="30"/>
    <x v="0"/>
    <n v="5676577"/>
    <n v="3.9999999105930328E-2"/>
    <n v="227100"/>
    <n v="0"/>
    <n v="0"/>
    <n v="0"/>
    <n v="0"/>
    <n v="0"/>
    <n v="0"/>
    <n v="0"/>
    <n v="0"/>
    <n v="0"/>
    <s v="SI"/>
    <s v=" "/>
    <s v="                "/>
  </r>
  <r>
    <x v="1"/>
    <s v="CC"/>
    <x v="80"/>
    <x v="80"/>
    <s v="QUIROZ"/>
    <s v="ROMERO"/>
    <s v="DANIEL"/>
    <s v="FERNANDO"/>
    <s v="BOGOTA_D.E."/>
    <s v="BOGOTA"/>
    <s v="1. DEPENDIENTE"/>
    <s v="NINGUNO"/>
    <n v="117"/>
    <s v="NO"/>
    <s v="NO"/>
    <m/>
    <s v="Todos los sistemas (ARL, AFP, CCF, EPS)"/>
    <n v="46064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415855"/>
    <s v="NO"/>
    <s v="NO"/>
    <x v="2"/>
    <n v="20"/>
    <n v="2364739"/>
    <n v="0.15999999642372131"/>
    <n v="378400"/>
    <s v="Sin Riesgo"/>
    <n v="0"/>
    <n v="0"/>
    <n v="0"/>
    <n v="0"/>
    <n v="0"/>
    <n v="378400"/>
    <s v="NINGUNA"/>
    <x v="0"/>
    <n v="20"/>
    <n v="2364739"/>
    <n v="3.9999999105930328E-2"/>
    <n v="94600"/>
    <n v="0"/>
    <m/>
    <n v="0"/>
    <m/>
    <n v="0"/>
    <s v="NINGUNA"/>
    <x v="0"/>
    <n v="20"/>
    <n v="2364739"/>
    <n v="6.9600000977516174E-2"/>
    <s v="5"/>
    <s v="CENTRO TRABAJO 24"/>
    <s v="5711001"/>
    <n v="164600"/>
    <n v="20"/>
    <x v="0"/>
    <n v="2277237"/>
    <n v="3.9999999105930328E-2"/>
    <n v="91100"/>
    <n v="0"/>
    <n v="0"/>
    <n v="0"/>
    <n v="0"/>
    <n v="0"/>
    <n v="0"/>
    <n v="0"/>
    <n v="0"/>
    <n v="0"/>
    <s v="SI"/>
    <s v=" "/>
    <s v="                "/>
  </r>
  <r>
    <x v="1"/>
    <s v="CC"/>
    <x v="81"/>
    <x v="81"/>
    <s v="LASPRILLA"/>
    <s v="BALANTA"/>
    <s v="HELMER"/>
    <s v="ALEXANDER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313068"/>
    <s v="NO"/>
    <s v="NO"/>
    <x v="2"/>
    <n v="30"/>
    <n v="2749922"/>
    <n v="0.15999999642372131"/>
    <n v="440000"/>
    <s v="Sin Riesgo"/>
    <n v="0"/>
    <n v="0"/>
    <n v="0"/>
    <n v="0"/>
    <n v="0"/>
    <n v="440000"/>
    <s v="NINGUNA"/>
    <x v="0"/>
    <n v="30"/>
    <n v="2749922"/>
    <n v="3.9999999105930328E-2"/>
    <n v="110000"/>
    <n v="0"/>
    <m/>
    <n v="0"/>
    <m/>
    <n v="0"/>
    <s v="NINGUNA"/>
    <x v="0"/>
    <n v="30"/>
    <n v="2749922"/>
    <n v="6.9600000977516174E-2"/>
    <s v="5"/>
    <s v="CENTRO TRABAJO 24"/>
    <s v="5711001"/>
    <n v="191400"/>
    <n v="30"/>
    <x v="0"/>
    <n v="2749922"/>
    <n v="3.9999999105930328E-2"/>
    <n v="110000"/>
    <n v="0"/>
    <n v="0"/>
    <n v="0"/>
    <n v="0"/>
    <n v="0"/>
    <n v="0"/>
    <n v="0"/>
    <n v="0"/>
    <n v="0"/>
    <s v="SI"/>
    <s v=" "/>
    <s v="                "/>
  </r>
  <r>
    <x v="1"/>
    <s v="CC"/>
    <x v="82"/>
    <x v="82"/>
    <s v="GUARDO"/>
    <s v="PUELLO"/>
    <s v="YOIVER"/>
    <s v=""/>
    <s v="BOGOTA_D.E."/>
    <s v="BOGOTA"/>
    <s v="1. DEPENDIENTE"/>
    <s v="NINGUNO"/>
    <n v="21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215154"/>
    <n v="0.15999999642372131"/>
    <n v="354500"/>
    <s v="Sin Riesgo"/>
    <n v="0"/>
    <n v="0"/>
    <n v="0"/>
    <n v="0"/>
    <n v="0"/>
    <n v="354500"/>
    <s v="NINGUNA"/>
    <x v="0"/>
    <n v="30"/>
    <n v="2215154"/>
    <n v="3.9999999105930328E-2"/>
    <n v="88700"/>
    <n v="0"/>
    <m/>
    <n v="0"/>
    <m/>
    <n v="0"/>
    <s v="NINGUNA"/>
    <x v="0"/>
    <n v="30"/>
    <n v="2215154"/>
    <n v="6.9600000977516174E-2"/>
    <s v="5"/>
    <s v="CENTRO TRABAJO 24"/>
    <s v="5711001"/>
    <n v="154200"/>
    <n v="30"/>
    <x v="0"/>
    <n v="2215154"/>
    <n v="3.9999999105930328E-2"/>
    <n v="88700"/>
    <n v="0"/>
    <n v="0"/>
    <n v="0"/>
    <n v="0"/>
    <n v="0"/>
    <n v="0"/>
    <n v="0"/>
    <n v="0"/>
    <n v="0"/>
    <s v="SI"/>
    <s v=" "/>
    <s v="                "/>
  </r>
  <r>
    <x v="1"/>
    <s v="CC"/>
    <x v="83"/>
    <x v="83"/>
    <s v="ESTEPA"/>
    <s v="REYES"/>
    <s v="EDISON"/>
    <s v=""/>
    <s v="LA_GUAJIRA"/>
    <s v="RIOHACH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1"/>
    <n v="30"/>
    <n v="3620588"/>
    <n v="0.15999999642372131"/>
    <n v="579300"/>
    <s v="Sin Riesgo"/>
    <n v="0"/>
    <n v="0"/>
    <n v="0"/>
    <n v="0"/>
    <n v="0"/>
    <n v="579300"/>
    <s v="NINGUNA"/>
    <x v="0"/>
    <n v="30"/>
    <n v="3620588"/>
    <n v="3.9999999105930328E-2"/>
    <n v="144900"/>
    <n v="0"/>
    <m/>
    <n v="0"/>
    <m/>
    <n v="0"/>
    <s v="NINGUNA"/>
    <x v="0"/>
    <n v="30"/>
    <n v="3620588"/>
    <n v="6.9600000977516174E-2"/>
    <s v="5"/>
    <s v="CENTRO TRABAJO 30"/>
    <s v="5711001"/>
    <n v="252000"/>
    <n v="30"/>
    <x v="1"/>
    <n v="3620588"/>
    <n v="3.9999999105930328E-2"/>
    <n v="144900"/>
    <n v="0"/>
    <n v="0"/>
    <n v="0"/>
    <n v="0"/>
    <n v="0"/>
    <n v="0"/>
    <n v="0"/>
    <n v="0"/>
    <n v="0"/>
    <s v="SI"/>
    <s v=" "/>
    <s v="                "/>
  </r>
  <r>
    <x v="1"/>
    <s v="CC"/>
    <x v="84"/>
    <x v="84"/>
    <s v="CARVAJAL"/>
    <s v="ALVAREZ"/>
    <s v="CARLOS"/>
    <s v="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539029"/>
    <s v="NO"/>
    <s v="NO"/>
    <x v="0"/>
    <n v="30"/>
    <n v="2977551"/>
    <n v="0.15999999642372131"/>
    <n v="476500"/>
    <s v="Sin Riesgo"/>
    <n v="0"/>
    <n v="0"/>
    <n v="0"/>
    <n v="0"/>
    <n v="0"/>
    <n v="476500"/>
    <s v="NINGUNA"/>
    <x v="2"/>
    <n v="30"/>
    <n v="2977551"/>
    <n v="3.9999999105930328E-2"/>
    <n v="119200"/>
    <n v="0"/>
    <m/>
    <n v="0"/>
    <m/>
    <n v="0"/>
    <s v="NINGUNA"/>
    <x v="0"/>
    <n v="30"/>
    <n v="2977551"/>
    <n v="6.9600000977516174E-2"/>
    <s v="5"/>
    <s v="CENTRO TRABAJO 30"/>
    <s v="5711001"/>
    <n v="207300"/>
    <n v="30"/>
    <x v="1"/>
    <n v="2977551"/>
    <n v="3.9999999105930328E-2"/>
    <n v="119200"/>
    <n v="0"/>
    <n v="0"/>
    <n v="0"/>
    <n v="0"/>
    <n v="0"/>
    <n v="0"/>
    <n v="0"/>
    <n v="0"/>
    <n v="0"/>
    <s v="SI"/>
    <s v=" "/>
    <s v="                "/>
  </r>
  <r>
    <x v="1"/>
    <s v="CC"/>
    <x v="85"/>
    <x v="85"/>
    <s v="AMAYA"/>
    <s v="CUCAITA"/>
    <s v="GIOVANY"/>
    <s v="ANTONIO"/>
    <s v="LA_GUAJIRA"/>
    <s v="RIOHACHA"/>
    <s v="1. DEPENDIENTE"/>
    <s v="NINGUNO"/>
    <n v="63"/>
    <s v="NO"/>
    <s v="NO"/>
    <m/>
    <s v="Todos los sistemas (ARL, AFP, CCF, EPS)"/>
    <n v="46072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12"/>
    <n v="822660"/>
    <n v="0.15999999642372131"/>
    <n v="131700"/>
    <s v="Sin Riesgo"/>
    <n v="0"/>
    <n v="0"/>
    <n v="0"/>
    <n v="0"/>
    <n v="0"/>
    <n v="131700"/>
    <s v="NINGUNA"/>
    <x v="2"/>
    <n v="12"/>
    <n v="822660"/>
    <n v="3.9999999105930328E-2"/>
    <n v="33000"/>
    <n v="0"/>
    <m/>
    <n v="0"/>
    <m/>
    <n v="0"/>
    <s v="NINGUNA"/>
    <x v="0"/>
    <n v="12"/>
    <n v="822660"/>
    <n v="6.9600000977516174E-2"/>
    <s v="5"/>
    <s v="CENTRO TRABAJO 30"/>
    <s v="5711001"/>
    <n v="57300"/>
    <n v="12"/>
    <x v="1"/>
    <n v="822660"/>
    <n v="3.9999999105930328E-2"/>
    <n v="33000"/>
    <n v="0"/>
    <n v="0"/>
    <n v="0"/>
    <n v="0"/>
    <n v="0"/>
    <n v="0"/>
    <n v="0"/>
    <n v="0"/>
    <n v="0"/>
    <s v="SI"/>
    <s v=" "/>
    <s v="                "/>
  </r>
  <r>
    <x v="1"/>
    <s v="CC"/>
    <x v="86"/>
    <x v="86"/>
    <s v="CUY"/>
    <s v="CUY"/>
    <s v="JOSE"/>
    <s v="ALBEIRO"/>
    <s v="LA_GUAJIRA"/>
    <s v="RIOHACHA"/>
    <s v="1. DEPENDIENTE"/>
    <s v="NINGUNO"/>
    <n v="22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0"/>
    <n v="30"/>
    <n v="3789349"/>
    <n v="0.15999999642372131"/>
    <n v="606300"/>
    <s v="Sin Riesgo"/>
    <n v="0"/>
    <n v="0"/>
    <n v="0"/>
    <n v="0"/>
    <n v="0"/>
    <n v="606300"/>
    <s v="NINGUNA"/>
    <x v="0"/>
    <n v="30"/>
    <n v="3789349"/>
    <n v="3.9999999105930328E-2"/>
    <n v="151600"/>
    <n v="0"/>
    <m/>
    <n v="0"/>
    <m/>
    <n v="0"/>
    <s v="NINGUNA"/>
    <x v="0"/>
    <n v="30"/>
    <n v="3789349"/>
    <n v="6.9600000977516174E-2"/>
    <s v="5"/>
    <s v="CENTRO TRABAJO 30"/>
    <s v="5711001"/>
    <n v="263800"/>
    <n v="30"/>
    <x v="1"/>
    <n v="3789349"/>
    <n v="3.9999999105930328E-2"/>
    <n v="151600"/>
    <n v="0"/>
    <n v="0"/>
    <n v="0"/>
    <n v="0"/>
    <n v="0"/>
    <n v="0"/>
    <n v="0"/>
    <n v="0"/>
    <n v="0"/>
    <s v="SI"/>
    <s v=" "/>
    <s v="                "/>
  </r>
  <r>
    <x v="1"/>
    <s v="CC"/>
    <x v="87"/>
    <x v="87"/>
    <s v="ALVAREZ"/>
    <s v="NIÑO"/>
    <s v="HENRY"/>
    <s v="ISIDRO"/>
    <s v="BOGOTA_D.E."/>
    <s v="BOGOTA"/>
    <s v="1. DEPENDIENTE"/>
    <s v="NINGUNO"/>
    <n v="179"/>
    <s v="NO"/>
    <s v="NO"/>
    <m/>
    <s v="Todos los sistemas (ARL, AFP, CCF, EPS)"/>
    <n v="46056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2"/>
    <n v="28"/>
    <n v="2151492"/>
    <n v="0.15999999642372131"/>
    <n v="344300"/>
    <s v="Sin Riesgo"/>
    <n v="0"/>
    <n v="0"/>
    <n v="0"/>
    <n v="0"/>
    <n v="0"/>
    <n v="344300"/>
    <s v="NINGUNA"/>
    <x v="0"/>
    <n v="28"/>
    <n v="2151492"/>
    <n v="3.9999999105930328E-2"/>
    <n v="86100"/>
    <n v="0"/>
    <m/>
    <n v="0"/>
    <m/>
    <n v="0"/>
    <s v="NINGUNA"/>
    <x v="0"/>
    <n v="28"/>
    <n v="2151492"/>
    <n v="6.9600000977516174E-2"/>
    <s v="5"/>
    <s v="CENTRO TRABAJO 24"/>
    <s v="5711001"/>
    <n v="149800"/>
    <n v="28"/>
    <x v="0"/>
    <n v="2068357"/>
    <n v="3.9999999105930328E-2"/>
    <n v="82800"/>
    <n v="0"/>
    <n v="0"/>
    <n v="0"/>
    <n v="0"/>
    <n v="0"/>
    <n v="0"/>
    <n v="0"/>
    <n v="0"/>
    <n v="0"/>
    <s v="SI"/>
    <s v=" "/>
    <s v="                "/>
  </r>
  <r>
    <x v="1"/>
    <s v="CC"/>
    <x v="88"/>
    <x v="88"/>
    <s v="VEGA"/>
    <s v="LARA"/>
    <s v="DUVAN"/>
    <s v="FELIPE"/>
    <s v="BOGOTA_D.E."/>
    <s v="BOGOTA"/>
    <s v="1. DEPENDIENTE"/>
    <s v="NINGUNO"/>
    <n v="184"/>
    <s v="NO"/>
    <s v="NO"/>
    <m/>
    <s v="Todos los sistemas (ARL, AFP, CCF, EPS)"/>
    <n v="46057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0"/>
    <n v="27"/>
    <n v="2117629"/>
    <n v="0.15999999642372131"/>
    <n v="338900"/>
    <s v="Sin Riesgo"/>
    <n v="0"/>
    <n v="0"/>
    <n v="0"/>
    <n v="0"/>
    <n v="0"/>
    <n v="338900"/>
    <s v="NINGUNA"/>
    <x v="0"/>
    <n v="27"/>
    <n v="2117629"/>
    <n v="3.9999999105930328E-2"/>
    <n v="84800"/>
    <n v="0"/>
    <m/>
    <n v="0"/>
    <m/>
    <n v="0"/>
    <s v="NINGUNA"/>
    <x v="0"/>
    <n v="27"/>
    <n v="2117629"/>
    <n v="6.9600000977516174E-2"/>
    <s v="5"/>
    <s v="CENTRO TRABAJO 24"/>
    <s v="5711001"/>
    <n v="147400"/>
    <n v="27"/>
    <x v="0"/>
    <n v="2117629"/>
    <n v="3.9999999105930328E-2"/>
    <n v="84800"/>
    <n v="0"/>
    <n v="0"/>
    <n v="0"/>
    <n v="0"/>
    <n v="0"/>
    <n v="0"/>
    <n v="0"/>
    <n v="0"/>
    <n v="0"/>
    <s v="SI"/>
    <s v=" "/>
    <s v="                "/>
  </r>
  <r>
    <x v="1"/>
    <s v="CC"/>
    <x v="89"/>
    <x v="89"/>
    <s v="TIGA"/>
    <s v="RODRIGUEZ"/>
    <s v="JHORDAN"/>
    <s v="SNEID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056650"/>
    <s v="NO"/>
    <s v="NO"/>
    <x v="1"/>
    <n v="5"/>
    <n v="342775"/>
    <n v="0.15999999642372131"/>
    <n v="54900"/>
    <s v="Sin Riesgo"/>
    <n v="0"/>
    <n v="0"/>
    <n v="0"/>
    <n v="0"/>
    <n v="0"/>
    <n v="54900"/>
    <s v="NINGUNA"/>
    <x v="0"/>
    <n v="5"/>
    <n v="342775"/>
    <n v="3.9999999105930328E-2"/>
    <n v="13800"/>
    <n v="0"/>
    <m/>
    <n v="0"/>
    <m/>
    <n v="0"/>
    <s v="NINGUNA"/>
    <x v="0"/>
    <n v="5"/>
    <n v="342775"/>
    <n v="0"/>
    <s v="5"/>
    <s v="CENTRO TRABAJO 30"/>
    <s v="5711001"/>
    <n v="0"/>
    <n v="5"/>
    <x v="1"/>
    <n v="342775"/>
    <n v="3.9999999105930328E-2"/>
    <n v="13800"/>
    <n v="0"/>
    <n v="0"/>
    <n v="0"/>
    <n v="0"/>
    <n v="0"/>
    <n v="0"/>
    <n v="0"/>
    <n v="0"/>
    <n v="0"/>
    <s v="SI"/>
    <s v=" "/>
    <s v="                "/>
  </r>
  <r>
    <x v="1"/>
    <s v="CC"/>
    <x v="89"/>
    <x v="89"/>
    <s v="TIGA"/>
    <s v="RODRIGUEZ"/>
    <s v="JHORDAN"/>
    <s v="SNEIDER"/>
    <s v="LA_GUAJIRA"/>
    <s v="RIOHACHA"/>
    <s v="1. DEPENDIENTE"/>
    <s v="NINGUNO"/>
    <n v="16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1"/>
    <n v="25"/>
    <n v="2240098"/>
    <n v="0.15999999642372131"/>
    <n v="358500"/>
    <s v="Sin Riesgo"/>
    <n v="0"/>
    <n v="0"/>
    <n v="0"/>
    <n v="0"/>
    <n v="0"/>
    <n v="358500"/>
    <s v="NINGUNA"/>
    <x v="0"/>
    <n v="25"/>
    <n v="2240098"/>
    <n v="3.9999999105930328E-2"/>
    <n v="89700"/>
    <n v="0"/>
    <m/>
    <n v="0"/>
    <m/>
    <n v="0"/>
    <s v="NINGUNA"/>
    <x v="0"/>
    <n v="25"/>
    <n v="2240098"/>
    <n v="6.9600000977516174E-2"/>
    <s v="5"/>
    <s v="CENTRO TRABAJO 30"/>
    <s v="5711001"/>
    <n v="156000"/>
    <n v="25"/>
    <x v="1"/>
    <n v="2158392"/>
    <n v="3.9999999105930328E-2"/>
    <n v="86400"/>
    <n v="0"/>
    <n v="0"/>
    <n v="0"/>
    <n v="0"/>
    <n v="0"/>
    <n v="0"/>
    <n v="0"/>
    <n v="0"/>
    <n v="0"/>
    <s v="SI"/>
    <s v=" "/>
    <s v="                "/>
  </r>
  <r>
    <x v="1"/>
    <s v="CC"/>
    <x v="90"/>
    <x v="90"/>
    <s v="AHUMEDO"/>
    <s v="CARABALLO"/>
    <s v="LUIS"/>
    <s v="ALFRED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2056650"/>
    <s v="NO"/>
    <s v="NO"/>
    <x v="2"/>
    <n v="1"/>
    <n v="68555"/>
    <n v="0.15999999642372131"/>
    <n v="11000"/>
    <s v="Sin Riesgo"/>
    <n v="0"/>
    <n v="0"/>
    <n v="0"/>
    <n v="0"/>
    <n v="0"/>
    <n v="11000"/>
    <s v="NINGUNA"/>
    <x v="12"/>
    <n v="1"/>
    <n v="68555"/>
    <n v="0"/>
    <n v="0"/>
    <n v="0"/>
    <m/>
    <n v="0"/>
    <m/>
    <n v="0"/>
    <s v="NINGUNA"/>
    <x v="0"/>
    <n v="1"/>
    <n v="68555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90"/>
    <x v="90"/>
    <s v="AHUMEDO"/>
    <s v="CARABALLO"/>
    <s v="LUIS"/>
    <s v="ALFRED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6"/>
    <n v="46080"/>
    <s v="NO"/>
    <s v="NO"/>
    <m/>
    <m/>
    <n v="0"/>
    <m/>
    <m/>
    <s v="NO"/>
    <n v="2056650"/>
    <s v="NO"/>
    <s v="NO"/>
    <x v="2"/>
    <n v="5"/>
    <n v="342775"/>
    <n v="0.15999999642372131"/>
    <n v="54900"/>
    <s v="Sin Riesgo"/>
    <n v="0"/>
    <n v="0"/>
    <n v="0"/>
    <n v="0"/>
    <n v="0"/>
    <n v="54900"/>
    <s v="NINGUNA"/>
    <x v="12"/>
    <n v="5"/>
    <n v="342775"/>
    <n v="3.9999999105930328E-2"/>
    <n v="13800"/>
    <n v="0"/>
    <m/>
    <n v="0"/>
    <m/>
    <n v="0"/>
    <s v="NINGUNA"/>
    <x v="0"/>
    <n v="5"/>
    <n v="342775"/>
    <n v="0"/>
    <s v="5"/>
    <s v="CENTRO TRABAJO 30"/>
    <s v="5711001"/>
    <n v="0"/>
    <n v="5"/>
    <x v="1"/>
    <n v="342775"/>
    <n v="3.9999999105930328E-2"/>
    <n v="13800"/>
    <n v="0"/>
    <n v="0"/>
    <n v="0"/>
    <n v="0"/>
    <n v="0"/>
    <n v="0"/>
    <n v="0"/>
    <n v="0"/>
    <n v="0"/>
    <s v="SI"/>
    <s v=" "/>
    <s v="                "/>
  </r>
  <r>
    <x v="1"/>
    <s v="CC"/>
    <x v="90"/>
    <x v="90"/>
    <s v="AHUMEDO"/>
    <s v="CARABALLO"/>
    <s v="LUIS"/>
    <s v="ALFREDO"/>
    <s v="LA_GUAJIRA"/>
    <s v="RIOHACHA"/>
    <s v="1. DEPENDIENTE"/>
    <s v="NINGUNO"/>
    <n v="159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2"/>
    <n v="24"/>
    <n v="3004423"/>
    <n v="0.15999999642372131"/>
    <n v="480800"/>
    <s v="Sin Riesgo"/>
    <n v="0"/>
    <n v="0"/>
    <n v="0"/>
    <n v="0"/>
    <n v="0"/>
    <n v="480800"/>
    <s v="NINGUNA"/>
    <x v="12"/>
    <n v="24"/>
    <n v="3004423"/>
    <n v="3.9999999105930328E-2"/>
    <n v="120200"/>
    <n v="0"/>
    <m/>
    <n v="0"/>
    <m/>
    <n v="0"/>
    <s v="NINGUNA"/>
    <x v="0"/>
    <n v="24"/>
    <n v="3004423"/>
    <n v="6.9600000977516174E-2"/>
    <s v="5"/>
    <s v="CENTRO TRABAJO 30"/>
    <s v="5711001"/>
    <n v="209200"/>
    <n v="24"/>
    <x v="1"/>
    <n v="3921214"/>
    <n v="3.9999999105930328E-2"/>
    <n v="156900"/>
    <n v="0"/>
    <n v="0"/>
    <n v="0"/>
    <n v="0"/>
    <n v="0"/>
    <n v="0"/>
    <n v="0"/>
    <n v="0"/>
    <n v="0"/>
    <s v="SI"/>
    <s v=" "/>
    <s v="                "/>
  </r>
  <r>
    <x v="1"/>
    <s v="CC"/>
    <x v="91"/>
    <x v="91"/>
    <s v="RODRIGUEZ"/>
    <s v="OROZCO"/>
    <s v="JOSE"/>
    <s v="GUILLERM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58"/>
    <s v="NO"/>
    <s v="NO"/>
    <m/>
    <m/>
    <n v="0"/>
    <m/>
    <m/>
    <s v="NO"/>
    <n v="2223339"/>
    <s v="NO"/>
    <s v="NO"/>
    <x v="0"/>
    <n v="1"/>
    <n v="74112"/>
    <n v="0.15999999642372131"/>
    <n v="11900"/>
    <s v="Sin Riesgo"/>
    <n v="0"/>
    <n v="0"/>
    <n v="0"/>
    <n v="0"/>
    <n v="0"/>
    <n v="11900"/>
    <s v="NINGUNA"/>
    <x v="3"/>
    <n v="1"/>
    <n v="74112"/>
    <n v="3.9999999105930328E-2"/>
    <n v="3000"/>
    <n v="0"/>
    <m/>
    <n v="0"/>
    <m/>
    <n v="0"/>
    <s v="NINGUNA"/>
    <x v="0"/>
    <n v="1"/>
    <n v="74112"/>
    <n v="0"/>
    <s v="5"/>
    <s v="CENTRO TRABAJO 24"/>
    <s v="5711001"/>
    <n v="0"/>
    <n v="1"/>
    <x v="0"/>
    <n v="74112"/>
    <n v="3.9999999105930328E-2"/>
    <n v="3000"/>
    <n v="0"/>
    <n v="0"/>
    <n v="0"/>
    <n v="0"/>
    <n v="0"/>
    <n v="0"/>
    <n v="0"/>
    <n v="0"/>
    <n v="0"/>
    <s v="SI"/>
    <s v=" "/>
    <s v="                "/>
  </r>
  <r>
    <x v="1"/>
    <s v="CC"/>
    <x v="91"/>
    <x v="91"/>
    <s v="RODRIGUEZ"/>
    <s v="OROZCO"/>
    <s v="JOSE"/>
    <s v="GUILLERMO"/>
    <s v="BOGOTA_D.E."/>
    <s v="BOGOT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9"/>
    <n v="2871596"/>
    <n v="0.15999999642372131"/>
    <n v="459500"/>
    <s v="Sin Riesgo"/>
    <n v="0"/>
    <n v="0"/>
    <n v="0"/>
    <n v="0"/>
    <n v="0"/>
    <n v="459500"/>
    <s v="NINGUNA"/>
    <x v="3"/>
    <n v="29"/>
    <n v="2871596"/>
    <n v="3.9999999105930328E-2"/>
    <n v="114900"/>
    <n v="0"/>
    <m/>
    <n v="0"/>
    <m/>
    <n v="0"/>
    <s v="NINGUNA"/>
    <x v="0"/>
    <n v="29"/>
    <n v="2871596"/>
    <n v="6.9600000977516174E-2"/>
    <s v="5"/>
    <s v="CENTRO TRABAJO 24"/>
    <s v="5711001"/>
    <n v="199900"/>
    <n v="29"/>
    <x v="0"/>
    <n v="2871596"/>
    <n v="3.9999999105930328E-2"/>
    <n v="114900"/>
    <n v="0"/>
    <n v="0"/>
    <n v="0"/>
    <n v="0"/>
    <n v="0"/>
    <n v="0"/>
    <n v="0"/>
    <n v="0"/>
    <n v="0"/>
    <s v="SI"/>
    <s v=" "/>
    <s v="                "/>
  </r>
  <r>
    <x v="1"/>
    <s v="CC"/>
    <x v="92"/>
    <x v="92"/>
    <s v="ECHAVEZ"/>
    <s v="VASQUEZ"/>
    <s v="ALVARO"/>
    <s v="JOSE"/>
    <s v="BOGOTA_D.E."/>
    <s v="BOGOT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278258"/>
    <n v="0.15999999642372131"/>
    <n v="364600"/>
    <s v="Sin Riesgo"/>
    <n v="0"/>
    <n v="0"/>
    <n v="0"/>
    <n v="0"/>
    <n v="0"/>
    <n v="364600"/>
    <s v="NINGUNA"/>
    <x v="0"/>
    <n v="30"/>
    <n v="2278258"/>
    <n v="3.9999999105930328E-2"/>
    <n v="91200"/>
    <n v="0"/>
    <m/>
    <n v="0"/>
    <m/>
    <n v="0"/>
    <s v="NINGUNA"/>
    <x v="0"/>
    <n v="30"/>
    <n v="2278258"/>
    <n v="6.9600000977516174E-2"/>
    <s v="5"/>
    <s v="CENTRO TRABAJO 24"/>
    <s v="5711001"/>
    <n v="158600"/>
    <n v="30"/>
    <x v="0"/>
    <n v="2278258"/>
    <n v="3.9999999105930328E-2"/>
    <n v="91200"/>
    <n v="0"/>
    <n v="0"/>
    <n v="0"/>
    <n v="0"/>
    <n v="0"/>
    <n v="0"/>
    <n v="0"/>
    <n v="0"/>
    <n v="0"/>
    <s v="SI"/>
    <s v=" "/>
    <s v="                "/>
  </r>
  <r>
    <x v="1"/>
    <s v="CC"/>
    <x v="93"/>
    <x v="93"/>
    <s v="ECHAVEZ"/>
    <s v="VASQUEZ"/>
    <s v="JOSE"/>
    <s v="DANIEL"/>
    <s v="BOGOTA_D.E."/>
    <s v="BOGOT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30"/>
    <n v="2359421"/>
    <n v="0.15999999642372131"/>
    <n v="377600"/>
    <s v="Sin Riesgo"/>
    <n v="0"/>
    <n v="0"/>
    <n v="0"/>
    <n v="0"/>
    <n v="0"/>
    <n v="377600"/>
    <s v="NINGUNA"/>
    <x v="0"/>
    <n v="30"/>
    <n v="2359421"/>
    <n v="3.9999999105930328E-2"/>
    <n v="94400"/>
    <n v="0"/>
    <m/>
    <n v="0"/>
    <m/>
    <n v="0"/>
    <s v="NINGUNA"/>
    <x v="0"/>
    <n v="30"/>
    <n v="2359421"/>
    <n v="6.9600000977516174E-2"/>
    <s v="5"/>
    <s v="CENTRO TRABAJO 24"/>
    <s v="5711001"/>
    <n v="164300"/>
    <n v="30"/>
    <x v="0"/>
    <n v="2359421"/>
    <n v="3.9999999105930328E-2"/>
    <n v="94400"/>
    <n v="0"/>
    <n v="0"/>
    <n v="0"/>
    <n v="0"/>
    <n v="0"/>
    <n v="0"/>
    <n v="0"/>
    <n v="0"/>
    <n v="0"/>
    <s v="SI"/>
    <s v=" "/>
    <s v="                "/>
  </r>
  <r>
    <x v="1"/>
    <s v="CC"/>
    <x v="95"/>
    <x v="95"/>
    <s v="CABRALES"/>
    <s v="GALVAN"/>
    <s v="YAN"/>
    <s v="CARLO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2074908"/>
    <s v="NO"/>
    <s v="NO"/>
    <x v="0"/>
    <n v="1"/>
    <n v="69164"/>
    <n v="0.15999999642372131"/>
    <n v="11100"/>
    <s v="Sin Riesgo"/>
    <n v="0"/>
    <n v="0"/>
    <n v="0"/>
    <n v="0"/>
    <n v="0"/>
    <n v="11100"/>
    <s v="NINGUNA"/>
    <x v="0"/>
    <n v="1"/>
    <n v="69164"/>
    <n v="3.9999999105930328E-2"/>
    <n v="2800"/>
    <n v="0"/>
    <m/>
    <n v="0"/>
    <m/>
    <n v="0"/>
    <s v="NINGUNA"/>
    <x v="0"/>
    <n v="1"/>
    <n v="69164"/>
    <n v="0"/>
    <s v="5"/>
    <s v="CENTRO TRABAJO 24"/>
    <s v="5711001"/>
    <n v="0"/>
    <n v="1"/>
    <x v="0"/>
    <n v="69164"/>
    <n v="3.9999999105930328E-2"/>
    <n v="2800"/>
    <n v="0"/>
    <n v="0"/>
    <n v="0"/>
    <n v="0"/>
    <n v="0"/>
    <n v="0"/>
    <n v="0"/>
    <n v="0"/>
    <n v="0"/>
    <s v="SI"/>
    <s v=" "/>
    <s v="                "/>
  </r>
  <r>
    <x v="1"/>
    <s v="CC"/>
    <x v="95"/>
    <x v="95"/>
    <s v="CABRALES"/>
    <s v="GALVAN"/>
    <s v="YAN"/>
    <s v="CARLOS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29"/>
    <n v="2905028"/>
    <n v="0.15999999642372131"/>
    <n v="464900"/>
    <s v="Sin Riesgo"/>
    <n v="0"/>
    <n v="0"/>
    <n v="0"/>
    <n v="0"/>
    <n v="0"/>
    <n v="464900"/>
    <s v="NINGUNA"/>
    <x v="0"/>
    <n v="29"/>
    <n v="2905028"/>
    <n v="3.9999999105930328E-2"/>
    <n v="116300"/>
    <n v="0"/>
    <m/>
    <n v="0"/>
    <m/>
    <n v="0"/>
    <s v="NINGUNA"/>
    <x v="0"/>
    <n v="29"/>
    <n v="2905028"/>
    <n v="6.9600000977516174E-2"/>
    <s v="5"/>
    <s v="CENTRO TRABAJO 24"/>
    <s v="5711001"/>
    <n v="202200"/>
    <n v="29"/>
    <x v="0"/>
    <n v="2905028"/>
    <n v="3.9999999105930328E-2"/>
    <n v="116300"/>
    <n v="0"/>
    <n v="0"/>
    <n v="0"/>
    <n v="0"/>
    <n v="0"/>
    <n v="0"/>
    <n v="0"/>
    <n v="0"/>
    <n v="0"/>
    <s v="SI"/>
    <s v=" "/>
    <s v="                "/>
  </r>
  <r>
    <x v="1"/>
    <s v="CC"/>
    <x v="96"/>
    <x v="96"/>
    <s v="CABRALES"/>
    <s v="GALVAN"/>
    <s v="FRANKLIN"/>
    <s v="YOAN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30"/>
    <n v="2368167"/>
    <n v="0.15999999642372131"/>
    <n v="379000"/>
    <s v="Sin Riesgo"/>
    <n v="0"/>
    <n v="0"/>
    <n v="0"/>
    <n v="0"/>
    <n v="0"/>
    <n v="379000"/>
    <s v="NINGUNA"/>
    <x v="0"/>
    <n v="30"/>
    <n v="2368167"/>
    <n v="3.9999999105930328E-2"/>
    <n v="94800"/>
    <n v="0"/>
    <m/>
    <n v="0"/>
    <m/>
    <n v="0"/>
    <s v="NINGUNA"/>
    <x v="0"/>
    <n v="30"/>
    <n v="2368167"/>
    <n v="6.9600000977516174E-2"/>
    <s v="5"/>
    <s v="CENTRO TRABAJO 24"/>
    <s v="5711001"/>
    <n v="164900"/>
    <n v="30"/>
    <x v="0"/>
    <n v="2368167"/>
    <n v="3.9999999105930328E-2"/>
    <n v="94800"/>
    <n v="0"/>
    <n v="0"/>
    <n v="0"/>
    <n v="0"/>
    <n v="0"/>
    <n v="0"/>
    <n v="0"/>
    <n v="0"/>
    <n v="0"/>
    <s v="SI"/>
    <s v=" "/>
    <s v="                "/>
  </r>
  <r>
    <x v="1"/>
    <s v="CC"/>
    <x v="97"/>
    <x v="97"/>
    <s v="ROMERO"/>
    <s v="MARTINEZ"/>
    <s v="JENNY"/>
    <s v="PAOL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64"/>
    <s v="NO"/>
    <s v="NO"/>
    <m/>
    <m/>
    <n v="0"/>
    <m/>
    <m/>
    <s v="NO"/>
    <n v="4613967"/>
    <s v="NO"/>
    <s v="NO"/>
    <x v="1"/>
    <n v="7"/>
    <n v="1076593"/>
    <n v="0.15999999642372131"/>
    <n v="172300"/>
    <s v="Sin Riesgo"/>
    <n v="0"/>
    <n v="0"/>
    <n v="0"/>
    <n v="0"/>
    <n v="0"/>
    <n v="172300"/>
    <s v="NINGUNA"/>
    <x v="10"/>
    <n v="7"/>
    <n v="1076593"/>
    <n v="3.9999999105930328E-2"/>
    <n v="43100"/>
    <n v="0"/>
    <m/>
    <n v="0"/>
    <m/>
    <n v="0"/>
    <s v="NINGUNA"/>
    <x v="0"/>
    <n v="7"/>
    <n v="1076593"/>
    <n v="0"/>
    <s v="5"/>
    <s v="CENTRO TRABAJO 24"/>
    <s v="5711001"/>
    <n v="0"/>
    <n v="7"/>
    <x v="0"/>
    <n v="1076593"/>
    <n v="3.9999999105930328E-2"/>
    <n v="43100"/>
    <n v="0"/>
    <n v="0"/>
    <n v="0"/>
    <n v="0"/>
    <n v="0"/>
    <n v="0"/>
    <n v="0"/>
    <n v="0"/>
    <n v="0"/>
    <s v="SI"/>
    <s v=" "/>
    <s v="                "/>
  </r>
  <r>
    <x v="1"/>
    <s v="CC"/>
    <x v="97"/>
    <x v="97"/>
    <s v="ROMERO"/>
    <s v="MARTINEZ"/>
    <s v="JENNY"/>
    <s v="PAOLA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613967"/>
    <s v="NO"/>
    <s v="NO"/>
    <x v="1"/>
    <n v="23"/>
    <n v="3537375"/>
    <n v="0.15999999642372131"/>
    <n v="566000"/>
    <s v="Sin Riesgo"/>
    <n v="0"/>
    <n v="0"/>
    <n v="0"/>
    <n v="0"/>
    <n v="0"/>
    <n v="566000"/>
    <s v="NINGUNA"/>
    <x v="10"/>
    <n v="23"/>
    <n v="3537375"/>
    <n v="3.9999999105930328E-2"/>
    <n v="141500"/>
    <n v="0"/>
    <m/>
    <n v="0"/>
    <m/>
    <n v="0"/>
    <s v="NINGUNA"/>
    <x v="0"/>
    <n v="23"/>
    <n v="3537375"/>
    <n v="6.9600000977516174E-2"/>
    <s v="5"/>
    <s v="CENTRO TRABAJO 24"/>
    <s v="5711001"/>
    <n v="246300"/>
    <n v="23"/>
    <x v="0"/>
    <n v="3537375"/>
    <n v="3.9999999105930328E-2"/>
    <n v="141500"/>
    <n v="0"/>
    <n v="0"/>
    <n v="0"/>
    <n v="0"/>
    <n v="0"/>
    <n v="0"/>
    <n v="0"/>
    <n v="0"/>
    <n v="0"/>
    <s v="SI"/>
    <s v=" "/>
    <s v="                "/>
  </r>
  <r>
    <x v="1"/>
    <s v="CC"/>
    <x v="98"/>
    <x v="98"/>
    <s v="ZABALA"/>
    <s v="RICARDO"/>
    <s v="LEONARDO"/>
    <s v="JOS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6"/>
    <n v="46057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5999999642372131"/>
    <n v="18700"/>
    <s v="Sin Riesgo"/>
    <n v="0"/>
    <n v="0"/>
    <n v="0"/>
    <n v="0"/>
    <n v="0"/>
    <n v="18700"/>
    <s v="NINGUNA"/>
    <x v="12"/>
    <n v="2"/>
    <n v="116727"/>
    <n v="0"/>
    <n v="0"/>
    <n v="0"/>
    <m/>
    <n v="0"/>
    <m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98"/>
    <x v="98"/>
    <s v="ZABALA"/>
    <s v="RICARDO"/>
    <s v="LEONARDO"/>
    <s v="JOS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2"/>
    <n v="46063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5999999642372131"/>
    <n v="18700"/>
    <s v="Sin Riesgo"/>
    <n v="0"/>
    <n v="0"/>
    <n v="0"/>
    <n v="0"/>
    <n v="0"/>
    <n v="18700"/>
    <s v="NINGUNA"/>
    <x v="12"/>
    <n v="2"/>
    <n v="116727"/>
    <n v="0"/>
    <n v="0"/>
    <n v="0"/>
    <m/>
    <n v="0"/>
    <m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98"/>
    <x v="98"/>
    <s v="ZABALA"/>
    <s v="RICARDO"/>
    <s v="LEONARDO"/>
    <s v="JOSE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6"/>
    <n v="1885806"/>
    <n v="0.15999999642372131"/>
    <n v="301800"/>
    <s v="Sin Riesgo"/>
    <n v="0"/>
    <n v="0"/>
    <n v="0"/>
    <n v="0"/>
    <n v="0"/>
    <n v="301800"/>
    <s v="NINGUNA"/>
    <x v="12"/>
    <n v="26"/>
    <n v="1885806"/>
    <n v="3.9999999105930328E-2"/>
    <n v="75500"/>
    <n v="0"/>
    <m/>
    <n v="0"/>
    <m/>
    <n v="0"/>
    <s v="NINGUNA"/>
    <x v="0"/>
    <n v="26"/>
    <n v="1885806"/>
    <n v="6.9600000977516174E-2"/>
    <s v="5"/>
    <s v="CENTRO TRABAJO 24"/>
    <s v="5711001"/>
    <n v="131300"/>
    <n v="26"/>
    <x v="0"/>
    <n v="1885806"/>
    <n v="3.9999999105930328E-2"/>
    <n v="75500"/>
    <n v="0"/>
    <n v="0"/>
    <n v="0"/>
    <n v="0"/>
    <n v="0"/>
    <n v="0"/>
    <n v="0"/>
    <n v="0"/>
    <n v="0"/>
    <s v="SI"/>
    <s v=" "/>
    <s v="                "/>
  </r>
  <r>
    <x v="1"/>
    <s v="CC"/>
    <x v="99"/>
    <x v="99"/>
    <s v="CARDENAS"/>
    <s v="PAEZ"/>
    <s v="DANIEL"/>
    <s v="STEVEN"/>
    <s v="BOGOTA_D.E."/>
    <s v="BOGOTA"/>
    <s v="1. DEPENDIENTE"/>
    <s v="NINGUNO"/>
    <n v="20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28398"/>
    <n v="0.15999999642372131"/>
    <n v="324600"/>
    <s v="Sin Riesgo"/>
    <n v="0"/>
    <n v="0"/>
    <n v="0"/>
    <n v="0"/>
    <n v="0"/>
    <n v="324600"/>
    <s v="NINGUNA"/>
    <x v="0"/>
    <n v="30"/>
    <n v="2028398"/>
    <n v="3.9999999105930328E-2"/>
    <n v="81200"/>
    <n v="0"/>
    <m/>
    <n v="0"/>
    <m/>
    <n v="0"/>
    <s v="NINGUNA"/>
    <x v="0"/>
    <n v="30"/>
    <n v="2028398"/>
    <n v="6.9600000977516174E-2"/>
    <s v="5"/>
    <s v="CENTRO TRABAJO 24"/>
    <s v="5711001"/>
    <n v="141200"/>
    <n v="30"/>
    <x v="0"/>
    <n v="2028398"/>
    <n v="3.9999999105930328E-2"/>
    <n v="81200"/>
    <n v="0"/>
    <n v="0"/>
    <n v="0"/>
    <n v="0"/>
    <n v="0"/>
    <n v="0"/>
    <n v="0"/>
    <n v="0"/>
    <n v="0"/>
    <s v="SI"/>
    <s v=" "/>
    <s v="                "/>
  </r>
  <r>
    <x v="1"/>
    <s v="CC"/>
    <x v="100"/>
    <x v="100"/>
    <s v="MORA"/>
    <s v="DIAZ"/>
    <s v="JHONNATAN"/>
    <s v="EDIZO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1"/>
    <n v="46067"/>
    <s v="NO"/>
    <s v="NO"/>
    <m/>
    <m/>
    <n v="0"/>
    <m/>
    <m/>
    <s v="NO"/>
    <n v="4024292"/>
    <s v="NO"/>
    <s v="NO"/>
    <x v="0"/>
    <n v="7"/>
    <n v="939002"/>
    <n v="0.15999999642372131"/>
    <n v="150300"/>
    <s v="Sin Riesgo"/>
    <n v="0"/>
    <n v="0"/>
    <n v="0"/>
    <n v="0"/>
    <n v="0"/>
    <n v="150300"/>
    <s v="NINGUNA"/>
    <x v="2"/>
    <n v="7"/>
    <n v="939002"/>
    <n v="3.9999999105930328E-2"/>
    <n v="37600"/>
    <n v="0"/>
    <m/>
    <n v="0"/>
    <m/>
    <n v="0"/>
    <s v="NINGUNA"/>
    <x v="0"/>
    <n v="7"/>
    <n v="939002"/>
    <n v="0"/>
    <s v="5"/>
    <s v="CENTRO TRABAJO 24"/>
    <s v="5711001"/>
    <n v="0"/>
    <n v="7"/>
    <x v="0"/>
    <n v="939002"/>
    <n v="3.9999999105930328E-2"/>
    <n v="37600"/>
    <n v="0"/>
    <n v="0"/>
    <n v="0"/>
    <n v="0"/>
    <n v="0"/>
    <n v="0"/>
    <n v="0"/>
    <n v="0"/>
    <n v="0"/>
    <s v="SI"/>
    <s v=" "/>
    <s v="                "/>
  </r>
  <r>
    <x v="1"/>
    <s v="CC"/>
    <x v="100"/>
    <x v="100"/>
    <s v="MORA"/>
    <s v="DIAZ"/>
    <s v="JHONNATAN"/>
    <s v="EDIZON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0"/>
    <n v="23"/>
    <n v="3854080"/>
    <n v="0.15999999642372131"/>
    <n v="616700"/>
    <s v="Sin Riesgo"/>
    <n v="0"/>
    <n v="0"/>
    <n v="0"/>
    <n v="0"/>
    <n v="0"/>
    <n v="616700"/>
    <s v="NINGUNA"/>
    <x v="2"/>
    <n v="23"/>
    <n v="3854080"/>
    <n v="3.9999999105930328E-2"/>
    <n v="154200"/>
    <n v="0"/>
    <m/>
    <n v="0"/>
    <m/>
    <n v="0"/>
    <s v="NINGUNA"/>
    <x v="0"/>
    <n v="23"/>
    <n v="3854080"/>
    <n v="6.9600000977516174E-2"/>
    <s v="5"/>
    <s v="CENTRO TRABAJO 24"/>
    <s v="5711001"/>
    <n v="268300"/>
    <n v="23"/>
    <x v="0"/>
    <n v="3085291"/>
    <n v="3.9999999105930328E-2"/>
    <n v="123500"/>
    <n v="0"/>
    <n v="0"/>
    <n v="0"/>
    <n v="0"/>
    <n v="0"/>
    <n v="0"/>
    <n v="0"/>
    <n v="0"/>
    <n v="0"/>
    <s v="SI"/>
    <s v=" "/>
    <s v="                "/>
  </r>
  <r>
    <x v="1"/>
    <s v="CC"/>
    <x v="101"/>
    <x v="101"/>
    <s v="VELA"/>
    <s v="RODAS"/>
    <s v="KEVIN"/>
    <s v="STEVENSON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1"/>
    <s v="NO"/>
    <s v="NO"/>
    <m/>
    <m/>
    <n v="0"/>
    <m/>
    <m/>
    <s v="NO"/>
    <n v="4152090"/>
    <s v="NO"/>
    <s v="NO"/>
    <x v="2"/>
    <n v="8"/>
    <n v="1107224"/>
    <n v="0.15999999642372131"/>
    <n v="177200"/>
    <s v="Sin Riesgo"/>
    <n v="0"/>
    <n v="0"/>
    <n v="0"/>
    <n v="0"/>
    <n v="0"/>
    <n v="177200"/>
    <s v="NINGUNA"/>
    <x v="0"/>
    <n v="8"/>
    <n v="1107224"/>
    <n v="3.9999999105930328E-2"/>
    <n v="44300"/>
    <n v="0"/>
    <m/>
    <n v="0"/>
    <m/>
    <n v="0"/>
    <s v="NINGUNA"/>
    <x v="0"/>
    <n v="8"/>
    <n v="1107224"/>
    <n v="0"/>
    <s v="5"/>
    <s v="CENTRO TRABAJO 30"/>
    <s v="5711001"/>
    <n v="0"/>
    <n v="8"/>
    <x v="1"/>
    <n v="1107224"/>
    <n v="3.9999999105930328E-2"/>
    <n v="44300"/>
    <n v="0"/>
    <n v="0"/>
    <n v="0"/>
    <n v="0"/>
    <n v="0"/>
    <n v="0"/>
    <n v="0"/>
    <n v="0"/>
    <n v="0"/>
    <s v="SI"/>
    <s v=" "/>
    <s v="                "/>
  </r>
  <r>
    <x v="1"/>
    <s v="CC"/>
    <x v="101"/>
    <x v="101"/>
    <s v="VELA"/>
    <s v="RODAS"/>
    <s v="KEVIN"/>
    <s v="STEVENSON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4152090"/>
    <s v="NO"/>
    <s v="NO"/>
    <x v="2"/>
    <n v="22"/>
    <n v="3044866"/>
    <n v="0.15999999642372131"/>
    <n v="487200"/>
    <s v="Sin Riesgo"/>
    <n v="0"/>
    <n v="0"/>
    <n v="0"/>
    <n v="0"/>
    <n v="0"/>
    <n v="487200"/>
    <s v="NINGUNA"/>
    <x v="0"/>
    <n v="22"/>
    <n v="3044866"/>
    <n v="3.9999999105930328E-2"/>
    <n v="121800"/>
    <n v="0"/>
    <m/>
    <n v="0"/>
    <m/>
    <n v="0"/>
    <s v="NINGUNA"/>
    <x v="0"/>
    <n v="22"/>
    <n v="3044866"/>
    <n v="6.9600000977516174E-2"/>
    <s v="5"/>
    <s v="CENTRO TRABAJO 30"/>
    <s v="5711001"/>
    <n v="212000"/>
    <n v="22"/>
    <x v="1"/>
    <n v="3044866"/>
    <n v="3.9999999105930328E-2"/>
    <n v="121800"/>
    <n v="0"/>
    <n v="0"/>
    <n v="0"/>
    <n v="0"/>
    <n v="0"/>
    <n v="0"/>
    <n v="0"/>
    <n v="0"/>
    <n v="0"/>
    <s v="SI"/>
    <s v=" "/>
    <s v="                "/>
  </r>
  <r>
    <x v="1"/>
    <s v="CC"/>
    <x v="102"/>
    <x v="102"/>
    <s v="FAGUA"/>
    <s v="SALAZAR"/>
    <s v="JULIAN"/>
    <s v=""/>
    <s v="BOGOTA_D.E."/>
    <s v="BOGOTA"/>
    <s v="1. DEPENDIENTE"/>
    <s v="NINGUNO"/>
    <n v="182"/>
    <s v="NO"/>
    <s v="NO"/>
    <m/>
    <s v="Todos los sistemas (ARL, AFP, CCF, EPS)"/>
    <n v="46056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28"/>
    <n v="2582443"/>
    <n v="0.15999999642372131"/>
    <n v="413200"/>
    <s v="Sin Riesgo"/>
    <n v="0"/>
    <n v="0"/>
    <n v="0"/>
    <n v="0"/>
    <n v="0"/>
    <n v="413200"/>
    <s v="NINGUNA"/>
    <x v="10"/>
    <n v="28"/>
    <n v="2582443"/>
    <n v="3.9999999105930328E-2"/>
    <n v="103300"/>
    <n v="0"/>
    <m/>
    <n v="0"/>
    <m/>
    <n v="0"/>
    <s v="NINGUNA"/>
    <x v="0"/>
    <n v="28"/>
    <n v="2582443"/>
    <n v="6.9600000977516174E-2"/>
    <s v="5"/>
    <s v="CENTRO TRABAJO 24"/>
    <s v="5711001"/>
    <n v="179800"/>
    <n v="28"/>
    <x v="0"/>
    <n v="2582443"/>
    <n v="3.9999999105930328E-2"/>
    <n v="103300"/>
    <n v="0"/>
    <n v="0"/>
    <n v="0"/>
    <n v="0"/>
    <n v="0"/>
    <n v="0"/>
    <n v="0"/>
    <n v="0"/>
    <n v="0"/>
    <s v="SI"/>
    <s v=" "/>
    <s v="                "/>
  </r>
  <r>
    <x v="1"/>
    <s v="CC"/>
    <x v="103"/>
    <x v="103"/>
    <s v="FERNANDEZ"/>
    <s v="CONTRERAS"/>
    <s v="DIEGO"/>
    <s v="FERNAN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3415855"/>
    <s v="NO"/>
    <s v="NO"/>
    <x v="4"/>
    <n v="7"/>
    <n v="797033"/>
    <n v="0.15999999642372131"/>
    <n v="127600"/>
    <s v="Sin Riesgo"/>
    <n v="0"/>
    <n v="0"/>
    <n v="0"/>
    <n v="0"/>
    <n v="0"/>
    <n v="127600"/>
    <s v="NINGUNA"/>
    <x v="3"/>
    <n v="7"/>
    <n v="797033"/>
    <n v="3.9999999105930328E-2"/>
    <n v="31900"/>
    <n v="0"/>
    <m/>
    <n v="0"/>
    <m/>
    <n v="0"/>
    <s v="NINGUNA"/>
    <x v="0"/>
    <n v="7"/>
    <n v="797033"/>
    <n v="0"/>
    <s v="5"/>
    <s v="CENTRO TRABAJO 24"/>
    <s v="5711001"/>
    <n v="0"/>
    <n v="7"/>
    <x v="0"/>
    <n v="797033"/>
    <n v="3.9999999105930328E-2"/>
    <n v="31900"/>
    <n v="0"/>
    <n v="0"/>
    <n v="0"/>
    <n v="0"/>
    <n v="0"/>
    <n v="0"/>
    <n v="0"/>
    <n v="0"/>
    <n v="0"/>
    <s v="SI"/>
    <s v=" "/>
    <s v="                "/>
  </r>
  <r>
    <x v="1"/>
    <s v="CC"/>
    <x v="103"/>
    <x v="103"/>
    <s v="FERNANDEZ"/>
    <s v="CONTRERAS"/>
    <s v="DIEGO"/>
    <s v="FERNANDO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415855"/>
    <s v="NO"/>
    <s v="NO"/>
    <x v="4"/>
    <n v="23"/>
    <n v="2904759"/>
    <n v="0.15999999642372131"/>
    <n v="464800"/>
    <s v="Sin Riesgo"/>
    <n v="0"/>
    <n v="0"/>
    <n v="0"/>
    <n v="0"/>
    <n v="0"/>
    <n v="464800"/>
    <s v="NINGUNA"/>
    <x v="3"/>
    <n v="23"/>
    <n v="2904759"/>
    <n v="3.9999999105930328E-2"/>
    <n v="116200"/>
    <n v="0"/>
    <m/>
    <n v="0"/>
    <m/>
    <n v="0"/>
    <s v="NINGUNA"/>
    <x v="0"/>
    <n v="23"/>
    <n v="2904759"/>
    <n v="6.9600000977516174E-2"/>
    <s v="5"/>
    <s v="CENTRO TRABAJO 24"/>
    <s v="5711001"/>
    <n v="202200"/>
    <n v="23"/>
    <x v="0"/>
    <n v="2841630"/>
    <n v="3.9999999105930328E-2"/>
    <n v="113700"/>
    <n v="0"/>
    <n v="0"/>
    <n v="0"/>
    <n v="0"/>
    <n v="0"/>
    <n v="0"/>
    <n v="0"/>
    <n v="0"/>
    <n v="0"/>
    <s v="SI"/>
    <s v=" "/>
    <s v="                "/>
  </r>
  <r>
    <x v="1"/>
    <s v="CC"/>
    <x v="104"/>
    <x v="104"/>
    <s v="QUIGUATENGO"/>
    <s v="ANDELA"/>
    <s v="EIDER"/>
    <s v=""/>
    <s v="BOGOTA_D.E."/>
    <s v="BOGOTA"/>
    <s v="1. DEPENDIENTE"/>
    <s v="NINGUNO"/>
    <n v="196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898887"/>
    <s v="NO"/>
    <s v="NO"/>
    <x v="2"/>
    <n v="30"/>
    <n v="1985201"/>
    <n v="0.15999999642372131"/>
    <n v="317700"/>
    <s v="Sin Riesgo"/>
    <n v="0"/>
    <n v="0"/>
    <n v="0"/>
    <n v="0"/>
    <n v="0"/>
    <n v="317700"/>
    <s v="NINGUNA"/>
    <x v="10"/>
    <n v="30"/>
    <n v="1985201"/>
    <n v="3.9999999105930328E-2"/>
    <n v="79500"/>
    <n v="0"/>
    <m/>
    <n v="0"/>
    <m/>
    <n v="0"/>
    <s v="NINGUNA"/>
    <x v="0"/>
    <n v="30"/>
    <n v="1985201"/>
    <n v="2.4360001087188721E-2"/>
    <s v="3"/>
    <s v="CENTRO TRABAJO 24"/>
    <s v="3711001"/>
    <n v="48400"/>
    <n v="30"/>
    <x v="0"/>
    <n v="1985201"/>
    <n v="3.9999999105930328E-2"/>
    <n v="79500"/>
    <n v="0"/>
    <n v="0"/>
    <n v="0"/>
    <n v="0"/>
    <n v="0"/>
    <n v="0"/>
    <n v="0"/>
    <n v="0"/>
    <n v="0"/>
    <s v="SI"/>
    <s v=" "/>
    <s v="                "/>
  </r>
  <r>
    <x v="1"/>
    <s v="CC"/>
    <x v="105"/>
    <x v="105"/>
    <s v="OSPINO"/>
    <s v="PALOMINO"/>
    <s v="YILMAR"/>
    <s v="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0"/>
    <n v="30"/>
    <n v="4341006"/>
    <n v="0.15999999642372131"/>
    <n v="694600"/>
    <s v="Sin Riesgo"/>
    <n v="0"/>
    <n v="0"/>
    <n v="0"/>
    <n v="0"/>
    <n v="0"/>
    <n v="694600"/>
    <s v="NINGUNA"/>
    <x v="6"/>
    <n v="30"/>
    <n v="4341006"/>
    <n v="3.9999999105930328E-2"/>
    <n v="173700"/>
    <n v="0"/>
    <m/>
    <n v="0"/>
    <m/>
    <n v="0"/>
    <s v="NINGUNA"/>
    <x v="0"/>
    <n v="30"/>
    <n v="4341006"/>
    <n v="6.9600000977516174E-2"/>
    <s v="5"/>
    <s v="CENTRO TRABAJO 24"/>
    <s v="5711001"/>
    <n v="302200"/>
    <n v="30"/>
    <x v="0"/>
    <n v="4113631"/>
    <n v="3.9999999105930328E-2"/>
    <n v="164600"/>
    <n v="0"/>
    <n v="0"/>
    <n v="0"/>
    <n v="0"/>
    <n v="0"/>
    <n v="0"/>
    <n v="0"/>
    <n v="0"/>
    <n v="0"/>
    <s v="SI"/>
    <s v=" "/>
    <s v="                "/>
  </r>
  <r>
    <x v="1"/>
    <s v="CC"/>
    <x v="106"/>
    <x v="106"/>
    <s v="GUERRERO"/>
    <s v="NIETO"/>
    <s v="PITER"/>
    <s v="MAICOL"/>
    <s v="BOGOTA_D.E."/>
    <s v="BOGOTA"/>
    <s v="1. DEPENDIENTE"/>
    <s v="NINGUNO"/>
    <n v="21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30"/>
    <n v="2411393"/>
    <n v="0.15999999642372131"/>
    <n v="385900"/>
    <s v="Sin Riesgo"/>
    <n v="0"/>
    <n v="0"/>
    <n v="0"/>
    <n v="0"/>
    <n v="0"/>
    <n v="385900"/>
    <s v="NINGUNA"/>
    <x v="0"/>
    <n v="30"/>
    <n v="2411393"/>
    <n v="3.9999999105930328E-2"/>
    <n v="96500"/>
    <n v="0"/>
    <m/>
    <n v="0"/>
    <m/>
    <n v="0"/>
    <s v="NINGUNA"/>
    <x v="0"/>
    <n v="30"/>
    <n v="2411393"/>
    <n v="6.9600000977516174E-2"/>
    <s v="5"/>
    <s v="CENTRO TRABAJO 24"/>
    <s v="5711001"/>
    <n v="167900"/>
    <n v="30"/>
    <x v="0"/>
    <n v="2411393"/>
    <n v="3.9999999105930328E-2"/>
    <n v="96500"/>
    <n v="0"/>
    <n v="0"/>
    <n v="0"/>
    <n v="0"/>
    <n v="0"/>
    <n v="0"/>
    <n v="0"/>
    <n v="0"/>
    <n v="0"/>
    <s v="SI"/>
    <s v=" "/>
    <s v="                "/>
  </r>
  <r>
    <x v="1"/>
    <s v="CC"/>
    <x v="107"/>
    <x v="107"/>
    <s v="CUADRO"/>
    <s v="ARIAS"/>
    <s v="FABIAN"/>
    <s v="ANDRES"/>
    <s v="LA_GUAJIRA"/>
    <s v="RIOHACHA"/>
    <s v="1. DEPENDIENTE"/>
    <s v="NINGUNO"/>
    <n v="153"/>
    <s v="NO"/>
    <s v="NO"/>
    <m/>
    <s v="Todos los sistemas (ARL, AFP, CCF, EPS)"/>
    <n v="46058"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235758"/>
    <s v="NO"/>
    <s v="SI"/>
    <x v="2"/>
    <n v="26"/>
    <n v="2912183"/>
    <n v="0.15999999642372131"/>
    <n v="466000"/>
    <s v="Sin Riesgo"/>
    <n v="0"/>
    <n v="0"/>
    <n v="0"/>
    <n v="0"/>
    <n v="0"/>
    <n v="466000"/>
    <s v="NINGUNA"/>
    <x v="3"/>
    <n v="26"/>
    <n v="2912183"/>
    <n v="3.9999999105930328E-2"/>
    <n v="116500"/>
    <n v="0"/>
    <m/>
    <n v="0"/>
    <m/>
    <n v="0"/>
    <s v="NINGUNA"/>
    <x v="0"/>
    <n v="26"/>
    <n v="2912183"/>
    <n v="6.9600000977516174E-2"/>
    <s v="5"/>
    <s v="CENTRO TRABAJO 30"/>
    <s v="5711001"/>
    <n v="202700"/>
    <n v="26"/>
    <x v="1"/>
    <n v="3018963"/>
    <n v="3.9999999105930328E-2"/>
    <n v="120800"/>
    <n v="0"/>
    <n v="0"/>
    <n v="0"/>
    <n v="0"/>
    <n v="0"/>
    <n v="0"/>
    <n v="0"/>
    <n v="0"/>
    <n v="0"/>
    <s v="SI"/>
    <s v=" "/>
    <s v="                "/>
  </r>
  <r>
    <x v="1"/>
    <s v="CC"/>
    <x v="108"/>
    <x v="108"/>
    <s v="FLOREZ"/>
    <s v="CAMACHO"/>
    <s v="DEIVYS"/>
    <s v="JOSE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30"/>
    <n v="2544653"/>
    <n v="0.15999999642372131"/>
    <n v="407200"/>
    <s v="Sin Riesgo"/>
    <n v="0"/>
    <n v="0"/>
    <n v="0"/>
    <n v="0"/>
    <n v="0"/>
    <n v="407200"/>
    <s v="NINGUNA"/>
    <x v="6"/>
    <n v="30"/>
    <n v="2544653"/>
    <n v="3.9999999105930328E-2"/>
    <n v="101800"/>
    <n v="0"/>
    <m/>
    <n v="0"/>
    <m/>
    <n v="0"/>
    <s v="NINGUNA"/>
    <x v="0"/>
    <n v="30"/>
    <n v="2544653"/>
    <n v="6.9600000977516174E-2"/>
    <s v="5"/>
    <s v="CENTRO TRABAJO 30"/>
    <s v="5711001"/>
    <n v="177200"/>
    <n v="30"/>
    <x v="1"/>
    <n v="2373468"/>
    <n v="3.9999999105930328E-2"/>
    <n v="95000"/>
    <n v="0"/>
    <n v="0"/>
    <n v="0"/>
    <n v="0"/>
    <n v="0"/>
    <n v="0"/>
    <n v="0"/>
    <n v="0"/>
    <n v="0"/>
    <s v="SI"/>
    <s v=" "/>
    <s v="                "/>
  </r>
  <r>
    <x v="1"/>
    <s v="CC"/>
    <x v="109"/>
    <x v="109"/>
    <s v="RODRIGUEZ"/>
    <s v="CONTRERAS"/>
    <s v="DANIEL"/>
    <s v="ALFONS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6"/>
    <n v="46079"/>
    <s v="NO"/>
    <s v="NO"/>
    <m/>
    <m/>
    <n v="0"/>
    <m/>
    <m/>
    <s v="NO"/>
    <n v="2223339"/>
    <s v="NO"/>
    <s v="NO"/>
    <x v="0"/>
    <n v="4"/>
    <n v="296446"/>
    <n v="0.15999999642372131"/>
    <n v="47500"/>
    <s v="Sin Riesgo"/>
    <n v="0"/>
    <n v="0"/>
    <n v="0"/>
    <n v="0"/>
    <n v="0"/>
    <n v="47500"/>
    <s v="NINGUNA"/>
    <x v="9"/>
    <n v="4"/>
    <n v="296446"/>
    <n v="3.9999999105930328E-2"/>
    <n v="11900"/>
    <n v="0"/>
    <m/>
    <n v="0"/>
    <m/>
    <n v="0"/>
    <s v="NINGUNA"/>
    <x v="0"/>
    <n v="4"/>
    <n v="296446"/>
    <n v="0"/>
    <s v="5"/>
    <s v="CENTRO TRABAJO 30"/>
    <s v="5711001"/>
    <n v="0"/>
    <n v="4"/>
    <x v="1"/>
    <n v="296446"/>
    <n v="3.9999999105930328E-2"/>
    <n v="11900"/>
    <n v="0"/>
    <n v="0"/>
    <n v="0"/>
    <n v="0"/>
    <n v="0"/>
    <n v="0"/>
    <n v="0"/>
    <n v="0"/>
    <n v="0"/>
    <s v="SI"/>
    <s v=" "/>
    <s v="                "/>
  </r>
  <r>
    <x v="1"/>
    <s v="CC"/>
    <x v="109"/>
    <x v="109"/>
    <s v="RODRIGUEZ"/>
    <s v="CONTRERAS"/>
    <s v="DANIEL"/>
    <s v="ALFONSO"/>
    <s v="LA_GUAJIRA"/>
    <s v="RIOHACHA"/>
    <s v="1. DEPENDIENTE"/>
    <s v="NINGUNO"/>
    <n v="162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2"/>
    <n v="2371977"/>
    <n v="0.15999999642372131"/>
    <n v="379600"/>
    <s v="Sin Riesgo"/>
    <n v="0"/>
    <n v="0"/>
    <n v="0"/>
    <n v="0"/>
    <n v="0"/>
    <n v="379600"/>
    <s v="NINGUNA"/>
    <x v="9"/>
    <n v="22"/>
    <n v="2371977"/>
    <n v="3.9999999105930328E-2"/>
    <n v="94900"/>
    <n v="0"/>
    <m/>
    <n v="0"/>
    <m/>
    <n v="0"/>
    <s v="NINGUNA"/>
    <x v="0"/>
    <n v="22"/>
    <n v="2371977"/>
    <n v="6.9600000977516174E-2"/>
    <s v="5"/>
    <s v="CENTRO TRABAJO 30"/>
    <s v="5711001"/>
    <n v="165100"/>
    <n v="22"/>
    <x v="1"/>
    <n v="2453570"/>
    <n v="3.9999999105930328E-2"/>
    <n v="98200"/>
    <n v="0"/>
    <n v="0"/>
    <n v="0"/>
    <n v="0"/>
    <n v="0"/>
    <n v="0"/>
    <n v="0"/>
    <n v="0"/>
    <n v="0"/>
    <s v="SI"/>
    <s v=" "/>
    <s v="                "/>
  </r>
  <r>
    <x v="1"/>
    <s v="CC"/>
    <x v="110"/>
    <x v="110"/>
    <s v="PLATA"/>
    <s v="LOPEZ"/>
    <s v="EYRA"/>
    <s v="MARCELA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140434"/>
    <s v="NO"/>
    <s v="NO"/>
    <x v="1"/>
    <n v="30"/>
    <n v="3140434"/>
    <n v="0.15999999642372131"/>
    <n v="502500"/>
    <s v="Sin Riesgo"/>
    <n v="0"/>
    <n v="0"/>
    <n v="0"/>
    <n v="0"/>
    <n v="0"/>
    <n v="502500"/>
    <s v="NINGUNA"/>
    <x v="2"/>
    <n v="30"/>
    <n v="3140434"/>
    <n v="3.9999999105930328E-2"/>
    <n v="125700"/>
    <n v="0"/>
    <m/>
    <n v="0"/>
    <m/>
    <n v="0"/>
    <s v="NINGUNA"/>
    <x v="0"/>
    <n v="30"/>
    <n v="3140434"/>
    <n v="6.9600000977516174E-2"/>
    <s v="5"/>
    <s v="CENTRO TRABAJO 30"/>
    <s v="5711001"/>
    <n v="218600"/>
    <n v="30"/>
    <x v="1"/>
    <n v="3140434"/>
    <n v="3.9999999105930328E-2"/>
    <n v="125700"/>
    <n v="0"/>
    <n v="0"/>
    <n v="0"/>
    <n v="0"/>
    <n v="0"/>
    <n v="0"/>
    <n v="0"/>
    <n v="0"/>
    <n v="0"/>
    <s v="SI"/>
    <s v=" "/>
    <s v="                "/>
  </r>
  <r>
    <x v="1"/>
    <s v="CC"/>
    <x v="111"/>
    <x v="111"/>
    <s v="ARISTIZABAL"/>
    <s v="CORONADO"/>
    <s v="ARLIN"/>
    <s v="JOSE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235758"/>
    <s v="NO"/>
    <s v="NO"/>
    <x v="0"/>
    <n v="30"/>
    <n v="3235758"/>
    <n v="0.15999999642372131"/>
    <n v="517800"/>
    <s v="Sin Riesgo"/>
    <n v="0"/>
    <n v="0"/>
    <n v="0"/>
    <n v="0"/>
    <n v="0"/>
    <n v="517800"/>
    <s v="NINGUNA"/>
    <x v="0"/>
    <n v="30"/>
    <n v="3235758"/>
    <n v="3.9999999105930328E-2"/>
    <n v="129500"/>
    <n v="0"/>
    <m/>
    <n v="0"/>
    <m/>
    <n v="0"/>
    <s v="NINGUNA"/>
    <x v="0"/>
    <n v="30"/>
    <n v="3235758"/>
    <n v="6.9600000977516174E-2"/>
    <s v="5"/>
    <s v="CENTRO TRABAJO 30"/>
    <s v="5711001"/>
    <n v="225300"/>
    <n v="30"/>
    <x v="1"/>
    <n v="3235758"/>
    <n v="3.9999999105930328E-2"/>
    <n v="129500"/>
    <n v="0"/>
    <n v="0"/>
    <n v="0"/>
    <n v="0"/>
    <n v="0"/>
    <n v="0"/>
    <n v="0"/>
    <n v="0"/>
    <n v="0"/>
    <s v="SI"/>
    <s v=" "/>
    <s v="                "/>
  </r>
  <r>
    <x v="1"/>
    <s v="CC"/>
    <x v="112"/>
    <x v="112"/>
    <s v="BALLESTEROS"/>
    <s v="QUINTERO"/>
    <s v="WILMER"/>
    <s v="YESID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0"/>
    <n v="30"/>
    <n v="8523893"/>
    <n v="0.15999999642372131"/>
    <n v="1363900"/>
    <s v="Sin Riesgo"/>
    <n v="0"/>
    <n v="0"/>
    <n v="42700"/>
    <n v="42700"/>
    <n v="0"/>
    <n v="1449300"/>
    <s v="NINGUNA"/>
    <x v="2"/>
    <n v="30"/>
    <n v="8523893"/>
    <n v="3.9999999105930328E-2"/>
    <n v="341000"/>
    <n v="0"/>
    <m/>
    <n v="0"/>
    <m/>
    <n v="0"/>
    <s v="NINGUNA"/>
    <x v="0"/>
    <n v="30"/>
    <n v="8523893"/>
    <n v="5.2200001664459705E-3"/>
    <s v="1"/>
    <s v="CENTRO TRABAJO 24"/>
    <s v="1711001"/>
    <n v="44500"/>
    <n v="30"/>
    <x v="0"/>
    <n v="5676577"/>
    <n v="3.9999999105930328E-2"/>
    <n v="227100"/>
    <n v="0"/>
    <n v="0"/>
    <n v="0"/>
    <n v="0"/>
    <n v="0"/>
    <n v="0"/>
    <n v="0"/>
    <n v="0"/>
    <n v="0"/>
    <s v="SI"/>
    <s v=" "/>
    <s v="                "/>
  </r>
  <r>
    <x v="1"/>
    <s v="CC"/>
    <x v="113"/>
    <x v="113"/>
    <s v="TORRES"/>
    <s v="ZAMBRANO"/>
    <s v="CARLOS"/>
    <s v="ALFREDO"/>
    <s v="LA_GUAJIRA"/>
    <s v="RIOHACHA"/>
    <s v="1. DEPENDIENTE"/>
    <s v="NINGUNO"/>
    <n v="151"/>
    <s v="NO"/>
    <s v="NO"/>
    <m/>
    <s v="Todos los sistemas (ARL, AFP, CCF, EPS)"/>
    <n v="46059"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1"/>
    <n v="2117562"/>
    <n v="0.15999999642372131"/>
    <n v="338900"/>
    <s v="Sin Riesgo"/>
    <n v="0"/>
    <n v="0"/>
    <n v="0"/>
    <n v="0"/>
    <n v="0"/>
    <n v="338900"/>
    <s v="NINGUNA"/>
    <x v="0"/>
    <n v="21"/>
    <n v="2117562"/>
    <n v="3.9999999105930328E-2"/>
    <n v="84800"/>
    <n v="0"/>
    <m/>
    <n v="0"/>
    <m/>
    <n v="0"/>
    <s v="NINGUNA"/>
    <x v="0"/>
    <n v="21"/>
    <n v="2117562"/>
    <n v="6.9600000977516174E-2"/>
    <s v="5"/>
    <s v="CENTRO TRABAJO 30"/>
    <s v="5711001"/>
    <n v="147400"/>
    <n v="21"/>
    <x v="1"/>
    <n v="1960078"/>
    <n v="3.9999999105930328E-2"/>
    <n v="78500"/>
    <n v="0"/>
    <n v="0"/>
    <n v="0"/>
    <n v="0"/>
    <n v="0"/>
    <n v="0"/>
    <n v="0"/>
    <n v="0"/>
    <n v="0"/>
    <s v="SI"/>
    <s v=" "/>
    <s v="                "/>
  </r>
  <r>
    <x v="1"/>
    <s v="CC"/>
    <x v="114"/>
    <x v="114"/>
    <s v="PEREIRA"/>
    <s v="VILLEGAS"/>
    <s v="YONIS"/>
    <s v="MANUEL"/>
    <s v="LA_GUAJIRA"/>
    <s v="RIOHACH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30"/>
    <n v="2666846"/>
    <n v="0.15999999642372131"/>
    <n v="426700"/>
    <s v="Sin Riesgo"/>
    <n v="0"/>
    <n v="0"/>
    <n v="0"/>
    <n v="0"/>
    <n v="0"/>
    <n v="426700"/>
    <s v="NINGUNA"/>
    <x v="0"/>
    <n v="30"/>
    <n v="2666846"/>
    <n v="3.9999999105930328E-2"/>
    <n v="106700"/>
    <n v="0"/>
    <m/>
    <n v="0"/>
    <m/>
    <n v="0"/>
    <s v="NINGUNA"/>
    <x v="0"/>
    <n v="30"/>
    <n v="2666846"/>
    <n v="6.9600000977516174E-2"/>
    <s v="5"/>
    <s v="CENTRO TRABAJO 30"/>
    <s v="5711001"/>
    <n v="185700"/>
    <n v="30"/>
    <x v="1"/>
    <n v="2577123"/>
    <n v="3.9999999105930328E-2"/>
    <n v="103100"/>
    <n v="0"/>
    <n v="0"/>
    <n v="0"/>
    <n v="0"/>
    <n v="0"/>
    <n v="0"/>
    <n v="0"/>
    <n v="0"/>
    <n v="0"/>
    <s v="SI"/>
    <s v=" "/>
    <s v="                "/>
  </r>
  <r>
    <x v="1"/>
    <s v="CC"/>
    <x v="115"/>
    <x v="115"/>
    <s v="GALINDO"/>
    <s v="DIMATE"/>
    <s v="STIVEN"/>
    <s v="GIOVANY"/>
    <s v="BOGOTA_D.E."/>
    <s v="BOGOTA"/>
    <s v="1. DEPENDIENTE"/>
    <s v="NINGUNO"/>
    <n v="74"/>
    <s v="NO"/>
    <s v="NO"/>
    <m/>
    <s v="Todos los sistemas (ARL, AFP, CCF, EPS)"/>
    <n v="46071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3"/>
    <n v="988712"/>
    <n v="0.15999999642372131"/>
    <n v="158200"/>
    <s v="Sin Riesgo"/>
    <n v="0"/>
    <n v="0"/>
    <n v="0"/>
    <n v="0"/>
    <n v="0"/>
    <n v="158200"/>
    <s v="NINGUNA"/>
    <x v="0"/>
    <n v="13"/>
    <n v="988712"/>
    <n v="3.9999999105930328E-2"/>
    <n v="39600"/>
    <n v="0"/>
    <m/>
    <n v="0"/>
    <m/>
    <n v="0"/>
    <s v="NINGUNA"/>
    <x v="0"/>
    <n v="13"/>
    <n v="988712"/>
    <n v="6.9600000977516174E-2"/>
    <s v="5"/>
    <s v="CENTRO TRABAJO 24"/>
    <s v="5711001"/>
    <n v="68900"/>
    <n v="13"/>
    <x v="0"/>
    <n v="988712"/>
    <n v="3.9999999105930328E-2"/>
    <n v="39600"/>
    <n v="0"/>
    <n v="0"/>
    <n v="0"/>
    <n v="0"/>
    <n v="0"/>
    <n v="0"/>
    <n v="0"/>
    <n v="0"/>
    <n v="0"/>
    <s v="SI"/>
    <s v=" "/>
    <s v="                "/>
  </r>
  <r>
    <x v="1"/>
    <s v="CC"/>
    <x v="116"/>
    <x v="116"/>
    <s v="BELLO"/>
    <s v="RODRIGUEZ"/>
    <s v="DANY"/>
    <s v="EDILBERT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6384779"/>
    <s v="NO"/>
    <s v="NO"/>
    <x v="0"/>
    <n v="1"/>
    <n v="212826"/>
    <n v="0.15999999642372131"/>
    <n v="34100"/>
    <s v="Sin Riesgo"/>
    <n v="0"/>
    <n v="0"/>
    <n v="0"/>
    <n v="0"/>
    <n v="0"/>
    <n v="34100"/>
    <s v="NINGUNA"/>
    <x v="0"/>
    <n v="1"/>
    <n v="212826"/>
    <n v="3.9999999105930328E-2"/>
    <n v="8600"/>
    <n v="0"/>
    <m/>
    <n v="0"/>
    <m/>
    <n v="0"/>
    <s v="NINGUNA"/>
    <x v="0"/>
    <n v="1"/>
    <n v="212826"/>
    <n v="0"/>
    <s v="5"/>
    <s v="CENTRO TRABAJO 24"/>
    <s v="5711001"/>
    <n v="0"/>
    <n v="1"/>
    <x v="0"/>
    <n v="212826"/>
    <n v="3.9999999105930328E-2"/>
    <n v="8600"/>
    <n v="0"/>
    <n v="0"/>
    <n v="0"/>
    <n v="0"/>
    <n v="0"/>
    <n v="0"/>
    <n v="0"/>
    <n v="0"/>
    <n v="0"/>
    <s v="SI"/>
    <s v=" "/>
    <s v="                "/>
  </r>
  <r>
    <x v="1"/>
    <s v="CC"/>
    <x v="116"/>
    <x v="116"/>
    <s v="BELLO"/>
    <s v="RODRIGUEZ"/>
    <s v="DANY"/>
    <s v="EDILBERTO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0"/>
    <n v="29"/>
    <n v="6171954"/>
    <n v="0.15999999642372131"/>
    <n v="987600"/>
    <s v="Sin Riesgo"/>
    <n v="0"/>
    <n v="0"/>
    <n v="0"/>
    <n v="0"/>
    <n v="0"/>
    <n v="987600"/>
    <s v="NINGUNA"/>
    <x v="0"/>
    <n v="29"/>
    <n v="6171954"/>
    <n v="3.9999999105930328E-2"/>
    <n v="246900"/>
    <n v="0"/>
    <m/>
    <n v="0"/>
    <m/>
    <n v="0"/>
    <s v="NINGUNA"/>
    <x v="0"/>
    <n v="29"/>
    <n v="6171954"/>
    <n v="6.9600000977516174E-2"/>
    <s v="5"/>
    <s v="CENTRO TRABAJO 24"/>
    <s v="5711001"/>
    <n v="429600"/>
    <n v="29"/>
    <x v="0"/>
    <n v="6171954"/>
    <n v="3.9999999105930328E-2"/>
    <n v="246900"/>
    <n v="0"/>
    <n v="0"/>
    <n v="0"/>
    <n v="0"/>
    <n v="0"/>
    <n v="0"/>
    <n v="0"/>
    <n v="0"/>
    <n v="0"/>
    <s v="SI"/>
    <s v=" "/>
    <s v="                "/>
  </r>
  <r>
    <x v="1"/>
    <s v="CC"/>
    <x v="117"/>
    <x v="117"/>
    <s v="SANABRIA"/>
    <s v="GUIO"/>
    <s v="JUAN"/>
    <s v="MANUEL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4152090"/>
    <s v="NO"/>
    <s v="NO"/>
    <x v="1"/>
    <n v="30"/>
    <n v="4152090"/>
    <n v="0.15999999642372131"/>
    <n v="664400"/>
    <s v="Sin Riesgo"/>
    <n v="0"/>
    <n v="0"/>
    <n v="0"/>
    <n v="0"/>
    <n v="0"/>
    <n v="664400"/>
    <s v="NINGUNA"/>
    <x v="2"/>
    <n v="30"/>
    <n v="4152090"/>
    <n v="3.9999999105930328E-2"/>
    <n v="166100"/>
    <n v="0"/>
    <m/>
    <n v="0"/>
    <m/>
    <n v="0"/>
    <s v="NINGUNA"/>
    <x v="0"/>
    <n v="30"/>
    <n v="4152090"/>
    <n v="6.9600000977516174E-2"/>
    <s v="5"/>
    <s v="CENTRO TRABAJO 24"/>
    <s v="5711001"/>
    <n v="289000"/>
    <n v="30"/>
    <x v="0"/>
    <n v="4152090"/>
    <n v="3.9999999105930328E-2"/>
    <n v="166100"/>
    <n v="0"/>
    <n v="0"/>
    <n v="0"/>
    <n v="0"/>
    <n v="0"/>
    <n v="0"/>
    <n v="0"/>
    <n v="0"/>
    <n v="0"/>
    <s v="SI"/>
    <s v=" "/>
    <s v="                "/>
  </r>
  <r>
    <x v="1"/>
    <s v="CC"/>
    <x v="118"/>
    <x v="118"/>
    <s v="SANCHEZ"/>
    <s v="PENAGOS"/>
    <s v="WILSON"/>
    <s v="ENRIQUE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3"/>
    <n v="30"/>
    <n v="3015186"/>
    <n v="0.15999999642372131"/>
    <n v="482500"/>
    <s v="Sin Riesgo"/>
    <n v="0"/>
    <n v="0"/>
    <n v="0"/>
    <n v="0"/>
    <n v="0"/>
    <n v="482500"/>
    <s v="NINGUNA"/>
    <x v="3"/>
    <n v="30"/>
    <n v="3015186"/>
    <n v="3.9999999105930328E-2"/>
    <n v="120700"/>
    <n v="0"/>
    <m/>
    <n v="0"/>
    <m/>
    <n v="0"/>
    <s v="NINGUNA"/>
    <x v="0"/>
    <n v="30"/>
    <n v="3015186"/>
    <n v="6.9600000977516174E-2"/>
    <s v="5"/>
    <s v="CENTRO TRABAJO 24"/>
    <s v="5711001"/>
    <n v="209900"/>
    <n v="30"/>
    <x v="0"/>
    <n v="3015186"/>
    <n v="3.9999999105930328E-2"/>
    <n v="120700"/>
    <n v="0"/>
    <n v="0"/>
    <n v="0"/>
    <n v="0"/>
    <n v="0"/>
    <n v="0"/>
    <n v="0"/>
    <n v="0"/>
    <n v="0"/>
    <s v="SI"/>
    <s v=" "/>
    <s v="                "/>
  </r>
  <r>
    <x v="1"/>
    <s v="CC"/>
    <x v="119"/>
    <x v="119"/>
    <s v="ORTEGA"/>
    <s v="RODRIGUEZ"/>
    <s v="CARLOS"/>
    <s v="AUGUSTO"/>
    <s v="LA_GUAJIRA"/>
    <s v="RIOHACHA"/>
    <s v="1. DEPENDIENTE"/>
    <s v="NINGUNO"/>
    <n v="117"/>
    <s v="NO"/>
    <s v="NO"/>
    <m/>
    <s v="NO"/>
    <m/>
    <s v="Todos los sistemas (ARL, AFP, CCF, EPS)"/>
    <n v="46071"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798033"/>
    <s v="NO"/>
    <s v="NO"/>
    <x v="1"/>
    <n v="18"/>
    <n v="3360524"/>
    <n v="0.15999999642372131"/>
    <n v="537700"/>
    <s v="Sin Riesgo"/>
    <n v="0"/>
    <n v="0"/>
    <n v="0"/>
    <n v="0"/>
    <n v="0"/>
    <n v="537700"/>
    <s v="NINGUNA"/>
    <x v="2"/>
    <n v="18"/>
    <n v="3360524"/>
    <n v="3.9999999105930328E-2"/>
    <n v="134500"/>
    <n v="0"/>
    <m/>
    <n v="0"/>
    <m/>
    <n v="0"/>
    <s v="NINGUNA"/>
    <x v="0"/>
    <n v="18"/>
    <n v="3360524"/>
    <n v="6.9600000977516174E-2"/>
    <s v="5"/>
    <s v="CENTRO TRABAJO 30"/>
    <s v="5711001"/>
    <n v="233900"/>
    <n v="18"/>
    <x v="1"/>
    <n v="6440560"/>
    <n v="3.9999999105930328E-2"/>
    <n v="257700"/>
    <n v="0"/>
    <n v="0"/>
    <n v="0"/>
    <n v="0"/>
    <n v="0"/>
    <n v="0"/>
    <n v="0"/>
    <n v="0"/>
    <n v="0"/>
    <s v="SI"/>
    <s v=" "/>
    <s v="                "/>
  </r>
  <r>
    <x v="1"/>
    <s v="CC"/>
    <x v="120"/>
    <x v="120"/>
    <s v="AGUIRRE"/>
    <s v="MARIN"/>
    <s v="ERIKA"/>
    <s v="PAOLA"/>
    <s v="BOGOTA_D.E."/>
    <s v="BOGOTA"/>
    <s v="1. DEPENDIENTE"/>
    <s v="NINGUNO"/>
    <n v="19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1830493"/>
    <n v="0.15999999642372131"/>
    <n v="292900"/>
    <s v="Sin Riesgo"/>
    <n v="0"/>
    <n v="0"/>
    <n v="0"/>
    <n v="0"/>
    <n v="0"/>
    <n v="292900"/>
    <s v="NINGUNA"/>
    <x v="10"/>
    <n v="30"/>
    <n v="1830493"/>
    <n v="3.9999999105930328E-2"/>
    <n v="73300"/>
    <n v="0"/>
    <m/>
    <n v="0"/>
    <m/>
    <n v="0"/>
    <s v="NINGUNA"/>
    <x v="0"/>
    <n v="30"/>
    <n v="1830493"/>
    <n v="2.4360001087188721E-2"/>
    <s v="3"/>
    <s v="CENTRO TRABAJO 24"/>
    <s v="3711001"/>
    <n v="44600"/>
    <n v="30"/>
    <x v="0"/>
    <n v="1830493"/>
    <n v="3.9999999105930328E-2"/>
    <n v="73300"/>
    <n v="0"/>
    <n v="0"/>
    <n v="0"/>
    <n v="0"/>
    <n v="0"/>
    <n v="0"/>
    <n v="0"/>
    <n v="0"/>
    <n v="0"/>
    <s v="SI"/>
    <s v=" "/>
    <s v="                "/>
  </r>
  <r>
    <x v="1"/>
    <s v="CC"/>
    <x v="121"/>
    <x v="121"/>
    <s v="BARON"/>
    <s v="SILVA"/>
    <s v="ANGELA"/>
    <s v="MARCEL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360265"/>
    <s v="NO"/>
    <s v="NO"/>
    <x v="0"/>
    <n v="30"/>
    <n v="3360265"/>
    <n v="0.15999999642372131"/>
    <n v="537700"/>
    <s v="Sin Riesgo"/>
    <n v="0"/>
    <n v="0"/>
    <n v="0"/>
    <n v="0"/>
    <n v="0"/>
    <n v="537700"/>
    <s v="NINGUNA"/>
    <x v="3"/>
    <n v="30"/>
    <n v="3360265"/>
    <n v="3.9999999105930328E-2"/>
    <n v="134500"/>
    <n v="0"/>
    <m/>
    <n v="0"/>
    <m/>
    <n v="0"/>
    <s v="NINGUNA"/>
    <x v="0"/>
    <n v="30"/>
    <n v="3360265"/>
    <n v="2.4360001087188721E-2"/>
    <s v="3"/>
    <s v="CENTRO TRABAJO 24"/>
    <s v="3711001"/>
    <n v="81900"/>
    <n v="30"/>
    <x v="0"/>
    <n v="3360265"/>
    <n v="3.9999999105930328E-2"/>
    <n v="134500"/>
    <n v="0"/>
    <n v="0"/>
    <n v="0"/>
    <n v="0"/>
    <n v="0"/>
    <n v="0"/>
    <n v="0"/>
    <n v="0"/>
    <n v="0"/>
    <s v="SI"/>
    <s v=" "/>
    <s v="                "/>
  </r>
  <r>
    <x v="1"/>
    <s v="CC"/>
    <x v="122"/>
    <x v="122"/>
    <s v="SALCEDO"/>
    <s v="BARAHONA"/>
    <s v="DIEGO"/>
    <s v="ENRIQUE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368367"/>
    <n v="0.15999999642372131"/>
    <n v="379000"/>
    <s v="Sin Riesgo"/>
    <n v="0"/>
    <n v="0"/>
    <n v="0"/>
    <n v="0"/>
    <n v="0"/>
    <n v="379000"/>
    <s v="NINGUNA"/>
    <x v="9"/>
    <n v="30"/>
    <n v="2368367"/>
    <n v="3.9999999105930328E-2"/>
    <n v="94800"/>
    <n v="0"/>
    <m/>
    <n v="0"/>
    <m/>
    <n v="0"/>
    <s v="NINGUNA"/>
    <x v="0"/>
    <n v="30"/>
    <n v="2368367"/>
    <n v="6.9600000977516174E-2"/>
    <s v="5"/>
    <s v="CENTRO TRABAJO 24"/>
    <s v="5711001"/>
    <n v="164900"/>
    <n v="30"/>
    <x v="0"/>
    <n v="2368367"/>
    <n v="3.9999999105930328E-2"/>
    <n v="94800"/>
    <n v="0"/>
    <n v="0"/>
    <n v="0"/>
    <n v="0"/>
    <n v="0"/>
    <n v="0"/>
    <n v="0"/>
    <n v="0"/>
    <n v="0"/>
    <s v="SI"/>
    <s v=" "/>
    <s v="                "/>
  </r>
  <r>
    <x v="1"/>
    <s v="CC"/>
    <x v="123"/>
    <x v="123"/>
    <s v="GUERRERO"/>
    <s v="GOMEZ"/>
    <s v="LUIS"/>
    <s v="YEISON"/>
    <s v="BOGOTA_D.E."/>
    <s v="BOGOTA"/>
    <s v="1. DEPENDIENTE"/>
    <s v="NINGUNO"/>
    <n v="199"/>
    <s v="NO"/>
    <s v="NO"/>
    <m/>
    <s v="Todos los sistemas (ARL, AFP, CCF, EPS)"/>
    <n v="46055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4"/>
    <n v="29"/>
    <n v="3107342"/>
    <n v="0.15999999642372131"/>
    <n v="497200"/>
    <s v="Sin Riesgo"/>
    <n v="0"/>
    <n v="0"/>
    <n v="0"/>
    <n v="0"/>
    <n v="0"/>
    <n v="497200"/>
    <s v="NINGUNA"/>
    <x v="3"/>
    <n v="29"/>
    <n v="3107342"/>
    <n v="3.9999999105930328E-2"/>
    <n v="124300"/>
    <n v="0"/>
    <m/>
    <n v="0"/>
    <m/>
    <n v="0"/>
    <s v="NINGUNA"/>
    <x v="0"/>
    <n v="29"/>
    <n v="3107342"/>
    <n v="6.9600000977516174E-2"/>
    <s v="5"/>
    <s v="CENTRO TRABAJO 24"/>
    <s v="5711001"/>
    <n v="216300"/>
    <n v="29"/>
    <x v="0"/>
    <n v="3107342"/>
    <n v="3.9999999105930328E-2"/>
    <n v="124300"/>
    <n v="0"/>
    <n v="0"/>
    <n v="0"/>
    <n v="0"/>
    <n v="0"/>
    <n v="0"/>
    <n v="0"/>
    <n v="0"/>
    <n v="0"/>
    <s v="SI"/>
    <s v=" "/>
    <s v="                "/>
  </r>
  <r>
    <x v="1"/>
    <s v="CC"/>
    <x v="124"/>
    <x v="124"/>
    <s v="PINO"/>
    <s v="VACA"/>
    <s v="JUAN"/>
    <s v="FELIPE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207525"/>
    <s v="NO"/>
    <s v="NO"/>
    <x v="0"/>
    <n v="30"/>
    <n v="5747910"/>
    <n v="0.15999999642372131"/>
    <n v="919700"/>
    <s v="Sin Riesgo"/>
    <n v="0"/>
    <n v="0"/>
    <n v="0"/>
    <n v="0"/>
    <n v="0"/>
    <n v="919700"/>
    <s v="NINGUNA"/>
    <x v="0"/>
    <n v="30"/>
    <n v="5747910"/>
    <n v="3.9999999105930328E-2"/>
    <n v="230000"/>
    <n v="0"/>
    <m/>
    <n v="0"/>
    <m/>
    <n v="0"/>
    <s v="NINGUNA"/>
    <x v="0"/>
    <n v="30"/>
    <n v="5747910"/>
    <n v="5.2200001664459705E-3"/>
    <s v="1"/>
    <s v="CENTRO TRABAJO 24"/>
    <s v="1711001"/>
    <n v="30100"/>
    <n v="30"/>
    <x v="0"/>
    <n v="3207525"/>
    <n v="3.9999999105930328E-2"/>
    <n v="128400"/>
    <n v="0"/>
    <n v="0"/>
    <n v="0"/>
    <n v="0"/>
    <n v="0"/>
    <n v="0"/>
    <n v="0"/>
    <n v="0"/>
    <n v="0"/>
    <s v="SI"/>
    <s v=" "/>
    <s v="                "/>
  </r>
  <r>
    <x v="1"/>
    <s v="CC"/>
    <x v="125"/>
    <x v="125"/>
    <s v="GONZALEZ"/>
    <s v="GUTIERREZ"/>
    <s v="GABRIEL"/>
    <s v="ANTON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1"/>
    <n v="74112"/>
    <n v="0.15999999642372131"/>
    <n v="11900"/>
    <s v="Sin Riesgo"/>
    <n v="0"/>
    <n v="0"/>
    <n v="0"/>
    <n v="0"/>
    <n v="0"/>
    <n v="11900"/>
    <s v="NINGUNA"/>
    <x v="0"/>
    <n v="1"/>
    <n v="74112"/>
    <n v="0"/>
    <n v="0"/>
    <n v="0"/>
    <m/>
    <n v="0"/>
    <m/>
    <n v="0"/>
    <s v="NINGUNA"/>
    <x v="0"/>
    <n v="1"/>
    <n v="74112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25"/>
    <x v="125"/>
    <s v="GONZALEZ"/>
    <s v="GUTIERREZ"/>
    <s v="GABRIEL"/>
    <s v="ANTONIO"/>
    <s v="BOGOTA_D.E."/>
    <s v="BOGOTA"/>
    <s v="1. DEPENDIENTE"/>
    <s v="NINGUNO"/>
    <n v="164"/>
    <s v="NO"/>
    <s v="NO"/>
    <m/>
    <s v="Todos los sistemas (ARL, AFP, CCF, EPS)"/>
    <n v="46058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5"/>
    <n v="2365162"/>
    <n v="0.15999999642372131"/>
    <n v="378500"/>
    <s v="Sin Riesgo"/>
    <n v="0"/>
    <n v="0"/>
    <n v="0"/>
    <n v="0"/>
    <n v="0"/>
    <n v="378500"/>
    <s v="NINGUNA"/>
    <x v="0"/>
    <n v="25"/>
    <n v="2365162"/>
    <n v="3.9999999105930328E-2"/>
    <n v="94700"/>
    <n v="0"/>
    <m/>
    <n v="0"/>
    <m/>
    <n v="0"/>
    <s v="NINGUNA"/>
    <x v="0"/>
    <n v="25"/>
    <n v="2365162"/>
    <n v="6.9600000977516174E-2"/>
    <s v="5"/>
    <s v="CENTRO TRABAJO 24"/>
    <s v="5711001"/>
    <n v="164700"/>
    <n v="25"/>
    <x v="0"/>
    <n v="2365162"/>
    <n v="3.9999999105930328E-2"/>
    <n v="94700"/>
    <n v="0"/>
    <n v="0"/>
    <n v="0"/>
    <n v="0"/>
    <n v="0"/>
    <n v="0"/>
    <n v="0"/>
    <n v="0"/>
    <n v="0"/>
    <s v="SI"/>
    <s v=" "/>
    <s v="                "/>
  </r>
  <r>
    <x v="1"/>
    <s v="CC"/>
    <x v="126"/>
    <x v="126"/>
    <s v="CASTILLO"/>
    <s v="QUINCHIA"/>
    <s v="FREDY"/>
    <s v="MANUEL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4"/>
    <n v="238080"/>
    <n v="0.15999999642372131"/>
    <n v="38100"/>
    <s v="Sin Riesgo"/>
    <n v="0"/>
    <n v="0"/>
    <n v="0"/>
    <n v="0"/>
    <n v="0"/>
    <n v="38100"/>
    <s v="NINGUNA"/>
    <x v="0"/>
    <n v="4"/>
    <n v="238080"/>
    <n v="3.9999999105930328E-2"/>
    <n v="9600"/>
    <n v="0"/>
    <m/>
    <n v="0"/>
    <m/>
    <n v="0"/>
    <s v="NINGUNA"/>
    <x v="0"/>
    <n v="4"/>
    <n v="238080"/>
    <n v="6.9600000977516174E-2"/>
    <s v="5"/>
    <s v="CENTRO TRABAJO 24"/>
    <s v="5711001"/>
    <n v="16600"/>
    <n v="4"/>
    <x v="0"/>
    <n v="238080"/>
    <n v="3.9999999105930328E-2"/>
    <n v="9600"/>
    <n v="0"/>
    <n v="0"/>
    <n v="0"/>
    <n v="0"/>
    <n v="0"/>
    <n v="0"/>
    <n v="0"/>
    <n v="0"/>
    <n v="0"/>
    <s v="SI"/>
    <s v=" "/>
    <s v="                "/>
  </r>
  <r>
    <x v="1"/>
    <s v="CC"/>
    <x v="127"/>
    <x v="127"/>
    <s v="RAMIREZ"/>
    <s v="BUSTOS"/>
    <s v="CARLOS"/>
    <s v="ANTON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5"/>
    <s v="NO"/>
    <s v="NO"/>
    <m/>
    <m/>
    <n v="0"/>
    <m/>
    <m/>
    <s v="NO"/>
    <n v="4152090"/>
    <s v="NO"/>
    <s v="NO"/>
    <x v="0"/>
    <n v="2"/>
    <n v="276806"/>
    <n v="0.15999999642372131"/>
    <n v="44300"/>
    <s v="Sin Riesgo"/>
    <n v="0"/>
    <n v="0"/>
    <n v="0"/>
    <n v="0"/>
    <n v="0"/>
    <n v="44300"/>
    <s v="NINGUNA"/>
    <x v="2"/>
    <n v="2"/>
    <n v="276806"/>
    <n v="3.9999999105930328E-2"/>
    <n v="11100"/>
    <n v="0"/>
    <m/>
    <n v="0"/>
    <m/>
    <n v="0"/>
    <s v="NINGUNA"/>
    <x v="0"/>
    <n v="2"/>
    <n v="276806"/>
    <n v="0"/>
    <s v="5"/>
    <s v="CENTRO TRABAJO 24"/>
    <s v="5711001"/>
    <n v="0"/>
    <n v="2"/>
    <x v="0"/>
    <n v="276806"/>
    <n v="3.9999999105930328E-2"/>
    <n v="11100"/>
    <n v="0"/>
    <n v="0"/>
    <n v="0"/>
    <n v="0"/>
    <n v="0"/>
    <n v="0"/>
    <n v="0"/>
    <n v="0"/>
    <n v="0"/>
    <s v="SI"/>
    <s v=" "/>
    <s v="                "/>
  </r>
  <r>
    <x v="1"/>
    <s v="CC"/>
    <x v="127"/>
    <x v="127"/>
    <s v="RAMIREZ"/>
    <s v="BUSTOS"/>
    <s v="CARLOS"/>
    <s v="ANTONIO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152090"/>
    <s v="NO"/>
    <s v="NO"/>
    <x v="0"/>
    <n v="28"/>
    <n v="3875284"/>
    <n v="0.15999999642372131"/>
    <n v="620100"/>
    <s v="Sin Riesgo"/>
    <n v="0"/>
    <n v="0"/>
    <n v="0"/>
    <n v="0"/>
    <n v="0"/>
    <n v="620100"/>
    <s v="NINGUNA"/>
    <x v="2"/>
    <n v="28"/>
    <n v="3875284"/>
    <n v="3.9999999105930328E-2"/>
    <n v="155100"/>
    <n v="0"/>
    <m/>
    <n v="0"/>
    <m/>
    <n v="0"/>
    <s v="NINGUNA"/>
    <x v="0"/>
    <n v="28"/>
    <n v="3875284"/>
    <n v="6.9600000977516174E-2"/>
    <s v="5"/>
    <s v="CENTRO TRABAJO 24"/>
    <s v="5711001"/>
    <n v="269800"/>
    <n v="28"/>
    <x v="0"/>
    <n v="3875284"/>
    <n v="3.9999999105930328E-2"/>
    <n v="155100"/>
    <n v="0"/>
    <n v="0"/>
    <n v="0"/>
    <n v="0"/>
    <n v="0"/>
    <n v="0"/>
    <n v="0"/>
    <n v="0"/>
    <n v="0"/>
    <s v="SI"/>
    <s v=" "/>
    <s v="                "/>
  </r>
  <r>
    <x v="1"/>
    <s v="CC"/>
    <x v="128"/>
    <x v="128"/>
    <s v="RUIZ"/>
    <s v="TORRES"/>
    <s v="ANDRES"/>
    <s v="FELIPE"/>
    <s v="BOGOTA_D.E."/>
    <s v="BOGOTA"/>
    <s v="1. DEPENDIENTE"/>
    <s v="NINGUNO"/>
    <n v="186"/>
    <s v="NO"/>
    <s v="NO"/>
    <m/>
    <s v="Todos los sistemas (ARL, AFP, CCF, EPS)"/>
    <n v="46055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9"/>
    <n v="1889215"/>
    <n v="0.15999999642372131"/>
    <n v="302300"/>
    <s v="Sin Riesgo"/>
    <n v="0"/>
    <n v="0"/>
    <n v="0"/>
    <n v="0"/>
    <n v="0"/>
    <n v="302300"/>
    <s v="NINGUNA"/>
    <x v="8"/>
    <n v="29"/>
    <n v="1889215"/>
    <n v="3.9999999105930328E-2"/>
    <n v="75600"/>
    <n v="0"/>
    <m/>
    <n v="0"/>
    <m/>
    <n v="0"/>
    <s v="NINGUNA"/>
    <x v="0"/>
    <n v="29"/>
    <n v="1889215"/>
    <n v="6.9600000977516174E-2"/>
    <s v="5"/>
    <s v="CENTRO TRABAJO 24"/>
    <s v="5711001"/>
    <n v="131500"/>
    <n v="29"/>
    <x v="0"/>
    <n v="1889215"/>
    <n v="3.9999999105930328E-2"/>
    <n v="75600"/>
    <n v="0"/>
    <n v="0"/>
    <n v="0"/>
    <n v="0"/>
    <n v="0"/>
    <n v="0"/>
    <n v="0"/>
    <n v="0"/>
    <n v="0"/>
    <s v="SI"/>
    <s v=" "/>
    <s v="                "/>
  </r>
  <r>
    <x v="1"/>
    <s v="CC"/>
    <x v="129"/>
    <x v="129"/>
    <s v="RONDON"/>
    <s v="PRADA"/>
    <s v="JOHN"/>
    <s v="ALEXANDER"/>
    <s v="BOGOTA_D.E."/>
    <s v="BOGOTA"/>
    <s v="1. DEPENDIENTE"/>
    <s v="NINGUNO"/>
    <n v="67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4"/>
    <n v="7"/>
    <n v="1712354"/>
    <n v="0.15999999642372131"/>
    <n v="274000"/>
    <s v="Sin Riesgo"/>
    <n v="0"/>
    <n v="0"/>
    <n v="0"/>
    <n v="0"/>
    <n v="0"/>
    <n v="274000"/>
    <s v="NINGUNA"/>
    <x v="2"/>
    <n v="7"/>
    <n v="1712354"/>
    <n v="3.9999999105930328E-2"/>
    <n v="68500"/>
    <n v="0"/>
    <m/>
    <n v="0"/>
    <m/>
    <n v="0"/>
    <s v="NINGUNA"/>
    <x v="0"/>
    <n v="7"/>
    <n v="1712354"/>
    <n v="6.9600000977516174E-2"/>
    <s v="5"/>
    <s v="CENTRO TRABAJO 24"/>
    <s v="5711001"/>
    <n v="119200"/>
    <n v="7"/>
    <x v="0"/>
    <n v="2143706"/>
    <n v="3.9999999105930328E-2"/>
    <n v="85800"/>
    <n v="0"/>
    <n v="0"/>
    <n v="0"/>
    <n v="0"/>
    <n v="0"/>
    <n v="0"/>
    <n v="0"/>
    <n v="0"/>
    <n v="0"/>
    <s v="SI"/>
    <s v=" "/>
    <s v="                "/>
  </r>
  <r>
    <x v="1"/>
    <s v="CC"/>
    <x v="130"/>
    <x v="130"/>
    <s v="RODRIGUEZ"/>
    <s v="LIZARAZO"/>
    <s v="CARLOS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2223339"/>
    <s v="NO"/>
    <s v="NO"/>
    <x v="0"/>
    <n v="1"/>
    <n v="74112"/>
    <n v="0.15999999642372131"/>
    <n v="11900"/>
    <s v="Sin Riesgo"/>
    <n v="0"/>
    <n v="0"/>
    <n v="0"/>
    <n v="0"/>
    <n v="0"/>
    <n v="11900"/>
    <s v="NINGUNA"/>
    <x v="10"/>
    <n v="1"/>
    <n v="74112"/>
    <n v="3.9999999105930328E-2"/>
    <n v="3000"/>
    <n v="0"/>
    <m/>
    <n v="0"/>
    <m/>
    <n v="0"/>
    <s v="NINGUNA"/>
    <x v="0"/>
    <n v="1"/>
    <n v="74112"/>
    <n v="0"/>
    <s v="5"/>
    <s v="CENTRO TRABAJO 24"/>
    <s v="5711001"/>
    <n v="0"/>
    <n v="1"/>
    <x v="0"/>
    <n v="74112"/>
    <n v="3.9999999105930328E-2"/>
    <n v="3000"/>
    <n v="0"/>
    <n v="0"/>
    <n v="0"/>
    <n v="0"/>
    <n v="0"/>
    <n v="0"/>
    <n v="0"/>
    <n v="0"/>
    <n v="0"/>
    <s v="SI"/>
    <s v=" "/>
    <s v="                "/>
  </r>
  <r>
    <x v="1"/>
    <s v="CC"/>
    <x v="130"/>
    <x v="130"/>
    <s v="RODRIGUEZ"/>
    <s v="LIZARAZO"/>
    <s v="CARLOS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5"/>
    <n v="46056"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"/>
    <n v="148223"/>
    <n v="0.15999999642372131"/>
    <n v="23800"/>
    <s v="Sin Riesgo"/>
    <n v="0"/>
    <n v="0"/>
    <n v="0"/>
    <n v="0"/>
    <n v="0"/>
    <n v="23800"/>
    <s v="NINGUNA"/>
    <x v="10"/>
    <n v="2"/>
    <n v="148223"/>
    <n v="0"/>
    <n v="0"/>
    <n v="0"/>
    <m/>
    <n v="0"/>
    <m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30"/>
    <x v="130"/>
    <s v="RODRIGUEZ"/>
    <s v="LIZARAZO"/>
    <s v="CARLOS"/>
    <s v="ANDRES"/>
    <s v="BOGOTA_D.E."/>
    <s v="BOGOTA"/>
    <s v="1. DEPENDIENTE"/>
    <s v="NINGUNO"/>
    <n v="19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7"/>
    <n v="2829839"/>
    <n v="0.15999999642372131"/>
    <n v="452800"/>
    <s v="Sin Riesgo"/>
    <n v="0"/>
    <n v="0"/>
    <n v="0"/>
    <n v="0"/>
    <n v="0"/>
    <n v="452800"/>
    <s v="NINGUNA"/>
    <x v="10"/>
    <n v="27"/>
    <n v="2829839"/>
    <n v="3.9999999105930328E-2"/>
    <n v="113200"/>
    <n v="0"/>
    <m/>
    <n v="0"/>
    <m/>
    <n v="0"/>
    <s v="NINGUNA"/>
    <x v="0"/>
    <n v="27"/>
    <n v="2829839"/>
    <n v="6.9600000977516174E-2"/>
    <s v="5"/>
    <s v="CENTRO TRABAJO 24"/>
    <s v="5711001"/>
    <n v="197000"/>
    <n v="27"/>
    <x v="0"/>
    <n v="2829840"/>
    <n v="3.9999999105930328E-2"/>
    <n v="113200"/>
    <n v="0"/>
    <n v="0"/>
    <n v="0"/>
    <n v="0"/>
    <n v="0"/>
    <n v="0"/>
    <n v="0"/>
    <n v="0"/>
    <n v="0"/>
    <s v="SI"/>
    <s v=" "/>
    <s v="                "/>
  </r>
  <r>
    <x v="1"/>
    <s v="CC"/>
    <x v="132"/>
    <x v="441"/>
    <s v="CAMARGO"/>
    <s v="VERGEL"/>
    <s v="ANGY"/>
    <s v="PAOL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1"/>
    <n v="58364"/>
    <n v="0.15999999642372131"/>
    <n v="9400"/>
    <s v="Sin Riesgo"/>
    <n v="0"/>
    <n v="0"/>
    <n v="0"/>
    <n v="0"/>
    <n v="0"/>
    <n v="9400"/>
    <s v="NINGUNA"/>
    <x v="3"/>
    <n v="1"/>
    <n v="58364"/>
    <n v="0"/>
    <n v="0"/>
    <n v="0"/>
    <m/>
    <n v="0"/>
    <m/>
    <n v="0"/>
    <s v="NINGUNA"/>
    <x v="0"/>
    <n v="1"/>
    <n v="583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32"/>
    <x v="441"/>
    <s v="CAMARGO"/>
    <s v="VERGEL"/>
    <s v="ANGY"/>
    <s v="PAOL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58"/>
    <s v="NO"/>
    <s v="NO"/>
    <m/>
    <m/>
    <n v="0"/>
    <m/>
    <m/>
    <s v="NO"/>
    <n v="1750905"/>
    <s v="NO"/>
    <s v="NO"/>
    <x v="2"/>
    <n v="1"/>
    <n v="58364"/>
    <n v="0.15999999642372131"/>
    <n v="9400"/>
    <s v="Sin Riesgo"/>
    <n v="0"/>
    <n v="0"/>
    <n v="0"/>
    <n v="0"/>
    <n v="0"/>
    <n v="9400"/>
    <s v="NINGUNA"/>
    <x v="3"/>
    <n v="1"/>
    <n v="58364"/>
    <n v="3.9999999105930328E-2"/>
    <n v="2400"/>
    <n v="0"/>
    <m/>
    <n v="0"/>
    <m/>
    <n v="0"/>
    <s v="NINGUNA"/>
    <x v="0"/>
    <n v="1"/>
    <n v="58364"/>
    <n v="0"/>
    <s v="5"/>
    <s v="CENTRO TRABAJO 24"/>
    <s v="5711001"/>
    <n v="0"/>
    <n v="1"/>
    <x v="0"/>
    <n v="58364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132"/>
    <x v="441"/>
    <s v="CAMARGO"/>
    <s v="VERGEL"/>
    <s v="ANGY"/>
    <s v="PAOLA"/>
    <s v="BOGOTA_D.E."/>
    <s v="BOGOT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8"/>
    <n v="2092266"/>
    <n v="0.15999999642372131"/>
    <n v="334800"/>
    <s v="Sin Riesgo"/>
    <n v="0"/>
    <n v="0"/>
    <n v="0"/>
    <n v="0"/>
    <n v="0"/>
    <n v="334800"/>
    <s v="NINGUNA"/>
    <x v="3"/>
    <n v="28"/>
    <n v="2092266"/>
    <n v="3.9999999105930328E-2"/>
    <n v="83700"/>
    <n v="0"/>
    <m/>
    <n v="0"/>
    <m/>
    <n v="0"/>
    <s v="NINGUNA"/>
    <x v="0"/>
    <n v="28"/>
    <n v="2092266"/>
    <n v="6.9600000977516174E-2"/>
    <s v="5"/>
    <s v="CENTRO TRABAJO 24"/>
    <s v="5711001"/>
    <n v="145700"/>
    <n v="28"/>
    <x v="0"/>
    <n v="2092267"/>
    <n v="3.9999999105930328E-2"/>
    <n v="83700"/>
    <n v="0"/>
    <n v="0"/>
    <n v="0"/>
    <n v="0"/>
    <n v="0"/>
    <n v="0"/>
    <n v="0"/>
    <n v="0"/>
    <n v="0"/>
    <s v="SI"/>
    <s v=" "/>
    <s v="                "/>
  </r>
  <r>
    <x v="1"/>
    <s v="CC"/>
    <x v="133"/>
    <x v="133"/>
    <s v="ROJAS"/>
    <s v="SIERRA"/>
    <s v="VRIYI"/>
    <s v="YULEY"/>
    <s v="BOGOTA_D.E."/>
    <s v="BOGOTA"/>
    <s v="1. DEPENDIENTE"/>
    <s v="NINGUNO"/>
    <n v="67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7"/>
    <n v="1056288"/>
    <n v="0.15999999642372131"/>
    <n v="169100"/>
    <s v="Sin Riesgo"/>
    <n v="0"/>
    <n v="0"/>
    <n v="0"/>
    <n v="0"/>
    <n v="0"/>
    <n v="169100"/>
    <s v="NINGUNA"/>
    <x v="3"/>
    <n v="7"/>
    <n v="1056288"/>
    <n v="3.9999999105930328E-2"/>
    <n v="42300"/>
    <n v="0"/>
    <m/>
    <n v="0"/>
    <m/>
    <n v="0"/>
    <s v="NINGUNA"/>
    <x v="0"/>
    <n v="7"/>
    <n v="1056288"/>
    <n v="6.9600000977516174E-2"/>
    <s v="5"/>
    <s v="CENTRO TRABAJO 24"/>
    <s v="5711001"/>
    <n v="73600"/>
    <n v="7"/>
    <x v="0"/>
    <n v="1407037"/>
    <n v="3.9999999105930328E-2"/>
    <n v="56300"/>
    <n v="0"/>
    <n v="0"/>
    <n v="0"/>
    <n v="0"/>
    <n v="0"/>
    <n v="0"/>
    <n v="0"/>
    <n v="0"/>
    <n v="0"/>
    <s v="SI"/>
    <s v=" "/>
    <s v="                "/>
  </r>
  <r>
    <x v="1"/>
    <s v="CC"/>
    <x v="134"/>
    <x v="134"/>
    <s v="VALDERRAMA"/>
    <s v="CHIMONJA"/>
    <s v="GEOVANNY"/>
    <s v="ANDRES"/>
    <s v="BOGOTA_D.E."/>
    <s v="BOGOTA"/>
    <s v="1. DEPENDIENTE"/>
    <s v="NINGUNO"/>
    <n v="24"/>
    <s v="NO"/>
    <s v="NO"/>
    <m/>
    <s v="NO"/>
    <m/>
    <s v="Todos los sistemas (ARL, AFP, CCF, EPS)"/>
    <n v="46055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"/>
    <n v="607074"/>
    <n v="0.15999999642372131"/>
    <n v="97200"/>
    <s v="Sin Riesgo"/>
    <n v="0"/>
    <n v="0"/>
    <n v="0"/>
    <n v="0"/>
    <n v="0"/>
    <n v="97200"/>
    <s v="NINGUNA"/>
    <x v="9"/>
    <n v="2"/>
    <n v="607074"/>
    <n v="0.125"/>
    <n v="75900"/>
    <n v="0"/>
    <m/>
    <n v="0"/>
    <m/>
    <n v="0"/>
    <s v="NINGUNA"/>
    <x v="0"/>
    <n v="2"/>
    <n v="607074"/>
    <n v="6.9600000977516174E-2"/>
    <s v="5"/>
    <s v="CENTRO TRABAJO 24"/>
    <s v="5711001"/>
    <n v="42300"/>
    <n v="2"/>
    <x v="0"/>
    <n v="1093712"/>
    <n v="3.9999999105930328E-2"/>
    <n v="43800"/>
    <n v="1093712"/>
    <n v="1.9999999552965164E-2"/>
    <n v="21900"/>
    <n v="2.9999999329447746E-2"/>
    <n v="32900"/>
    <n v="0"/>
    <n v="0"/>
    <n v="0"/>
    <n v="0"/>
    <s v="NO"/>
    <s v=" "/>
    <s v="                "/>
  </r>
  <r>
    <x v="1"/>
    <s v="CC"/>
    <x v="135"/>
    <x v="135"/>
    <s v="CAICEDO"/>
    <s v="QUIMBAY"/>
    <s v="PAULA"/>
    <s v="YOHAN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50905"/>
    <s v="NO"/>
    <s v="NO"/>
    <x v="1"/>
    <n v="1"/>
    <n v="58364"/>
    <n v="0.15999999642372131"/>
    <n v="9400"/>
    <s v="Sin Riesgo"/>
    <n v="0"/>
    <n v="0"/>
    <n v="0"/>
    <n v="0"/>
    <n v="0"/>
    <n v="9400"/>
    <s v="NINGUNA"/>
    <x v="10"/>
    <n v="1"/>
    <n v="58364"/>
    <n v="3.9999999105930328E-2"/>
    <n v="2400"/>
    <n v="0"/>
    <m/>
    <n v="0"/>
    <m/>
    <n v="0"/>
    <s v="NINGUNA"/>
    <x v="0"/>
    <n v="1"/>
    <n v="58364"/>
    <n v="0"/>
    <s v="5"/>
    <s v="CENTRO TRABAJO 24"/>
    <s v="5711001"/>
    <n v="0"/>
    <n v="1"/>
    <x v="0"/>
    <n v="58364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135"/>
    <x v="135"/>
    <s v="CAICEDO"/>
    <s v="QUIMBAY"/>
    <s v="PAULA"/>
    <s v="YOHAN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6"/>
    <n v="46056"/>
    <s v="NO"/>
    <s v="NO"/>
    <m/>
    <m/>
    <n v="0"/>
    <m/>
    <m/>
    <s v="NO"/>
    <n v="1750905"/>
    <s v="NO"/>
    <s v="NO"/>
    <x v="1"/>
    <n v="1"/>
    <n v="58364"/>
    <n v="0.15999999642372131"/>
    <n v="9400"/>
    <s v="Sin Riesgo"/>
    <n v="0"/>
    <n v="0"/>
    <n v="0"/>
    <n v="0"/>
    <n v="0"/>
    <n v="9400"/>
    <s v="NINGUNA"/>
    <x v="10"/>
    <n v="1"/>
    <n v="58364"/>
    <n v="3.9999999105930328E-2"/>
    <n v="2400"/>
    <n v="0"/>
    <m/>
    <n v="0"/>
    <m/>
    <n v="0"/>
    <s v="NINGUNA"/>
    <x v="0"/>
    <n v="1"/>
    <n v="58364"/>
    <n v="0"/>
    <s v="5"/>
    <s v="CENTRO TRABAJO 24"/>
    <s v="5711001"/>
    <n v="0"/>
    <n v="1"/>
    <x v="0"/>
    <n v="58364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135"/>
    <x v="135"/>
    <s v="CAICEDO"/>
    <s v="QUIMBAY"/>
    <s v="PAULA"/>
    <s v="YOHANA"/>
    <s v="BOGOTA_D.E."/>
    <s v="BOGOTA"/>
    <s v="1. DEPENDIENTE"/>
    <s v="NINGUNO"/>
    <n v="52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5"/>
    <n v="1043593"/>
    <n v="0.15999999642372131"/>
    <n v="167000"/>
    <s v="Sin Riesgo"/>
    <n v="0"/>
    <n v="0"/>
    <n v="0"/>
    <n v="0"/>
    <n v="0"/>
    <n v="167000"/>
    <s v="NINGUNA"/>
    <x v="10"/>
    <n v="5"/>
    <n v="1043593"/>
    <n v="3.9999999105930328E-2"/>
    <n v="41800"/>
    <n v="0"/>
    <m/>
    <n v="0"/>
    <m/>
    <n v="0"/>
    <s v="NINGUNA"/>
    <x v="0"/>
    <n v="5"/>
    <n v="1043593"/>
    <n v="6.9600000977516174E-2"/>
    <s v="5"/>
    <s v="CENTRO TRABAJO 24"/>
    <s v="5711001"/>
    <n v="72700"/>
    <n v="5"/>
    <x v="0"/>
    <n v="1435802"/>
    <n v="3.9999999105930328E-2"/>
    <n v="57500"/>
    <n v="0"/>
    <n v="0"/>
    <n v="0"/>
    <n v="0"/>
    <n v="0"/>
    <n v="0"/>
    <n v="0"/>
    <n v="0"/>
    <n v="0"/>
    <s v="SI"/>
    <s v=" "/>
    <s v="                "/>
  </r>
  <r>
    <x v="1"/>
    <s v="CC"/>
    <x v="136"/>
    <x v="136"/>
    <s v="PUENTES"/>
    <s v="FLOREZ"/>
    <s v="CLAUDIA"/>
    <s v="LILIAN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8"/>
    <n v="46063"/>
    <s v="NO"/>
    <s v="NO"/>
    <m/>
    <m/>
    <n v="0"/>
    <m/>
    <m/>
    <s v="NO"/>
    <n v="6384779"/>
    <s v="NO"/>
    <s v="NO"/>
    <x v="1"/>
    <n v="6"/>
    <n v="1237988"/>
    <n v="0.15999999642372131"/>
    <n v="198100"/>
    <s v="Sin Riesgo"/>
    <n v="0"/>
    <n v="0"/>
    <n v="0"/>
    <n v="0"/>
    <n v="0"/>
    <n v="198100"/>
    <s v="NINGUNA"/>
    <x v="10"/>
    <n v="6"/>
    <n v="1237988"/>
    <n v="3.9999999105930328E-2"/>
    <n v="49600"/>
    <n v="0"/>
    <m/>
    <n v="0"/>
    <m/>
    <n v="0"/>
    <s v="NINGUNA"/>
    <x v="0"/>
    <n v="6"/>
    <n v="1237988"/>
    <n v="0"/>
    <s v="5"/>
    <s v="CENTRO TRABAJO 24"/>
    <s v="5711001"/>
    <n v="0"/>
    <n v="6"/>
    <x v="0"/>
    <n v="1276956"/>
    <n v="3.9999999105930328E-2"/>
    <n v="51100"/>
    <n v="0"/>
    <n v="0"/>
    <n v="0"/>
    <n v="0"/>
    <n v="0"/>
    <n v="0"/>
    <n v="0"/>
    <n v="0"/>
    <n v="0"/>
    <s v="SI"/>
    <s v=" "/>
    <s v="                "/>
  </r>
  <r>
    <x v="1"/>
    <s v="CC"/>
    <x v="136"/>
    <x v="136"/>
    <s v="PUENTES"/>
    <s v="FLOREZ"/>
    <s v="CLAUDIA"/>
    <s v="LILIANA"/>
    <s v="BOGOTA_D.E."/>
    <s v="BOGOTA"/>
    <s v="1. DEPENDIENTE"/>
    <s v="NINGUNO"/>
    <n v="149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1"/>
    <n v="24"/>
    <n v="5107824"/>
    <n v="0.15999999642372131"/>
    <n v="817300"/>
    <s v="Sin Riesgo"/>
    <n v="0"/>
    <n v="0"/>
    <n v="0"/>
    <n v="0"/>
    <n v="0"/>
    <n v="817300"/>
    <s v="NINGUNA"/>
    <x v="10"/>
    <n v="24"/>
    <n v="5107824"/>
    <n v="3.9999999105930328E-2"/>
    <n v="204400"/>
    <n v="0"/>
    <m/>
    <n v="0"/>
    <m/>
    <n v="0"/>
    <s v="NINGUNA"/>
    <x v="0"/>
    <n v="24"/>
    <n v="5107824"/>
    <n v="6.9600000977516174E-2"/>
    <s v="5"/>
    <s v="CENTRO TRABAJO 24"/>
    <s v="5711001"/>
    <n v="355600"/>
    <n v="24"/>
    <x v="0"/>
    <n v="5107824"/>
    <n v="3.9999999105930328E-2"/>
    <n v="204400"/>
    <n v="0"/>
    <n v="0"/>
    <n v="0"/>
    <n v="0"/>
    <n v="0"/>
    <n v="0"/>
    <n v="0"/>
    <n v="0"/>
    <n v="0"/>
    <s v="SI"/>
    <s v=" "/>
    <s v="                "/>
  </r>
  <r>
    <x v="1"/>
    <s v="CC"/>
    <x v="137"/>
    <x v="137"/>
    <s v="AVILA"/>
    <s v="BUITRAGO"/>
    <s v="JULIE"/>
    <s v="PAULINE"/>
    <s v="BOGOTA_D.E."/>
    <s v="BOGOTA"/>
    <s v="1. DEPENDIENTE"/>
    <s v="NINGUNO"/>
    <n v="166"/>
    <s v="NO"/>
    <s v="NO"/>
    <m/>
    <s v="Todos los sistemas (ARL, AFP, CCF, EPS)"/>
    <n v="46058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26"/>
    <n v="2228799"/>
    <n v="0.15999999642372131"/>
    <n v="356700"/>
    <s v="Sin Riesgo"/>
    <n v="0"/>
    <n v="0"/>
    <n v="0"/>
    <n v="0"/>
    <n v="0"/>
    <n v="356700"/>
    <s v="NINGUNA"/>
    <x v="2"/>
    <n v="26"/>
    <n v="2228799"/>
    <n v="3.9999999105930328E-2"/>
    <n v="89200"/>
    <n v="0"/>
    <m/>
    <n v="0"/>
    <m/>
    <n v="0"/>
    <s v="NINGUNA"/>
    <x v="0"/>
    <n v="26"/>
    <n v="2228799"/>
    <n v="6.9600000977516174E-2"/>
    <s v="5"/>
    <s v="CENTRO TRABAJO 24"/>
    <s v="5711001"/>
    <n v="155200"/>
    <n v="26"/>
    <x v="0"/>
    <n v="2228799"/>
    <n v="3.9999999105930328E-2"/>
    <n v="89200"/>
    <n v="0"/>
    <n v="0"/>
    <n v="0"/>
    <n v="0"/>
    <n v="0"/>
    <n v="0"/>
    <n v="0"/>
    <n v="0"/>
    <n v="0"/>
    <s v="SI"/>
    <s v=" "/>
    <s v="                "/>
  </r>
  <r>
    <x v="1"/>
    <s v="CC"/>
    <x v="138"/>
    <x v="138"/>
    <s v="BURBANO"/>
    <s v="BUESAQUILLO"/>
    <s v="MARYORY"/>
    <s v="DANIELA"/>
    <s v="BOGOTA_D.E."/>
    <s v="BOGOTA"/>
    <s v="1. DEPENDIENTE"/>
    <s v="NINGUNO"/>
    <n v="173"/>
    <s v="NO"/>
    <s v="NO"/>
    <m/>
    <s v="Todos los sistemas (ARL, AFP, CCF, EPS)"/>
    <n v="46057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7"/>
    <n v="1961013"/>
    <n v="0.15999999642372131"/>
    <n v="313800"/>
    <s v="Sin Riesgo"/>
    <n v="0"/>
    <n v="0"/>
    <n v="0"/>
    <n v="0"/>
    <n v="0"/>
    <n v="313800"/>
    <s v="NINGUNA"/>
    <x v="13"/>
    <n v="27"/>
    <n v="1961013"/>
    <n v="3.9999999105930328E-2"/>
    <n v="78500"/>
    <n v="0"/>
    <m/>
    <n v="0"/>
    <m/>
    <n v="0"/>
    <s v="NINGUNA"/>
    <x v="0"/>
    <n v="27"/>
    <n v="1961013"/>
    <n v="6.9600000977516174E-2"/>
    <s v="5"/>
    <s v="CENTRO TRABAJO 24"/>
    <s v="5711001"/>
    <n v="136500"/>
    <n v="27"/>
    <x v="0"/>
    <n v="1961013"/>
    <n v="3.9999999105930328E-2"/>
    <n v="78500"/>
    <n v="0"/>
    <n v="0"/>
    <n v="0"/>
    <n v="0"/>
    <n v="0"/>
    <n v="0"/>
    <n v="0"/>
    <n v="0"/>
    <n v="0"/>
    <s v="SI"/>
    <s v=" "/>
    <s v="                "/>
  </r>
  <r>
    <x v="1"/>
    <s v="CC"/>
    <x v="139"/>
    <x v="139"/>
    <s v="LOPEZ"/>
    <s v="LARA"/>
    <s v="MARLON"/>
    <s v="JAVI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3360265"/>
    <s v="NO"/>
    <s v="NO"/>
    <x v="0"/>
    <n v="1"/>
    <n v="112009"/>
    <n v="0.15999999642372131"/>
    <n v="18000"/>
    <s v="Sin Riesgo"/>
    <n v="0"/>
    <n v="0"/>
    <n v="0"/>
    <n v="0"/>
    <n v="0"/>
    <n v="18000"/>
    <s v="NINGUNA"/>
    <x v="8"/>
    <n v="1"/>
    <n v="112009"/>
    <n v="3.9999999105930328E-2"/>
    <n v="4500"/>
    <n v="0"/>
    <m/>
    <n v="0"/>
    <m/>
    <n v="0"/>
    <s v="NINGUNA"/>
    <x v="0"/>
    <n v="1"/>
    <n v="112009"/>
    <n v="0"/>
    <s v="5"/>
    <s v="CENTRO TRABAJO 24"/>
    <s v="5711001"/>
    <n v="0"/>
    <n v="1"/>
    <x v="0"/>
    <n v="112009"/>
    <n v="3.9999999105930328E-2"/>
    <n v="4500"/>
    <n v="0"/>
    <n v="0"/>
    <n v="0"/>
    <n v="0"/>
    <n v="0"/>
    <n v="0"/>
    <n v="0"/>
    <n v="0"/>
    <n v="0"/>
    <s v="SI"/>
    <s v=" "/>
    <s v="                "/>
  </r>
  <r>
    <x v="1"/>
    <s v="CC"/>
    <x v="139"/>
    <x v="139"/>
    <s v="LOPEZ"/>
    <s v="LARA"/>
    <s v="MARLON"/>
    <s v="JAVIER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360265"/>
    <s v="NO"/>
    <s v="NO"/>
    <x v="0"/>
    <n v="29"/>
    <n v="3346010"/>
    <n v="0.15999999642372131"/>
    <n v="535400"/>
    <s v="Sin Riesgo"/>
    <n v="0"/>
    <n v="0"/>
    <n v="0"/>
    <n v="0"/>
    <n v="0"/>
    <n v="535400"/>
    <s v="NINGUNA"/>
    <x v="8"/>
    <n v="29"/>
    <n v="3346010"/>
    <n v="3.9999999105930328E-2"/>
    <n v="133900"/>
    <n v="0"/>
    <m/>
    <n v="0"/>
    <m/>
    <n v="0"/>
    <s v="NINGUNA"/>
    <x v="0"/>
    <n v="29"/>
    <n v="3346010"/>
    <n v="6.9600000977516174E-2"/>
    <s v="5"/>
    <s v="CENTRO TRABAJO 24"/>
    <s v="5711001"/>
    <n v="232900"/>
    <n v="29"/>
    <x v="0"/>
    <n v="3346010"/>
    <n v="3.9999999105930328E-2"/>
    <n v="133900"/>
    <n v="0"/>
    <n v="0"/>
    <n v="0"/>
    <n v="0"/>
    <n v="0"/>
    <n v="0"/>
    <n v="0"/>
    <n v="0"/>
    <n v="0"/>
    <s v="SI"/>
    <s v=" "/>
    <s v="                "/>
  </r>
  <r>
    <x v="1"/>
    <s v="CC"/>
    <x v="140"/>
    <x v="140"/>
    <s v="ROMO"/>
    <s v="CERVANTES"/>
    <s v="IVAN"/>
    <s v="DAVID"/>
    <s v="BOGOTA_D.E."/>
    <s v="BOGOTA"/>
    <s v="1. DEPENDIENTE"/>
    <s v="NINGUNO"/>
    <n v="22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2861047"/>
    <n v="0.15999999642372131"/>
    <n v="457800"/>
    <s v="Sin Riesgo"/>
    <n v="0"/>
    <n v="0"/>
    <n v="0"/>
    <n v="0"/>
    <n v="0"/>
    <n v="457800"/>
    <s v="NINGUNA"/>
    <x v="0"/>
    <n v="30"/>
    <n v="2861047"/>
    <n v="3.9999999105930328E-2"/>
    <n v="114500"/>
    <n v="0"/>
    <m/>
    <n v="0"/>
    <m/>
    <n v="0"/>
    <s v="NINGUNA"/>
    <x v="0"/>
    <n v="30"/>
    <n v="2861047"/>
    <n v="6.9600000977516174E-2"/>
    <s v="5"/>
    <s v="CENTRO TRABAJO 24"/>
    <s v="5711001"/>
    <n v="199200"/>
    <n v="30"/>
    <x v="0"/>
    <n v="2861047"/>
    <n v="3.9999999105930328E-2"/>
    <n v="114500"/>
    <n v="0"/>
    <n v="0"/>
    <n v="0"/>
    <n v="0"/>
    <n v="0"/>
    <n v="0"/>
    <n v="0"/>
    <n v="0"/>
    <n v="0"/>
    <s v="SI"/>
    <s v=" "/>
    <s v="                "/>
  </r>
  <r>
    <x v="1"/>
    <s v="CC"/>
    <x v="141"/>
    <x v="141"/>
    <s v="ARZUAGA"/>
    <s v="CARIZABALO"/>
    <s v="CARLOS"/>
    <s v="MARIO"/>
    <s v="BOGOTA_D.E."/>
    <s v="BOGOTA"/>
    <s v="1. DEPENDIENTE"/>
    <s v="NINGUNO"/>
    <n v="22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3276717"/>
    <n v="0.15999999642372131"/>
    <n v="524300"/>
    <s v="Sin Riesgo"/>
    <n v="0"/>
    <n v="0"/>
    <n v="0"/>
    <n v="0"/>
    <n v="0"/>
    <n v="524300"/>
    <s v="NINGUNA"/>
    <x v="0"/>
    <n v="30"/>
    <n v="3276717"/>
    <n v="3.9999999105930328E-2"/>
    <n v="131100"/>
    <n v="0"/>
    <m/>
    <n v="0"/>
    <m/>
    <n v="0"/>
    <s v="NINGUNA"/>
    <x v="0"/>
    <n v="30"/>
    <n v="3276717"/>
    <n v="6.9600000977516174E-2"/>
    <s v="5"/>
    <s v="CENTRO TRABAJO 24"/>
    <s v="5711001"/>
    <n v="228100"/>
    <n v="30"/>
    <x v="0"/>
    <n v="2973280"/>
    <n v="3.9999999105930328E-2"/>
    <n v="119000"/>
    <n v="0"/>
    <n v="0"/>
    <n v="0"/>
    <n v="0"/>
    <n v="0"/>
    <n v="0"/>
    <n v="0"/>
    <n v="0"/>
    <n v="0"/>
    <s v="SI"/>
    <s v=" "/>
    <s v="                "/>
  </r>
  <r>
    <x v="1"/>
    <s v="CC"/>
    <x v="142"/>
    <x v="442"/>
    <s v="SOSA"/>
    <s v="GONZALEZ"/>
    <s v="JOSE"/>
    <s v="DANIEL"/>
    <s v="BOGOTA_D.E."/>
    <s v="BOGOTA"/>
    <s v="1. DEPENDIENTE"/>
    <s v="NINGUNO"/>
    <n v="55"/>
    <s v="NO"/>
    <s v="NO"/>
    <m/>
    <s v="NO"/>
    <m/>
    <s v="Todos los sistemas (ARL, AFP, CCF, EPS)"/>
    <n v="4605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2"/>
    <n v="5"/>
    <n v="1412223"/>
    <n v="0.15999999642372131"/>
    <n v="226000"/>
    <s v="Sin Riesgo"/>
    <n v="0"/>
    <n v="0"/>
    <n v="0"/>
    <n v="0"/>
    <n v="0"/>
    <n v="226000"/>
    <s v="NINGUNA"/>
    <x v="3"/>
    <n v="5"/>
    <n v="1412223"/>
    <n v="3.9999999105930328E-2"/>
    <n v="56500"/>
    <n v="0"/>
    <m/>
    <n v="0"/>
    <m/>
    <n v="0"/>
    <s v="NINGUNA"/>
    <x v="0"/>
    <n v="5"/>
    <n v="1412223"/>
    <n v="6.9600000977516174E-2"/>
    <s v="5"/>
    <s v="CENTRO TRABAJO 24"/>
    <s v="5711001"/>
    <n v="98300"/>
    <n v="5"/>
    <x v="0"/>
    <n v="2009828"/>
    <n v="3.9999999105930328E-2"/>
    <n v="80400"/>
    <n v="0"/>
    <n v="0"/>
    <n v="0"/>
    <n v="0"/>
    <n v="0"/>
    <n v="0"/>
    <n v="0"/>
    <n v="0"/>
    <n v="0"/>
    <s v="SI"/>
    <s v=" "/>
    <s v="                "/>
  </r>
  <r>
    <x v="1"/>
    <s v="CC"/>
    <x v="142"/>
    <x v="442"/>
    <s v="SOSA"/>
    <s v="GONZALEZ"/>
    <s v="JOSE"/>
    <s v="DANIEL"/>
    <s v="LA_GUAJIRA"/>
    <s v="RIOHACHA"/>
    <s v="1. DEPENDIENTE"/>
    <s v="NINGUNO"/>
    <n v="51"/>
    <s v="NO"/>
    <s v="NO"/>
    <m/>
    <s v="Todos los sistemas (ARL, AFP, CCF, EPS)"/>
    <n v="46073"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2"/>
    <n v="7"/>
    <n v="819541"/>
    <n v="0.15999999642372131"/>
    <n v="131200"/>
    <s v="Sin Riesgo"/>
    <n v="0"/>
    <n v="0"/>
    <n v="0"/>
    <n v="0"/>
    <n v="0"/>
    <n v="131200"/>
    <s v="NINGUNA"/>
    <x v="3"/>
    <n v="7"/>
    <n v="819541"/>
    <n v="3.9999999105930328E-2"/>
    <n v="32800"/>
    <n v="0"/>
    <m/>
    <n v="0"/>
    <m/>
    <n v="0"/>
    <s v="NINGUNA"/>
    <x v="0"/>
    <n v="7"/>
    <n v="819541"/>
    <n v="6.9600000977516174E-2"/>
    <s v="5"/>
    <s v="CENTRO TRABAJO 30"/>
    <s v="5711001"/>
    <n v="57100"/>
    <n v="7"/>
    <x v="1"/>
    <n v="853493"/>
    <n v="3.9999999105930328E-2"/>
    <n v="34200"/>
    <n v="0"/>
    <n v="0"/>
    <n v="0"/>
    <n v="0"/>
    <n v="0"/>
    <n v="0"/>
    <n v="0"/>
    <n v="0"/>
    <n v="0"/>
    <s v="SI"/>
    <s v=" "/>
    <s v="                "/>
  </r>
  <r>
    <x v="1"/>
    <s v="CC"/>
    <x v="143"/>
    <x v="143"/>
    <s v="QUIROZ"/>
    <s v="GARCIA"/>
    <s v="JOSE"/>
    <s v="LUIS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2665550"/>
    <s v="NO"/>
    <s v="NO"/>
    <x v="4"/>
    <n v="2"/>
    <n v="177704"/>
    <n v="0.15999999642372131"/>
    <n v="28500"/>
    <s v="Sin Riesgo"/>
    <n v="0"/>
    <n v="0"/>
    <n v="0"/>
    <n v="0"/>
    <n v="0"/>
    <n v="28500"/>
    <s v="NINGUNA"/>
    <x v="3"/>
    <n v="2"/>
    <n v="177704"/>
    <n v="0"/>
    <n v="0"/>
    <n v="0"/>
    <m/>
    <n v="0"/>
    <m/>
    <n v="0"/>
    <s v="NINGUNA"/>
    <x v="0"/>
    <n v="2"/>
    <n v="177704"/>
    <n v="0"/>
    <s v="5"/>
    <s v="CENTRO TRABAJO 30"/>
    <s v="5711001"/>
    <n v="0"/>
    <n v="2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43"/>
    <x v="143"/>
    <s v="QUIROZ"/>
    <s v="GARCIA"/>
    <s v="JOSE"/>
    <s v="LUIS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665550"/>
    <s v="NO"/>
    <s v="NO"/>
    <x v="4"/>
    <n v="5"/>
    <n v="444259"/>
    <n v="0.15999999642372131"/>
    <n v="71100"/>
    <s v="Sin Riesgo"/>
    <n v="0"/>
    <n v="0"/>
    <n v="0"/>
    <n v="0"/>
    <n v="0"/>
    <n v="71100"/>
    <s v="NINGUNA"/>
    <x v="3"/>
    <n v="5"/>
    <n v="444259"/>
    <n v="3.9999999105930328E-2"/>
    <n v="17800"/>
    <n v="0"/>
    <m/>
    <n v="0"/>
    <m/>
    <n v="0"/>
    <s v="NINGUNA"/>
    <x v="0"/>
    <n v="5"/>
    <n v="444259"/>
    <n v="0"/>
    <s v="5"/>
    <s v="CENTRO TRABAJO 30"/>
    <s v="5711001"/>
    <n v="0"/>
    <n v="5"/>
    <x v="1"/>
    <n v="444259"/>
    <n v="3.9999999105930328E-2"/>
    <n v="17800"/>
    <n v="0"/>
    <n v="0"/>
    <n v="0"/>
    <n v="0"/>
    <n v="0"/>
    <n v="0"/>
    <n v="0"/>
    <n v="0"/>
    <n v="0"/>
    <s v="SI"/>
    <s v=" "/>
    <s v="                "/>
  </r>
  <r>
    <x v="1"/>
    <s v="CC"/>
    <x v="143"/>
    <x v="143"/>
    <s v="QUIROZ"/>
    <s v="GARCIA"/>
    <s v="JOSE"/>
    <s v="LUIS"/>
    <s v="LA_GUAJIRA"/>
    <s v="RIOHACHA"/>
    <s v="1. DEPENDIENTE"/>
    <s v="NINGUNO"/>
    <n v="14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4"/>
    <n v="23"/>
    <n v="3085889"/>
    <n v="0.15999999642372131"/>
    <n v="493800"/>
    <s v="Sin Riesgo"/>
    <n v="0"/>
    <n v="0"/>
    <n v="0"/>
    <n v="0"/>
    <n v="0"/>
    <n v="493800"/>
    <s v="NINGUNA"/>
    <x v="3"/>
    <n v="23"/>
    <n v="3085889"/>
    <n v="3.9999999105930328E-2"/>
    <n v="123500"/>
    <n v="0"/>
    <m/>
    <n v="0"/>
    <m/>
    <n v="0"/>
    <s v="NINGUNA"/>
    <x v="0"/>
    <n v="23"/>
    <n v="3085889"/>
    <n v="6.9600000977516174E-2"/>
    <s v="5"/>
    <s v="CENTRO TRABAJO 30"/>
    <s v="5711001"/>
    <n v="214800"/>
    <n v="23"/>
    <x v="1"/>
    <n v="3085890"/>
    <n v="3.9999999105930328E-2"/>
    <n v="123500"/>
    <n v="0"/>
    <n v="0"/>
    <n v="0"/>
    <n v="0"/>
    <n v="0"/>
    <n v="0"/>
    <n v="0"/>
    <n v="0"/>
    <n v="0"/>
    <s v="SI"/>
    <s v=" "/>
    <s v="                "/>
  </r>
  <r>
    <x v="1"/>
    <s v="CC"/>
    <x v="144"/>
    <x v="443"/>
    <s v="CERVANTES"/>
    <s v="POLO"/>
    <s v="ANTONY"/>
    <s v="JUNIOR"/>
    <s v="LA_GUAJIRA"/>
    <s v="RIOHACHA"/>
    <s v="1. DEPENDIENTE"/>
    <s v="NINGUNO"/>
    <n v="154"/>
    <s v="NO"/>
    <s v="NO"/>
    <m/>
    <s v="Todos los sistemas (ARL, AFP, CCF, EPS)"/>
    <n v="46059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4"/>
    <n v="25"/>
    <n v="2573935"/>
    <n v="0.15999999642372131"/>
    <n v="411900"/>
    <s v="Sin Riesgo"/>
    <n v="0"/>
    <n v="0"/>
    <n v="0"/>
    <n v="0"/>
    <n v="0"/>
    <n v="411900"/>
    <s v="NINGUNA"/>
    <x v="2"/>
    <n v="25"/>
    <n v="2573935"/>
    <n v="3.9999999105930328E-2"/>
    <n v="103000"/>
    <n v="0"/>
    <m/>
    <n v="0"/>
    <m/>
    <n v="0"/>
    <s v="NINGUNA"/>
    <x v="0"/>
    <n v="25"/>
    <n v="2573935"/>
    <n v="6.9600000977516174E-2"/>
    <s v="5"/>
    <s v="CENTRO TRABAJO 30"/>
    <s v="5711001"/>
    <n v="179200"/>
    <n v="25"/>
    <x v="1"/>
    <n v="2573935"/>
    <n v="3.9999999105930328E-2"/>
    <n v="103000"/>
    <n v="0"/>
    <n v="0"/>
    <n v="0"/>
    <n v="0"/>
    <n v="0"/>
    <n v="0"/>
    <n v="0"/>
    <n v="0"/>
    <n v="0"/>
    <s v="SI"/>
    <s v=" "/>
    <s v="                "/>
  </r>
  <r>
    <x v="1"/>
    <s v="CC"/>
    <x v="145"/>
    <x v="145"/>
    <s v="ANDRADE"/>
    <s v="MUNERA"/>
    <s v="JESUS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891569"/>
    <s v="NO"/>
    <s v="NO"/>
    <x v="0"/>
    <n v="5"/>
    <n v="481929"/>
    <n v="0.15999999642372131"/>
    <n v="77200"/>
    <s v="Sin Riesgo"/>
    <n v="0"/>
    <n v="0"/>
    <n v="0"/>
    <n v="0"/>
    <n v="0"/>
    <n v="77200"/>
    <s v="NINGUNA"/>
    <x v="2"/>
    <n v="5"/>
    <n v="481929"/>
    <n v="3.9999999105930328E-2"/>
    <n v="19300"/>
    <n v="0"/>
    <m/>
    <n v="0"/>
    <m/>
    <n v="0"/>
    <s v="NINGUNA"/>
    <x v="0"/>
    <n v="5"/>
    <n v="481929"/>
    <n v="0"/>
    <s v="5"/>
    <s v="CENTRO TRABAJO 30"/>
    <s v="5711001"/>
    <n v="0"/>
    <n v="5"/>
    <x v="1"/>
    <n v="481929"/>
    <n v="3.9999999105930328E-2"/>
    <n v="19300"/>
    <n v="0"/>
    <n v="0"/>
    <n v="0"/>
    <n v="0"/>
    <n v="0"/>
    <n v="0"/>
    <n v="0"/>
    <n v="0"/>
    <n v="0"/>
    <s v="SI"/>
    <s v=" "/>
    <s v="                "/>
  </r>
  <r>
    <x v="1"/>
    <s v="CC"/>
    <x v="145"/>
    <x v="145"/>
    <s v="ANDRADE"/>
    <s v="MUNERA"/>
    <s v="JESUS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75"/>
    <n v="46077"/>
    <s v="NO"/>
    <m/>
    <m/>
    <s v="NO"/>
    <m/>
    <m/>
    <s v="NO"/>
    <s v="NO"/>
    <m/>
    <m/>
    <n v="0"/>
    <m/>
    <m/>
    <s v="NO"/>
    <n v="2891569"/>
    <s v="NO"/>
    <s v="NO"/>
    <x v="0"/>
    <n v="3"/>
    <n v="351391"/>
    <n v="0.15999999642372131"/>
    <n v="56300"/>
    <s v="Sin Riesgo"/>
    <n v="0"/>
    <n v="0"/>
    <n v="0"/>
    <n v="0"/>
    <n v="0"/>
    <n v="56300"/>
    <s v="NINGUNA"/>
    <x v="2"/>
    <n v="3"/>
    <n v="351391"/>
    <n v="3.9999999105930328E-2"/>
    <n v="14100"/>
    <n v="0"/>
    <m/>
    <n v="0"/>
    <m/>
    <n v="0"/>
    <s v="NINGUNA"/>
    <x v="0"/>
    <n v="3"/>
    <n v="351391"/>
    <n v="0"/>
    <s v="5"/>
    <s v="CENTRO TRABAJO 30"/>
    <s v="5711001"/>
    <n v="0"/>
    <n v="3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45"/>
    <x v="145"/>
    <s v="ANDRADE"/>
    <s v="MUNERA"/>
    <s v="JESUS"/>
    <s v="ALBERTO"/>
    <s v="LA_GUAJIRA"/>
    <s v="RIOHACHA"/>
    <s v="1. DEPENDIENTE"/>
    <s v="NINGUNO"/>
    <n v="13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0"/>
    <n v="22"/>
    <n v="3381165"/>
    <n v="0.15999999642372131"/>
    <n v="541000"/>
    <s v="Sin Riesgo"/>
    <n v="0"/>
    <n v="0"/>
    <n v="0"/>
    <n v="0"/>
    <n v="0"/>
    <n v="541000"/>
    <s v="NINGUNA"/>
    <x v="2"/>
    <n v="22"/>
    <n v="3381165"/>
    <n v="3.9999999105930328E-2"/>
    <n v="135300"/>
    <n v="0"/>
    <m/>
    <n v="0"/>
    <m/>
    <n v="0"/>
    <s v="NINGUNA"/>
    <x v="0"/>
    <n v="22"/>
    <n v="3381165"/>
    <n v="6.9600000977516174E-2"/>
    <s v="5"/>
    <s v="CENTRO TRABAJO 30"/>
    <s v="5711001"/>
    <n v="235400"/>
    <n v="22"/>
    <x v="1"/>
    <n v="3381165"/>
    <n v="3.9999999105930328E-2"/>
    <n v="135300"/>
    <n v="0"/>
    <n v="0"/>
    <n v="0"/>
    <n v="0"/>
    <n v="0"/>
    <n v="0"/>
    <n v="0"/>
    <n v="0"/>
    <n v="0"/>
    <s v="SI"/>
    <s v=" "/>
    <s v="                "/>
  </r>
  <r>
    <x v="1"/>
    <s v="CC"/>
    <x v="146"/>
    <x v="146"/>
    <s v="CANTILLO"/>
    <s v="SANTOYA"/>
    <s v="JORGE"/>
    <s v="SAMIR"/>
    <s v="BOGOTA_D.E."/>
    <s v="BOGOTA"/>
    <s v="1. DEPENDIENTE"/>
    <s v="NINGUNO"/>
    <n v="22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0"/>
    <n v="3185978"/>
    <n v="0.15999999642372131"/>
    <n v="509800"/>
    <s v="Sin Riesgo"/>
    <n v="0"/>
    <n v="0"/>
    <n v="0"/>
    <n v="0"/>
    <n v="0"/>
    <n v="509800"/>
    <s v="NINGUNA"/>
    <x v="0"/>
    <n v="30"/>
    <n v="3185978"/>
    <n v="3.9999999105930328E-2"/>
    <n v="127500"/>
    <n v="0"/>
    <m/>
    <n v="0"/>
    <m/>
    <n v="0"/>
    <s v="NINGUNA"/>
    <x v="0"/>
    <n v="30"/>
    <n v="3185978"/>
    <n v="6.9600000977516174E-2"/>
    <s v="5"/>
    <s v="CENTRO TRABAJO 24"/>
    <s v="5711001"/>
    <n v="221800"/>
    <n v="30"/>
    <x v="0"/>
    <n v="3185978"/>
    <n v="3.9999999105930328E-2"/>
    <n v="127500"/>
    <n v="0"/>
    <n v="0"/>
    <n v="0"/>
    <n v="0"/>
    <n v="0"/>
    <n v="0"/>
    <n v="0"/>
    <n v="0"/>
    <n v="0"/>
    <s v="SI"/>
    <s v=" "/>
    <s v="                "/>
  </r>
  <r>
    <x v="1"/>
    <s v="CC"/>
    <x v="147"/>
    <x v="147"/>
    <s v="MERIÑO"/>
    <s v="MARTINEZ"/>
    <s v="SAMUEL"/>
    <s v="ENRIQU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6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"/>
    <n v="178560"/>
    <n v="0.15999999642372131"/>
    <n v="28600"/>
    <s v="Sin Riesgo"/>
    <n v="0"/>
    <n v="0"/>
    <n v="0"/>
    <n v="0"/>
    <n v="0"/>
    <n v="28600"/>
    <s v="NINGUNA"/>
    <x v="6"/>
    <n v="3"/>
    <n v="178560"/>
    <n v="0"/>
    <n v="0"/>
    <n v="0"/>
    <m/>
    <n v="0"/>
    <m/>
    <n v="0"/>
    <s v="NINGUNA"/>
    <x v="0"/>
    <n v="3"/>
    <n v="178560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47"/>
    <x v="147"/>
    <s v="MERIÑO"/>
    <s v="MARTINEZ"/>
    <s v="SAMUEL"/>
    <s v="ENRIQU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4"/>
    <n v="46065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"/>
    <n v="119040"/>
    <n v="0.15999999642372131"/>
    <n v="19100"/>
    <s v="Sin Riesgo"/>
    <n v="0"/>
    <n v="0"/>
    <n v="0"/>
    <n v="0"/>
    <n v="0"/>
    <n v="19100"/>
    <s v="NINGUNA"/>
    <x v="6"/>
    <n v="2"/>
    <n v="119040"/>
    <n v="0"/>
    <n v="0"/>
    <n v="0"/>
    <m/>
    <n v="0"/>
    <m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47"/>
    <x v="147"/>
    <s v="MERIÑO"/>
    <s v="MARTINEZ"/>
    <s v="SAMUEL"/>
    <s v="ENRIQUE"/>
    <s v="BOGOTA_D.E."/>
    <s v="BOGOTA"/>
    <s v="1. DEPENDIENTE"/>
    <s v="NINGUNO"/>
    <n v="64"/>
    <s v="NO"/>
    <s v="NO"/>
    <m/>
    <s v="NO"/>
    <m/>
    <s v="Todos los sistemas (ARL, AFP, CCF, EPS)"/>
    <n v="46065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7"/>
    <n v="1260481"/>
    <n v="0.15999999642372131"/>
    <n v="201700"/>
    <s v="Sin Riesgo"/>
    <n v="0"/>
    <n v="0"/>
    <n v="0"/>
    <n v="0"/>
    <n v="0"/>
    <n v="201700"/>
    <s v="NINGUNA"/>
    <x v="6"/>
    <n v="7"/>
    <n v="1260481"/>
    <n v="3.9999999105930328E-2"/>
    <n v="50500"/>
    <n v="0"/>
    <m/>
    <n v="0"/>
    <m/>
    <n v="0"/>
    <s v="NINGUNA"/>
    <x v="0"/>
    <n v="7"/>
    <n v="1260481"/>
    <n v="6.9600000977516174E-2"/>
    <s v="5"/>
    <s v="CENTRO TRABAJO 24"/>
    <s v="5711001"/>
    <n v="87800"/>
    <n v="7"/>
    <x v="0"/>
    <n v="1826773"/>
    <n v="3.9999999105930328E-2"/>
    <n v="73100"/>
    <n v="0"/>
    <n v="0"/>
    <n v="0"/>
    <n v="0"/>
    <n v="0"/>
    <n v="0"/>
    <n v="0"/>
    <n v="0"/>
    <n v="0"/>
    <s v="SI"/>
    <s v=" "/>
    <s v="                "/>
  </r>
  <r>
    <x v="1"/>
    <s v="CC"/>
    <x v="148"/>
    <x v="148"/>
    <s v="TORO"/>
    <s v="LADINO"/>
    <s v="MIGUEL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6384779"/>
    <s v="NO"/>
    <s v="NO"/>
    <x v="1"/>
    <n v="1"/>
    <n v="212826"/>
    <n v="0.15999999642372131"/>
    <n v="34100"/>
    <s v="Sin Riesgo"/>
    <n v="0"/>
    <n v="0"/>
    <n v="0"/>
    <n v="0"/>
    <n v="0"/>
    <n v="34100"/>
    <s v="NINGUNA"/>
    <x v="14"/>
    <n v="1"/>
    <n v="212826"/>
    <n v="3.9999999105930328E-2"/>
    <n v="8600"/>
    <n v="0"/>
    <m/>
    <n v="0"/>
    <m/>
    <n v="0"/>
    <s v="NINGUNA"/>
    <x v="0"/>
    <n v="1"/>
    <n v="212826"/>
    <n v="0"/>
    <s v="5"/>
    <s v="CENTRO TRABAJO 24"/>
    <s v="5711001"/>
    <n v="0"/>
    <n v="1"/>
    <x v="0"/>
    <n v="212826"/>
    <n v="3.9999999105930328E-2"/>
    <n v="8600"/>
    <n v="0"/>
    <n v="0"/>
    <n v="0"/>
    <n v="0"/>
    <n v="0"/>
    <n v="0"/>
    <n v="0"/>
    <n v="0"/>
    <n v="0"/>
    <s v="SI"/>
    <s v=" "/>
    <s v="                "/>
  </r>
  <r>
    <x v="1"/>
    <s v="CC"/>
    <x v="148"/>
    <x v="148"/>
    <s v="TORO"/>
    <s v="LADINO"/>
    <s v="MIGUEL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6384779"/>
    <s v="NO"/>
    <s v="NO"/>
    <x v="1"/>
    <n v="7"/>
    <n v="1489782"/>
    <n v="0.15999999642372131"/>
    <n v="238400"/>
    <s v="Sin Riesgo"/>
    <n v="0"/>
    <n v="0"/>
    <n v="0"/>
    <n v="0"/>
    <n v="0"/>
    <n v="238400"/>
    <s v="NINGUNA"/>
    <x v="14"/>
    <n v="7"/>
    <n v="1489782"/>
    <n v="3.9999999105930328E-2"/>
    <n v="59600"/>
    <n v="0"/>
    <m/>
    <n v="0"/>
    <m/>
    <n v="0"/>
    <s v="NINGUNA"/>
    <x v="0"/>
    <n v="7"/>
    <n v="1489782"/>
    <n v="0"/>
    <s v="5"/>
    <s v="CENTRO TRABAJO 24"/>
    <s v="5711001"/>
    <n v="0"/>
    <n v="7"/>
    <x v="0"/>
    <n v="1489782"/>
    <n v="3.9999999105930328E-2"/>
    <n v="59600"/>
    <n v="0"/>
    <n v="0"/>
    <n v="0"/>
    <n v="0"/>
    <n v="0"/>
    <n v="0"/>
    <n v="0"/>
    <n v="0"/>
    <n v="0"/>
    <s v="SI"/>
    <s v=" "/>
    <s v="                "/>
  </r>
  <r>
    <x v="1"/>
    <s v="CC"/>
    <x v="148"/>
    <x v="148"/>
    <s v="TORO"/>
    <s v="LADINO"/>
    <s v="MIGUEL"/>
    <s v="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1"/>
    <n v="22"/>
    <n v="4682172"/>
    <n v="0.15999999642372131"/>
    <n v="749200"/>
    <s v="Sin Riesgo"/>
    <n v="0"/>
    <n v="0"/>
    <n v="0"/>
    <n v="0"/>
    <n v="0"/>
    <n v="749200"/>
    <s v="NINGUNA"/>
    <x v="14"/>
    <n v="22"/>
    <n v="4682172"/>
    <n v="3.9999999105930328E-2"/>
    <n v="187300"/>
    <n v="0"/>
    <m/>
    <n v="0"/>
    <m/>
    <n v="0"/>
    <s v="NINGUNA"/>
    <x v="0"/>
    <n v="22"/>
    <n v="4682172"/>
    <n v="6.9600000977516174E-2"/>
    <s v="5"/>
    <s v="CENTRO TRABAJO 24"/>
    <s v="5711001"/>
    <n v="325900"/>
    <n v="22"/>
    <x v="0"/>
    <n v="4682172"/>
    <n v="3.9999999105930328E-2"/>
    <n v="187300"/>
    <n v="0"/>
    <n v="0"/>
    <n v="0"/>
    <n v="0"/>
    <n v="0"/>
    <n v="0"/>
    <n v="0"/>
    <n v="0"/>
    <n v="0"/>
    <s v="SI"/>
    <s v=" "/>
    <s v="                "/>
  </r>
  <r>
    <x v="1"/>
    <s v="CC"/>
    <x v="149"/>
    <x v="149"/>
    <s v="ORTIZ"/>
    <s v="VERA"/>
    <s v="ERVIN"/>
    <s v="ARLEY"/>
    <s v="BOGOTA_D.E."/>
    <s v="BOGOTA"/>
    <s v="1. DEPENDIENTE"/>
    <s v="NINGUNO"/>
    <n v="45"/>
    <s v="NO"/>
    <s v="NO"/>
    <m/>
    <s v="Todos los sistemas (ARL, AFP, CCF, EPS)"/>
    <n v="46074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0"/>
    <n v="10"/>
    <n v="704394"/>
    <n v="0.15999999642372131"/>
    <n v="112800"/>
    <s v="Sin Riesgo"/>
    <n v="0"/>
    <n v="0"/>
    <n v="0"/>
    <n v="0"/>
    <n v="0"/>
    <n v="112800"/>
    <s v="NINGUNA"/>
    <x v="4"/>
    <n v="10"/>
    <n v="704394"/>
    <n v="3.9999999105930328E-2"/>
    <n v="28200"/>
    <n v="0"/>
    <m/>
    <n v="0"/>
    <m/>
    <n v="0"/>
    <s v="NINGUNA"/>
    <x v="0"/>
    <n v="10"/>
    <n v="704394"/>
    <n v="6.9600000977516174E-2"/>
    <s v="5"/>
    <s v="CENTRO TRABAJO 24"/>
    <s v="5711001"/>
    <n v="49100"/>
    <n v="10"/>
    <x v="0"/>
    <n v="704394"/>
    <n v="3.9999999105930328E-2"/>
    <n v="28200"/>
    <n v="0"/>
    <n v="0"/>
    <n v="0"/>
    <n v="0"/>
    <n v="0"/>
    <n v="0"/>
    <n v="0"/>
    <n v="0"/>
    <n v="0"/>
    <s v="SI"/>
    <s v=" "/>
    <s v="                "/>
  </r>
  <r>
    <x v="1"/>
    <s v="CC"/>
    <x v="150"/>
    <x v="150"/>
    <s v="ASCANIO"/>
    <s v="MORA"/>
    <s v="YEISON"/>
    <s v="ALEXIS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SI"/>
    <x v="0"/>
    <n v="30"/>
    <n v="6384779"/>
    <n v="0.15999999642372131"/>
    <n v="1021600"/>
    <s v="Sin Riesgo"/>
    <n v="0"/>
    <n v="0"/>
    <n v="0"/>
    <n v="0"/>
    <n v="0"/>
    <n v="1021600"/>
    <s v="NINGUNA"/>
    <x v="0"/>
    <n v="30"/>
    <n v="6384779"/>
    <n v="3.9999999105930328E-2"/>
    <n v="255400"/>
    <n v="0"/>
    <m/>
    <n v="0"/>
    <m/>
    <n v="0"/>
    <s v="NINGUNA"/>
    <x v="0"/>
    <n v="30"/>
    <n v="6384779"/>
    <n v="6.9600000977516174E-2"/>
    <s v="5"/>
    <s v="CENTRO TRABAJO 24"/>
    <s v="5711001"/>
    <n v="444400"/>
    <n v="30"/>
    <x v="0"/>
    <n v="6384779"/>
    <n v="3.9999999105930328E-2"/>
    <n v="255400"/>
    <n v="0"/>
    <n v="0"/>
    <n v="0"/>
    <n v="0"/>
    <n v="0"/>
    <n v="0"/>
    <n v="0"/>
    <n v="0"/>
    <n v="0"/>
    <s v="SI"/>
    <s v=" "/>
    <s v="                "/>
  </r>
  <r>
    <x v="1"/>
    <s v="CC"/>
    <x v="151"/>
    <x v="151"/>
    <s v="CASTILLO"/>
    <s v="VALDES"/>
    <s v="JAIR"/>
    <s v=""/>
    <s v="BOGOTA_D.E."/>
    <s v="BOGOTA"/>
    <s v="1. DEPENDIENTE"/>
    <s v="NINGUNO"/>
    <n v="193"/>
    <s v="NO"/>
    <s v="NO"/>
    <m/>
    <s v="Todos los sistemas (ARL, AFP, CCF, EPS)"/>
    <n v="46055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2"/>
    <n v="29"/>
    <n v="3451039"/>
    <n v="0.15999999642372131"/>
    <n v="552200"/>
    <s v="Sin Riesgo"/>
    <n v="0"/>
    <n v="0"/>
    <n v="0"/>
    <n v="0"/>
    <n v="0"/>
    <n v="552200"/>
    <s v="NINGUNA"/>
    <x v="0"/>
    <n v="29"/>
    <n v="3451039"/>
    <n v="3.9999999105930328E-2"/>
    <n v="138100"/>
    <n v="0"/>
    <m/>
    <n v="0"/>
    <m/>
    <n v="0"/>
    <s v="NINGUNA"/>
    <x v="0"/>
    <n v="29"/>
    <n v="3451039"/>
    <n v="6.9600000977516174E-2"/>
    <s v="5"/>
    <s v="CENTRO TRABAJO 24"/>
    <s v="5711001"/>
    <n v="240200"/>
    <n v="29"/>
    <x v="0"/>
    <n v="3451039"/>
    <n v="3.9999999105930328E-2"/>
    <n v="138100"/>
    <n v="0"/>
    <n v="0"/>
    <n v="0"/>
    <n v="0"/>
    <n v="0"/>
    <n v="0"/>
    <n v="0"/>
    <n v="0"/>
    <n v="0"/>
    <s v="SI"/>
    <s v=" "/>
    <s v="                "/>
  </r>
  <r>
    <x v="1"/>
    <s v="CC"/>
    <x v="152"/>
    <x v="152"/>
    <s v="VERA"/>
    <s v="BENAVIDES"/>
    <s v="JHON"/>
    <s v="JADER"/>
    <s v="LA_GUAJIRA"/>
    <s v="RIOHACHA"/>
    <s v="1. DEPENDIENTE"/>
    <s v="NINGUNO"/>
    <n v="202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6"/>
    <n v="3148977"/>
    <n v="0.15999999642372131"/>
    <n v="503900"/>
    <s v="Sin Riesgo"/>
    <n v="0"/>
    <n v="0"/>
    <n v="0"/>
    <n v="0"/>
    <n v="0"/>
    <n v="503900"/>
    <s v="NINGUNA"/>
    <x v="0"/>
    <n v="26"/>
    <n v="3148977"/>
    <n v="3.9999999105930328E-2"/>
    <n v="126000"/>
    <n v="0"/>
    <m/>
    <n v="0"/>
    <m/>
    <n v="0"/>
    <s v="NINGUNA"/>
    <x v="0"/>
    <n v="26"/>
    <n v="3148977"/>
    <n v="6.9600000977516174E-2"/>
    <s v="5"/>
    <s v="CENTRO TRABAJO 30"/>
    <s v="5711001"/>
    <n v="219200"/>
    <n v="26"/>
    <x v="1"/>
    <n v="3559092"/>
    <n v="3.9999999105930328E-2"/>
    <n v="142400"/>
    <n v="0"/>
    <n v="0"/>
    <n v="0"/>
    <n v="0"/>
    <n v="0"/>
    <n v="0"/>
    <n v="0"/>
    <n v="0"/>
    <n v="0"/>
    <s v="SI"/>
    <s v=" "/>
    <s v="                "/>
  </r>
  <r>
    <x v="1"/>
    <s v="CC"/>
    <x v="153"/>
    <x v="153"/>
    <s v="MONTOYA"/>
    <s v="GAVIRIA"/>
    <s v="JORGE"/>
    <s v="ANDRES"/>
    <s v="BOGOTA_D.E."/>
    <s v="BOGOTA"/>
    <s v="1. DEPENDIENTE"/>
    <s v="NINGUNO"/>
    <n v="115"/>
    <s v="NO"/>
    <s v="NO"/>
    <m/>
    <s v="NO"/>
    <m/>
    <s v="Todos los sistemas (ARL, AFP, CCF, EPS)"/>
    <n v="4606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308750"/>
    <s v="NO"/>
    <s v="NO"/>
    <x v="2"/>
    <n v="13"/>
    <n v="1591541"/>
    <n v="0.15999999642372131"/>
    <n v="254700"/>
    <s v="Sin Riesgo"/>
    <n v="0"/>
    <n v="0"/>
    <n v="0"/>
    <n v="0"/>
    <n v="0"/>
    <n v="254700"/>
    <s v="NINGUNA"/>
    <x v="2"/>
    <n v="13"/>
    <n v="1591541"/>
    <n v="3.9999999105930328E-2"/>
    <n v="63700"/>
    <n v="0"/>
    <m/>
    <n v="0"/>
    <m/>
    <n v="0"/>
    <s v="NINGUNA"/>
    <x v="0"/>
    <n v="13"/>
    <n v="1591541"/>
    <n v="6.9600000977516174E-2"/>
    <s v="5"/>
    <s v="CENTRO TRABAJO 24"/>
    <s v="5711001"/>
    <n v="110800"/>
    <n v="13"/>
    <x v="0"/>
    <n v="2179740"/>
    <n v="3.9999999105930328E-2"/>
    <n v="87200"/>
    <n v="0"/>
    <n v="0"/>
    <n v="0"/>
    <n v="0"/>
    <n v="0"/>
    <n v="0"/>
    <n v="0"/>
    <n v="0"/>
    <n v="0"/>
    <s v="SI"/>
    <s v=" "/>
    <s v="                "/>
  </r>
  <r>
    <x v="1"/>
    <s v="CC"/>
    <x v="154"/>
    <x v="154"/>
    <s v="VIDAL"/>
    <s v="LOPEZ"/>
    <s v="EDILBERTO"/>
    <s v="JOSE"/>
    <s v="BOGOTA_D.E."/>
    <s v="BOGOTA"/>
    <s v="1. DEPENDIENTE"/>
    <s v="NINGUNO"/>
    <n v="118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5"/>
    <n v="2058492"/>
    <n v="0.15999999642372131"/>
    <n v="329400"/>
    <s v="Sin Riesgo"/>
    <n v="0"/>
    <n v="0"/>
    <n v="0"/>
    <n v="0"/>
    <n v="0"/>
    <n v="329400"/>
    <s v="NINGUNA"/>
    <x v="0"/>
    <n v="15"/>
    <n v="2058492"/>
    <n v="3.9999999105930328E-2"/>
    <n v="82400"/>
    <n v="0"/>
    <m/>
    <n v="0"/>
    <m/>
    <n v="0"/>
    <s v="NINGUNA"/>
    <x v="0"/>
    <n v="15"/>
    <n v="2058492"/>
    <n v="6.9600000977516174E-2"/>
    <s v="5"/>
    <s v="CENTRO TRABAJO 24"/>
    <s v="5711001"/>
    <n v="143300"/>
    <n v="15"/>
    <x v="0"/>
    <n v="2151588"/>
    <n v="3.9999999105930328E-2"/>
    <n v="86100"/>
    <n v="0"/>
    <n v="0"/>
    <n v="0"/>
    <n v="0"/>
    <n v="0"/>
    <n v="0"/>
    <n v="0"/>
    <n v="0"/>
    <n v="0"/>
    <s v="SI"/>
    <s v=" "/>
    <s v="                "/>
  </r>
  <r>
    <x v="1"/>
    <s v="CC"/>
    <x v="155"/>
    <x v="155"/>
    <s v="RAMIREZ"/>
    <s v="OSPINA"/>
    <s v="JULIAN"/>
    <s v="ADOLFO"/>
    <s v="BOGOTA_D.E."/>
    <s v="BOGOTA"/>
    <s v="1. DEPENDIENTE"/>
    <s v="NINGUNO"/>
    <n v="20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0"/>
    <n v="2811127"/>
    <n v="0.15999999642372131"/>
    <n v="449800"/>
    <s v="Sin Riesgo"/>
    <n v="0"/>
    <n v="0"/>
    <n v="0"/>
    <n v="0"/>
    <n v="0"/>
    <n v="449800"/>
    <s v="NINGUNA"/>
    <x v="2"/>
    <n v="30"/>
    <n v="2811127"/>
    <n v="3.9999999105930328E-2"/>
    <n v="112500"/>
    <n v="0"/>
    <m/>
    <n v="0"/>
    <m/>
    <n v="0"/>
    <s v="NINGUNA"/>
    <x v="0"/>
    <n v="30"/>
    <n v="2811127"/>
    <n v="6.9600000977516174E-2"/>
    <s v="5"/>
    <s v="CENTRO TRABAJO 24"/>
    <s v="5711001"/>
    <n v="195700"/>
    <n v="30"/>
    <x v="0"/>
    <n v="2811127"/>
    <n v="3.9999999105930328E-2"/>
    <n v="112500"/>
    <n v="0"/>
    <n v="0"/>
    <n v="0"/>
    <n v="0"/>
    <n v="0"/>
    <n v="0"/>
    <n v="0"/>
    <n v="0"/>
    <n v="0"/>
    <s v="SI"/>
    <s v=" "/>
    <s v="                "/>
  </r>
  <r>
    <x v="1"/>
    <s v="CC"/>
    <x v="156"/>
    <x v="156"/>
    <s v="MARIN"/>
    <s v="FERREIRA"/>
    <s v="NINI"/>
    <s v="JOHANN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6"/>
    <n v="46061"/>
    <s v="NO"/>
    <s v="NO"/>
    <m/>
    <m/>
    <n v="0"/>
    <m/>
    <m/>
    <s v="NO"/>
    <n v="8569658"/>
    <s v="NO"/>
    <s v="NO"/>
    <x v="0"/>
    <n v="6"/>
    <n v="1776815"/>
    <n v="0.15999999642372131"/>
    <n v="284300"/>
    <s v="Sin Riesgo"/>
    <n v="0"/>
    <n v="0"/>
    <n v="8900"/>
    <n v="8900"/>
    <n v="0"/>
    <n v="302100"/>
    <s v="NINGUNA"/>
    <x v="2"/>
    <n v="6"/>
    <n v="1776815"/>
    <n v="3.9999999105930328E-2"/>
    <n v="71100"/>
    <n v="0"/>
    <m/>
    <n v="0"/>
    <m/>
    <n v="0"/>
    <s v="NINGUNA"/>
    <x v="0"/>
    <n v="6"/>
    <n v="1776815"/>
    <n v="0"/>
    <s v="1"/>
    <s v="CENTRO TRABAJO 24"/>
    <s v="1711001"/>
    <n v="0"/>
    <n v="6"/>
    <x v="0"/>
    <n v="1713932"/>
    <n v="3.9999999105930328E-2"/>
    <n v="68600"/>
    <n v="0"/>
    <n v="0"/>
    <n v="0"/>
    <n v="0"/>
    <n v="0"/>
    <n v="0"/>
    <n v="0"/>
    <n v="0"/>
    <n v="0"/>
    <s v="SI"/>
    <s v=" "/>
    <s v="                "/>
  </r>
  <r>
    <x v="1"/>
    <s v="CC"/>
    <x v="156"/>
    <x v="156"/>
    <s v="MARIN"/>
    <s v="FERREIRA"/>
    <s v="NINI"/>
    <s v="JOHANNA"/>
    <s v="BOGOTA_D.E."/>
    <s v="BOGOTA"/>
    <s v="1. DEPENDIENTE"/>
    <s v="NINGUNO"/>
    <n v="14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8569658"/>
    <s v="NO"/>
    <s v="NO"/>
    <x v="0"/>
    <n v="24"/>
    <n v="6855727"/>
    <n v="0.15999999642372131"/>
    <n v="1097000"/>
    <s v="Sin Riesgo"/>
    <n v="0"/>
    <n v="0"/>
    <n v="34300"/>
    <n v="34300"/>
    <n v="0"/>
    <n v="1165600"/>
    <s v="NINGUNA"/>
    <x v="2"/>
    <n v="24"/>
    <n v="6855727"/>
    <n v="3.9999999105930328E-2"/>
    <n v="274300"/>
    <n v="0"/>
    <m/>
    <n v="0"/>
    <m/>
    <n v="0"/>
    <s v="NINGUNA"/>
    <x v="0"/>
    <n v="24"/>
    <n v="6855727"/>
    <n v="5.2200001664459705E-3"/>
    <s v="1"/>
    <s v="CENTRO TRABAJO 24"/>
    <s v="1711001"/>
    <n v="35800"/>
    <n v="24"/>
    <x v="0"/>
    <n v="6855727"/>
    <n v="3.9999999105930328E-2"/>
    <n v="274300"/>
    <n v="0"/>
    <n v="0"/>
    <n v="0"/>
    <n v="0"/>
    <n v="0"/>
    <n v="0"/>
    <n v="0"/>
    <n v="0"/>
    <n v="0"/>
    <s v="SI"/>
    <s v=" "/>
    <s v="                "/>
  </r>
  <r>
    <x v="1"/>
    <s v="CC"/>
    <x v="157"/>
    <x v="157"/>
    <s v="SANDOVAL"/>
    <s v="SUAREZ"/>
    <s v="ANDRES"/>
    <s v="CAMIL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484143"/>
    <s v="NO"/>
    <s v="NO"/>
    <x v="0"/>
    <n v="30"/>
    <n v="4493062"/>
    <n v="0.15999999642372131"/>
    <n v="718900"/>
    <s v="Sin Riesgo"/>
    <n v="0"/>
    <n v="0"/>
    <n v="0"/>
    <n v="0"/>
    <n v="0"/>
    <n v="718900"/>
    <s v="NINGUNA"/>
    <x v="9"/>
    <n v="30"/>
    <n v="4493062"/>
    <n v="3.9999999105930328E-2"/>
    <n v="179800"/>
    <n v="0"/>
    <m/>
    <n v="0"/>
    <m/>
    <n v="0"/>
    <s v="NINGUNA"/>
    <x v="0"/>
    <n v="30"/>
    <n v="4493062"/>
    <n v="6.9600000977516174E-2"/>
    <s v="5"/>
    <s v="CENTRO TRABAJO 24"/>
    <s v="5711001"/>
    <n v="312800"/>
    <n v="30"/>
    <x v="0"/>
    <n v="4484143"/>
    <n v="3.9999999105930328E-2"/>
    <n v="179400"/>
    <n v="0"/>
    <n v="0"/>
    <n v="0"/>
    <n v="0"/>
    <n v="0"/>
    <n v="0"/>
    <n v="0"/>
    <n v="0"/>
    <n v="0"/>
    <s v="SI"/>
    <s v=" "/>
    <s v="                "/>
  </r>
  <r>
    <x v="1"/>
    <s v="CC"/>
    <x v="158"/>
    <x v="158"/>
    <s v="SALAMANCA"/>
    <s v="URREGO"/>
    <s v="RAUL"/>
    <s v="STIDWA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5999999642372131"/>
    <n v="18700"/>
    <s v="Sin Riesgo"/>
    <n v="0"/>
    <n v="0"/>
    <n v="0"/>
    <n v="0"/>
    <n v="0"/>
    <n v="18700"/>
    <s v="NINGUNA"/>
    <x v="0"/>
    <n v="2"/>
    <n v="116727"/>
    <n v="0"/>
    <n v="0"/>
    <n v="0"/>
    <m/>
    <n v="0"/>
    <m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58"/>
    <x v="158"/>
    <s v="SALAMANCA"/>
    <s v="URREGO"/>
    <s v="RAUL"/>
    <s v="STIDWA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5"/>
    <n v="46055"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0"/>
    <n v="1"/>
    <n v="58364"/>
    <n v="3.9999999105930328E-2"/>
    <n v="2400"/>
    <n v="0"/>
    <m/>
    <n v="0"/>
    <m/>
    <n v="0"/>
    <s v="NINGUNA"/>
    <x v="0"/>
    <n v="1"/>
    <n v="58364"/>
    <n v="0"/>
    <s v="5"/>
    <s v="CENTRO TRABAJO 24"/>
    <s v="5711001"/>
    <n v="0"/>
    <n v="1"/>
    <x v="0"/>
    <n v="58364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158"/>
    <x v="158"/>
    <s v="SALAMANCA"/>
    <s v="URREGO"/>
    <s v="RAUL"/>
    <s v="STIDWA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7"/>
    <n v="46058"/>
    <s v="NO"/>
    <m/>
    <m/>
    <s v="NO"/>
    <m/>
    <m/>
    <s v="NO"/>
    <s v="NO"/>
    <m/>
    <m/>
    <n v="0"/>
    <m/>
    <m/>
    <s v="NO"/>
    <n v="1750905"/>
    <s v="NO"/>
    <s v="NO"/>
    <x v="0"/>
    <n v="2"/>
    <n v="122540"/>
    <n v="0.15999999642372131"/>
    <n v="19700"/>
    <s v="Sin Riesgo"/>
    <n v="0"/>
    <n v="0"/>
    <n v="0"/>
    <n v="0"/>
    <n v="0"/>
    <n v="19700"/>
    <s v="NINGUNA"/>
    <x v="0"/>
    <n v="2"/>
    <n v="122540"/>
    <n v="3.9999999105930328E-2"/>
    <n v="5000"/>
    <n v="0"/>
    <m/>
    <n v="0"/>
    <m/>
    <n v="0"/>
    <s v="NINGUNA"/>
    <x v="0"/>
    <n v="2"/>
    <n v="1225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58"/>
    <x v="158"/>
    <s v="SALAMANCA"/>
    <s v="URREGO"/>
    <s v="RAUL"/>
    <s v="STIDWA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0"/>
    <n v="1"/>
    <n v="58364"/>
    <n v="0"/>
    <n v="0"/>
    <n v="0"/>
    <m/>
    <n v="0"/>
    <m/>
    <n v="0"/>
    <s v="NINGUNA"/>
    <x v="0"/>
    <n v="1"/>
    <n v="583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58"/>
    <x v="158"/>
    <s v="SALAMANCA"/>
    <s v="URREGO"/>
    <s v="RAUL"/>
    <s v="STIDWAR"/>
    <s v="BOGOTA_D.E."/>
    <s v="BOGOTA"/>
    <s v="1. DEPENDIENTE"/>
    <s v="NINGUNO"/>
    <n v="15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4"/>
    <n v="1749313"/>
    <n v="0.15999999642372131"/>
    <n v="279900"/>
    <s v="Sin Riesgo"/>
    <n v="0"/>
    <n v="0"/>
    <n v="0"/>
    <n v="0"/>
    <n v="0"/>
    <n v="279900"/>
    <s v="NINGUNA"/>
    <x v="0"/>
    <n v="24"/>
    <n v="1749313"/>
    <n v="3.9999999105930328E-2"/>
    <n v="70000"/>
    <n v="0"/>
    <m/>
    <n v="0"/>
    <m/>
    <n v="0"/>
    <s v="NINGUNA"/>
    <x v="0"/>
    <n v="24"/>
    <n v="1749313"/>
    <n v="6.9600000977516174E-2"/>
    <s v="5"/>
    <s v="CENTRO TRABAJO 24"/>
    <s v="5711001"/>
    <n v="121800"/>
    <n v="24"/>
    <x v="0"/>
    <n v="1749314"/>
    <n v="3.9999999105930328E-2"/>
    <n v="70000"/>
    <n v="0"/>
    <n v="0"/>
    <n v="0"/>
    <n v="0"/>
    <n v="0"/>
    <n v="0"/>
    <n v="0"/>
    <n v="0"/>
    <n v="0"/>
    <s v="SI"/>
    <s v=" "/>
    <s v="                "/>
  </r>
  <r>
    <x v="1"/>
    <s v="CC"/>
    <x v="159"/>
    <x v="159"/>
    <s v="HOMEZ"/>
    <s v="GONZALEZ"/>
    <s v="JUAN"/>
    <s v="MARTIN"/>
    <s v="BOGOTA_D.E."/>
    <s v="BOGOTA"/>
    <s v="1. DEPENDIENTE"/>
    <s v="NINGUNO"/>
    <n v="191"/>
    <s v="NO"/>
    <s v="NO"/>
    <m/>
    <s v="Todos los sistemas (ARL, AFP, CCF, EPS)"/>
    <n v="46057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7"/>
    <n v="2155604"/>
    <n v="0.15999999642372131"/>
    <n v="344900"/>
    <s v="Sin Riesgo"/>
    <n v="0"/>
    <n v="0"/>
    <n v="0"/>
    <n v="0"/>
    <n v="0"/>
    <n v="344900"/>
    <s v="NINGUNA"/>
    <x v="9"/>
    <n v="27"/>
    <n v="2155604"/>
    <n v="3.9999999105930328E-2"/>
    <n v="86300"/>
    <n v="0"/>
    <m/>
    <n v="0"/>
    <m/>
    <n v="0"/>
    <s v="NINGUNA"/>
    <x v="0"/>
    <n v="27"/>
    <n v="2155604"/>
    <n v="6.9600000977516174E-2"/>
    <s v="5"/>
    <s v="CENTRO TRABAJO 24"/>
    <s v="5711001"/>
    <n v="150100"/>
    <n v="27"/>
    <x v="0"/>
    <n v="2155604"/>
    <n v="3.9999999105930328E-2"/>
    <n v="86300"/>
    <n v="0"/>
    <n v="0"/>
    <n v="0"/>
    <n v="0"/>
    <n v="0"/>
    <n v="0"/>
    <n v="0"/>
    <n v="0"/>
    <n v="0"/>
    <s v="SI"/>
    <s v=" "/>
    <s v="                "/>
  </r>
  <r>
    <x v="1"/>
    <s v="CC"/>
    <x v="160"/>
    <x v="160"/>
    <s v="BEJARANO"/>
    <s v="PEREZ"/>
    <s v="WILBER"/>
    <s v="FERLEY"/>
    <s v="BOGOTA_D.E."/>
    <s v="BOGOTA"/>
    <s v="1. DEPENDIENTE"/>
    <s v="NINGUNO"/>
    <n v="201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102789"/>
    <s v="NO"/>
    <s v="NO"/>
    <x v="0"/>
    <n v="30"/>
    <n v="2353691"/>
    <n v="0.15999999642372131"/>
    <n v="376600"/>
    <s v="Sin Riesgo"/>
    <n v="0"/>
    <n v="0"/>
    <n v="0"/>
    <n v="0"/>
    <n v="0"/>
    <n v="376600"/>
    <s v="NINGUNA"/>
    <x v="0"/>
    <n v="30"/>
    <n v="2353691"/>
    <n v="3.9999999105930328E-2"/>
    <n v="94200"/>
    <n v="0"/>
    <m/>
    <n v="0"/>
    <m/>
    <n v="0"/>
    <s v="NINGUNA"/>
    <x v="0"/>
    <n v="30"/>
    <n v="2353691"/>
    <n v="6.9600000977516174E-2"/>
    <s v="5"/>
    <s v="CENTRO TRABAJO 24"/>
    <s v="5711001"/>
    <n v="163900"/>
    <n v="30"/>
    <x v="0"/>
    <n v="2353691"/>
    <n v="3.9999999105930328E-2"/>
    <n v="94200"/>
    <n v="0"/>
    <n v="0"/>
    <n v="0"/>
    <n v="0"/>
    <n v="0"/>
    <n v="0"/>
    <n v="0"/>
    <n v="0"/>
    <n v="0"/>
    <s v="SI"/>
    <s v=" "/>
    <s v="                "/>
  </r>
  <r>
    <x v="1"/>
    <s v="CC"/>
    <x v="161"/>
    <x v="161"/>
    <s v="TANGARIFE"/>
    <s v="OJEDA"/>
    <s v="WILDER"/>
    <s v="JAVIER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5967083"/>
    <s v="NO"/>
    <s v="NO"/>
    <x v="0"/>
    <n v="30"/>
    <n v="5967083"/>
    <n v="0.15999999642372131"/>
    <n v="954800"/>
    <s v="Sin Riesgo"/>
    <n v="0"/>
    <n v="0"/>
    <n v="0"/>
    <n v="0"/>
    <n v="0"/>
    <n v="954800"/>
    <s v="NINGUNA"/>
    <x v="3"/>
    <n v="30"/>
    <n v="5967083"/>
    <n v="3.9999999105930328E-2"/>
    <n v="238700"/>
    <n v="0"/>
    <m/>
    <n v="0"/>
    <m/>
    <n v="0"/>
    <s v="NINGUNA"/>
    <x v="0"/>
    <n v="30"/>
    <n v="5967083"/>
    <n v="6.9600000977516174E-2"/>
    <s v="5"/>
    <s v="CENTRO TRABAJO 24"/>
    <s v="5711001"/>
    <n v="415400"/>
    <n v="30"/>
    <x v="0"/>
    <n v="5967083"/>
    <n v="3.9999999105930328E-2"/>
    <n v="238700"/>
    <n v="0"/>
    <n v="0"/>
    <n v="0"/>
    <n v="0"/>
    <n v="0"/>
    <n v="0"/>
    <n v="0"/>
    <n v="0"/>
    <n v="0"/>
    <s v="SI"/>
    <s v=" "/>
    <s v="                "/>
  </r>
  <r>
    <x v="1"/>
    <s v="CC"/>
    <x v="162"/>
    <x v="162"/>
    <s v="ROMERO"/>
    <s v="ARIAS"/>
    <s v="CRISTIAN"/>
    <s v="HAROL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4151984"/>
    <s v="NO"/>
    <s v="SI"/>
    <x v="2"/>
    <n v="30"/>
    <n v="4151984"/>
    <n v="0.15999999642372131"/>
    <n v="664400"/>
    <s v="Sin Riesgo"/>
    <n v="0"/>
    <n v="0"/>
    <n v="0"/>
    <n v="0"/>
    <n v="0"/>
    <n v="664400"/>
    <s v="NINGUNA"/>
    <x v="10"/>
    <n v="30"/>
    <n v="4151984"/>
    <n v="3.9999999105930328E-2"/>
    <n v="166100"/>
    <n v="0"/>
    <m/>
    <n v="0"/>
    <m/>
    <n v="0"/>
    <s v="NINGUNA"/>
    <x v="0"/>
    <n v="30"/>
    <n v="4151984"/>
    <n v="6.9600000977516174E-2"/>
    <s v="5"/>
    <s v="CENTRO TRABAJO 24"/>
    <s v="5711001"/>
    <n v="289000"/>
    <n v="30"/>
    <x v="0"/>
    <n v="4151984"/>
    <n v="3.9999999105930328E-2"/>
    <n v="166100"/>
    <n v="0"/>
    <n v="0"/>
    <n v="0"/>
    <n v="0"/>
    <n v="0"/>
    <n v="0"/>
    <n v="0"/>
    <n v="0"/>
    <n v="0"/>
    <s v="SI"/>
    <s v=" "/>
    <s v="                "/>
  </r>
  <r>
    <x v="1"/>
    <s v="CC"/>
    <x v="163"/>
    <x v="163"/>
    <s v="SERRATO"/>
    <s v="ARIAS"/>
    <s v="WILLIAM"/>
    <s v="ALEXANDER"/>
    <s v="BOGOTA_D.E."/>
    <s v="BOGOTA"/>
    <s v="1. DEPENDIENTE"/>
    <s v="NINGUNO"/>
    <n v="19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534205"/>
    <s v="NO"/>
    <s v="NO"/>
    <x v="0"/>
    <n v="30"/>
    <n v="3679590"/>
    <n v="0.15999999642372131"/>
    <n v="588800"/>
    <s v="Sin Riesgo"/>
    <n v="0"/>
    <n v="0"/>
    <n v="0"/>
    <n v="0"/>
    <n v="0"/>
    <n v="588800"/>
    <s v="NINGUNA"/>
    <x v="0"/>
    <n v="30"/>
    <n v="3679590"/>
    <n v="3.9999999105930328E-2"/>
    <n v="147200"/>
    <n v="0"/>
    <m/>
    <n v="0"/>
    <m/>
    <n v="0"/>
    <s v="NINGUNA"/>
    <x v="0"/>
    <n v="30"/>
    <n v="3679590"/>
    <n v="6.9600000977516174E-2"/>
    <s v="5"/>
    <s v="CENTRO TRABAJO 24"/>
    <s v="5711001"/>
    <n v="256100"/>
    <n v="30"/>
    <x v="0"/>
    <n v="3679590"/>
    <n v="3.9999999105930328E-2"/>
    <n v="147200"/>
    <n v="0"/>
    <n v="0"/>
    <n v="0"/>
    <n v="0"/>
    <n v="0"/>
    <n v="0"/>
    <n v="0"/>
    <n v="0"/>
    <n v="0"/>
    <s v="SI"/>
    <s v=" "/>
    <s v="                "/>
  </r>
  <r>
    <x v="1"/>
    <s v="CC"/>
    <x v="164"/>
    <x v="164"/>
    <s v="DIAZ"/>
    <s v="HERRERA"/>
    <s v="FABER"/>
    <s v="ANDREY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4"/>
    <s v="NO"/>
    <s v="NO"/>
    <m/>
    <m/>
    <n v="0"/>
    <m/>
    <m/>
    <s v="NO"/>
    <n v="4484143"/>
    <s v="NO"/>
    <s v="NO"/>
    <x v="0"/>
    <n v="6"/>
    <n v="896829"/>
    <n v="0.15999999642372131"/>
    <n v="143500"/>
    <s v="Sin Riesgo"/>
    <n v="0"/>
    <n v="0"/>
    <n v="0"/>
    <n v="0"/>
    <n v="0"/>
    <n v="143500"/>
    <s v="NINGUNA"/>
    <x v="3"/>
    <n v="6"/>
    <n v="896829"/>
    <n v="3.9999999105930328E-2"/>
    <n v="35900"/>
    <n v="0"/>
    <m/>
    <n v="0"/>
    <m/>
    <n v="0"/>
    <s v="NINGUNA"/>
    <x v="0"/>
    <n v="6"/>
    <n v="896829"/>
    <n v="0"/>
    <s v="5"/>
    <s v="CENTRO TRABAJO 24"/>
    <s v="5711001"/>
    <n v="0"/>
    <n v="6"/>
    <x v="0"/>
    <n v="896829"/>
    <n v="3.9999999105930328E-2"/>
    <n v="35900"/>
    <n v="0"/>
    <n v="0"/>
    <n v="0"/>
    <n v="0"/>
    <n v="0"/>
    <n v="0"/>
    <n v="0"/>
    <n v="0"/>
    <n v="0"/>
    <s v="SI"/>
    <s v=" "/>
    <s v="                "/>
  </r>
  <r>
    <x v="1"/>
    <s v="CC"/>
    <x v="164"/>
    <x v="164"/>
    <s v="DIAZ"/>
    <s v="HERRERA"/>
    <s v="FABER"/>
    <s v="ANDREY"/>
    <s v="BOGOTA_D.E."/>
    <s v="BOGOTA"/>
    <s v="1. DEPENDIENTE"/>
    <s v="NINGUNO"/>
    <n v="117"/>
    <s v="NO"/>
    <s v="NO"/>
    <m/>
    <s v="NO"/>
    <m/>
    <s v="Todos los sistemas (ARL, AFP, CCF, EPS)"/>
    <n v="46078"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484143"/>
    <s v="NO"/>
    <s v="NO"/>
    <x v="0"/>
    <n v="19"/>
    <n v="3022149"/>
    <n v="0.15999999642372131"/>
    <n v="483600"/>
    <s v="Sin Riesgo"/>
    <n v="0"/>
    <n v="0"/>
    <n v="0"/>
    <n v="0"/>
    <n v="0"/>
    <n v="483600"/>
    <s v="NINGUNA"/>
    <x v="3"/>
    <n v="19"/>
    <n v="3022149"/>
    <n v="3.9999999105930328E-2"/>
    <n v="120900"/>
    <n v="0"/>
    <m/>
    <n v="0"/>
    <m/>
    <n v="0"/>
    <s v="NINGUNA"/>
    <x v="0"/>
    <n v="19"/>
    <n v="3022149"/>
    <n v="6.9600000977516174E-2"/>
    <s v="5"/>
    <s v="CENTRO TRABAJO 24"/>
    <s v="5711001"/>
    <n v="210400"/>
    <n v="19"/>
    <x v="0"/>
    <n v="3786111"/>
    <n v="3.9999999105930328E-2"/>
    <n v="151500"/>
    <n v="0"/>
    <n v="0"/>
    <n v="0"/>
    <n v="0"/>
    <n v="0"/>
    <n v="0"/>
    <n v="0"/>
    <n v="0"/>
    <n v="0"/>
    <s v="SI"/>
    <s v=" "/>
    <s v="                "/>
  </r>
  <r>
    <x v="1"/>
    <s v="CC"/>
    <x v="165"/>
    <x v="165"/>
    <s v="MORENO"/>
    <s v="DUCUARA"/>
    <s v="ONEIDER"/>
    <s v=""/>
    <s v="BOGOTA_D.E."/>
    <s v="BOGOTA"/>
    <s v="1. DEPENDIENTE"/>
    <s v="NINGUNO"/>
    <n v="20"/>
    <s v="NO"/>
    <s v="NO"/>
    <m/>
    <s v="NO"/>
    <m/>
    <s v="Todos los sistemas (ARL, AFP, CCF, EPS)"/>
    <n v="46055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0"/>
    <n v="2"/>
    <n v="399183"/>
    <n v="0.15999999642372131"/>
    <n v="63900"/>
    <s v="Sin Riesgo"/>
    <n v="0"/>
    <n v="0"/>
    <n v="0"/>
    <n v="0"/>
    <n v="0"/>
    <n v="63900"/>
    <s v="NINGUNA"/>
    <x v="10"/>
    <n v="2"/>
    <n v="399183"/>
    <n v="3.9999999105930328E-2"/>
    <n v="16000"/>
    <n v="0"/>
    <m/>
    <n v="0"/>
    <m/>
    <n v="0"/>
    <s v="NINGUNA"/>
    <x v="0"/>
    <n v="2"/>
    <n v="399183"/>
    <n v="6.9600000977516174E-2"/>
    <s v="5"/>
    <s v="CENTRO TRABAJO 24"/>
    <s v="5711001"/>
    <n v="27800"/>
    <n v="2"/>
    <x v="0"/>
    <n v="545054"/>
    <n v="3.9999999105930328E-2"/>
    <n v="21900"/>
    <n v="0"/>
    <n v="0"/>
    <n v="0"/>
    <n v="0"/>
    <n v="0"/>
    <n v="0"/>
    <n v="0"/>
    <n v="0"/>
    <n v="0"/>
    <s v="SI"/>
    <s v=" "/>
    <s v="                "/>
  </r>
  <r>
    <x v="1"/>
    <s v="CC"/>
    <x v="166"/>
    <x v="166"/>
    <s v="MOSCOTE"/>
    <s v="CASTRO"/>
    <s v="EFREN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62"/>
    <s v="NO"/>
    <s v="NO"/>
    <m/>
    <m/>
    <n v="0"/>
    <m/>
    <m/>
    <s v="NO"/>
    <n v="2074908"/>
    <s v="NO"/>
    <s v="NO"/>
    <x v="0"/>
    <n v="5"/>
    <n v="345818"/>
    <n v="0.15999999642372131"/>
    <n v="55400"/>
    <s v="Sin Riesgo"/>
    <n v="0"/>
    <n v="0"/>
    <n v="0"/>
    <n v="0"/>
    <n v="0"/>
    <n v="55400"/>
    <s v="NINGUNA"/>
    <x v="0"/>
    <n v="5"/>
    <n v="345818"/>
    <n v="3.9999999105930328E-2"/>
    <n v="13900"/>
    <n v="0"/>
    <m/>
    <n v="0"/>
    <m/>
    <n v="0"/>
    <s v="NINGUNA"/>
    <x v="0"/>
    <n v="5"/>
    <n v="345818"/>
    <n v="0"/>
    <s v="5"/>
    <s v="CENTRO TRABAJO 30"/>
    <s v="5711001"/>
    <n v="0"/>
    <n v="5"/>
    <x v="1"/>
    <n v="345818"/>
    <n v="3.9999999105930328E-2"/>
    <n v="13900"/>
    <n v="0"/>
    <n v="0"/>
    <n v="0"/>
    <n v="0"/>
    <n v="0"/>
    <n v="0"/>
    <n v="0"/>
    <n v="0"/>
    <n v="0"/>
    <s v="SI"/>
    <s v=" "/>
    <s v="                "/>
  </r>
  <r>
    <x v="1"/>
    <s v="CC"/>
    <x v="166"/>
    <x v="166"/>
    <s v="MOSCOTE"/>
    <s v="CASTRO"/>
    <s v="EFREN"/>
    <s v=""/>
    <s v="LA_GUAJIRA"/>
    <s v="RIOHACHA"/>
    <s v="1. DEPENDIENTE"/>
    <s v="NINGUNO"/>
    <n v="17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25"/>
    <n v="1971005"/>
    <n v="0.15999999642372131"/>
    <n v="315400"/>
    <s v="Sin Riesgo"/>
    <n v="0"/>
    <n v="0"/>
    <n v="0"/>
    <n v="0"/>
    <n v="0"/>
    <n v="315400"/>
    <s v="NINGUNA"/>
    <x v="0"/>
    <n v="25"/>
    <n v="1971005"/>
    <n v="3.9999999105930328E-2"/>
    <n v="78900"/>
    <n v="0"/>
    <m/>
    <n v="0"/>
    <m/>
    <n v="0"/>
    <s v="NINGUNA"/>
    <x v="0"/>
    <n v="25"/>
    <n v="1971005"/>
    <n v="6.9600000977516174E-2"/>
    <s v="5"/>
    <s v="CENTRO TRABAJO 30"/>
    <s v="5711001"/>
    <n v="137200"/>
    <n v="25"/>
    <x v="1"/>
    <n v="1971005"/>
    <n v="3.9999999105930328E-2"/>
    <n v="78900"/>
    <n v="0"/>
    <n v="0"/>
    <n v="0"/>
    <n v="0"/>
    <n v="0"/>
    <n v="0"/>
    <n v="0"/>
    <n v="0"/>
    <n v="0"/>
    <s v="SI"/>
    <s v=" "/>
    <s v="                "/>
  </r>
  <r>
    <x v="1"/>
    <s v="CC"/>
    <x v="167"/>
    <x v="167"/>
    <s v="SANDOVAL"/>
    <s v="ZAPATEIRO"/>
    <s v="HENRRY"/>
    <s v="ALEXAND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1"/>
    <n v="58364"/>
    <n v="0.15999999642372131"/>
    <n v="9400"/>
    <s v="Sin Riesgo"/>
    <n v="0"/>
    <n v="0"/>
    <n v="0"/>
    <n v="0"/>
    <n v="0"/>
    <n v="9400"/>
    <s v="NINGUNA"/>
    <x v="2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67"/>
    <x v="167"/>
    <s v="SANDOVAL"/>
    <s v="ZAPATEIRO"/>
    <s v="HENRRY"/>
    <s v="ALEXAND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76"/>
    <n v="46076"/>
    <s v="NO"/>
    <m/>
    <m/>
    <s v="NO"/>
    <m/>
    <m/>
    <s v="NO"/>
    <s v="NO"/>
    <m/>
    <m/>
    <n v="0"/>
    <m/>
    <m/>
    <s v="NO"/>
    <n v="1750905"/>
    <s v="NO"/>
    <s v="NO"/>
    <x v="1"/>
    <n v="1"/>
    <n v="67629"/>
    <n v="0.15999999642372131"/>
    <n v="10900"/>
    <s v="Sin Riesgo"/>
    <n v="0"/>
    <n v="0"/>
    <n v="0"/>
    <n v="0"/>
    <n v="0"/>
    <n v="10900"/>
    <s v="NINGUNA"/>
    <x v="2"/>
    <n v="1"/>
    <n v="67629"/>
    <n v="3.9999999105930328E-2"/>
    <n v="2800"/>
    <n v="0"/>
    <m/>
    <n v="0"/>
    <m/>
    <n v="0"/>
    <s v="NINGUNA"/>
    <x v="0"/>
    <n v="1"/>
    <n v="67629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67"/>
    <x v="167"/>
    <s v="SANDOVAL"/>
    <s v="ZAPATEIRO"/>
    <s v="HENRRY"/>
    <s v="ALEXANDER"/>
    <s v="LA_GUAJIRA"/>
    <s v="RIOHACHA"/>
    <s v="1. DEPENDIENTE"/>
    <s v="NINGUNO"/>
    <n v="19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8"/>
    <n v="1917905"/>
    <n v="0.15999999642372131"/>
    <n v="306900"/>
    <s v="Sin Riesgo"/>
    <n v="0"/>
    <n v="0"/>
    <n v="0"/>
    <n v="0"/>
    <n v="0"/>
    <n v="306900"/>
    <s v="NINGUNA"/>
    <x v="2"/>
    <n v="28"/>
    <n v="1917905"/>
    <n v="3.9999999105930328E-2"/>
    <n v="76800"/>
    <n v="0"/>
    <m/>
    <n v="0"/>
    <m/>
    <n v="0"/>
    <s v="NINGUNA"/>
    <x v="0"/>
    <n v="28"/>
    <n v="1917905"/>
    <n v="6.9600000977516174E-2"/>
    <s v="5"/>
    <s v="CENTRO TRABAJO 30"/>
    <s v="5711001"/>
    <n v="133500"/>
    <n v="28"/>
    <x v="1"/>
    <n v="1917905"/>
    <n v="3.9999999105930328E-2"/>
    <n v="76800"/>
    <n v="0"/>
    <n v="0"/>
    <n v="0"/>
    <n v="0"/>
    <n v="0"/>
    <n v="0"/>
    <n v="0"/>
    <n v="0"/>
    <n v="0"/>
    <s v="SI"/>
    <s v=" "/>
    <s v="                "/>
  </r>
  <r>
    <x v="1"/>
    <s v="CC"/>
    <x v="168"/>
    <x v="168"/>
    <s v="MILLIAN"/>
    <s v="PINTO"/>
    <s v="SANDRA"/>
    <s v="MILEN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6"/>
    <n v="1"/>
    <n v="58364"/>
    <n v="3.9999999105930328E-2"/>
    <n v="2400"/>
    <n v="0"/>
    <m/>
    <n v="0"/>
    <m/>
    <n v="0"/>
    <s v="NINGUNA"/>
    <x v="0"/>
    <n v="1"/>
    <n v="58364"/>
    <n v="0"/>
    <s v="5"/>
    <s v="CENTRO TRABAJO 30"/>
    <s v="5711001"/>
    <n v="0"/>
    <n v="1"/>
    <x v="1"/>
    <n v="58364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168"/>
    <x v="168"/>
    <s v="MILLIAN"/>
    <s v="PINTO"/>
    <s v="SANDRA"/>
    <s v="MILENA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9"/>
    <n v="1931302"/>
    <n v="0.15999999642372131"/>
    <n v="309100"/>
    <s v="Sin Riesgo"/>
    <n v="0"/>
    <n v="0"/>
    <n v="0"/>
    <n v="0"/>
    <n v="0"/>
    <n v="309100"/>
    <s v="NINGUNA"/>
    <x v="6"/>
    <n v="29"/>
    <n v="1931302"/>
    <n v="3.9999999105930328E-2"/>
    <n v="77300"/>
    <n v="0"/>
    <m/>
    <n v="0"/>
    <m/>
    <n v="0"/>
    <s v="NINGUNA"/>
    <x v="0"/>
    <n v="29"/>
    <n v="1931302"/>
    <n v="6.9600000977516174E-2"/>
    <s v="5"/>
    <s v="CENTRO TRABAJO 30"/>
    <s v="5711001"/>
    <n v="134500"/>
    <n v="29"/>
    <x v="1"/>
    <n v="1931302"/>
    <n v="3.9999999105930328E-2"/>
    <n v="77300"/>
    <n v="0"/>
    <n v="0"/>
    <n v="0"/>
    <n v="0"/>
    <n v="0"/>
    <n v="0"/>
    <n v="0"/>
    <n v="0"/>
    <n v="0"/>
    <s v="SI"/>
    <s v=" "/>
    <s v="                "/>
  </r>
  <r>
    <x v="1"/>
    <s v="CC"/>
    <x v="169"/>
    <x v="169"/>
    <s v="MENDOZA"/>
    <s v="SIERRA"/>
    <s v="ELBERT"/>
    <s v="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2452635"/>
    <n v="0.15999999642372131"/>
    <n v="392500"/>
    <s v="Sin Riesgo"/>
    <n v="0"/>
    <n v="0"/>
    <n v="0"/>
    <n v="0"/>
    <n v="0"/>
    <n v="392500"/>
    <s v="NINGUNA"/>
    <x v="0"/>
    <n v="30"/>
    <n v="2452635"/>
    <n v="3.9999999105930328E-2"/>
    <n v="98200"/>
    <n v="0"/>
    <m/>
    <n v="0"/>
    <m/>
    <n v="0"/>
    <s v="NINGUNA"/>
    <x v="0"/>
    <n v="30"/>
    <n v="2452635"/>
    <n v="6.9600000977516174E-2"/>
    <s v="5"/>
    <s v="CENTRO TRABAJO 30"/>
    <s v="5711001"/>
    <n v="170800"/>
    <n v="30"/>
    <x v="1"/>
    <n v="2452635"/>
    <n v="3.9999999105930328E-2"/>
    <n v="98200"/>
    <n v="0"/>
    <n v="0"/>
    <n v="0"/>
    <n v="0"/>
    <n v="0"/>
    <n v="0"/>
    <n v="0"/>
    <n v="0"/>
    <n v="0"/>
    <s v="SI"/>
    <s v=" "/>
    <s v="                "/>
  </r>
  <r>
    <x v="1"/>
    <s v="CC"/>
    <x v="170"/>
    <x v="170"/>
    <s v="CASTILLO"/>
    <s v="JARABA"/>
    <s v="WILSON"/>
    <s v="OMA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2"/>
    <n v="46062"/>
    <s v="NO"/>
    <m/>
    <m/>
    <s v="NO"/>
    <m/>
    <m/>
    <s v="NO"/>
    <s v="NO"/>
    <m/>
    <m/>
    <n v="0"/>
    <m/>
    <m/>
    <s v="NO"/>
    <n v="2223339"/>
    <s v="NO"/>
    <s v="NO"/>
    <x v="0"/>
    <n v="1"/>
    <n v="86020"/>
    <n v="0.15999999642372131"/>
    <n v="13800"/>
    <s v="Sin Riesgo"/>
    <n v="0"/>
    <n v="0"/>
    <n v="0"/>
    <n v="0"/>
    <n v="0"/>
    <n v="13800"/>
    <s v="NINGUNA"/>
    <x v="0"/>
    <n v="1"/>
    <n v="86020"/>
    <n v="3.9999999105930328E-2"/>
    <n v="3500"/>
    <n v="0"/>
    <m/>
    <n v="0"/>
    <m/>
    <n v="0"/>
    <s v="NINGUNA"/>
    <x v="0"/>
    <n v="1"/>
    <n v="860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70"/>
    <x v="170"/>
    <s v="CASTILLO"/>
    <s v="JARABA"/>
    <s v="WILSON"/>
    <s v="OMAR"/>
    <s v="LA_GUAJIRA"/>
    <s v="RIOHACHA"/>
    <s v="1. DEPENDIENTE"/>
    <s v="NINGUNO"/>
    <n v="191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5"/>
    <n v="2711229"/>
    <n v="0.15999999642372131"/>
    <n v="433800"/>
    <s v="Sin Riesgo"/>
    <n v="0"/>
    <n v="0"/>
    <n v="0"/>
    <n v="0"/>
    <n v="0"/>
    <n v="433800"/>
    <s v="NINGUNA"/>
    <x v="0"/>
    <n v="25"/>
    <n v="2711229"/>
    <n v="3.9999999105930328E-2"/>
    <n v="108500"/>
    <n v="0"/>
    <m/>
    <n v="0"/>
    <m/>
    <n v="0"/>
    <s v="NINGUNA"/>
    <x v="0"/>
    <n v="25"/>
    <n v="2711229"/>
    <n v="6.9600000977516174E-2"/>
    <s v="5"/>
    <s v="CENTRO TRABAJO 30"/>
    <s v="5711001"/>
    <n v="188800"/>
    <n v="25"/>
    <x v="1"/>
    <n v="3175155"/>
    <n v="3.9999999105930328E-2"/>
    <n v="127100"/>
    <n v="0"/>
    <n v="0"/>
    <n v="0"/>
    <n v="0"/>
    <n v="0"/>
    <n v="0"/>
    <n v="0"/>
    <n v="0"/>
    <n v="0"/>
    <s v="SI"/>
    <s v=" "/>
    <s v="                "/>
  </r>
  <r>
    <x v="1"/>
    <s v="CC"/>
    <x v="171"/>
    <x v="171"/>
    <s v="OÑATE"/>
    <s v="PACHECO"/>
    <s v="ANGEL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0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71"/>
    <x v="171"/>
    <s v="OÑATE"/>
    <s v="PACHECO"/>
    <s v="ANGEL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0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71"/>
    <x v="171"/>
    <s v="OÑATE"/>
    <s v="PACHECO"/>
    <s v="ANGEL"/>
    <s v="DAVID"/>
    <s v="LA_GUAJIRA"/>
    <s v="RIOHACHA"/>
    <s v="1. DEPENDIENTE"/>
    <s v="NINGUNO"/>
    <n v="19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8"/>
    <n v="1933024"/>
    <n v="0.15999999642372131"/>
    <n v="309300"/>
    <s v="Sin Riesgo"/>
    <n v="0"/>
    <n v="0"/>
    <n v="0"/>
    <n v="0"/>
    <n v="0"/>
    <n v="309300"/>
    <s v="NINGUNA"/>
    <x v="0"/>
    <n v="28"/>
    <n v="1933024"/>
    <n v="3.9999999105930328E-2"/>
    <n v="77400"/>
    <n v="0"/>
    <m/>
    <n v="0"/>
    <m/>
    <n v="0"/>
    <s v="NINGUNA"/>
    <x v="0"/>
    <n v="28"/>
    <n v="1933024"/>
    <n v="6.9600000977516174E-2"/>
    <s v="5"/>
    <s v="CENTRO TRABAJO 30"/>
    <s v="5711001"/>
    <n v="134600"/>
    <n v="28"/>
    <x v="1"/>
    <n v="1933025"/>
    <n v="3.9999999105930328E-2"/>
    <n v="77400"/>
    <n v="0"/>
    <n v="0"/>
    <n v="0"/>
    <n v="0"/>
    <n v="0"/>
    <n v="0"/>
    <n v="0"/>
    <n v="0"/>
    <n v="0"/>
    <s v="SI"/>
    <s v=" "/>
    <s v="                "/>
  </r>
  <r>
    <x v="1"/>
    <s v="CC"/>
    <x v="172"/>
    <x v="172"/>
    <s v="CASTRO"/>
    <s v="SALTAREN"/>
    <s v="JORGE"/>
    <s v="YAIR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30"/>
    <n v="2110655"/>
    <n v="0.15999999642372131"/>
    <n v="337800"/>
    <s v="Sin Riesgo"/>
    <n v="0"/>
    <n v="0"/>
    <n v="0"/>
    <n v="0"/>
    <n v="0"/>
    <n v="337800"/>
    <s v="NINGUNA"/>
    <x v="6"/>
    <n v="30"/>
    <n v="2110655"/>
    <n v="3.9999999105930328E-2"/>
    <n v="84500"/>
    <n v="0"/>
    <m/>
    <n v="0"/>
    <m/>
    <n v="0"/>
    <s v="NINGUNA"/>
    <x v="0"/>
    <n v="30"/>
    <n v="2110655"/>
    <n v="6.9600000977516174E-2"/>
    <s v="5"/>
    <s v="CENTRO TRABAJO 30"/>
    <s v="5711001"/>
    <n v="147000"/>
    <n v="30"/>
    <x v="1"/>
    <n v="2110655"/>
    <n v="3.9999999105930328E-2"/>
    <n v="84500"/>
    <n v="0"/>
    <n v="0"/>
    <n v="0"/>
    <n v="0"/>
    <n v="0"/>
    <n v="0"/>
    <n v="0"/>
    <n v="0"/>
    <n v="0"/>
    <s v="SI"/>
    <s v=" "/>
    <s v="                "/>
  </r>
  <r>
    <x v="1"/>
    <s v="CC"/>
    <x v="173"/>
    <x v="444"/>
    <s v="TORRES"/>
    <s v="COBO"/>
    <s v="XAVIER"/>
    <s v="ALFONS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2452635"/>
    <n v="0.15999999642372131"/>
    <n v="392500"/>
    <s v="Sin Riesgo"/>
    <n v="0"/>
    <n v="0"/>
    <n v="0"/>
    <n v="0"/>
    <n v="0"/>
    <n v="392500"/>
    <s v="NINGUNA"/>
    <x v="6"/>
    <n v="30"/>
    <n v="2452635"/>
    <n v="3.9999999105930328E-2"/>
    <n v="98200"/>
    <n v="0"/>
    <m/>
    <n v="0"/>
    <m/>
    <n v="0"/>
    <s v="NINGUNA"/>
    <x v="0"/>
    <n v="30"/>
    <n v="2452635"/>
    <n v="6.9600000977516174E-2"/>
    <s v="5"/>
    <s v="CENTRO TRABAJO 30"/>
    <s v="5711001"/>
    <n v="170800"/>
    <n v="30"/>
    <x v="1"/>
    <n v="2452635"/>
    <n v="3.9999999105930328E-2"/>
    <n v="98200"/>
    <n v="0"/>
    <n v="0"/>
    <n v="0"/>
    <n v="0"/>
    <n v="0"/>
    <n v="0"/>
    <n v="0"/>
    <n v="0"/>
    <n v="0"/>
    <s v="SI"/>
    <s v=" "/>
    <s v="                "/>
  </r>
  <r>
    <x v="1"/>
    <s v="CC"/>
    <x v="174"/>
    <x v="174"/>
    <s v="ARRIETA"/>
    <s v="NIEVES"/>
    <s v="JESUS"/>
    <s v="EDUARDO"/>
    <s v="LA_GUAJIRA"/>
    <s v="RIOHACHA"/>
    <s v="1. DEPENDIENTE"/>
    <s v="NINGUNO"/>
    <n v="197"/>
    <s v="NO"/>
    <s v="NO"/>
    <m/>
    <s v="Todos los sistemas (ARL, AFP, CCF, EPS)"/>
    <n v="46055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9"/>
    <n v="1898548"/>
    <n v="0.15999999642372131"/>
    <n v="303800"/>
    <s v="Sin Riesgo"/>
    <n v="0"/>
    <n v="0"/>
    <n v="0"/>
    <n v="0"/>
    <n v="0"/>
    <n v="303800"/>
    <s v="NINGUNA"/>
    <x v="4"/>
    <n v="29"/>
    <n v="1898548"/>
    <n v="3.9999999105930328E-2"/>
    <n v="76000"/>
    <n v="0"/>
    <m/>
    <n v="0"/>
    <m/>
    <n v="0"/>
    <s v="NINGUNA"/>
    <x v="0"/>
    <n v="29"/>
    <n v="1898548"/>
    <n v="6.9600000977516174E-2"/>
    <s v="5"/>
    <s v="CENTRO TRABAJO 30"/>
    <s v="5711001"/>
    <n v="132200"/>
    <n v="29"/>
    <x v="1"/>
    <n v="1898548"/>
    <n v="3.9999999105930328E-2"/>
    <n v="76000"/>
    <n v="0"/>
    <n v="0"/>
    <n v="0"/>
    <n v="0"/>
    <n v="0"/>
    <n v="0"/>
    <n v="0"/>
    <n v="0"/>
    <n v="0"/>
    <s v="SI"/>
    <s v=" "/>
    <s v="                "/>
  </r>
  <r>
    <x v="1"/>
    <s v="CC"/>
    <x v="175"/>
    <x v="175"/>
    <s v="NIETO"/>
    <s v="EPINAYU"/>
    <s v="YOJANER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"/>
    <n v="178560"/>
    <n v="0.15999999642372131"/>
    <n v="28600"/>
    <s v="Sin Riesgo"/>
    <n v="0"/>
    <n v="0"/>
    <n v="0"/>
    <n v="0"/>
    <n v="0"/>
    <n v="28600"/>
    <s v="NINGUNA"/>
    <x v="3"/>
    <n v="2"/>
    <n v="178560"/>
    <n v="0"/>
    <n v="0"/>
    <n v="0"/>
    <m/>
    <n v="0"/>
    <m/>
    <n v="0"/>
    <s v="NINGUNA"/>
    <x v="0"/>
    <n v="2"/>
    <n v="17856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75"/>
    <x v="175"/>
    <s v="NIETO"/>
    <s v="EPINAYU"/>
    <s v="YOJANER"/>
    <s v="ANDRES"/>
    <s v="BOGOTA_D.E."/>
    <s v="BOGOTA"/>
    <s v="1. DEPENDIENTE"/>
    <s v="NINGUNO"/>
    <n v="13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60122"/>
    <n v="0.15999999642372131"/>
    <n v="89700"/>
    <s v="Sin Riesgo"/>
    <n v="0"/>
    <n v="0"/>
    <n v="0"/>
    <n v="0"/>
    <n v="0"/>
    <n v="89700"/>
    <s v="NINGUNA"/>
    <x v="3"/>
    <n v="1"/>
    <n v="560122"/>
    <n v="3.9999999105930328E-2"/>
    <n v="22500"/>
    <n v="0"/>
    <m/>
    <n v="0"/>
    <m/>
    <n v="0"/>
    <s v="NINGUNA"/>
    <x v="0"/>
    <n v="1"/>
    <n v="560122"/>
    <n v="6.9600000977516174E-2"/>
    <s v="5"/>
    <s v="CENTRO TRABAJO 24"/>
    <s v="5711001"/>
    <n v="39000"/>
    <n v="1"/>
    <x v="0"/>
    <n v="1159900"/>
    <n v="3.9999999105930328E-2"/>
    <n v="46400"/>
    <n v="0"/>
    <n v="0"/>
    <n v="0"/>
    <n v="0"/>
    <n v="0"/>
    <n v="0"/>
    <n v="0"/>
    <n v="0"/>
    <n v="0"/>
    <s v="SI"/>
    <s v=" "/>
    <s v="                "/>
  </r>
  <r>
    <x v="1"/>
    <s v="CC"/>
    <x v="176"/>
    <x v="176"/>
    <s v="FERNANDEZ"/>
    <s v="DAZA"/>
    <s v="ALVARO"/>
    <s v="JAVI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5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2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76"/>
    <x v="176"/>
    <s v="FERNANDEZ"/>
    <s v="DAZA"/>
    <s v="ALVARO"/>
    <s v="JAVI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2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76"/>
    <x v="176"/>
    <s v="FERNANDEZ"/>
    <s v="DAZA"/>
    <s v="ALVARO"/>
    <s v="JAVIER"/>
    <s v="LA_GUAJIRA"/>
    <s v="RIOHACHA"/>
    <s v="1. DEPENDIENTE"/>
    <s v="NINGUNO"/>
    <n v="19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8"/>
    <n v="1947748"/>
    <n v="0.15999999642372131"/>
    <n v="311700"/>
    <s v="Sin Riesgo"/>
    <n v="0"/>
    <n v="0"/>
    <n v="0"/>
    <n v="0"/>
    <n v="0"/>
    <n v="311700"/>
    <s v="NINGUNA"/>
    <x v="2"/>
    <n v="28"/>
    <n v="1947748"/>
    <n v="3.9999999105930328E-2"/>
    <n v="78000"/>
    <n v="0"/>
    <m/>
    <n v="0"/>
    <m/>
    <n v="0"/>
    <s v="NINGUNA"/>
    <x v="0"/>
    <n v="28"/>
    <n v="1947748"/>
    <n v="6.9600000977516174E-2"/>
    <s v="5"/>
    <s v="CENTRO TRABAJO 30"/>
    <s v="5711001"/>
    <n v="135600"/>
    <n v="28"/>
    <x v="1"/>
    <n v="1947749"/>
    <n v="3.9999999105930328E-2"/>
    <n v="78000"/>
    <n v="0"/>
    <n v="0"/>
    <n v="0"/>
    <n v="0"/>
    <n v="0"/>
    <n v="0"/>
    <n v="0"/>
    <n v="0"/>
    <n v="0"/>
    <s v="SI"/>
    <s v=" "/>
    <s v="                "/>
  </r>
  <r>
    <x v="1"/>
    <s v="CC"/>
    <x v="177"/>
    <x v="177"/>
    <s v="CAMPO"/>
    <s v="DE LIMA"/>
    <s v="LUIS"/>
    <s v="CARLO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5999999642372131"/>
    <n v="18700"/>
    <s v="Sin Riesgo"/>
    <n v="0"/>
    <n v="0"/>
    <n v="0"/>
    <n v="0"/>
    <n v="0"/>
    <n v="18700"/>
    <s v="NINGUNA"/>
    <x v="0"/>
    <n v="2"/>
    <n v="116727"/>
    <n v="0"/>
    <n v="0"/>
    <n v="0"/>
    <m/>
    <n v="0"/>
    <m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77"/>
    <x v="177"/>
    <s v="CAMPO"/>
    <s v="DE LIMA"/>
    <s v="LUIS"/>
    <s v="CARLO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8"/>
    <n v="46060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"/>
    <n v="175091"/>
    <n v="0.15999999642372131"/>
    <n v="28100"/>
    <s v="Sin Riesgo"/>
    <n v="0"/>
    <n v="0"/>
    <n v="0"/>
    <n v="0"/>
    <n v="0"/>
    <n v="28100"/>
    <s v="NINGUNA"/>
    <x v="0"/>
    <n v="3"/>
    <n v="175091"/>
    <n v="0"/>
    <n v="0"/>
    <n v="0"/>
    <m/>
    <n v="0"/>
    <m/>
    <n v="0"/>
    <s v="NINGUNA"/>
    <x v="0"/>
    <n v="3"/>
    <n v="175091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77"/>
    <x v="177"/>
    <s v="CAMPO"/>
    <s v="DE LIMA"/>
    <s v="LUIS"/>
    <s v="CARLOS"/>
    <s v="BOGOTA_D.E."/>
    <s v="BOGOTA"/>
    <s v="1. DEPENDIENTE"/>
    <s v="NINGUNO"/>
    <n v="35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635725"/>
    <n v="0.15999999642372131"/>
    <n v="101800"/>
    <s v="Sin Riesgo"/>
    <n v="0"/>
    <n v="0"/>
    <n v="0"/>
    <n v="0"/>
    <n v="0"/>
    <n v="101800"/>
    <s v="NINGUNA"/>
    <x v="0"/>
    <n v="2"/>
    <n v="635725"/>
    <n v="3.9999999105930328E-2"/>
    <n v="25500"/>
    <n v="0"/>
    <m/>
    <n v="0"/>
    <m/>
    <n v="0"/>
    <s v="NINGUNA"/>
    <x v="0"/>
    <n v="2"/>
    <n v="635725"/>
    <n v="6.9600000977516174E-2"/>
    <s v="5"/>
    <s v="CENTRO TRABAJO 24"/>
    <s v="5711001"/>
    <n v="44300"/>
    <n v="2"/>
    <x v="0"/>
    <n v="1052570"/>
    <n v="3.9999999105930328E-2"/>
    <n v="42200"/>
    <n v="0"/>
    <n v="0"/>
    <n v="0"/>
    <n v="0"/>
    <n v="0"/>
    <n v="0"/>
    <n v="0"/>
    <n v="0"/>
    <n v="0"/>
    <s v="SI"/>
    <s v=" "/>
    <s v="                "/>
  </r>
  <r>
    <x v="1"/>
    <s v="CC"/>
    <x v="178"/>
    <x v="178"/>
    <s v="PUELLO"/>
    <s v="MADERA"/>
    <s v="FRANCISCO"/>
    <s v="JAVIE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0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78"/>
    <x v="178"/>
    <s v="PUELLO"/>
    <s v="MADERA"/>
    <s v="FRANCISCO"/>
    <s v="JAVIER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9"/>
    <n v="2001338"/>
    <n v="0.15999999642372131"/>
    <n v="320300"/>
    <s v="Sin Riesgo"/>
    <n v="0"/>
    <n v="0"/>
    <n v="0"/>
    <n v="0"/>
    <n v="0"/>
    <n v="320300"/>
    <s v="NINGUNA"/>
    <x v="0"/>
    <n v="29"/>
    <n v="2001338"/>
    <n v="3.9999999105930328E-2"/>
    <n v="80100"/>
    <n v="0"/>
    <m/>
    <n v="0"/>
    <m/>
    <n v="0"/>
    <s v="NINGUNA"/>
    <x v="0"/>
    <n v="29"/>
    <n v="2001338"/>
    <n v="6.9600000977516174E-2"/>
    <s v="5"/>
    <s v="CENTRO TRABAJO 30"/>
    <s v="5711001"/>
    <n v="139300"/>
    <n v="29"/>
    <x v="1"/>
    <n v="2001338"/>
    <n v="3.9999999105930328E-2"/>
    <n v="80100"/>
    <n v="0"/>
    <n v="0"/>
    <n v="0"/>
    <n v="0"/>
    <n v="0"/>
    <n v="0"/>
    <n v="0"/>
    <n v="0"/>
    <n v="0"/>
    <s v="SI"/>
    <s v=" "/>
    <s v="                "/>
  </r>
  <r>
    <x v="1"/>
    <s v="CC"/>
    <x v="179"/>
    <x v="179"/>
    <s v="OÑATE"/>
    <s v="VALDEBLANQUEZ"/>
    <s v="YOIMER"/>
    <s v="JASIR"/>
    <s v="LA_GUAJIRA"/>
    <s v="RIOHACHA"/>
    <s v="1. DEPENDIENTE"/>
    <s v="NINGUNO"/>
    <n v="20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30"/>
    <n v="2363980"/>
    <n v="0.15999999642372131"/>
    <n v="378300"/>
    <s v="Sin Riesgo"/>
    <n v="0"/>
    <n v="0"/>
    <n v="0"/>
    <n v="0"/>
    <n v="0"/>
    <n v="378300"/>
    <s v="NINGUNA"/>
    <x v="0"/>
    <n v="30"/>
    <n v="2363980"/>
    <n v="3.9999999105930328E-2"/>
    <n v="94600"/>
    <n v="0"/>
    <m/>
    <n v="0"/>
    <m/>
    <n v="0"/>
    <s v="NINGUNA"/>
    <x v="0"/>
    <n v="30"/>
    <n v="2363980"/>
    <n v="6.9600000977516174E-2"/>
    <s v="5"/>
    <s v="CENTRO TRABAJO 30"/>
    <s v="5711001"/>
    <n v="164600"/>
    <n v="30"/>
    <x v="1"/>
    <n v="2363980"/>
    <n v="3.9999999105930328E-2"/>
    <n v="94600"/>
    <n v="0"/>
    <n v="0"/>
    <n v="0"/>
    <n v="0"/>
    <n v="0"/>
    <n v="0"/>
    <n v="0"/>
    <n v="0"/>
    <n v="0"/>
    <s v="SI"/>
    <s v=" "/>
    <s v="                "/>
  </r>
  <r>
    <x v="1"/>
    <s v="CC"/>
    <x v="180"/>
    <x v="180"/>
    <s v="ORTIZ"/>
    <s v="LUQUE"/>
    <s v="LUIS"/>
    <s v="FABIAN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1"/>
    <n v="58364"/>
    <n v="0.15999999642372131"/>
    <n v="9400"/>
    <s v="Sin Riesgo"/>
    <n v="0"/>
    <n v="0"/>
    <n v="0"/>
    <n v="0"/>
    <n v="0"/>
    <n v="9400"/>
    <s v="NINGUNA"/>
    <x v="0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80"/>
    <x v="180"/>
    <s v="ORTIZ"/>
    <s v="LUQUE"/>
    <s v="LUIS"/>
    <s v="FABIAN"/>
    <s v="LA_GUAJIRA"/>
    <s v="RIOHACHA"/>
    <s v="1. DEPENDIENTE"/>
    <s v="NINGUNO"/>
    <n v="21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9"/>
    <n v="2095847"/>
    <n v="0.15999999642372131"/>
    <n v="335400"/>
    <s v="Sin Riesgo"/>
    <n v="0"/>
    <n v="0"/>
    <n v="0"/>
    <n v="0"/>
    <n v="0"/>
    <n v="335400"/>
    <s v="NINGUNA"/>
    <x v="0"/>
    <n v="29"/>
    <n v="2095847"/>
    <n v="3.9999999105930328E-2"/>
    <n v="83900"/>
    <n v="0"/>
    <m/>
    <n v="0"/>
    <m/>
    <n v="0"/>
    <s v="NINGUNA"/>
    <x v="0"/>
    <n v="29"/>
    <n v="2095847"/>
    <n v="6.9600000977516174E-2"/>
    <s v="5"/>
    <s v="CENTRO TRABAJO 30"/>
    <s v="5711001"/>
    <n v="145900"/>
    <n v="29"/>
    <x v="1"/>
    <n v="2095847"/>
    <n v="3.9999999105930328E-2"/>
    <n v="83900"/>
    <n v="0"/>
    <n v="0"/>
    <n v="0"/>
    <n v="0"/>
    <n v="0"/>
    <n v="0"/>
    <n v="0"/>
    <n v="0"/>
    <n v="0"/>
    <s v="SI"/>
    <s v=" "/>
    <s v="                "/>
  </r>
  <r>
    <x v="1"/>
    <s v="CC"/>
    <x v="181"/>
    <x v="181"/>
    <s v="ORTIZ"/>
    <s v="GUAURIYU"/>
    <s v="CARLOS"/>
    <s v="ANTONI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9"/>
    <n v="46069"/>
    <s v="NO"/>
    <m/>
    <m/>
    <s v="NO"/>
    <m/>
    <m/>
    <s v="NO"/>
    <s v="NO"/>
    <m/>
    <m/>
    <n v="0"/>
    <m/>
    <m/>
    <s v="NO"/>
    <n v="1750905"/>
    <s v="NO"/>
    <s v="NO"/>
    <x v="0"/>
    <n v="1"/>
    <n v="67629"/>
    <n v="0.15999999642372131"/>
    <n v="10900"/>
    <s v="Sin Riesgo"/>
    <n v="0"/>
    <n v="0"/>
    <n v="0"/>
    <n v="0"/>
    <n v="0"/>
    <n v="10900"/>
    <s v="NINGUNA"/>
    <x v="7"/>
    <n v="1"/>
    <n v="67629"/>
    <n v="3.9999999105930328E-2"/>
    <n v="2800"/>
    <n v="0"/>
    <m/>
    <n v="0"/>
    <m/>
    <n v="0"/>
    <s v="NINGUNA"/>
    <x v="0"/>
    <n v="1"/>
    <n v="67629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81"/>
    <x v="181"/>
    <s v="ORTIZ"/>
    <s v="GUAURIYU"/>
    <s v="CARLOS"/>
    <s v="ANTONIO"/>
    <s v="LA_GUAJIRA"/>
    <s v="RIOHACHA"/>
    <s v="1. DEPENDIENTE"/>
    <s v="NINGUNO"/>
    <n v="19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9"/>
    <n v="2001338"/>
    <n v="0.15999999642372131"/>
    <n v="320300"/>
    <s v="Sin Riesgo"/>
    <n v="0"/>
    <n v="0"/>
    <n v="0"/>
    <n v="0"/>
    <n v="0"/>
    <n v="320300"/>
    <s v="NINGUNA"/>
    <x v="7"/>
    <n v="29"/>
    <n v="2001338"/>
    <n v="3.9999999105930328E-2"/>
    <n v="80100"/>
    <n v="0"/>
    <m/>
    <n v="0"/>
    <m/>
    <n v="0"/>
    <s v="NINGUNA"/>
    <x v="0"/>
    <n v="29"/>
    <n v="2001338"/>
    <n v="6.9600000977516174E-2"/>
    <s v="5"/>
    <s v="CENTRO TRABAJO 30"/>
    <s v="5711001"/>
    <n v="139300"/>
    <n v="29"/>
    <x v="1"/>
    <n v="2001338"/>
    <n v="3.9999999105930328E-2"/>
    <n v="80100"/>
    <n v="0"/>
    <n v="0"/>
    <n v="0"/>
    <n v="0"/>
    <n v="0"/>
    <n v="0"/>
    <n v="0"/>
    <n v="0"/>
    <n v="0"/>
    <s v="SI"/>
    <s v=" "/>
    <s v="                "/>
  </r>
  <r>
    <x v="1"/>
    <s v="CC"/>
    <x v="182"/>
    <x v="445"/>
    <s v="PUSHAINA"/>
    <s v="IPUANA"/>
    <s v="JUAN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4"/>
    <n v="1"/>
    <n v="59520"/>
    <n v="0.15999999642372131"/>
    <n v="9600"/>
    <s v="Sin Riesgo"/>
    <n v="0"/>
    <n v="0"/>
    <n v="0"/>
    <n v="0"/>
    <n v="0"/>
    <n v="9600"/>
    <s v="NINGUNA"/>
    <x v="0"/>
    <n v="1"/>
    <n v="59520"/>
    <n v="0"/>
    <n v="0"/>
    <n v="0"/>
    <m/>
    <n v="0"/>
    <m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82"/>
    <x v="445"/>
    <s v="PUSHAINA"/>
    <s v="IPUANA"/>
    <s v="JUAN"/>
    <s v="DAVID"/>
    <s v="LA_GUAJIRA"/>
    <s v="RIOHACHA"/>
    <s v="1. DEPENDIENTE"/>
    <s v="NINGUNO"/>
    <n v="20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4"/>
    <n v="29"/>
    <n v="2086644"/>
    <n v="0.15999999642372131"/>
    <n v="333900"/>
    <s v="Sin Riesgo"/>
    <n v="0"/>
    <n v="0"/>
    <n v="0"/>
    <n v="0"/>
    <n v="0"/>
    <n v="333900"/>
    <s v="NINGUNA"/>
    <x v="0"/>
    <n v="29"/>
    <n v="2086644"/>
    <n v="3.9999999105930328E-2"/>
    <n v="83500"/>
    <n v="0"/>
    <m/>
    <n v="0"/>
    <m/>
    <n v="0"/>
    <s v="NINGUNA"/>
    <x v="0"/>
    <n v="29"/>
    <n v="2086644"/>
    <n v="6.9600000977516174E-2"/>
    <s v="5"/>
    <s v="CENTRO TRABAJO 30"/>
    <s v="5711001"/>
    <n v="145300"/>
    <n v="29"/>
    <x v="1"/>
    <n v="2086644"/>
    <n v="3.9999999105930328E-2"/>
    <n v="83500"/>
    <n v="0"/>
    <n v="0"/>
    <n v="0"/>
    <n v="0"/>
    <n v="0"/>
    <n v="0"/>
    <n v="0"/>
    <n v="0"/>
    <n v="0"/>
    <s v="SI"/>
    <s v=" "/>
    <s v="                "/>
  </r>
  <r>
    <x v="1"/>
    <s v="CC"/>
    <x v="183"/>
    <x v="446"/>
    <s v="FUENTES"/>
    <s v="PADILLA"/>
    <s v="ROBINSON"/>
    <s v="RAFAEL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20626"/>
    <n v="0.15999999642372131"/>
    <n v="323400"/>
    <s v="Sin Riesgo"/>
    <n v="0"/>
    <n v="0"/>
    <n v="0"/>
    <n v="0"/>
    <n v="0"/>
    <n v="323400"/>
    <s v="NINGUNA"/>
    <x v="2"/>
    <n v="30"/>
    <n v="2020626"/>
    <n v="3.9999999105930328E-2"/>
    <n v="80900"/>
    <n v="0"/>
    <m/>
    <n v="0"/>
    <m/>
    <n v="0"/>
    <s v="NINGUNA"/>
    <x v="0"/>
    <n v="30"/>
    <n v="2020626"/>
    <n v="6.9600000977516174E-2"/>
    <s v="5"/>
    <s v="CENTRO TRABAJO 30"/>
    <s v="5711001"/>
    <n v="140700"/>
    <n v="30"/>
    <x v="1"/>
    <n v="2020626"/>
    <n v="3.9999999105930328E-2"/>
    <n v="80900"/>
    <n v="0"/>
    <n v="0"/>
    <n v="0"/>
    <n v="0"/>
    <n v="0"/>
    <n v="0"/>
    <n v="0"/>
    <n v="0"/>
    <n v="0"/>
    <s v="SI"/>
    <s v=" "/>
    <s v="                "/>
  </r>
  <r>
    <x v="1"/>
    <s v="CC"/>
    <x v="184"/>
    <x v="184"/>
    <s v="VALDEBLANQUEZ"/>
    <s v="DUARTE"/>
    <s v="JORGE"/>
    <s v="ELIECER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69651"/>
    <n v="0.15999999642372131"/>
    <n v="331200"/>
    <s v="Sin Riesgo"/>
    <n v="0"/>
    <n v="0"/>
    <n v="0"/>
    <n v="0"/>
    <n v="0"/>
    <n v="331200"/>
    <s v="NINGUNA"/>
    <x v="0"/>
    <n v="30"/>
    <n v="2069651"/>
    <n v="3.9999999105930328E-2"/>
    <n v="82800"/>
    <n v="0"/>
    <m/>
    <n v="0"/>
    <m/>
    <n v="0"/>
    <s v="NINGUNA"/>
    <x v="0"/>
    <n v="30"/>
    <n v="2069651"/>
    <n v="6.9600000977516174E-2"/>
    <s v="5"/>
    <s v="CENTRO TRABAJO 30"/>
    <s v="5711001"/>
    <n v="144100"/>
    <n v="30"/>
    <x v="1"/>
    <n v="2069651"/>
    <n v="3.9999999105930328E-2"/>
    <n v="82800"/>
    <n v="0"/>
    <n v="0"/>
    <n v="0"/>
    <n v="0"/>
    <n v="0"/>
    <n v="0"/>
    <n v="0"/>
    <n v="0"/>
    <n v="0"/>
    <s v="SI"/>
    <s v=" "/>
    <s v="                "/>
  </r>
  <r>
    <x v="1"/>
    <s v="CC"/>
    <x v="185"/>
    <x v="185"/>
    <s v="ALMANZA"/>
    <s v="CUEVA"/>
    <s v="EDER"/>
    <s v="MANUEL"/>
    <s v="LA_GUAJIRA"/>
    <s v="RIOHACHA"/>
    <s v="1. DEPENDIENTE"/>
    <s v="NINGUNO"/>
    <n v="2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4"/>
    <n v="30"/>
    <n v="2593227"/>
    <n v="0.15999999642372131"/>
    <n v="415000"/>
    <s v="Sin Riesgo"/>
    <n v="0"/>
    <n v="0"/>
    <n v="0"/>
    <n v="0"/>
    <n v="0"/>
    <n v="415000"/>
    <s v="NINGUNA"/>
    <x v="2"/>
    <n v="30"/>
    <n v="2593227"/>
    <n v="3.9999999105930328E-2"/>
    <n v="103800"/>
    <n v="0"/>
    <m/>
    <n v="0"/>
    <m/>
    <n v="0"/>
    <s v="NINGUNA"/>
    <x v="0"/>
    <n v="30"/>
    <n v="2593227"/>
    <n v="6.9600000977516174E-2"/>
    <s v="5"/>
    <s v="CENTRO TRABAJO 30"/>
    <s v="5711001"/>
    <n v="180500"/>
    <n v="30"/>
    <x v="1"/>
    <n v="2454425"/>
    <n v="3.9999999105930328E-2"/>
    <n v="98200"/>
    <n v="0"/>
    <n v="0"/>
    <n v="0"/>
    <n v="0"/>
    <n v="0"/>
    <n v="0"/>
    <n v="0"/>
    <n v="0"/>
    <n v="0"/>
    <s v="SI"/>
    <s v=" "/>
    <s v="                "/>
  </r>
  <r>
    <x v="1"/>
    <s v="CC"/>
    <x v="186"/>
    <x v="186"/>
    <s v="URIYU"/>
    <s v="RAMIREZ"/>
    <s v="JHONY"/>
    <s v=""/>
    <s v="LA_GUAJIRA"/>
    <s v="RIOHACHA"/>
    <s v="1. DEPENDIENTE"/>
    <s v="NINGUNO"/>
    <n v="145"/>
    <s v="NO"/>
    <s v="NO"/>
    <m/>
    <s v="Todos los sistemas (ARL, AFP, CCF, EPS)"/>
    <n v="46062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2"/>
    <n v="1383482"/>
    <n v="0.15999999642372131"/>
    <n v="221400"/>
    <s v="Sin Riesgo"/>
    <n v="0"/>
    <n v="0"/>
    <n v="0"/>
    <n v="0"/>
    <n v="0"/>
    <n v="221400"/>
    <s v="NINGUNA"/>
    <x v="7"/>
    <n v="22"/>
    <n v="1383482"/>
    <n v="3.9999999105930328E-2"/>
    <n v="55400"/>
    <n v="0"/>
    <m/>
    <n v="0"/>
    <m/>
    <n v="0"/>
    <s v="NINGUNA"/>
    <x v="0"/>
    <n v="22"/>
    <n v="1383482"/>
    <n v="6.9600000977516174E-2"/>
    <s v="5"/>
    <s v="CENTRO TRABAJO 30"/>
    <s v="5711001"/>
    <n v="96300"/>
    <n v="22"/>
    <x v="1"/>
    <n v="1383482"/>
    <n v="3.9999999105930328E-2"/>
    <n v="55400"/>
    <n v="0"/>
    <n v="0"/>
    <n v="0"/>
    <n v="0"/>
    <n v="0"/>
    <n v="0"/>
    <n v="0"/>
    <n v="0"/>
    <n v="0"/>
    <s v="SI"/>
    <s v=" "/>
    <s v="                "/>
  </r>
  <r>
    <x v="1"/>
    <s v="CC"/>
    <x v="187"/>
    <x v="187"/>
    <s v="LOPEZ"/>
    <s v="BARRANCO"/>
    <s v="CARLOS"/>
    <s v="MARIO"/>
    <s v="LA_GUAJIRA"/>
    <s v="RIOHACHA"/>
    <s v="1. DEPENDIENTE"/>
    <s v="NINGUNO"/>
    <n v="21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0"/>
    <n v="30"/>
    <n v="2318969"/>
    <n v="0.15999999642372131"/>
    <n v="371100"/>
    <s v="Sin Riesgo"/>
    <n v="0"/>
    <n v="0"/>
    <n v="0"/>
    <n v="0"/>
    <n v="0"/>
    <n v="371100"/>
    <s v="NINGUNA"/>
    <x v="0"/>
    <n v="30"/>
    <n v="2318969"/>
    <n v="3.9999999105930328E-2"/>
    <n v="92800"/>
    <n v="0"/>
    <m/>
    <n v="0"/>
    <m/>
    <n v="0"/>
    <s v="NINGUNA"/>
    <x v="0"/>
    <n v="30"/>
    <n v="2318969"/>
    <n v="6.9600000977516174E-2"/>
    <s v="5"/>
    <s v="CENTRO TRABAJO 30"/>
    <s v="5711001"/>
    <n v="161500"/>
    <n v="30"/>
    <x v="1"/>
    <n v="2318969"/>
    <n v="3.9999999105930328E-2"/>
    <n v="92800"/>
    <n v="0"/>
    <n v="0"/>
    <n v="0"/>
    <n v="0"/>
    <n v="0"/>
    <n v="0"/>
    <n v="0"/>
    <n v="0"/>
    <n v="0"/>
    <s v="SI"/>
    <s v=" "/>
    <s v="                "/>
  </r>
  <r>
    <x v="1"/>
    <s v="CC"/>
    <x v="188"/>
    <x v="188"/>
    <s v="DE ARMAS"/>
    <s v="GOMEZ"/>
    <s v="EDILFRED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0"/>
    <n v="1"/>
    <n v="59520"/>
    <n v="3.9999999105930328E-2"/>
    <n v="2400"/>
    <n v="0"/>
    <m/>
    <n v="0"/>
    <m/>
    <n v="0"/>
    <s v="NINGUNA"/>
    <x v="0"/>
    <n v="1"/>
    <n v="59520"/>
    <n v="0"/>
    <s v="5"/>
    <s v="CENTRO TRABAJO 30"/>
    <s v="5711001"/>
    <n v="0"/>
    <n v="1"/>
    <x v="1"/>
    <n v="59520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188"/>
    <x v="188"/>
    <s v="DE ARMAS"/>
    <s v="GOMEZ"/>
    <s v="EDILFRED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0"/>
    <n v="1"/>
    <n v="59520"/>
    <n v="0"/>
    <n v="0"/>
    <n v="0"/>
    <m/>
    <n v="0"/>
    <m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88"/>
    <x v="188"/>
    <s v="DE ARMAS"/>
    <s v="GOMEZ"/>
    <s v="EDILFREDO"/>
    <s v=""/>
    <s v="LA_GUAJIRA"/>
    <s v="RIOHACHA"/>
    <s v="1. DEPENDIENTE"/>
    <s v="NINGUNO"/>
    <n v="19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8"/>
    <n v="1971325"/>
    <n v="0.15999999642372131"/>
    <n v="315500"/>
    <s v="Sin Riesgo"/>
    <n v="0"/>
    <n v="0"/>
    <n v="0"/>
    <n v="0"/>
    <n v="0"/>
    <n v="315500"/>
    <s v="NINGUNA"/>
    <x v="0"/>
    <n v="28"/>
    <n v="1971325"/>
    <n v="3.9999999105930328E-2"/>
    <n v="78900"/>
    <n v="0"/>
    <m/>
    <n v="0"/>
    <m/>
    <n v="0"/>
    <s v="NINGUNA"/>
    <x v="0"/>
    <n v="28"/>
    <n v="1971325"/>
    <n v="6.9600000977516174E-2"/>
    <s v="5"/>
    <s v="CENTRO TRABAJO 30"/>
    <s v="5711001"/>
    <n v="137300"/>
    <n v="28"/>
    <x v="1"/>
    <n v="1971325"/>
    <n v="3.9999999105930328E-2"/>
    <n v="78900"/>
    <n v="0"/>
    <n v="0"/>
    <n v="0"/>
    <n v="0"/>
    <n v="0"/>
    <n v="0"/>
    <n v="0"/>
    <n v="0"/>
    <n v="0"/>
    <s v="SI"/>
    <s v=" "/>
    <s v="                "/>
  </r>
  <r>
    <x v="1"/>
    <s v="CC"/>
    <x v="189"/>
    <x v="189"/>
    <s v="LUQUEZ"/>
    <s v="ROYERO"/>
    <s v="GABRIEL"/>
    <s v="DAVID"/>
    <s v="LA_GUAJIRA"/>
    <s v="RIOHACH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119392"/>
    <n v="0.15999999642372131"/>
    <n v="339200"/>
    <s v="Sin Riesgo"/>
    <n v="0"/>
    <n v="0"/>
    <n v="0"/>
    <n v="0"/>
    <n v="0"/>
    <n v="339200"/>
    <s v="NINGUNA"/>
    <x v="7"/>
    <n v="30"/>
    <n v="2119392"/>
    <n v="3.9999999105930328E-2"/>
    <n v="84800"/>
    <n v="0"/>
    <m/>
    <n v="0"/>
    <m/>
    <n v="0"/>
    <s v="NINGUNA"/>
    <x v="0"/>
    <n v="30"/>
    <n v="2119392"/>
    <n v="6.9600000977516174E-2"/>
    <s v="5"/>
    <s v="CENTRO TRABAJO 30"/>
    <s v="5711001"/>
    <n v="147600"/>
    <n v="30"/>
    <x v="1"/>
    <n v="2119392"/>
    <n v="3.9999999105930328E-2"/>
    <n v="84800"/>
    <n v="0"/>
    <n v="0"/>
    <n v="0"/>
    <n v="0"/>
    <n v="0"/>
    <n v="0"/>
    <n v="0"/>
    <n v="0"/>
    <n v="0"/>
    <s v="SI"/>
    <s v=" "/>
    <s v="                "/>
  </r>
  <r>
    <x v="1"/>
    <s v="CC"/>
    <x v="190"/>
    <x v="190"/>
    <s v="OLIVELLA"/>
    <s v="CORDOBA"/>
    <s v="FERNANDO"/>
    <s v="AUGUS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7"/>
    <n v="46057"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0"/>
    <n v="1"/>
    <n v="58364"/>
    <n v="3.9999999105930328E-2"/>
    <n v="2400"/>
    <n v="0"/>
    <m/>
    <n v="0"/>
    <m/>
    <n v="0"/>
    <s v="NINGUNA"/>
    <x v="0"/>
    <n v="1"/>
    <n v="58364"/>
    <n v="0"/>
    <s v="5"/>
    <s v="CENTRO TRABAJO 30"/>
    <s v="5711001"/>
    <n v="0"/>
    <n v="1"/>
    <x v="1"/>
    <n v="58364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190"/>
    <x v="190"/>
    <s v="OLIVELLA"/>
    <s v="CORDOBA"/>
    <s v="FERNANDO"/>
    <s v="AUGUSTO"/>
    <s v="LA_GUAJIRA"/>
    <s v="RIOHACHA"/>
    <s v="1. DEPENDIENTE"/>
    <s v="NINGUNO"/>
    <n v="42"/>
    <s v="NO"/>
    <s v="NO"/>
    <m/>
    <s v="NO"/>
    <m/>
    <s v="Todos los sistemas (ARL, AFP, CCF, EPS)"/>
    <n v="46057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"/>
    <n v="499406"/>
    <n v="0.15999999642372131"/>
    <n v="80000"/>
    <s v="Sin Riesgo"/>
    <n v="0"/>
    <n v="0"/>
    <n v="0"/>
    <n v="0"/>
    <n v="0"/>
    <n v="80000"/>
    <s v="NINGUNA"/>
    <x v="0"/>
    <n v="3"/>
    <n v="499406"/>
    <n v="3.9999999105930328E-2"/>
    <n v="20000"/>
    <n v="0"/>
    <m/>
    <n v="0"/>
    <m/>
    <n v="0"/>
    <s v="NINGUNA"/>
    <x v="0"/>
    <n v="3"/>
    <n v="499406"/>
    <n v="6.9600000977516174E-2"/>
    <s v="5"/>
    <s v="CENTRO TRABAJO 30"/>
    <s v="5711001"/>
    <n v="34800"/>
    <n v="3"/>
    <x v="1"/>
    <n v="544663"/>
    <n v="3.9999999105930328E-2"/>
    <n v="21800"/>
    <n v="0"/>
    <n v="0"/>
    <n v="0"/>
    <n v="0"/>
    <n v="0"/>
    <n v="0"/>
    <n v="0"/>
    <n v="0"/>
    <n v="0"/>
    <s v="SI"/>
    <s v=" "/>
    <s v="                "/>
  </r>
  <r>
    <x v="1"/>
    <s v="CC"/>
    <x v="191"/>
    <x v="191"/>
    <s v="SAENZ"/>
    <s v="SUAREZ"/>
    <s v="JULIETH"/>
    <s v="FERNANDA"/>
    <s v="BOGOTA_D.E."/>
    <s v="BOGOTA"/>
    <s v="1. DEPENDIENTE"/>
    <s v="NINGUNO"/>
    <n v="135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977061"/>
    <s v="NO"/>
    <s v="NO"/>
    <x v="0"/>
    <n v="21"/>
    <n v="4011811"/>
    <n v="0.15999999642372131"/>
    <n v="641900"/>
    <s v="Sin Riesgo"/>
    <n v="0"/>
    <n v="0"/>
    <n v="0"/>
    <n v="0"/>
    <n v="0"/>
    <n v="641900"/>
    <s v="NINGUNA"/>
    <x v="4"/>
    <n v="21"/>
    <n v="4011811"/>
    <n v="3.9999999105930328E-2"/>
    <n v="160500"/>
    <n v="0"/>
    <m/>
    <n v="0"/>
    <m/>
    <n v="0"/>
    <s v="NINGUNA"/>
    <x v="0"/>
    <n v="21"/>
    <n v="4011811"/>
    <n v="6.9600000977516174E-2"/>
    <s v="5"/>
    <s v="CENTRO TRABAJO 24"/>
    <s v="5711001"/>
    <n v="279300"/>
    <n v="21"/>
    <x v="0"/>
    <n v="4144152"/>
    <n v="3.9999999105930328E-2"/>
    <n v="165800"/>
    <n v="0"/>
    <n v="0"/>
    <n v="0"/>
    <n v="0"/>
    <n v="0"/>
    <n v="0"/>
    <n v="0"/>
    <n v="0"/>
    <n v="0"/>
    <s v="SI"/>
    <s v=" "/>
    <s v="                "/>
  </r>
  <r>
    <x v="1"/>
    <s v="CC"/>
    <x v="192"/>
    <x v="192"/>
    <s v="GAMEZ"/>
    <s v="PEÑARANDA"/>
    <s v="CARLOS"/>
    <s v="JUNIOR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1"/>
    <n v="58364"/>
    <n v="0.15999999642372131"/>
    <n v="9400"/>
    <s v="Sin Riesgo"/>
    <n v="0"/>
    <n v="0"/>
    <n v="0"/>
    <n v="0"/>
    <n v="0"/>
    <n v="9400"/>
    <s v="NINGUNA"/>
    <x v="2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92"/>
    <x v="192"/>
    <s v="GAMEZ"/>
    <s v="PEÑARANDA"/>
    <s v="CARLOS"/>
    <s v="JUNIOR"/>
    <s v="LA_GUAJIRA"/>
    <s v="RIOHACHA"/>
    <s v="1. DEPENDIENTE"/>
    <s v="NINGUNO"/>
    <n v="135"/>
    <s v="NO"/>
    <s v="NO"/>
    <m/>
    <s v="Todos los sistemas (ARL, AFP, CCF, EPS)"/>
    <n v="46062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21"/>
    <n v="1315169"/>
    <n v="0.15999999642372131"/>
    <n v="210500"/>
    <s v="Sin Riesgo"/>
    <n v="0"/>
    <n v="0"/>
    <n v="0"/>
    <n v="0"/>
    <n v="0"/>
    <n v="210500"/>
    <s v="NINGUNA"/>
    <x v="2"/>
    <n v="21"/>
    <n v="1315169"/>
    <n v="3.9999999105930328E-2"/>
    <n v="52700"/>
    <n v="0"/>
    <m/>
    <n v="0"/>
    <m/>
    <n v="0"/>
    <s v="NINGUNA"/>
    <x v="0"/>
    <n v="21"/>
    <n v="1315169"/>
    <n v="6.9600000977516174E-2"/>
    <s v="5"/>
    <s v="CENTRO TRABAJO 30"/>
    <s v="5711001"/>
    <n v="91600"/>
    <n v="21"/>
    <x v="1"/>
    <n v="1315169"/>
    <n v="3.9999999105930328E-2"/>
    <n v="52700"/>
    <n v="0"/>
    <n v="0"/>
    <n v="0"/>
    <n v="0"/>
    <n v="0"/>
    <n v="0"/>
    <n v="0"/>
    <n v="0"/>
    <n v="0"/>
    <s v="SI"/>
    <s v=" "/>
    <s v="                "/>
  </r>
  <r>
    <x v="1"/>
    <s v="CC"/>
    <x v="193"/>
    <x v="447"/>
    <s v="BALLESTAS"/>
    <s v="PERTUZ"/>
    <s v="ESNEIDER"/>
    <s v="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30"/>
    <n v="2024684"/>
    <n v="0.15999999642372131"/>
    <n v="324000"/>
    <s v="Sin Riesgo"/>
    <n v="0"/>
    <n v="0"/>
    <n v="0"/>
    <n v="0"/>
    <n v="0"/>
    <n v="324000"/>
    <s v="NINGUNA"/>
    <x v="9"/>
    <n v="30"/>
    <n v="2024684"/>
    <n v="3.9999999105930328E-2"/>
    <n v="81000"/>
    <n v="0"/>
    <m/>
    <n v="0"/>
    <m/>
    <n v="0"/>
    <s v="NINGUNA"/>
    <x v="0"/>
    <n v="30"/>
    <n v="2024684"/>
    <n v="6.9600000977516174E-2"/>
    <s v="5"/>
    <s v="CENTRO TRABAJO 30"/>
    <s v="5711001"/>
    <n v="141000"/>
    <n v="30"/>
    <x v="1"/>
    <n v="2024684"/>
    <n v="3.9999999105930328E-2"/>
    <n v="81000"/>
    <n v="0"/>
    <n v="0"/>
    <n v="0"/>
    <n v="0"/>
    <n v="0"/>
    <n v="0"/>
    <n v="0"/>
    <n v="0"/>
    <n v="0"/>
    <s v="SI"/>
    <s v=" "/>
    <s v="                "/>
  </r>
  <r>
    <x v="1"/>
    <s v="CC"/>
    <x v="194"/>
    <x v="194"/>
    <s v="SARMIENTO"/>
    <s v="DAZA"/>
    <s v="CARLOS"/>
    <s v="DARI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060658"/>
    <n v="0.15999999642372131"/>
    <n v="329800"/>
    <s v="Sin Riesgo"/>
    <n v="0"/>
    <n v="0"/>
    <n v="0"/>
    <n v="0"/>
    <n v="0"/>
    <n v="329800"/>
    <s v="NINGUNA"/>
    <x v="2"/>
    <n v="30"/>
    <n v="2060658"/>
    <n v="3.9999999105930328E-2"/>
    <n v="82500"/>
    <n v="0"/>
    <m/>
    <n v="0"/>
    <m/>
    <n v="0"/>
    <s v="NINGUNA"/>
    <x v="0"/>
    <n v="30"/>
    <n v="2060658"/>
    <n v="6.9600000977516174E-2"/>
    <s v="5"/>
    <s v="CENTRO TRABAJO 30"/>
    <s v="5711001"/>
    <n v="143500"/>
    <n v="30"/>
    <x v="1"/>
    <n v="2060658"/>
    <n v="3.9999999105930328E-2"/>
    <n v="82500"/>
    <n v="0"/>
    <n v="0"/>
    <n v="0"/>
    <n v="0"/>
    <n v="0"/>
    <n v="0"/>
    <n v="0"/>
    <n v="0"/>
    <n v="0"/>
    <s v="SI"/>
    <s v=" "/>
    <s v="                "/>
  </r>
  <r>
    <x v="1"/>
    <s v="CC"/>
    <x v="195"/>
    <x v="195"/>
    <s v="ARGUELLES"/>
    <s v="BRITO"/>
    <s v="ANDERSON"/>
    <s v="YESID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060658"/>
    <n v="0.15999999642372131"/>
    <n v="329800"/>
    <s v="Sin Riesgo"/>
    <n v="0"/>
    <n v="0"/>
    <n v="0"/>
    <n v="0"/>
    <n v="0"/>
    <n v="329800"/>
    <s v="NINGUNA"/>
    <x v="2"/>
    <n v="30"/>
    <n v="2060658"/>
    <n v="3.9999999105930328E-2"/>
    <n v="82500"/>
    <n v="0"/>
    <m/>
    <n v="0"/>
    <m/>
    <n v="0"/>
    <s v="NINGUNA"/>
    <x v="0"/>
    <n v="30"/>
    <n v="2060658"/>
    <n v="6.9600000977516174E-2"/>
    <s v="5"/>
    <s v="CENTRO TRABAJO 30"/>
    <s v="5711001"/>
    <n v="143500"/>
    <n v="30"/>
    <x v="1"/>
    <n v="2060658"/>
    <n v="3.9999999105930328E-2"/>
    <n v="82500"/>
    <n v="0"/>
    <n v="0"/>
    <n v="0"/>
    <n v="0"/>
    <n v="0"/>
    <n v="0"/>
    <n v="0"/>
    <n v="0"/>
    <n v="0"/>
    <s v="SI"/>
    <s v=" "/>
    <s v="                "/>
  </r>
  <r>
    <x v="1"/>
    <s v="CC"/>
    <x v="196"/>
    <x v="196"/>
    <s v="YEPES"/>
    <s v="TOLOZA"/>
    <s v="ALI"/>
    <s v="DAVID"/>
    <s v="LA_GUAJIRA"/>
    <s v="RIOHACHA"/>
    <s v="1. DEPENDIENTE"/>
    <s v="NINGUNO"/>
    <n v="200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6"/>
    <n v="1971705"/>
    <n v="0.15999999642372131"/>
    <n v="315500"/>
    <s v="Sin Riesgo"/>
    <n v="0"/>
    <n v="0"/>
    <n v="0"/>
    <n v="0"/>
    <n v="0"/>
    <n v="315500"/>
    <s v="NINGUNA"/>
    <x v="0"/>
    <n v="26"/>
    <n v="1971705"/>
    <n v="3.9999999105930328E-2"/>
    <n v="78900"/>
    <n v="0"/>
    <m/>
    <n v="0"/>
    <m/>
    <n v="0"/>
    <s v="NINGUNA"/>
    <x v="0"/>
    <n v="26"/>
    <n v="1971705"/>
    <n v="6.9600000977516174E-2"/>
    <s v="5"/>
    <s v="CENTRO TRABAJO 30"/>
    <s v="5711001"/>
    <n v="137300"/>
    <n v="26"/>
    <x v="1"/>
    <n v="2077291"/>
    <n v="3.9999999105930328E-2"/>
    <n v="83100"/>
    <n v="0"/>
    <n v="0"/>
    <n v="0"/>
    <n v="0"/>
    <n v="0"/>
    <n v="0"/>
    <n v="0"/>
    <n v="0"/>
    <n v="0"/>
    <s v="SI"/>
    <s v=" "/>
    <s v="                "/>
  </r>
  <r>
    <x v="1"/>
    <s v="CC"/>
    <x v="197"/>
    <x v="197"/>
    <s v="CAMPUZANO"/>
    <s v="BELTRAN"/>
    <s v="ELIO"/>
    <s v="ENRIQUE"/>
    <s v="LA_GUAJIRA"/>
    <s v="RIOHACHA"/>
    <s v="1. DEPENDIENTE"/>
    <s v="NINGUNO"/>
    <n v="202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6"/>
    <n v="2031061"/>
    <n v="0.15999999642372131"/>
    <n v="325000"/>
    <s v="Sin Riesgo"/>
    <n v="0"/>
    <n v="0"/>
    <n v="0"/>
    <n v="0"/>
    <n v="0"/>
    <n v="325000"/>
    <s v="NINGUNA"/>
    <x v="0"/>
    <n v="26"/>
    <n v="2031061"/>
    <n v="3.9999999105930328E-2"/>
    <n v="81300"/>
    <n v="0"/>
    <m/>
    <n v="0"/>
    <m/>
    <n v="0"/>
    <s v="NINGUNA"/>
    <x v="0"/>
    <n v="26"/>
    <n v="2031061"/>
    <n v="6.9600000977516174E-2"/>
    <s v="5"/>
    <s v="CENTRO TRABAJO 30"/>
    <s v="5711001"/>
    <n v="141400"/>
    <n v="26"/>
    <x v="1"/>
    <n v="2139597"/>
    <n v="3.9999999105930328E-2"/>
    <n v="85600"/>
    <n v="0"/>
    <n v="0"/>
    <n v="0"/>
    <n v="0"/>
    <n v="0"/>
    <n v="0"/>
    <n v="0"/>
    <n v="0"/>
    <n v="0"/>
    <s v="SI"/>
    <s v=" "/>
    <s v="                "/>
  </r>
  <r>
    <x v="1"/>
    <s v="CC"/>
    <x v="198"/>
    <x v="198"/>
    <s v="BRITO"/>
    <s v="PUSAINA"/>
    <s v="ALDO"/>
    <s v="ALBERTO"/>
    <s v="LA_GUAJIRA"/>
    <s v="RIOHACHA"/>
    <s v="1. DEPENDIENTE"/>
    <s v="NINGUNO"/>
    <n v="26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895244"/>
    <s v="NO"/>
    <s v="NO"/>
    <x v="0"/>
    <n v="30"/>
    <n v="2803669"/>
    <n v="0.15999999642372131"/>
    <n v="448600"/>
    <s v="Sin Riesgo"/>
    <n v="0"/>
    <n v="0"/>
    <n v="0"/>
    <n v="0"/>
    <n v="0"/>
    <n v="448600"/>
    <s v="NINGUNA"/>
    <x v="7"/>
    <n v="30"/>
    <n v="2803669"/>
    <n v="3.9999999105930328E-2"/>
    <n v="112200"/>
    <n v="0"/>
    <m/>
    <n v="0"/>
    <m/>
    <n v="0"/>
    <s v="NINGUNA"/>
    <x v="0"/>
    <n v="30"/>
    <n v="2803669"/>
    <n v="6.9600000977516174E-2"/>
    <s v="5"/>
    <s v="CENTRO TRABAJO 30"/>
    <s v="5711001"/>
    <n v="195200"/>
    <n v="30"/>
    <x v="1"/>
    <n v="2803669"/>
    <n v="3.9999999105930328E-2"/>
    <n v="112200"/>
    <n v="0"/>
    <n v="0"/>
    <n v="0"/>
    <n v="0"/>
    <n v="0"/>
    <n v="0"/>
    <n v="0"/>
    <n v="0"/>
    <n v="0"/>
    <s v="SI"/>
    <s v=" "/>
    <s v="                "/>
  </r>
  <r>
    <x v="1"/>
    <s v="CC"/>
    <x v="199"/>
    <x v="199"/>
    <s v="VIDAL"/>
    <s v="IPUANA"/>
    <s v="FADUL"/>
    <s v="ANDRES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110655"/>
    <n v="0.15999999642372131"/>
    <n v="337800"/>
    <s v="Sin Riesgo"/>
    <n v="0"/>
    <n v="0"/>
    <n v="0"/>
    <n v="0"/>
    <n v="0"/>
    <n v="337800"/>
    <s v="NINGUNA"/>
    <x v="3"/>
    <n v="30"/>
    <n v="2110655"/>
    <n v="3.9999999105930328E-2"/>
    <n v="84500"/>
    <n v="0"/>
    <m/>
    <n v="0"/>
    <m/>
    <n v="0"/>
    <s v="NINGUNA"/>
    <x v="0"/>
    <n v="30"/>
    <n v="2110655"/>
    <n v="6.9600000977516174E-2"/>
    <s v="5"/>
    <s v="CENTRO TRABAJO 30"/>
    <s v="5711001"/>
    <n v="147000"/>
    <n v="30"/>
    <x v="1"/>
    <n v="2110655"/>
    <n v="3.9999999105930328E-2"/>
    <n v="84500"/>
    <n v="0"/>
    <n v="0"/>
    <n v="0"/>
    <n v="0"/>
    <n v="0"/>
    <n v="0"/>
    <n v="0"/>
    <n v="0"/>
    <n v="0"/>
    <s v="SI"/>
    <s v=" "/>
    <s v="                "/>
  </r>
  <r>
    <x v="1"/>
    <s v="CC"/>
    <x v="200"/>
    <x v="200"/>
    <s v="CURVELO"/>
    <s v="TRILLO"/>
    <s v="FRANCISCO"/>
    <s v="ANTONIO"/>
    <s v="LA_GUAJIRA"/>
    <s v="RIOHACH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181673"/>
    <n v="0.15999999642372131"/>
    <n v="349100"/>
    <s v="Sin Riesgo"/>
    <n v="0"/>
    <n v="0"/>
    <n v="0"/>
    <n v="0"/>
    <n v="0"/>
    <n v="349100"/>
    <s v="NINGUNA"/>
    <x v="3"/>
    <n v="30"/>
    <n v="2181673"/>
    <n v="3.9999999105930328E-2"/>
    <n v="87300"/>
    <n v="0"/>
    <m/>
    <n v="0"/>
    <m/>
    <n v="0"/>
    <s v="NINGUNA"/>
    <x v="0"/>
    <n v="30"/>
    <n v="2181673"/>
    <n v="6.9600000977516174E-2"/>
    <s v="5"/>
    <s v="CENTRO TRABAJO 30"/>
    <s v="5711001"/>
    <n v="151900"/>
    <n v="30"/>
    <x v="1"/>
    <n v="2181673"/>
    <n v="3.9999999105930328E-2"/>
    <n v="87300"/>
    <n v="0"/>
    <n v="0"/>
    <n v="0"/>
    <n v="0"/>
    <n v="0"/>
    <n v="0"/>
    <n v="0"/>
    <n v="0"/>
    <n v="0"/>
    <s v="SI"/>
    <s v=" "/>
    <s v="                "/>
  </r>
  <r>
    <x v="1"/>
    <s v="CC"/>
    <x v="201"/>
    <x v="201"/>
    <s v="AVELLANEDA"/>
    <s v="CHOACHI"/>
    <s v="JUAN"/>
    <s v="CARLOS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1201102"/>
    <s v="NO"/>
    <s v="NO"/>
    <x v="1"/>
    <n v="30"/>
    <n v="11201102"/>
    <n v="0.15999999642372131"/>
    <n v="1792200"/>
    <s v="Sin Riesgo"/>
    <n v="0"/>
    <n v="0"/>
    <n v="56100"/>
    <n v="56100"/>
    <n v="0"/>
    <n v="1904400"/>
    <s v="NINGUNA"/>
    <x v="10"/>
    <n v="30"/>
    <n v="11201102"/>
    <n v="3.9999999105930328E-2"/>
    <n v="448100"/>
    <n v="0"/>
    <m/>
    <n v="0"/>
    <m/>
    <n v="0"/>
    <s v="NINGUNA"/>
    <x v="0"/>
    <n v="30"/>
    <n v="11201102"/>
    <n v="6.9600000977516174E-2"/>
    <s v="5"/>
    <s v="CENTRO TRABAJO 24"/>
    <s v="5711001"/>
    <n v="779600"/>
    <n v="30"/>
    <x v="0"/>
    <n v="11201102"/>
    <n v="3.9999999105930328E-2"/>
    <n v="448100"/>
    <n v="0"/>
    <n v="0"/>
    <n v="0"/>
    <n v="0"/>
    <n v="0"/>
    <n v="0"/>
    <n v="0"/>
    <n v="0"/>
    <n v="0"/>
    <s v="SI"/>
    <s v=" "/>
    <s v="                "/>
  </r>
  <r>
    <x v="1"/>
    <s v="CC"/>
    <x v="202"/>
    <x v="202"/>
    <s v="MONTERO"/>
    <s v="DIAZ"/>
    <s v="BERNARDO"/>
    <s v="ALFRE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2"/>
    <s v="NO"/>
    <s v="NO"/>
    <m/>
    <m/>
    <n v="0"/>
    <m/>
    <m/>
    <s v="NO"/>
    <n v="3743280"/>
    <s v="NO"/>
    <s v="NO"/>
    <x v="0"/>
    <n v="4"/>
    <n v="499104"/>
    <n v="0.15999999642372131"/>
    <n v="79900"/>
    <s v="Sin Riesgo"/>
    <n v="0"/>
    <n v="0"/>
    <n v="0"/>
    <n v="0"/>
    <n v="0"/>
    <n v="79900"/>
    <s v="NINGUNA"/>
    <x v="2"/>
    <n v="4"/>
    <n v="499104"/>
    <n v="3.9999999105930328E-2"/>
    <n v="20000"/>
    <n v="0"/>
    <m/>
    <n v="0"/>
    <m/>
    <n v="0"/>
    <s v="NINGUNA"/>
    <x v="0"/>
    <n v="4"/>
    <n v="499104"/>
    <n v="0"/>
    <s v="5"/>
    <s v="CENTRO TRABAJO 24"/>
    <s v="5711001"/>
    <n v="0"/>
    <n v="4"/>
    <x v="0"/>
    <n v="499104"/>
    <n v="3.9999999105930328E-2"/>
    <n v="20000"/>
    <n v="0"/>
    <n v="0"/>
    <n v="0"/>
    <n v="0"/>
    <n v="0"/>
    <n v="0"/>
    <n v="0"/>
    <n v="0"/>
    <n v="0"/>
    <s v="SI"/>
    <s v=" "/>
    <s v="                "/>
  </r>
  <r>
    <x v="1"/>
    <s v="CC"/>
    <x v="202"/>
    <x v="202"/>
    <s v="MONTERO"/>
    <s v="DIAZ"/>
    <s v="BERNARDO"/>
    <s v="ALFREDO"/>
    <s v="BOGOTA_D.E."/>
    <s v="BOGOTA"/>
    <s v="1. DEPENDIENTE"/>
    <s v="NINGUNO"/>
    <n v="14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743280"/>
    <s v="NO"/>
    <s v="NO"/>
    <x v="0"/>
    <n v="26"/>
    <n v="3366388"/>
    <n v="0.15999999642372131"/>
    <n v="538700"/>
    <s v="Sin Riesgo"/>
    <n v="0"/>
    <n v="0"/>
    <n v="0"/>
    <n v="0"/>
    <n v="0"/>
    <n v="538700"/>
    <s v="NINGUNA"/>
    <x v="2"/>
    <n v="26"/>
    <n v="3366388"/>
    <n v="3.9999999105930328E-2"/>
    <n v="134700"/>
    <n v="0"/>
    <m/>
    <n v="0"/>
    <m/>
    <n v="0"/>
    <s v="NINGUNA"/>
    <x v="0"/>
    <n v="26"/>
    <n v="3366388"/>
    <n v="6.9600000977516174E-2"/>
    <s v="5"/>
    <s v="CENTRO TRABAJO 24"/>
    <s v="5711001"/>
    <n v="234400"/>
    <n v="26"/>
    <x v="0"/>
    <n v="3244176"/>
    <n v="3.9999999105930328E-2"/>
    <n v="129800"/>
    <n v="0"/>
    <n v="0"/>
    <n v="0"/>
    <n v="0"/>
    <n v="0"/>
    <n v="0"/>
    <n v="0"/>
    <n v="0"/>
    <n v="0"/>
    <s v="SI"/>
    <s v=" "/>
    <s v="                "/>
  </r>
  <r>
    <x v="1"/>
    <s v="CC"/>
    <x v="203"/>
    <x v="203"/>
    <s v="MORON"/>
    <s v="PINTO"/>
    <s v="HENRY"/>
    <s v="DAVID"/>
    <s v="LA_GUAJIRA"/>
    <s v="RIOHACHA"/>
    <s v="1. DEPENDIENTE"/>
    <s v="NINGUNO"/>
    <n v="202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6"/>
    <n v="2031061"/>
    <n v="0.15999999642372131"/>
    <n v="325000"/>
    <s v="Sin Riesgo"/>
    <n v="0"/>
    <n v="0"/>
    <n v="0"/>
    <n v="0"/>
    <n v="0"/>
    <n v="325000"/>
    <s v="NINGUNA"/>
    <x v="7"/>
    <n v="26"/>
    <n v="2031061"/>
    <n v="3.9999999105930328E-2"/>
    <n v="81300"/>
    <n v="0"/>
    <m/>
    <n v="0"/>
    <m/>
    <n v="0"/>
    <s v="NINGUNA"/>
    <x v="0"/>
    <n v="26"/>
    <n v="2031061"/>
    <n v="6.9600000977516174E-2"/>
    <s v="5"/>
    <s v="CENTRO TRABAJO 30"/>
    <s v="5711001"/>
    <n v="141400"/>
    <n v="26"/>
    <x v="1"/>
    <n v="2139597"/>
    <n v="3.9999999105930328E-2"/>
    <n v="85600"/>
    <n v="0"/>
    <n v="0"/>
    <n v="0"/>
    <n v="0"/>
    <n v="0"/>
    <n v="0"/>
    <n v="0"/>
    <n v="0"/>
    <n v="0"/>
    <s v="SI"/>
    <s v=" "/>
    <s v="                "/>
  </r>
  <r>
    <x v="1"/>
    <s v="CC"/>
    <x v="204"/>
    <x v="204"/>
    <s v="LOPEZ"/>
    <s v="FERNANDEZ"/>
    <s v="JOSE"/>
    <s v="JAFETH"/>
    <s v="BOGOTA_D.E."/>
    <s v="BOGOT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1989666"/>
    <n v="0.15999999642372131"/>
    <n v="318400"/>
    <s v="Sin Riesgo"/>
    <n v="0"/>
    <n v="0"/>
    <n v="0"/>
    <n v="0"/>
    <n v="0"/>
    <n v="318400"/>
    <s v="NINGUNA"/>
    <x v="10"/>
    <n v="30"/>
    <n v="1989666"/>
    <n v="3.9999999105930328E-2"/>
    <n v="79600"/>
    <n v="0"/>
    <m/>
    <n v="0"/>
    <m/>
    <n v="0"/>
    <s v="NINGUNA"/>
    <x v="0"/>
    <n v="30"/>
    <n v="1989666"/>
    <n v="2.4360001087188721E-2"/>
    <s v="3"/>
    <s v="CENTRO TRABAJO 24"/>
    <s v="3711001"/>
    <n v="48500"/>
    <n v="30"/>
    <x v="0"/>
    <n v="1989666"/>
    <n v="3.9999999105930328E-2"/>
    <n v="79600"/>
    <n v="0"/>
    <n v="0"/>
    <n v="0"/>
    <n v="0"/>
    <n v="0"/>
    <n v="0"/>
    <n v="0"/>
    <n v="0"/>
    <n v="0"/>
    <s v="SI"/>
    <s v=" "/>
    <s v="                "/>
  </r>
  <r>
    <x v="1"/>
    <s v="CC"/>
    <x v="205"/>
    <x v="205"/>
    <s v="JARAMILLO"/>
    <s v="AGUILAR"/>
    <s v="IVAN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5999999642372131"/>
    <n v="18700"/>
    <s v="Sin Riesgo"/>
    <n v="0"/>
    <n v="0"/>
    <n v="0"/>
    <n v="0"/>
    <n v="0"/>
    <n v="18700"/>
    <s v="NINGUNA"/>
    <x v="3"/>
    <n v="2"/>
    <n v="116727"/>
    <n v="0"/>
    <n v="0"/>
    <n v="0"/>
    <m/>
    <n v="0"/>
    <m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05"/>
    <x v="205"/>
    <s v="JARAMILLO"/>
    <s v="AGUILAR"/>
    <s v="IVAN"/>
    <s v="ALEXANDER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8"/>
    <n v="4605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5999999642372131"/>
    <n v="18700"/>
    <s v="Sin Riesgo"/>
    <n v="0"/>
    <n v="0"/>
    <n v="0"/>
    <n v="0"/>
    <n v="0"/>
    <n v="18700"/>
    <s v="NINGUNA"/>
    <x v="3"/>
    <n v="2"/>
    <n v="116727"/>
    <n v="0"/>
    <n v="0"/>
    <n v="0"/>
    <m/>
    <n v="0"/>
    <m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05"/>
    <x v="205"/>
    <s v="JARAMILLO"/>
    <s v="AGUILAR"/>
    <s v="IVAN"/>
    <s v="ALEXANDER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6"/>
    <n v="1980249"/>
    <n v="0.15999999642372131"/>
    <n v="316900"/>
    <s v="Sin Riesgo"/>
    <n v="0"/>
    <n v="0"/>
    <n v="0"/>
    <n v="0"/>
    <n v="0"/>
    <n v="316900"/>
    <s v="NINGUNA"/>
    <x v="3"/>
    <n v="26"/>
    <n v="1980249"/>
    <n v="3.9999999105930328E-2"/>
    <n v="79300"/>
    <n v="0"/>
    <m/>
    <n v="0"/>
    <m/>
    <n v="0"/>
    <s v="NINGUNA"/>
    <x v="0"/>
    <n v="26"/>
    <n v="1980249"/>
    <n v="6.9600000977516174E-2"/>
    <s v="5"/>
    <s v="CENTRO TRABAJO 24"/>
    <s v="5711001"/>
    <n v="137900"/>
    <n v="26"/>
    <x v="0"/>
    <n v="1980249"/>
    <n v="3.9999999105930328E-2"/>
    <n v="79300"/>
    <n v="0"/>
    <n v="0"/>
    <n v="0"/>
    <n v="0"/>
    <n v="0"/>
    <n v="0"/>
    <n v="0"/>
    <n v="0"/>
    <n v="0"/>
    <s v="SI"/>
    <s v=" "/>
    <s v="                "/>
  </r>
  <r>
    <x v="1"/>
    <s v="CC"/>
    <x v="206"/>
    <x v="206"/>
    <s v="ARROYO"/>
    <s v="SANMARTIN"/>
    <s v="JOHAN"/>
    <s v="RICARDO"/>
    <s v="BOGOTA_D.E."/>
    <s v="BOGOTA"/>
    <s v="1. DEPENDIENTE"/>
    <s v="NINGUNO"/>
    <n v="30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"/>
    <n v="852449"/>
    <n v="0.15999999642372131"/>
    <n v="136400"/>
    <s v="Sin Riesgo"/>
    <n v="0"/>
    <n v="0"/>
    <n v="0"/>
    <n v="0"/>
    <n v="0"/>
    <n v="136400"/>
    <s v="NINGUNA"/>
    <x v="3"/>
    <n v="3"/>
    <n v="852449"/>
    <n v="0.125"/>
    <n v="106600"/>
    <n v="0"/>
    <m/>
    <n v="0"/>
    <m/>
    <n v="0"/>
    <s v="NINGUNA"/>
    <x v="0"/>
    <n v="3"/>
    <n v="852449"/>
    <n v="6.9600000977516174E-2"/>
    <s v="5"/>
    <s v="CENTRO TRABAJO 24"/>
    <s v="5711001"/>
    <n v="59400"/>
    <n v="3"/>
    <x v="0"/>
    <n v="1060549"/>
    <n v="3.9999999105930328E-2"/>
    <n v="42500"/>
    <n v="1060549"/>
    <n v="1.9999999552965164E-2"/>
    <n v="21300"/>
    <n v="2.9999999329447746E-2"/>
    <n v="31900"/>
    <n v="0"/>
    <n v="0"/>
    <n v="0"/>
    <n v="0"/>
    <s v="NO"/>
    <s v=" "/>
    <s v="                "/>
  </r>
  <r>
    <x v="1"/>
    <s v="CC"/>
    <x v="207"/>
    <x v="207"/>
    <s v="ROMERO"/>
    <s v="AVILA"/>
    <s v="YORLAN"/>
    <s v="MANUEL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2"/>
    <n v="30"/>
    <n v="5209465"/>
    <n v="0.15999999642372131"/>
    <n v="833600"/>
    <s v="Sin Riesgo"/>
    <n v="0"/>
    <n v="0"/>
    <n v="0"/>
    <n v="0"/>
    <n v="0"/>
    <n v="833600"/>
    <s v="NINGUNA"/>
    <x v="3"/>
    <n v="30"/>
    <n v="5209465"/>
    <n v="3.9999999105930328E-2"/>
    <n v="208400"/>
    <n v="0"/>
    <m/>
    <n v="0"/>
    <m/>
    <n v="0"/>
    <s v="NINGUNA"/>
    <x v="0"/>
    <n v="30"/>
    <n v="5209465"/>
    <n v="6.9600000977516174E-2"/>
    <s v="5"/>
    <s v="CENTRO TRABAJO 24"/>
    <s v="5711001"/>
    <n v="362600"/>
    <n v="30"/>
    <x v="0"/>
    <n v="5209465"/>
    <n v="3.9999999105930328E-2"/>
    <n v="208400"/>
    <n v="0"/>
    <n v="0"/>
    <n v="0"/>
    <n v="0"/>
    <n v="0"/>
    <n v="0"/>
    <n v="0"/>
    <n v="0"/>
    <n v="0"/>
    <s v="SI"/>
    <s v=" "/>
    <s v="                "/>
  </r>
  <r>
    <x v="1"/>
    <s v="CC"/>
    <x v="208"/>
    <x v="208"/>
    <s v="MEJIA"/>
    <s v="MEDINA"/>
    <s v="LUISA"/>
    <s v="FERNANDA"/>
    <s v="BOGOTA_D.E."/>
    <s v="BOGOTA"/>
    <s v="1. DEPENDIENTE"/>
    <s v="NINGUNO"/>
    <n v="123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15"/>
    <n v="1660072"/>
    <n v="0.15999999642372131"/>
    <n v="265700"/>
    <s v="Sin Riesgo"/>
    <n v="0"/>
    <n v="0"/>
    <n v="0"/>
    <n v="0"/>
    <n v="0"/>
    <n v="265700"/>
    <s v="NINGUNA"/>
    <x v="0"/>
    <n v="15"/>
    <n v="1660072"/>
    <n v="3.9999999105930328E-2"/>
    <n v="66500"/>
    <n v="0"/>
    <m/>
    <n v="0"/>
    <m/>
    <n v="0"/>
    <s v="NINGUNA"/>
    <x v="0"/>
    <n v="15"/>
    <n v="1660072"/>
    <n v="6.9600000977516174E-2"/>
    <s v="5"/>
    <s v="CENTRO TRABAJO 24"/>
    <s v="5711001"/>
    <n v="115600"/>
    <n v="15"/>
    <x v="0"/>
    <n v="2095691"/>
    <n v="3.9999999105930328E-2"/>
    <n v="83900"/>
    <n v="0"/>
    <n v="0"/>
    <n v="0"/>
    <n v="0"/>
    <n v="0"/>
    <n v="0"/>
    <n v="0"/>
    <n v="0"/>
    <n v="0"/>
    <s v="SI"/>
    <s v=" "/>
    <s v="                "/>
  </r>
  <r>
    <x v="1"/>
    <s v="CC"/>
    <x v="209"/>
    <x v="209"/>
    <s v="VARGAS"/>
    <s v="BERNAL"/>
    <s v="OSWALDO"/>
    <s v="JOSE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0"/>
    <n v="3173345"/>
    <n v="0.15999999642372131"/>
    <n v="507800"/>
    <s v="Sin Riesgo"/>
    <n v="0"/>
    <n v="0"/>
    <n v="0"/>
    <n v="0"/>
    <n v="0"/>
    <n v="507800"/>
    <s v="NINGUNA"/>
    <x v="3"/>
    <n v="30"/>
    <n v="3173345"/>
    <n v="3.9999999105930328E-2"/>
    <n v="127000"/>
    <n v="0"/>
    <m/>
    <n v="0"/>
    <m/>
    <n v="0"/>
    <s v="NINGUNA"/>
    <x v="0"/>
    <n v="30"/>
    <n v="3173345"/>
    <n v="6.9600000977516174E-2"/>
    <s v="5"/>
    <s v="CENTRO TRABAJO 24"/>
    <s v="5711001"/>
    <n v="220900"/>
    <n v="30"/>
    <x v="0"/>
    <n v="3173345"/>
    <n v="3.9999999105930328E-2"/>
    <n v="127000"/>
    <n v="0"/>
    <n v="0"/>
    <n v="0"/>
    <n v="0"/>
    <n v="0"/>
    <n v="0"/>
    <n v="0"/>
    <n v="0"/>
    <n v="0"/>
    <s v="SI"/>
    <s v=" "/>
    <s v="                "/>
  </r>
  <r>
    <x v="1"/>
    <s v="CC"/>
    <x v="210"/>
    <x v="210"/>
    <s v="ZABALA"/>
    <s v="OCAMPO"/>
    <s v="MARIA"/>
    <s v="BERENIC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3"/>
    <n v="1"/>
    <n v="59520"/>
    <n v="0"/>
    <n v="0"/>
    <n v="0"/>
    <m/>
    <n v="0"/>
    <m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10"/>
    <x v="210"/>
    <s v="ZABALA"/>
    <s v="OCAMPO"/>
    <s v="MARIA"/>
    <s v="BERENIC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6"/>
    <n v="46056"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3"/>
    <n v="1"/>
    <n v="59520"/>
    <n v="3.9999999105930328E-2"/>
    <n v="2400"/>
    <n v="0"/>
    <m/>
    <n v="0"/>
    <m/>
    <n v="0"/>
    <s v="NINGUNA"/>
    <x v="0"/>
    <n v="1"/>
    <n v="59520"/>
    <n v="0"/>
    <s v="5"/>
    <s v="CENTRO TRABAJO 24"/>
    <s v="5711001"/>
    <n v="0"/>
    <n v="1"/>
    <x v="0"/>
    <n v="59520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210"/>
    <x v="210"/>
    <s v="ZABALA"/>
    <s v="OCAMPO"/>
    <s v="MARIA"/>
    <s v="BERENICE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2"/>
    <n v="46063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"/>
    <n v="119040"/>
    <n v="0.15999999642372131"/>
    <n v="19100"/>
    <s v="Sin Riesgo"/>
    <n v="0"/>
    <n v="0"/>
    <n v="0"/>
    <n v="0"/>
    <n v="0"/>
    <n v="19100"/>
    <s v="NINGUNA"/>
    <x v="3"/>
    <n v="2"/>
    <n v="119040"/>
    <n v="0"/>
    <n v="0"/>
    <n v="0"/>
    <m/>
    <n v="0"/>
    <m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10"/>
    <x v="210"/>
    <s v="ZABALA"/>
    <s v="OCAMPO"/>
    <s v="MARIA"/>
    <s v="BERENICE"/>
    <s v="BOGOTA_D.E."/>
    <s v="BOGOTA"/>
    <s v="1. DEPENDIENTE"/>
    <s v="NINGUNO"/>
    <n v="19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6"/>
    <n v="2056439"/>
    <n v="0.15999999642372131"/>
    <n v="329100"/>
    <s v="Sin Riesgo"/>
    <n v="0"/>
    <n v="0"/>
    <n v="0"/>
    <n v="0"/>
    <n v="0"/>
    <n v="329100"/>
    <s v="NINGUNA"/>
    <x v="3"/>
    <n v="26"/>
    <n v="2056439"/>
    <n v="3.9999999105930328E-2"/>
    <n v="82300"/>
    <n v="0"/>
    <m/>
    <n v="0"/>
    <m/>
    <n v="0"/>
    <s v="NINGUNA"/>
    <x v="0"/>
    <n v="26"/>
    <n v="2056439"/>
    <n v="6.9600000977516174E-2"/>
    <s v="5"/>
    <s v="CENTRO TRABAJO 24"/>
    <s v="5711001"/>
    <n v="143200"/>
    <n v="26"/>
    <x v="0"/>
    <n v="2056439"/>
    <n v="3.9999999105930328E-2"/>
    <n v="82300"/>
    <n v="0"/>
    <n v="0"/>
    <n v="0"/>
    <n v="0"/>
    <n v="0"/>
    <n v="0"/>
    <n v="0"/>
    <n v="0"/>
    <n v="0"/>
    <s v="SI"/>
    <s v=" "/>
    <s v="                "/>
  </r>
  <r>
    <x v="1"/>
    <s v="CC"/>
    <x v="211"/>
    <x v="211"/>
    <s v="MANOTAS"/>
    <s v="BARRIOS"/>
    <s v="JAIR"/>
    <s v="ANTONIO"/>
    <s v="BOGOTA_D.E."/>
    <s v="BOGOTA"/>
    <s v="1. DEPENDIENTE"/>
    <s v="NINGUNO"/>
    <n v="30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3"/>
    <n v="1025476"/>
    <n v="0.15999999642372131"/>
    <n v="164100"/>
    <s v="Sin Riesgo"/>
    <n v="0"/>
    <n v="0"/>
    <n v="0"/>
    <n v="0"/>
    <n v="0"/>
    <n v="164100"/>
    <s v="NINGUNA"/>
    <x v="9"/>
    <n v="3"/>
    <n v="1025476"/>
    <n v="0.125"/>
    <n v="128200"/>
    <n v="0"/>
    <m/>
    <n v="0"/>
    <m/>
    <n v="0"/>
    <s v="NINGUNA"/>
    <x v="0"/>
    <n v="3"/>
    <n v="1025476"/>
    <n v="6.9600000977516174E-2"/>
    <s v="5"/>
    <s v="CENTRO TRABAJO 24"/>
    <s v="5711001"/>
    <n v="71400"/>
    <n v="3"/>
    <x v="0"/>
    <n v="1198833"/>
    <n v="3.9999999105930328E-2"/>
    <n v="48000"/>
    <n v="1198833"/>
    <n v="1.9999999552965164E-2"/>
    <n v="24000"/>
    <n v="2.9999999329447746E-2"/>
    <n v="36000"/>
    <n v="0"/>
    <n v="0"/>
    <n v="0"/>
    <n v="0"/>
    <s v="NO"/>
    <s v=" "/>
    <s v="                "/>
  </r>
  <r>
    <x v="1"/>
    <s v="CC"/>
    <x v="212"/>
    <x v="212"/>
    <s v="RODRIGUEZ"/>
    <s v="HURTADO"/>
    <s v="LINA"/>
    <s v="MARIA"/>
    <s v="BOLIVAR"/>
    <s v="CARTAGENA"/>
    <s v="1. DEPENDIENTE"/>
    <s v="NINGUNO"/>
    <n v="0"/>
    <s v="NO"/>
    <s v="NO"/>
    <m/>
    <s v="Todos los sistemas (ARL, AFP, CCF, EPS)"/>
    <n v="46081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1"/>
    <n v="3"/>
    <n v="567658"/>
    <n v="0.15999999642372131"/>
    <n v="90900"/>
    <s v="Sin Riesgo"/>
    <n v="0"/>
    <n v="0"/>
    <n v="0"/>
    <n v="0"/>
    <n v="0"/>
    <n v="90900"/>
    <s v="NINGUNA"/>
    <x v="3"/>
    <n v="3"/>
    <n v="567658"/>
    <n v="3.9999999105930328E-2"/>
    <n v="22800"/>
    <n v="0"/>
    <m/>
    <n v="0"/>
    <m/>
    <n v="0"/>
    <s v="NINGUNA"/>
    <x v="0"/>
    <n v="3"/>
    <n v="567658"/>
    <n v="6.9600000977516174E-2"/>
    <s v="5"/>
    <s v="CENTRO TRABAJO 8"/>
    <s v="5711001"/>
    <n v="39600"/>
    <n v="3"/>
    <x v="2"/>
    <n v="567658"/>
    <n v="3.9999999105930328E-2"/>
    <n v="22800"/>
    <n v="0"/>
    <n v="0"/>
    <n v="0"/>
    <n v="0"/>
    <n v="0"/>
    <n v="0"/>
    <n v="0"/>
    <n v="0"/>
    <n v="0"/>
    <s v="SI"/>
    <s v=" "/>
    <s v="                "/>
  </r>
  <r>
    <x v="1"/>
    <s v="CC"/>
    <x v="213"/>
    <x v="213"/>
    <s v="CERON"/>
    <s v="GUTIERREZ"/>
    <s v="LUIS"/>
    <s v="EFRE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4"/>
    <n v="46055"/>
    <s v="NO"/>
    <m/>
    <m/>
    <s v="NO"/>
    <m/>
    <m/>
    <s v="NO"/>
    <s v="NO"/>
    <m/>
    <m/>
    <n v="0"/>
    <m/>
    <m/>
    <s v="NO"/>
    <n v="2970185"/>
    <s v="NO"/>
    <s v="NO"/>
    <x v="0"/>
    <n v="2"/>
    <n v="364006"/>
    <n v="0.15999999642372131"/>
    <n v="58300"/>
    <s v="Sin Riesgo"/>
    <n v="0"/>
    <n v="0"/>
    <n v="0"/>
    <n v="0"/>
    <n v="0"/>
    <n v="58300"/>
    <s v="NINGUNA"/>
    <x v="3"/>
    <n v="2"/>
    <n v="364006"/>
    <n v="0.125"/>
    <n v="45600"/>
    <n v="0"/>
    <m/>
    <n v="0"/>
    <m/>
    <n v="0"/>
    <s v="NINGUNA"/>
    <x v="0"/>
    <n v="2"/>
    <n v="364006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NO"/>
    <s v=" "/>
    <s v="                "/>
  </r>
  <r>
    <x v="1"/>
    <s v="CC"/>
    <x v="213"/>
    <x v="213"/>
    <s v="CERON"/>
    <s v="GUTIERREZ"/>
    <s v="LUIS"/>
    <s v="EFREN"/>
    <s v="BOGOTA_D.E."/>
    <s v="BOGOTA"/>
    <s v="1. DEPENDIENTE"/>
    <s v="NINGUNO"/>
    <n v="22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0"/>
    <n v="1"/>
    <n v="1409330"/>
    <n v="0.15999999642372131"/>
    <n v="225500"/>
    <s v="Sin Riesgo"/>
    <n v="0"/>
    <n v="0"/>
    <n v="0"/>
    <n v="0"/>
    <n v="0"/>
    <n v="225500"/>
    <s v="NINGUNA"/>
    <x v="3"/>
    <n v="1"/>
    <n v="1409330"/>
    <n v="0.125"/>
    <n v="176200"/>
    <n v="0"/>
    <m/>
    <n v="0"/>
    <m/>
    <n v="0"/>
    <s v="NINGUNA"/>
    <x v="0"/>
    <n v="1"/>
    <n v="1409330"/>
    <n v="6.9600000977516174E-2"/>
    <s v="5"/>
    <s v="CENTRO TRABAJO 24"/>
    <s v="5711001"/>
    <n v="98100"/>
    <n v="1"/>
    <x v="0"/>
    <n v="2546486"/>
    <n v="3.9999999105930328E-2"/>
    <n v="101900"/>
    <n v="2546486"/>
    <n v="1.9999999552965164E-2"/>
    <n v="51000"/>
    <n v="2.9999999329447746E-2"/>
    <n v="76400"/>
    <n v="0"/>
    <n v="0"/>
    <n v="0"/>
    <n v="0"/>
    <s v="NO"/>
    <s v=" "/>
    <s v="                "/>
  </r>
  <r>
    <x v="1"/>
    <s v="CC"/>
    <x v="214"/>
    <x v="214"/>
    <s v="SARMIENTO"/>
    <s v="CASTILLO"/>
    <s v="GERMAN"/>
    <s v=""/>
    <s v="BOGOTA_D.E."/>
    <s v="BOGOTA"/>
    <s v="1. DEPENDIENTE"/>
    <s v="1. DEPENDIENTE PENSIONADO ACTIVO"/>
    <n v="1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6"/>
    <n v="0"/>
    <n v="0"/>
    <n v="0"/>
    <n v="0"/>
    <s v="Sin Riesgo"/>
    <n v="0"/>
    <n v="0"/>
    <n v="0"/>
    <n v="0"/>
    <n v="0"/>
    <n v="0"/>
    <s v="NINGUNA"/>
    <x v="0"/>
    <n v="30"/>
    <n v="2678078"/>
    <n v="3.9999999105930328E-2"/>
    <n v="107200"/>
    <n v="0"/>
    <m/>
    <n v="0"/>
    <m/>
    <n v="0"/>
    <s v="NINGUNA"/>
    <x v="0"/>
    <n v="30"/>
    <n v="2678078"/>
    <n v="6.9600000977516174E-2"/>
    <s v="5"/>
    <s v="CENTRO TRABAJO 24"/>
    <s v="5711001"/>
    <n v="186400"/>
    <n v="30"/>
    <x v="0"/>
    <n v="2678078"/>
    <n v="3.9999999105930328E-2"/>
    <n v="107200"/>
    <n v="0"/>
    <n v="0"/>
    <n v="0"/>
    <n v="0"/>
    <n v="0"/>
    <n v="0"/>
    <n v="0"/>
    <n v="0"/>
    <n v="0"/>
    <s v="SI"/>
    <s v=" "/>
    <s v="                "/>
  </r>
  <r>
    <x v="1"/>
    <s v="CC"/>
    <x v="216"/>
    <x v="216"/>
    <s v="GONZALEZ"/>
    <s v="GARZON"/>
    <s v="MARCO"/>
    <s v="ANTONIO"/>
    <s v="BOGOTA_D.E."/>
    <s v="BOGOTA"/>
    <s v="1. DEPENDIENTE"/>
    <s v="NINGUNO"/>
    <n v="22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1"/>
    <n v="30"/>
    <n v="4143533"/>
    <n v="0.15999999642372131"/>
    <n v="663000"/>
    <s v="Sin Riesgo"/>
    <n v="0"/>
    <n v="0"/>
    <n v="0"/>
    <n v="0"/>
    <n v="0"/>
    <n v="663000"/>
    <s v="NINGUNA"/>
    <x v="3"/>
    <n v="30"/>
    <n v="4143533"/>
    <n v="3.9999999105930328E-2"/>
    <n v="165800"/>
    <n v="0"/>
    <m/>
    <n v="0"/>
    <m/>
    <n v="0"/>
    <s v="NINGUNA"/>
    <x v="0"/>
    <n v="30"/>
    <n v="4143533"/>
    <n v="6.9600000977516174E-2"/>
    <s v="5"/>
    <s v="CENTRO TRABAJO 24"/>
    <s v="5711001"/>
    <n v="288400"/>
    <n v="30"/>
    <x v="0"/>
    <n v="4143533"/>
    <n v="3.9999999105930328E-2"/>
    <n v="165800"/>
    <n v="0"/>
    <n v="0"/>
    <n v="0"/>
    <n v="0"/>
    <n v="0"/>
    <n v="0"/>
    <n v="0"/>
    <n v="0"/>
    <n v="0"/>
    <s v="SI"/>
    <s v=" "/>
    <s v="                "/>
  </r>
  <r>
    <x v="1"/>
    <s v="CC"/>
    <x v="217"/>
    <x v="217"/>
    <s v="ALVAREZ"/>
    <s v="CAÑON"/>
    <s v="CARLOS"/>
    <s v="EFREN"/>
    <s v="BOGOTA_D.E."/>
    <s v="BOGOTA"/>
    <s v="1. DEPENDIENTE"/>
    <s v="NINGUNO"/>
    <n v="283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30"/>
    <n v="2862798"/>
    <n v="0.15999999642372131"/>
    <n v="458100"/>
    <s v="Sin Riesgo"/>
    <n v="0"/>
    <n v="0"/>
    <n v="0"/>
    <n v="0"/>
    <n v="0"/>
    <n v="458100"/>
    <s v="NINGUNA"/>
    <x v="0"/>
    <n v="30"/>
    <n v="2862798"/>
    <n v="3.9999999105930328E-2"/>
    <n v="114600"/>
    <n v="0"/>
    <m/>
    <n v="0"/>
    <m/>
    <n v="0"/>
    <s v="NINGUNA"/>
    <x v="0"/>
    <n v="30"/>
    <n v="2862798"/>
    <n v="6.9600000977516174E-2"/>
    <s v="5"/>
    <s v="CENTRO TRABAJO 24"/>
    <s v="5711001"/>
    <n v="199300"/>
    <n v="30"/>
    <x v="0"/>
    <n v="3834114"/>
    <n v="3.9999999105930328E-2"/>
    <n v="153400"/>
    <n v="0"/>
    <n v="0"/>
    <n v="0"/>
    <n v="0"/>
    <n v="0"/>
    <n v="0"/>
    <n v="0"/>
    <n v="0"/>
    <n v="0"/>
    <s v="SI"/>
    <s v=" "/>
    <s v="                "/>
  </r>
  <r>
    <x v="1"/>
    <s v="CC"/>
    <x v="218"/>
    <x v="218"/>
    <s v="ALONSO"/>
    <s v="SANTANA"/>
    <s v="WILSON"/>
    <s v="OSWALDO"/>
    <s v="BOGOTA_D.E."/>
    <s v="BOGOTA"/>
    <s v="1. DEPENDIENTE"/>
    <s v="NINGUNO"/>
    <n v="21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850709"/>
    <n v="0.15999999642372131"/>
    <n v="456200"/>
    <s v="Sin Riesgo"/>
    <n v="0"/>
    <n v="0"/>
    <n v="0"/>
    <n v="0"/>
    <n v="0"/>
    <n v="456200"/>
    <s v="NINGUNA"/>
    <x v="3"/>
    <n v="30"/>
    <n v="2850709"/>
    <n v="3.9999999105930328E-2"/>
    <n v="114100"/>
    <n v="0"/>
    <m/>
    <n v="0"/>
    <m/>
    <n v="0"/>
    <s v="NINGUNA"/>
    <x v="0"/>
    <n v="30"/>
    <n v="2850709"/>
    <n v="6.9600000977516174E-2"/>
    <s v="5"/>
    <s v="CENTRO TRABAJO 24"/>
    <s v="5711001"/>
    <n v="198500"/>
    <n v="30"/>
    <x v="0"/>
    <n v="2850709"/>
    <n v="3.9999999105930328E-2"/>
    <n v="114100"/>
    <n v="0"/>
    <n v="0"/>
    <n v="0"/>
    <n v="0"/>
    <n v="0"/>
    <n v="0"/>
    <n v="0"/>
    <n v="0"/>
    <n v="0"/>
    <s v="SI"/>
    <s v=" "/>
    <s v="                "/>
  </r>
  <r>
    <x v="1"/>
    <s v="CC"/>
    <x v="219"/>
    <x v="219"/>
    <s v="GUERRERO"/>
    <s v="PAREDES"/>
    <s v="JORGE"/>
    <s v="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4152090"/>
    <s v="NO"/>
    <s v="NO"/>
    <x v="2"/>
    <n v="30"/>
    <n v="4816707"/>
    <n v="0.15999999642372131"/>
    <n v="770700"/>
    <s v="Sin Riesgo"/>
    <n v="0"/>
    <n v="0"/>
    <n v="0"/>
    <n v="0"/>
    <n v="0"/>
    <n v="770700"/>
    <s v="NINGUNA"/>
    <x v="6"/>
    <n v="30"/>
    <n v="4816707"/>
    <n v="3.9999999105930328E-2"/>
    <n v="192700"/>
    <n v="0"/>
    <m/>
    <n v="0"/>
    <m/>
    <n v="0"/>
    <s v="NINGUNA"/>
    <x v="0"/>
    <n v="30"/>
    <n v="4816707"/>
    <n v="6.9600000977516174E-2"/>
    <s v="5"/>
    <s v="CENTRO TRABAJO 24"/>
    <s v="5711001"/>
    <n v="335300"/>
    <n v="30"/>
    <x v="0"/>
    <n v="4152090"/>
    <n v="3.9999999105930328E-2"/>
    <n v="166100"/>
    <n v="0"/>
    <n v="0"/>
    <n v="0"/>
    <n v="0"/>
    <n v="0"/>
    <n v="0"/>
    <n v="0"/>
    <n v="0"/>
    <n v="0"/>
    <s v="SI"/>
    <s v=" "/>
    <s v="                "/>
  </r>
  <r>
    <x v="1"/>
    <s v="CC"/>
    <x v="220"/>
    <x v="220"/>
    <s v="VILLALOBOS"/>
    <s v="DE LA BARRERA"/>
    <s v="ERWIN"/>
    <s v="EMILI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0"/>
    <n v="30"/>
    <n v="6384779"/>
    <n v="0.15999999642372131"/>
    <n v="1021600"/>
    <s v="Sin Riesgo"/>
    <n v="0"/>
    <n v="0"/>
    <n v="0"/>
    <n v="0"/>
    <n v="0"/>
    <n v="1021600"/>
    <s v="NINGUNA"/>
    <x v="2"/>
    <n v="30"/>
    <n v="6384779"/>
    <n v="3.9999999105930328E-2"/>
    <n v="255400"/>
    <n v="0"/>
    <m/>
    <n v="0"/>
    <m/>
    <n v="0"/>
    <s v="NINGUNA"/>
    <x v="0"/>
    <n v="30"/>
    <n v="6384779"/>
    <n v="6.9600000977516174E-2"/>
    <s v="5"/>
    <s v="CENTRO TRABAJO 24"/>
    <s v="5711001"/>
    <n v="444400"/>
    <n v="30"/>
    <x v="0"/>
    <n v="6384779"/>
    <n v="3.9999999105930328E-2"/>
    <n v="255400"/>
    <n v="0"/>
    <n v="0"/>
    <n v="0"/>
    <n v="0"/>
    <n v="0"/>
    <n v="0"/>
    <n v="0"/>
    <n v="0"/>
    <n v="0"/>
    <s v="SI"/>
    <s v=" "/>
    <s v="                "/>
  </r>
  <r>
    <x v="1"/>
    <s v="CC"/>
    <x v="221"/>
    <x v="221"/>
    <s v="RAMIREZ"/>
    <s v="GAVIRIA"/>
    <s v="DUVAN"/>
    <s v="ENRIQUE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4"/>
    <n v="238080"/>
    <n v="0.15999999642372131"/>
    <n v="38100"/>
    <s v="Sin Riesgo"/>
    <n v="0"/>
    <n v="0"/>
    <n v="0"/>
    <n v="0"/>
    <n v="0"/>
    <n v="38100"/>
    <s v="NINGUNA"/>
    <x v="3"/>
    <n v="4"/>
    <n v="238080"/>
    <n v="3.9999999105930328E-2"/>
    <n v="9600"/>
    <n v="0"/>
    <m/>
    <n v="0"/>
    <m/>
    <n v="0"/>
    <s v="NINGUNA"/>
    <x v="0"/>
    <n v="4"/>
    <n v="238080"/>
    <n v="6.9600000977516174E-2"/>
    <s v="5"/>
    <s v="CENTRO TRABAJO 24"/>
    <s v="5711001"/>
    <n v="16600"/>
    <n v="4"/>
    <x v="0"/>
    <n v="238080"/>
    <n v="3.9999999105930328E-2"/>
    <n v="9600"/>
    <n v="0"/>
    <n v="0"/>
    <n v="0"/>
    <n v="0"/>
    <n v="0"/>
    <n v="0"/>
    <n v="0"/>
    <n v="0"/>
    <n v="0"/>
    <s v="SI"/>
    <s v=" "/>
    <s v="                "/>
  </r>
  <r>
    <x v="1"/>
    <s v="CC"/>
    <x v="222"/>
    <x v="222"/>
    <s v="MANRIQUE"/>
    <s v="QUINTERO"/>
    <s v="JOSE"/>
    <s v="CONRADO"/>
    <s v="BOGOTA_D.E."/>
    <s v="BOGOTA"/>
    <s v="1. DEPENDIENTE"/>
    <s v="NINGUNO"/>
    <n v="33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"/>
    <n v="735908"/>
    <n v="0.15999999642372131"/>
    <n v="117800"/>
    <s v="Sin Riesgo"/>
    <n v="0"/>
    <n v="0"/>
    <n v="0"/>
    <n v="0"/>
    <n v="0"/>
    <n v="117800"/>
    <s v="NINGUNA"/>
    <x v="3"/>
    <n v="3"/>
    <n v="735908"/>
    <n v="3.9999999105930328E-2"/>
    <n v="29500"/>
    <n v="0"/>
    <m/>
    <n v="0"/>
    <m/>
    <n v="0"/>
    <s v="NINGUNA"/>
    <x v="0"/>
    <n v="3"/>
    <n v="735908"/>
    <n v="6.9600000977516174E-2"/>
    <s v="5"/>
    <s v="CENTRO TRABAJO 24"/>
    <s v="5711001"/>
    <n v="51300"/>
    <n v="3"/>
    <x v="0"/>
    <n v="951054"/>
    <n v="3.9999999105930328E-2"/>
    <n v="38100"/>
    <n v="0"/>
    <n v="0"/>
    <n v="0"/>
    <n v="0"/>
    <n v="0"/>
    <n v="0"/>
    <n v="0"/>
    <n v="0"/>
    <n v="0"/>
    <s v="SI"/>
    <s v=" "/>
    <s v="                "/>
  </r>
  <r>
    <x v="1"/>
    <s v="CC"/>
    <x v="223"/>
    <x v="223"/>
    <s v="OBANDO"/>
    <s v="CORTES"/>
    <s v="LUIS"/>
    <s v="EDSON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3441322"/>
    <s v="NO"/>
    <s v="NO"/>
    <x v="1"/>
    <n v="30"/>
    <n v="26585710"/>
    <n v="0.15999999642372131"/>
    <n v="4253800"/>
    <s v="Sin Riesgo"/>
    <n v="0"/>
    <n v="0"/>
    <n v="133000"/>
    <n v="133000"/>
    <n v="0"/>
    <n v="4519800"/>
    <s v="NINGUNA"/>
    <x v="2"/>
    <n v="30"/>
    <n v="26585710"/>
    <n v="0.125"/>
    <n v="3323300"/>
    <n v="0"/>
    <m/>
    <n v="0"/>
    <m/>
    <n v="0"/>
    <s v="NINGUNA"/>
    <x v="0"/>
    <n v="30"/>
    <n v="26585710"/>
    <n v="6.9600000977516174E-2"/>
    <s v="5"/>
    <s v="CENTRO TRABAJO 24"/>
    <s v="5711001"/>
    <n v="1850400"/>
    <n v="30"/>
    <x v="0"/>
    <n v="13441322"/>
    <n v="3.9999999105930328E-2"/>
    <n v="537700"/>
    <n v="13441322"/>
    <n v="1.9999999552965164E-2"/>
    <n v="268900"/>
    <n v="2.9999999329447746E-2"/>
    <n v="403300"/>
    <n v="0"/>
    <n v="0"/>
    <n v="0"/>
    <n v="0"/>
    <s v="NO"/>
    <s v=" "/>
    <s v="                "/>
  </r>
  <r>
    <x v="1"/>
    <s v="CC"/>
    <x v="224"/>
    <x v="224"/>
    <s v="MATEUS"/>
    <s v="ALMONACID"/>
    <s v="GIOVANNI"/>
    <s v="FRANCESC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0231263"/>
    <s v="NO"/>
    <s v="SI"/>
    <x v="0"/>
    <n v="30"/>
    <n v="10231263"/>
    <n v="0.15999999642372131"/>
    <n v="1637100"/>
    <s v="Sin Riesgo"/>
    <n v="0"/>
    <n v="0"/>
    <n v="51200"/>
    <n v="51200"/>
    <n v="0"/>
    <n v="1739500"/>
    <s v="NINGUNA"/>
    <x v="2"/>
    <n v="30"/>
    <n v="10231263"/>
    <n v="3.9999999105930328E-2"/>
    <n v="409300"/>
    <n v="0"/>
    <m/>
    <n v="0"/>
    <m/>
    <n v="0"/>
    <s v="NINGUNA"/>
    <x v="0"/>
    <n v="30"/>
    <n v="10231263"/>
    <n v="6.9600000977516174E-2"/>
    <s v="5"/>
    <s v="CENTRO TRABAJO 24"/>
    <s v="5711001"/>
    <n v="712100"/>
    <n v="30"/>
    <x v="0"/>
    <n v="10231263"/>
    <n v="3.9999999105930328E-2"/>
    <n v="409300"/>
    <n v="0"/>
    <n v="0"/>
    <n v="0"/>
    <n v="0"/>
    <n v="0"/>
    <n v="0"/>
    <n v="0"/>
    <n v="0"/>
    <n v="0"/>
    <s v="SI"/>
    <s v=" "/>
    <s v="                "/>
  </r>
  <r>
    <x v="1"/>
    <s v="CC"/>
    <x v="225"/>
    <x v="225"/>
    <s v="BRITO"/>
    <s v="EPIAYU"/>
    <s v="ARLEY"/>
    <s v="ALFRED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7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25"/>
    <x v="225"/>
    <s v="BRITO"/>
    <s v="EPIAYU"/>
    <s v="ARLEY"/>
    <s v="ALFRED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7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25"/>
    <x v="225"/>
    <s v="BRITO"/>
    <s v="EPIAYU"/>
    <s v="ARLEY"/>
    <s v="ALFREDO"/>
    <s v="LA_GUAJIRA"/>
    <s v="RIOHACHA"/>
    <s v="1. DEPENDIENTE"/>
    <s v="NINGUNO"/>
    <n v="19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8"/>
    <n v="1898006"/>
    <n v="0.15999999642372131"/>
    <n v="303700"/>
    <s v="Sin Riesgo"/>
    <n v="0"/>
    <n v="0"/>
    <n v="0"/>
    <n v="0"/>
    <n v="0"/>
    <n v="303700"/>
    <s v="NINGUNA"/>
    <x v="7"/>
    <n v="28"/>
    <n v="1898006"/>
    <n v="3.9999999105930328E-2"/>
    <n v="76000"/>
    <n v="0"/>
    <m/>
    <n v="0"/>
    <m/>
    <n v="0"/>
    <s v="NINGUNA"/>
    <x v="0"/>
    <n v="28"/>
    <n v="1898006"/>
    <n v="6.9600000977516174E-2"/>
    <s v="5"/>
    <s v="CENTRO TRABAJO 30"/>
    <s v="5711001"/>
    <n v="132200"/>
    <n v="28"/>
    <x v="1"/>
    <n v="1898007"/>
    <n v="3.9999999105930328E-2"/>
    <n v="76000"/>
    <n v="0"/>
    <n v="0"/>
    <n v="0"/>
    <n v="0"/>
    <n v="0"/>
    <n v="0"/>
    <n v="0"/>
    <n v="0"/>
    <n v="0"/>
    <s v="SI"/>
    <s v=" "/>
    <s v="                "/>
  </r>
  <r>
    <x v="1"/>
    <s v="CC"/>
    <x v="226"/>
    <x v="226"/>
    <s v="EPIAYU"/>
    <s v="EPIAYU"/>
    <s v="JOSE"/>
    <s v="ESNEIDER"/>
    <s v="LA_GUAJIRA"/>
    <s v="RIOHACHA"/>
    <s v="1. DEPENDIENTE"/>
    <s v="NINGUNO"/>
    <n v="21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169134"/>
    <n v="0.15999999642372131"/>
    <n v="347100"/>
    <s v="Sin Riesgo"/>
    <n v="0"/>
    <n v="0"/>
    <n v="0"/>
    <n v="0"/>
    <n v="0"/>
    <n v="347100"/>
    <s v="NINGUNA"/>
    <x v="7"/>
    <n v="30"/>
    <n v="2169134"/>
    <n v="3.9999999105930328E-2"/>
    <n v="86800"/>
    <n v="0"/>
    <m/>
    <n v="0"/>
    <m/>
    <n v="0"/>
    <s v="NINGUNA"/>
    <x v="0"/>
    <n v="30"/>
    <n v="2169134"/>
    <n v="6.9600000977516174E-2"/>
    <s v="5"/>
    <s v="CENTRO TRABAJO 30"/>
    <s v="5711001"/>
    <n v="151000"/>
    <n v="30"/>
    <x v="1"/>
    <n v="2169134"/>
    <n v="3.9999999105930328E-2"/>
    <n v="86800"/>
    <n v="0"/>
    <n v="0"/>
    <n v="0"/>
    <n v="0"/>
    <n v="0"/>
    <n v="0"/>
    <n v="0"/>
    <n v="0"/>
    <n v="0"/>
    <s v="SI"/>
    <s v=" "/>
    <s v="                "/>
  </r>
  <r>
    <x v="1"/>
    <s v="CC"/>
    <x v="227"/>
    <x v="227"/>
    <s v="VIDAL"/>
    <s v="IPUANA"/>
    <s v="JUAN"/>
    <s v="SEBASTIAN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34633"/>
    <n v="0.15999999642372131"/>
    <n v="325600"/>
    <s v="Sin Riesgo"/>
    <n v="0"/>
    <n v="0"/>
    <n v="0"/>
    <n v="0"/>
    <n v="0"/>
    <n v="325600"/>
    <s v="NINGUNA"/>
    <x v="7"/>
    <n v="30"/>
    <n v="2034633"/>
    <n v="3.9999999105930328E-2"/>
    <n v="81400"/>
    <n v="0"/>
    <m/>
    <n v="0"/>
    <m/>
    <n v="0"/>
    <s v="NINGUNA"/>
    <x v="0"/>
    <n v="30"/>
    <n v="2034633"/>
    <n v="6.9600000977516174E-2"/>
    <s v="5"/>
    <s v="CENTRO TRABAJO 30"/>
    <s v="5711001"/>
    <n v="141700"/>
    <n v="30"/>
    <x v="1"/>
    <n v="2034633"/>
    <n v="3.9999999105930328E-2"/>
    <n v="81400"/>
    <n v="0"/>
    <n v="0"/>
    <n v="0"/>
    <n v="0"/>
    <n v="0"/>
    <n v="0"/>
    <n v="0"/>
    <n v="0"/>
    <n v="0"/>
    <s v="SI"/>
    <s v=" "/>
    <s v="                "/>
  </r>
  <r>
    <x v="1"/>
    <s v="CC"/>
    <x v="228"/>
    <x v="228"/>
    <s v="SARMIENTO"/>
    <s v="DAZA"/>
    <s v="SANTIAGO"/>
    <s v=""/>
    <s v="LA_GUAJIRA"/>
    <s v="RIOHACHA"/>
    <s v="1. DEPENDIENTE"/>
    <s v="NINGUNO"/>
    <n v="200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6"/>
    <n v="2565496"/>
    <n v="0.15999999642372131"/>
    <n v="410500"/>
    <s v="Sin Riesgo"/>
    <n v="0"/>
    <n v="0"/>
    <n v="0"/>
    <n v="0"/>
    <n v="0"/>
    <n v="410500"/>
    <s v="NINGUNA"/>
    <x v="2"/>
    <n v="26"/>
    <n v="2565496"/>
    <n v="3.9999999105930328E-2"/>
    <n v="102700"/>
    <n v="0"/>
    <m/>
    <n v="0"/>
    <m/>
    <n v="0"/>
    <s v="NINGUNA"/>
    <x v="0"/>
    <n v="26"/>
    <n v="2565496"/>
    <n v="6.9600000977516174E-2"/>
    <s v="5"/>
    <s v="CENTRO TRABAJO 30"/>
    <s v="5711001"/>
    <n v="178600"/>
    <n v="26"/>
    <x v="1"/>
    <n v="3299401"/>
    <n v="3.9999999105930328E-2"/>
    <n v="132000"/>
    <n v="0"/>
    <n v="0"/>
    <n v="0"/>
    <n v="0"/>
    <n v="0"/>
    <n v="0"/>
    <n v="0"/>
    <n v="0"/>
    <n v="0"/>
    <s v="SI"/>
    <s v=" "/>
    <s v="                "/>
  </r>
  <r>
    <x v="1"/>
    <s v="CC"/>
    <x v="229"/>
    <x v="229"/>
    <s v="ARREGOCES"/>
    <s v="USTATE"/>
    <s v="MAURICIO"/>
    <s v="ALBERTO"/>
    <s v="LA_GUAJIRA"/>
    <s v="RIOHACHA"/>
    <s v="1. DEPENDIENTE"/>
    <s v="NINGUNO"/>
    <n v="2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54529"/>
    <n v="0.15999999642372131"/>
    <n v="328800"/>
    <s v="Sin Riesgo"/>
    <n v="0"/>
    <n v="0"/>
    <n v="0"/>
    <n v="0"/>
    <n v="0"/>
    <n v="328800"/>
    <s v="NINGUNA"/>
    <x v="2"/>
    <n v="30"/>
    <n v="2054529"/>
    <n v="3.9999999105930328E-2"/>
    <n v="82200"/>
    <n v="0"/>
    <m/>
    <n v="0"/>
    <m/>
    <n v="0"/>
    <s v="NINGUNA"/>
    <x v="0"/>
    <n v="30"/>
    <n v="2054529"/>
    <n v="6.9600000977516174E-2"/>
    <s v="5"/>
    <s v="CENTRO TRABAJO 30"/>
    <s v="5711001"/>
    <n v="143000"/>
    <n v="30"/>
    <x v="1"/>
    <n v="2054529"/>
    <n v="3.9999999105930328E-2"/>
    <n v="82200"/>
    <n v="0"/>
    <n v="0"/>
    <n v="0"/>
    <n v="0"/>
    <n v="0"/>
    <n v="0"/>
    <n v="0"/>
    <n v="0"/>
    <n v="0"/>
    <s v="SI"/>
    <s v=" "/>
    <s v="                "/>
  </r>
  <r>
    <x v="1"/>
    <s v="CC"/>
    <x v="230"/>
    <x v="230"/>
    <s v="SOTO"/>
    <s v="EPIAYU"/>
    <s v="NOLVER"/>
    <s v="SEGUNDO"/>
    <s v="LA_GUAJIRA"/>
    <s v="RIOHACHA"/>
    <s v="1. DEPENDIENTE"/>
    <s v="NINGUNO"/>
    <n v="21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149237"/>
    <n v="0.15999999642372131"/>
    <n v="343900"/>
    <s v="Sin Riesgo"/>
    <n v="0"/>
    <n v="0"/>
    <n v="0"/>
    <n v="0"/>
    <n v="0"/>
    <n v="343900"/>
    <s v="NINGUNA"/>
    <x v="2"/>
    <n v="30"/>
    <n v="2149237"/>
    <n v="3.9999999105930328E-2"/>
    <n v="86000"/>
    <n v="0"/>
    <m/>
    <n v="0"/>
    <m/>
    <n v="0"/>
    <s v="NINGUNA"/>
    <x v="0"/>
    <n v="30"/>
    <n v="2149237"/>
    <n v="6.9600000977516174E-2"/>
    <s v="5"/>
    <s v="CENTRO TRABAJO 30"/>
    <s v="5711001"/>
    <n v="149600"/>
    <n v="30"/>
    <x v="1"/>
    <n v="2149237"/>
    <n v="3.9999999105930328E-2"/>
    <n v="86000"/>
    <n v="0"/>
    <n v="0"/>
    <n v="0"/>
    <n v="0"/>
    <n v="0"/>
    <n v="0"/>
    <n v="0"/>
    <n v="0"/>
    <n v="0"/>
    <s v="SI"/>
    <s v=" "/>
    <s v="                "/>
  </r>
  <r>
    <x v="1"/>
    <s v="CC"/>
    <x v="231"/>
    <x v="231"/>
    <s v="HERNANDEZ"/>
    <s v="BERNAL"/>
    <s v="DANIEL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50905"/>
    <s v="NO"/>
    <s v="NO"/>
    <x v="0"/>
    <n v="1"/>
    <n v="116727"/>
    <n v="0.15999999642372131"/>
    <n v="18700"/>
    <s v="Sin Riesgo"/>
    <n v="0"/>
    <n v="0"/>
    <n v="0"/>
    <n v="0"/>
    <n v="0"/>
    <n v="18700"/>
    <s v="NINGUNA"/>
    <x v="2"/>
    <n v="1"/>
    <n v="116727"/>
    <n v="3.9999999105930328E-2"/>
    <n v="4700"/>
    <n v="0"/>
    <m/>
    <n v="0"/>
    <m/>
    <n v="0"/>
    <s v="NINGUNA"/>
    <x v="0"/>
    <n v="1"/>
    <n v="116727"/>
    <n v="0"/>
    <s v="5"/>
    <s v="CENTRO TRABAJO 30"/>
    <s v="5711001"/>
    <n v="0"/>
    <n v="1"/>
    <x v="1"/>
    <n v="116727"/>
    <n v="3.9999999105930328E-2"/>
    <n v="4700"/>
    <n v="0"/>
    <n v="0"/>
    <n v="0"/>
    <n v="0"/>
    <n v="0"/>
    <n v="0"/>
    <n v="0"/>
    <n v="0"/>
    <n v="0"/>
    <s v="SI"/>
    <s v=" "/>
    <s v="                "/>
  </r>
  <r>
    <x v="1"/>
    <s v="CC"/>
    <x v="231"/>
    <x v="231"/>
    <s v="HERNANDEZ"/>
    <s v="BERNAL"/>
    <s v="DANIEL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5"/>
    <n v="46055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2"/>
    <n v="1"/>
    <n v="58364"/>
    <n v="0"/>
    <n v="0"/>
    <n v="0"/>
    <m/>
    <n v="0"/>
    <m/>
    <n v="0"/>
    <s v="NINGUNA"/>
    <x v="0"/>
    <n v="1"/>
    <n v="58364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31"/>
    <x v="231"/>
    <s v="HERNANDEZ"/>
    <s v="BERNAL"/>
    <s v="DANIEL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7"/>
    <n v="46081"/>
    <s v="NO"/>
    <m/>
    <m/>
    <s v="NO"/>
    <m/>
    <m/>
    <s v="NO"/>
    <s v="NO"/>
    <m/>
    <m/>
    <n v="0"/>
    <m/>
    <m/>
    <s v="NO"/>
    <n v="1750905"/>
    <s v="NO"/>
    <s v="NO"/>
    <x v="0"/>
    <n v="27"/>
    <n v="1602226"/>
    <n v="0.15999999642372131"/>
    <n v="256400"/>
    <s v="Sin Riesgo"/>
    <n v="0"/>
    <n v="0"/>
    <n v="0"/>
    <n v="0"/>
    <n v="0"/>
    <n v="256400"/>
    <s v="NINGUNA"/>
    <x v="2"/>
    <n v="27"/>
    <n v="1602226"/>
    <n v="3.9999999105930328E-2"/>
    <n v="64100"/>
    <n v="0"/>
    <m/>
    <n v="0"/>
    <m/>
    <n v="0"/>
    <s v="NINGUNA"/>
    <x v="0"/>
    <n v="27"/>
    <n v="1602226"/>
    <n v="0"/>
    <s v="5"/>
    <s v="CENTRO TRABAJO 30"/>
    <s v="5711001"/>
    <n v="0"/>
    <n v="27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31"/>
    <x v="231"/>
    <s v="HERNANDEZ"/>
    <s v="BERNAL"/>
    <s v="DANIEL"/>
    <s v=""/>
    <s v="LA_GUAJIRA"/>
    <s v="RIOHACHA"/>
    <s v="1. DEPENDIENTE"/>
    <s v="NINGUNO"/>
    <n v="1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179269"/>
    <n v="0.15999999642372131"/>
    <n v="28700"/>
    <s v="Sin Riesgo"/>
    <n v="0"/>
    <n v="0"/>
    <n v="0"/>
    <n v="0"/>
    <n v="0"/>
    <n v="28700"/>
    <s v="NINGUNA"/>
    <x v="2"/>
    <n v="1"/>
    <n v="179269"/>
    <n v="3.9999999105930328E-2"/>
    <n v="7200"/>
    <n v="0"/>
    <m/>
    <n v="0"/>
    <m/>
    <n v="0"/>
    <s v="NINGUNA"/>
    <x v="0"/>
    <n v="1"/>
    <n v="179269"/>
    <n v="6.9600000977516174E-2"/>
    <s v="5"/>
    <s v="CENTRO TRABAJO 30"/>
    <s v="5711001"/>
    <n v="12500"/>
    <n v="1"/>
    <x v="1"/>
    <n v="179269"/>
    <n v="3.9999999105930328E-2"/>
    <n v="7200"/>
    <n v="0"/>
    <n v="0"/>
    <n v="0"/>
    <n v="0"/>
    <n v="0"/>
    <n v="0"/>
    <n v="0"/>
    <n v="0"/>
    <n v="0"/>
    <s v="SI"/>
    <s v=" "/>
    <s v="                "/>
  </r>
  <r>
    <x v="1"/>
    <s v="CC"/>
    <x v="233"/>
    <x v="233"/>
    <s v="ALMANZA"/>
    <s v="BRANGO"/>
    <s v="WILLIAM"/>
    <s v="DE JESUS"/>
    <s v="BOGOTA_D.E."/>
    <s v="BOGOTA"/>
    <s v="1. DEPENDIENTE"/>
    <s v="NINGUNO"/>
    <n v="162"/>
    <s v="NO"/>
    <s v="NO"/>
    <m/>
    <s v="Todos los sistemas (ARL, AFP, CCF, EPS)"/>
    <n v="46058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26"/>
    <n v="2231156"/>
    <n v="0.15999999642372131"/>
    <n v="357000"/>
    <s v="Sin Riesgo"/>
    <n v="0"/>
    <n v="0"/>
    <n v="0"/>
    <n v="0"/>
    <n v="0"/>
    <n v="357000"/>
    <s v="NINGUNA"/>
    <x v="3"/>
    <n v="26"/>
    <n v="2231156"/>
    <n v="3.9999999105930328E-2"/>
    <n v="89300"/>
    <n v="0"/>
    <m/>
    <n v="0"/>
    <m/>
    <n v="0"/>
    <s v="NINGUNA"/>
    <x v="0"/>
    <n v="26"/>
    <n v="2231156"/>
    <n v="6.9600000977516174E-2"/>
    <s v="5"/>
    <s v="CENTRO TRABAJO 24"/>
    <s v="5711001"/>
    <n v="155300"/>
    <n v="26"/>
    <x v="0"/>
    <n v="2231156"/>
    <n v="3.9999999105930328E-2"/>
    <n v="89300"/>
    <n v="0"/>
    <n v="0"/>
    <n v="0"/>
    <n v="0"/>
    <n v="0"/>
    <n v="0"/>
    <n v="0"/>
    <n v="0"/>
    <n v="0"/>
    <s v="SI"/>
    <s v=" "/>
    <s v="                "/>
  </r>
  <r>
    <x v="1"/>
    <s v="CC"/>
    <x v="234"/>
    <x v="234"/>
    <s v="EPINAYU"/>
    <s v="SAJAUT"/>
    <s v="JEFREY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0"/>
    <n v="1"/>
    <n v="59520"/>
    <n v="0"/>
    <n v="0"/>
    <n v="0"/>
    <m/>
    <n v="0"/>
    <m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34"/>
    <x v="234"/>
    <s v="EPINAYU"/>
    <s v="SAJAUT"/>
    <s v="JEFREY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0"/>
    <n v="1"/>
    <n v="59520"/>
    <n v="0"/>
    <n v="0"/>
    <n v="0"/>
    <m/>
    <n v="0"/>
    <m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34"/>
    <x v="234"/>
    <s v="EPINAYU"/>
    <s v="SAJAUT"/>
    <s v="JEFREY"/>
    <s v="ALBERTO"/>
    <s v="LA_GUAJIRA"/>
    <s v="RIOHACHA"/>
    <s v="1. DEPENDIENTE"/>
    <s v="NINGUNO"/>
    <n v="19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8"/>
    <n v="1976195"/>
    <n v="0.15999999642372131"/>
    <n v="316200"/>
    <s v="Sin Riesgo"/>
    <n v="0"/>
    <n v="0"/>
    <n v="0"/>
    <n v="0"/>
    <n v="0"/>
    <n v="316200"/>
    <s v="NINGUNA"/>
    <x v="0"/>
    <n v="28"/>
    <n v="1976195"/>
    <n v="3.9999999105930328E-2"/>
    <n v="79100"/>
    <n v="0"/>
    <m/>
    <n v="0"/>
    <m/>
    <n v="0"/>
    <s v="NINGUNA"/>
    <x v="0"/>
    <n v="28"/>
    <n v="1976195"/>
    <n v="6.9600000977516174E-2"/>
    <s v="5"/>
    <s v="CENTRO TRABAJO 30"/>
    <s v="5711001"/>
    <n v="137600"/>
    <n v="28"/>
    <x v="1"/>
    <n v="1976195"/>
    <n v="3.9999999105930328E-2"/>
    <n v="79100"/>
    <n v="0"/>
    <n v="0"/>
    <n v="0"/>
    <n v="0"/>
    <n v="0"/>
    <n v="0"/>
    <n v="0"/>
    <n v="0"/>
    <n v="0"/>
    <s v="SI"/>
    <s v=" "/>
    <s v="                "/>
  </r>
  <r>
    <x v="1"/>
    <s v="CC"/>
    <x v="235"/>
    <x v="235"/>
    <s v="VIDAL"/>
    <s v="URIANA"/>
    <s v="FABIAN"/>
    <s v="CAMILO"/>
    <s v="LA_GUAJIRA"/>
    <s v="RIOHACHA"/>
    <s v="1. DEPENDIENTE"/>
    <s v="NINGUNO"/>
    <n v="21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159185"/>
    <n v="0.15999999642372131"/>
    <n v="345500"/>
    <s v="Sin Riesgo"/>
    <n v="0"/>
    <n v="0"/>
    <n v="0"/>
    <n v="0"/>
    <n v="0"/>
    <n v="345500"/>
    <s v="NINGUNA"/>
    <x v="7"/>
    <n v="30"/>
    <n v="2159185"/>
    <n v="3.9999999105930328E-2"/>
    <n v="86400"/>
    <n v="0"/>
    <m/>
    <n v="0"/>
    <m/>
    <n v="0"/>
    <s v="NINGUNA"/>
    <x v="0"/>
    <n v="30"/>
    <n v="2159185"/>
    <n v="6.9600000977516174E-2"/>
    <s v="5"/>
    <s v="CENTRO TRABAJO 30"/>
    <s v="5711001"/>
    <n v="150300"/>
    <n v="30"/>
    <x v="1"/>
    <n v="2159185"/>
    <n v="3.9999999105930328E-2"/>
    <n v="86400"/>
    <n v="0"/>
    <n v="0"/>
    <n v="0"/>
    <n v="0"/>
    <n v="0"/>
    <n v="0"/>
    <n v="0"/>
    <n v="0"/>
    <n v="0"/>
    <s v="SI"/>
    <s v=" "/>
    <s v="                "/>
  </r>
  <r>
    <x v="1"/>
    <s v="CC"/>
    <x v="236"/>
    <x v="236"/>
    <s v="PASTRANA"/>
    <s v="PASTRANA"/>
    <s v="CARLOS"/>
    <s v="MARIO"/>
    <s v="BOGOTA_D.E."/>
    <s v="BOGOT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30"/>
    <n v="2213305"/>
    <n v="0.15999999642372131"/>
    <n v="354200"/>
    <s v="Sin Riesgo"/>
    <n v="0"/>
    <n v="0"/>
    <n v="0"/>
    <n v="0"/>
    <n v="0"/>
    <n v="354200"/>
    <s v="NINGUNA"/>
    <x v="3"/>
    <n v="30"/>
    <n v="2213305"/>
    <n v="3.9999999105930328E-2"/>
    <n v="88600"/>
    <n v="0"/>
    <m/>
    <n v="0"/>
    <m/>
    <n v="0"/>
    <s v="NINGUNA"/>
    <x v="0"/>
    <n v="30"/>
    <n v="2213305"/>
    <n v="6.9600000977516174E-2"/>
    <s v="5"/>
    <s v="CENTRO TRABAJO 24"/>
    <s v="5711001"/>
    <n v="154100"/>
    <n v="30"/>
    <x v="0"/>
    <n v="2213305"/>
    <n v="3.9999999105930328E-2"/>
    <n v="88600"/>
    <n v="0"/>
    <n v="0"/>
    <n v="0"/>
    <n v="0"/>
    <n v="0"/>
    <n v="0"/>
    <n v="0"/>
    <n v="0"/>
    <n v="0"/>
    <s v="SI"/>
    <s v=" "/>
    <s v="                "/>
  </r>
  <r>
    <x v="1"/>
    <s v="CC"/>
    <x v="237"/>
    <x v="237"/>
    <s v="NUÑEZ"/>
    <s v="POLANIA"/>
    <s v="CRISTIAN"/>
    <s v="MANU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4678846"/>
    <s v="NO"/>
    <s v="NO"/>
    <x v="1"/>
    <n v="1"/>
    <n v="155962"/>
    <n v="0.15999999642372131"/>
    <n v="25000"/>
    <s v="Sin Riesgo"/>
    <n v="0"/>
    <n v="0"/>
    <n v="0"/>
    <n v="0"/>
    <n v="0"/>
    <n v="25000"/>
    <s v="NINGUNA"/>
    <x v="2"/>
    <n v="1"/>
    <n v="155962"/>
    <n v="3.9999999105930328E-2"/>
    <n v="6300"/>
    <n v="0"/>
    <m/>
    <n v="0"/>
    <m/>
    <n v="0"/>
    <s v="NINGUNA"/>
    <x v="0"/>
    <n v="1"/>
    <n v="155962"/>
    <n v="0"/>
    <s v="5"/>
    <s v="CENTRO TRABAJO 24"/>
    <s v="5711001"/>
    <n v="0"/>
    <n v="1"/>
    <x v="0"/>
    <n v="155962"/>
    <n v="3.9999999105930328E-2"/>
    <n v="6300"/>
    <n v="0"/>
    <n v="0"/>
    <n v="0"/>
    <n v="0"/>
    <n v="0"/>
    <n v="0"/>
    <n v="0"/>
    <n v="0"/>
    <n v="0"/>
    <s v="SI"/>
    <s v=" "/>
    <s v="                "/>
  </r>
  <r>
    <x v="1"/>
    <s v="CC"/>
    <x v="237"/>
    <x v="237"/>
    <s v="NUÑEZ"/>
    <s v="POLANIA"/>
    <s v="CRISTIAN"/>
    <s v="MANUEL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678846"/>
    <s v="NO"/>
    <s v="NO"/>
    <x v="1"/>
    <n v="29"/>
    <n v="4522885"/>
    <n v="0.15999999642372131"/>
    <n v="723700"/>
    <s v="Sin Riesgo"/>
    <n v="0"/>
    <n v="0"/>
    <n v="0"/>
    <n v="0"/>
    <n v="0"/>
    <n v="723700"/>
    <s v="NINGUNA"/>
    <x v="2"/>
    <n v="29"/>
    <n v="4522885"/>
    <n v="3.9999999105930328E-2"/>
    <n v="181000"/>
    <n v="0"/>
    <m/>
    <n v="0"/>
    <m/>
    <n v="0"/>
    <s v="NINGUNA"/>
    <x v="0"/>
    <n v="29"/>
    <n v="4522885"/>
    <n v="6.9600000977516174E-2"/>
    <s v="5"/>
    <s v="CENTRO TRABAJO 24"/>
    <s v="5711001"/>
    <n v="314800"/>
    <n v="29"/>
    <x v="0"/>
    <n v="4522885"/>
    <n v="3.9999999105930328E-2"/>
    <n v="181000"/>
    <n v="0"/>
    <n v="0"/>
    <n v="0"/>
    <n v="0"/>
    <n v="0"/>
    <n v="0"/>
    <n v="0"/>
    <n v="0"/>
    <n v="0"/>
    <s v="SI"/>
    <s v=" "/>
    <s v="                "/>
  </r>
  <r>
    <x v="1"/>
    <s v="CC"/>
    <x v="238"/>
    <x v="238"/>
    <s v="RODRIGUEZ"/>
    <s v="AMAYA"/>
    <s v="WILKEN"/>
    <s v="NAWELL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2"/>
    <n v="30"/>
    <n v="4024292"/>
    <n v="0.15999999642372131"/>
    <n v="643900"/>
    <s v="Sin Riesgo"/>
    <n v="0"/>
    <n v="0"/>
    <n v="0"/>
    <n v="0"/>
    <n v="0"/>
    <n v="643900"/>
    <s v="NINGUNA"/>
    <x v="2"/>
    <n v="30"/>
    <n v="4024292"/>
    <n v="3.9999999105930328E-2"/>
    <n v="161000"/>
    <n v="0"/>
    <m/>
    <n v="0"/>
    <m/>
    <n v="0"/>
    <s v="NINGUNA"/>
    <x v="0"/>
    <n v="30"/>
    <n v="4024292"/>
    <n v="2.4360001087188721E-2"/>
    <s v="3"/>
    <s v="CENTRO TRABAJO 24"/>
    <s v="3711001"/>
    <n v="98100"/>
    <n v="30"/>
    <x v="0"/>
    <n v="4024292"/>
    <n v="3.9999999105930328E-2"/>
    <n v="161000"/>
    <n v="0"/>
    <n v="0"/>
    <n v="0"/>
    <n v="0"/>
    <n v="0"/>
    <n v="0"/>
    <n v="0"/>
    <n v="0"/>
    <n v="0"/>
    <s v="SI"/>
    <s v=" "/>
    <s v="                "/>
  </r>
  <r>
    <x v="1"/>
    <s v="CC"/>
    <x v="239"/>
    <x v="239"/>
    <s v="JIMENEZ"/>
    <s v="MORENO"/>
    <s v="JUAN"/>
    <s v="CARLOS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30"/>
    <n v="2039231"/>
    <n v="0.15999999642372131"/>
    <n v="326300"/>
    <s v="Sin Riesgo"/>
    <n v="0"/>
    <n v="0"/>
    <n v="0"/>
    <n v="0"/>
    <n v="0"/>
    <n v="326300"/>
    <s v="NINGUNA"/>
    <x v="0"/>
    <n v="30"/>
    <n v="2039231"/>
    <n v="3.9999999105930328E-2"/>
    <n v="81600"/>
    <n v="0"/>
    <m/>
    <n v="0"/>
    <m/>
    <n v="0"/>
    <s v="NINGUNA"/>
    <x v="0"/>
    <n v="30"/>
    <n v="2039231"/>
    <n v="6.9600000977516174E-2"/>
    <s v="5"/>
    <s v="CENTRO TRABAJO 30"/>
    <s v="5711001"/>
    <n v="142000"/>
    <n v="30"/>
    <x v="1"/>
    <n v="2039231"/>
    <n v="3.9999999105930328E-2"/>
    <n v="81600"/>
    <n v="0"/>
    <n v="0"/>
    <n v="0"/>
    <n v="0"/>
    <n v="0"/>
    <n v="0"/>
    <n v="0"/>
    <n v="0"/>
    <n v="0"/>
    <s v="SI"/>
    <s v=" "/>
    <s v="                "/>
  </r>
  <r>
    <x v="1"/>
    <s v="CC"/>
    <x v="240"/>
    <x v="240"/>
    <s v="MARTINEZ"/>
    <s v="REYES"/>
    <s v="ALVARO"/>
    <s v="ENRIQUE"/>
    <s v="BOGOTA_D.E."/>
    <s v="BOGOTA"/>
    <s v="1. DEPENDIENTE"/>
    <s v="NINGUNO"/>
    <n v="123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15"/>
    <n v="2357412"/>
    <n v="0.15999999642372131"/>
    <n v="377200"/>
    <s v="Sin Riesgo"/>
    <n v="0"/>
    <n v="0"/>
    <n v="0"/>
    <n v="0"/>
    <n v="0"/>
    <n v="377200"/>
    <s v="NINGUNA"/>
    <x v="0"/>
    <n v="15"/>
    <n v="2357412"/>
    <n v="3.9999999105930328E-2"/>
    <n v="94300"/>
    <n v="0"/>
    <m/>
    <n v="0"/>
    <m/>
    <n v="0"/>
    <s v="NINGUNA"/>
    <x v="0"/>
    <n v="15"/>
    <n v="2357412"/>
    <n v="6.9600000977516174E-2"/>
    <s v="5"/>
    <s v="CENTRO TRABAJO 24"/>
    <s v="5711001"/>
    <n v="164100"/>
    <n v="15"/>
    <x v="0"/>
    <n v="2926830"/>
    <n v="3.9999999105930328E-2"/>
    <n v="117100"/>
    <n v="0"/>
    <n v="0"/>
    <n v="0"/>
    <n v="0"/>
    <n v="0"/>
    <n v="0"/>
    <n v="0"/>
    <n v="0"/>
    <n v="0"/>
    <s v="SI"/>
    <s v=" "/>
    <s v="                "/>
  </r>
  <r>
    <x v="1"/>
    <s v="CC"/>
    <x v="241"/>
    <x v="241"/>
    <s v="RUA"/>
    <s v="VILLALOBOS"/>
    <s v="FABIAN"/>
    <s v="DE JESUS"/>
    <s v="BOGOTA_D.E."/>
    <s v="BOGOTA"/>
    <s v="1. DEPENDIENTE"/>
    <s v="NINGUNO"/>
    <n v="279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296814"/>
    <s v="NO"/>
    <s v="NO"/>
    <x v="1"/>
    <n v="30"/>
    <n v="4057791"/>
    <n v="0.15999999642372131"/>
    <n v="649300"/>
    <s v="Sin Riesgo"/>
    <n v="0"/>
    <n v="0"/>
    <n v="0"/>
    <n v="0"/>
    <n v="0"/>
    <n v="649300"/>
    <s v="NINGUNA"/>
    <x v="12"/>
    <n v="30"/>
    <n v="4057791"/>
    <n v="3.9999999105930328E-2"/>
    <n v="162400"/>
    <n v="0"/>
    <m/>
    <n v="0"/>
    <m/>
    <n v="0"/>
    <s v="NINGUNA"/>
    <x v="0"/>
    <n v="30"/>
    <n v="4057791"/>
    <n v="6.9600000977516174E-2"/>
    <s v="5"/>
    <s v="CENTRO TRABAJO 24"/>
    <s v="5711001"/>
    <n v="282500"/>
    <n v="30"/>
    <x v="0"/>
    <n v="4057791"/>
    <n v="3.9999999105930328E-2"/>
    <n v="162400"/>
    <n v="0"/>
    <n v="0"/>
    <n v="0"/>
    <n v="0"/>
    <n v="0"/>
    <n v="0"/>
    <n v="0"/>
    <n v="0"/>
    <n v="0"/>
    <s v="SI"/>
    <s v=" "/>
    <s v="                "/>
  </r>
  <r>
    <x v="1"/>
    <s v="CC"/>
    <x v="242"/>
    <x v="242"/>
    <s v="SARMIENTO"/>
    <s v="RIVAS"/>
    <s v="JULIO"/>
    <s v="JOSE"/>
    <s v="BOGOTA_D.E."/>
    <s v="BOGOTA"/>
    <s v="1. DEPENDIENTE"/>
    <s v="NINGUNO"/>
    <n v="20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30"/>
    <n v="2519784"/>
    <n v="0.15999999642372131"/>
    <n v="403200"/>
    <s v="Sin Riesgo"/>
    <n v="0"/>
    <n v="0"/>
    <n v="0"/>
    <n v="0"/>
    <n v="0"/>
    <n v="403200"/>
    <s v="NINGUNA"/>
    <x v="3"/>
    <n v="30"/>
    <n v="2519784"/>
    <n v="3.9999999105930328E-2"/>
    <n v="100800"/>
    <n v="0"/>
    <m/>
    <n v="0"/>
    <m/>
    <n v="0"/>
    <s v="NINGUNA"/>
    <x v="0"/>
    <n v="30"/>
    <n v="2519784"/>
    <n v="6.9600000977516174E-2"/>
    <s v="5"/>
    <s v="CENTRO TRABAJO 24"/>
    <s v="5711001"/>
    <n v="175400"/>
    <n v="30"/>
    <x v="0"/>
    <n v="2513890"/>
    <n v="3.9999999105930328E-2"/>
    <n v="100600"/>
    <n v="0"/>
    <n v="0"/>
    <n v="0"/>
    <n v="0"/>
    <n v="0"/>
    <n v="0"/>
    <n v="0"/>
    <n v="0"/>
    <n v="0"/>
    <s v="SI"/>
    <s v=" "/>
    <s v="                "/>
  </r>
  <r>
    <x v="1"/>
    <s v="CC"/>
    <x v="243"/>
    <x v="243"/>
    <s v="JAIMES"/>
    <s v="BALLESTEROS"/>
    <s v="JUAN"/>
    <s v="CARLOS AUGUSTO"/>
    <s v="BOGOTA_D.E."/>
    <s v="BOGOTA"/>
    <s v="1. DEPENDIENTE"/>
    <s v="NINGUNO"/>
    <n v="20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0"/>
    <n v="2764436"/>
    <n v="0.15999999642372131"/>
    <n v="442400"/>
    <s v="Sin Riesgo"/>
    <n v="0"/>
    <n v="0"/>
    <n v="0"/>
    <n v="0"/>
    <n v="0"/>
    <n v="442400"/>
    <s v="NINGUNA"/>
    <x v="10"/>
    <n v="30"/>
    <n v="2764436"/>
    <n v="3.9999999105930328E-2"/>
    <n v="110600"/>
    <n v="0"/>
    <m/>
    <n v="0"/>
    <m/>
    <n v="0"/>
    <s v="NINGUNA"/>
    <x v="0"/>
    <n v="30"/>
    <n v="2764436"/>
    <n v="6.9600000977516174E-2"/>
    <s v="5"/>
    <s v="CENTRO TRABAJO 24"/>
    <s v="5711001"/>
    <n v="192500"/>
    <n v="30"/>
    <x v="0"/>
    <n v="2764436"/>
    <n v="3.9999999105930328E-2"/>
    <n v="110600"/>
    <n v="0"/>
    <n v="0"/>
    <n v="0"/>
    <n v="0"/>
    <n v="0"/>
    <n v="0"/>
    <n v="0"/>
    <n v="0"/>
    <n v="0"/>
    <s v="SI"/>
    <s v=" "/>
    <s v="                "/>
  </r>
  <r>
    <x v="1"/>
    <s v="CC"/>
    <x v="245"/>
    <x v="245"/>
    <s v="PEREZ"/>
    <s v="URREA"/>
    <s v="REMBERT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6373428"/>
    <s v="NO"/>
    <s v="NO"/>
    <x v="0"/>
    <n v="7"/>
    <n v="1487134"/>
    <n v="0.15999999642372131"/>
    <n v="238000"/>
    <s v="Sin Riesgo"/>
    <n v="0"/>
    <n v="0"/>
    <n v="0"/>
    <n v="0"/>
    <n v="0"/>
    <n v="238000"/>
    <s v="NINGUNA"/>
    <x v="0"/>
    <n v="7"/>
    <n v="1487134"/>
    <n v="3.9999999105930328E-2"/>
    <n v="59500"/>
    <n v="0"/>
    <m/>
    <n v="0"/>
    <m/>
    <n v="0"/>
    <s v="NINGUNA"/>
    <x v="0"/>
    <n v="7"/>
    <n v="1487134"/>
    <n v="0"/>
    <s v="5"/>
    <s v="CENTRO TRABAJO 30"/>
    <s v="5711001"/>
    <n v="0"/>
    <n v="7"/>
    <x v="1"/>
    <n v="1487134"/>
    <n v="3.9999999105930328E-2"/>
    <n v="59500"/>
    <n v="0"/>
    <n v="0"/>
    <n v="0"/>
    <n v="0"/>
    <n v="0"/>
    <n v="0"/>
    <n v="0"/>
    <n v="0"/>
    <n v="0"/>
    <s v="SI"/>
    <s v=" "/>
    <s v="                "/>
  </r>
  <r>
    <x v="1"/>
    <s v="CC"/>
    <x v="245"/>
    <x v="245"/>
    <s v="PEREZ"/>
    <s v="URREA"/>
    <s v="REMBERTO"/>
    <s v="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6373428"/>
    <s v="NO"/>
    <s v="NO"/>
    <x v="0"/>
    <n v="23"/>
    <n v="4886295"/>
    <n v="0.15999999642372131"/>
    <n v="781900"/>
    <s v="Sin Riesgo"/>
    <n v="0"/>
    <n v="0"/>
    <n v="0"/>
    <n v="0"/>
    <n v="0"/>
    <n v="781900"/>
    <s v="NINGUNA"/>
    <x v="0"/>
    <n v="23"/>
    <n v="4886295"/>
    <n v="3.9999999105930328E-2"/>
    <n v="195500"/>
    <n v="0"/>
    <m/>
    <n v="0"/>
    <m/>
    <n v="0"/>
    <s v="NINGUNA"/>
    <x v="0"/>
    <n v="23"/>
    <n v="4886295"/>
    <n v="6.9600000977516174E-2"/>
    <s v="5"/>
    <s v="CENTRO TRABAJO 30"/>
    <s v="5711001"/>
    <n v="340100"/>
    <n v="23"/>
    <x v="1"/>
    <n v="4886295"/>
    <n v="3.9999999105930328E-2"/>
    <n v="195500"/>
    <n v="0"/>
    <n v="0"/>
    <n v="0"/>
    <n v="0"/>
    <n v="0"/>
    <n v="0"/>
    <n v="0"/>
    <n v="0"/>
    <n v="0"/>
    <s v="SI"/>
    <s v=" "/>
    <s v="                "/>
  </r>
  <r>
    <x v="1"/>
    <s v="CC"/>
    <x v="246"/>
    <x v="246"/>
    <s v="DAZA"/>
    <s v="MACARENO"/>
    <s v="RAFAEL"/>
    <s v="SEGUND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223339"/>
    <s v="NO"/>
    <s v="NO"/>
    <x v="1"/>
    <n v="5"/>
    <n v="370557"/>
    <n v="0.15999999642372131"/>
    <n v="59300"/>
    <s v="Sin Riesgo"/>
    <n v="0"/>
    <n v="0"/>
    <n v="0"/>
    <n v="0"/>
    <n v="0"/>
    <n v="59300"/>
    <s v="NINGUNA"/>
    <x v="10"/>
    <n v="5"/>
    <n v="370557"/>
    <n v="3.9999999105930328E-2"/>
    <n v="14900"/>
    <n v="0"/>
    <m/>
    <n v="0"/>
    <m/>
    <n v="0"/>
    <s v="NINGUNA"/>
    <x v="0"/>
    <n v="5"/>
    <n v="370557"/>
    <n v="0"/>
    <s v="5"/>
    <s v="CENTRO TRABAJO 30"/>
    <s v="5711001"/>
    <n v="0"/>
    <n v="5"/>
    <x v="1"/>
    <n v="370557"/>
    <n v="3.9999999105930328E-2"/>
    <n v="14900"/>
    <n v="0"/>
    <n v="0"/>
    <n v="0"/>
    <n v="0"/>
    <n v="0"/>
    <n v="0"/>
    <n v="0"/>
    <n v="0"/>
    <n v="0"/>
    <s v="SI"/>
    <s v=" "/>
    <s v="                "/>
  </r>
  <r>
    <x v="1"/>
    <s v="CC"/>
    <x v="246"/>
    <x v="246"/>
    <s v="DAZA"/>
    <s v="MACARENO"/>
    <s v="RAFAEL"/>
    <s v="SEGUNDO"/>
    <s v="LA_GUAJIRA"/>
    <s v="RIOHACHA"/>
    <s v="1. DEPENDIENTE"/>
    <s v="NINGUNO"/>
    <n v="15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25"/>
    <n v="2258150"/>
    <n v="0.15999999642372131"/>
    <n v="361400"/>
    <s v="Sin Riesgo"/>
    <n v="0"/>
    <n v="0"/>
    <n v="0"/>
    <n v="0"/>
    <n v="0"/>
    <n v="361400"/>
    <s v="NINGUNA"/>
    <x v="10"/>
    <n v="25"/>
    <n v="2258150"/>
    <n v="3.9999999105930328E-2"/>
    <n v="90400"/>
    <n v="0"/>
    <m/>
    <n v="0"/>
    <m/>
    <n v="0"/>
    <s v="NINGUNA"/>
    <x v="0"/>
    <n v="25"/>
    <n v="2258150"/>
    <n v="6.9600000977516174E-2"/>
    <s v="5"/>
    <s v="CENTRO TRABAJO 30"/>
    <s v="5711001"/>
    <n v="157200"/>
    <n v="25"/>
    <x v="1"/>
    <n v="2207001"/>
    <n v="3.9999999105930328E-2"/>
    <n v="88300"/>
    <n v="0"/>
    <n v="0"/>
    <n v="0"/>
    <n v="0"/>
    <n v="0"/>
    <n v="0"/>
    <n v="0"/>
    <n v="0"/>
    <n v="0"/>
    <s v="SI"/>
    <s v=" "/>
    <s v="                "/>
  </r>
  <r>
    <x v="1"/>
    <s v="CC"/>
    <x v="247"/>
    <x v="247"/>
    <s v="PORRAS"/>
    <s v="RAMIREZ"/>
    <s v="LAUREANO"/>
    <s v=""/>
    <s v="LA_GUAJIRA"/>
    <s v="RIOHACHA"/>
    <s v="1. DEPENDIENTE"/>
    <s v="1. DEPENDIENTE PENSIONADO ACTIVO"/>
    <n v="171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842037"/>
    <s v="NO"/>
    <s v="NO"/>
    <x v="6"/>
    <n v="0"/>
    <n v="0"/>
    <n v="0"/>
    <n v="0"/>
    <s v="Sin Riesgo"/>
    <n v="0"/>
    <n v="0"/>
    <n v="0"/>
    <n v="0"/>
    <n v="0"/>
    <n v="0"/>
    <s v="NINGUNA"/>
    <x v="0"/>
    <n v="26"/>
    <n v="5223985"/>
    <n v="3.9999999105930328E-2"/>
    <n v="209000"/>
    <n v="0"/>
    <m/>
    <n v="0"/>
    <m/>
    <n v="0"/>
    <s v="NINGUNA"/>
    <x v="0"/>
    <n v="26"/>
    <n v="5223985"/>
    <n v="6.9600000977516174E-2"/>
    <s v="5"/>
    <s v="CENTRO TRABAJO 30"/>
    <s v="5711001"/>
    <n v="363600"/>
    <n v="26"/>
    <x v="1"/>
    <n v="5310412"/>
    <n v="3.9999999105930328E-2"/>
    <n v="212500"/>
    <n v="0"/>
    <n v="0"/>
    <n v="0"/>
    <n v="0"/>
    <n v="0"/>
    <n v="0"/>
    <n v="0"/>
    <n v="0"/>
    <n v="0"/>
    <s v="SI"/>
    <s v=" "/>
    <s v="                "/>
  </r>
  <r>
    <x v="1"/>
    <s v="CC"/>
    <x v="248"/>
    <x v="248"/>
    <s v="HERRERA"/>
    <s v=""/>
    <s v="ANDRES"/>
    <s v=""/>
    <s v="LA_GUAJIRA"/>
    <s v="RIOHACHA"/>
    <s v="1. DEPENDIENTE"/>
    <s v="4. COTIZANTE CON REQUISITOS CUMPLIDOS PARA PENSIÓN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6"/>
    <n v="46080"/>
    <s v="NO"/>
    <s v="NO"/>
    <m/>
    <m/>
    <n v="0"/>
    <m/>
    <m/>
    <s v="NO"/>
    <n v="2970185"/>
    <s v="NO"/>
    <s v="NO"/>
    <x v="6"/>
    <n v="0"/>
    <n v="0"/>
    <n v="0"/>
    <n v="0"/>
    <s v="Sin Riesgo"/>
    <n v="0"/>
    <n v="0"/>
    <n v="0"/>
    <n v="0"/>
    <n v="0"/>
    <n v="0"/>
    <s v="NINGUNA"/>
    <x v="0"/>
    <n v="5"/>
    <n v="495031"/>
    <n v="3.9999999105930328E-2"/>
    <n v="19900"/>
    <n v="0"/>
    <m/>
    <n v="0"/>
    <m/>
    <n v="0"/>
    <s v="NINGUNA"/>
    <x v="0"/>
    <n v="5"/>
    <n v="495031"/>
    <n v="0"/>
    <s v="5"/>
    <s v="CENTRO TRABAJO 30"/>
    <s v="5711001"/>
    <n v="0"/>
    <n v="5"/>
    <x v="1"/>
    <n v="495031"/>
    <n v="3.9999999105930328E-2"/>
    <n v="19900"/>
    <n v="0"/>
    <n v="0"/>
    <n v="0"/>
    <n v="0"/>
    <n v="0"/>
    <n v="0"/>
    <n v="0"/>
    <n v="0"/>
    <n v="0"/>
    <s v="SI"/>
    <s v=" "/>
    <s v="                "/>
  </r>
  <r>
    <x v="1"/>
    <s v="CC"/>
    <x v="248"/>
    <x v="248"/>
    <s v="HERRERA"/>
    <s v=""/>
    <s v="ANDRES"/>
    <s v=""/>
    <s v="LA_GUAJIRA"/>
    <s v="RIOHACHA"/>
    <s v="1. DEPENDIENTE"/>
    <s v="4. COTIZANTE CON REQUISITOS CUMPLIDOS PARA PENSIÓN"/>
    <n v="158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6"/>
    <n v="0"/>
    <n v="0"/>
    <n v="0"/>
    <n v="0"/>
    <s v="Sin Riesgo"/>
    <n v="0"/>
    <n v="0"/>
    <n v="0"/>
    <n v="0"/>
    <n v="0"/>
    <n v="0"/>
    <s v="NINGUNA"/>
    <x v="0"/>
    <n v="25"/>
    <n v="3829605"/>
    <n v="3.9999999105930328E-2"/>
    <n v="153200"/>
    <n v="0"/>
    <m/>
    <n v="0"/>
    <m/>
    <n v="0"/>
    <s v="NINGUNA"/>
    <x v="0"/>
    <n v="25"/>
    <n v="3829605"/>
    <n v="6.9600000977516174E-2"/>
    <s v="5"/>
    <s v="CENTRO TRABAJO 30"/>
    <s v="5711001"/>
    <n v="266600"/>
    <n v="25"/>
    <x v="1"/>
    <n v="4680734"/>
    <n v="3.9999999105930328E-2"/>
    <n v="187300"/>
    <n v="0"/>
    <n v="0"/>
    <n v="0"/>
    <n v="0"/>
    <n v="0"/>
    <n v="0"/>
    <n v="0"/>
    <n v="0"/>
    <n v="0"/>
    <s v="SI"/>
    <s v=" "/>
    <s v="                "/>
  </r>
  <r>
    <x v="1"/>
    <s v="CC"/>
    <x v="249"/>
    <x v="249"/>
    <s v="CARRILLO"/>
    <s v="AGUDELO"/>
    <s v="CARLOS"/>
    <s v="ALBERTO"/>
    <s v="BOGOTA_D.E."/>
    <s v="BOGOTA"/>
    <s v="1. DEPENDIENTE"/>
    <s v="NINGUNO"/>
    <n v="20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204670"/>
    <n v="0.15999999642372131"/>
    <n v="352800"/>
    <s v="Sin Riesgo"/>
    <n v="0"/>
    <n v="0"/>
    <n v="0"/>
    <n v="0"/>
    <n v="0"/>
    <n v="352800"/>
    <s v="NINGUNA"/>
    <x v="8"/>
    <n v="30"/>
    <n v="2204670"/>
    <n v="3.9999999105930328E-2"/>
    <n v="88200"/>
    <n v="0"/>
    <m/>
    <n v="0"/>
    <m/>
    <n v="0"/>
    <s v="NINGUNA"/>
    <x v="0"/>
    <n v="30"/>
    <n v="2204670"/>
    <n v="6.9600000977516174E-2"/>
    <s v="5"/>
    <s v="CENTRO TRABAJO 24"/>
    <s v="5711001"/>
    <n v="153500"/>
    <n v="30"/>
    <x v="0"/>
    <n v="2204670"/>
    <n v="3.9999999105930328E-2"/>
    <n v="88200"/>
    <n v="0"/>
    <n v="0"/>
    <n v="0"/>
    <n v="0"/>
    <n v="0"/>
    <n v="0"/>
    <n v="0"/>
    <n v="0"/>
    <n v="0"/>
    <s v="SI"/>
    <s v=" "/>
    <s v="                "/>
  </r>
  <r>
    <x v="1"/>
    <s v="CC"/>
    <x v="250"/>
    <x v="250"/>
    <s v="RAMIREZ"/>
    <s v=""/>
    <s v="JHOJAN"/>
    <s v="ERIZON"/>
    <s v="BOGOTA_D.E."/>
    <s v="BOGOTA"/>
    <s v="1. DEPENDIENTE"/>
    <s v="NINGUNO"/>
    <n v="21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2996236"/>
    <n v="0.15999999642372131"/>
    <n v="479400"/>
    <s v="Sin Riesgo"/>
    <n v="0"/>
    <n v="0"/>
    <n v="0"/>
    <n v="0"/>
    <n v="0"/>
    <n v="479400"/>
    <s v="NINGUNA"/>
    <x v="3"/>
    <n v="30"/>
    <n v="2996236"/>
    <n v="3.9999999105930328E-2"/>
    <n v="119900"/>
    <n v="0"/>
    <m/>
    <n v="0"/>
    <m/>
    <n v="0"/>
    <s v="NINGUNA"/>
    <x v="0"/>
    <n v="30"/>
    <n v="2996236"/>
    <n v="6.9600000977516174E-2"/>
    <s v="5"/>
    <s v="CENTRO TRABAJO 24"/>
    <s v="5711001"/>
    <n v="208600"/>
    <n v="30"/>
    <x v="0"/>
    <n v="2996236"/>
    <n v="3.9999999105930328E-2"/>
    <n v="119900"/>
    <n v="0"/>
    <n v="0"/>
    <n v="0"/>
    <n v="0"/>
    <n v="0"/>
    <n v="0"/>
    <n v="0"/>
    <n v="0"/>
    <n v="0"/>
    <s v="SI"/>
    <s v=" "/>
    <s v="                "/>
  </r>
  <r>
    <x v="1"/>
    <s v="CC"/>
    <x v="251"/>
    <x v="251"/>
    <s v="GONZALEZ"/>
    <s v="MURILLO"/>
    <s v="EDGAR"/>
    <s v="HERNAN"/>
    <s v="VALLE"/>
    <s v="CALI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1889179"/>
    <s v="NO"/>
    <s v="NO"/>
    <x v="1"/>
    <n v="7"/>
    <n v="440809"/>
    <n v="0.15999999642372131"/>
    <n v="70600"/>
    <s v="Sin Riesgo"/>
    <n v="0"/>
    <n v="0"/>
    <n v="0"/>
    <n v="0"/>
    <n v="0"/>
    <n v="70600"/>
    <s v="NINGUNA"/>
    <x v="14"/>
    <n v="7"/>
    <n v="440809"/>
    <n v="3.9999999105930328E-2"/>
    <n v="17700"/>
    <n v="0"/>
    <m/>
    <n v="0"/>
    <m/>
    <n v="0"/>
    <s v="NINGUNA"/>
    <x v="0"/>
    <n v="7"/>
    <n v="440809"/>
    <n v="0"/>
    <s v="5"/>
    <s v="CENTRO TRABAJO 56"/>
    <s v="5711001"/>
    <n v="0"/>
    <n v="7"/>
    <x v="3"/>
    <n v="440809"/>
    <n v="3.9999999105930328E-2"/>
    <n v="17700"/>
    <n v="0"/>
    <n v="0"/>
    <n v="0"/>
    <n v="0"/>
    <n v="0"/>
    <n v="0"/>
    <n v="0"/>
    <n v="0"/>
    <n v="0"/>
    <s v="SI"/>
    <s v=" "/>
    <s v="                "/>
  </r>
  <r>
    <x v="1"/>
    <s v="CC"/>
    <x v="251"/>
    <x v="251"/>
    <s v="GONZALEZ"/>
    <s v="MURILLO"/>
    <s v="EDGAR"/>
    <s v="HERNAN"/>
    <s v="VALLE"/>
    <s v="CALI"/>
    <s v="1. DEPENDIENTE"/>
    <s v="NINGUNO"/>
    <n v="15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1"/>
    <n v="23"/>
    <n v="1736234"/>
    <n v="0.15999999642372131"/>
    <n v="277800"/>
    <s v="Sin Riesgo"/>
    <n v="0"/>
    <n v="0"/>
    <n v="0"/>
    <n v="0"/>
    <n v="0"/>
    <n v="277800"/>
    <s v="NINGUNA"/>
    <x v="14"/>
    <n v="23"/>
    <n v="1736234"/>
    <n v="3.9999999105930328E-2"/>
    <n v="69500"/>
    <n v="0"/>
    <m/>
    <n v="0"/>
    <m/>
    <n v="0"/>
    <s v="NINGUNA"/>
    <x v="0"/>
    <n v="23"/>
    <n v="1736234"/>
    <n v="6.9600000977516174E-2"/>
    <s v="5"/>
    <s v="CENTRO TRABAJO 56"/>
    <s v="5711001"/>
    <n v="120900"/>
    <n v="23"/>
    <x v="3"/>
    <n v="1711570"/>
    <n v="3.9999999105930328E-2"/>
    <n v="68500"/>
    <n v="0"/>
    <n v="0"/>
    <n v="0"/>
    <n v="0"/>
    <n v="0"/>
    <n v="0"/>
    <n v="0"/>
    <n v="0"/>
    <n v="0"/>
    <s v="SI"/>
    <s v=" "/>
    <s v="                "/>
  </r>
  <r>
    <x v="1"/>
    <s v="CC"/>
    <x v="252"/>
    <x v="252"/>
    <s v="CAMPO"/>
    <s v="BRITO"/>
    <s v="EFRAIN"/>
    <s v="FRANCISC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4"/>
    <n v="30"/>
    <n v="2110655"/>
    <n v="0.15999999642372131"/>
    <n v="337800"/>
    <s v="Sin Riesgo"/>
    <n v="0"/>
    <n v="0"/>
    <n v="0"/>
    <n v="0"/>
    <n v="0"/>
    <n v="337800"/>
    <s v="NINGUNA"/>
    <x v="2"/>
    <n v="30"/>
    <n v="2110655"/>
    <n v="3.9999999105930328E-2"/>
    <n v="84500"/>
    <n v="0"/>
    <m/>
    <n v="0"/>
    <m/>
    <n v="0"/>
    <s v="NINGUNA"/>
    <x v="0"/>
    <n v="30"/>
    <n v="2110655"/>
    <n v="6.9600000977516174E-2"/>
    <s v="5"/>
    <s v="CENTRO TRABAJO 30"/>
    <s v="5711001"/>
    <n v="147000"/>
    <n v="30"/>
    <x v="1"/>
    <n v="2110655"/>
    <n v="3.9999999105930328E-2"/>
    <n v="84500"/>
    <n v="0"/>
    <n v="0"/>
    <n v="0"/>
    <n v="0"/>
    <n v="0"/>
    <n v="0"/>
    <n v="0"/>
    <n v="0"/>
    <n v="0"/>
    <s v="SI"/>
    <s v=" "/>
    <s v="                "/>
  </r>
  <r>
    <x v="1"/>
    <s v="CC"/>
    <x v="253"/>
    <x v="253"/>
    <s v="ROJAS"/>
    <s v="GUERRA"/>
    <s v="LUIS"/>
    <s v="DAVID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069651"/>
    <n v="0.15999999642372131"/>
    <n v="331200"/>
    <s v="Sin Riesgo"/>
    <n v="0"/>
    <n v="0"/>
    <n v="0"/>
    <n v="0"/>
    <n v="0"/>
    <n v="331200"/>
    <s v="NINGUNA"/>
    <x v="0"/>
    <n v="30"/>
    <n v="2069651"/>
    <n v="3.9999999105930328E-2"/>
    <n v="82800"/>
    <n v="0"/>
    <m/>
    <n v="0"/>
    <m/>
    <n v="0"/>
    <s v="NINGUNA"/>
    <x v="0"/>
    <n v="30"/>
    <n v="2069651"/>
    <n v="6.9600000977516174E-2"/>
    <s v="5"/>
    <s v="CENTRO TRABAJO 30"/>
    <s v="5711001"/>
    <n v="144100"/>
    <n v="30"/>
    <x v="1"/>
    <n v="2069651"/>
    <n v="3.9999999105930328E-2"/>
    <n v="82800"/>
    <n v="0"/>
    <n v="0"/>
    <n v="0"/>
    <n v="0"/>
    <n v="0"/>
    <n v="0"/>
    <n v="0"/>
    <n v="0"/>
    <n v="0"/>
    <s v="SI"/>
    <s v=" "/>
    <s v="                "/>
  </r>
  <r>
    <x v="1"/>
    <s v="CC"/>
    <x v="254"/>
    <x v="254"/>
    <s v="FORERO"/>
    <s v="CALDERON"/>
    <s v="EDIER"/>
    <s v=""/>
    <s v="LA_GUAJIRA"/>
    <s v="RIOHACHA"/>
    <s v="1. DEPENDIENTE"/>
    <s v="NINGUNO"/>
    <n v="44"/>
    <s v="NO"/>
    <s v="NO"/>
    <m/>
    <s v="Todos los sistemas (ARL, AFP, CCF, EPS)"/>
    <n v="46077"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7"/>
    <n v="488132"/>
    <n v="0.15999999642372131"/>
    <n v="78200"/>
    <s v="Sin Riesgo"/>
    <n v="0"/>
    <n v="0"/>
    <n v="0"/>
    <n v="0"/>
    <n v="0"/>
    <n v="78200"/>
    <s v="NINGUNA"/>
    <x v="2"/>
    <n v="7"/>
    <n v="488132"/>
    <n v="3.9999999105930328E-2"/>
    <n v="19600"/>
    <n v="0"/>
    <m/>
    <n v="0"/>
    <m/>
    <n v="0"/>
    <s v="NINGUNA"/>
    <x v="0"/>
    <n v="7"/>
    <n v="488132"/>
    <n v="6.9600000977516174E-2"/>
    <s v="5"/>
    <s v="CENTRO TRABAJO 30"/>
    <s v="5711001"/>
    <n v="34000"/>
    <n v="7"/>
    <x v="1"/>
    <n v="502776"/>
    <n v="3.9999999105930328E-2"/>
    <n v="20200"/>
    <n v="0"/>
    <n v="0"/>
    <n v="0"/>
    <n v="0"/>
    <n v="0"/>
    <n v="0"/>
    <n v="0"/>
    <n v="0"/>
    <n v="0"/>
    <s v="SI"/>
    <s v=" "/>
    <s v="                "/>
  </r>
  <r>
    <x v="1"/>
    <s v="CC"/>
    <x v="255"/>
    <x v="255"/>
    <s v="EPINAYU"/>
    <s v="SAJAUT"/>
    <s v="JOHAN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7"/>
    <n v="1"/>
    <n v="59520"/>
    <n v="0"/>
    <n v="0"/>
    <n v="0"/>
    <m/>
    <n v="0"/>
    <m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55"/>
    <x v="255"/>
    <s v="EPINAYU"/>
    <s v="SAJAUT"/>
    <s v="JOHAN"/>
    <s v="DAVID"/>
    <s v="LA_GUAJIRA"/>
    <s v="RIOHACHA"/>
    <s v="1. DEPENDIENTE"/>
    <s v="NINGUNO"/>
    <n v="20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9"/>
    <n v="2030844"/>
    <n v="0.15999999642372131"/>
    <n v="325000"/>
    <s v="Sin Riesgo"/>
    <n v="0"/>
    <n v="0"/>
    <n v="0"/>
    <n v="0"/>
    <n v="0"/>
    <n v="325000"/>
    <s v="NINGUNA"/>
    <x v="7"/>
    <n v="29"/>
    <n v="2030844"/>
    <n v="3.9999999105930328E-2"/>
    <n v="81300"/>
    <n v="0"/>
    <m/>
    <n v="0"/>
    <m/>
    <n v="0"/>
    <s v="NINGUNA"/>
    <x v="0"/>
    <n v="29"/>
    <n v="2030844"/>
    <n v="6.9600000977516174E-2"/>
    <s v="5"/>
    <s v="CENTRO TRABAJO 30"/>
    <s v="5711001"/>
    <n v="141400"/>
    <n v="29"/>
    <x v="1"/>
    <n v="2030844"/>
    <n v="3.9999999105930328E-2"/>
    <n v="81300"/>
    <n v="0"/>
    <n v="0"/>
    <n v="0"/>
    <n v="0"/>
    <n v="0"/>
    <n v="0"/>
    <n v="0"/>
    <n v="0"/>
    <n v="0"/>
    <s v="SI"/>
    <s v=" "/>
    <s v="                "/>
  </r>
  <r>
    <x v="1"/>
    <s v="CC"/>
    <x v="257"/>
    <x v="257"/>
    <s v="FUENTES"/>
    <s v="CORDOBA"/>
    <s v="RAFAEL"/>
    <s v="ENRIQUE"/>
    <s v="LA_GUAJIRA"/>
    <s v="RIOHACHA"/>
    <s v="1. DEPENDIENTE"/>
    <s v="NINGUNO"/>
    <n v="201"/>
    <s v="NO"/>
    <s v="NO"/>
    <m/>
    <s v="NO"/>
    <m/>
    <s v="Todos los sistemas (ARL, AFP, CCF, EPS)"/>
    <n v="4607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26"/>
    <n v="2694174"/>
    <n v="0.15999999642372131"/>
    <n v="431100"/>
    <s v="Sin Riesgo"/>
    <n v="0"/>
    <n v="0"/>
    <n v="0"/>
    <n v="0"/>
    <n v="0"/>
    <n v="431100"/>
    <s v="NINGUNA"/>
    <x v="0"/>
    <n v="26"/>
    <n v="2694174"/>
    <n v="3.9999999105930328E-2"/>
    <n v="107800"/>
    <n v="0"/>
    <m/>
    <n v="0"/>
    <m/>
    <n v="0"/>
    <s v="NINGUNA"/>
    <x v="0"/>
    <n v="26"/>
    <n v="2694174"/>
    <n v="6.9600000977516174E-2"/>
    <s v="5"/>
    <s v="CENTRO TRABAJO 30"/>
    <s v="5711001"/>
    <n v="187600"/>
    <n v="26"/>
    <x v="1"/>
    <n v="3219832"/>
    <n v="3.9999999105930328E-2"/>
    <n v="128800"/>
    <n v="0"/>
    <n v="0"/>
    <n v="0"/>
    <n v="0"/>
    <n v="0"/>
    <n v="0"/>
    <n v="0"/>
    <n v="0"/>
    <n v="0"/>
    <s v="SI"/>
    <s v=" "/>
    <s v="                "/>
  </r>
  <r>
    <x v="1"/>
    <s v="CC"/>
    <x v="258"/>
    <x v="258"/>
    <s v="ACUÑA"/>
    <s v="MANRIQUE"/>
    <s v="JOSE"/>
    <s v="JOAQUI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3"/>
    <n v="1"/>
    <n v="58364"/>
    <n v="0"/>
    <n v="0"/>
    <n v="0"/>
    <m/>
    <n v="0"/>
    <m/>
    <n v="0"/>
    <s v="NINGUNA"/>
    <x v="0"/>
    <n v="1"/>
    <n v="583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58"/>
    <x v="258"/>
    <s v="ACUÑA"/>
    <s v="MANRIQUE"/>
    <s v="JOSE"/>
    <s v="JOAQUI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6"/>
    <n v="46057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5999999642372131"/>
    <n v="18700"/>
    <s v="Sin Riesgo"/>
    <n v="0"/>
    <n v="0"/>
    <n v="0"/>
    <n v="0"/>
    <n v="0"/>
    <n v="18700"/>
    <s v="NINGUNA"/>
    <x v="3"/>
    <n v="2"/>
    <n v="116727"/>
    <n v="0"/>
    <n v="0"/>
    <n v="0"/>
    <m/>
    <n v="0"/>
    <m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58"/>
    <x v="258"/>
    <s v="ACUÑA"/>
    <s v="MANRIQUE"/>
    <s v="JOSE"/>
    <s v="JOAQUI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58"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3"/>
    <n v="1"/>
    <n v="58364"/>
    <n v="3.9999999105930328E-2"/>
    <n v="2400"/>
    <n v="0"/>
    <m/>
    <n v="0"/>
    <m/>
    <n v="0"/>
    <s v="NINGUNA"/>
    <x v="0"/>
    <n v="1"/>
    <n v="58364"/>
    <n v="0"/>
    <s v="5"/>
    <s v="CENTRO TRABAJO 24"/>
    <s v="5711001"/>
    <n v="0"/>
    <n v="1"/>
    <x v="0"/>
    <n v="58364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258"/>
    <x v="258"/>
    <s v="ACUÑA"/>
    <s v="MANRIQUE"/>
    <s v="JOSE"/>
    <s v="JOAQUI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0"/>
    <n v="46061"/>
    <s v="NO"/>
    <m/>
    <m/>
    <s v="NO"/>
    <m/>
    <m/>
    <s v="NO"/>
    <s v="NO"/>
    <m/>
    <m/>
    <n v="0"/>
    <m/>
    <m/>
    <s v="NO"/>
    <n v="1750905"/>
    <s v="NO"/>
    <s v="NO"/>
    <x v="0"/>
    <n v="2"/>
    <n v="181456"/>
    <n v="0.15999999642372131"/>
    <n v="29100"/>
    <s v="Sin Riesgo"/>
    <n v="0"/>
    <n v="0"/>
    <n v="0"/>
    <n v="0"/>
    <n v="0"/>
    <n v="29100"/>
    <s v="NINGUNA"/>
    <x v="3"/>
    <n v="2"/>
    <n v="181456"/>
    <n v="3.9999999105930328E-2"/>
    <n v="7300"/>
    <n v="0"/>
    <m/>
    <n v="0"/>
    <m/>
    <n v="0"/>
    <s v="NINGUNA"/>
    <x v="0"/>
    <n v="2"/>
    <n v="181456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58"/>
    <x v="258"/>
    <s v="ACUÑA"/>
    <s v="MANRIQUE"/>
    <s v="JOSE"/>
    <s v="JOAQUI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3"/>
    <n v="4606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"/>
    <n v="116727"/>
    <n v="0.15999999642372131"/>
    <n v="18700"/>
    <s v="Sin Riesgo"/>
    <n v="0"/>
    <n v="0"/>
    <n v="0"/>
    <n v="0"/>
    <n v="0"/>
    <n v="18700"/>
    <s v="NINGUNA"/>
    <x v="3"/>
    <n v="2"/>
    <n v="116727"/>
    <n v="0"/>
    <n v="0"/>
    <n v="0"/>
    <m/>
    <n v="0"/>
    <m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58"/>
    <x v="258"/>
    <s v="ACUÑA"/>
    <s v="MANRIQUE"/>
    <s v="JOSE"/>
    <s v="JOAQUIN"/>
    <s v="BOGOTA_D.E."/>
    <s v="BOGOTA"/>
    <s v="1. DEPENDIENTE"/>
    <s v="NINGUNO"/>
    <n v="67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7"/>
    <n v="1000114"/>
    <n v="0.15999999642372131"/>
    <n v="160100"/>
    <s v="Sin Riesgo"/>
    <n v="0"/>
    <n v="0"/>
    <n v="0"/>
    <n v="0"/>
    <n v="0"/>
    <n v="160100"/>
    <s v="NINGUNA"/>
    <x v="3"/>
    <n v="7"/>
    <n v="1000114"/>
    <n v="3.9999999105930328E-2"/>
    <n v="40100"/>
    <n v="0"/>
    <m/>
    <n v="0"/>
    <m/>
    <n v="0"/>
    <s v="NINGUNA"/>
    <x v="0"/>
    <n v="7"/>
    <n v="1000114"/>
    <n v="6.9600000977516174E-2"/>
    <s v="5"/>
    <s v="CENTRO TRABAJO 24"/>
    <s v="5711001"/>
    <n v="69700"/>
    <n v="7"/>
    <x v="0"/>
    <n v="1471150"/>
    <n v="3.9999999105930328E-2"/>
    <n v="58900"/>
    <n v="0"/>
    <n v="0"/>
    <n v="0"/>
    <n v="0"/>
    <n v="0"/>
    <n v="0"/>
    <n v="0"/>
    <n v="0"/>
    <n v="0"/>
    <s v="SI"/>
    <s v=" "/>
    <s v="                "/>
  </r>
  <r>
    <x v="1"/>
    <s v="CC"/>
    <x v="259"/>
    <x v="259"/>
    <s v="RONDANO"/>
    <s v="MARTINEZ"/>
    <s v="ELIMELETH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056650"/>
    <s v="NO"/>
    <s v="NO"/>
    <x v="1"/>
    <n v="1"/>
    <n v="68555"/>
    <n v="0.15999999642372131"/>
    <n v="11000"/>
    <s v="Sin Riesgo"/>
    <n v="0"/>
    <n v="0"/>
    <n v="0"/>
    <n v="0"/>
    <n v="0"/>
    <n v="11000"/>
    <s v="NINGUNA"/>
    <x v="3"/>
    <n v="1"/>
    <n v="68555"/>
    <n v="0"/>
    <n v="0"/>
    <n v="0"/>
    <m/>
    <n v="0"/>
    <m/>
    <n v="0"/>
    <s v="NINGUNA"/>
    <x v="0"/>
    <n v="1"/>
    <n v="68555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59"/>
    <x v="259"/>
    <s v="RONDANO"/>
    <s v="MARTINEZ"/>
    <s v="ELIMELETH"/>
    <s v=""/>
    <s v="LA_GUAJIRA"/>
    <s v="RIOHACHA"/>
    <s v="1. DEPENDIENTE"/>
    <s v="NINGUNO"/>
    <n v="20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1"/>
    <n v="29"/>
    <n v="2505810"/>
    <n v="0.15999999642372131"/>
    <n v="401000"/>
    <s v="Sin Riesgo"/>
    <n v="0"/>
    <n v="0"/>
    <n v="0"/>
    <n v="0"/>
    <n v="0"/>
    <n v="401000"/>
    <s v="NINGUNA"/>
    <x v="3"/>
    <n v="29"/>
    <n v="2505810"/>
    <n v="3.9999999105930328E-2"/>
    <n v="100300"/>
    <n v="0"/>
    <m/>
    <n v="0"/>
    <m/>
    <n v="0"/>
    <s v="NINGUNA"/>
    <x v="0"/>
    <n v="29"/>
    <n v="2505810"/>
    <n v="6.9600000977516174E-2"/>
    <s v="5"/>
    <s v="CENTRO TRABAJO 30"/>
    <s v="5711001"/>
    <n v="174500"/>
    <n v="29"/>
    <x v="1"/>
    <n v="2374184"/>
    <n v="3.9999999105930328E-2"/>
    <n v="95000"/>
    <n v="0"/>
    <n v="0"/>
    <n v="0"/>
    <n v="0"/>
    <n v="0"/>
    <n v="0"/>
    <n v="0"/>
    <n v="0"/>
    <n v="0"/>
    <s v="SI"/>
    <s v=" "/>
    <s v="                "/>
  </r>
  <r>
    <x v="1"/>
    <s v="CC"/>
    <x v="260"/>
    <x v="260"/>
    <s v="CASTRO"/>
    <s v="GARCIA"/>
    <s v="MILTON"/>
    <s v="RAFAEL"/>
    <s v="LA_GUAJIRA"/>
    <s v="RIOHACHA"/>
    <s v="1. DEPENDIENTE"/>
    <s v="NINGUNO"/>
    <n v="22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2"/>
    <n v="30"/>
    <n v="2687880"/>
    <n v="0.15999999642372131"/>
    <n v="430100"/>
    <s v="Sin Riesgo"/>
    <n v="0"/>
    <n v="0"/>
    <n v="0"/>
    <n v="0"/>
    <n v="0"/>
    <n v="430100"/>
    <s v="NINGUNA"/>
    <x v="3"/>
    <n v="30"/>
    <n v="2687880"/>
    <n v="3.9999999105930328E-2"/>
    <n v="107600"/>
    <n v="0"/>
    <m/>
    <n v="0"/>
    <m/>
    <n v="0"/>
    <s v="NINGUNA"/>
    <x v="0"/>
    <n v="30"/>
    <n v="2687880"/>
    <n v="6.9600000977516174E-2"/>
    <s v="5"/>
    <s v="CENTRO TRABAJO 30"/>
    <s v="5711001"/>
    <n v="187100"/>
    <n v="30"/>
    <x v="1"/>
    <n v="2612179"/>
    <n v="3.9999999105930328E-2"/>
    <n v="104500"/>
    <n v="0"/>
    <n v="0"/>
    <n v="0"/>
    <n v="0"/>
    <n v="0"/>
    <n v="0"/>
    <n v="0"/>
    <n v="0"/>
    <n v="0"/>
    <s v="SI"/>
    <s v=" "/>
    <s v="                "/>
  </r>
  <r>
    <x v="1"/>
    <s v="CC"/>
    <x v="261"/>
    <x v="261"/>
    <s v="MEJIA"/>
    <s v="LOPEZ"/>
    <s v="DIDIER"/>
    <s v="GREGORI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223339"/>
    <s v="NO"/>
    <s v="NO"/>
    <x v="1"/>
    <n v="5"/>
    <n v="370557"/>
    <n v="0.15999999642372131"/>
    <n v="59300"/>
    <s v="Sin Riesgo"/>
    <n v="0"/>
    <n v="0"/>
    <n v="0"/>
    <n v="0"/>
    <n v="0"/>
    <n v="59300"/>
    <s v="NINGUNA"/>
    <x v="10"/>
    <n v="5"/>
    <n v="370557"/>
    <n v="3.9999999105930328E-2"/>
    <n v="14900"/>
    <n v="0"/>
    <m/>
    <n v="0"/>
    <m/>
    <n v="0"/>
    <s v="NINGUNA"/>
    <x v="0"/>
    <n v="5"/>
    <n v="370557"/>
    <n v="0"/>
    <s v="5"/>
    <s v="CENTRO TRABAJO 30"/>
    <s v="5711001"/>
    <n v="0"/>
    <n v="5"/>
    <x v="1"/>
    <n v="370557"/>
    <n v="3.9999999105930328E-2"/>
    <n v="14900"/>
    <n v="0"/>
    <n v="0"/>
    <n v="0"/>
    <n v="0"/>
    <n v="0"/>
    <n v="0"/>
    <n v="0"/>
    <n v="0"/>
    <n v="0"/>
    <s v="SI"/>
    <s v=" "/>
    <s v="                "/>
  </r>
  <r>
    <x v="1"/>
    <s v="CC"/>
    <x v="261"/>
    <x v="261"/>
    <s v="MEJIA"/>
    <s v="LOPEZ"/>
    <s v="DIDIER"/>
    <s v="GREGORIO"/>
    <s v="LA_GUAJIRA"/>
    <s v="RIOHACHA"/>
    <s v="1. DEPENDIENTE"/>
    <s v="NINGUNO"/>
    <n v="15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25"/>
    <n v="2258150"/>
    <n v="0.15999999642372131"/>
    <n v="361400"/>
    <s v="Sin Riesgo"/>
    <n v="0"/>
    <n v="0"/>
    <n v="0"/>
    <n v="0"/>
    <n v="0"/>
    <n v="361400"/>
    <s v="NINGUNA"/>
    <x v="10"/>
    <n v="25"/>
    <n v="2258150"/>
    <n v="3.9999999105930328E-2"/>
    <n v="90400"/>
    <n v="0"/>
    <m/>
    <n v="0"/>
    <m/>
    <n v="0"/>
    <s v="NINGUNA"/>
    <x v="0"/>
    <n v="25"/>
    <n v="2258150"/>
    <n v="6.9600000977516174E-2"/>
    <s v="5"/>
    <s v="CENTRO TRABAJO 30"/>
    <s v="5711001"/>
    <n v="157200"/>
    <n v="25"/>
    <x v="1"/>
    <n v="2207001"/>
    <n v="3.9999999105930328E-2"/>
    <n v="88300"/>
    <n v="0"/>
    <n v="0"/>
    <n v="0"/>
    <n v="0"/>
    <n v="0"/>
    <n v="0"/>
    <n v="0"/>
    <n v="0"/>
    <n v="0"/>
    <s v="SI"/>
    <s v=" "/>
    <s v="                "/>
  </r>
  <r>
    <x v="1"/>
    <s v="CC"/>
    <x v="262"/>
    <x v="262"/>
    <s v="PALACIO"/>
    <s v="GONZALEZ"/>
    <s v="DEIBER"/>
    <s v=""/>
    <s v="LA_GUAJIRA"/>
    <s v="RIOHACH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2"/>
    <n v="30"/>
    <n v="2652824"/>
    <n v="0.15999999642372131"/>
    <n v="424500"/>
    <s v="Sin Riesgo"/>
    <n v="0"/>
    <n v="0"/>
    <n v="0"/>
    <n v="0"/>
    <n v="0"/>
    <n v="424500"/>
    <s v="NINGUNA"/>
    <x v="7"/>
    <n v="30"/>
    <n v="2652824"/>
    <n v="3.9999999105930328E-2"/>
    <n v="106200"/>
    <n v="0"/>
    <m/>
    <n v="0"/>
    <m/>
    <n v="0"/>
    <s v="NINGUNA"/>
    <x v="0"/>
    <n v="30"/>
    <n v="2652824"/>
    <n v="6.9600000977516174E-2"/>
    <s v="5"/>
    <s v="CENTRO TRABAJO 30"/>
    <s v="5711001"/>
    <n v="184700"/>
    <n v="30"/>
    <x v="1"/>
    <n v="2553752"/>
    <n v="3.9999999105930328E-2"/>
    <n v="102200"/>
    <n v="0"/>
    <n v="0"/>
    <n v="0"/>
    <n v="0"/>
    <n v="0"/>
    <n v="0"/>
    <n v="0"/>
    <n v="0"/>
    <n v="0"/>
    <s v="SI"/>
    <s v=" "/>
    <s v="                "/>
  </r>
  <r>
    <x v="1"/>
    <s v="CC"/>
    <x v="263"/>
    <x v="263"/>
    <s v="MENDOZA"/>
    <s v="SIERRA"/>
    <s v="EILIS"/>
    <s v=""/>
    <s v="LA_GUAJIRA"/>
    <s v="RIOHACHA"/>
    <s v="1. DEPENDIENTE"/>
    <s v="NINGUNO"/>
    <n v="203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457591"/>
    <s v="NO"/>
    <s v="NO"/>
    <x v="0"/>
    <n v="30"/>
    <n v="2778754"/>
    <n v="0.15999999642372131"/>
    <n v="444700"/>
    <s v="Sin Riesgo"/>
    <n v="0"/>
    <n v="0"/>
    <n v="0"/>
    <n v="0"/>
    <n v="0"/>
    <n v="444700"/>
    <s v="NINGUNA"/>
    <x v="2"/>
    <n v="30"/>
    <n v="2778754"/>
    <n v="3.9999999105930328E-2"/>
    <n v="111200"/>
    <n v="0"/>
    <m/>
    <n v="0"/>
    <m/>
    <n v="0"/>
    <s v="NINGUNA"/>
    <x v="0"/>
    <n v="30"/>
    <n v="2778754"/>
    <n v="6.9600000977516174E-2"/>
    <s v="5"/>
    <s v="CENTRO TRABAJO 30"/>
    <s v="5711001"/>
    <n v="193500"/>
    <n v="30"/>
    <x v="1"/>
    <n v="2778754"/>
    <n v="3.9999999105930328E-2"/>
    <n v="111200"/>
    <n v="0"/>
    <n v="0"/>
    <n v="0"/>
    <n v="0"/>
    <n v="0"/>
    <n v="0"/>
    <n v="0"/>
    <n v="0"/>
    <n v="0"/>
    <s v="SI"/>
    <s v=" "/>
    <s v="                "/>
  </r>
  <r>
    <x v="1"/>
    <s v="CC"/>
    <x v="264"/>
    <x v="264"/>
    <s v="ARANGO"/>
    <s v="GRISALES"/>
    <s v="SANDRA"/>
    <s v="MILEN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8150490"/>
    <s v="NO"/>
    <s v="NO"/>
    <x v="1"/>
    <n v="7"/>
    <n v="1901781"/>
    <n v="0.15999999642372131"/>
    <n v="304300"/>
    <s v="Sin Riesgo"/>
    <n v="0"/>
    <n v="0"/>
    <n v="9600"/>
    <n v="9600"/>
    <n v="0"/>
    <n v="323500"/>
    <s v="NINGUNA"/>
    <x v="2"/>
    <n v="7"/>
    <n v="1901781"/>
    <n v="3.9999999105930328E-2"/>
    <n v="76100"/>
    <n v="0"/>
    <m/>
    <n v="0"/>
    <m/>
    <n v="0"/>
    <s v="NINGUNA"/>
    <x v="0"/>
    <n v="7"/>
    <n v="1901781"/>
    <n v="0"/>
    <s v="5"/>
    <s v="CENTRO TRABAJO 24"/>
    <s v="5711001"/>
    <n v="0"/>
    <n v="7"/>
    <x v="0"/>
    <n v="1901781"/>
    <n v="3.9999999105930328E-2"/>
    <n v="76100"/>
    <n v="0"/>
    <n v="0"/>
    <n v="0"/>
    <n v="0"/>
    <n v="0"/>
    <n v="0"/>
    <n v="0"/>
    <n v="0"/>
    <n v="0"/>
    <s v="SI"/>
    <s v=" "/>
    <s v="                "/>
  </r>
  <r>
    <x v="1"/>
    <s v="CC"/>
    <x v="264"/>
    <x v="264"/>
    <s v="ARANGO"/>
    <s v="GRISALES"/>
    <s v="SANDRA"/>
    <s v="MILENA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8150490"/>
    <s v="NO"/>
    <s v="NO"/>
    <x v="1"/>
    <n v="23"/>
    <n v="6248709"/>
    <n v="0.15999999642372131"/>
    <n v="999800"/>
    <s v="Sin Riesgo"/>
    <n v="0"/>
    <n v="0"/>
    <n v="31300"/>
    <n v="31300"/>
    <n v="0"/>
    <n v="1062400"/>
    <s v="NINGUNA"/>
    <x v="2"/>
    <n v="23"/>
    <n v="6248709"/>
    <n v="3.9999999105930328E-2"/>
    <n v="250000"/>
    <n v="0"/>
    <m/>
    <n v="0"/>
    <m/>
    <n v="0"/>
    <s v="NINGUNA"/>
    <x v="0"/>
    <n v="23"/>
    <n v="6248709"/>
    <n v="6.9600000977516174E-2"/>
    <s v="5"/>
    <s v="CENTRO TRABAJO 24"/>
    <s v="5711001"/>
    <n v="435000"/>
    <n v="23"/>
    <x v="0"/>
    <n v="6248709"/>
    <n v="3.9999999105930328E-2"/>
    <n v="250000"/>
    <n v="0"/>
    <n v="0"/>
    <n v="0"/>
    <n v="0"/>
    <n v="0"/>
    <n v="0"/>
    <n v="0"/>
    <n v="0"/>
    <n v="0"/>
    <s v="SI"/>
    <s v=" "/>
    <s v="                "/>
  </r>
  <r>
    <x v="1"/>
    <s v="CC"/>
    <x v="265"/>
    <x v="265"/>
    <s v="MUÑOZ"/>
    <s v="SUAREZ"/>
    <s v="NESTY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3050412"/>
    <s v="NO"/>
    <s v="SI"/>
    <x v="4"/>
    <n v="1"/>
    <n v="101681"/>
    <n v="0.15999999642372131"/>
    <n v="16300"/>
    <s v="Sin Riesgo"/>
    <n v="0"/>
    <n v="0"/>
    <n v="0"/>
    <n v="0"/>
    <n v="0"/>
    <n v="16300"/>
    <s v="NINGUNA"/>
    <x v="2"/>
    <n v="1"/>
    <n v="101681"/>
    <n v="3.9999999105930328E-2"/>
    <n v="4100"/>
    <n v="0"/>
    <m/>
    <n v="0"/>
    <m/>
    <n v="0"/>
    <s v="NINGUNA"/>
    <x v="0"/>
    <n v="1"/>
    <n v="101681"/>
    <n v="0"/>
    <s v="5"/>
    <s v="CENTRO TRABAJO 24"/>
    <s v="5711001"/>
    <n v="0"/>
    <n v="1"/>
    <x v="0"/>
    <n v="101681"/>
    <n v="3.9999999105930328E-2"/>
    <n v="4100"/>
    <n v="0"/>
    <n v="0"/>
    <n v="0"/>
    <n v="0"/>
    <n v="0"/>
    <n v="0"/>
    <n v="0"/>
    <n v="0"/>
    <n v="0"/>
    <s v="SI"/>
    <s v=" "/>
    <s v="                "/>
  </r>
  <r>
    <x v="1"/>
    <s v="CC"/>
    <x v="265"/>
    <x v="265"/>
    <s v="MUÑOZ"/>
    <s v="SUAREZ"/>
    <s v="NESTY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3050412"/>
    <s v="NO"/>
    <s v="SI"/>
    <x v="4"/>
    <n v="7"/>
    <n v="711763"/>
    <n v="0.15999999642372131"/>
    <n v="113900"/>
    <s v="Sin Riesgo"/>
    <n v="0"/>
    <n v="0"/>
    <n v="0"/>
    <n v="0"/>
    <n v="0"/>
    <n v="113900"/>
    <s v="NINGUNA"/>
    <x v="2"/>
    <n v="7"/>
    <n v="711763"/>
    <n v="3.9999999105930328E-2"/>
    <n v="28500"/>
    <n v="0"/>
    <m/>
    <n v="0"/>
    <m/>
    <n v="0"/>
    <s v="NINGUNA"/>
    <x v="0"/>
    <n v="7"/>
    <n v="711763"/>
    <n v="0"/>
    <s v="5"/>
    <s v="CENTRO TRABAJO 24"/>
    <s v="5711001"/>
    <n v="0"/>
    <n v="7"/>
    <x v="0"/>
    <n v="711763"/>
    <n v="3.9999999105930328E-2"/>
    <n v="28500"/>
    <n v="0"/>
    <n v="0"/>
    <n v="0"/>
    <n v="0"/>
    <n v="0"/>
    <n v="0"/>
    <n v="0"/>
    <n v="0"/>
    <n v="0"/>
    <s v="SI"/>
    <s v=" "/>
    <s v="                "/>
  </r>
  <r>
    <x v="1"/>
    <s v="CC"/>
    <x v="265"/>
    <x v="265"/>
    <s v="MUÑOZ"/>
    <s v="SUAREZ"/>
    <s v="NESTY"/>
    <s v=""/>
    <s v="BOGOTA_D.E."/>
    <s v="BOGOTA"/>
    <s v="1. DEPENDIENTE"/>
    <s v="NINGUNO"/>
    <n v="151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050412"/>
    <s v="NO"/>
    <s v="SI"/>
    <x v="4"/>
    <n v="22"/>
    <n v="2514279"/>
    <n v="0.15999999642372131"/>
    <n v="402300"/>
    <s v="Sin Riesgo"/>
    <n v="0"/>
    <n v="0"/>
    <n v="0"/>
    <n v="0"/>
    <n v="0"/>
    <n v="402300"/>
    <s v="NINGUNA"/>
    <x v="2"/>
    <n v="22"/>
    <n v="2514279"/>
    <n v="3.9999999105930328E-2"/>
    <n v="100600"/>
    <n v="0"/>
    <m/>
    <n v="0"/>
    <m/>
    <n v="0"/>
    <s v="NINGUNA"/>
    <x v="0"/>
    <n v="22"/>
    <n v="2514279"/>
    <n v="6.9600000977516174E-2"/>
    <s v="5"/>
    <s v="CENTRO TRABAJO 24"/>
    <s v="5711001"/>
    <n v="175000"/>
    <n v="22"/>
    <x v="0"/>
    <n v="2514279"/>
    <n v="3.9999999105930328E-2"/>
    <n v="100600"/>
    <n v="0"/>
    <n v="0"/>
    <n v="0"/>
    <n v="0"/>
    <n v="0"/>
    <n v="0"/>
    <n v="0"/>
    <n v="0"/>
    <n v="0"/>
    <s v="SI"/>
    <s v=" "/>
    <s v="                "/>
  </r>
  <r>
    <x v="1"/>
    <s v="CC"/>
    <x v="266"/>
    <x v="266"/>
    <s v="LONDOÑO"/>
    <s v="BRIGARD"/>
    <s v="MONICA"/>
    <s v="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0672432"/>
    <s v="NO"/>
    <s v="NO"/>
    <x v="1"/>
    <n v="30"/>
    <n v="10672432"/>
    <n v="0.15999999642372131"/>
    <n v="1707600"/>
    <s v="Sin Riesgo"/>
    <n v="0"/>
    <n v="0"/>
    <n v="53400"/>
    <n v="53400"/>
    <n v="0"/>
    <n v="1814400"/>
    <s v="NINGUNA"/>
    <x v="3"/>
    <n v="30"/>
    <n v="10672432"/>
    <n v="3.9999999105930328E-2"/>
    <n v="426900"/>
    <n v="0"/>
    <m/>
    <n v="0"/>
    <m/>
    <n v="0"/>
    <s v="NINGUNA"/>
    <x v="0"/>
    <n v="30"/>
    <n v="10672432"/>
    <n v="5.2200001664459705E-3"/>
    <s v="1"/>
    <s v="CENTRO TRABAJO 24"/>
    <s v="1711001"/>
    <n v="55800"/>
    <n v="30"/>
    <x v="0"/>
    <n v="10672432"/>
    <n v="3.9999999105930328E-2"/>
    <n v="426900"/>
    <n v="0"/>
    <n v="0"/>
    <n v="0"/>
    <n v="0"/>
    <n v="0"/>
    <n v="0"/>
    <n v="0"/>
    <n v="0"/>
    <n v="0"/>
    <s v="SI"/>
    <s v=" "/>
    <s v="                "/>
  </r>
  <r>
    <x v="1"/>
    <s v="CC"/>
    <x v="267"/>
    <x v="267"/>
    <s v="MANOSALVA"/>
    <s v="DIAZ"/>
    <s v="BALVINO"/>
    <s v="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1"/>
    <n v="30"/>
    <n v="2607845"/>
    <n v="0.15999999642372131"/>
    <n v="417300"/>
    <s v="Sin Riesgo"/>
    <n v="0"/>
    <n v="0"/>
    <n v="0"/>
    <n v="0"/>
    <n v="0"/>
    <n v="417300"/>
    <s v="NINGUNA"/>
    <x v="3"/>
    <n v="30"/>
    <n v="2607845"/>
    <n v="3.9999999105930328E-2"/>
    <n v="104400"/>
    <n v="0"/>
    <m/>
    <n v="0"/>
    <m/>
    <n v="0"/>
    <s v="NINGUNA"/>
    <x v="0"/>
    <n v="30"/>
    <n v="2607845"/>
    <n v="6.9600000977516174E-2"/>
    <s v="5"/>
    <s v="CENTRO TRABAJO 24"/>
    <s v="5711001"/>
    <n v="181600"/>
    <n v="30"/>
    <x v="0"/>
    <n v="2607845"/>
    <n v="3.9999999105930328E-2"/>
    <n v="104400"/>
    <n v="0"/>
    <n v="0"/>
    <n v="0"/>
    <n v="0"/>
    <n v="0"/>
    <n v="0"/>
    <n v="0"/>
    <n v="0"/>
    <n v="0"/>
    <s v="SI"/>
    <s v=" "/>
    <s v="                "/>
  </r>
  <r>
    <x v="1"/>
    <s v="CC"/>
    <x v="268"/>
    <x v="268"/>
    <s v="ORTIZ"/>
    <s v="CRISTANCHO"/>
    <s v="JOSE"/>
    <s v="HIGINIO"/>
    <s v="BOGOTA_D.E."/>
    <s v="BOGOTA"/>
    <s v="1. DEPENDIENTE"/>
    <s v="NINGUNO"/>
    <n v="179"/>
    <s v="NO"/>
    <s v="NO"/>
    <m/>
    <s v="Todos los sistemas (ARL, AFP, CCF, EPS)"/>
    <n v="46056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2"/>
    <n v="28"/>
    <n v="2157492"/>
    <n v="0.15999999642372131"/>
    <n v="345200"/>
    <s v="Sin Riesgo"/>
    <n v="0"/>
    <n v="0"/>
    <n v="0"/>
    <n v="0"/>
    <n v="0"/>
    <n v="345200"/>
    <s v="NINGUNA"/>
    <x v="0"/>
    <n v="28"/>
    <n v="2157492"/>
    <n v="3.9999999105930328E-2"/>
    <n v="86300"/>
    <n v="0"/>
    <m/>
    <n v="0"/>
    <m/>
    <n v="0"/>
    <s v="NINGUNA"/>
    <x v="0"/>
    <n v="28"/>
    <n v="2157492"/>
    <n v="6.9600000977516174E-2"/>
    <s v="5"/>
    <s v="CENTRO TRABAJO 24"/>
    <s v="5711001"/>
    <n v="150200"/>
    <n v="28"/>
    <x v="0"/>
    <n v="2068357"/>
    <n v="3.9999999105930328E-2"/>
    <n v="82800"/>
    <n v="0"/>
    <n v="0"/>
    <n v="0"/>
    <n v="0"/>
    <n v="0"/>
    <n v="0"/>
    <n v="0"/>
    <n v="0"/>
    <n v="0"/>
    <s v="SI"/>
    <s v=" "/>
    <s v="                "/>
  </r>
  <r>
    <x v="1"/>
    <s v="CC"/>
    <x v="269"/>
    <x v="269"/>
    <s v="REYES"/>
    <s v="SILVA"/>
    <s v="OSWALDO"/>
    <s v="DE JESUS"/>
    <s v="BOGOTA_D.E."/>
    <s v="BOGOTA"/>
    <s v="1. DEPENDIENTE"/>
    <s v="NINGUNO"/>
    <n v="171"/>
    <s v="NO"/>
    <s v="NO"/>
    <m/>
    <s v="Todos los sistemas (ARL, AFP, CCF, EPS)"/>
    <n v="46056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415855"/>
    <s v="NO"/>
    <s v="NO"/>
    <x v="2"/>
    <n v="28"/>
    <n v="3188132"/>
    <n v="0.15999999642372131"/>
    <n v="510200"/>
    <s v="Sin Riesgo"/>
    <n v="0"/>
    <n v="0"/>
    <n v="0"/>
    <n v="0"/>
    <n v="0"/>
    <n v="510200"/>
    <s v="NINGUNA"/>
    <x v="3"/>
    <n v="28"/>
    <n v="3188132"/>
    <n v="3.9999999105930328E-2"/>
    <n v="127600"/>
    <n v="0"/>
    <m/>
    <n v="0"/>
    <m/>
    <n v="0"/>
    <s v="NINGUNA"/>
    <x v="0"/>
    <n v="28"/>
    <n v="3188132"/>
    <n v="6.9600000977516174E-2"/>
    <s v="5"/>
    <s v="CENTRO TRABAJO 24"/>
    <s v="5711001"/>
    <n v="221900"/>
    <n v="28"/>
    <x v="0"/>
    <n v="3188132"/>
    <n v="3.9999999105930328E-2"/>
    <n v="127600"/>
    <n v="0"/>
    <n v="0"/>
    <n v="0"/>
    <n v="0"/>
    <n v="0"/>
    <n v="0"/>
    <n v="0"/>
    <n v="0"/>
    <n v="0"/>
    <s v="SI"/>
    <s v=" "/>
    <s v="                "/>
  </r>
  <r>
    <x v="1"/>
    <s v="CC"/>
    <x v="270"/>
    <x v="270"/>
    <s v="BENAVIDES"/>
    <s v="RIVERA"/>
    <s v="ALVARO"/>
    <s v=""/>
    <s v="BOGOTA_D.E."/>
    <s v="BOGOTA"/>
    <s v="1. DEPENDIENTE"/>
    <s v="NINGUNO"/>
    <n v="45"/>
    <s v="NO"/>
    <s v="NO"/>
    <m/>
    <s v="Todos los sistemas (ARL, AFP, CCF, EPS)"/>
    <n v="46074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0"/>
    <n v="10"/>
    <n v="704394"/>
    <n v="0.15999999642372131"/>
    <n v="112800"/>
    <s v="Sin Riesgo"/>
    <n v="0"/>
    <n v="0"/>
    <n v="0"/>
    <n v="0"/>
    <n v="0"/>
    <n v="112800"/>
    <s v="NINGUNA"/>
    <x v="0"/>
    <n v="10"/>
    <n v="704394"/>
    <n v="3.9999999105930328E-2"/>
    <n v="28200"/>
    <n v="0"/>
    <m/>
    <n v="0"/>
    <m/>
    <n v="0"/>
    <s v="NINGUNA"/>
    <x v="0"/>
    <n v="10"/>
    <n v="704394"/>
    <n v="6.9600000977516174E-2"/>
    <s v="5"/>
    <s v="CENTRO TRABAJO 24"/>
    <s v="5711001"/>
    <n v="49100"/>
    <n v="10"/>
    <x v="0"/>
    <n v="704394"/>
    <n v="3.9999999105930328E-2"/>
    <n v="28200"/>
    <n v="0"/>
    <n v="0"/>
    <n v="0"/>
    <n v="0"/>
    <n v="0"/>
    <n v="0"/>
    <n v="0"/>
    <n v="0"/>
    <n v="0"/>
    <s v="SI"/>
    <s v=" "/>
    <s v="                "/>
  </r>
  <r>
    <x v="1"/>
    <s v="CC"/>
    <x v="271"/>
    <x v="271"/>
    <s v="RIAÑO"/>
    <s v="DIAZ"/>
    <s v="ARCENIO"/>
    <s v=""/>
    <s v="LA_GUAJIRA"/>
    <s v="RIOHACHA"/>
    <s v="1. DEPENDIENTE"/>
    <s v="NINGUNO"/>
    <n v="20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539029"/>
    <s v="NO"/>
    <s v="NO"/>
    <x v="2"/>
    <n v="30"/>
    <n v="2973434"/>
    <n v="0.15999999642372131"/>
    <n v="475800"/>
    <s v="Sin Riesgo"/>
    <n v="0"/>
    <n v="0"/>
    <n v="0"/>
    <n v="0"/>
    <n v="0"/>
    <n v="475800"/>
    <s v="NINGUNA"/>
    <x v="0"/>
    <n v="30"/>
    <n v="2973434"/>
    <n v="3.9999999105930328E-2"/>
    <n v="119000"/>
    <n v="0"/>
    <m/>
    <n v="0"/>
    <m/>
    <n v="0"/>
    <s v="NINGUNA"/>
    <x v="0"/>
    <n v="30"/>
    <n v="2973434"/>
    <n v="6.9600000977516174E-2"/>
    <s v="5"/>
    <s v="CENTRO TRABAJO 30"/>
    <s v="5711001"/>
    <n v="207000"/>
    <n v="30"/>
    <x v="1"/>
    <n v="2973434"/>
    <n v="3.9999999105930328E-2"/>
    <n v="119000"/>
    <n v="0"/>
    <n v="0"/>
    <n v="0"/>
    <n v="0"/>
    <n v="0"/>
    <n v="0"/>
    <n v="0"/>
    <n v="0"/>
    <n v="0"/>
    <s v="SI"/>
    <s v=" "/>
    <s v="                "/>
  </r>
  <r>
    <x v="1"/>
    <s v="CC"/>
    <x v="272"/>
    <x v="272"/>
    <s v="SAENZ"/>
    <s v="AMADO"/>
    <s v="JAIRO"/>
    <s v="ARMAN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5"/>
    <n v="46068"/>
    <s v="NO"/>
    <s v="NO"/>
    <m/>
    <m/>
    <n v="0"/>
    <m/>
    <m/>
    <s v="NO"/>
    <n v="7698446"/>
    <s v="NO"/>
    <s v="NO"/>
    <x v="1"/>
    <n v="14"/>
    <n v="3482975"/>
    <n v="0.15999999642372131"/>
    <n v="557300"/>
    <s v="Sin Riesgo"/>
    <n v="0"/>
    <n v="0"/>
    <n v="17500"/>
    <n v="17500"/>
    <n v="0"/>
    <n v="592300"/>
    <s v="NINGUNA"/>
    <x v="8"/>
    <n v="14"/>
    <n v="3482975"/>
    <n v="3.9999999105930328E-2"/>
    <n v="139400"/>
    <n v="0"/>
    <m/>
    <n v="0"/>
    <m/>
    <n v="0"/>
    <s v="NINGUNA"/>
    <x v="0"/>
    <n v="14"/>
    <n v="3482975"/>
    <n v="0"/>
    <s v="1"/>
    <s v="CENTRO TRABAJO 24"/>
    <s v="1711001"/>
    <n v="0"/>
    <n v="14"/>
    <x v="0"/>
    <n v="3592609"/>
    <n v="3.9999999105930328E-2"/>
    <n v="143800"/>
    <n v="0"/>
    <n v="0"/>
    <n v="0"/>
    <n v="0"/>
    <n v="0"/>
    <n v="0"/>
    <n v="0"/>
    <n v="0"/>
    <n v="0"/>
    <s v="SI"/>
    <s v=" "/>
    <s v="                "/>
  </r>
  <r>
    <x v="1"/>
    <s v="CC"/>
    <x v="272"/>
    <x v="272"/>
    <s v="SAENZ"/>
    <s v="AMADO"/>
    <s v="JAIRO"/>
    <s v="ARMANDO"/>
    <s v="BOGOTA_D.E."/>
    <s v="BOGOTA"/>
    <s v="1. DEPENDIENTE"/>
    <s v="NINGUNO"/>
    <n v="9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7698446"/>
    <s v="NO"/>
    <s v="NO"/>
    <x v="1"/>
    <n v="16"/>
    <n v="4105838"/>
    <n v="0.15999999642372131"/>
    <n v="657000"/>
    <s v="Sin Riesgo"/>
    <n v="0"/>
    <n v="0"/>
    <n v="20600"/>
    <n v="20600"/>
    <n v="0"/>
    <n v="698200"/>
    <s v="NINGUNA"/>
    <x v="8"/>
    <n v="16"/>
    <n v="4105838"/>
    <n v="3.9999999105930328E-2"/>
    <n v="164300"/>
    <n v="0"/>
    <m/>
    <n v="0"/>
    <m/>
    <n v="0"/>
    <s v="NINGUNA"/>
    <x v="0"/>
    <n v="16"/>
    <n v="4105838"/>
    <n v="5.2200001664459705E-3"/>
    <s v="1"/>
    <s v="CENTRO TRABAJO 24"/>
    <s v="1711001"/>
    <n v="21500"/>
    <n v="16"/>
    <x v="0"/>
    <n v="4105838"/>
    <n v="3.9999999105930328E-2"/>
    <n v="164300"/>
    <n v="0"/>
    <n v="0"/>
    <n v="0"/>
    <n v="0"/>
    <n v="0"/>
    <n v="0"/>
    <n v="0"/>
    <n v="0"/>
    <n v="0"/>
    <s v="SI"/>
    <s v=" "/>
    <s v="                "/>
  </r>
  <r>
    <x v="1"/>
    <s v="CC"/>
    <x v="273"/>
    <x v="273"/>
    <s v="CARDENAS"/>
    <s v="VARGAS"/>
    <s v="HECTOR"/>
    <s v="HERNAN"/>
    <s v="BOGOTA_D.E."/>
    <s v="BOGOT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945925"/>
    <n v="0.15999999642372131"/>
    <n v="471400"/>
    <s v="Sin Riesgo"/>
    <n v="0"/>
    <n v="0"/>
    <n v="0"/>
    <n v="0"/>
    <n v="0"/>
    <n v="471400"/>
    <s v="NINGUNA"/>
    <x v="3"/>
    <n v="30"/>
    <n v="2945925"/>
    <n v="3.9999999105930328E-2"/>
    <n v="117900"/>
    <n v="0"/>
    <m/>
    <n v="0"/>
    <m/>
    <n v="0"/>
    <s v="NINGUNA"/>
    <x v="0"/>
    <n v="30"/>
    <n v="2945925"/>
    <n v="6.9600000977516174E-2"/>
    <s v="5"/>
    <s v="CENTRO TRABAJO 24"/>
    <s v="5711001"/>
    <n v="205100"/>
    <n v="30"/>
    <x v="0"/>
    <n v="2945925"/>
    <n v="3.9999999105930328E-2"/>
    <n v="117900"/>
    <n v="0"/>
    <n v="0"/>
    <n v="0"/>
    <n v="0"/>
    <n v="0"/>
    <n v="0"/>
    <n v="0"/>
    <n v="0"/>
    <n v="0"/>
    <s v="SI"/>
    <s v=" "/>
    <s v="                "/>
  </r>
  <r>
    <x v="1"/>
    <s v="CC"/>
    <x v="274"/>
    <x v="274"/>
    <s v="MENDOZA"/>
    <s v="CARVAJAL"/>
    <s v="FLORO"/>
    <s v="VICENTE"/>
    <s v="BOGOTA_D.E."/>
    <s v="BOGOTA"/>
    <s v="1. DEPENDIENTE"/>
    <s v="NINGUNO"/>
    <n v="23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3192261"/>
    <n v="0.15999999642372131"/>
    <n v="510800"/>
    <s v="Sin Riesgo"/>
    <n v="0"/>
    <n v="0"/>
    <n v="0"/>
    <n v="0"/>
    <n v="0"/>
    <n v="510800"/>
    <s v="NINGUNA"/>
    <x v="3"/>
    <n v="30"/>
    <n v="3192261"/>
    <n v="3.9999999105930328E-2"/>
    <n v="127700"/>
    <n v="0"/>
    <m/>
    <n v="0"/>
    <m/>
    <n v="0"/>
    <s v="NINGUNA"/>
    <x v="0"/>
    <n v="30"/>
    <n v="3192261"/>
    <n v="6.9600000977516174E-2"/>
    <s v="5"/>
    <s v="CENTRO TRABAJO 24"/>
    <s v="5711001"/>
    <n v="222200"/>
    <n v="30"/>
    <x v="0"/>
    <n v="3192261"/>
    <n v="3.9999999105930328E-2"/>
    <n v="127700"/>
    <n v="0"/>
    <n v="0"/>
    <n v="0"/>
    <n v="0"/>
    <n v="0"/>
    <n v="0"/>
    <n v="0"/>
    <n v="0"/>
    <n v="0"/>
    <s v="SI"/>
    <s v=" "/>
    <s v="                "/>
  </r>
  <r>
    <x v="1"/>
    <s v="CC"/>
    <x v="275"/>
    <x v="275"/>
    <s v="CALIXTO"/>
    <s v="SOCHA"/>
    <s v="LUIS"/>
    <s v="CARLOS"/>
    <s v="BOGOTA_D.E."/>
    <s v="BOGOTA"/>
    <s v="1. DEPENDIENTE"/>
    <s v="NINGUNO"/>
    <n v="229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3804822"/>
    <n v="0.15999999642372131"/>
    <n v="608800"/>
    <s v="Sin Riesgo"/>
    <n v="0"/>
    <n v="0"/>
    <n v="0"/>
    <n v="0"/>
    <n v="0"/>
    <n v="608800"/>
    <s v="NINGUNA"/>
    <x v="0"/>
    <n v="30"/>
    <n v="3804822"/>
    <n v="3.9999999105930328E-2"/>
    <n v="152200"/>
    <n v="0"/>
    <m/>
    <n v="0"/>
    <m/>
    <n v="0"/>
    <s v="NINGUNA"/>
    <x v="0"/>
    <n v="30"/>
    <n v="3804822"/>
    <n v="6.9600000977516174E-2"/>
    <s v="5"/>
    <s v="CENTRO TRABAJO 24"/>
    <s v="5711001"/>
    <n v="264900"/>
    <n v="30"/>
    <x v="0"/>
    <n v="4501372"/>
    <n v="3.9999999105930328E-2"/>
    <n v="180100"/>
    <n v="0"/>
    <n v="0"/>
    <n v="0"/>
    <n v="0"/>
    <n v="0"/>
    <n v="0"/>
    <n v="0"/>
    <n v="0"/>
    <n v="0"/>
    <s v="SI"/>
    <s v=" "/>
    <s v="                "/>
  </r>
  <r>
    <x v="1"/>
    <s v="CC"/>
    <x v="276"/>
    <x v="276"/>
    <s v="MUÑOZ"/>
    <s v="HERRERA"/>
    <s v="SANDRA"/>
    <s v="MARCELA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50905"/>
    <s v="NO"/>
    <s v="NO"/>
    <x v="2"/>
    <n v="1"/>
    <n v="58364"/>
    <n v="0.15999999642372131"/>
    <n v="9400"/>
    <s v="Sin Riesgo"/>
    <n v="0"/>
    <n v="0"/>
    <n v="0"/>
    <n v="0"/>
    <n v="0"/>
    <n v="9400"/>
    <s v="NINGUNA"/>
    <x v="3"/>
    <n v="1"/>
    <n v="58364"/>
    <n v="3.9999999105930328E-2"/>
    <n v="2400"/>
    <n v="0"/>
    <m/>
    <n v="0"/>
    <m/>
    <n v="0"/>
    <s v="NINGUNA"/>
    <x v="0"/>
    <n v="1"/>
    <n v="58364"/>
    <n v="0"/>
    <s v="5"/>
    <s v="CENTRO TRABAJO 24"/>
    <s v="5711001"/>
    <n v="0"/>
    <n v="1"/>
    <x v="0"/>
    <n v="58364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276"/>
    <x v="276"/>
    <s v="MUÑOZ"/>
    <s v="HERRERA"/>
    <s v="SANDRA"/>
    <s v="MARCELA"/>
    <s v="BOGOTA_D.E."/>
    <s v="BOGOTA"/>
    <s v="1. DEPENDIENTE"/>
    <s v="NINGUNO"/>
    <n v="22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9"/>
    <n v="2205081"/>
    <n v="0.15999999642372131"/>
    <n v="352900"/>
    <s v="Sin Riesgo"/>
    <n v="0"/>
    <n v="0"/>
    <n v="0"/>
    <n v="0"/>
    <n v="0"/>
    <n v="352900"/>
    <s v="NINGUNA"/>
    <x v="3"/>
    <n v="29"/>
    <n v="2205081"/>
    <n v="3.9999999105930328E-2"/>
    <n v="88300"/>
    <n v="0"/>
    <m/>
    <n v="0"/>
    <m/>
    <n v="0"/>
    <s v="NINGUNA"/>
    <x v="0"/>
    <n v="29"/>
    <n v="2205081"/>
    <n v="6.9600000977516174E-2"/>
    <s v="5"/>
    <s v="CENTRO TRABAJO 24"/>
    <s v="5711001"/>
    <n v="153500"/>
    <n v="29"/>
    <x v="0"/>
    <n v="2205081"/>
    <n v="3.9999999105930328E-2"/>
    <n v="88300"/>
    <n v="0"/>
    <n v="0"/>
    <n v="0"/>
    <n v="0"/>
    <n v="0"/>
    <n v="0"/>
    <n v="0"/>
    <n v="0"/>
    <n v="0"/>
    <s v="SI"/>
    <s v=" "/>
    <s v="                "/>
  </r>
  <r>
    <x v="1"/>
    <s v="CC"/>
    <x v="277"/>
    <x v="277"/>
    <s v="GAVIRIA"/>
    <s v="MORALES"/>
    <s v="NET"/>
    <s v="TRINIDAD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1785595"/>
    <s v="NO"/>
    <s v="NO"/>
    <x v="1"/>
    <n v="1"/>
    <n v="59520"/>
    <n v="0.15999999642372131"/>
    <n v="9600"/>
    <s v="Sin Riesgo"/>
    <n v="0"/>
    <n v="0"/>
    <n v="0"/>
    <n v="0"/>
    <n v="0"/>
    <n v="9600"/>
    <s v="NINGUNA"/>
    <x v="2"/>
    <n v="1"/>
    <n v="59520"/>
    <n v="3.9999999105930328E-2"/>
    <n v="2400"/>
    <n v="0"/>
    <m/>
    <n v="0"/>
    <m/>
    <n v="0"/>
    <s v="NINGUNA"/>
    <x v="0"/>
    <n v="1"/>
    <n v="59520"/>
    <n v="0"/>
    <s v="5"/>
    <s v="CENTRO TRABAJO 24"/>
    <s v="5711001"/>
    <n v="0"/>
    <n v="1"/>
    <x v="0"/>
    <n v="59520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277"/>
    <x v="277"/>
    <s v="GAVIRIA"/>
    <s v="MORALES"/>
    <s v="NET"/>
    <s v="TRINIDAD"/>
    <s v="BOGOTA_D.E."/>
    <s v="BOGOTA"/>
    <s v="1. DEPENDIENTE"/>
    <s v="NINGUNO"/>
    <n v="19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1"/>
    <n v="29"/>
    <n v="2178292"/>
    <n v="0.15999999642372131"/>
    <n v="348600"/>
    <s v="Sin Riesgo"/>
    <n v="0"/>
    <n v="0"/>
    <n v="0"/>
    <n v="0"/>
    <n v="0"/>
    <n v="348600"/>
    <s v="NINGUNA"/>
    <x v="2"/>
    <n v="29"/>
    <n v="2178292"/>
    <n v="3.9999999105930328E-2"/>
    <n v="87200"/>
    <n v="0"/>
    <m/>
    <n v="0"/>
    <m/>
    <n v="0"/>
    <s v="NINGUNA"/>
    <x v="0"/>
    <n v="29"/>
    <n v="2178292"/>
    <n v="6.9600000977516174E-2"/>
    <s v="5"/>
    <s v="CENTRO TRABAJO 24"/>
    <s v="5711001"/>
    <n v="151700"/>
    <n v="29"/>
    <x v="0"/>
    <n v="2178292"/>
    <n v="3.9999999105930328E-2"/>
    <n v="87200"/>
    <n v="0"/>
    <n v="0"/>
    <n v="0"/>
    <n v="0"/>
    <n v="0"/>
    <n v="0"/>
    <n v="0"/>
    <n v="0"/>
    <n v="0"/>
    <s v="SI"/>
    <s v=" "/>
    <s v="                "/>
  </r>
  <r>
    <x v="1"/>
    <s v="CC"/>
    <x v="278"/>
    <x v="278"/>
    <s v="GUANUMEN"/>
    <s v="MOLINA"/>
    <s v="SANDRA"/>
    <s v=""/>
    <s v="BOGOTA_D.E."/>
    <s v="BOGOTA"/>
    <s v="1. DEPENDIENTE"/>
    <s v="NINGUNO"/>
    <n v="39"/>
    <s v="NO"/>
    <s v="NO"/>
    <m/>
    <s v="NO"/>
    <m/>
    <s v="Todos los sistemas (ARL, AFP, CCF, EPS)"/>
    <n v="46059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450089"/>
    <s v="NO"/>
    <s v="NO"/>
    <x v="1"/>
    <n v="6"/>
    <n v="1453357"/>
    <n v="0.15999999642372131"/>
    <n v="232600"/>
    <s v="Sin Riesgo"/>
    <n v="0"/>
    <n v="0"/>
    <n v="0"/>
    <n v="0"/>
    <n v="0"/>
    <n v="232600"/>
    <s v="NINGUNA"/>
    <x v="2"/>
    <n v="6"/>
    <n v="1453357"/>
    <n v="0.125"/>
    <n v="181700"/>
    <n v="0"/>
    <m/>
    <n v="0"/>
    <m/>
    <n v="0"/>
    <s v="NINGUNA"/>
    <x v="0"/>
    <n v="6"/>
    <n v="1453357"/>
    <n v="5.2200001664459705E-3"/>
    <s v="1"/>
    <s v="CENTRO TRABAJO 24"/>
    <s v="1711001"/>
    <n v="7600"/>
    <n v="6"/>
    <x v="0"/>
    <n v="6572807"/>
    <n v="3.9999999105930328E-2"/>
    <n v="263000"/>
    <n v="6572807"/>
    <n v="1.9999999552965164E-2"/>
    <n v="131500"/>
    <n v="2.9999999329447746E-2"/>
    <n v="197200"/>
    <n v="0"/>
    <n v="0"/>
    <n v="0"/>
    <n v="0"/>
    <s v="NO"/>
    <s v=" "/>
    <s v="                "/>
  </r>
  <r>
    <x v="1"/>
    <s v="PT"/>
    <x v="279"/>
    <x v="279"/>
    <s v="CHIRINOS"/>
    <s v="ALVARADO"/>
    <s v="HECTOR"/>
    <s v="JOSE"/>
    <s v="BOGOTA_D.E."/>
    <s v="BOGOTA"/>
    <s v="1. DEPENDIENTE"/>
    <s v="NINGUNO"/>
    <n v="159"/>
    <s v="NO"/>
    <s v="NO"/>
    <m/>
    <s v="Todos los sistemas (ARL, AFP, CCF, EPS)"/>
    <n v="46058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6"/>
    <n v="2225529"/>
    <n v="0.15999999642372131"/>
    <n v="356100"/>
    <s v="Sin Riesgo"/>
    <n v="0"/>
    <n v="0"/>
    <n v="0"/>
    <n v="0"/>
    <n v="0"/>
    <n v="356100"/>
    <s v="NINGUNA"/>
    <x v="0"/>
    <n v="26"/>
    <n v="2225529"/>
    <n v="3.9999999105930328E-2"/>
    <n v="89100"/>
    <n v="0"/>
    <m/>
    <n v="0"/>
    <m/>
    <n v="0"/>
    <s v="NINGUNA"/>
    <x v="0"/>
    <n v="26"/>
    <n v="2225529"/>
    <n v="6.9600000977516174E-2"/>
    <s v="5"/>
    <s v="CENTRO TRABAJO 24"/>
    <s v="5711001"/>
    <n v="154900"/>
    <n v="26"/>
    <x v="0"/>
    <n v="2225529"/>
    <n v="3.9999999105930328E-2"/>
    <n v="89100"/>
    <n v="0"/>
    <n v="0"/>
    <n v="0"/>
    <n v="0"/>
    <n v="0"/>
    <n v="0"/>
    <n v="0"/>
    <n v="0"/>
    <n v="0"/>
    <s v="SI"/>
    <s v=" "/>
    <s v="                "/>
  </r>
  <r>
    <x v="1"/>
    <s v="CC"/>
    <x v="280"/>
    <x v="280"/>
    <s v="CAMARGO"/>
    <s v="GONZALEZ"/>
    <s v="LEIDIS"/>
    <s v="PAOL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5"/>
    <n v="46059"/>
    <s v="NO"/>
    <s v="NO"/>
    <m/>
    <m/>
    <n v="0"/>
    <m/>
    <m/>
    <s v="NO"/>
    <n v="2223339"/>
    <s v="NO"/>
    <s v="NO"/>
    <x v="0"/>
    <n v="5"/>
    <n v="370557"/>
    <n v="0.15999999642372131"/>
    <n v="59300"/>
    <s v="Sin Riesgo"/>
    <n v="0"/>
    <n v="0"/>
    <n v="0"/>
    <n v="0"/>
    <n v="0"/>
    <n v="59300"/>
    <s v="NINGUNA"/>
    <x v="10"/>
    <n v="5"/>
    <n v="370557"/>
    <n v="3.9999999105930328E-2"/>
    <n v="14900"/>
    <n v="0"/>
    <m/>
    <n v="0"/>
    <m/>
    <n v="0"/>
    <s v="NINGUNA"/>
    <x v="0"/>
    <n v="5"/>
    <n v="370557"/>
    <n v="0"/>
    <s v="5"/>
    <s v="CENTRO TRABAJO 30"/>
    <s v="5711001"/>
    <n v="0"/>
    <n v="5"/>
    <x v="1"/>
    <n v="370557"/>
    <n v="3.9999999105930328E-2"/>
    <n v="14900"/>
    <n v="0"/>
    <n v="0"/>
    <n v="0"/>
    <n v="0"/>
    <n v="0"/>
    <n v="0"/>
    <n v="0"/>
    <n v="0"/>
    <n v="0"/>
    <s v="SI"/>
    <s v=" "/>
    <s v="                "/>
  </r>
  <r>
    <x v="1"/>
    <s v="CC"/>
    <x v="280"/>
    <x v="280"/>
    <s v="CAMARGO"/>
    <s v="GONZALEZ"/>
    <s v="LEIDIS"/>
    <s v="PAOL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1"/>
    <n v="46063"/>
    <s v="NO"/>
    <m/>
    <m/>
    <s v="NO"/>
    <m/>
    <m/>
    <s v="NO"/>
    <s v="NO"/>
    <m/>
    <m/>
    <n v="0"/>
    <m/>
    <m/>
    <s v="NO"/>
    <n v="2223339"/>
    <s v="NO"/>
    <s v="NO"/>
    <x v="0"/>
    <n v="3"/>
    <n v="257603"/>
    <n v="0.15999999642372131"/>
    <n v="41300"/>
    <s v="Sin Riesgo"/>
    <n v="0"/>
    <n v="0"/>
    <n v="0"/>
    <n v="0"/>
    <n v="0"/>
    <n v="41300"/>
    <s v="NINGUNA"/>
    <x v="10"/>
    <n v="3"/>
    <n v="257603"/>
    <n v="3.9999999105930328E-2"/>
    <n v="10400"/>
    <n v="0"/>
    <m/>
    <n v="0"/>
    <m/>
    <n v="0"/>
    <s v="NINGUNA"/>
    <x v="0"/>
    <n v="3"/>
    <n v="257603"/>
    <n v="0"/>
    <s v="5"/>
    <s v="CENTRO TRABAJO 30"/>
    <s v="5711001"/>
    <n v="0"/>
    <n v="3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80"/>
    <x v="280"/>
    <s v="CAMARGO"/>
    <s v="GONZALEZ"/>
    <s v="LEIDIS"/>
    <s v="PAOLA"/>
    <s v="LA_GUAJIRA"/>
    <s v="RIOHACHA"/>
    <s v="1. DEPENDIENTE"/>
    <s v="NINGUNO"/>
    <n v="13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2"/>
    <n v="2157375"/>
    <n v="0.15999999642372131"/>
    <n v="345200"/>
    <s v="Sin Riesgo"/>
    <n v="0"/>
    <n v="0"/>
    <n v="0"/>
    <n v="0"/>
    <n v="0"/>
    <n v="345200"/>
    <s v="NINGUNA"/>
    <x v="10"/>
    <n v="22"/>
    <n v="2157375"/>
    <n v="3.9999999105930328E-2"/>
    <n v="86300"/>
    <n v="0"/>
    <m/>
    <n v="0"/>
    <m/>
    <n v="0"/>
    <s v="NINGUNA"/>
    <x v="0"/>
    <n v="22"/>
    <n v="2157375"/>
    <n v="6.9600000977516174E-2"/>
    <s v="5"/>
    <s v="CENTRO TRABAJO 30"/>
    <s v="5711001"/>
    <n v="150200"/>
    <n v="22"/>
    <x v="1"/>
    <n v="1839140"/>
    <n v="3.9999999105930328E-2"/>
    <n v="73600"/>
    <n v="0"/>
    <n v="0"/>
    <n v="0"/>
    <n v="0"/>
    <n v="0"/>
    <n v="0"/>
    <n v="0"/>
    <n v="0"/>
    <n v="0"/>
    <s v="SI"/>
    <s v=" "/>
    <s v="                "/>
  </r>
  <r>
    <x v="1"/>
    <s v="CC"/>
    <x v="281"/>
    <x v="281"/>
    <s v="CHINCHILLA"/>
    <s v="BUELVAS"/>
    <s v="YULEMA"/>
    <s v="PATRICIA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1"/>
    <n v="30"/>
    <n v="5676577"/>
    <n v="0.15999999642372131"/>
    <n v="908300"/>
    <s v="Sin Riesgo"/>
    <n v="0"/>
    <n v="0"/>
    <n v="0"/>
    <n v="0"/>
    <n v="0"/>
    <n v="908300"/>
    <s v="NINGUNA"/>
    <x v="2"/>
    <n v="30"/>
    <n v="5676577"/>
    <n v="3.9999999105930328E-2"/>
    <n v="227100"/>
    <n v="0"/>
    <m/>
    <n v="0"/>
    <m/>
    <n v="0"/>
    <s v="NINGUNA"/>
    <x v="0"/>
    <n v="30"/>
    <n v="5676577"/>
    <n v="6.9600000977516174E-2"/>
    <s v="5"/>
    <s v="CENTRO TRABAJO 30"/>
    <s v="5711001"/>
    <n v="395100"/>
    <n v="30"/>
    <x v="1"/>
    <n v="5676577"/>
    <n v="3.9999999105930328E-2"/>
    <n v="227100"/>
    <n v="0"/>
    <n v="0"/>
    <n v="0"/>
    <n v="0"/>
    <n v="0"/>
    <n v="0"/>
    <n v="0"/>
    <n v="0"/>
    <n v="0"/>
    <s v="SI"/>
    <s v=" "/>
    <s v="                "/>
  </r>
  <r>
    <x v="1"/>
    <s v="CC"/>
    <x v="282"/>
    <x v="282"/>
    <s v="ARRIETA"/>
    <s v="MOLINA"/>
    <s v="FREDIS"/>
    <s v="HERNAN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110655"/>
    <n v="0.15999999642372131"/>
    <n v="337800"/>
    <s v="Sin Riesgo"/>
    <n v="0"/>
    <n v="0"/>
    <n v="0"/>
    <n v="0"/>
    <n v="0"/>
    <n v="337800"/>
    <s v="NINGUNA"/>
    <x v="3"/>
    <n v="30"/>
    <n v="2110655"/>
    <n v="3.9999999105930328E-2"/>
    <n v="84500"/>
    <n v="0"/>
    <m/>
    <n v="0"/>
    <m/>
    <n v="0"/>
    <s v="NINGUNA"/>
    <x v="0"/>
    <n v="30"/>
    <n v="2110655"/>
    <n v="6.9600000977516174E-2"/>
    <s v="5"/>
    <s v="CENTRO TRABAJO 30"/>
    <s v="5711001"/>
    <n v="147000"/>
    <n v="30"/>
    <x v="1"/>
    <n v="2110655"/>
    <n v="3.9999999105930328E-2"/>
    <n v="84500"/>
    <n v="0"/>
    <n v="0"/>
    <n v="0"/>
    <n v="0"/>
    <n v="0"/>
    <n v="0"/>
    <n v="0"/>
    <n v="0"/>
    <n v="0"/>
    <s v="SI"/>
    <s v=" "/>
    <s v="                "/>
  </r>
  <r>
    <x v="1"/>
    <s v="CC"/>
    <x v="283"/>
    <x v="283"/>
    <s v="IGUARAN"/>
    <s v="BELEÑO"/>
    <s v="NORYE"/>
    <s v="IVAN"/>
    <s v="BOGOTA_D.E."/>
    <s v="BOGOTA"/>
    <s v="1. DEPENDIENTE"/>
    <s v="NINGUNO"/>
    <n v="231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SI"/>
    <x v="0"/>
    <n v="30"/>
    <n v="3922265"/>
    <n v="0.15999999642372131"/>
    <n v="627600"/>
    <s v="Sin Riesgo"/>
    <n v="0"/>
    <n v="0"/>
    <n v="0"/>
    <n v="0"/>
    <n v="0"/>
    <n v="627600"/>
    <s v="NINGUNA"/>
    <x v="0"/>
    <n v="30"/>
    <n v="3922265"/>
    <n v="3.9999999105930328E-2"/>
    <n v="156900"/>
    <n v="0"/>
    <m/>
    <n v="0"/>
    <m/>
    <n v="0"/>
    <s v="NINGUNA"/>
    <x v="0"/>
    <n v="30"/>
    <n v="3922265"/>
    <n v="6.9600000977516174E-2"/>
    <s v="5"/>
    <s v="CENTRO TRABAJO 24"/>
    <s v="5711001"/>
    <n v="273000"/>
    <n v="30"/>
    <x v="0"/>
    <n v="4549550"/>
    <n v="3.9999999105930328E-2"/>
    <n v="182000"/>
    <n v="0"/>
    <n v="0"/>
    <n v="0"/>
    <n v="0"/>
    <n v="0"/>
    <n v="0"/>
    <n v="0"/>
    <n v="0"/>
    <n v="0"/>
    <s v="SI"/>
    <s v=" "/>
    <s v="                "/>
  </r>
  <r>
    <x v="1"/>
    <s v="CC"/>
    <x v="284"/>
    <x v="284"/>
    <s v="TRIVIÑO"/>
    <s v="NIETO"/>
    <s v="LUZ"/>
    <s v="DARY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1750905"/>
    <n v="0.15999999642372131"/>
    <n v="280200"/>
    <s v="Sin Riesgo"/>
    <n v="0"/>
    <n v="0"/>
    <n v="0"/>
    <n v="0"/>
    <n v="0"/>
    <n v="280200"/>
    <s v="NINGUNA"/>
    <x v="8"/>
    <n v="30"/>
    <n v="1750905"/>
    <n v="3.9999999105930328E-2"/>
    <n v="70100"/>
    <n v="0"/>
    <m/>
    <n v="0"/>
    <m/>
    <n v="0"/>
    <s v="NINGUNA"/>
    <x v="0"/>
    <n v="30"/>
    <n v="1750905"/>
    <n v="5.2200001664459705E-3"/>
    <s v="1"/>
    <s v="CENTRO TRABAJO 24"/>
    <s v="1711001"/>
    <n v="9200"/>
    <n v="30"/>
    <x v="0"/>
    <n v="1750905"/>
    <n v="3.9999999105930328E-2"/>
    <n v="70100"/>
    <n v="0"/>
    <n v="0"/>
    <n v="0"/>
    <n v="0"/>
    <n v="0"/>
    <n v="0"/>
    <n v="0"/>
    <n v="0"/>
    <n v="0"/>
    <s v="SI"/>
    <s v=" "/>
    <s v="                "/>
  </r>
  <r>
    <x v="1"/>
    <s v="CC"/>
    <x v="285"/>
    <x v="285"/>
    <s v="TORRES"/>
    <s v="PADILLA"/>
    <s v="LIDIA"/>
    <s v="ESPERANZ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SI"/>
    <x v="1"/>
    <n v="30"/>
    <n v="5676577"/>
    <n v="0.15999999642372131"/>
    <n v="908300"/>
    <s v="Sin Riesgo"/>
    <n v="0"/>
    <n v="0"/>
    <n v="0"/>
    <n v="0"/>
    <n v="0"/>
    <n v="908300"/>
    <s v="NINGUNA"/>
    <x v="8"/>
    <n v="30"/>
    <n v="5676577"/>
    <n v="3.9999999105930328E-2"/>
    <n v="227100"/>
    <n v="0"/>
    <m/>
    <n v="0"/>
    <m/>
    <n v="0"/>
    <s v="NINGUNA"/>
    <x v="0"/>
    <n v="30"/>
    <n v="5676577"/>
    <n v="5.2200001664459705E-3"/>
    <s v="1"/>
    <s v="CENTRO TRABAJO 24"/>
    <s v="1711001"/>
    <n v="29700"/>
    <n v="30"/>
    <x v="0"/>
    <n v="5676577"/>
    <n v="3.9999999105930328E-2"/>
    <n v="227100"/>
    <n v="0"/>
    <n v="0"/>
    <n v="0"/>
    <n v="0"/>
    <n v="0"/>
    <n v="0"/>
    <n v="0"/>
    <n v="0"/>
    <n v="0"/>
    <s v="SI"/>
    <s v=" "/>
    <s v="                "/>
  </r>
  <r>
    <x v="1"/>
    <s v="CC"/>
    <x v="286"/>
    <x v="286"/>
    <s v="MARIN"/>
    <s v="SIERRA"/>
    <s v="ANGELA"/>
    <s v="CONSUEL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30"/>
    <n v="1750905"/>
    <n v="0.15999999642372131"/>
    <n v="280200"/>
    <s v="Sin Riesgo"/>
    <n v="0"/>
    <n v="0"/>
    <n v="0"/>
    <n v="0"/>
    <n v="0"/>
    <n v="280200"/>
    <s v="NINGUNA"/>
    <x v="10"/>
    <n v="30"/>
    <n v="1750905"/>
    <n v="3.9999999105930328E-2"/>
    <n v="70100"/>
    <n v="0"/>
    <m/>
    <n v="0"/>
    <m/>
    <n v="0"/>
    <s v="NINGUNA"/>
    <x v="0"/>
    <n v="30"/>
    <n v="1750905"/>
    <n v="2.4360001087188721E-2"/>
    <s v="3"/>
    <s v="CENTRO TRABAJO 24"/>
    <s v="3711001"/>
    <n v="42700"/>
    <n v="30"/>
    <x v="0"/>
    <n v="1750905"/>
    <n v="3.9999999105930328E-2"/>
    <n v="70100"/>
    <n v="0"/>
    <n v="0"/>
    <n v="0"/>
    <n v="0"/>
    <n v="0"/>
    <n v="0"/>
    <n v="0"/>
    <n v="0"/>
    <n v="0"/>
    <s v="SI"/>
    <s v=" "/>
    <s v="                "/>
  </r>
  <r>
    <x v="1"/>
    <s v="CC"/>
    <x v="287"/>
    <x v="287"/>
    <s v="MURAD"/>
    <s v="GUTIERREZ"/>
    <s v="CATHERINE"/>
    <s v="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6882380"/>
    <s v="NO"/>
    <s v="NO"/>
    <x v="1"/>
    <n v="30"/>
    <n v="16882380"/>
    <n v="0.15999999642372131"/>
    <n v="2701200"/>
    <s v="Sin Riesgo"/>
    <n v="0"/>
    <n v="0"/>
    <n v="84500"/>
    <n v="84500"/>
    <n v="0"/>
    <n v="2870200"/>
    <s v="NINGUNA"/>
    <x v="9"/>
    <n v="30"/>
    <n v="16882380"/>
    <n v="0.125"/>
    <n v="2110300"/>
    <n v="0"/>
    <m/>
    <n v="0"/>
    <m/>
    <n v="0"/>
    <s v="NINGUNA"/>
    <x v="0"/>
    <n v="30"/>
    <n v="16882380"/>
    <n v="5.2200001664459705E-3"/>
    <s v="1"/>
    <s v="CENTRO TRABAJO 24"/>
    <s v="1711001"/>
    <n v="88200"/>
    <n v="30"/>
    <x v="0"/>
    <n v="16882380"/>
    <n v="3.9999999105930328E-2"/>
    <n v="675300"/>
    <n v="16882380"/>
    <n v="1.9999999552965164E-2"/>
    <n v="337700"/>
    <n v="2.9999999329447746E-2"/>
    <n v="506500"/>
    <n v="0"/>
    <n v="0"/>
    <n v="0"/>
    <n v="0"/>
    <s v="NO"/>
    <s v=" "/>
    <s v="                "/>
  </r>
  <r>
    <x v="1"/>
    <s v="CC"/>
    <x v="288"/>
    <x v="288"/>
    <s v="PULIDO"/>
    <s v="GONZALEZ"/>
    <s v="GRETHEL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8812118"/>
    <s v="NO"/>
    <s v="SI"/>
    <x v="4"/>
    <n v="7"/>
    <n v="2056161"/>
    <n v="0.15999999642372131"/>
    <n v="329000"/>
    <s v="Sin Riesgo"/>
    <n v="0"/>
    <n v="0"/>
    <n v="10300"/>
    <n v="10300"/>
    <n v="0"/>
    <n v="349600"/>
    <s v="NINGUNA"/>
    <x v="8"/>
    <n v="7"/>
    <n v="2056161"/>
    <n v="3.9999999105930328E-2"/>
    <n v="82300"/>
    <n v="0"/>
    <m/>
    <n v="0"/>
    <m/>
    <n v="0"/>
    <s v="NINGUNA"/>
    <x v="0"/>
    <n v="7"/>
    <n v="2056161"/>
    <n v="0"/>
    <s v="5"/>
    <s v="CENTRO TRABAJO 24"/>
    <s v="5711001"/>
    <n v="0"/>
    <n v="7"/>
    <x v="0"/>
    <n v="2056161"/>
    <n v="3.9999999105930328E-2"/>
    <n v="82300"/>
    <n v="0"/>
    <n v="0"/>
    <n v="0"/>
    <n v="0"/>
    <n v="0"/>
    <n v="0"/>
    <n v="0"/>
    <n v="0"/>
    <n v="0"/>
    <s v="SI"/>
    <s v=" "/>
    <s v="                "/>
  </r>
  <r>
    <x v="1"/>
    <s v="CC"/>
    <x v="288"/>
    <x v="288"/>
    <s v="PULIDO"/>
    <s v="GONZALEZ"/>
    <s v="GRETHEL"/>
    <s v="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8812118"/>
    <s v="NO"/>
    <s v="SI"/>
    <x v="4"/>
    <n v="23"/>
    <n v="6755958"/>
    <n v="0.15999999642372131"/>
    <n v="1081000"/>
    <s v="Sin Riesgo"/>
    <n v="0"/>
    <n v="0"/>
    <n v="33800"/>
    <n v="33800"/>
    <n v="0"/>
    <n v="1148600"/>
    <s v="NINGUNA"/>
    <x v="8"/>
    <n v="23"/>
    <n v="6755958"/>
    <n v="3.9999999105930328E-2"/>
    <n v="270300"/>
    <n v="0"/>
    <m/>
    <n v="0"/>
    <m/>
    <n v="0"/>
    <s v="NINGUNA"/>
    <x v="0"/>
    <n v="23"/>
    <n v="6755958"/>
    <n v="6.9600000977516174E-2"/>
    <s v="5"/>
    <s v="CENTRO TRABAJO 24"/>
    <s v="5711001"/>
    <n v="470300"/>
    <n v="23"/>
    <x v="0"/>
    <n v="6755958"/>
    <n v="3.9999999105930328E-2"/>
    <n v="270300"/>
    <n v="0"/>
    <n v="0"/>
    <n v="0"/>
    <n v="0"/>
    <n v="0"/>
    <n v="0"/>
    <n v="0"/>
    <n v="0"/>
    <n v="0"/>
    <s v="SI"/>
    <s v=" "/>
    <s v="                "/>
  </r>
  <r>
    <x v="1"/>
    <s v="CC"/>
    <x v="289"/>
    <x v="289"/>
    <s v="AREVALO"/>
    <s v="GAMBA"/>
    <s v="JULIA"/>
    <s v=""/>
    <s v="BOGOTA_D.E."/>
    <s v="BOGOT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1"/>
    <n v="30"/>
    <n v="2049356"/>
    <n v="0.15999999642372131"/>
    <n v="327900"/>
    <s v="Sin Riesgo"/>
    <n v="0"/>
    <n v="0"/>
    <n v="0"/>
    <n v="0"/>
    <n v="0"/>
    <n v="327900"/>
    <s v="NINGUNA"/>
    <x v="8"/>
    <n v="30"/>
    <n v="2049356"/>
    <n v="3.9999999105930328E-2"/>
    <n v="82000"/>
    <n v="0"/>
    <m/>
    <n v="0"/>
    <m/>
    <n v="0"/>
    <s v="NINGUNA"/>
    <x v="0"/>
    <n v="30"/>
    <n v="2049356"/>
    <n v="6.9600000977516174E-2"/>
    <s v="5"/>
    <s v="CENTRO TRABAJO 24"/>
    <s v="5711001"/>
    <n v="142700"/>
    <n v="30"/>
    <x v="0"/>
    <n v="2049356"/>
    <n v="3.9999999105930328E-2"/>
    <n v="82000"/>
    <n v="0"/>
    <n v="0"/>
    <n v="0"/>
    <n v="0"/>
    <n v="0"/>
    <n v="0"/>
    <n v="0"/>
    <n v="0"/>
    <n v="0"/>
    <s v="SI"/>
    <s v=" "/>
    <s v="                "/>
  </r>
  <r>
    <x v="1"/>
    <s v="CC"/>
    <x v="290"/>
    <x v="290"/>
    <s v="DALEMAN"/>
    <s v="CASTILLO"/>
    <s v="MARISOL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78"/>
    <n v="46079"/>
    <s v="NO"/>
    <m/>
    <m/>
    <s v="NO"/>
    <m/>
    <m/>
    <s v="NO"/>
    <s v="NO"/>
    <m/>
    <m/>
    <n v="0"/>
    <m/>
    <m/>
    <s v="NO"/>
    <n v="2219704"/>
    <s v="NO"/>
    <s v="NO"/>
    <x v="0"/>
    <n v="2"/>
    <n v="137230"/>
    <n v="0.15999999642372131"/>
    <n v="22000"/>
    <s v="Sin Riesgo"/>
    <n v="0"/>
    <n v="0"/>
    <n v="0"/>
    <n v="0"/>
    <n v="0"/>
    <n v="22000"/>
    <s v="NINGUNA"/>
    <x v="2"/>
    <n v="2"/>
    <n v="137230"/>
    <n v="3.9999999105930328E-2"/>
    <n v="5500"/>
    <n v="0"/>
    <m/>
    <n v="0"/>
    <m/>
    <n v="0"/>
    <s v="NINGUNA"/>
    <x v="0"/>
    <n v="2"/>
    <n v="137230"/>
    <n v="0"/>
    <s v="1"/>
    <s v="CENTRO TRABAJO 24"/>
    <s v="1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290"/>
    <x v="290"/>
    <s v="DALEMAN"/>
    <s v="CASTILLO"/>
    <s v="MARISOL"/>
    <s v=""/>
    <s v="BOGOTA_D.E."/>
    <s v="BOGOTA"/>
    <s v="1. DEPENDIENTE"/>
    <s v="NINGUNO"/>
    <n v="172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219704"/>
    <s v="NO"/>
    <s v="NO"/>
    <x v="0"/>
    <n v="28"/>
    <n v="2071724"/>
    <n v="0.15999999642372131"/>
    <n v="331500"/>
    <s v="Sin Riesgo"/>
    <n v="0"/>
    <n v="0"/>
    <n v="0"/>
    <n v="0"/>
    <n v="0"/>
    <n v="331500"/>
    <s v="NINGUNA"/>
    <x v="2"/>
    <n v="28"/>
    <n v="2071724"/>
    <n v="3.9999999105930328E-2"/>
    <n v="82900"/>
    <n v="0"/>
    <m/>
    <n v="0"/>
    <m/>
    <n v="0"/>
    <s v="NINGUNA"/>
    <x v="0"/>
    <n v="28"/>
    <n v="2071724"/>
    <n v="5.2200001664459705E-3"/>
    <s v="1"/>
    <s v="CENTRO TRABAJO 24"/>
    <s v="1711001"/>
    <n v="10900"/>
    <n v="28"/>
    <x v="0"/>
    <n v="2071724"/>
    <n v="3.9999999105930328E-2"/>
    <n v="82900"/>
    <n v="0"/>
    <n v="0"/>
    <n v="0"/>
    <n v="0"/>
    <n v="0"/>
    <n v="0"/>
    <n v="0"/>
    <n v="0"/>
    <n v="0"/>
    <s v="SI"/>
    <s v=" "/>
    <s v="                "/>
  </r>
  <r>
    <x v="1"/>
    <s v="CC"/>
    <x v="291"/>
    <x v="291"/>
    <s v="YARA"/>
    <s v="CARDONA"/>
    <s v="LUZ"/>
    <s v="JOHANNA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1"/>
    <n v="30"/>
    <n v="6384779"/>
    <n v="0.15999999642372131"/>
    <n v="1021600"/>
    <s v="Sin Riesgo"/>
    <n v="0"/>
    <n v="0"/>
    <n v="0"/>
    <n v="0"/>
    <n v="0"/>
    <n v="1021600"/>
    <s v="NINGUNA"/>
    <x v="8"/>
    <n v="30"/>
    <n v="6384779"/>
    <n v="3.9999999105930328E-2"/>
    <n v="255400"/>
    <n v="0"/>
    <m/>
    <n v="0"/>
    <m/>
    <n v="0"/>
    <s v="NINGUNA"/>
    <x v="0"/>
    <n v="30"/>
    <n v="6384779"/>
    <n v="6.9600000977516174E-2"/>
    <s v="5"/>
    <s v="CENTRO TRABAJO 24"/>
    <s v="5711001"/>
    <n v="444400"/>
    <n v="30"/>
    <x v="0"/>
    <n v="6384779"/>
    <n v="3.9999999105930328E-2"/>
    <n v="255400"/>
    <n v="0"/>
    <n v="0"/>
    <n v="0"/>
    <n v="0"/>
    <n v="0"/>
    <n v="0"/>
    <n v="0"/>
    <n v="0"/>
    <n v="0"/>
    <s v="SI"/>
    <s v=" "/>
    <s v="                "/>
  </r>
  <r>
    <x v="1"/>
    <s v="CC"/>
    <x v="292"/>
    <x v="292"/>
    <s v="ARIAS"/>
    <s v="GARNICA"/>
    <s v="ANDREA"/>
    <s v="MILEN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8569658"/>
    <s v="NO"/>
    <s v="NO"/>
    <x v="2"/>
    <n v="30"/>
    <n v="8569658"/>
    <n v="0.15999999642372131"/>
    <n v="1371200"/>
    <s v="Sin Riesgo"/>
    <n v="0"/>
    <n v="0"/>
    <n v="42900"/>
    <n v="42900"/>
    <n v="0"/>
    <n v="1457000"/>
    <s v="NINGUNA"/>
    <x v="8"/>
    <n v="30"/>
    <n v="8569658"/>
    <n v="3.9999999105930328E-2"/>
    <n v="342800"/>
    <n v="0"/>
    <m/>
    <n v="0"/>
    <m/>
    <n v="0"/>
    <s v="NINGUNA"/>
    <x v="0"/>
    <n v="30"/>
    <n v="8569658"/>
    <n v="5.2200001664459705E-3"/>
    <s v="1"/>
    <s v="CENTRO TRABAJO 24"/>
    <s v="1711001"/>
    <n v="44800"/>
    <n v="30"/>
    <x v="0"/>
    <n v="8569658"/>
    <n v="3.9999999105930328E-2"/>
    <n v="342800"/>
    <n v="0"/>
    <n v="0"/>
    <n v="0"/>
    <n v="0"/>
    <n v="0"/>
    <n v="0"/>
    <n v="0"/>
    <n v="0"/>
    <n v="0"/>
    <s v="SI"/>
    <s v=" "/>
    <s v="                "/>
  </r>
  <r>
    <x v="1"/>
    <s v="CC"/>
    <x v="293"/>
    <x v="293"/>
    <s v="TORO"/>
    <s v="AVILA"/>
    <s v="EDITH"/>
    <s v="MILENA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8150490"/>
    <s v="NO"/>
    <s v="NO"/>
    <x v="1"/>
    <n v="30"/>
    <n v="8150490"/>
    <n v="0.15999999642372131"/>
    <n v="1304100"/>
    <s v="Sin Riesgo"/>
    <n v="0"/>
    <n v="0"/>
    <n v="40800"/>
    <n v="40800"/>
    <n v="0"/>
    <n v="1385700"/>
    <s v="NINGUNA"/>
    <x v="0"/>
    <n v="30"/>
    <n v="8150490"/>
    <n v="3.9999999105930328E-2"/>
    <n v="326100"/>
    <n v="0"/>
    <m/>
    <n v="0"/>
    <m/>
    <n v="0"/>
    <s v="NINGUNA"/>
    <x v="0"/>
    <n v="30"/>
    <n v="8150490"/>
    <n v="6.9600000977516174E-2"/>
    <s v="5"/>
    <s v="CENTRO TRABAJO 24"/>
    <s v="5711001"/>
    <n v="567300"/>
    <n v="30"/>
    <x v="0"/>
    <n v="8150490"/>
    <n v="3.9999999105930328E-2"/>
    <n v="326100"/>
    <n v="0"/>
    <n v="0"/>
    <n v="0"/>
    <n v="0"/>
    <n v="0"/>
    <n v="0"/>
    <n v="0"/>
    <n v="0"/>
    <n v="0"/>
    <s v="SI"/>
    <s v=" "/>
    <s v="                "/>
  </r>
  <r>
    <x v="1"/>
    <s v="PT"/>
    <x v="294"/>
    <x v="294"/>
    <s v="COMAS"/>
    <s v="GARCIA"/>
    <s v="FRANK"/>
    <s v="HENRIS"/>
    <s v="LA_GUAJIRA"/>
    <s v="RIOHACHA"/>
    <s v="1. DEPENDIENTE"/>
    <s v="NINGUNO"/>
    <n v="1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268462"/>
    <n v="0.15999999642372131"/>
    <n v="363000"/>
    <s v="Sin Riesgo"/>
    <n v="0"/>
    <n v="0"/>
    <n v="0"/>
    <n v="0"/>
    <n v="0"/>
    <n v="363000"/>
    <s v="NINGUNA"/>
    <x v="0"/>
    <n v="30"/>
    <n v="2268462"/>
    <n v="3.9999999105930328E-2"/>
    <n v="90800"/>
    <n v="0"/>
    <m/>
    <n v="0"/>
    <m/>
    <n v="0"/>
    <s v="NINGUNA"/>
    <x v="0"/>
    <n v="30"/>
    <n v="2268462"/>
    <n v="6.9600000977516174E-2"/>
    <s v="5"/>
    <s v="CENTRO TRABAJO 30"/>
    <s v="5711001"/>
    <n v="157900"/>
    <n v="30"/>
    <x v="1"/>
    <n v="2268462"/>
    <n v="3.9999999105930328E-2"/>
    <n v="90800"/>
    <n v="0"/>
    <n v="0"/>
    <n v="0"/>
    <n v="0"/>
    <n v="0"/>
    <n v="0"/>
    <n v="0"/>
    <n v="0"/>
    <n v="0"/>
    <s v="SI"/>
    <s v=" "/>
    <s v="                "/>
  </r>
  <r>
    <x v="1"/>
    <s v="CC"/>
    <x v="295"/>
    <x v="295"/>
    <s v="VELEZ"/>
    <s v="MENDOZA"/>
    <s v="LUIS"/>
    <s v="CRISTOBAL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2951824"/>
    <n v="0.15999999642372131"/>
    <n v="472300"/>
    <s v="Sin Riesgo"/>
    <n v="0"/>
    <n v="0"/>
    <n v="0"/>
    <n v="0"/>
    <n v="0"/>
    <n v="472300"/>
    <s v="NINGUNA"/>
    <x v="0"/>
    <n v="30"/>
    <n v="2951824"/>
    <n v="3.9999999105930328E-2"/>
    <n v="118100"/>
    <n v="0"/>
    <m/>
    <n v="0"/>
    <m/>
    <n v="0"/>
    <s v="NINGUNA"/>
    <x v="0"/>
    <n v="30"/>
    <n v="2951824"/>
    <n v="6.9600000977516174E-2"/>
    <s v="5"/>
    <s v="CENTRO TRABAJO 24"/>
    <s v="5711001"/>
    <n v="205500"/>
    <n v="30"/>
    <x v="0"/>
    <n v="2951824"/>
    <n v="3.9999999105930328E-2"/>
    <n v="118100"/>
    <n v="0"/>
    <n v="0"/>
    <n v="0"/>
    <n v="0"/>
    <n v="0"/>
    <n v="0"/>
    <n v="0"/>
    <n v="0"/>
    <n v="0"/>
    <s v="SI"/>
    <s v=" "/>
    <s v="                "/>
  </r>
  <r>
    <x v="1"/>
    <s v="CC"/>
    <x v="296"/>
    <x v="296"/>
    <s v="HERNANDEZ"/>
    <s v="SUAREZ"/>
    <s v="OSCAR"/>
    <s v="MAURICIO"/>
    <s v="BOGOTA_D.E."/>
    <s v="BOGOTA"/>
    <s v="1. DEPENDIENTE"/>
    <s v="NINGUNO"/>
    <n v="9"/>
    <s v="NO"/>
    <s v="NO"/>
    <m/>
    <s v="Todos los sistemas (ARL, AFP, CCF, EPS)"/>
    <n v="46080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56650"/>
    <s v="NO"/>
    <s v="NO"/>
    <x v="0"/>
    <n v="4"/>
    <n v="260887"/>
    <n v="0.15999999642372131"/>
    <n v="41800"/>
    <s v="Sin Riesgo"/>
    <n v="0"/>
    <n v="0"/>
    <n v="0"/>
    <n v="0"/>
    <n v="0"/>
    <n v="41800"/>
    <s v="NINGUNA"/>
    <x v="10"/>
    <n v="4"/>
    <n v="260887"/>
    <n v="3.9999999105930328E-2"/>
    <n v="10500"/>
    <n v="0"/>
    <m/>
    <n v="0"/>
    <m/>
    <n v="0"/>
    <s v="NINGUNA"/>
    <x v="0"/>
    <n v="4"/>
    <n v="260887"/>
    <n v="6.9600000977516174E-2"/>
    <s v="5"/>
    <s v="CENTRO TRABAJO 24"/>
    <s v="5711001"/>
    <n v="18200"/>
    <n v="4"/>
    <x v="0"/>
    <n v="260887"/>
    <n v="3.9999999105930328E-2"/>
    <n v="10500"/>
    <n v="0"/>
    <n v="0"/>
    <n v="0"/>
    <n v="0"/>
    <n v="0"/>
    <n v="0"/>
    <n v="0"/>
    <n v="0"/>
    <n v="0"/>
    <s v="SI"/>
    <s v=" "/>
    <s v="                "/>
  </r>
  <r>
    <x v="1"/>
    <s v="PT"/>
    <x v="297"/>
    <x v="297"/>
    <s v="ALVAREZ"/>
    <s v="BELIZARIO"/>
    <s v="JOHAN"/>
    <s v="ALEJANDR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1"/>
    <n v="58364"/>
    <n v="0.15999999642372131"/>
    <n v="9400"/>
    <s v="Sin Riesgo"/>
    <n v="0"/>
    <n v="0"/>
    <n v="0"/>
    <n v="0"/>
    <n v="0"/>
    <n v="9400"/>
    <s v="NINGUNA"/>
    <x v="3"/>
    <n v="1"/>
    <n v="58364"/>
    <n v="0"/>
    <n v="0"/>
    <n v="0"/>
    <m/>
    <n v="0"/>
    <m/>
    <n v="0"/>
    <s v="NINGUNA"/>
    <x v="0"/>
    <n v="1"/>
    <n v="583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PT"/>
    <x v="297"/>
    <x v="297"/>
    <s v="ALVAREZ"/>
    <s v="BELIZARIO"/>
    <s v="JOHAN"/>
    <s v="ALEJANDRO"/>
    <s v="BOGOTA_D.E."/>
    <s v="BOGOT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9"/>
    <n v="2051478"/>
    <n v="0.15999999642372131"/>
    <n v="328300"/>
    <s v="Sin Riesgo"/>
    <n v="0"/>
    <n v="0"/>
    <n v="0"/>
    <n v="0"/>
    <n v="0"/>
    <n v="328300"/>
    <s v="NINGUNA"/>
    <x v="3"/>
    <n v="29"/>
    <n v="2051478"/>
    <n v="3.9999999105930328E-2"/>
    <n v="82100"/>
    <n v="0"/>
    <m/>
    <n v="0"/>
    <m/>
    <n v="0"/>
    <s v="NINGUNA"/>
    <x v="0"/>
    <n v="29"/>
    <n v="2051478"/>
    <n v="6.9600000977516174E-2"/>
    <s v="5"/>
    <s v="CENTRO TRABAJO 24"/>
    <s v="5711001"/>
    <n v="142800"/>
    <n v="29"/>
    <x v="0"/>
    <n v="2051478"/>
    <n v="3.9999999105930328E-2"/>
    <n v="82100"/>
    <n v="0"/>
    <n v="0"/>
    <n v="0"/>
    <n v="0"/>
    <n v="0"/>
    <n v="0"/>
    <n v="0"/>
    <n v="0"/>
    <n v="0"/>
    <s v="SI"/>
    <s v=" "/>
    <s v="                "/>
  </r>
  <r>
    <x v="1"/>
    <s v="CC"/>
    <x v="298"/>
    <x v="298"/>
    <s v="BUESAQUILLO"/>
    <s v="YANGUATIN"/>
    <s v="CLAUDIA"/>
    <s v="LORENA"/>
    <s v="BOGOTA_D.E."/>
    <s v="BOGOTA"/>
    <s v="1. DEPENDIENTE"/>
    <s v="NINGUNO"/>
    <n v="25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570051"/>
    <n v="0.15999999642372131"/>
    <n v="411300"/>
    <s v="Sin Riesgo"/>
    <n v="0"/>
    <n v="0"/>
    <n v="0"/>
    <n v="0"/>
    <n v="0"/>
    <n v="411300"/>
    <s v="NINGUNA"/>
    <x v="0"/>
    <n v="30"/>
    <n v="2570051"/>
    <n v="3.9999999105930328E-2"/>
    <n v="102900"/>
    <n v="0"/>
    <m/>
    <n v="0"/>
    <m/>
    <n v="0"/>
    <s v="NINGUNA"/>
    <x v="0"/>
    <n v="30"/>
    <n v="2570051"/>
    <n v="6.9600000977516174E-2"/>
    <s v="5"/>
    <s v="CENTRO TRABAJO 24"/>
    <s v="5711001"/>
    <n v="178900"/>
    <n v="30"/>
    <x v="0"/>
    <n v="2570051"/>
    <n v="3.9999999105930328E-2"/>
    <n v="102900"/>
    <n v="0"/>
    <n v="0"/>
    <n v="0"/>
    <n v="0"/>
    <n v="0"/>
    <n v="0"/>
    <n v="0"/>
    <n v="0"/>
    <n v="0"/>
    <s v="SI"/>
    <s v=" "/>
    <s v="                "/>
  </r>
  <r>
    <x v="1"/>
    <s v="CC"/>
    <x v="299"/>
    <x v="299"/>
    <s v="PALENCIA"/>
    <s v="MORA"/>
    <s v="LUZ"/>
    <s v="AIDEE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2"/>
    <n v="30"/>
    <n v="5209465"/>
    <n v="0.15999999642372131"/>
    <n v="833600"/>
    <s v="Sin Riesgo"/>
    <n v="0"/>
    <n v="0"/>
    <n v="0"/>
    <n v="0"/>
    <n v="0"/>
    <n v="833600"/>
    <s v="NINGUNA"/>
    <x v="9"/>
    <n v="30"/>
    <n v="5209465"/>
    <n v="3.9999999105930328E-2"/>
    <n v="208400"/>
    <n v="0"/>
    <m/>
    <n v="0"/>
    <m/>
    <n v="0"/>
    <s v="NINGUNA"/>
    <x v="0"/>
    <n v="30"/>
    <n v="5209465"/>
    <n v="6.9600000977516174E-2"/>
    <s v="5"/>
    <s v="CENTRO TRABAJO 24"/>
    <s v="5711001"/>
    <n v="362600"/>
    <n v="30"/>
    <x v="0"/>
    <n v="5209465"/>
    <n v="3.9999999105930328E-2"/>
    <n v="208400"/>
    <n v="0"/>
    <n v="0"/>
    <n v="0"/>
    <n v="0"/>
    <n v="0"/>
    <n v="0"/>
    <n v="0"/>
    <n v="0"/>
    <n v="0"/>
    <s v="SI"/>
    <s v=" "/>
    <s v="                "/>
  </r>
  <r>
    <x v="1"/>
    <s v="CC"/>
    <x v="300"/>
    <x v="300"/>
    <s v="CANOLES"/>
    <s v="PELUFFO"/>
    <s v="KADIS"/>
    <s v="ARELIS DEL CARMEN"/>
    <s v="BOGOTA_D.E."/>
    <s v="BOGOTA"/>
    <s v="1. DEPENDIENTE"/>
    <s v="1. DEPENDIENTE PENSIONADO ACTIV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5602605"/>
    <s v="NO"/>
    <s v="SI"/>
    <x v="6"/>
    <n v="0"/>
    <n v="0"/>
    <n v="0"/>
    <n v="0"/>
    <s v="Sin Riesgo"/>
    <n v="0"/>
    <n v="0"/>
    <n v="0"/>
    <n v="0"/>
    <n v="0"/>
    <n v="0"/>
    <s v="NINGUNA"/>
    <x v="2"/>
    <n v="7"/>
    <n v="1307275"/>
    <n v="3.9999999105930328E-2"/>
    <n v="52300"/>
    <n v="0"/>
    <m/>
    <n v="0"/>
    <m/>
    <n v="0"/>
    <s v="NINGUNA"/>
    <x v="0"/>
    <n v="7"/>
    <n v="1307275"/>
    <n v="0"/>
    <s v="1"/>
    <s v="CENTRO TRABAJO 24"/>
    <s v="1711001"/>
    <n v="0"/>
    <n v="7"/>
    <x v="0"/>
    <n v="1307275"/>
    <n v="3.9999999105930328E-2"/>
    <n v="52300"/>
    <n v="0"/>
    <n v="0"/>
    <n v="0"/>
    <n v="0"/>
    <n v="0"/>
    <n v="0"/>
    <n v="0"/>
    <n v="0"/>
    <n v="0"/>
    <s v="SI"/>
    <s v=" "/>
    <s v="                "/>
  </r>
  <r>
    <x v="1"/>
    <s v="CC"/>
    <x v="300"/>
    <x v="300"/>
    <s v="CANOLES"/>
    <s v="PELUFFO"/>
    <s v="KADIS"/>
    <s v="ARELIS DEL CARMEN"/>
    <s v="BOGOTA_D.E."/>
    <s v="BOGOTA"/>
    <s v="1. DEPENDIENTE"/>
    <s v="1. DEPENDIENTE PENSIONADO ACTIV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5602605"/>
    <s v="NO"/>
    <s v="SI"/>
    <x v="6"/>
    <n v="0"/>
    <n v="0"/>
    <n v="0"/>
    <n v="0"/>
    <s v="Sin Riesgo"/>
    <n v="0"/>
    <n v="0"/>
    <n v="0"/>
    <n v="0"/>
    <n v="0"/>
    <n v="0"/>
    <s v="NINGUNA"/>
    <x v="2"/>
    <n v="23"/>
    <n v="4482509"/>
    <n v="3.9999999105930328E-2"/>
    <n v="179400"/>
    <n v="0"/>
    <m/>
    <n v="0"/>
    <m/>
    <n v="0"/>
    <s v="NINGUNA"/>
    <x v="0"/>
    <n v="23"/>
    <n v="4482509"/>
    <n v="5.2200001664459705E-3"/>
    <s v="1"/>
    <s v="CENTRO TRABAJO 24"/>
    <s v="1711001"/>
    <n v="23400"/>
    <n v="23"/>
    <x v="0"/>
    <n v="4482509"/>
    <n v="3.9999999105930328E-2"/>
    <n v="179400"/>
    <n v="0"/>
    <n v="0"/>
    <n v="0"/>
    <n v="0"/>
    <n v="0"/>
    <n v="0"/>
    <n v="0"/>
    <n v="0"/>
    <n v="0"/>
    <s v="SI"/>
    <s v=" "/>
    <s v="                "/>
  </r>
  <r>
    <x v="1"/>
    <s v="CC"/>
    <x v="301"/>
    <x v="448"/>
    <s v="ISAACS"/>
    <s v="GUERRA"/>
    <s v="MARIA"/>
    <s v="ISAB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0"/>
    <n v="1"/>
    <n v="59520"/>
    <n v="0"/>
    <n v="0"/>
    <n v="0"/>
    <m/>
    <n v="0"/>
    <m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01"/>
    <x v="448"/>
    <s v="ISAACS"/>
    <s v="GUERRA"/>
    <s v="MARIA"/>
    <s v="ISAB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79"/>
    <n v="46079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0"/>
    <n v="1"/>
    <n v="59520"/>
    <n v="0"/>
    <n v="0"/>
    <n v="0"/>
    <m/>
    <n v="0"/>
    <m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01"/>
    <x v="448"/>
    <s v="ISAACS"/>
    <s v="GUERRA"/>
    <s v="MARIA"/>
    <s v="ISABEL"/>
    <s v="BOGOTA_D.E."/>
    <s v="BOGOTA"/>
    <s v="1. DEPENDIENTE"/>
    <s v="NINGUNO"/>
    <n v="211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8"/>
    <n v="2932330"/>
    <n v="0.15999999642372131"/>
    <n v="469200"/>
    <s v="Sin Riesgo"/>
    <n v="0"/>
    <n v="0"/>
    <n v="0"/>
    <n v="0"/>
    <n v="0"/>
    <n v="469200"/>
    <s v="NINGUNA"/>
    <x v="0"/>
    <n v="28"/>
    <n v="2932330"/>
    <n v="3.9999999105930328E-2"/>
    <n v="117300"/>
    <n v="0"/>
    <m/>
    <n v="0"/>
    <m/>
    <n v="0"/>
    <s v="NINGUNA"/>
    <x v="0"/>
    <n v="28"/>
    <n v="2932330"/>
    <n v="6.9600000977516174E-2"/>
    <s v="5"/>
    <s v="CENTRO TRABAJO 24"/>
    <s v="5711001"/>
    <n v="204100"/>
    <n v="28"/>
    <x v="0"/>
    <n v="3700418"/>
    <n v="3.9999999105930328E-2"/>
    <n v="148100"/>
    <n v="0"/>
    <n v="0"/>
    <n v="0"/>
    <n v="0"/>
    <n v="0"/>
    <n v="0"/>
    <n v="0"/>
    <n v="0"/>
    <n v="0"/>
    <s v="SI"/>
    <s v=" "/>
    <s v="                "/>
  </r>
  <r>
    <x v="1"/>
    <s v="CC"/>
    <x v="302"/>
    <x v="302"/>
    <s v="GALLEGO"/>
    <s v="CAICEDO"/>
    <s v="CARLOS"/>
    <s v="EMILIO"/>
    <s v="BOGOTA_D.E."/>
    <s v="BOGOTA"/>
    <s v="1. DEPENDIENTE"/>
    <s v="NINGUNO"/>
    <n v="20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915447"/>
    <s v="NO"/>
    <s v="NO"/>
    <x v="1"/>
    <n v="30"/>
    <n v="2112434"/>
    <n v="0.15999999642372131"/>
    <n v="338000"/>
    <s v="Sin Riesgo"/>
    <n v="0"/>
    <n v="0"/>
    <n v="0"/>
    <n v="0"/>
    <n v="0"/>
    <n v="338000"/>
    <s v="NINGUNA"/>
    <x v="10"/>
    <n v="30"/>
    <n v="2112434"/>
    <n v="3.9999999105930328E-2"/>
    <n v="84500"/>
    <n v="0"/>
    <m/>
    <n v="0"/>
    <m/>
    <n v="0"/>
    <s v="NINGUNA"/>
    <x v="0"/>
    <n v="30"/>
    <n v="2112434"/>
    <n v="4.349999874830246E-2"/>
    <s v="4"/>
    <s v="CENTRO TRABAJO 24"/>
    <s v="4429001"/>
    <n v="91900"/>
    <n v="30"/>
    <x v="0"/>
    <n v="2112434"/>
    <n v="3.9999999105930328E-2"/>
    <n v="84500"/>
    <n v="0"/>
    <n v="0"/>
    <n v="0"/>
    <n v="0"/>
    <n v="0"/>
    <n v="0"/>
    <n v="0"/>
    <n v="0"/>
    <n v="0"/>
    <s v="SI"/>
    <s v=" "/>
    <s v="                "/>
  </r>
  <r>
    <x v="1"/>
    <s v="CC"/>
    <x v="303"/>
    <x v="303"/>
    <s v="ENTENCIPA"/>
    <s v="MENDOZA"/>
    <s v="LUZ"/>
    <s v="ANGELA"/>
    <s v="BOGOTA_D.E."/>
    <s v="BOGOTA"/>
    <s v="1. DEPENDIENTE"/>
    <s v="NINGUNO"/>
    <n v="90"/>
    <s v="NO"/>
    <s v="NO"/>
    <m/>
    <s v="NO"/>
    <m/>
    <s v="Todos los sistemas (ARL, AFP, CCF, EPS)"/>
    <n v="46067"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639331"/>
    <s v="NO"/>
    <s v="NO"/>
    <x v="2"/>
    <n v="14"/>
    <n v="1819665"/>
    <n v="0.15999999642372131"/>
    <n v="291200"/>
    <s v="Sin Riesgo"/>
    <n v="0"/>
    <n v="0"/>
    <n v="0"/>
    <n v="0"/>
    <n v="0"/>
    <n v="291200"/>
    <s v="NINGUNA"/>
    <x v="0"/>
    <n v="14"/>
    <n v="1819665"/>
    <n v="3.9999999105930328E-2"/>
    <n v="72800"/>
    <n v="0"/>
    <m/>
    <n v="0"/>
    <m/>
    <n v="0"/>
    <s v="NINGUNA"/>
    <x v="0"/>
    <n v="14"/>
    <n v="1819665"/>
    <n v="6.9600000977516174E-2"/>
    <s v="5"/>
    <s v="CENTRO TRABAJO 24"/>
    <s v="5711001"/>
    <n v="126700"/>
    <n v="14"/>
    <x v="0"/>
    <n v="3576014"/>
    <n v="3.9999999105930328E-2"/>
    <n v="143100"/>
    <n v="0"/>
    <n v="0"/>
    <n v="0"/>
    <n v="0"/>
    <n v="0"/>
    <n v="0"/>
    <n v="0"/>
    <n v="0"/>
    <n v="0"/>
    <s v="SI"/>
    <s v=" "/>
    <s v="                "/>
  </r>
  <r>
    <x v="1"/>
    <s v="PT"/>
    <x v="304"/>
    <x v="304"/>
    <s v="BRICEÑO"/>
    <s v="RINCON"/>
    <s v="DALMIRO"/>
    <s v="JESU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58"/>
    <s v="NO"/>
    <s v="NO"/>
    <m/>
    <m/>
    <n v="0"/>
    <m/>
    <m/>
    <s v="NO"/>
    <n v="1750905"/>
    <s v="NO"/>
    <s v="NO"/>
    <x v="2"/>
    <n v="1"/>
    <n v="58364"/>
    <n v="0.15999999642372131"/>
    <n v="9400"/>
    <s v="Sin Riesgo"/>
    <n v="0"/>
    <n v="0"/>
    <n v="0"/>
    <n v="0"/>
    <n v="0"/>
    <n v="9400"/>
    <s v="NINGUNA"/>
    <x v="3"/>
    <n v="1"/>
    <n v="58364"/>
    <n v="3.9999999105930328E-2"/>
    <n v="2400"/>
    <n v="0"/>
    <m/>
    <n v="0"/>
    <m/>
    <n v="0"/>
    <s v="NINGUNA"/>
    <x v="0"/>
    <n v="1"/>
    <n v="58364"/>
    <n v="0"/>
    <s v="5"/>
    <s v="CENTRO TRABAJO 24"/>
    <s v="5711001"/>
    <n v="0"/>
    <n v="1"/>
    <x v="0"/>
    <n v="58364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PT"/>
    <x v="304"/>
    <x v="304"/>
    <s v="BRICEÑO"/>
    <s v="RINCON"/>
    <s v="DALMIRO"/>
    <s v="JESU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9"/>
    <n v="46081"/>
    <s v="NO"/>
    <s v="NO"/>
    <m/>
    <m/>
    <n v="0"/>
    <m/>
    <m/>
    <s v="NO"/>
    <n v="1750905"/>
    <s v="NO"/>
    <s v="NO"/>
    <x v="2"/>
    <n v="3"/>
    <n v="175091"/>
    <n v="0.15999999642372131"/>
    <n v="28100"/>
    <s v="Sin Riesgo"/>
    <n v="0"/>
    <n v="0"/>
    <n v="0"/>
    <n v="0"/>
    <n v="0"/>
    <n v="28100"/>
    <s v="NINGUNA"/>
    <x v="3"/>
    <n v="3"/>
    <n v="175091"/>
    <n v="3.9999999105930328E-2"/>
    <n v="7100"/>
    <n v="0"/>
    <m/>
    <n v="0"/>
    <m/>
    <n v="0"/>
    <s v="NINGUNA"/>
    <x v="0"/>
    <n v="3"/>
    <n v="175091"/>
    <n v="0"/>
    <s v="5"/>
    <s v="CENTRO TRABAJO 24"/>
    <s v="5711001"/>
    <n v="0"/>
    <n v="3"/>
    <x v="0"/>
    <n v="175091"/>
    <n v="3.9999999105930328E-2"/>
    <n v="7100"/>
    <n v="0"/>
    <n v="0"/>
    <n v="0"/>
    <n v="0"/>
    <n v="0"/>
    <n v="0"/>
    <n v="0"/>
    <n v="0"/>
    <n v="0"/>
    <s v="SI"/>
    <s v=" "/>
    <s v="                "/>
  </r>
  <r>
    <x v="1"/>
    <s v="PT"/>
    <x v="304"/>
    <x v="304"/>
    <s v="BRICEÑO"/>
    <s v="RINCON"/>
    <s v="DALMIRO"/>
    <s v="JESUS"/>
    <s v="BOGOTA_D.E."/>
    <s v="BOGOTA"/>
    <s v="1. DEPENDIENTE"/>
    <s v="NINGUNO"/>
    <n v="195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2"/>
    <n v="26"/>
    <n v="2515069"/>
    <n v="0.15999999642372131"/>
    <n v="402500"/>
    <s v="Sin Riesgo"/>
    <n v="0"/>
    <n v="0"/>
    <n v="0"/>
    <n v="0"/>
    <n v="0"/>
    <n v="402500"/>
    <s v="NINGUNA"/>
    <x v="3"/>
    <n v="26"/>
    <n v="2515069"/>
    <n v="3.9999999105930328E-2"/>
    <n v="100700"/>
    <n v="0"/>
    <m/>
    <n v="0"/>
    <m/>
    <n v="0"/>
    <s v="NINGUNA"/>
    <x v="0"/>
    <n v="26"/>
    <n v="2515069"/>
    <n v="6.9600000977516174E-2"/>
    <s v="5"/>
    <s v="CENTRO TRABAJO 24"/>
    <s v="5711001"/>
    <n v="175100"/>
    <n v="26"/>
    <x v="0"/>
    <n v="3235087"/>
    <n v="3.9999999105930328E-2"/>
    <n v="129500"/>
    <n v="0"/>
    <n v="0"/>
    <n v="0"/>
    <n v="0"/>
    <n v="0"/>
    <n v="0"/>
    <n v="0"/>
    <n v="0"/>
    <n v="0"/>
    <s v="SI"/>
    <s v=" "/>
    <s v="                "/>
  </r>
  <r>
    <x v="1"/>
    <s v="PT"/>
    <x v="305"/>
    <x v="305"/>
    <s v="NELO"/>
    <s v="OCHOA"/>
    <s v="DIANGER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1"/>
    <n v="69164"/>
    <n v="0.15999999642372131"/>
    <n v="11100"/>
    <s v="Sin Riesgo"/>
    <n v="0"/>
    <n v="0"/>
    <n v="0"/>
    <n v="0"/>
    <n v="0"/>
    <n v="11100"/>
    <s v="NINGUNA"/>
    <x v="3"/>
    <n v="1"/>
    <n v="69164"/>
    <n v="0"/>
    <n v="0"/>
    <n v="0"/>
    <m/>
    <n v="0"/>
    <m/>
    <n v="0"/>
    <s v="NINGUNA"/>
    <x v="0"/>
    <n v="1"/>
    <n v="691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PT"/>
    <x v="305"/>
    <x v="305"/>
    <s v="NELO"/>
    <s v="OCHOA"/>
    <s v="DIANGER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79"/>
    <n v="46081"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"/>
    <n v="207491"/>
    <n v="0.15999999642372131"/>
    <n v="33200"/>
    <s v="Sin Riesgo"/>
    <n v="0"/>
    <n v="0"/>
    <n v="0"/>
    <n v="0"/>
    <n v="0"/>
    <n v="33200"/>
    <s v="NINGUNA"/>
    <x v="3"/>
    <n v="3"/>
    <n v="207491"/>
    <n v="0"/>
    <n v="0"/>
    <n v="0"/>
    <m/>
    <n v="0"/>
    <m/>
    <n v="0"/>
    <s v="NINGUNA"/>
    <x v="0"/>
    <n v="3"/>
    <n v="207491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PT"/>
    <x v="305"/>
    <x v="305"/>
    <s v="NELO"/>
    <s v="OCHOA"/>
    <s v="DIANGER"/>
    <s v="RAFAEL"/>
    <s v="BOGOTA_D.E."/>
    <s v="BOGOTA"/>
    <s v="1. DEPENDIENTE"/>
    <s v="NINGUNO"/>
    <n v="195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26"/>
    <n v="2984106"/>
    <n v="0.15999999642372131"/>
    <n v="477500"/>
    <s v="Sin Riesgo"/>
    <n v="0"/>
    <n v="0"/>
    <n v="0"/>
    <n v="0"/>
    <n v="0"/>
    <n v="477500"/>
    <s v="NINGUNA"/>
    <x v="3"/>
    <n v="26"/>
    <n v="2984106"/>
    <n v="3.9999999105930328E-2"/>
    <n v="119400"/>
    <n v="0"/>
    <m/>
    <n v="0"/>
    <m/>
    <n v="0"/>
    <s v="NINGUNA"/>
    <x v="0"/>
    <n v="26"/>
    <n v="2984106"/>
    <n v="6.9600000977516174E-2"/>
    <s v="5"/>
    <s v="CENTRO TRABAJO 24"/>
    <s v="5711001"/>
    <n v="207700"/>
    <n v="26"/>
    <x v="0"/>
    <n v="3706002"/>
    <n v="3.9999999105930328E-2"/>
    <n v="148300"/>
    <n v="0"/>
    <n v="0"/>
    <n v="0"/>
    <n v="0"/>
    <n v="0"/>
    <n v="0"/>
    <n v="0"/>
    <n v="0"/>
    <n v="0"/>
    <s v="SI"/>
    <s v=" "/>
    <s v="                "/>
  </r>
  <r>
    <x v="1"/>
    <s v="CC"/>
    <x v="306"/>
    <x v="306"/>
    <s v="MUÑOZ"/>
    <s v="BEDON"/>
    <s v="MARIO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4"/>
    <n v="46055"/>
    <s v="NO"/>
    <m/>
    <m/>
    <s v="NO"/>
    <m/>
    <m/>
    <s v="NO"/>
    <s v="NO"/>
    <m/>
    <m/>
    <n v="0"/>
    <m/>
    <m/>
    <s v="NO"/>
    <n v="1785595"/>
    <s v="NO"/>
    <s v="NO"/>
    <x v="0"/>
    <n v="2"/>
    <n v="175970"/>
    <n v="0.15999999642372131"/>
    <n v="28200"/>
    <s v="Sin Riesgo"/>
    <n v="0"/>
    <n v="0"/>
    <n v="0"/>
    <n v="0"/>
    <n v="0"/>
    <n v="28200"/>
    <s v="NINGUNA"/>
    <x v="0"/>
    <n v="2"/>
    <n v="175970"/>
    <n v="3.9999999105930328E-2"/>
    <n v="7100"/>
    <n v="0"/>
    <m/>
    <n v="0"/>
    <m/>
    <n v="0"/>
    <s v="NINGUNA"/>
    <x v="0"/>
    <n v="2"/>
    <n v="17597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06"/>
    <x v="306"/>
    <s v="MUÑOZ"/>
    <s v="BEDON"/>
    <s v="MARIO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1"/>
    <n v="59520"/>
    <n v="0.15999999642372131"/>
    <n v="9600"/>
    <s v="Sin Riesgo"/>
    <n v="0"/>
    <n v="0"/>
    <n v="0"/>
    <n v="0"/>
    <n v="0"/>
    <n v="9600"/>
    <s v="NINGUNA"/>
    <x v="0"/>
    <n v="1"/>
    <n v="59520"/>
    <n v="0"/>
    <n v="0"/>
    <n v="0"/>
    <m/>
    <n v="0"/>
    <m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06"/>
    <x v="306"/>
    <s v="MUÑOZ"/>
    <s v="BEDON"/>
    <s v="MARIO"/>
    <s v=""/>
    <s v="BOGOTA_D.E."/>
    <s v="BOGOTA"/>
    <s v="1. DEPENDIENTE"/>
    <s v="NINGUNO"/>
    <n v="19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7"/>
    <n v="2192252"/>
    <n v="0.15999999642372131"/>
    <n v="350800"/>
    <s v="Sin Riesgo"/>
    <n v="0"/>
    <n v="0"/>
    <n v="0"/>
    <n v="0"/>
    <n v="0"/>
    <n v="350800"/>
    <s v="NINGUNA"/>
    <x v="0"/>
    <n v="27"/>
    <n v="2192252"/>
    <n v="3.9999999105930328E-2"/>
    <n v="87700"/>
    <n v="0"/>
    <m/>
    <n v="0"/>
    <m/>
    <n v="0"/>
    <s v="NINGUNA"/>
    <x v="0"/>
    <n v="27"/>
    <n v="2192252"/>
    <n v="6.9600000977516174E-2"/>
    <s v="5"/>
    <s v="CENTRO TRABAJO 24"/>
    <s v="5711001"/>
    <n v="152600"/>
    <n v="27"/>
    <x v="0"/>
    <n v="2192252"/>
    <n v="3.9999999105930328E-2"/>
    <n v="87700"/>
    <n v="0"/>
    <n v="0"/>
    <n v="0"/>
    <n v="0"/>
    <n v="0"/>
    <n v="0"/>
    <n v="0"/>
    <n v="0"/>
    <n v="0"/>
    <s v="SI"/>
    <s v=" "/>
    <s v="                "/>
  </r>
  <r>
    <x v="1"/>
    <s v="CC"/>
    <x v="307"/>
    <x v="307"/>
    <s v="CALDON"/>
    <s v="BOLAÑOS"/>
    <s v="JAIRO"/>
    <s v=""/>
    <s v="BOGOTA_D.E."/>
    <s v="BOGOTA"/>
    <s v="1. DEPENDIENTE"/>
    <s v="NINGUNO"/>
    <n v="45"/>
    <s v="NO"/>
    <s v="NO"/>
    <m/>
    <s v="Todos los sistemas (ARL, AFP, CCF, EPS)"/>
    <n v="46074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2"/>
    <n v="10"/>
    <n v="704394"/>
    <n v="0.15999999642372131"/>
    <n v="112800"/>
    <s v="Sin Riesgo"/>
    <n v="0"/>
    <n v="0"/>
    <n v="0"/>
    <n v="0"/>
    <n v="0"/>
    <n v="112800"/>
    <s v="NINGUNA"/>
    <x v="3"/>
    <n v="10"/>
    <n v="704394"/>
    <n v="3.9999999105930328E-2"/>
    <n v="28200"/>
    <n v="0"/>
    <m/>
    <n v="0"/>
    <m/>
    <n v="0"/>
    <s v="NINGUNA"/>
    <x v="0"/>
    <n v="10"/>
    <n v="704394"/>
    <n v="6.9600000977516174E-2"/>
    <s v="5"/>
    <s v="CENTRO TRABAJO 24"/>
    <s v="5711001"/>
    <n v="49100"/>
    <n v="10"/>
    <x v="0"/>
    <n v="704394"/>
    <n v="3.9999999105930328E-2"/>
    <n v="28200"/>
    <n v="0"/>
    <n v="0"/>
    <n v="0"/>
    <n v="0"/>
    <n v="0"/>
    <n v="0"/>
    <n v="0"/>
    <n v="0"/>
    <n v="0"/>
    <s v="SI"/>
    <s v=" "/>
    <s v="                "/>
  </r>
  <r>
    <x v="1"/>
    <s v="CC"/>
    <x v="308"/>
    <x v="308"/>
    <s v="CATAÑO"/>
    <s v="CADAVID"/>
    <s v="IVAN"/>
    <s v="DARI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0"/>
    <s v="NO"/>
    <s v="NO"/>
    <m/>
    <m/>
    <n v="0"/>
    <m/>
    <m/>
    <s v="NO"/>
    <n v="3726196"/>
    <s v="NO"/>
    <s v="NO"/>
    <x v="1"/>
    <n v="7"/>
    <n v="869446"/>
    <n v="0.15999999642372131"/>
    <n v="139200"/>
    <s v="Sin Riesgo"/>
    <n v="0"/>
    <n v="0"/>
    <n v="0"/>
    <n v="0"/>
    <n v="0"/>
    <n v="139200"/>
    <s v="NINGUNA"/>
    <x v="9"/>
    <n v="7"/>
    <n v="869446"/>
    <n v="3.9999999105930328E-2"/>
    <n v="34800"/>
    <n v="0"/>
    <m/>
    <n v="0"/>
    <m/>
    <n v="0"/>
    <s v="NINGUNA"/>
    <x v="0"/>
    <n v="7"/>
    <n v="869446"/>
    <n v="0"/>
    <s v="5"/>
    <s v="CENTRO TRABAJO 30"/>
    <s v="5711001"/>
    <n v="0"/>
    <n v="7"/>
    <x v="1"/>
    <n v="869446"/>
    <n v="3.9999999105930328E-2"/>
    <n v="34800"/>
    <n v="0"/>
    <n v="0"/>
    <n v="0"/>
    <n v="0"/>
    <n v="0"/>
    <n v="0"/>
    <n v="0"/>
    <n v="0"/>
    <n v="0"/>
    <s v="SI"/>
    <s v=" "/>
    <s v="                "/>
  </r>
  <r>
    <x v="1"/>
    <s v="CC"/>
    <x v="308"/>
    <x v="308"/>
    <s v="CATAÑO"/>
    <s v="CADAVID"/>
    <s v="IVAN"/>
    <s v="DARIO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726196"/>
    <s v="NO"/>
    <s v="NO"/>
    <x v="1"/>
    <n v="23"/>
    <n v="2856751"/>
    <n v="0.15999999642372131"/>
    <n v="457100"/>
    <s v="Sin Riesgo"/>
    <n v="0"/>
    <n v="0"/>
    <n v="0"/>
    <n v="0"/>
    <n v="0"/>
    <n v="457100"/>
    <s v="NINGUNA"/>
    <x v="9"/>
    <n v="23"/>
    <n v="2856751"/>
    <n v="3.9999999105930328E-2"/>
    <n v="114300"/>
    <n v="0"/>
    <m/>
    <n v="0"/>
    <m/>
    <n v="0"/>
    <s v="NINGUNA"/>
    <x v="0"/>
    <n v="23"/>
    <n v="2856751"/>
    <n v="6.9600000977516174E-2"/>
    <s v="5"/>
    <s v="CENTRO TRABAJO 30"/>
    <s v="5711001"/>
    <n v="198900"/>
    <n v="23"/>
    <x v="1"/>
    <n v="2856751"/>
    <n v="3.9999999105930328E-2"/>
    <n v="114300"/>
    <n v="0"/>
    <n v="0"/>
    <n v="0"/>
    <n v="0"/>
    <n v="0"/>
    <n v="0"/>
    <n v="0"/>
    <n v="0"/>
    <n v="0"/>
    <s v="SI"/>
    <s v=" "/>
    <s v="                "/>
  </r>
  <r>
    <x v="1"/>
    <s v="CC"/>
    <x v="309"/>
    <x v="309"/>
    <s v="GOMEZ"/>
    <s v="RUIZ"/>
    <s v="ANDRES"/>
    <s v="ANTONIO"/>
    <s v="BOGOTA_D.E."/>
    <s v="BOGOTA"/>
    <s v="1. DEPENDIENTE"/>
    <s v="NINGUNO"/>
    <n v="225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30"/>
    <n v="3549799"/>
    <n v="0.15999999642372131"/>
    <n v="568000"/>
    <s v="Sin Riesgo"/>
    <n v="0"/>
    <n v="0"/>
    <n v="0"/>
    <n v="0"/>
    <n v="0"/>
    <n v="568000"/>
    <s v="NINGUNA"/>
    <x v="0"/>
    <n v="30"/>
    <n v="3549799"/>
    <n v="3.9999999105930328E-2"/>
    <n v="142000"/>
    <n v="0"/>
    <m/>
    <n v="0"/>
    <m/>
    <n v="0"/>
    <s v="NINGUNA"/>
    <x v="0"/>
    <n v="30"/>
    <n v="3549799"/>
    <n v="6.9600000977516174E-2"/>
    <s v="5"/>
    <s v="CENTRO TRABAJO 24"/>
    <s v="5711001"/>
    <n v="247100"/>
    <n v="30"/>
    <x v="0"/>
    <n v="3565766"/>
    <n v="3.9999999105930328E-2"/>
    <n v="142700"/>
    <n v="0"/>
    <n v="0"/>
    <n v="0"/>
    <n v="0"/>
    <n v="0"/>
    <n v="0"/>
    <n v="0"/>
    <n v="0"/>
    <n v="0"/>
    <s v="SI"/>
    <s v=" "/>
    <s v="                "/>
  </r>
  <r>
    <x v="1"/>
    <s v="CC"/>
    <x v="310"/>
    <x v="310"/>
    <s v="ARIAS"/>
    <s v="MONTOYA"/>
    <s v="PEDRO"/>
    <s v="PABLO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3195371"/>
    <n v="0.15999999642372131"/>
    <n v="511300"/>
    <s v="Sin Riesgo"/>
    <n v="0"/>
    <n v="0"/>
    <n v="0"/>
    <n v="0"/>
    <n v="0"/>
    <n v="511300"/>
    <s v="NINGUNA"/>
    <x v="0"/>
    <n v="30"/>
    <n v="3195371"/>
    <n v="3.9999999105930328E-2"/>
    <n v="127900"/>
    <n v="0"/>
    <m/>
    <n v="0"/>
    <m/>
    <n v="0"/>
    <s v="NINGUNA"/>
    <x v="0"/>
    <n v="30"/>
    <n v="3195371"/>
    <n v="6.9600000977516174E-2"/>
    <s v="5"/>
    <s v="CENTRO TRABAJO 24"/>
    <s v="5711001"/>
    <n v="222400"/>
    <n v="30"/>
    <x v="0"/>
    <n v="2949702"/>
    <n v="3.9999999105930328E-2"/>
    <n v="118000"/>
    <n v="0"/>
    <n v="0"/>
    <n v="0"/>
    <n v="0"/>
    <n v="0"/>
    <n v="0"/>
    <n v="0"/>
    <n v="0"/>
    <n v="0"/>
    <s v="SI"/>
    <s v=" "/>
    <s v="                "/>
  </r>
  <r>
    <x v="1"/>
    <s v="CC"/>
    <x v="311"/>
    <x v="311"/>
    <s v="SALDARRIAGA"/>
    <s v="VERGARA"/>
    <s v="GUILLERMO"/>
    <s v="LEON"/>
    <s v="ANTIOQUIA"/>
    <s v="MEDELLIN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1750905"/>
    <s v="NO"/>
    <s v="NO"/>
    <x v="0"/>
    <n v="5"/>
    <n v="291818"/>
    <n v="0.15999999642372131"/>
    <n v="46700"/>
    <s v="Sin Riesgo"/>
    <n v="0"/>
    <n v="0"/>
    <n v="0"/>
    <n v="0"/>
    <n v="0"/>
    <n v="46700"/>
    <s v="NINGUNA"/>
    <x v="0"/>
    <n v="5"/>
    <n v="291818"/>
    <n v="3.9999999105930328E-2"/>
    <n v="11700"/>
    <n v="0"/>
    <m/>
    <n v="0"/>
    <m/>
    <n v="0"/>
    <s v="NINGUNA"/>
    <x v="0"/>
    <n v="5"/>
    <n v="291818"/>
    <n v="0"/>
    <s v="1"/>
    <s v="CENTRO TRABAJO 4"/>
    <s v="1711001"/>
    <n v="0"/>
    <n v="5"/>
    <x v="4"/>
    <n v="291818"/>
    <n v="3.9999999105930328E-2"/>
    <n v="11700"/>
    <n v="0"/>
    <n v="0"/>
    <n v="0"/>
    <n v="0"/>
    <n v="0"/>
    <n v="0"/>
    <n v="0"/>
    <n v="0"/>
    <n v="0"/>
    <s v="SI"/>
    <s v=" "/>
    <s v="                "/>
  </r>
  <r>
    <x v="1"/>
    <s v="CC"/>
    <x v="311"/>
    <x v="311"/>
    <s v="SALDARRIAGA"/>
    <s v="VERGARA"/>
    <s v="GUILLERMO"/>
    <s v="LEON"/>
    <s v="ANTIOQUIA"/>
    <s v="MEDELLIN"/>
    <s v="1. DEPENDIENTE"/>
    <s v="NINGUNO"/>
    <n v="13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5"/>
    <n v="1459088"/>
    <n v="0.15999999642372131"/>
    <n v="233500"/>
    <s v="Sin Riesgo"/>
    <n v="0"/>
    <n v="0"/>
    <n v="0"/>
    <n v="0"/>
    <n v="0"/>
    <n v="233500"/>
    <s v="NINGUNA"/>
    <x v="0"/>
    <n v="25"/>
    <n v="1459088"/>
    <n v="3.9999999105930328E-2"/>
    <n v="58400"/>
    <n v="0"/>
    <m/>
    <n v="0"/>
    <m/>
    <n v="0"/>
    <s v="NINGUNA"/>
    <x v="0"/>
    <n v="25"/>
    <n v="1459088"/>
    <n v="5.2200001664459705E-3"/>
    <s v="1"/>
    <s v="CENTRO TRABAJO 4"/>
    <s v="1711001"/>
    <n v="7700"/>
    <n v="25"/>
    <x v="4"/>
    <n v="1459088"/>
    <n v="3.9999999105930328E-2"/>
    <n v="58400"/>
    <n v="0"/>
    <n v="0"/>
    <n v="0"/>
    <n v="0"/>
    <n v="0"/>
    <n v="0"/>
    <n v="0"/>
    <n v="0"/>
    <n v="0"/>
    <s v="SI"/>
    <s v=" "/>
    <s v="                "/>
  </r>
  <r>
    <x v="1"/>
    <s v="CC"/>
    <x v="312"/>
    <x v="312"/>
    <s v="MORENO"/>
    <s v="RODRIGUEZ"/>
    <s v="ZAMIR"/>
    <s v="FERNANDO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676577"/>
    <s v="NO"/>
    <s v="NO"/>
    <x v="0"/>
    <n v="30"/>
    <n v="5676577"/>
    <n v="0.15999999642372131"/>
    <n v="908300"/>
    <s v="Sin Riesgo"/>
    <n v="0"/>
    <n v="0"/>
    <n v="0"/>
    <n v="0"/>
    <n v="0"/>
    <n v="908300"/>
    <s v="NINGUNA"/>
    <x v="2"/>
    <n v="30"/>
    <n v="5676577"/>
    <n v="3.9999999105930328E-2"/>
    <n v="227100"/>
    <n v="0"/>
    <m/>
    <n v="0"/>
    <m/>
    <n v="0"/>
    <s v="NINGUNA"/>
    <x v="0"/>
    <n v="30"/>
    <n v="5676577"/>
    <n v="6.9600000977516174E-2"/>
    <s v="5"/>
    <s v="CENTRO TRABAJO 30"/>
    <s v="5711001"/>
    <n v="395100"/>
    <n v="30"/>
    <x v="1"/>
    <n v="5676577"/>
    <n v="3.9999999105930328E-2"/>
    <n v="227100"/>
    <n v="0"/>
    <n v="0"/>
    <n v="0"/>
    <n v="0"/>
    <n v="0"/>
    <n v="0"/>
    <n v="0"/>
    <n v="0"/>
    <n v="0"/>
    <s v="SI"/>
    <s v=" "/>
    <s v="                "/>
  </r>
  <r>
    <x v="1"/>
    <s v="CC"/>
    <x v="313"/>
    <x v="313"/>
    <s v="BARRAZA"/>
    <s v="SOLANO"/>
    <s v="DEBIS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6"/>
    <s v="NO"/>
    <s v="NO"/>
    <m/>
    <m/>
    <n v="0"/>
    <m/>
    <m/>
    <s v="NO"/>
    <n v="2891569"/>
    <s v="NO"/>
    <s v="NO"/>
    <x v="0"/>
    <n v="3"/>
    <n v="289157"/>
    <n v="0.15999999642372131"/>
    <n v="46300"/>
    <s v="Sin Riesgo"/>
    <n v="0"/>
    <n v="0"/>
    <n v="0"/>
    <n v="0"/>
    <n v="0"/>
    <n v="46300"/>
    <s v="NINGUNA"/>
    <x v="12"/>
    <n v="3"/>
    <n v="289157"/>
    <n v="3.9999999105930328E-2"/>
    <n v="11600"/>
    <n v="0"/>
    <m/>
    <n v="0"/>
    <m/>
    <n v="0"/>
    <s v="NINGUNA"/>
    <x v="0"/>
    <n v="3"/>
    <n v="289157"/>
    <n v="0"/>
    <s v="5"/>
    <s v="CENTRO TRABAJO 30"/>
    <s v="5711001"/>
    <n v="0"/>
    <n v="3"/>
    <x v="1"/>
    <n v="289157"/>
    <n v="3.9999999105930328E-2"/>
    <n v="11600"/>
    <n v="0"/>
    <n v="0"/>
    <n v="0"/>
    <n v="0"/>
    <n v="0"/>
    <n v="0"/>
    <n v="0"/>
    <n v="0"/>
    <n v="0"/>
    <s v="SI"/>
    <s v=" "/>
    <s v="                "/>
  </r>
  <r>
    <x v="1"/>
    <s v="CC"/>
    <x v="313"/>
    <x v="313"/>
    <s v="BARRAZA"/>
    <s v="SOLANO"/>
    <s v="DEBIS"/>
    <s v="ALBERT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7"/>
    <n v="46057"/>
    <s v="NO"/>
    <m/>
    <m/>
    <s v="NO"/>
    <m/>
    <m/>
    <s v="NO"/>
    <m/>
    <m/>
    <s v="NO"/>
    <s v="NO"/>
    <m/>
    <m/>
    <n v="0"/>
    <m/>
    <m/>
    <s v="NO"/>
    <n v="2891569"/>
    <s v="NO"/>
    <s v="NO"/>
    <x v="0"/>
    <n v="1"/>
    <n v="96386"/>
    <n v="0.15999999642372131"/>
    <n v="15500"/>
    <s v="Sin Riesgo"/>
    <n v="0"/>
    <n v="0"/>
    <n v="0"/>
    <n v="0"/>
    <n v="0"/>
    <n v="15500"/>
    <s v="NINGUNA"/>
    <x v="12"/>
    <n v="1"/>
    <n v="96386"/>
    <n v="0"/>
    <n v="0"/>
    <n v="0"/>
    <m/>
    <n v="0"/>
    <m/>
    <n v="0"/>
    <s v="NINGUNA"/>
    <x v="0"/>
    <n v="1"/>
    <n v="96386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13"/>
    <x v="313"/>
    <s v="BARRAZA"/>
    <s v="SOLANO"/>
    <s v="DEBIS"/>
    <s v="ALBERTO"/>
    <s v="LA_GUAJIRA"/>
    <s v="RIOHACHA"/>
    <s v="1. DEPENDIENTE"/>
    <s v="NINGUNO"/>
    <n v="17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0"/>
    <n v="26"/>
    <n v="3483157"/>
    <n v="0.15999999642372131"/>
    <n v="557400"/>
    <s v="Sin Riesgo"/>
    <n v="0"/>
    <n v="0"/>
    <n v="0"/>
    <n v="0"/>
    <n v="0"/>
    <n v="557400"/>
    <s v="NINGUNA"/>
    <x v="12"/>
    <n v="26"/>
    <n v="3483157"/>
    <n v="3.9999999105930328E-2"/>
    <n v="139400"/>
    <n v="0"/>
    <m/>
    <n v="0"/>
    <m/>
    <n v="0"/>
    <s v="NINGUNA"/>
    <x v="0"/>
    <n v="26"/>
    <n v="3483157"/>
    <n v="6.9600000977516174E-2"/>
    <s v="5"/>
    <s v="CENTRO TRABAJO 30"/>
    <s v="5711001"/>
    <n v="242500"/>
    <n v="26"/>
    <x v="1"/>
    <n v="3483157"/>
    <n v="3.9999999105930328E-2"/>
    <n v="139400"/>
    <n v="0"/>
    <n v="0"/>
    <n v="0"/>
    <n v="0"/>
    <n v="0"/>
    <n v="0"/>
    <n v="0"/>
    <n v="0"/>
    <n v="0"/>
    <s v="SI"/>
    <s v=" "/>
    <s v="                "/>
  </r>
  <r>
    <x v="1"/>
    <s v="CC"/>
    <x v="314"/>
    <x v="314"/>
    <s v="LAVALLE"/>
    <s v="MORENO"/>
    <s v="FIDILBERTO"/>
    <s v=""/>
    <s v="BOGOTA_D.E."/>
    <s v="BOGOTA"/>
    <s v="1. DEPENDIENTE"/>
    <s v="NINGUNO"/>
    <n v="229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1"/>
    <n v="30"/>
    <n v="5409291"/>
    <n v="0.15999999642372131"/>
    <n v="865500"/>
    <s v="Sin Riesgo"/>
    <n v="0"/>
    <n v="0"/>
    <n v="0"/>
    <n v="0"/>
    <n v="0"/>
    <n v="865500"/>
    <s v="NINGUNA"/>
    <x v="9"/>
    <n v="30"/>
    <n v="5409291"/>
    <n v="3.9999999105930328E-2"/>
    <n v="216400"/>
    <n v="0"/>
    <m/>
    <n v="0"/>
    <m/>
    <n v="0"/>
    <s v="NINGUNA"/>
    <x v="0"/>
    <n v="30"/>
    <n v="5409291"/>
    <n v="6.9600000977516174E-2"/>
    <s v="5"/>
    <s v="CENTRO TRABAJO 24"/>
    <s v="5711001"/>
    <n v="376500"/>
    <n v="30"/>
    <x v="0"/>
    <n v="6934507"/>
    <n v="3.9999999105930328E-2"/>
    <n v="277400"/>
    <n v="0"/>
    <n v="0"/>
    <n v="0"/>
    <n v="0"/>
    <n v="0"/>
    <n v="0"/>
    <n v="0"/>
    <n v="0"/>
    <n v="0"/>
    <s v="SI"/>
    <s v=" "/>
    <s v="                "/>
  </r>
  <r>
    <x v="1"/>
    <s v="CC"/>
    <x v="315"/>
    <x v="315"/>
    <s v="URREA"/>
    <s v="PACHECO"/>
    <s v="CARLOS"/>
    <s v="ANDRES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8601766"/>
    <s v="NO"/>
    <s v="NO"/>
    <x v="1"/>
    <n v="30"/>
    <n v="8601766"/>
    <n v="0.15999999642372131"/>
    <n v="1376300"/>
    <s v="Sin Riesgo"/>
    <n v="0"/>
    <n v="0"/>
    <n v="43100"/>
    <n v="43100"/>
    <n v="0"/>
    <n v="1462500"/>
    <s v="NINGUNA"/>
    <x v="2"/>
    <n v="30"/>
    <n v="8601766"/>
    <n v="3.9999999105930328E-2"/>
    <n v="344100"/>
    <n v="0"/>
    <m/>
    <n v="0"/>
    <m/>
    <n v="0"/>
    <s v="NINGUNA"/>
    <x v="0"/>
    <n v="30"/>
    <n v="8601766"/>
    <n v="6.9600000977516174E-2"/>
    <s v="5"/>
    <s v="CENTRO TRABAJO 24"/>
    <s v="5711001"/>
    <n v="598700"/>
    <n v="30"/>
    <x v="0"/>
    <n v="8601766"/>
    <n v="3.9999999105930328E-2"/>
    <n v="344100"/>
    <n v="0"/>
    <n v="0"/>
    <n v="0"/>
    <n v="0"/>
    <n v="0"/>
    <n v="0"/>
    <n v="0"/>
    <n v="0"/>
    <n v="0"/>
    <s v="SI"/>
    <s v=" "/>
    <s v="                "/>
  </r>
  <r>
    <x v="1"/>
    <s v="CC"/>
    <x v="316"/>
    <x v="316"/>
    <s v="CAMARGO"/>
    <s v="OROZCO"/>
    <s v="JAIDEN"/>
    <s v="AUGUSTO"/>
    <s v="BOGOTA_D.E."/>
    <s v="BOGOTA"/>
    <s v="1. DEPENDIENTE"/>
    <s v="NINGUNO"/>
    <n v="127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0"/>
    <n v="15"/>
    <n v="3188494"/>
    <n v="0.15999999642372131"/>
    <n v="510200"/>
    <s v="Sin Riesgo"/>
    <n v="0"/>
    <n v="0"/>
    <n v="0"/>
    <n v="0"/>
    <n v="0"/>
    <n v="510200"/>
    <s v="NINGUNA"/>
    <x v="6"/>
    <n v="15"/>
    <n v="3188494"/>
    <n v="3.9999999105930328E-2"/>
    <n v="127600"/>
    <n v="0"/>
    <m/>
    <n v="0"/>
    <m/>
    <n v="0"/>
    <s v="NINGUNA"/>
    <x v="0"/>
    <n v="15"/>
    <n v="3188494"/>
    <n v="6.9600000977516174E-2"/>
    <s v="5"/>
    <s v="CENTRO TRABAJO 24"/>
    <s v="5711001"/>
    <n v="222000"/>
    <n v="15"/>
    <x v="0"/>
    <n v="4171872"/>
    <n v="3.9999999105930328E-2"/>
    <n v="166900"/>
    <n v="0"/>
    <n v="0"/>
    <n v="0"/>
    <n v="0"/>
    <n v="0"/>
    <n v="0"/>
    <n v="0"/>
    <n v="0"/>
    <n v="0"/>
    <s v="SI"/>
    <s v=" "/>
    <s v="                "/>
  </r>
  <r>
    <x v="1"/>
    <s v="CC"/>
    <x v="317"/>
    <x v="317"/>
    <s v="NUÑEZ"/>
    <s v="ROJAS"/>
    <s v="JOSE"/>
    <s v="DAVID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415855"/>
    <s v="NO"/>
    <s v="NO"/>
    <x v="1"/>
    <n v="30"/>
    <n v="3625694"/>
    <n v="0.15999999642372131"/>
    <n v="580200"/>
    <s v="Sin Riesgo"/>
    <n v="0"/>
    <n v="0"/>
    <n v="0"/>
    <n v="0"/>
    <n v="0"/>
    <n v="580200"/>
    <s v="NINGUNA"/>
    <x v="2"/>
    <n v="30"/>
    <n v="3625694"/>
    <n v="3.9999999105930328E-2"/>
    <n v="145100"/>
    <n v="0"/>
    <m/>
    <n v="0"/>
    <m/>
    <n v="0"/>
    <s v="NINGUNA"/>
    <x v="0"/>
    <n v="30"/>
    <n v="3625694"/>
    <n v="6.9600000977516174E-2"/>
    <s v="5"/>
    <s v="CENTRO TRABAJO 24"/>
    <s v="5711001"/>
    <n v="252400"/>
    <n v="30"/>
    <x v="0"/>
    <n v="3589754"/>
    <n v="3.9999999105930328E-2"/>
    <n v="143600"/>
    <n v="0"/>
    <n v="0"/>
    <n v="0"/>
    <n v="0"/>
    <n v="0"/>
    <n v="0"/>
    <n v="0"/>
    <n v="0"/>
    <n v="0"/>
    <s v="SI"/>
    <s v=" "/>
    <s v="                "/>
  </r>
  <r>
    <x v="1"/>
    <s v="CC"/>
    <x v="318"/>
    <x v="318"/>
    <s v="GOMEZ"/>
    <s v="REYES"/>
    <s v="CARLOS"/>
    <s v="JUL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"/>
    <n v="222334"/>
    <n v="0.15999999642372131"/>
    <n v="35600"/>
    <s v="Sin Riesgo"/>
    <n v="0"/>
    <n v="0"/>
    <n v="0"/>
    <n v="0"/>
    <n v="0"/>
    <n v="35600"/>
    <s v="NINGUNA"/>
    <x v="0"/>
    <n v="2"/>
    <n v="222334"/>
    <n v="0"/>
    <n v="0"/>
    <n v="0"/>
    <m/>
    <n v="0"/>
    <m/>
    <n v="0"/>
    <s v="NINGUNA"/>
    <x v="0"/>
    <n v="2"/>
    <n v="222334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18"/>
    <x v="318"/>
    <s v="GOMEZ"/>
    <s v="REYES"/>
    <s v="CARLOS"/>
    <s v="JULIO"/>
    <s v="BOGOTA_D.E."/>
    <s v="BOGOTA"/>
    <s v="1. DEPENDIENTE"/>
    <s v="NINGUNO"/>
    <n v="0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"/>
    <n v="323125"/>
    <n v="0.15999999642372131"/>
    <n v="51700"/>
    <s v="Sin Riesgo"/>
    <n v="0"/>
    <n v="0"/>
    <n v="0"/>
    <n v="0"/>
    <n v="0"/>
    <n v="51700"/>
    <s v="NINGUNA"/>
    <x v="0"/>
    <n v="1"/>
    <n v="323125"/>
    <n v="3.9999999105930328E-2"/>
    <n v="13000"/>
    <n v="0"/>
    <m/>
    <n v="0"/>
    <m/>
    <n v="0"/>
    <s v="NINGUNA"/>
    <x v="0"/>
    <n v="1"/>
    <n v="323125"/>
    <n v="6.9600000977516174E-2"/>
    <s v="5"/>
    <s v="CENTRO TRABAJO 24"/>
    <s v="5711001"/>
    <n v="22500"/>
    <n v="1"/>
    <x v="0"/>
    <n v="794357"/>
    <n v="3.9999999105930328E-2"/>
    <n v="31800"/>
    <n v="0"/>
    <n v="0"/>
    <n v="0"/>
    <n v="0"/>
    <n v="0"/>
    <n v="0"/>
    <n v="0"/>
    <n v="0"/>
    <n v="0"/>
    <s v="SI"/>
    <s v=" "/>
    <s v="                "/>
  </r>
  <r>
    <x v="1"/>
    <s v="CC"/>
    <x v="319"/>
    <x v="319"/>
    <s v="CANTILLO"/>
    <s v="VELANDIA"/>
    <s v="LUIS"/>
    <s v="MIGUEL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2"/>
    <n v="30"/>
    <n v="3882345"/>
    <n v="0.15999999642372131"/>
    <n v="621200"/>
    <s v="Sin Riesgo"/>
    <n v="0"/>
    <n v="0"/>
    <n v="0"/>
    <n v="0"/>
    <n v="0"/>
    <n v="621200"/>
    <s v="NINGUNA"/>
    <x v="3"/>
    <n v="30"/>
    <n v="3882345"/>
    <n v="3.9999999105930328E-2"/>
    <n v="155300"/>
    <n v="0"/>
    <m/>
    <n v="0"/>
    <m/>
    <n v="0"/>
    <s v="NINGUNA"/>
    <x v="0"/>
    <n v="30"/>
    <n v="3882345"/>
    <n v="6.9600000977516174E-2"/>
    <s v="5"/>
    <s v="CENTRO TRABAJO 30"/>
    <s v="5711001"/>
    <n v="270300"/>
    <n v="30"/>
    <x v="1"/>
    <n v="3882345"/>
    <n v="3.9999999105930328E-2"/>
    <n v="155300"/>
    <n v="0"/>
    <n v="0"/>
    <n v="0"/>
    <n v="0"/>
    <n v="0"/>
    <n v="0"/>
    <n v="0"/>
    <n v="0"/>
    <n v="0"/>
    <s v="SI"/>
    <s v=" "/>
    <s v="                "/>
  </r>
  <r>
    <x v="1"/>
    <s v="CC"/>
    <x v="320"/>
    <x v="320"/>
    <s v="TAMAYO"/>
    <s v="PEDRAZA"/>
    <s v="JUAN"/>
    <s v="MANUEL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1201102"/>
    <s v="NO"/>
    <s v="NO"/>
    <x v="1"/>
    <n v="30"/>
    <n v="11201102"/>
    <n v="0.15999999642372131"/>
    <n v="1792200"/>
    <s v="Sin Riesgo"/>
    <n v="0"/>
    <n v="0"/>
    <n v="56100"/>
    <n v="56100"/>
    <n v="0"/>
    <n v="1904400"/>
    <s v="NINGUNA"/>
    <x v="2"/>
    <n v="30"/>
    <n v="11201102"/>
    <n v="3.9999999105930328E-2"/>
    <n v="448100"/>
    <n v="0"/>
    <m/>
    <n v="0"/>
    <m/>
    <n v="0"/>
    <s v="NINGUNA"/>
    <x v="0"/>
    <n v="30"/>
    <n v="11201102"/>
    <n v="6.9600000977516174E-2"/>
    <s v="5"/>
    <s v="CENTRO TRABAJO 24"/>
    <s v="5711001"/>
    <n v="779600"/>
    <n v="30"/>
    <x v="0"/>
    <n v="11201102"/>
    <n v="3.9999999105930328E-2"/>
    <n v="448100"/>
    <n v="0"/>
    <n v="0"/>
    <n v="0"/>
    <n v="0"/>
    <n v="0"/>
    <n v="0"/>
    <n v="0"/>
    <n v="0"/>
    <n v="0"/>
    <s v="SI"/>
    <s v=" "/>
    <s v="                "/>
  </r>
  <r>
    <x v="1"/>
    <s v="CC"/>
    <x v="321"/>
    <x v="321"/>
    <s v="VILLAFAÑE"/>
    <s v="JIMENEZ"/>
    <s v="WILLIAM"/>
    <s v="RAFAEL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3264484"/>
    <n v="0.15999999642372131"/>
    <n v="522400"/>
    <s v="Sin Riesgo"/>
    <n v="0"/>
    <n v="0"/>
    <n v="0"/>
    <n v="0"/>
    <n v="0"/>
    <n v="522400"/>
    <s v="NINGUNA"/>
    <x v="3"/>
    <n v="30"/>
    <n v="3264484"/>
    <n v="3.9999999105930328E-2"/>
    <n v="130600"/>
    <n v="0"/>
    <m/>
    <n v="0"/>
    <m/>
    <n v="0"/>
    <s v="NINGUNA"/>
    <x v="0"/>
    <n v="30"/>
    <n v="3264484"/>
    <n v="6.9600000977516174E-2"/>
    <s v="5"/>
    <s v="CENTRO TRABAJO 24"/>
    <s v="5711001"/>
    <n v="227300"/>
    <n v="30"/>
    <x v="0"/>
    <n v="2839845"/>
    <n v="3.9999999105930328E-2"/>
    <n v="113600"/>
    <n v="0"/>
    <n v="0"/>
    <n v="0"/>
    <n v="0"/>
    <n v="0"/>
    <n v="0"/>
    <n v="0"/>
    <n v="0"/>
    <n v="0"/>
    <s v="SI"/>
    <s v=" "/>
    <s v="                "/>
  </r>
  <r>
    <x v="1"/>
    <s v="CC"/>
    <x v="322"/>
    <x v="322"/>
    <s v="CANTILLO"/>
    <s v="REYES"/>
    <s v="GIANCARLOS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3639331"/>
    <s v="NO"/>
    <s v="NO"/>
    <x v="0"/>
    <n v="1"/>
    <n v="121312"/>
    <n v="0.15999999642372131"/>
    <n v="19500"/>
    <s v="Sin Riesgo"/>
    <n v="0"/>
    <n v="0"/>
    <n v="0"/>
    <n v="0"/>
    <n v="0"/>
    <n v="19500"/>
    <s v="NINGUNA"/>
    <x v="2"/>
    <n v="1"/>
    <n v="121312"/>
    <n v="3.9999999105930328E-2"/>
    <n v="4900"/>
    <n v="0"/>
    <m/>
    <n v="0"/>
    <m/>
    <n v="0"/>
    <s v="NINGUNA"/>
    <x v="0"/>
    <n v="1"/>
    <n v="121312"/>
    <n v="0"/>
    <s v="5"/>
    <s v="CENTRO TRABAJO 24"/>
    <s v="5711001"/>
    <n v="0"/>
    <n v="1"/>
    <x v="0"/>
    <n v="121312"/>
    <n v="3.9999999105930328E-2"/>
    <n v="4900"/>
    <n v="0"/>
    <n v="0"/>
    <n v="0"/>
    <n v="0"/>
    <n v="0"/>
    <n v="0"/>
    <n v="0"/>
    <n v="0"/>
    <n v="0"/>
    <s v="SI"/>
    <s v=" "/>
    <s v="                "/>
  </r>
  <r>
    <x v="1"/>
    <s v="CC"/>
    <x v="322"/>
    <x v="322"/>
    <s v="CANTILLO"/>
    <s v="REYES"/>
    <s v="GIANCARLOS"/>
    <s v="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639331"/>
    <s v="NO"/>
    <s v="NO"/>
    <x v="0"/>
    <n v="29"/>
    <n v="3755406"/>
    <n v="0.15999999642372131"/>
    <n v="600900"/>
    <s v="Sin Riesgo"/>
    <n v="0"/>
    <n v="0"/>
    <n v="0"/>
    <n v="0"/>
    <n v="0"/>
    <n v="600900"/>
    <s v="NINGUNA"/>
    <x v="2"/>
    <n v="29"/>
    <n v="3755406"/>
    <n v="3.9999999105930328E-2"/>
    <n v="150300"/>
    <n v="0"/>
    <m/>
    <n v="0"/>
    <m/>
    <n v="0"/>
    <s v="NINGUNA"/>
    <x v="0"/>
    <n v="29"/>
    <n v="3755406"/>
    <n v="6.9600000977516174E-2"/>
    <s v="5"/>
    <s v="CENTRO TRABAJO 24"/>
    <s v="5711001"/>
    <n v="261400"/>
    <n v="29"/>
    <x v="0"/>
    <n v="3755406"/>
    <n v="3.9999999105930328E-2"/>
    <n v="150300"/>
    <n v="0"/>
    <n v="0"/>
    <n v="0"/>
    <n v="0"/>
    <n v="0"/>
    <n v="0"/>
    <n v="0"/>
    <n v="0"/>
    <n v="0"/>
    <s v="SI"/>
    <s v=" "/>
    <s v="                "/>
  </r>
  <r>
    <x v="1"/>
    <s v="CC"/>
    <x v="323"/>
    <x v="323"/>
    <s v="MEDRANO"/>
    <s v="FABRA"/>
    <s v="YESID"/>
    <s v=""/>
    <s v="BOGOTA_D.E."/>
    <s v="BOGOTA"/>
    <s v="1. DEPENDIENTE"/>
    <s v="NINGUNO"/>
    <n v="91"/>
    <s v="NO"/>
    <s v="NO"/>
    <m/>
    <s v="NO"/>
    <m/>
    <s v="Todos los sistemas (ARL, AFP, CCF, EPS)"/>
    <n v="46063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2"/>
    <n v="10"/>
    <n v="1583035"/>
    <n v="0.15999999642372131"/>
    <n v="253300"/>
    <s v="Sin Riesgo"/>
    <n v="0"/>
    <n v="0"/>
    <n v="0"/>
    <n v="0"/>
    <n v="0"/>
    <n v="253300"/>
    <s v="NINGUNA"/>
    <x v="12"/>
    <n v="10"/>
    <n v="1583035"/>
    <n v="3.9999999105930328E-2"/>
    <n v="63400"/>
    <n v="0"/>
    <m/>
    <n v="0"/>
    <m/>
    <n v="0"/>
    <s v="NINGUNA"/>
    <x v="0"/>
    <n v="10"/>
    <n v="1583035"/>
    <n v="6.9600000977516174E-2"/>
    <s v="5"/>
    <s v="CENTRO TRABAJO 24"/>
    <s v="5711001"/>
    <n v="110200"/>
    <n v="10"/>
    <x v="0"/>
    <n v="1433718"/>
    <n v="3.9999999105930328E-2"/>
    <n v="57400"/>
    <n v="0"/>
    <n v="0"/>
    <n v="0"/>
    <n v="0"/>
    <n v="0"/>
    <n v="0"/>
    <n v="0"/>
    <n v="0"/>
    <n v="0"/>
    <s v="SI"/>
    <s v=" "/>
    <s v="                "/>
  </r>
  <r>
    <x v="1"/>
    <s v="CC"/>
    <x v="324"/>
    <x v="324"/>
    <s v="VANEGAS"/>
    <s v="PATERNINA"/>
    <s v="JAIRO"/>
    <s v="RAMON"/>
    <s v="BOLIVAR"/>
    <s v="CARTAGEN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4476794"/>
    <s v="NO"/>
    <s v="NO"/>
    <x v="1"/>
    <n v="7"/>
    <n v="1044586"/>
    <n v="0.15999999642372131"/>
    <n v="167200"/>
    <s v="Sin Riesgo"/>
    <n v="0"/>
    <n v="0"/>
    <n v="0"/>
    <n v="0"/>
    <n v="0"/>
    <n v="167200"/>
    <s v="NINGUNA"/>
    <x v="3"/>
    <n v="7"/>
    <n v="1044586"/>
    <n v="3.9999999105930328E-2"/>
    <n v="41800"/>
    <n v="0"/>
    <m/>
    <n v="0"/>
    <m/>
    <n v="0"/>
    <s v="NINGUNA"/>
    <x v="0"/>
    <n v="7"/>
    <n v="1044586"/>
    <n v="0"/>
    <s v="5"/>
    <s v="CENTRO TRABAJO 8"/>
    <s v="5711001"/>
    <n v="0"/>
    <n v="7"/>
    <x v="2"/>
    <n v="1044586"/>
    <n v="3.9999999105930328E-2"/>
    <n v="41800"/>
    <n v="0"/>
    <n v="0"/>
    <n v="0"/>
    <n v="0"/>
    <n v="0"/>
    <n v="0"/>
    <n v="0"/>
    <n v="0"/>
    <n v="0"/>
    <s v="SI"/>
    <s v=" "/>
    <s v="                "/>
  </r>
  <r>
    <x v="1"/>
    <s v="CC"/>
    <x v="324"/>
    <x v="324"/>
    <s v="VANEGAS"/>
    <s v="PATERNINA"/>
    <s v="JAIRO"/>
    <s v="RAMON"/>
    <s v="BOLIVAR"/>
    <s v="CARTAGENA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476794"/>
    <s v="NO"/>
    <s v="NO"/>
    <x v="1"/>
    <n v="23"/>
    <n v="3432209"/>
    <n v="0.15999999642372131"/>
    <n v="549200"/>
    <s v="Sin Riesgo"/>
    <n v="0"/>
    <n v="0"/>
    <n v="0"/>
    <n v="0"/>
    <n v="0"/>
    <n v="549200"/>
    <s v="NINGUNA"/>
    <x v="3"/>
    <n v="23"/>
    <n v="3432209"/>
    <n v="3.9999999105930328E-2"/>
    <n v="137300"/>
    <n v="0"/>
    <m/>
    <n v="0"/>
    <m/>
    <n v="0"/>
    <s v="NINGUNA"/>
    <x v="0"/>
    <n v="23"/>
    <n v="3432209"/>
    <n v="6.9600000977516174E-2"/>
    <s v="5"/>
    <s v="CENTRO TRABAJO 8"/>
    <s v="5711001"/>
    <n v="238900"/>
    <n v="23"/>
    <x v="2"/>
    <n v="3432209"/>
    <n v="3.9999999105930328E-2"/>
    <n v="137300"/>
    <n v="0"/>
    <n v="0"/>
    <n v="0"/>
    <n v="0"/>
    <n v="0"/>
    <n v="0"/>
    <n v="0"/>
    <n v="0"/>
    <n v="0"/>
    <s v="SI"/>
    <s v=" "/>
    <s v="                "/>
  </r>
  <r>
    <x v="1"/>
    <s v="CC"/>
    <x v="326"/>
    <x v="326"/>
    <s v="ORTIZ"/>
    <s v="RICO"/>
    <s v="JORGE"/>
    <s v="WADITH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8"/>
    <s v="NO"/>
    <s v="NO"/>
    <m/>
    <m/>
    <n v="0"/>
    <m/>
    <m/>
    <s v="NO"/>
    <n v="2665550"/>
    <s v="NO"/>
    <s v="NO"/>
    <x v="2"/>
    <n v="5"/>
    <n v="444259"/>
    <n v="0.15999999642372131"/>
    <n v="71100"/>
    <s v="Sin Riesgo"/>
    <n v="0"/>
    <n v="0"/>
    <n v="0"/>
    <n v="0"/>
    <n v="0"/>
    <n v="71100"/>
    <s v="NINGUNA"/>
    <x v="3"/>
    <n v="5"/>
    <n v="444259"/>
    <n v="3.9999999105930328E-2"/>
    <n v="17800"/>
    <n v="0"/>
    <m/>
    <n v="0"/>
    <m/>
    <n v="0"/>
    <s v="NINGUNA"/>
    <x v="0"/>
    <n v="5"/>
    <n v="444259"/>
    <n v="0"/>
    <s v="5"/>
    <s v="CENTRO TRABAJO 30"/>
    <s v="5711001"/>
    <n v="0"/>
    <n v="5"/>
    <x v="1"/>
    <n v="444259"/>
    <n v="3.9999999105930328E-2"/>
    <n v="17800"/>
    <n v="0"/>
    <n v="0"/>
    <n v="0"/>
    <n v="0"/>
    <n v="0"/>
    <n v="0"/>
    <n v="0"/>
    <n v="0"/>
    <n v="0"/>
    <s v="SI"/>
    <s v=" "/>
    <s v="                "/>
  </r>
  <r>
    <x v="1"/>
    <s v="CC"/>
    <x v="326"/>
    <x v="326"/>
    <s v="ORTIZ"/>
    <s v="RICO"/>
    <s v="JORGE"/>
    <s v="WADITH"/>
    <s v="LA_GUAJIRA"/>
    <s v="RIOHACHA"/>
    <s v="1. DEPENDIENTE"/>
    <s v="NINGUNO"/>
    <n v="163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2"/>
    <n v="25"/>
    <n v="3415673"/>
    <n v="0.15999999642372131"/>
    <n v="546600"/>
    <s v="Sin Riesgo"/>
    <n v="0"/>
    <n v="0"/>
    <n v="0"/>
    <n v="0"/>
    <n v="0"/>
    <n v="546600"/>
    <s v="NINGUNA"/>
    <x v="3"/>
    <n v="25"/>
    <n v="3415673"/>
    <n v="3.9999999105930328E-2"/>
    <n v="136700"/>
    <n v="0"/>
    <m/>
    <n v="0"/>
    <m/>
    <n v="0"/>
    <s v="NINGUNA"/>
    <x v="0"/>
    <n v="25"/>
    <n v="3415673"/>
    <n v="6.9600000977516174E-2"/>
    <s v="5"/>
    <s v="CENTRO TRABAJO 30"/>
    <s v="5711001"/>
    <n v="237800"/>
    <n v="25"/>
    <x v="1"/>
    <n v="3415673"/>
    <n v="3.9999999105930328E-2"/>
    <n v="136700"/>
    <n v="0"/>
    <n v="0"/>
    <n v="0"/>
    <n v="0"/>
    <n v="0"/>
    <n v="0"/>
    <n v="0"/>
    <n v="0"/>
    <n v="0"/>
    <s v="SI"/>
    <s v=" "/>
    <s v="                "/>
  </r>
  <r>
    <x v="1"/>
    <s v="CC"/>
    <x v="327"/>
    <x v="327"/>
    <s v="MEDRANO"/>
    <s v="FABRA"/>
    <s v="JULIO"/>
    <s v="CESAR"/>
    <s v="BOGOTA_D.E."/>
    <s v="BOGOTA"/>
    <s v="1. DEPENDIENTE"/>
    <s v="NINGUNO"/>
    <n v="123"/>
    <s v="NO"/>
    <s v="NO"/>
    <m/>
    <s v="NO"/>
    <m/>
    <s v="Todos los sistemas (ARL, AFP, CCF, EPS)"/>
    <n v="4606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5"/>
    <n v="2670517"/>
    <n v="0.15999999642372131"/>
    <n v="427300"/>
    <s v="Sin Riesgo"/>
    <n v="0"/>
    <n v="0"/>
    <n v="0"/>
    <n v="0"/>
    <n v="0"/>
    <n v="427300"/>
    <s v="NINGUNA"/>
    <x v="4"/>
    <n v="15"/>
    <n v="2670517"/>
    <n v="3.9999999105930328E-2"/>
    <n v="106900"/>
    <n v="0"/>
    <m/>
    <n v="0"/>
    <m/>
    <n v="0"/>
    <s v="NINGUNA"/>
    <x v="0"/>
    <n v="15"/>
    <n v="2670517"/>
    <n v="6.9600000977516174E-2"/>
    <s v="5"/>
    <s v="CENTRO TRABAJO 24"/>
    <s v="5711001"/>
    <n v="185900"/>
    <n v="15"/>
    <x v="0"/>
    <n v="2405378"/>
    <n v="3.9999999105930328E-2"/>
    <n v="96300"/>
    <n v="0"/>
    <n v="0"/>
    <n v="0"/>
    <n v="0"/>
    <n v="0"/>
    <n v="0"/>
    <n v="0"/>
    <n v="0"/>
    <n v="0"/>
    <s v="SI"/>
    <s v=" "/>
    <s v="                "/>
  </r>
  <r>
    <x v="1"/>
    <s v="CC"/>
    <x v="328"/>
    <x v="328"/>
    <s v="LEAL"/>
    <s v="RODRIGUEZ"/>
    <s v="GUILLERMO"/>
    <s v="LUIS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484143"/>
    <s v="NO"/>
    <s v="NO"/>
    <x v="0"/>
    <n v="30"/>
    <n v="4484143"/>
    <n v="0.15999999642372131"/>
    <n v="717500"/>
    <s v="Sin Riesgo"/>
    <n v="0"/>
    <n v="0"/>
    <n v="0"/>
    <n v="0"/>
    <n v="0"/>
    <n v="717500"/>
    <s v="NINGUNA"/>
    <x v="6"/>
    <n v="30"/>
    <n v="4484143"/>
    <n v="3.9999999105930328E-2"/>
    <n v="179400"/>
    <n v="0"/>
    <m/>
    <n v="0"/>
    <m/>
    <n v="0"/>
    <s v="NINGUNA"/>
    <x v="0"/>
    <n v="30"/>
    <n v="4484143"/>
    <n v="6.9600000977516174E-2"/>
    <s v="5"/>
    <s v="CENTRO TRABAJO 30"/>
    <s v="5711001"/>
    <n v="312100"/>
    <n v="30"/>
    <x v="1"/>
    <n v="4484143"/>
    <n v="3.9999999105930328E-2"/>
    <n v="179400"/>
    <n v="0"/>
    <n v="0"/>
    <n v="0"/>
    <n v="0"/>
    <n v="0"/>
    <n v="0"/>
    <n v="0"/>
    <n v="0"/>
    <n v="0"/>
    <s v="SI"/>
    <s v=" "/>
    <s v="                "/>
  </r>
  <r>
    <x v="1"/>
    <s v="CC"/>
    <x v="329"/>
    <x v="329"/>
    <s v="AGUILERA"/>
    <s v="ANGULO"/>
    <s v="CARLOS"/>
    <s v="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2"/>
    <n v="30"/>
    <n v="4331067"/>
    <n v="0.15999999642372131"/>
    <n v="693000"/>
    <s v="Sin Riesgo"/>
    <n v="0"/>
    <n v="0"/>
    <n v="0"/>
    <n v="0"/>
    <n v="0"/>
    <n v="693000"/>
    <s v="NINGUNA"/>
    <x v="3"/>
    <n v="30"/>
    <n v="4331067"/>
    <n v="3.9999999105930328E-2"/>
    <n v="173300"/>
    <n v="0"/>
    <m/>
    <n v="0"/>
    <m/>
    <n v="0"/>
    <s v="NINGUNA"/>
    <x v="0"/>
    <n v="30"/>
    <n v="4331067"/>
    <n v="6.9600000977516174E-2"/>
    <s v="5"/>
    <s v="CENTRO TRABAJO 24"/>
    <s v="5711001"/>
    <n v="301500"/>
    <n v="30"/>
    <x v="0"/>
    <n v="4028022"/>
    <n v="3.9999999105930328E-2"/>
    <n v="161200"/>
    <n v="0"/>
    <n v="0"/>
    <n v="0"/>
    <n v="0"/>
    <n v="0"/>
    <n v="0"/>
    <n v="0"/>
    <n v="0"/>
    <n v="0"/>
    <s v="SI"/>
    <s v=" "/>
    <s v="                "/>
  </r>
  <r>
    <x v="1"/>
    <s v="CC"/>
    <x v="330"/>
    <x v="330"/>
    <s v="CONTRERAS"/>
    <s v="HERNANDEZ"/>
    <s v="SERGIO"/>
    <s v="LUIS"/>
    <s v="BOLIVAR"/>
    <s v="CARTAGENA"/>
    <s v="1. DEPENDIENTE"/>
    <s v="NINGUNO"/>
    <n v="103"/>
    <s v="NO"/>
    <s v="NO"/>
    <m/>
    <s v="NO"/>
    <m/>
    <s v="Todos los sistemas (ARL, AFP, CCF, EPS)"/>
    <n v="46081"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0"/>
    <n v="15"/>
    <n v="1024689"/>
    <n v="0.15999999642372131"/>
    <n v="164000"/>
    <s v="Sin Riesgo"/>
    <n v="0"/>
    <n v="0"/>
    <n v="0"/>
    <n v="0"/>
    <n v="0"/>
    <n v="164000"/>
    <s v="NINGUNA"/>
    <x v="12"/>
    <n v="15"/>
    <n v="1024689"/>
    <n v="3.9999999105930328E-2"/>
    <n v="41000"/>
    <n v="0"/>
    <m/>
    <n v="0"/>
    <m/>
    <n v="0"/>
    <s v="NINGUNA"/>
    <x v="0"/>
    <n v="15"/>
    <n v="1024689"/>
    <n v="6.9600000977516174E-2"/>
    <s v="5"/>
    <s v="CENTRO TRABAJO 8"/>
    <s v="5711001"/>
    <n v="71400"/>
    <n v="15"/>
    <x v="2"/>
    <n v="1024689"/>
    <n v="3.9999999105930328E-2"/>
    <n v="41000"/>
    <n v="0"/>
    <n v="0"/>
    <n v="0"/>
    <n v="0"/>
    <n v="0"/>
    <n v="0"/>
    <n v="0"/>
    <n v="0"/>
    <n v="0"/>
    <s v="SI"/>
    <s v=" "/>
    <s v="                "/>
  </r>
  <r>
    <x v="1"/>
    <s v="CC"/>
    <x v="330"/>
    <x v="330"/>
    <s v="CONTRERAS"/>
    <s v="HERNANDEZ"/>
    <s v="SERGIO"/>
    <s v="LUIS"/>
    <s v="BOLIVAR"/>
    <s v="CARTAGENA"/>
    <s v="1. DEPENDIENTE"/>
    <s v="NINGUNO"/>
    <n v="192"/>
    <s v="NO"/>
    <s v="NO"/>
    <m/>
    <s v="NO"/>
    <m/>
    <s v="Todos los sistemas (ARL, AFP, CCF, EPS)"/>
    <n v="46081"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889179"/>
    <s v="NO"/>
    <s v="NO"/>
    <x v="0"/>
    <n v="15"/>
    <n v="1195814"/>
    <n v="0.15999999642372131"/>
    <n v="191400"/>
    <s v="Sin Riesgo"/>
    <n v="0"/>
    <n v="0"/>
    <n v="0"/>
    <n v="0"/>
    <n v="0"/>
    <n v="191400"/>
    <s v="NINGUNA"/>
    <x v="12"/>
    <n v="15"/>
    <n v="1195814"/>
    <n v="3.9999999105930328E-2"/>
    <n v="47900"/>
    <n v="0"/>
    <m/>
    <n v="0"/>
    <m/>
    <n v="0"/>
    <s v="NINGUNA"/>
    <x v="0"/>
    <n v="15"/>
    <n v="1195814"/>
    <n v="6.9600000977516174E-2"/>
    <s v="5"/>
    <s v="CENTRO TRABAJO 8"/>
    <s v="5711001"/>
    <n v="83300"/>
    <n v="15"/>
    <x v="2"/>
    <n v="1858315"/>
    <n v="3.9999999105930328E-2"/>
    <n v="74400"/>
    <n v="0"/>
    <n v="0"/>
    <n v="0"/>
    <n v="0"/>
    <n v="0"/>
    <n v="0"/>
    <n v="0"/>
    <n v="0"/>
    <n v="0"/>
    <s v="SI"/>
    <s v=" "/>
    <s v="                "/>
  </r>
  <r>
    <x v="1"/>
    <s v="CC"/>
    <x v="331"/>
    <x v="331"/>
    <s v="ORTIZ"/>
    <s v="CASSIANI"/>
    <s v="EDWIN"/>
    <s v="EDUARD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4"/>
    <n v="30"/>
    <n v="2452635"/>
    <n v="0.15999999642372131"/>
    <n v="392500"/>
    <s v="Sin Riesgo"/>
    <n v="0"/>
    <n v="0"/>
    <n v="0"/>
    <n v="0"/>
    <n v="0"/>
    <n v="392500"/>
    <s v="NINGUNA"/>
    <x v="9"/>
    <n v="30"/>
    <n v="2452635"/>
    <n v="3.9999999105930328E-2"/>
    <n v="98200"/>
    <n v="0"/>
    <m/>
    <n v="0"/>
    <m/>
    <n v="0"/>
    <s v="NINGUNA"/>
    <x v="0"/>
    <n v="30"/>
    <n v="2452635"/>
    <n v="6.9600000977516174E-2"/>
    <s v="5"/>
    <s v="CENTRO TRABAJO 30"/>
    <s v="5711001"/>
    <n v="170800"/>
    <n v="30"/>
    <x v="1"/>
    <n v="2452635"/>
    <n v="3.9999999105930328E-2"/>
    <n v="98200"/>
    <n v="0"/>
    <n v="0"/>
    <n v="0"/>
    <n v="0"/>
    <n v="0"/>
    <n v="0"/>
    <n v="0"/>
    <n v="0"/>
    <n v="0"/>
    <s v="SI"/>
    <s v=" "/>
    <s v="                "/>
  </r>
  <r>
    <x v="1"/>
    <s v="CC"/>
    <x v="333"/>
    <x v="333"/>
    <s v="LADINO"/>
    <s v="MESA"/>
    <s v="LUIS"/>
    <s v="FERNEY"/>
    <s v="BOGOTA_D.E."/>
    <s v="BOGOTA"/>
    <s v="1. DEPENDIENTE"/>
    <s v="NINGUNO"/>
    <n v="22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3162196"/>
    <n v="0.15999999642372131"/>
    <n v="506000"/>
    <s v="Sin Riesgo"/>
    <n v="0"/>
    <n v="0"/>
    <n v="0"/>
    <n v="0"/>
    <n v="0"/>
    <n v="506000"/>
    <s v="NINGUNA"/>
    <x v="10"/>
    <n v="30"/>
    <n v="3162196"/>
    <n v="3.9999999105930328E-2"/>
    <n v="126500"/>
    <n v="0"/>
    <m/>
    <n v="0"/>
    <m/>
    <n v="0"/>
    <s v="NINGUNA"/>
    <x v="0"/>
    <n v="30"/>
    <n v="3162196"/>
    <n v="6.9600000977516174E-2"/>
    <s v="5"/>
    <s v="CENTRO TRABAJO 24"/>
    <s v="5711001"/>
    <n v="220100"/>
    <n v="30"/>
    <x v="0"/>
    <n v="3162196"/>
    <n v="3.9999999105930328E-2"/>
    <n v="126500"/>
    <n v="0"/>
    <n v="0"/>
    <n v="0"/>
    <n v="0"/>
    <n v="0"/>
    <n v="0"/>
    <n v="0"/>
    <n v="0"/>
    <n v="0"/>
    <s v="SI"/>
    <s v=" "/>
    <s v="                "/>
  </r>
  <r>
    <x v="1"/>
    <s v="CC"/>
    <x v="334"/>
    <x v="334"/>
    <s v="MARTINEZ"/>
    <s v="NOY"/>
    <s v="EDGAR"/>
    <s v="OVIDI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712340"/>
    <n v="0.15999999642372131"/>
    <n v="434000"/>
    <s v="Sin Riesgo"/>
    <n v="0"/>
    <n v="0"/>
    <n v="0"/>
    <n v="0"/>
    <n v="0"/>
    <n v="434000"/>
    <s v="NINGUNA"/>
    <x v="8"/>
    <n v="30"/>
    <n v="2712340"/>
    <n v="3.9999999105930328E-2"/>
    <n v="108500"/>
    <n v="0"/>
    <m/>
    <n v="0"/>
    <m/>
    <n v="0"/>
    <s v="NINGUNA"/>
    <x v="0"/>
    <n v="30"/>
    <n v="2712340"/>
    <n v="6.9600000977516174E-2"/>
    <s v="5"/>
    <s v="CENTRO TRABAJO 24"/>
    <s v="5711001"/>
    <n v="188800"/>
    <n v="30"/>
    <x v="0"/>
    <n v="2712340"/>
    <n v="3.9999999105930328E-2"/>
    <n v="108500"/>
    <n v="0"/>
    <n v="0"/>
    <n v="0"/>
    <n v="0"/>
    <n v="0"/>
    <n v="0"/>
    <n v="0"/>
    <n v="0"/>
    <n v="0"/>
    <s v="SI"/>
    <s v=" "/>
    <s v="                "/>
  </r>
  <r>
    <x v="1"/>
    <s v="CC"/>
    <x v="335"/>
    <x v="335"/>
    <s v="LEON"/>
    <s v="MARTINEZ"/>
    <s v="CARLOS"/>
    <s v="ABEL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4711738"/>
    <s v="SI"/>
    <s v=""/>
    <x v="1"/>
    <n v="30"/>
    <n v="17298217"/>
    <n v="0.15999999642372131"/>
    <n v="2767800"/>
    <s v="Sin Riesgo"/>
    <n v="0"/>
    <n v="0"/>
    <n v="86500"/>
    <n v="86500"/>
    <n v="0"/>
    <n v="2940800"/>
    <s v="NINGUNA"/>
    <x v="2"/>
    <n v="30"/>
    <n v="17298217"/>
    <n v="0.125"/>
    <n v="2162300"/>
    <n v="0"/>
    <m/>
    <n v="0"/>
    <m/>
    <n v="0"/>
    <s v="NINGUNA"/>
    <x v="0"/>
    <n v="30"/>
    <n v="17298217"/>
    <n v="6.9600000977516174E-2"/>
    <s v="5"/>
    <s v="CENTRO TRABAJO 24"/>
    <s v="5711001"/>
    <n v="1204000"/>
    <n v="30"/>
    <x v="0"/>
    <n v="17298217"/>
    <n v="3.9999999105930328E-2"/>
    <n v="692000"/>
    <n v="17298217"/>
    <n v="1.9999999552965164E-2"/>
    <n v="346000"/>
    <n v="2.9999999329447746E-2"/>
    <n v="519000"/>
    <n v="0"/>
    <n v="0"/>
    <n v="0"/>
    <n v="0"/>
    <s v="NO"/>
    <s v=" "/>
    <s v="                "/>
  </r>
  <r>
    <x v="1"/>
    <s v="CC"/>
    <x v="336"/>
    <x v="336"/>
    <s v="TORRES"/>
    <s v="LEON"/>
    <s v="ARIOSTO"/>
    <s v=""/>
    <s v="BOGOTA_D.E."/>
    <s v="BOGOTA"/>
    <s v="1. DEPENDIENTE"/>
    <s v="NINGUNO"/>
    <n v="34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1"/>
    <n v="3"/>
    <n v="1414888"/>
    <n v="0.15999999642372131"/>
    <n v="226400"/>
    <s v="Sin Riesgo"/>
    <n v="0"/>
    <n v="0"/>
    <n v="0"/>
    <n v="0"/>
    <n v="0"/>
    <n v="226400"/>
    <s v="NINGUNA"/>
    <x v="0"/>
    <n v="3"/>
    <n v="1414888"/>
    <n v="0.125"/>
    <n v="176900"/>
    <n v="0"/>
    <m/>
    <n v="0"/>
    <m/>
    <n v="0"/>
    <s v="NINGUNA"/>
    <x v="0"/>
    <n v="3"/>
    <n v="1414888"/>
    <n v="6.9600000977516174E-2"/>
    <s v="5"/>
    <s v="CENTRO TRABAJO 24"/>
    <s v="5711001"/>
    <n v="98500"/>
    <n v="3"/>
    <x v="0"/>
    <n v="2281837"/>
    <n v="3.9999999105930328E-2"/>
    <n v="91300"/>
    <n v="2281837"/>
    <n v="1.9999999552965164E-2"/>
    <n v="45700"/>
    <n v="2.9999999329447746E-2"/>
    <n v="68500"/>
    <n v="0"/>
    <n v="0"/>
    <n v="0"/>
    <n v="0"/>
    <s v="NO"/>
    <s v=" "/>
    <s v="                "/>
  </r>
  <r>
    <x v="1"/>
    <s v="CC"/>
    <x v="337"/>
    <x v="337"/>
    <s v="GARZON"/>
    <s v="OSORIO"/>
    <s v="RODRIGO"/>
    <s v="ALBERT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0"/>
    <s v="NO"/>
    <s v="NO"/>
    <m/>
    <m/>
    <n v="0"/>
    <m/>
    <m/>
    <s v="NO"/>
    <n v="11650406"/>
    <s v="NO"/>
    <s v="NO"/>
    <x v="1"/>
    <n v="7"/>
    <n v="2718429"/>
    <n v="0.15999999642372131"/>
    <n v="435000"/>
    <s v="Sin Riesgo"/>
    <n v="0"/>
    <n v="0"/>
    <n v="13600"/>
    <n v="13600"/>
    <n v="0"/>
    <n v="462200"/>
    <s v="NINGUNA"/>
    <x v="2"/>
    <n v="7"/>
    <n v="2718429"/>
    <n v="3.9999999105930328E-2"/>
    <n v="108800"/>
    <n v="0"/>
    <m/>
    <n v="0"/>
    <m/>
    <n v="0"/>
    <s v="NINGUNA"/>
    <x v="0"/>
    <n v="7"/>
    <n v="2718429"/>
    <n v="0"/>
    <s v="5"/>
    <s v="CENTRO TRABAJO 24"/>
    <s v="5711001"/>
    <n v="0"/>
    <n v="7"/>
    <x v="0"/>
    <n v="2718429"/>
    <n v="3.9999999105930328E-2"/>
    <n v="108800"/>
    <n v="0"/>
    <n v="0"/>
    <n v="0"/>
    <n v="0"/>
    <n v="0"/>
    <n v="0"/>
    <n v="0"/>
    <n v="0"/>
    <n v="0"/>
    <s v="SI"/>
    <s v=" "/>
    <s v="                "/>
  </r>
  <r>
    <x v="1"/>
    <s v="CC"/>
    <x v="337"/>
    <x v="337"/>
    <s v="GARZON"/>
    <s v="OSORIO"/>
    <s v="RODRIGO"/>
    <s v="ALBERTO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11650406"/>
    <s v="NO"/>
    <s v="NO"/>
    <x v="1"/>
    <n v="23"/>
    <n v="8931978"/>
    <n v="0.15999999642372131"/>
    <n v="1429200"/>
    <s v="Sin Riesgo"/>
    <n v="0"/>
    <n v="0"/>
    <n v="44700"/>
    <n v="44700"/>
    <n v="0"/>
    <n v="1518600"/>
    <s v="NINGUNA"/>
    <x v="2"/>
    <n v="23"/>
    <n v="8931978"/>
    <n v="3.9999999105930328E-2"/>
    <n v="357300"/>
    <n v="0"/>
    <m/>
    <n v="0"/>
    <m/>
    <n v="0"/>
    <s v="NINGUNA"/>
    <x v="0"/>
    <n v="23"/>
    <n v="8931978"/>
    <n v="6.9600000977516174E-2"/>
    <s v="5"/>
    <s v="CENTRO TRABAJO 24"/>
    <s v="5711001"/>
    <n v="621700"/>
    <n v="23"/>
    <x v="0"/>
    <n v="8931978"/>
    <n v="3.9999999105930328E-2"/>
    <n v="357300"/>
    <n v="0"/>
    <n v="0"/>
    <n v="0"/>
    <n v="0"/>
    <n v="0"/>
    <n v="0"/>
    <n v="0"/>
    <n v="0"/>
    <n v="0"/>
    <s v="SI"/>
    <s v=" "/>
    <s v="                "/>
  </r>
  <r>
    <x v="1"/>
    <s v="CC"/>
    <x v="338"/>
    <x v="338"/>
    <s v="CASTRO"/>
    <s v="DIAZ"/>
    <s v="LIBARD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056650"/>
    <s v="NO"/>
    <s v="NO"/>
    <x v="4"/>
    <n v="5"/>
    <n v="342775"/>
    <n v="0.15999999642372131"/>
    <n v="54900"/>
    <s v="Sin Riesgo"/>
    <n v="0"/>
    <n v="0"/>
    <n v="0"/>
    <n v="0"/>
    <n v="0"/>
    <n v="54900"/>
    <s v="NINGUNA"/>
    <x v="0"/>
    <n v="5"/>
    <n v="342775"/>
    <n v="3.9999999105930328E-2"/>
    <n v="13800"/>
    <n v="0"/>
    <m/>
    <n v="0"/>
    <m/>
    <n v="0"/>
    <s v="NINGUNA"/>
    <x v="0"/>
    <n v="5"/>
    <n v="342775"/>
    <n v="0"/>
    <s v="5"/>
    <s v="CENTRO TRABAJO 30"/>
    <s v="5711001"/>
    <n v="0"/>
    <n v="5"/>
    <x v="1"/>
    <n v="342775"/>
    <n v="3.9999999105930328E-2"/>
    <n v="13800"/>
    <n v="0"/>
    <n v="0"/>
    <n v="0"/>
    <n v="0"/>
    <n v="0"/>
    <n v="0"/>
    <n v="0"/>
    <n v="0"/>
    <n v="0"/>
    <s v="SI"/>
    <s v=" "/>
    <s v="                "/>
  </r>
  <r>
    <x v="1"/>
    <s v="CC"/>
    <x v="338"/>
    <x v="338"/>
    <s v="CASTRO"/>
    <s v="DIAZ"/>
    <s v="LIBARDO"/>
    <s v=""/>
    <s v="LA_GUAJIRA"/>
    <s v="RIOHACHA"/>
    <s v="1. DEPENDIENTE"/>
    <s v="NINGUNO"/>
    <n v="16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4"/>
    <n v="25"/>
    <n v="2257626"/>
    <n v="0.15999999642372131"/>
    <n v="361300"/>
    <s v="Sin Riesgo"/>
    <n v="0"/>
    <n v="0"/>
    <n v="0"/>
    <n v="0"/>
    <n v="0"/>
    <n v="361300"/>
    <s v="NINGUNA"/>
    <x v="0"/>
    <n v="25"/>
    <n v="2257626"/>
    <n v="3.9999999105930328E-2"/>
    <n v="90400"/>
    <n v="0"/>
    <m/>
    <n v="0"/>
    <m/>
    <n v="0"/>
    <s v="NINGUNA"/>
    <x v="0"/>
    <n v="25"/>
    <n v="2257626"/>
    <n v="6.9600000977516174E-2"/>
    <s v="5"/>
    <s v="CENTRO TRABAJO 30"/>
    <s v="5711001"/>
    <n v="157200"/>
    <n v="25"/>
    <x v="1"/>
    <n v="2187606"/>
    <n v="3.9999999105930328E-2"/>
    <n v="87600"/>
    <n v="0"/>
    <n v="0"/>
    <n v="0"/>
    <n v="0"/>
    <n v="0"/>
    <n v="0"/>
    <n v="0"/>
    <n v="0"/>
    <n v="0"/>
    <s v="SI"/>
    <s v=" "/>
    <s v="                "/>
  </r>
  <r>
    <x v="1"/>
    <s v="CC"/>
    <x v="339"/>
    <x v="339"/>
    <s v="DOMINGUEZ"/>
    <s v="SILVA"/>
    <s v="OBIDIO"/>
    <s v="LEONEL"/>
    <s v="BOGOTA_D.E."/>
    <s v="BOGOTA"/>
    <s v="1. DEPENDIENTE"/>
    <s v="NINGUNO"/>
    <n v="45"/>
    <s v="NO"/>
    <s v="NO"/>
    <m/>
    <s v="Todos los sistemas (ARL, AFP, CCF, EPS)"/>
    <n v="46074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4"/>
    <n v="10"/>
    <n v="704394"/>
    <n v="0.15999999642372131"/>
    <n v="112800"/>
    <s v="Sin Riesgo"/>
    <n v="0"/>
    <n v="0"/>
    <n v="0"/>
    <n v="0"/>
    <n v="0"/>
    <n v="112800"/>
    <s v="NINGUNA"/>
    <x v="0"/>
    <n v="10"/>
    <n v="704394"/>
    <n v="3.9999999105930328E-2"/>
    <n v="28200"/>
    <n v="0"/>
    <m/>
    <n v="0"/>
    <m/>
    <n v="0"/>
    <s v="NINGUNA"/>
    <x v="0"/>
    <n v="10"/>
    <n v="704394"/>
    <n v="6.9600000977516174E-2"/>
    <s v="5"/>
    <s v="CENTRO TRABAJO 24"/>
    <s v="5711001"/>
    <n v="49100"/>
    <n v="10"/>
    <x v="0"/>
    <n v="704394"/>
    <n v="3.9999999105930328E-2"/>
    <n v="28200"/>
    <n v="0"/>
    <n v="0"/>
    <n v="0"/>
    <n v="0"/>
    <n v="0"/>
    <n v="0"/>
    <n v="0"/>
    <n v="0"/>
    <n v="0"/>
    <s v="SI"/>
    <s v=" "/>
    <s v="                "/>
  </r>
  <r>
    <x v="1"/>
    <s v="CC"/>
    <x v="340"/>
    <x v="340"/>
    <s v="CARVAJAL"/>
    <s v="ALVAREZ"/>
    <s v="GUSTAV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5408090"/>
    <s v="NO"/>
    <s v="NO"/>
    <x v="2"/>
    <n v="7"/>
    <n v="1261888"/>
    <n v="0.15999999642372131"/>
    <n v="202000"/>
    <s v="Sin Riesgo"/>
    <n v="0"/>
    <n v="0"/>
    <n v="0"/>
    <n v="0"/>
    <n v="0"/>
    <n v="202000"/>
    <s v="NINGUNA"/>
    <x v="0"/>
    <n v="7"/>
    <n v="1261888"/>
    <n v="3.9999999105930328E-2"/>
    <n v="50500"/>
    <n v="0"/>
    <m/>
    <n v="0"/>
    <m/>
    <n v="0"/>
    <s v="NINGUNA"/>
    <x v="0"/>
    <n v="7"/>
    <n v="1261888"/>
    <n v="0"/>
    <s v="5"/>
    <s v="CENTRO TRABAJO 30"/>
    <s v="5711001"/>
    <n v="0"/>
    <n v="7"/>
    <x v="1"/>
    <n v="1261888"/>
    <n v="3.9999999105930328E-2"/>
    <n v="50500"/>
    <n v="0"/>
    <n v="0"/>
    <n v="0"/>
    <n v="0"/>
    <n v="0"/>
    <n v="0"/>
    <n v="0"/>
    <n v="0"/>
    <n v="0"/>
    <s v="SI"/>
    <s v=" "/>
    <s v="                "/>
  </r>
  <r>
    <x v="1"/>
    <s v="CC"/>
    <x v="340"/>
    <x v="340"/>
    <s v="CARVAJAL"/>
    <s v="ALVAREZ"/>
    <s v="GUSTAVO"/>
    <s v="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5408090"/>
    <s v="NO"/>
    <s v="NO"/>
    <x v="2"/>
    <n v="23"/>
    <n v="4146203"/>
    <n v="0.15999999642372131"/>
    <n v="663400"/>
    <s v="Sin Riesgo"/>
    <n v="0"/>
    <n v="0"/>
    <n v="0"/>
    <n v="0"/>
    <n v="0"/>
    <n v="663400"/>
    <s v="NINGUNA"/>
    <x v="0"/>
    <n v="23"/>
    <n v="4146203"/>
    <n v="3.9999999105930328E-2"/>
    <n v="165900"/>
    <n v="0"/>
    <m/>
    <n v="0"/>
    <m/>
    <n v="0"/>
    <s v="NINGUNA"/>
    <x v="0"/>
    <n v="23"/>
    <n v="4146203"/>
    <n v="6.9600000977516174E-2"/>
    <s v="5"/>
    <s v="CENTRO TRABAJO 30"/>
    <s v="5711001"/>
    <n v="288600"/>
    <n v="23"/>
    <x v="1"/>
    <n v="4146203"/>
    <n v="3.9999999105930328E-2"/>
    <n v="165900"/>
    <n v="0"/>
    <n v="0"/>
    <n v="0"/>
    <n v="0"/>
    <n v="0"/>
    <n v="0"/>
    <n v="0"/>
    <n v="0"/>
    <n v="0"/>
    <s v="SI"/>
    <s v=" "/>
    <s v="                "/>
  </r>
  <r>
    <x v="1"/>
    <s v="CC"/>
    <x v="341"/>
    <x v="341"/>
    <s v="REYES"/>
    <s v="OLARTE"/>
    <s v="RAFAEL"/>
    <s v="ANTONIO"/>
    <s v="LA_GUAJIRA"/>
    <s v="RIOHACHA"/>
    <s v="1. DEPENDIENTE"/>
    <s v="NINGUNO"/>
    <n v="123"/>
    <s v="NO"/>
    <s v="NO"/>
    <m/>
    <s v="NO"/>
    <m/>
    <s v="Todos los sistemas (ARL, AFP, CCF, EPS)"/>
    <n v="46067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14"/>
    <n v="2265192"/>
    <n v="0.15999999642372131"/>
    <n v="362500"/>
    <s v="Sin Riesgo"/>
    <n v="0"/>
    <n v="0"/>
    <n v="0"/>
    <n v="0"/>
    <n v="0"/>
    <n v="362500"/>
    <s v="NINGUNA"/>
    <x v="10"/>
    <n v="14"/>
    <n v="2265192"/>
    <n v="3.9999999105930328E-2"/>
    <n v="90700"/>
    <n v="0"/>
    <m/>
    <n v="0"/>
    <m/>
    <n v="0"/>
    <s v="NINGUNA"/>
    <x v="0"/>
    <n v="14"/>
    <n v="2265192"/>
    <n v="6.9600000977516174E-2"/>
    <s v="5"/>
    <s v="CENTRO TRABAJO 30"/>
    <s v="5711001"/>
    <n v="157700"/>
    <n v="14"/>
    <x v="1"/>
    <n v="3033977"/>
    <n v="3.9999999105930328E-2"/>
    <n v="121400"/>
    <n v="0"/>
    <n v="0"/>
    <n v="0"/>
    <n v="0"/>
    <n v="0"/>
    <n v="0"/>
    <n v="0"/>
    <n v="0"/>
    <n v="0"/>
    <s v="SI"/>
    <s v=" "/>
    <s v="                "/>
  </r>
  <r>
    <x v="1"/>
    <s v="CC"/>
    <x v="342"/>
    <x v="342"/>
    <s v="ZAMUDIO"/>
    <s v="MENDOZA"/>
    <s v="CAMILO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9203890"/>
    <s v="NO"/>
    <s v="NO"/>
    <x v="2"/>
    <n v="7"/>
    <n v="2147575"/>
    <n v="0.15999999642372131"/>
    <n v="343700"/>
    <s v="Sin Riesgo"/>
    <n v="0"/>
    <n v="0"/>
    <n v="10800"/>
    <n v="10800"/>
    <n v="0"/>
    <n v="365300"/>
    <s v="NINGUNA"/>
    <x v="2"/>
    <n v="7"/>
    <n v="2147575"/>
    <n v="3.9999999105930328E-2"/>
    <n v="86000"/>
    <n v="0"/>
    <m/>
    <n v="0"/>
    <m/>
    <n v="0"/>
    <s v="NINGUNA"/>
    <x v="0"/>
    <n v="7"/>
    <n v="2147575"/>
    <n v="0"/>
    <s v="5"/>
    <s v="CENTRO TRABAJO 24"/>
    <s v="5711001"/>
    <n v="0"/>
    <n v="7"/>
    <x v="0"/>
    <n v="2147575"/>
    <n v="3.9999999105930328E-2"/>
    <n v="86000"/>
    <n v="0"/>
    <n v="0"/>
    <n v="0"/>
    <n v="0"/>
    <n v="0"/>
    <n v="0"/>
    <n v="0"/>
    <n v="0"/>
    <n v="0"/>
    <s v="SI"/>
    <s v=" "/>
    <s v="                "/>
  </r>
  <r>
    <x v="1"/>
    <s v="CC"/>
    <x v="342"/>
    <x v="342"/>
    <s v="ZAMUDIO"/>
    <s v="MENDOZA"/>
    <s v="CAMILO"/>
    <s v="ANDRES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9203890"/>
    <s v="NO"/>
    <s v="NO"/>
    <x v="2"/>
    <n v="23"/>
    <n v="7056316"/>
    <n v="0.15999999642372131"/>
    <n v="1129100"/>
    <s v="Sin Riesgo"/>
    <n v="0"/>
    <n v="0"/>
    <n v="35300"/>
    <n v="35300"/>
    <n v="0"/>
    <n v="1199700"/>
    <s v="NINGUNA"/>
    <x v="2"/>
    <n v="23"/>
    <n v="7056316"/>
    <n v="3.9999999105930328E-2"/>
    <n v="282300"/>
    <n v="0"/>
    <m/>
    <n v="0"/>
    <m/>
    <n v="0"/>
    <s v="NINGUNA"/>
    <x v="0"/>
    <n v="23"/>
    <n v="7056316"/>
    <n v="6.9600000977516174E-2"/>
    <s v="5"/>
    <s v="CENTRO TRABAJO 24"/>
    <s v="5711001"/>
    <n v="491200"/>
    <n v="23"/>
    <x v="0"/>
    <n v="7056316"/>
    <n v="3.9999999105930328E-2"/>
    <n v="282300"/>
    <n v="0"/>
    <n v="0"/>
    <n v="0"/>
    <n v="0"/>
    <n v="0"/>
    <n v="0"/>
    <n v="0"/>
    <n v="0"/>
    <n v="0"/>
    <s v="SI"/>
    <s v=" "/>
    <s v="                "/>
  </r>
  <r>
    <x v="1"/>
    <s v="CC"/>
    <x v="343"/>
    <x v="343"/>
    <s v="MIELES"/>
    <s v="HERRERA"/>
    <s v="VICTOR"/>
    <s v="ELOY"/>
    <s v="LA_GUAJIRA"/>
    <s v="RIOHACHA"/>
    <s v="1. DEPENDIENTE"/>
    <s v="NINGUNO"/>
    <n v="25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30"/>
    <n v="2545380"/>
    <n v="0.15999999642372131"/>
    <n v="407300"/>
    <s v="Sin Riesgo"/>
    <n v="0"/>
    <n v="0"/>
    <n v="0"/>
    <n v="0"/>
    <n v="0"/>
    <n v="407300"/>
    <s v="NINGUNA"/>
    <x v="0"/>
    <n v="30"/>
    <n v="2545380"/>
    <n v="3.9999999105930328E-2"/>
    <n v="101900"/>
    <n v="0"/>
    <m/>
    <n v="0"/>
    <m/>
    <n v="0"/>
    <s v="NINGUNA"/>
    <x v="0"/>
    <n v="30"/>
    <n v="2545380"/>
    <n v="6.9600000977516174E-2"/>
    <s v="5"/>
    <s v="CENTRO TRABAJO 30"/>
    <s v="5711001"/>
    <n v="177200"/>
    <n v="30"/>
    <x v="1"/>
    <n v="2545380"/>
    <n v="3.9999999105930328E-2"/>
    <n v="101900"/>
    <n v="0"/>
    <n v="0"/>
    <n v="0"/>
    <n v="0"/>
    <n v="0"/>
    <n v="0"/>
    <n v="0"/>
    <n v="0"/>
    <n v="0"/>
    <s v="SI"/>
    <s v=" "/>
    <s v="                "/>
  </r>
  <r>
    <x v="1"/>
    <s v="CC"/>
    <x v="344"/>
    <x v="344"/>
    <s v="MENDOZA"/>
    <s v="HERNANDEZ"/>
    <s v="JULIO"/>
    <s v="ALEXON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1"/>
    <n v="68555"/>
    <n v="0.15999999642372131"/>
    <n v="11000"/>
    <s v="Sin Riesgo"/>
    <n v="0"/>
    <n v="0"/>
    <n v="0"/>
    <n v="0"/>
    <n v="0"/>
    <n v="11000"/>
    <s v="NINGUNA"/>
    <x v="6"/>
    <n v="1"/>
    <n v="68555"/>
    <n v="0"/>
    <n v="0"/>
    <n v="0"/>
    <m/>
    <n v="0"/>
    <m/>
    <n v="0"/>
    <s v="NINGUNA"/>
    <x v="0"/>
    <n v="1"/>
    <n v="68555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44"/>
    <x v="344"/>
    <s v="MENDOZA"/>
    <s v="HERNANDEZ"/>
    <s v="JULIO"/>
    <s v="ALEXON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0"/>
    <n v="29"/>
    <n v="2434575"/>
    <n v="0.15999999642372131"/>
    <n v="389600"/>
    <s v="Sin Riesgo"/>
    <n v="0"/>
    <n v="0"/>
    <n v="0"/>
    <n v="0"/>
    <n v="0"/>
    <n v="389600"/>
    <s v="NINGUNA"/>
    <x v="6"/>
    <n v="29"/>
    <n v="2434575"/>
    <n v="3.9999999105930328E-2"/>
    <n v="97400"/>
    <n v="0"/>
    <m/>
    <n v="0"/>
    <m/>
    <n v="0"/>
    <s v="NINGUNA"/>
    <x v="0"/>
    <n v="29"/>
    <n v="2434575"/>
    <n v="6.9600000977516174E-2"/>
    <s v="5"/>
    <s v="CENTRO TRABAJO 30"/>
    <s v="5711001"/>
    <n v="169500"/>
    <n v="29"/>
    <x v="1"/>
    <n v="2304913"/>
    <n v="3.9999999105930328E-2"/>
    <n v="92200"/>
    <n v="0"/>
    <n v="0"/>
    <n v="0"/>
    <n v="0"/>
    <n v="0"/>
    <n v="0"/>
    <n v="0"/>
    <n v="0"/>
    <n v="0"/>
    <s v="SI"/>
    <s v=" "/>
    <s v="                "/>
  </r>
  <r>
    <x v="1"/>
    <s v="CC"/>
    <x v="345"/>
    <x v="345"/>
    <s v="MIER"/>
    <s v="BARRIOS"/>
    <s v="ANTONIO"/>
    <s v="JOSE"/>
    <s v="LA_GUAJIRA"/>
    <s v="RIOHACHA"/>
    <s v="1. DEPENDIENTE"/>
    <s v="NINGUNO"/>
    <n v="19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30"/>
    <n v="2702349"/>
    <n v="0.15999999642372131"/>
    <n v="432400"/>
    <s v="Sin Riesgo"/>
    <n v="0"/>
    <n v="0"/>
    <n v="0"/>
    <n v="0"/>
    <n v="0"/>
    <n v="432400"/>
    <s v="NINGUNA"/>
    <x v="3"/>
    <n v="30"/>
    <n v="2702349"/>
    <n v="3.9999999105930328E-2"/>
    <n v="108100"/>
    <n v="0"/>
    <m/>
    <n v="0"/>
    <m/>
    <n v="0"/>
    <s v="NINGUNA"/>
    <x v="0"/>
    <n v="30"/>
    <n v="2702349"/>
    <n v="6.9600000977516174E-2"/>
    <s v="5"/>
    <s v="CENTRO TRABAJO 30"/>
    <s v="5711001"/>
    <n v="188100"/>
    <n v="30"/>
    <x v="1"/>
    <n v="2552294"/>
    <n v="3.9999999105930328E-2"/>
    <n v="102100"/>
    <n v="0"/>
    <n v="0"/>
    <n v="0"/>
    <n v="0"/>
    <n v="0"/>
    <n v="0"/>
    <n v="0"/>
    <n v="0"/>
    <n v="0"/>
    <s v="SI"/>
    <s v=" "/>
    <s v="                "/>
  </r>
  <r>
    <x v="1"/>
    <s v="CC"/>
    <x v="346"/>
    <x v="346"/>
    <s v="MENDOZA"/>
    <s v="HERNANDEZ"/>
    <s v="ADIEL"/>
    <s v="ENRIQUE"/>
    <s v="BOLIVAR"/>
    <s v="CARTAGENA"/>
    <s v="1. DEPENDIENTE"/>
    <s v="NINGUNO"/>
    <n v="20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534205"/>
    <s v="NO"/>
    <s v="NO"/>
    <x v="1"/>
    <n v="30"/>
    <n v="3955901"/>
    <n v="0.15999999642372131"/>
    <n v="633000"/>
    <s v="Sin Riesgo"/>
    <n v="0"/>
    <n v="0"/>
    <n v="0"/>
    <n v="0"/>
    <n v="0"/>
    <n v="633000"/>
    <s v="NINGUNA"/>
    <x v="6"/>
    <n v="30"/>
    <n v="3955901"/>
    <n v="3.9999999105930328E-2"/>
    <n v="158300"/>
    <n v="0"/>
    <m/>
    <n v="0"/>
    <m/>
    <n v="0"/>
    <s v="NINGUNA"/>
    <x v="0"/>
    <n v="30"/>
    <n v="3955901"/>
    <n v="6.9600000977516174E-2"/>
    <s v="5"/>
    <s v="CENTRO TRABAJO 8"/>
    <s v="5711001"/>
    <n v="275400"/>
    <n v="30"/>
    <x v="2"/>
    <n v="3955901"/>
    <n v="3.9999999105930328E-2"/>
    <n v="158300"/>
    <n v="0"/>
    <n v="0"/>
    <n v="0"/>
    <n v="0"/>
    <n v="0"/>
    <n v="0"/>
    <n v="0"/>
    <n v="0"/>
    <n v="0"/>
    <s v="SI"/>
    <s v=" "/>
    <s v="                "/>
  </r>
  <r>
    <x v="1"/>
    <s v="CC"/>
    <x v="347"/>
    <x v="347"/>
    <s v="GONZALEZ"/>
    <s v="QUERUZ"/>
    <s v="CARLOS"/>
    <s v="ANDRES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1"/>
    <n v="30"/>
    <n v="2544653"/>
    <n v="0.15999999642372131"/>
    <n v="407200"/>
    <s v="Sin Riesgo"/>
    <n v="0"/>
    <n v="0"/>
    <n v="0"/>
    <n v="0"/>
    <n v="0"/>
    <n v="407200"/>
    <s v="NINGUNA"/>
    <x v="0"/>
    <n v="30"/>
    <n v="2544653"/>
    <n v="3.9999999105930328E-2"/>
    <n v="101800"/>
    <n v="0"/>
    <m/>
    <n v="0"/>
    <m/>
    <n v="0"/>
    <s v="NINGUNA"/>
    <x v="0"/>
    <n v="30"/>
    <n v="2544653"/>
    <n v="6.9600000977516174E-2"/>
    <s v="5"/>
    <s v="CENTRO TRABAJO 30"/>
    <s v="5711001"/>
    <n v="177200"/>
    <n v="30"/>
    <x v="1"/>
    <n v="2373468"/>
    <n v="3.9999999105930328E-2"/>
    <n v="95000"/>
    <n v="0"/>
    <n v="0"/>
    <n v="0"/>
    <n v="0"/>
    <n v="0"/>
    <n v="0"/>
    <n v="0"/>
    <n v="0"/>
    <n v="0"/>
    <s v="SI"/>
    <s v=" "/>
    <s v="                "/>
  </r>
  <r>
    <x v="1"/>
    <s v="CC"/>
    <x v="348"/>
    <x v="348"/>
    <s v="CAMARGO"/>
    <s v="MAESTRE"/>
    <s v="JOSE"/>
    <s v="FERNAN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7262840"/>
    <s v="NO"/>
    <s v="NO"/>
    <x v="0"/>
    <n v="30"/>
    <n v="14394928"/>
    <n v="0.15999999642372131"/>
    <n v="2303200"/>
    <s v="Sin Riesgo"/>
    <n v="0"/>
    <n v="0"/>
    <n v="72000"/>
    <n v="72000"/>
    <n v="0"/>
    <n v="2447200"/>
    <s v="NINGUNA"/>
    <x v="3"/>
    <n v="30"/>
    <n v="14394928"/>
    <n v="0.125"/>
    <n v="1799400"/>
    <n v="0"/>
    <m/>
    <n v="0"/>
    <m/>
    <n v="0"/>
    <s v="NINGUNA"/>
    <x v="0"/>
    <n v="30"/>
    <n v="14394928"/>
    <n v="5.2200001664459705E-3"/>
    <s v="1"/>
    <s v="CENTRO TRABAJO 24"/>
    <s v="1711001"/>
    <n v="75200"/>
    <n v="30"/>
    <x v="0"/>
    <n v="7262840"/>
    <n v="3.9999999105930328E-2"/>
    <n v="290600"/>
    <n v="7262840"/>
    <n v="1.9999999552965164E-2"/>
    <n v="145300"/>
    <n v="2.9999999329447746E-2"/>
    <n v="217900"/>
    <n v="0"/>
    <n v="0"/>
    <n v="0"/>
    <n v="0"/>
    <s v="NO"/>
    <s v=" "/>
    <s v="                "/>
  </r>
  <r>
    <x v="1"/>
    <s v="CC"/>
    <x v="349"/>
    <x v="349"/>
    <s v="CORZO"/>
    <s v="PACHECO"/>
    <s v="CARLOS"/>
    <s v="GUSTAV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1"/>
    <n v="59520"/>
    <n v="0.15999999642372131"/>
    <n v="9600"/>
    <s v="Sin Riesgo"/>
    <n v="0"/>
    <n v="0"/>
    <n v="0"/>
    <n v="0"/>
    <n v="0"/>
    <n v="9600"/>
    <s v="NINGUNA"/>
    <x v="3"/>
    <n v="1"/>
    <n v="59520"/>
    <n v="0"/>
    <n v="0"/>
    <n v="0"/>
    <m/>
    <n v="0"/>
    <m/>
    <n v="0"/>
    <s v="NINGUNA"/>
    <x v="0"/>
    <n v="1"/>
    <n v="59520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49"/>
    <x v="349"/>
    <s v="CORZO"/>
    <s v="PACHECO"/>
    <s v="CARLOS"/>
    <s v="GUSTAV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69"/>
    <s v="NO"/>
    <s v="NO"/>
    <m/>
    <m/>
    <n v="0"/>
    <m/>
    <m/>
    <s v="NO"/>
    <n v="1785595"/>
    <s v="NO"/>
    <s v="NO"/>
    <x v="2"/>
    <n v="1"/>
    <n v="59520"/>
    <n v="0.15999999642372131"/>
    <n v="9600"/>
    <s v="Sin Riesgo"/>
    <n v="0"/>
    <n v="0"/>
    <n v="0"/>
    <n v="0"/>
    <n v="0"/>
    <n v="9600"/>
    <s v="NINGUNA"/>
    <x v="3"/>
    <n v="1"/>
    <n v="59520"/>
    <n v="3.9999999105930328E-2"/>
    <n v="2400"/>
    <n v="0"/>
    <m/>
    <n v="0"/>
    <m/>
    <n v="0"/>
    <s v="NINGUNA"/>
    <x v="0"/>
    <n v="1"/>
    <n v="59520"/>
    <n v="0"/>
    <s v="5"/>
    <s v="CENTRO TRABAJO 30"/>
    <s v="5711001"/>
    <n v="0"/>
    <n v="1"/>
    <x v="1"/>
    <n v="59520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349"/>
    <x v="349"/>
    <s v="CORZO"/>
    <s v="PACHECO"/>
    <s v="CARLOS"/>
    <s v="GUSTAVO"/>
    <s v="LA_GUAJIRA"/>
    <s v="RIOHACHA"/>
    <s v="1. DEPENDIENTE"/>
    <s v="NINGUNO"/>
    <n v="19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2"/>
    <n v="28"/>
    <n v="1935613"/>
    <n v="0.15999999642372131"/>
    <n v="309700"/>
    <s v="Sin Riesgo"/>
    <n v="0"/>
    <n v="0"/>
    <n v="0"/>
    <n v="0"/>
    <n v="0"/>
    <n v="309700"/>
    <s v="NINGUNA"/>
    <x v="3"/>
    <n v="28"/>
    <n v="1935613"/>
    <n v="3.9999999105930328E-2"/>
    <n v="77500"/>
    <n v="0"/>
    <m/>
    <n v="0"/>
    <m/>
    <n v="0"/>
    <s v="NINGUNA"/>
    <x v="0"/>
    <n v="28"/>
    <n v="1935613"/>
    <n v="6.9600000977516174E-2"/>
    <s v="5"/>
    <s v="CENTRO TRABAJO 30"/>
    <s v="5711001"/>
    <n v="134800"/>
    <n v="28"/>
    <x v="1"/>
    <n v="1935613"/>
    <n v="3.9999999105930328E-2"/>
    <n v="77500"/>
    <n v="0"/>
    <n v="0"/>
    <n v="0"/>
    <n v="0"/>
    <n v="0"/>
    <n v="0"/>
    <n v="0"/>
    <n v="0"/>
    <n v="0"/>
    <s v="SI"/>
    <s v=" "/>
    <s v="                "/>
  </r>
  <r>
    <x v="1"/>
    <s v="CC"/>
    <x v="350"/>
    <x v="350"/>
    <s v="LOBO"/>
    <s v="BARRIOS"/>
    <s v="SAUL"/>
    <s v="ANTONIO"/>
    <s v="BOGOTA_D.E."/>
    <s v="BOGOTA"/>
    <s v="1. DEPENDIENTE"/>
    <s v="NINGUNO"/>
    <n v="21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3060826"/>
    <n v="0.15999999642372131"/>
    <n v="489800"/>
    <s v="Sin Riesgo"/>
    <n v="0"/>
    <n v="0"/>
    <n v="0"/>
    <n v="0"/>
    <n v="0"/>
    <n v="489800"/>
    <s v="NINGUNA"/>
    <x v="6"/>
    <n v="30"/>
    <n v="3060826"/>
    <n v="3.9999999105930328E-2"/>
    <n v="122500"/>
    <n v="0"/>
    <m/>
    <n v="0"/>
    <m/>
    <n v="0"/>
    <s v="NINGUNA"/>
    <x v="0"/>
    <n v="30"/>
    <n v="3060826"/>
    <n v="6.9600000977516174E-2"/>
    <s v="5"/>
    <s v="CENTRO TRABAJO 24"/>
    <s v="5711001"/>
    <n v="213100"/>
    <n v="30"/>
    <x v="0"/>
    <n v="2976528"/>
    <n v="3.9999999105930328E-2"/>
    <n v="119100"/>
    <n v="0"/>
    <n v="0"/>
    <n v="0"/>
    <n v="0"/>
    <n v="0"/>
    <n v="0"/>
    <n v="0"/>
    <n v="0"/>
    <n v="0"/>
    <s v="SI"/>
    <s v=" "/>
    <s v="                "/>
  </r>
  <r>
    <x v="1"/>
    <s v="CC"/>
    <x v="351"/>
    <x v="351"/>
    <s v="DUERO"/>
    <s v="LOSADA"/>
    <s v="JAIRO"/>
    <s v="ENRIQUE"/>
    <s v="BOGOTA_D.E."/>
    <s v="BOGOTA"/>
    <s v="1. DEPENDIENTE"/>
    <s v="NINGUNO"/>
    <n v="69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1"/>
    <n v="7"/>
    <n v="1886552"/>
    <n v="0.15999999642372131"/>
    <n v="301900"/>
    <s v="Sin Riesgo"/>
    <n v="0"/>
    <n v="0"/>
    <n v="0"/>
    <n v="0"/>
    <n v="0"/>
    <n v="301900"/>
    <s v="NINGUNA"/>
    <x v="9"/>
    <n v="7"/>
    <n v="1886552"/>
    <n v="3.9999999105930328E-2"/>
    <n v="75500"/>
    <n v="0"/>
    <m/>
    <n v="0"/>
    <m/>
    <n v="0"/>
    <s v="NINGUNA"/>
    <x v="0"/>
    <n v="7"/>
    <n v="1886552"/>
    <n v="6.9600000977516174E-2"/>
    <s v="5"/>
    <s v="CENTRO TRABAJO 24"/>
    <s v="5711001"/>
    <n v="131400"/>
    <n v="7"/>
    <x v="0"/>
    <n v="2353890"/>
    <n v="3.9999999105930328E-2"/>
    <n v="94200"/>
    <n v="0"/>
    <n v="0"/>
    <n v="0"/>
    <n v="0"/>
    <n v="0"/>
    <n v="0"/>
    <n v="0"/>
    <n v="0"/>
    <n v="0"/>
    <s v="SI"/>
    <s v=" "/>
    <s v="                "/>
  </r>
  <r>
    <x v="1"/>
    <s v="CC"/>
    <x v="352"/>
    <x v="352"/>
    <s v="CARMONA"/>
    <s v="ARENAS"/>
    <s v="ORLANDO"/>
    <s v="DE JESUS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1"/>
    <n v="30"/>
    <n v="3076166"/>
    <n v="0.15999999642372131"/>
    <n v="492200"/>
    <s v="Sin Riesgo"/>
    <n v="0"/>
    <n v="0"/>
    <n v="0"/>
    <n v="0"/>
    <n v="0"/>
    <n v="492200"/>
    <s v="NINGUNA"/>
    <x v="2"/>
    <n v="30"/>
    <n v="3076166"/>
    <n v="3.9999999105930328E-2"/>
    <n v="123100"/>
    <n v="0"/>
    <m/>
    <n v="0"/>
    <m/>
    <n v="0"/>
    <s v="NINGUNA"/>
    <x v="0"/>
    <n v="30"/>
    <n v="3076166"/>
    <n v="6.9600000977516174E-2"/>
    <s v="5"/>
    <s v="CENTRO TRABAJO 30"/>
    <s v="5711001"/>
    <n v="214200"/>
    <n v="30"/>
    <x v="1"/>
    <n v="3076166"/>
    <n v="3.9999999105930328E-2"/>
    <n v="123100"/>
    <n v="0"/>
    <n v="0"/>
    <n v="0"/>
    <n v="0"/>
    <n v="0"/>
    <n v="0"/>
    <n v="0"/>
    <n v="0"/>
    <n v="0"/>
    <s v="SI"/>
    <s v=" "/>
    <s v="                "/>
  </r>
  <r>
    <x v="1"/>
    <s v="PT"/>
    <x v="353"/>
    <x v="353"/>
    <s v="VERGARA"/>
    <s v="ARCIA"/>
    <s v="CARLOS"/>
    <s v="ALBERTO"/>
    <s v="BOGOTA_D.E."/>
    <s v="BOGOTA"/>
    <s v="1. DEPENDIENTE"/>
    <s v="NINGUNO"/>
    <n v="33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1"/>
    <n v="3"/>
    <n v="996180"/>
    <n v="0.15999999642372131"/>
    <n v="159400"/>
    <s v="Sin Riesgo"/>
    <n v="0"/>
    <n v="0"/>
    <n v="0"/>
    <n v="0"/>
    <n v="0"/>
    <n v="159400"/>
    <s v="NINGUNA"/>
    <x v="2"/>
    <n v="3"/>
    <n v="996180"/>
    <n v="0.125"/>
    <n v="124600"/>
    <n v="0"/>
    <m/>
    <n v="0"/>
    <m/>
    <n v="0"/>
    <s v="NINGUNA"/>
    <x v="0"/>
    <n v="3"/>
    <n v="996180"/>
    <n v="6.9600000977516174E-2"/>
    <s v="5"/>
    <s v="CENTRO TRABAJO 24"/>
    <s v="5711001"/>
    <n v="69400"/>
    <n v="3"/>
    <x v="0"/>
    <n v="1807808"/>
    <n v="3.9999999105930328E-2"/>
    <n v="72400"/>
    <n v="1807808"/>
    <n v="1.9999999552965164E-2"/>
    <n v="36200"/>
    <n v="2.9999999329447746E-2"/>
    <n v="54300"/>
    <n v="0"/>
    <n v="0"/>
    <n v="0"/>
    <n v="0"/>
    <s v="NO"/>
    <s v=" "/>
    <s v="                "/>
  </r>
  <r>
    <x v="1"/>
    <s v="CC"/>
    <x v="354"/>
    <x v="354"/>
    <s v="ALVAREZ"/>
    <s v="PACHECO"/>
    <s v="EDER"/>
    <s v="JULIO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1"/>
    <n v="74112"/>
    <n v="0.15999999642372131"/>
    <n v="11900"/>
    <s v="Sin Riesgo"/>
    <n v="0"/>
    <n v="0"/>
    <n v="0"/>
    <n v="0"/>
    <n v="0"/>
    <n v="11900"/>
    <s v="NINGUNA"/>
    <x v="0"/>
    <n v="1"/>
    <n v="74112"/>
    <n v="0"/>
    <n v="0"/>
    <n v="0"/>
    <m/>
    <n v="0"/>
    <m/>
    <n v="0"/>
    <s v="NINGUNA"/>
    <x v="0"/>
    <n v="1"/>
    <n v="74112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54"/>
    <x v="354"/>
    <s v="ALVAREZ"/>
    <s v="PACHECO"/>
    <s v="EDER"/>
    <s v="JULIO"/>
    <s v="LA_GUAJIRA"/>
    <s v="RIOHACHA"/>
    <s v="1. DEPENDIENTE"/>
    <s v="NINGUNO"/>
    <n v="211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9"/>
    <n v="3332691"/>
    <n v="0.15999999642372131"/>
    <n v="533300"/>
    <s v="Sin Riesgo"/>
    <n v="0"/>
    <n v="0"/>
    <n v="0"/>
    <n v="0"/>
    <n v="0"/>
    <n v="533300"/>
    <s v="NINGUNA"/>
    <x v="0"/>
    <n v="29"/>
    <n v="3332691"/>
    <n v="3.9999999105930328E-2"/>
    <n v="133400"/>
    <n v="0"/>
    <m/>
    <n v="0"/>
    <m/>
    <n v="0"/>
    <s v="NINGUNA"/>
    <x v="0"/>
    <n v="29"/>
    <n v="3332691"/>
    <n v="6.9600000977516174E-2"/>
    <s v="5"/>
    <s v="CENTRO TRABAJO 30"/>
    <s v="5711001"/>
    <n v="232000"/>
    <n v="29"/>
    <x v="1"/>
    <n v="3381750"/>
    <n v="3.9999999105930328E-2"/>
    <n v="135300"/>
    <n v="0"/>
    <n v="0"/>
    <n v="0"/>
    <n v="0"/>
    <n v="0"/>
    <n v="0"/>
    <n v="0"/>
    <n v="0"/>
    <n v="0"/>
    <s v="SI"/>
    <s v=" "/>
    <s v="                "/>
  </r>
  <r>
    <x v="1"/>
    <s v="CC"/>
    <x v="355"/>
    <x v="355"/>
    <s v="HERRERA"/>
    <s v="PEREZ"/>
    <s v="LUIS"/>
    <s v="ALFONS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3235758"/>
    <s v="NO"/>
    <s v="NO"/>
    <x v="4"/>
    <n v="1"/>
    <n v="107859"/>
    <n v="0.15999999642372131"/>
    <n v="17300"/>
    <s v="Sin Riesgo"/>
    <n v="0"/>
    <n v="0"/>
    <n v="0"/>
    <n v="0"/>
    <n v="0"/>
    <n v="17300"/>
    <s v="NINGUNA"/>
    <x v="8"/>
    <n v="1"/>
    <n v="107859"/>
    <n v="3.9999999105930328E-2"/>
    <n v="4400"/>
    <n v="0"/>
    <m/>
    <n v="0"/>
    <m/>
    <n v="0"/>
    <s v="NINGUNA"/>
    <x v="0"/>
    <n v="1"/>
    <n v="107859"/>
    <n v="0"/>
    <s v="5"/>
    <s v="CENTRO TRABAJO 24"/>
    <s v="5711001"/>
    <n v="0"/>
    <n v="1"/>
    <x v="0"/>
    <n v="107859"/>
    <n v="3.9999999105930328E-2"/>
    <n v="4400"/>
    <n v="0"/>
    <n v="0"/>
    <n v="0"/>
    <n v="0"/>
    <n v="0"/>
    <n v="0"/>
    <n v="0"/>
    <n v="0"/>
    <n v="0"/>
    <s v="SI"/>
    <s v=" "/>
    <s v="                "/>
  </r>
  <r>
    <x v="1"/>
    <s v="CC"/>
    <x v="355"/>
    <x v="355"/>
    <s v="HERRERA"/>
    <s v="PEREZ"/>
    <s v="LUIS"/>
    <s v="ALFONS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235758"/>
    <s v="NO"/>
    <s v="NO"/>
    <x v="4"/>
    <n v="29"/>
    <n v="3127900"/>
    <n v="0.15999999642372131"/>
    <n v="500500"/>
    <s v="Sin Riesgo"/>
    <n v="0"/>
    <n v="0"/>
    <n v="0"/>
    <n v="0"/>
    <n v="0"/>
    <n v="500500"/>
    <s v="NINGUNA"/>
    <x v="8"/>
    <n v="29"/>
    <n v="3127900"/>
    <n v="3.9999999105930328E-2"/>
    <n v="125200"/>
    <n v="0"/>
    <m/>
    <n v="0"/>
    <m/>
    <n v="0"/>
    <s v="NINGUNA"/>
    <x v="0"/>
    <n v="29"/>
    <n v="3127900"/>
    <n v="6.9600000977516174E-2"/>
    <s v="5"/>
    <s v="CENTRO TRABAJO 24"/>
    <s v="5711001"/>
    <n v="217800"/>
    <n v="29"/>
    <x v="0"/>
    <n v="3127900"/>
    <n v="3.9999999105930328E-2"/>
    <n v="125200"/>
    <n v="0"/>
    <n v="0"/>
    <n v="0"/>
    <n v="0"/>
    <n v="0"/>
    <n v="0"/>
    <n v="0"/>
    <n v="0"/>
    <n v="0"/>
    <s v="SI"/>
    <s v=" "/>
    <s v="                "/>
  </r>
  <r>
    <x v="1"/>
    <s v="CC"/>
    <x v="356"/>
    <x v="356"/>
    <s v="MESTIZO"/>
    <s v="TORRES"/>
    <s v="ANTHONI"/>
    <s v=""/>
    <s v="BOGOTA_D.E."/>
    <s v="BOGOTA"/>
    <s v="1. DEPENDIENTE"/>
    <s v="1. DEPENDIENTE PENSIONADO ACTIVO"/>
    <n v="222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469610"/>
    <s v="NO"/>
    <s v="NO"/>
    <x v="6"/>
    <n v="0"/>
    <n v="0"/>
    <n v="0"/>
    <n v="0"/>
    <s v="Sin Riesgo"/>
    <n v="0"/>
    <n v="0"/>
    <n v="0"/>
    <n v="0"/>
    <n v="0"/>
    <n v="0"/>
    <s v="NINGUNA"/>
    <x v="10"/>
    <n v="30"/>
    <n v="3543891"/>
    <n v="3.9999999105930328E-2"/>
    <n v="141800"/>
    <n v="0"/>
    <m/>
    <n v="0"/>
    <m/>
    <n v="0"/>
    <s v="NINGUNA"/>
    <x v="0"/>
    <n v="30"/>
    <n v="3543891"/>
    <n v="6.9600000977516174E-2"/>
    <s v="5"/>
    <s v="CENTRO TRABAJO 24"/>
    <s v="5711001"/>
    <n v="246700"/>
    <n v="30"/>
    <x v="0"/>
    <n v="3543891"/>
    <n v="3.9999999105930328E-2"/>
    <n v="141800"/>
    <n v="0"/>
    <n v="0"/>
    <n v="0"/>
    <n v="0"/>
    <n v="0"/>
    <n v="0"/>
    <n v="0"/>
    <n v="0"/>
    <n v="0"/>
    <s v="SI"/>
    <s v=" "/>
    <s v="                "/>
  </r>
  <r>
    <x v="1"/>
    <s v="CC"/>
    <x v="357"/>
    <x v="357"/>
    <s v="RINCON"/>
    <s v="GUERRERO"/>
    <s v="HECTOR"/>
    <s v="JAIME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1"/>
    <n v="30"/>
    <n v="6384779"/>
    <n v="0.15999999642372131"/>
    <n v="1021600"/>
    <s v="Sin Riesgo"/>
    <n v="0"/>
    <n v="0"/>
    <n v="0"/>
    <n v="0"/>
    <n v="0"/>
    <n v="1021600"/>
    <s v="NINGUNA"/>
    <x v="8"/>
    <n v="30"/>
    <n v="6384779"/>
    <n v="3.9999999105930328E-2"/>
    <n v="255400"/>
    <n v="0"/>
    <m/>
    <n v="0"/>
    <m/>
    <n v="0"/>
    <s v="NINGUNA"/>
    <x v="0"/>
    <n v="30"/>
    <n v="6384779"/>
    <n v="6.9600000977516174E-2"/>
    <s v="5"/>
    <s v="CENTRO TRABAJO 24"/>
    <s v="5711001"/>
    <n v="444400"/>
    <n v="30"/>
    <x v="0"/>
    <n v="6384779"/>
    <n v="3.9999999105930328E-2"/>
    <n v="255400"/>
    <n v="0"/>
    <n v="0"/>
    <n v="0"/>
    <n v="0"/>
    <n v="0"/>
    <n v="0"/>
    <n v="0"/>
    <n v="0"/>
    <n v="0"/>
    <s v="SI"/>
    <s v=" "/>
    <s v="                "/>
  </r>
  <r>
    <x v="1"/>
    <s v="CC"/>
    <x v="358"/>
    <x v="358"/>
    <s v="VELASQUEZ"/>
    <s v="TORRES"/>
    <s v="JOSE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8367173"/>
    <s v="NO"/>
    <s v="NO"/>
    <x v="1"/>
    <n v="5"/>
    <n v="1394529"/>
    <n v="0.15999999642372131"/>
    <n v="223200"/>
    <s v="Sin Riesgo"/>
    <n v="0"/>
    <n v="0"/>
    <n v="7000"/>
    <n v="7000"/>
    <n v="0"/>
    <n v="237200"/>
    <s v="NINGUNA"/>
    <x v="2"/>
    <n v="5"/>
    <n v="1394529"/>
    <n v="3.9999999105930328E-2"/>
    <n v="55800"/>
    <n v="0"/>
    <m/>
    <n v="0"/>
    <m/>
    <n v="0"/>
    <s v="NINGUNA"/>
    <x v="0"/>
    <n v="5"/>
    <n v="1394529"/>
    <n v="0"/>
    <s v="5"/>
    <s v="CENTRO TRABAJO 24"/>
    <s v="5711001"/>
    <n v="0"/>
    <n v="5"/>
    <x v="0"/>
    <n v="1394529"/>
    <n v="3.9999999105930328E-2"/>
    <n v="55800"/>
    <n v="0"/>
    <n v="0"/>
    <n v="0"/>
    <n v="0"/>
    <n v="0"/>
    <n v="0"/>
    <n v="0"/>
    <n v="0"/>
    <n v="0"/>
    <s v="SI"/>
    <s v=" "/>
    <s v="                "/>
  </r>
  <r>
    <x v="1"/>
    <s v="CC"/>
    <x v="358"/>
    <x v="358"/>
    <s v="VELASQUEZ"/>
    <s v="TORRES"/>
    <s v="JOSE"/>
    <s v="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8367173"/>
    <s v="NO"/>
    <s v="NO"/>
    <x v="1"/>
    <n v="25"/>
    <n v="6972645"/>
    <n v="0.15999999642372131"/>
    <n v="1115700"/>
    <s v="Sin Riesgo"/>
    <n v="0"/>
    <n v="0"/>
    <n v="34900"/>
    <n v="34900"/>
    <n v="0"/>
    <n v="1185500"/>
    <s v="NINGUNA"/>
    <x v="2"/>
    <n v="25"/>
    <n v="6972645"/>
    <n v="3.9999999105930328E-2"/>
    <n v="279000"/>
    <n v="0"/>
    <m/>
    <n v="0"/>
    <m/>
    <n v="0"/>
    <s v="NINGUNA"/>
    <x v="0"/>
    <n v="25"/>
    <n v="6972645"/>
    <n v="6.9600000977516174E-2"/>
    <s v="5"/>
    <s v="CENTRO TRABAJO 24"/>
    <s v="5711001"/>
    <n v="485300"/>
    <n v="25"/>
    <x v="0"/>
    <n v="6972645"/>
    <n v="3.9999999105930328E-2"/>
    <n v="279000"/>
    <n v="0"/>
    <n v="0"/>
    <n v="0"/>
    <n v="0"/>
    <n v="0"/>
    <n v="0"/>
    <n v="0"/>
    <n v="0"/>
    <n v="0"/>
    <s v="SI"/>
    <s v=" "/>
    <s v="                "/>
  </r>
  <r>
    <x v="1"/>
    <s v="CC"/>
    <x v="359"/>
    <x v="359"/>
    <s v="PAEZ"/>
    <s v="HERNANDEZ"/>
    <s v="LUIS"/>
    <s v="MARCEL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6882380"/>
    <s v="NO"/>
    <s v="NO"/>
    <x v="1"/>
    <n v="30"/>
    <n v="16882380"/>
    <n v="0.15999999642372131"/>
    <n v="2701200"/>
    <s v="Sin Riesgo"/>
    <n v="0"/>
    <n v="0"/>
    <n v="84500"/>
    <n v="84500"/>
    <n v="0"/>
    <n v="2870200"/>
    <s v="NINGUNA"/>
    <x v="2"/>
    <n v="30"/>
    <n v="16882380"/>
    <n v="0.125"/>
    <n v="2110300"/>
    <n v="0"/>
    <m/>
    <n v="0"/>
    <m/>
    <n v="0"/>
    <s v="NINGUNA"/>
    <x v="0"/>
    <n v="30"/>
    <n v="16882380"/>
    <n v="6.9600000977516174E-2"/>
    <s v="5"/>
    <s v="CENTRO TRABAJO 24"/>
    <s v="5711001"/>
    <n v="1175100"/>
    <n v="30"/>
    <x v="0"/>
    <n v="16882380"/>
    <n v="3.9999999105930328E-2"/>
    <n v="675300"/>
    <n v="16882380"/>
    <n v="1.9999999552965164E-2"/>
    <n v="337700"/>
    <n v="2.9999999329447746E-2"/>
    <n v="506500"/>
    <n v="0"/>
    <n v="0"/>
    <n v="0"/>
    <n v="0"/>
    <s v="NO"/>
    <s v=" "/>
    <s v="                "/>
  </r>
  <r>
    <x v="1"/>
    <s v="CC"/>
    <x v="360"/>
    <x v="360"/>
    <s v="ZAMUDIO"/>
    <s v="AMAYA"/>
    <s v="MAURICIO"/>
    <s v="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4711738"/>
    <s v="SI"/>
    <s v=""/>
    <x v="1"/>
    <n v="30"/>
    <n v="17298217"/>
    <n v="0.15999999642372131"/>
    <n v="2767800"/>
    <s v="Sin Riesgo"/>
    <n v="0"/>
    <n v="0"/>
    <n v="86500"/>
    <n v="86500"/>
    <n v="0"/>
    <n v="2940800"/>
    <s v="NINGUNA"/>
    <x v="2"/>
    <n v="30"/>
    <n v="17298217"/>
    <n v="0.125"/>
    <n v="2162300"/>
    <n v="0"/>
    <m/>
    <n v="0"/>
    <m/>
    <n v="0"/>
    <s v="NINGUNA"/>
    <x v="0"/>
    <n v="30"/>
    <n v="17298217"/>
    <n v="6.9600000977516174E-2"/>
    <s v="5"/>
    <s v="CENTRO TRABAJO 24"/>
    <s v="5711001"/>
    <n v="1204000"/>
    <n v="30"/>
    <x v="0"/>
    <n v="17298217"/>
    <n v="3.9999999105930328E-2"/>
    <n v="692000"/>
    <n v="17298217"/>
    <n v="1.9999999552965164E-2"/>
    <n v="346000"/>
    <n v="2.9999999329447746E-2"/>
    <n v="519000"/>
    <n v="0"/>
    <n v="0"/>
    <n v="0"/>
    <n v="0"/>
    <s v="NO"/>
    <s v=" "/>
    <s v="                "/>
  </r>
  <r>
    <x v="1"/>
    <s v="CC"/>
    <x v="361"/>
    <x v="361"/>
    <s v="MEDINA"/>
    <s v="SILVA"/>
    <s v="JOSE"/>
    <s v="WILSON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7189330"/>
    <s v="NO"/>
    <s v="NO"/>
    <x v="1"/>
    <n v="30"/>
    <n v="7189330"/>
    <n v="0.15999999642372131"/>
    <n v="1150300"/>
    <s v="Sin Riesgo"/>
    <n v="0"/>
    <n v="0"/>
    <n v="36000"/>
    <n v="36000"/>
    <n v="0"/>
    <n v="1222300"/>
    <s v="NINGUNA"/>
    <x v="3"/>
    <n v="30"/>
    <n v="7189330"/>
    <n v="3.9999999105930328E-2"/>
    <n v="287600"/>
    <n v="0"/>
    <m/>
    <n v="0"/>
    <m/>
    <n v="0"/>
    <s v="NINGUNA"/>
    <x v="0"/>
    <n v="30"/>
    <n v="7189330"/>
    <n v="6.9600000977516174E-2"/>
    <s v="5"/>
    <s v="CENTRO TRABAJO 24"/>
    <s v="5711001"/>
    <n v="500400"/>
    <n v="30"/>
    <x v="0"/>
    <n v="7189330"/>
    <n v="3.9999999105930328E-2"/>
    <n v="287600"/>
    <n v="0"/>
    <n v="0"/>
    <n v="0"/>
    <n v="0"/>
    <n v="0"/>
    <n v="0"/>
    <n v="0"/>
    <n v="0"/>
    <n v="0"/>
    <s v="SI"/>
    <s v=" "/>
    <s v="                "/>
  </r>
  <r>
    <x v="1"/>
    <s v="CC"/>
    <x v="362"/>
    <x v="362"/>
    <s v="OLAYA"/>
    <s v="LEIVA"/>
    <s v="HARMAN"/>
    <s v="YAMIR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761020"/>
    <s v="NO"/>
    <s v="NO"/>
    <x v="1"/>
    <n v="30"/>
    <n v="3761020"/>
    <n v="0.15999999642372131"/>
    <n v="601800"/>
    <s v="Sin Riesgo"/>
    <n v="0"/>
    <n v="0"/>
    <n v="0"/>
    <n v="0"/>
    <n v="0"/>
    <n v="601800"/>
    <s v="NINGUNA"/>
    <x v="3"/>
    <n v="30"/>
    <n v="3761020"/>
    <n v="3.9999999105930328E-2"/>
    <n v="150500"/>
    <n v="0"/>
    <m/>
    <n v="0"/>
    <m/>
    <n v="0"/>
    <s v="NINGUNA"/>
    <x v="0"/>
    <n v="30"/>
    <n v="3761020"/>
    <n v="6.9600000977516174E-2"/>
    <s v="5"/>
    <s v="CENTRO TRABAJO 24"/>
    <s v="5711001"/>
    <n v="261800"/>
    <n v="30"/>
    <x v="0"/>
    <n v="3761020"/>
    <n v="3.9999999105930328E-2"/>
    <n v="150500"/>
    <n v="0"/>
    <n v="0"/>
    <n v="0"/>
    <n v="0"/>
    <n v="0"/>
    <n v="0"/>
    <n v="0"/>
    <n v="0"/>
    <n v="0"/>
    <s v="SI"/>
    <s v=" "/>
    <s v="                "/>
  </r>
  <r>
    <x v="1"/>
    <s v="CC"/>
    <x v="363"/>
    <x v="363"/>
    <s v="GALEANO"/>
    <s v="RUNZA"/>
    <s v="HAROL"/>
    <s v=""/>
    <s v="BOGOTA_D.E."/>
    <s v="BOGOT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891569"/>
    <s v="NO"/>
    <s v="NO"/>
    <x v="1"/>
    <n v="30"/>
    <n v="3550059"/>
    <n v="0.15999999642372131"/>
    <n v="568100"/>
    <s v="Sin Riesgo"/>
    <n v="0"/>
    <n v="0"/>
    <n v="0"/>
    <n v="0"/>
    <n v="0"/>
    <n v="568100"/>
    <s v="NINGUNA"/>
    <x v="0"/>
    <n v="30"/>
    <n v="3550059"/>
    <n v="3.9999999105930328E-2"/>
    <n v="142100"/>
    <n v="0"/>
    <m/>
    <n v="0"/>
    <m/>
    <n v="0"/>
    <s v="NINGUNA"/>
    <x v="0"/>
    <n v="30"/>
    <n v="3550059"/>
    <n v="6.9600000977516174E-2"/>
    <s v="5"/>
    <s v="CENTRO TRABAJO 24"/>
    <s v="5711001"/>
    <n v="247100"/>
    <n v="30"/>
    <x v="0"/>
    <n v="3550059"/>
    <n v="3.9999999105930328E-2"/>
    <n v="142100"/>
    <n v="0"/>
    <n v="0"/>
    <n v="0"/>
    <n v="0"/>
    <n v="0"/>
    <n v="0"/>
    <n v="0"/>
    <n v="0"/>
    <n v="0"/>
    <s v="SI"/>
    <s v=" "/>
    <s v="                "/>
  </r>
  <r>
    <x v="1"/>
    <s v="CC"/>
    <x v="364"/>
    <x v="364"/>
    <s v="BARAJAS"/>
    <s v="LOPEZ"/>
    <s v="JOSE"/>
    <s v="DE LA CRUZ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4613967"/>
    <s v="NO"/>
    <s v="NO"/>
    <x v="2"/>
    <n v="7"/>
    <n v="1076593"/>
    <n v="0.15999999642372131"/>
    <n v="172300"/>
    <s v="Sin Riesgo"/>
    <n v="0"/>
    <n v="0"/>
    <n v="0"/>
    <n v="0"/>
    <n v="0"/>
    <n v="172300"/>
    <s v="NINGUNA"/>
    <x v="2"/>
    <n v="7"/>
    <n v="1076593"/>
    <n v="3.9999999105930328E-2"/>
    <n v="43100"/>
    <n v="0"/>
    <m/>
    <n v="0"/>
    <m/>
    <n v="0"/>
    <s v="NINGUNA"/>
    <x v="0"/>
    <n v="7"/>
    <n v="1076593"/>
    <n v="0"/>
    <s v="5"/>
    <s v="CENTRO TRABAJO 30"/>
    <s v="5711001"/>
    <n v="0"/>
    <n v="7"/>
    <x v="1"/>
    <n v="1076593"/>
    <n v="3.9999999105930328E-2"/>
    <n v="43100"/>
    <n v="0"/>
    <n v="0"/>
    <n v="0"/>
    <n v="0"/>
    <n v="0"/>
    <n v="0"/>
    <n v="0"/>
    <n v="0"/>
    <n v="0"/>
    <s v="SI"/>
    <s v=" "/>
    <s v="                "/>
  </r>
  <r>
    <x v="1"/>
    <s v="CC"/>
    <x v="364"/>
    <x v="364"/>
    <s v="BARAJAS"/>
    <s v="LOPEZ"/>
    <s v="JOSE"/>
    <s v="DE LA CRUZ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613967"/>
    <s v="NO"/>
    <s v="NO"/>
    <x v="2"/>
    <n v="23"/>
    <n v="3537375"/>
    <n v="0.15999999642372131"/>
    <n v="566000"/>
    <s v="Sin Riesgo"/>
    <n v="0"/>
    <n v="0"/>
    <n v="0"/>
    <n v="0"/>
    <n v="0"/>
    <n v="566000"/>
    <s v="NINGUNA"/>
    <x v="2"/>
    <n v="23"/>
    <n v="3537375"/>
    <n v="3.9999999105930328E-2"/>
    <n v="141500"/>
    <n v="0"/>
    <m/>
    <n v="0"/>
    <m/>
    <n v="0"/>
    <s v="NINGUNA"/>
    <x v="0"/>
    <n v="23"/>
    <n v="3537375"/>
    <n v="6.9600000977516174E-2"/>
    <s v="5"/>
    <s v="CENTRO TRABAJO 30"/>
    <s v="5711001"/>
    <n v="246300"/>
    <n v="23"/>
    <x v="1"/>
    <n v="3537375"/>
    <n v="3.9999999105930328E-2"/>
    <n v="141500"/>
    <n v="0"/>
    <n v="0"/>
    <n v="0"/>
    <n v="0"/>
    <n v="0"/>
    <n v="0"/>
    <n v="0"/>
    <n v="0"/>
    <n v="0"/>
    <s v="SI"/>
    <s v=" "/>
    <s v="                "/>
  </r>
  <r>
    <x v="1"/>
    <s v="CC"/>
    <x v="365"/>
    <x v="365"/>
    <s v="PEREZ"/>
    <s v="MARIN"/>
    <s v="ERVIN"/>
    <s v="CELEDON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4"/>
    <n v="46054"/>
    <s v="NO"/>
    <s v="NO"/>
    <m/>
    <m/>
    <n v="0"/>
    <m/>
    <m/>
    <s v="NO"/>
    <n v="8150490"/>
    <s v="NO"/>
    <s v="NO"/>
    <x v="0"/>
    <n v="1"/>
    <n v="255101"/>
    <n v="0.15999999642372131"/>
    <n v="40900"/>
    <s v="Sin Riesgo"/>
    <n v="0"/>
    <n v="0"/>
    <n v="1300"/>
    <n v="1300"/>
    <n v="0"/>
    <n v="43500"/>
    <s v="NINGUNA"/>
    <x v="2"/>
    <n v="1"/>
    <n v="255101"/>
    <n v="0.125"/>
    <n v="31900"/>
    <n v="0"/>
    <m/>
    <n v="0"/>
    <m/>
    <n v="0"/>
    <s v="NINGUNA"/>
    <x v="0"/>
    <n v="1"/>
    <n v="255101"/>
    <n v="0"/>
    <s v="1"/>
    <s v="CENTRO TRABAJO 24"/>
    <s v="1711001"/>
    <n v="0"/>
    <n v="1"/>
    <x v="0"/>
    <n v="271683"/>
    <n v="3.9999999105930328E-2"/>
    <n v="10900"/>
    <n v="271683"/>
    <n v="1.9999999552965164E-2"/>
    <n v="5500"/>
    <n v="2.9999999329447746E-2"/>
    <n v="8200"/>
    <n v="0"/>
    <n v="0"/>
    <n v="0"/>
    <n v="0"/>
    <s v="NO"/>
    <s v=" "/>
    <s v="                "/>
  </r>
  <r>
    <x v="1"/>
    <s v="CC"/>
    <x v="365"/>
    <x v="365"/>
    <s v="PEREZ"/>
    <s v="MARIN"/>
    <s v="ERVIN"/>
    <s v="CELEDON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7"/>
    <n v="46059"/>
    <s v="NO"/>
    <m/>
    <m/>
    <s v="NO"/>
    <m/>
    <m/>
    <s v="NO"/>
    <s v="NO"/>
    <m/>
    <m/>
    <n v="0"/>
    <m/>
    <m/>
    <s v="NO"/>
    <n v="8150490"/>
    <s v="NO"/>
    <s v="NO"/>
    <x v="0"/>
    <n v="3"/>
    <n v="680278"/>
    <n v="0.15999999642372131"/>
    <n v="108900"/>
    <s v="Sin Riesgo"/>
    <n v="0"/>
    <n v="0"/>
    <n v="3500"/>
    <n v="3500"/>
    <n v="0"/>
    <n v="115900"/>
    <s v="NINGUNA"/>
    <x v="2"/>
    <n v="3"/>
    <n v="680278"/>
    <n v="0.125"/>
    <n v="85100"/>
    <n v="0"/>
    <m/>
    <n v="0"/>
    <m/>
    <n v="0"/>
    <s v="NINGUNA"/>
    <x v="0"/>
    <n v="3"/>
    <n v="680278"/>
    <n v="0"/>
    <s v="1"/>
    <s v="CENTRO TRABAJO 24"/>
    <s v="1711001"/>
    <n v="0"/>
    <n v="3"/>
    <x v="0"/>
    <n v="0"/>
    <n v="0"/>
    <n v="0"/>
    <n v="0"/>
    <n v="0"/>
    <n v="0"/>
    <n v="0"/>
    <n v="0"/>
    <n v="0"/>
    <n v="0"/>
    <n v="0"/>
    <n v="0"/>
    <s v="NO"/>
    <s v=" "/>
    <s v="                "/>
  </r>
  <r>
    <x v="1"/>
    <s v="CC"/>
    <x v="365"/>
    <x v="365"/>
    <s v="PEREZ"/>
    <s v="MARIN"/>
    <s v="ERVIN"/>
    <s v="CELEDONIO"/>
    <s v="BOGOTA_D.E."/>
    <s v="BOGOTA"/>
    <s v="1. DEPENDIENTE"/>
    <s v="NINGUNO"/>
    <n v="16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8150490"/>
    <s v="NO"/>
    <s v="NO"/>
    <x v="0"/>
    <n v="26"/>
    <n v="15140255"/>
    <n v="0.15999999642372131"/>
    <n v="2422500"/>
    <s v="Sin Riesgo"/>
    <n v="0"/>
    <n v="0"/>
    <n v="75800"/>
    <n v="75800"/>
    <n v="0"/>
    <n v="2574100"/>
    <s v="NINGUNA"/>
    <x v="2"/>
    <n v="26"/>
    <n v="15140255"/>
    <n v="0.125"/>
    <n v="1892600"/>
    <n v="0"/>
    <m/>
    <n v="0"/>
    <m/>
    <n v="0"/>
    <s v="NINGUNA"/>
    <x v="0"/>
    <n v="26"/>
    <n v="15140255"/>
    <n v="5.2200001664459705E-3"/>
    <s v="1"/>
    <s v="CENTRO TRABAJO 24"/>
    <s v="1711001"/>
    <n v="79100"/>
    <n v="26"/>
    <x v="0"/>
    <n v="7063758"/>
    <n v="3.9999999105930328E-2"/>
    <n v="282600"/>
    <n v="7063758"/>
    <n v="1.9999999552965164E-2"/>
    <n v="141300"/>
    <n v="2.9999999329447746E-2"/>
    <n v="212000"/>
    <n v="0"/>
    <n v="0"/>
    <n v="0"/>
    <n v="0"/>
    <s v="NO"/>
    <s v=" "/>
    <s v="                "/>
  </r>
  <r>
    <x v="1"/>
    <s v="CC"/>
    <x v="366"/>
    <x v="366"/>
    <s v="TORRES"/>
    <s v="GARCIA"/>
    <s v="JUAN"/>
    <s v="FREDY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"/>
    <n v="74112"/>
    <n v="0.15999999642372131"/>
    <n v="11900"/>
    <s v="Sin Riesgo"/>
    <n v="0"/>
    <n v="0"/>
    <n v="0"/>
    <n v="0"/>
    <n v="0"/>
    <n v="11900"/>
    <s v="NINGUNA"/>
    <x v="3"/>
    <n v="1"/>
    <n v="74112"/>
    <n v="0"/>
    <n v="0"/>
    <n v="0"/>
    <m/>
    <n v="0"/>
    <m/>
    <n v="0"/>
    <s v="NINGUNA"/>
    <x v="0"/>
    <n v="1"/>
    <n v="74112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66"/>
    <x v="366"/>
    <s v="TORRES"/>
    <s v="GARCIA"/>
    <s v="JUAN"/>
    <s v="FREDY"/>
    <s v="BOGOTA_D.E."/>
    <s v="BOGOT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9"/>
    <n v="2719971"/>
    <n v="0.15999999642372131"/>
    <n v="435200"/>
    <s v="Sin Riesgo"/>
    <n v="0"/>
    <n v="0"/>
    <n v="0"/>
    <n v="0"/>
    <n v="0"/>
    <n v="435200"/>
    <s v="NINGUNA"/>
    <x v="3"/>
    <n v="29"/>
    <n v="2719971"/>
    <n v="3.9999999105930328E-2"/>
    <n v="108800"/>
    <n v="0"/>
    <m/>
    <n v="0"/>
    <m/>
    <n v="0"/>
    <s v="NINGUNA"/>
    <x v="0"/>
    <n v="29"/>
    <n v="2719971"/>
    <n v="6.9600000977516174E-2"/>
    <s v="5"/>
    <s v="CENTRO TRABAJO 24"/>
    <s v="5711001"/>
    <n v="189400"/>
    <n v="29"/>
    <x v="0"/>
    <n v="2719971"/>
    <n v="3.9999999105930328E-2"/>
    <n v="108800"/>
    <n v="0"/>
    <n v="0"/>
    <n v="0"/>
    <n v="0"/>
    <n v="0"/>
    <n v="0"/>
    <n v="0"/>
    <n v="0"/>
    <n v="0"/>
    <s v="SI"/>
    <s v=" "/>
    <s v="                "/>
  </r>
  <r>
    <x v="1"/>
    <s v="CC"/>
    <x v="367"/>
    <x v="367"/>
    <s v="AROCA"/>
    <s v="CONTRERAS"/>
    <s v="WILLIAM"/>
    <s v="JOSE"/>
    <s v="BOGOTA_D.E."/>
    <s v="BOGOTA"/>
    <s v="1. DEPENDIENTE"/>
    <s v="NINGUNO"/>
    <n v="45"/>
    <s v="NO"/>
    <s v="NO"/>
    <m/>
    <s v="Todos los sistemas (ARL, AFP, CCF, EPS)"/>
    <n v="46074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113182"/>
    <s v="NO"/>
    <s v="NO"/>
    <x v="0"/>
    <n v="10"/>
    <n v="704394"/>
    <n v="0.15999999642372131"/>
    <n v="112800"/>
    <s v="Sin Riesgo"/>
    <n v="0"/>
    <n v="0"/>
    <n v="0"/>
    <n v="0"/>
    <n v="0"/>
    <n v="112800"/>
    <s v="NINGUNA"/>
    <x v="8"/>
    <n v="10"/>
    <n v="704394"/>
    <n v="3.9999999105930328E-2"/>
    <n v="28200"/>
    <n v="0"/>
    <m/>
    <n v="0"/>
    <m/>
    <n v="0"/>
    <s v="NINGUNA"/>
    <x v="0"/>
    <n v="10"/>
    <n v="704394"/>
    <n v="6.9600000977516174E-2"/>
    <s v="5"/>
    <s v="CENTRO TRABAJO 24"/>
    <s v="5711001"/>
    <n v="49100"/>
    <n v="10"/>
    <x v="0"/>
    <n v="704394"/>
    <n v="3.9999999105930328E-2"/>
    <n v="28200"/>
    <n v="0"/>
    <n v="0"/>
    <n v="0"/>
    <n v="0"/>
    <n v="0"/>
    <n v="0"/>
    <n v="0"/>
    <n v="0"/>
    <n v="0"/>
    <s v="SI"/>
    <s v=" "/>
    <s v="                "/>
  </r>
  <r>
    <x v="1"/>
    <s v="CC"/>
    <x v="368"/>
    <x v="368"/>
    <s v="JIMENEZ"/>
    <s v="CARDENAS"/>
    <s v="HENRY"/>
    <s v=""/>
    <s v="BOGOTA_D.E."/>
    <s v="BOGOTA"/>
    <s v="1. DEPENDIENTE"/>
    <s v="NINGUNO"/>
    <n v="20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1"/>
    <n v="30"/>
    <n v="2099090"/>
    <n v="0.15999999642372131"/>
    <n v="335900"/>
    <s v="Sin Riesgo"/>
    <n v="0"/>
    <n v="0"/>
    <n v="0"/>
    <n v="0"/>
    <n v="0"/>
    <n v="335900"/>
    <s v="NINGUNA"/>
    <x v="2"/>
    <n v="30"/>
    <n v="2099090"/>
    <n v="3.9999999105930328E-2"/>
    <n v="84000"/>
    <n v="0"/>
    <m/>
    <n v="0"/>
    <m/>
    <n v="0"/>
    <s v="NINGUNA"/>
    <x v="0"/>
    <n v="30"/>
    <n v="2099090"/>
    <n v="6.9600000977516174E-2"/>
    <s v="5"/>
    <s v="CENTRO TRABAJO 24"/>
    <s v="5711001"/>
    <n v="146100"/>
    <n v="30"/>
    <x v="0"/>
    <n v="2099090"/>
    <n v="3.9999999105930328E-2"/>
    <n v="84000"/>
    <n v="0"/>
    <n v="0"/>
    <n v="0"/>
    <n v="0"/>
    <n v="0"/>
    <n v="0"/>
    <n v="0"/>
    <n v="0"/>
    <n v="0"/>
    <s v="SI"/>
    <s v=" "/>
    <s v="                "/>
  </r>
  <r>
    <x v="1"/>
    <s v="CC"/>
    <x v="369"/>
    <x v="369"/>
    <s v="CARDONA"/>
    <s v="GOMEZ"/>
    <s v="JAIME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9"/>
    <n v="46081"/>
    <s v="NO"/>
    <s v="NO"/>
    <m/>
    <m/>
    <n v="0"/>
    <m/>
    <m/>
    <s v="NO"/>
    <n v="4024292"/>
    <s v="NO"/>
    <s v="NO"/>
    <x v="0"/>
    <n v="3"/>
    <n v="402430"/>
    <n v="0.15999999642372131"/>
    <n v="64400"/>
    <s v="Sin Riesgo"/>
    <n v="0"/>
    <n v="0"/>
    <n v="0"/>
    <n v="0"/>
    <n v="0"/>
    <n v="64400"/>
    <s v="NINGUNA"/>
    <x v="10"/>
    <n v="3"/>
    <n v="402430"/>
    <n v="3.9999999105930328E-2"/>
    <n v="16100"/>
    <n v="0"/>
    <m/>
    <n v="0"/>
    <m/>
    <n v="0"/>
    <s v="NINGUNA"/>
    <x v="0"/>
    <n v="3"/>
    <n v="402430"/>
    <n v="0"/>
    <s v="5"/>
    <s v="CENTRO TRABAJO 24"/>
    <s v="5711001"/>
    <n v="0"/>
    <n v="3"/>
    <x v="0"/>
    <n v="402430"/>
    <n v="3.9999999105930328E-2"/>
    <n v="16100"/>
    <n v="0"/>
    <n v="0"/>
    <n v="0"/>
    <n v="0"/>
    <n v="0"/>
    <n v="0"/>
    <n v="0"/>
    <n v="0"/>
    <n v="0"/>
    <s v="SI"/>
    <s v=" "/>
    <s v="                "/>
  </r>
  <r>
    <x v="1"/>
    <s v="CC"/>
    <x v="369"/>
    <x v="369"/>
    <s v="CARDONA"/>
    <s v="GOMEZ"/>
    <s v="JAIME"/>
    <s v=""/>
    <s v="BOGOTA_D.E."/>
    <s v="BOGOTA"/>
    <s v="1. DEPENDIENTE"/>
    <s v="NINGUNO"/>
    <n v="164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0"/>
    <n v="27"/>
    <n v="3756006"/>
    <n v="0.15999999642372131"/>
    <n v="601000"/>
    <s v="Sin Riesgo"/>
    <n v="0"/>
    <n v="0"/>
    <n v="0"/>
    <n v="0"/>
    <n v="0"/>
    <n v="601000"/>
    <s v="NINGUNA"/>
    <x v="10"/>
    <n v="27"/>
    <n v="3756006"/>
    <n v="3.9999999105930328E-2"/>
    <n v="150300"/>
    <n v="0"/>
    <m/>
    <n v="0"/>
    <m/>
    <n v="0"/>
    <s v="NINGUNA"/>
    <x v="0"/>
    <n v="27"/>
    <n v="3756006"/>
    <n v="6.9600000977516174E-2"/>
    <s v="5"/>
    <s v="CENTRO TRABAJO 24"/>
    <s v="5711001"/>
    <n v="261500"/>
    <n v="27"/>
    <x v="0"/>
    <n v="4428063"/>
    <n v="3.9999999105930328E-2"/>
    <n v="177200"/>
    <n v="0"/>
    <n v="0"/>
    <n v="0"/>
    <n v="0"/>
    <n v="0"/>
    <n v="0"/>
    <n v="0"/>
    <n v="0"/>
    <n v="0"/>
    <s v="SI"/>
    <s v=" "/>
    <s v="                "/>
  </r>
  <r>
    <x v="1"/>
    <s v="CC"/>
    <x v="370"/>
    <x v="370"/>
    <s v="MUÑOZ"/>
    <s v="MOSQUERA"/>
    <s v="CAMILO"/>
    <s v="ARTUR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41554091"/>
    <s v="SI"/>
    <s v=""/>
    <x v="3"/>
    <n v="30"/>
    <n v="29087864"/>
    <n v="0.15999999642372131"/>
    <n v="4654100"/>
    <s v="Sin Riesgo"/>
    <n v="0"/>
    <n v="0"/>
    <n v="145500"/>
    <n v="203700"/>
    <n v="0"/>
    <n v="5003300"/>
    <s v="NINGUNA"/>
    <x v="1"/>
    <n v="30"/>
    <n v="29087864"/>
    <n v="0.125"/>
    <n v="3636000"/>
    <n v="0"/>
    <m/>
    <n v="0"/>
    <m/>
    <n v="0"/>
    <s v="NINGUNA"/>
    <x v="0"/>
    <n v="30"/>
    <n v="29087864"/>
    <n v="6.9600000977516174E-2"/>
    <s v="5"/>
    <s v="CENTRO TRABAJO 24"/>
    <s v="5711001"/>
    <n v="2024600"/>
    <n v="30"/>
    <x v="0"/>
    <n v="29087864"/>
    <n v="3.9999999105930328E-2"/>
    <n v="1163600"/>
    <n v="29087864"/>
    <n v="1.9999999552965164E-2"/>
    <n v="581800"/>
    <n v="2.9999999329447746E-2"/>
    <n v="872700"/>
    <n v="0"/>
    <n v="0"/>
    <n v="0"/>
    <n v="0"/>
    <s v="NO"/>
    <s v=" "/>
    <s v="                "/>
  </r>
  <r>
    <x v="1"/>
    <s v="CC"/>
    <x v="371"/>
    <x v="371"/>
    <s v="SANCHEZ"/>
    <s v="SALAMANCA"/>
    <s v="JOHN"/>
    <s v="ALEJANDR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382840"/>
    <s v="NO"/>
    <s v="NO"/>
    <x v="0"/>
    <n v="30"/>
    <n v="2382840"/>
    <n v="0.15999999642372131"/>
    <n v="381300"/>
    <s v="Sin Riesgo"/>
    <n v="0"/>
    <n v="0"/>
    <n v="0"/>
    <n v="0"/>
    <n v="0"/>
    <n v="381300"/>
    <s v="NINGUNA"/>
    <x v="9"/>
    <n v="30"/>
    <n v="2382840"/>
    <n v="3.9999999105930328E-2"/>
    <n v="95400"/>
    <n v="0"/>
    <m/>
    <n v="0"/>
    <m/>
    <n v="0"/>
    <s v="NINGUNA"/>
    <x v="0"/>
    <n v="30"/>
    <n v="2382840"/>
    <n v="5.2200001664459705E-3"/>
    <s v="1"/>
    <s v="CENTRO TRABAJO 24"/>
    <s v="1711001"/>
    <n v="12500"/>
    <n v="30"/>
    <x v="0"/>
    <n v="2382840"/>
    <n v="3.9999999105930328E-2"/>
    <n v="95400"/>
    <n v="0"/>
    <n v="0"/>
    <n v="0"/>
    <n v="0"/>
    <n v="0"/>
    <n v="0"/>
    <n v="0"/>
    <n v="0"/>
    <n v="0"/>
    <s v="SI"/>
    <s v=" "/>
    <s v="                "/>
  </r>
  <r>
    <x v="1"/>
    <s v="CC"/>
    <x v="372"/>
    <x v="372"/>
    <s v="MOYA"/>
    <s v="FUQUENE"/>
    <s v="JOSE"/>
    <s v="ANTONIO"/>
    <s v="CALDAS"/>
    <s v="MANIZALES"/>
    <s v="1. DEPENDIENTE"/>
    <s v="NINGUNO"/>
    <n v="63"/>
    <s v="NO"/>
    <s v="NO"/>
    <m/>
    <s v="Todos los sistemas (ARL, AFP, CCF, EPS)"/>
    <n v="46072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1201102"/>
    <s v="NO"/>
    <s v="NO"/>
    <x v="2"/>
    <n v="12"/>
    <n v="4480441"/>
    <n v="0.15999999642372131"/>
    <n v="716900"/>
    <s v="Sin Riesgo"/>
    <n v="0"/>
    <n v="0"/>
    <n v="0"/>
    <n v="0"/>
    <n v="0"/>
    <n v="716900"/>
    <s v="NINGUNA"/>
    <x v="9"/>
    <n v="12"/>
    <n v="4480441"/>
    <n v="3.9999999105930328E-2"/>
    <n v="179300"/>
    <n v="0"/>
    <m/>
    <n v="0"/>
    <m/>
    <n v="0"/>
    <s v="NINGUNA"/>
    <x v="0"/>
    <n v="12"/>
    <n v="4480441"/>
    <n v="6.9600000977516174E-2"/>
    <s v="5"/>
    <s v="CENTRO TRABAJO 30"/>
    <s v="5711001"/>
    <n v="311900"/>
    <n v="12"/>
    <x v="5"/>
    <n v="4480441"/>
    <n v="3.9999999105930328E-2"/>
    <n v="179300"/>
    <n v="0"/>
    <n v="0"/>
    <n v="0"/>
    <n v="0"/>
    <n v="0"/>
    <n v="0"/>
    <n v="0"/>
    <n v="0"/>
    <n v="0"/>
    <s v="SI"/>
    <s v=" "/>
    <s v="                "/>
  </r>
  <r>
    <x v="1"/>
    <s v="CC"/>
    <x v="373"/>
    <x v="373"/>
    <s v="PEÑA"/>
    <s v="RAMOS"/>
    <s v="EDGAR"/>
    <s v="FABIA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8"/>
    <n v="46059"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2"/>
    <n v="148223"/>
    <n v="0.15999999642372131"/>
    <n v="23800"/>
    <s v="Sin Riesgo"/>
    <n v="0"/>
    <n v="0"/>
    <n v="0"/>
    <n v="0"/>
    <n v="0"/>
    <n v="23800"/>
    <s v="NINGUNA"/>
    <x v="3"/>
    <n v="2"/>
    <n v="148223"/>
    <n v="0"/>
    <n v="0"/>
    <n v="0"/>
    <m/>
    <n v="0"/>
    <m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73"/>
    <x v="373"/>
    <s v="PEÑA"/>
    <s v="RAMOS"/>
    <s v="EDGAR"/>
    <s v="FABIAN"/>
    <s v="BOGOTA_D.E."/>
    <s v="BOGOTA"/>
    <s v="1. DEPENDIENTE"/>
    <s v="NINGUNO"/>
    <n v="38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4"/>
    <n v="5"/>
    <n v="761763"/>
    <n v="0.15999999642372131"/>
    <n v="121900"/>
    <s v="Sin Riesgo"/>
    <n v="0"/>
    <n v="0"/>
    <n v="0"/>
    <n v="0"/>
    <n v="0"/>
    <n v="121900"/>
    <s v="NINGUNA"/>
    <x v="3"/>
    <n v="5"/>
    <n v="761763"/>
    <n v="3.9999999105930328E-2"/>
    <n v="30500"/>
    <n v="0"/>
    <m/>
    <n v="0"/>
    <m/>
    <n v="0"/>
    <s v="NINGUNA"/>
    <x v="0"/>
    <n v="5"/>
    <n v="761763"/>
    <n v="6.9600000977516174E-2"/>
    <s v="5"/>
    <s v="CENTRO TRABAJO 24"/>
    <s v="5711001"/>
    <n v="53100"/>
    <n v="5"/>
    <x v="0"/>
    <n v="806594"/>
    <n v="3.9999999105930328E-2"/>
    <n v="32300"/>
    <n v="0"/>
    <n v="0"/>
    <n v="0"/>
    <n v="0"/>
    <n v="0"/>
    <n v="0"/>
    <n v="0"/>
    <n v="0"/>
    <n v="0"/>
    <s v="SI"/>
    <s v=" "/>
    <s v="                "/>
  </r>
  <r>
    <x v="1"/>
    <s v="CC"/>
    <x v="374"/>
    <x v="374"/>
    <s v="CORDOBA"/>
    <s v="HILARION"/>
    <s v="JOHN"/>
    <s v="JAIRO"/>
    <s v="BOGOTA_D.E."/>
    <s v="BOGOTA"/>
    <s v="1. DEPENDIENTE"/>
    <s v="NINGUNO"/>
    <n v="21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898887"/>
    <s v="NO"/>
    <s v="NO"/>
    <x v="2"/>
    <n v="30"/>
    <n v="2157827"/>
    <n v="0.15999999642372131"/>
    <n v="345300"/>
    <s v="Sin Riesgo"/>
    <n v="0"/>
    <n v="0"/>
    <n v="0"/>
    <n v="0"/>
    <n v="0"/>
    <n v="345300"/>
    <s v="NINGUNA"/>
    <x v="10"/>
    <n v="30"/>
    <n v="2157827"/>
    <n v="3.9999999105930328E-2"/>
    <n v="86400"/>
    <n v="0"/>
    <m/>
    <n v="0"/>
    <m/>
    <n v="0"/>
    <s v="NINGUNA"/>
    <x v="0"/>
    <n v="30"/>
    <n v="2157827"/>
    <n v="2.4360001087188721E-2"/>
    <s v="3"/>
    <s v="CENTRO TRABAJO 24"/>
    <s v="3711001"/>
    <n v="52600"/>
    <n v="30"/>
    <x v="0"/>
    <n v="2157827"/>
    <n v="3.9999999105930328E-2"/>
    <n v="86400"/>
    <n v="0"/>
    <n v="0"/>
    <n v="0"/>
    <n v="0"/>
    <n v="0"/>
    <n v="0"/>
    <n v="0"/>
    <n v="0"/>
    <n v="0"/>
    <s v="SI"/>
    <s v=" "/>
    <s v="                "/>
  </r>
  <r>
    <x v="1"/>
    <s v="CC"/>
    <x v="375"/>
    <x v="375"/>
    <s v="PULIDO"/>
    <s v="MORALES"/>
    <s v="GERMAN"/>
    <s v=""/>
    <s v="BOGOTA_D.E."/>
    <s v="BOGOTA"/>
    <s v="1. DEPENDIENTE"/>
    <s v="NINGUNO"/>
    <n v="22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8522"/>
    <s v="NO"/>
    <s v="NO"/>
    <x v="2"/>
    <n v="30"/>
    <n v="2663343"/>
    <n v="0.15999999642372131"/>
    <n v="426200"/>
    <s v="Sin Riesgo"/>
    <n v="0"/>
    <n v="0"/>
    <n v="0"/>
    <n v="0"/>
    <n v="0"/>
    <n v="426200"/>
    <s v="NINGUNA"/>
    <x v="10"/>
    <n v="30"/>
    <n v="2663343"/>
    <n v="3.9999999105930328E-2"/>
    <n v="106600"/>
    <n v="0"/>
    <m/>
    <n v="0"/>
    <m/>
    <n v="0"/>
    <s v="NINGUNA"/>
    <x v="0"/>
    <n v="30"/>
    <n v="2663343"/>
    <n v="2.4360001087188721E-2"/>
    <s v="3"/>
    <s v="CENTRO TRABAJO 24"/>
    <s v="3711001"/>
    <n v="64900"/>
    <n v="30"/>
    <x v="0"/>
    <n v="2663343"/>
    <n v="3.9999999105930328E-2"/>
    <n v="106600"/>
    <n v="0"/>
    <n v="0"/>
    <n v="0"/>
    <n v="0"/>
    <n v="0"/>
    <n v="0"/>
    <n v="0"/>
    <n v="0"/>
    <n v="0"/>
    <s v="SI"/>
    <s v=" "/>
    <s v="                "/>
  </r>
  <r>
    <x v="1"/>
    <s v="CC"/>
    <x v="376"/>
    <x v="376"/>
    <s v="ACUÑA"/>
    <s v="CIFUENTES"/>
    <s v="GIOVANNY"/>
    <s v="ANDRES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503370"/>
    <s v="NO"/>
    <s v="NO"/>
    <x v="4"/>
    <n v="30"/>
    <n v="3659429"/>
    <n v="0.15999999642372131"/>
    <n v="585600"/>
    <s v="Sin Riesgo"/>
    <n v="0"/>
    <n v="0"/>
    <n v="0"/>
    <n v="0"/>
    <n v="0"/>
    <n v="585600"/>
    <s v="NINGUNA"/>
    <x v="10"/>
    <n v="30"/>
    <n v="3659429"/>
    <n v="3.9999999105930328E-2"/>
    <n v="146400"/>
    <n v="0"/>
    <m/>
    <n v="0"/>
    <m/>
    <n v="0"/>
    <s v="NINGUNA"/>
    <x v="0"/>
    <n v="30"/>
    <n v="3659429"/>
    <n v="6.9600000977516174E-2"/>
    <s v="5"/>
    <s v="CENTRO TRABAJO 24"/>
    <s v="5711001"/>
    <n v="254700"/>
    <n v="30"/>
    <x v="0"/>
    <n v="3659429"/>
    <n v="3.9999999105930328E-2"/>
    <n v="146400"/>
    <n v="0"/>
    <n v="0"/>
    <n v="0"/>
    <n v="0"/>
    <n v="0"/>
    <n v="0"/>
    <n v="0"/>
    <n v="0"/>
    <n v="0"/>
    <s v="SI"/>
    <s v=" "/>
    <s v="                "/>
  </r>
  <r>
    <x v="1"/>
    <s v="CC"/>
    <x v="377"/>
    <x v="377"/>
    <s v="MIRA"/>
    <s v="VELASQUEZ"/>
    <s v="HORACIO"/>
    <s v="DE JESUS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0"/>
    <n v="30"/>
    <n v="3630035"/>
    <n v="0.15999999642372131"/>
    <n v="580900"/>
    <s v="Sin Riesgo"/>
    <n v="0"/>
    <n v="0"/>
    <n v="0"/>
    <n v="0"/>
    <n v="0"/>
    <n v="580900"/>
    <s v="NINGUNA"/>
    <x v="0"/>
    <n v="30"/>
    <n v="3630035"/>
    <n v="3.9999999105930328E-2"/>
    <n v="145300"/>
    <n v="0"/>
    <m/>
    <n v="0"/>
    <m/>
    <n v="0"/>
    <s v="NINGUNA"/>
    <x v="0"/>
    <n v="30"/>
    <n v="3630035"/>
    <n v="6.9600000977516174E-2"/>
    <s v="5"/>
    <s v="CENTRO TRABAJO 24"/>
    <s v="5711001"/>
    <n v="252700"/>
    <n v="30"/>
    <x v="0"/>
    <n v="3630035"/>
    <n v="3.9999999105930328E-2"/>
    <n v="145300"/>
    <n v="0"/>
    <n v="0"/>
    <n v="0"/>
    <n v="0"/>
    <n v="0"/>
    <n v="0"/>
    <n v="0"/>
    <n v="0"/>
    <n v="0"/>
    <s v="SI"/>
    <s v=" "/>
    <s v="                "/>
  </r>
  <r>
    <x v="1"/>
    <s v="CC"/>
    <x v="378"/>
    <x v="378"/>
    <s v="DIAZ"/>
    <s v="GALINDO"/>
    <s v="ALEJANDRO"/>
    <s v=""/>
    <s v="BOGOTA_D.E."/>
    <s v="BOGOTA"/>
    <s v="1. DEPENDIENTE"/>
    <s v="NINGUNO"/>
    <n v="217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050412"/>
    <s v="NO"/>
    <s v="NO"/>
    <x v="2"/>
    <n v="30"/>
    <n v="3561703"/>
    <n v="0.15999999642372131"/>
    <n v="569900"/>
    <s v="Sin Riesgo"/>
    <n v="0"/>
    <n v="0"/>
    <n v="0"/>
    <n v="0"/>
    <n v="0"/>
    <n v="569900"/>
    <s v="NINGUNA"/>
    <x v="8"/>
    <n v="30"/>
    <n v="3561703"/>
    <n v="3.9999999105930328E-2"/>
    <n v="142500"/>
    <n v="0"/>
    <m/>
    <n v="0"/>
    <m/>
    <n v="0"/>
    <s v="NINGUNA"/>
    <x v="0"/>
    <n v="30"/>
    <n v="3561703"/>
    <n v="6.9600000977516174E-2"/>
    <s v="5"/>
    <s v="CENTRO TRABAJO 24"/>
    <s v="5711001"/>
    <n v="247900"/>
    <n v="30"/>
    <x v="0"/>
    <n v="3561703"/>
    <n v="3.9999999105930328E-2"/>
    <n v="142500"/>
    <n v="0"/>
    <n v="0"/>
    <n v="0"/>
    <n v="0"/>
    <n v="0"/>
    <n v="0"/>
    <n v="0"/>
    <n v="0"/>
    <n v="0"/>
    <s v="SI"/>
    <s v=" "/>
    <s v="                "/>
  </r>
  <r>
    <x v="1"/>
    <s v="CC"/>
    <x v="379"/>
    <x v="379"/>
    <s v="ANGARITA"/>
    <s v="MONTANO"/>
    <s v="OMAR"/>
    <s v="ANDRES"/>
    <s v="BOGOTA_D.E."/>
    <s v="BOGOTA"/>
    <s v="1. DEPENDIENTE"/>
    <s v="NINGUNO"/>
    <n v="229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30"/>
    <n v="2967739"/>
    <n v="0.15999999642372131"/>
    <n v="474900"/>
    <s v="Sin Riesgo"/>
    <n v="0"/>
    <n v="0"/>
    <n v="0"/>
    <n v="0"/>
    <n v="0"/>
    <n v="474900"/>
    <s v="NINGUNA"/>
    <x v="0"/>
    <n v="30"/>
    <n v="2967739"/>
    <n v="3.9999999105930328E-2"/>
    <n v="118800"/>
    <n v="0"/>
    <m/>
    <n v="0"/>
    <m/>
    <n v="0"/>
    <s v="NINGUNA"/>
    <x v="0"/>
    <n v="30"/>
    <n v="2967739"/>
    <n v="6.9600000977516174E-2"/>
    <s v="5"/>
    <s v="CENTRO TRABAJO 24"/>
    <s v="5711001"/>
    <n v="206600"/>
    <n v="30"/>
    <x v="0"/>
    <n v="3484962"/>
    <n v="3.9999999105930328E-2"/>
    <n v="139400"/>
    <n v="0"/>
    <n v="0"/>
    <n v="0"/>
    <n v="0"/>
    <n v="0"/>
    <n v="0"/>
    <n v="0"/>
    <n v="0"/>
    <n v="0"/>
    <s v="SI"/>
    <s v=" "/>
    <s v="                "/>
  </r>
  <r>
    <x v="1"/>
    <s v="CC"/>
    <x v="380"/>
    <x v="380"/>
    <s v="GARCIA"/>
    <s v="MUJICA"/>
    <s v="EDY"/>
    <s v="YONATAN"/>
    <s v="BOGOTA_D.E."/>
    <s v="BOGOTA"/>
    <s v="1. DEPENDIENTE"/>
    <s v="NINGUNO"/>
    <n v="22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0"/>
    <n v="30"/>
    <n v="4129279"/>
    <n v="0.15999999642372131"/>
    <n v="660700"/>
    <s v="Sin Riesgo"/>
    <n v="0"/>
    <n v="0"/>
    <n v="0"/>
    <n v="0"/>
    <n v="0"/>
    <n v="660700"/>
    <s v="NINGUNA"/>
    <x v="0"/>
    <n v="30"/>
    <n v="4129279"/>
    <n v="3.9999999105930328E-2"/>
    <n v="165200"/>
    <n v="0"/>
    <m/>
    <n v="0"/>
    <m/>
    <n v="0"/>
    <s v="NINGUNA"/>
    <x v="0"/>
    <n v="30"/>
    <n v="4129279"/>
    <n v="6.9600000977516174E-2"/>
    <s v="5"/>
    <s v="CENTRO TRABAJO 24"/>
    <s v="5711001"/>
    <n v="287400"/>
    <n v="30"/>
    <x v="0"/>
    <n v="4129279"/>
    <n v="3.9999999105930328E-2"/>
    <n v="165200"/>
    <n v="0"/>
    <n v="0"/>
    <n v="0"/>
    <n v="0"/>
    <n v="0"/>
    <n v="0"/>
    <n v="0"/>
    <n v="0"/>
    <n v="0"/>
    <s v="SI"/>
    <s v=" "/>
    <s v="                "/>
  </r>
  <r>
    <x v="1"/>
    <s v="CC"/>
    <x v="382"/>
    <x v="382"/>
    <s v="MUÑOZ"/>
    <s v="SARMIENTO"/>
    <s v="ALVARO"/>
    <s v="JAVIER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8352209"/>
    <s v="NO"/>
    <s v="NO"/>
    <x v="4"/>
    <n v="30"/>
    <n v="16487612"/>
    <n v="0.15999999642372131"/>
    <n v="2638100"/>
    <s v="Sin Riesgo"/>
    <n v="0"/>
    <n v="0"/>
    <n v="82500"/>
    <n v="82500"/>
    <n v="0"/>
    <n v="2803100"/>
    <s v="NINGUNA"/>
    <x v="2"/>
    <n v="30"/>
    <n v="16487612"/>
    <n v="0.125"/>
    <n v="2061000"/>
    <n v="0"/>
    <m/>
    <n v="0"/>
    <m/>
    <n v="0"/>
    <s v="NINGUNA"/>
    <x v="0"/>
    <n v="30"/>
    <n v="16487612"/>
    <n v="5.2200001664459705E-3"/>
    <s v="1"/>
    <s v="CENTRO TRABAJO 24"/>
    <s v="1711001"/>
    <n v="86100"/>
    <n v="30"/>
    <x v="0"/>
    <n v="8352209"/>
    <n v="3.9999999105930328E-2"/>
    <n v="334100"/>
    <n v="8352209"/>
    <n v="1.9999999552965164E-2"/>
    <n v="167100"/>
    <n v="2.9999999329447746E-2"/>
    <n v="250600"/>
    <n v="0"/>
    <n v="0"/>
    <n v="0"/>
    <n v="0"/>
    <s v="NO"/>
    <s v=" "/>
    <s v="                "/>
  </r>
  <r>
    <x v="1"/>
    <s v="CC"/>
    <x v="383"/>
    <x v="383"/>
    <s v="CANTOR"/>
    <s v="CHIA"/>
    <s v="IVAN"/>
    <s v="GIOVANNI"/>
    <s v="BOGOTA_D.E."/>
    <s v="BOGOTA"/>
    <s v="1. DEPENDIENTE"/>
    <s v="NINGUNO"/>
    <n v="25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4"/>
    <n v="30"/>
    <n v="2771406"/>
    <n v="0.15999999642372131"/>
    <n v="443500"/>
    <s v="Sin Riesgo"/>
    <n v="0"/>
    <n v="0"/>
    <n v="0"/>
    <n v="0"/>
    <n v="0"/>
    <n v="443500"/>
    <s v="NINGUNA"/>
    <x v="8"/>
    <n v="30"/>
    <n v="2771406"/>
    <n v="3.9999999105930328E-2"/>
    <n v="110900"/>
    <n v="0"/>
    <m/>
    <n v="0"/>
    <m/>
    <n v="0"/>
    <s v="NINGUNA"/>
    <x v="0"/>
    <n v="30"/>
    <n v="2771406"/>
    <n v="6.9600000977516174E-2"/>
    <s v="5"/>
    <s v="CENTRO TRABAJO 24"/>
    <s v="5711001"/>
    <n v="192900"/>
    <n v="30"/>
    <x v="0"/>
    <n v="2771406"/>
    <n v="3.9999999105930328E-2"/>
    <n v="110900"/>
    <n v="0"/>
    <n v="0"/>
    <n v="0"/>
    <n v="0"/>
    <n v="0"/>
    <n v="0"/>
    <n v="0"/>
    <n v="0"/>
    <n v="0"/>
    <s v="SI"/>
    <s v=" "/>
    <s v="                "/>
  </r>
  <r>
    <x v="1"/>
    <s v="CC"/>
    <x v="384"/>
    <x v="384"/>
    <s v="GUTIERREZ"/>
    <s v="PIZA"/>
    <s v="JAVIER"/>
    <s v=""/>
    <s v="BOGOTA_D.E."/>
    <s v="BOGOTA"/>
    <s v="1. DEPENDIENTE"/>
    <s v="NINGUNO"/>
    <n v="72"/>
    <s v="NO"/>
    <s v="NO"/>
    <m/>
    <s v="Todos los sistemas (ARL, AFP, CCF, EPS)"/>
    <n v="46071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7262840"/>
    <s v="NO"/>
    <s v="SI"/>
    <x v="2"/>
    <n v="13"/>
    <n v="3147231"/>
    <n v="0.15999999642372131"/>
    <n v="503600"/>
    <s v="Sin Riesgo"/>
    <n v="0"/>
    <n v="0"/>
    <n v="0"/>
    <n v="0"/>
    <n v="0"/>
    <n v="503600"/>
    <s v="NINGUNA"/>
    <x v="2"/>
    <n v="13"/>
    <n v="3147231"/>
    <n v="3.9999999105930328E-2"/>
    <n v="125900"/>
    <n v="0"/>
    <m/>
    <n v="0"/>
    <m/>
    <n v="0"/>
    <s v="NINGUNA"/>
    <x v="0"/>
    <n v="13"/>
    <n v="3147231"/>
    <n v="6.9600000977516174E-2"/>
    <s v="5"/>
    <s v="CENTRO TRABAJO 24"/>
    <s v="5711001"/>
    <n v="219100"/>
    <n v="13"/>
    <x v="0"/>
    <n v="3147231"/>
    <n v="3.9999999105930328E-2"/>
    <n v="125900"/>
    <n v="0"/>
    <n v="0"/>
    <n v="0"/>
    <n v="0"/>
    <n v="0"/>
    <n v="0"/>
    <n v="0"/>
    <n v="0"/>
    <n v="0"/>
    <s v="SI"/>
    <s v=" "/>
    <s v="                "/>
  </r>
  <r>
    <x v="1"/>
    <s v="CC"/>
    <x v="385"/>
    <x v="385"/>
    <s v="RUIZ"/>
    <s v="VEGA"/>
    <s v="SERGIO"/>
    <s v="ARTUR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024292"/>
    <s v="NO"/>
    <s v="NO"/>
    <x v="1"/>
    <n v="30"/>
    <n v="4024292"/>
    <n v="0.15999999642372131"/>
    <n v="643900"/>
    <s v="Sin Riesgo"/>
    <n v="0"/>
    <n v="0"/>
    <n v="0"/>
    <n v="0"/>
    <n v="0"/>
    <n v="643900"/>
    <s v="NINGUNA"/>
    <x v="8"/>
    <n v="30"/>
    <n v="4024292"/>
    <n v="3.9999999105930328E-2"/>
    <n v="161000"/>
    <n v="0"/>
    <m/>
    <n v="0"/>
    <m/>
    <n v="0"/>
    <s v="NINGUNA"/>
    <x v="0"/>
    <n v="30"/>
    <n v="4024292"/>
    <n v="6.9600000977516174E-2"/>
    <s v="5"/>
    <s v="CENTRO TRABAJO 24"/>
    <s v="5711001"/>
    <n v="280100"/>
    <n v="30"/>
    <x v="0"/>
    <n v="4024292"/>
    <n v="3.9999999105930328E-2"/>
    <n v="161000"/>
    <n v="0"/>
    <n v="0"/>
    <n v="0"/>
    <n v="0"/>
    <n v="0"/>
    <n v="0"/>
    <n v="0"/>
    <n v="0"/>
    <n v="0"/>
    <s v="SI"/>
    <s v=" "/>
    <s v="                "/>
  </r>
  <r>
    <x v="1"/>
    <s v="CC"/>
    <x v="386"/>
    <x v="386"/>
    <s v="ESPINOSA"/>
    <s v="VERA"/>
    <s v="JORGE"/>
    <s v="ARMAN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5209465"/>
    <s v="NO"/>
    <s v="NO"/>
    <x v="0"/>
    <n v="30"/>
    <n v="5209465"/>
    <n v="0.15999999642372131"/>
    <n v="833600"/>
    <s v="Sin Riesgo"/>
    <n v="0"/>
    <n v="0"/>
    <n v="0"/>
    <n v="0"/>
    <n v="0"/>
    <n v="833600"/>
    <s v="NINGUNA"/>
    <x v="2"/>
    <n v="30"/>
    <n v="5209465"/>
    <n v="3.9999999105930328E-2"/>
    <n v="208400"/>
    <n v="0"/>
    <m/>
    <n v="0"/>
    <m/>
    <n v="0"/>
    <s v="NINGUNA"/>
    <x v="0"/>
    <n v="30"/>
    <n v="5209465"/>
    <n v="5.2200001664459705E-3"/>
    <s v="1"/>
    <s v="CENTRO TRABAJO 24"/>
    <s v="1711001"/>
    <n v="27200"/>
    <n v="30"/>
    <x v="0"/>
    <n v="5209465"/>
    <n v="3.9999999105930328E-2"/>
    <n v="208400"/>
    <n v="0"/>
    <n v="0"/>
    <n v="0"/>
    <n v="0"/>
    <n v="0"/>
    <n v="0"/>
    <n v="0"/>
    <n v="0"/>
    <n v="0"/>
    <s v="SI"/>
    <s v=" "/>
    <s v="                "/>
  </r>
  <r>
    <x v="1"/>
    <s v="CC"/>
    <x v="387"/>
    <x v="387"/>
    <s v="GUZMAN"/>
    <s v="GARAIS"/>
    <s v="GOHAMIR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NO"/>
    <n v="2223339"/>
    <s v="NO"/>
    <s v="SI"/>
    <x v="0"/>
    <n v="1"/>
    <n v="74112"/>
    <n v="0.15999999642372131"/>
    <n v="11900"/>
    <s v="Sin Riesgo"/>
    <n v="0"/>
    <n v="0"/>
    <n v="0"/>
    <n v="0"/>
    <n v="0"/>
    <n v="11900"/>
    <s v="NINGUNA"/>
    <x v="0"/>
    <n v="1"/>
    <n v="74112"/>
    <n v="3.9999999105930328E-2"/>
    <n v="3000"/>
    <n v="0"/>
    <m/>
    <n v="0"/>
    <m/>
    <n v="0"/>
    <s v="NINGUNA"/>
    <x v="0"/>
    <n v="1"/>
    <n v="74112"/>
    <n v="0"/>
    <s v="5"/>
    <s v="CENTRO TRABAJO 30"/>
    <s v="5711001"/>
    <n v="0"/>
    <n v="1"/>
    <x v="1"/>
    <n v="74112"/>
    <n v="3.9999999105930328E-2"/>
    <n v="3000"/>
    <n v="0"/>
    <n v="0"/>
    <n v="0"/>
    <n v="0"/>
    <n v="0"/>
    <n v="0"/>
    <n v="0"/>
    <n v="0"/>
    <n v="0"/>
    <s v="SI"/>
    <s v=" "/>
    <s v="                "/>
  </r>
  <r>
    <x v="1"/>
    <s v="CC"/>
    <x v="387"/>
    <x v="387"/>
    <s v="GUZMAN"/>
    <s v="GARAIS"/>
    <s v="GOHAMIR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6"/>
    <n v="46056"/>
    <s v="NO"/>
    <m/>
    <m/>
    <s v="NO"/>
    <m/>
    <m/>
    <s v="NO"/>
    <s v="NO"/>
    <m/>
    <m/>
    <n v="0"/>
    <m/>
    <m/>
    <s v="NO"/>
    <n v="2223339"/>
    <s v="NO"/>
    <s v="SI"/>
    <x v="0"/>
    <n v="1"/>
    <n v="87005"/>
    <n v="0.15999999642372131"/>
    <n v="14000"/>
    <s v="Sin Riesgo"/>
    <n v="0"/>
    <n v="0"/>
    <n v="0"/>
    <n v="0"/>
    <n v="0"/>
    <n v="14000"/>
    <s v="NINGUNA"/>
    <x v="0"/>
    <n v="1"/>
    <n v="87005"/>
    <n v="3.9999999105930328E-2"/>
    <n v="3500"/>
    <n v="0"/>
    <m/>
    <n v="0"/>
    <m/>
    <n v="0"/>
    <s v="NINGUNA"/>
    <x v="0"/>
    <n v="1"/>
    <n v="87005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87"/>
    <x v="387"/>
    <s v="GUZMAN"/>
    <s v="GARAIS"/>
    <s v="GOHAMIR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69"/>
    <s v="NO"/>
    <m/>
    <m/>
    <s v="NO"/>
    <m/>
    <m/>
    <s v="NO"/>
    <m/>
    <m/>
    <s v="NO"/>
    <s v="NO"/>
    <m/>
    <m/>
    <n v="0"/>
    <m/>
    <m/>
    <s v="NO"/>
    <n v="2223339"/>
    <s v="NO"/>
    <s v="SI"/>
    <x v="0"/>
    <n v="1"/>
    <n v="74112"/>
    <n v="0.15999999642372131"/>
    <n v="11900"/>
    <s v="Sin Riesgo"/>
    <n v="0"/>
    <n v="0"/>
    <n v="0"/>
    <n v="0"/>
    <n v="0"/>
    <n v="11900"/>
    <s v="NINGUNA"/>
    <x v="0"/>
    <n v="1"/>
    <n v="74112"/>
    <n v="0"/>
    <n v="0"/>
    <n v="0"/>
    <m/>
    <n v="0"/>
    <m/>
    <n v="0"/>
    <s v="NINGUNA"/>
    <x v="0"/>
    <n v="1"/>
    <n v="74112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87"/>
    <x v="387"/>
    <s v="GUZMAN"/>
    <s v="GARAIS"/>
    <s v="GOHAMIR"/>
    <s v="DAVID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76"/>
    <n v="46080"/>
    <s v="NO"/>
    <s v="NO"/>
    <m/>
    <m/>
    <n v="0"/>
    <m/>
    <m/>
    <s v="NO"/>
    <n v="2223339"/>
    <s v="NO"/>
    <s v="SI"/>
    <x v="0"/>
    <n v="5"/>
    <n v="370557"/>
    <n v="0.15999999642372131"/>
    <n v="59300"/>
    <s v="Sin Riesgo"/>
    <n v="0"/>
    <n v="0"/>
    <n v="0"/>
    <n v="0"/>
    <n v="0"/>
    <n v="59300"/>
    <s v="NINGUNA"/>
    <x v="0"/>
    <n v="5"/>
    <n v="370557"/>
    <n v="3.9999999105930328E-2"/>
    <n v="14900"/>
    <n v="0"/>
    <m/>
    <n v="0"/>
    <m/>
    <n v="0"/>
    <s v="NINGUNA"/>
    <x v="0"/>
    <n v="5"/>
    <n v="370557"/>
    <n v="0"/>
    <s v="5"/>
    <s v="CENTRO TRABAJO 30"/>
    <s v="5711001"/>
    <n v="0"/>
    <n v="5"/>
    <x v="1"/>
    <n v="370557"/>
    <n v="3.9999999105930328E-2"/>
    <n v="14900"/>
    <n v="0"/>
    <n v="0"/>
    <n v="0"/>
    <n v="0"/>
    <n v="0"/>
    <n v="0"/>
    <n v="0"/>
    <n v="0"/>
    <n v="0"/>
    <s v="SI"/>
    <s v=" "/>
    <s v="                "/>
  </r>
  <r>
    <x v="1"/>
    <s v="CC"/>
    <x v="387"/>
    <x v="387"/>
    <s v="GUZMAN"/>
    <s v="GARAIS"/>
    <s v="GOHAMIR"/>
    <s v="DAVID"/>
    <s v="LA_GUAJIRA"/>
    <s v="RIOHACHA"/>
    <s v="1. DEPENDIENTE"/>
    <s v="NINGUNO"/>
    <n v="145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SI"/>
    <x v="0"/>
    <n v="22"/>
    <n v="3548197"/>
    <n v="0.15999999642372131"/>
    <n v="567800"/>
    <s v="Sin Riesgo"/>
    <n v="0"/>
    <n v="0"/>
    <n v="0"/>
    <n v="0"/>
    <n v="0"/>
    <n v="567800"/>
    <s v="NINGUNA"/>
    <x v="0"/>
    <n v="22"/>
    <n v="3548197"/>
    <n v="3.9999999105930328E-2"/>
    <n v="142000"/>
    <n v="0"/>
    <m/>
    <n v="0"/>
    <m/>
    <n v="0"/>
    <s v="NINGUNA"/>
    <x v="0"/>
    <n v="22"/>
    <n v="3548197"/>
    <n v="6.9600000977516174E-2"/>
    <s v="5"/>
    <s v="CENTRO TRABAJO 30"/>
    <s v="5711001"/>
    <n v="247000"/>
    <n v="22"/>
    <x v="1"/>
    <n v="5256886"/>
    <n v="3.9999999105930328E-2"/>
    <n v="210300"/>
    <n v="0"/>
    <n v="0"/>
    <n v="0"/>
    <n v="0"/>
    <n v="0"/>
    <n v="0"/>
    <n v="0"/>
    <n v="0"/>
    <n v="0"/>
    <s v="SI"/>
    <s v=" "/>
    <s v="                "/>
  </r>
  <r>
    <x v="1"/>
    <s v="CC"/>
    <x v="388"/>
    <x v="388"/>
    <s v="CONDE"/>
    <s v="RODRIGUEZ"/>
    <s v="GUSTAVO"/>
    <s v="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0"/>
    <n v="30"/>
    <n v="3335771"/>
    <n v="0.15999999642372131"/>
    <n v="533800"/>
    <s v="Sin Riesgo"/>
    <n v="0"/>
    <n v="0"/>
    <n v="0"/>
    <n v="0"/>
    <n v="0"/>
    <n v="533800"/>
    <s v="NINGUNA"/>
    <x v="3"/>
    <n v="30"/>
    <n v="3335771"/>
    <n v="3.9999999105930328E-2"/>
    <n v="133500"/>
    <n v="0"/>
    <m/>
    <n v="0"/>
    <m/>
    <n v="0"/>
    <s v="NINGUNA"/>
    <x v="0"/>
    <n v="30"/>
    <n v="3335771"/>
    <n v="6.9600000977516174E-2"/>
    <s v="5"/>
    <s v="CENTRO TRABAJO 24"/>
    <s v="5711001"/>
    <n v="232200"/>
    <n v="30"/>
    <x v="0"/>
    <n v="2949702"/>
    <n v="3.9999999105930328E-2"/>
    <n v="118000"/>
    <n v="0"/>
    <n v="0"/>
    <n v="0"/>
    <n v="0"/>
    <n v="0"/>
    <n v="0"/>
    <n v="0"/>
    <n v="0"/>
    <n v="0"/>
    <s v="SI"/>
    <s v=" "/>
    <s v="                "/>
  </r>
  <r>
    <x v="1"/>
    <s v="CC"/>
    <x v="389"/>
    <x v="389"/>
    <s v="MENCO"/>
    <s v="TABORDA"/>
    <s v="ALEXANDER"/>
    <s v="RICARDO"/>
    <s v="LA_GUAJIRA"/>
    <s v="RIOHACHA"/>
    <s v="1. DEPENDIENTE"/>
    <s v="NINGUNO"/>
    <n v="20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0"/>
    <n v="30"/>
    <n v="3427729"/>
    <n v="0.15999999642372131"/>
    <n v="548500"/>
    <s v="Sin Riesgo"/>
    <n v="0"/>
    <n v="0"/>
    <n v="0"/>
    <n v="0"/>
    <n v="0"/>
    <n v="548500"/>
    <s v="NINGUNA"/>
    <x v="3"/>
    <n v="30"/>
    <n v="3427729"/>
    <n v="3.9999999105930328E-2"/>
    <n v="137200"/>
    <n v="0"/>
    <m/>
    <n v="0"/>
    <m/>
    <n v="0"/>
    <s v="NINGUNA"/>
    <x v="0"/>
    <n v="30"/>
    <n v="3427729"/>
    <n v="6.9600000977516174E-2"/>
    <s v="5"/>
    <s v="CENTRO TRABAJO 30"/>
    <s v="5711001"/>
    <n v="238600"/>
    <n v="30"/>
    <x v="1"/>
    <n v="3427729"/>
    <n v="3.9999999105930328E-2"/>
    <n v="137200"/>
    <n v="0"/>
    <n v="0"/>
    <n v="0"/>
    <n v="0"/>
    <n v="0"/>
    <n v="0"/>
    <n v="0"/>
    <n v="0"/>
    <n v="0"/>
    <s v="SI"/>
    <s v=" "/>
    <s v="                "/>
  </r>
  <r>
    <x v="1"/>
    <s v="CC"/>
    <x v="391"/>
    <x v="391"/>
    <s v="SANCHEZ"/>
    <s v="RADA"/>
    <s v="BILL"/>
    <s v="MOISES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3"/>
    <s v="NO"/>
    <s v="NO"/>
    <m/>
    <m/>
    <n v="0"/>
    <m/>
    <m/>
    <s v="NO"/>
    <n v="2223339"/>
    <s v="NO"/>
    <s v="NO"/>
    <x v="0"/>
    <n v="5"/>
    <n v="370557"/>
    <n v="0.15999999642372131"/>
    <n v="59300"/>
    <s v="Sin Riesgo"/>
    <n v="0"/>
    <n v="0"/>
    <n v="0"/>
    <n v="0"/>
    <n v="0"/>
    <n v="59300"/>
    <s v="NINGUNA"/>
    <x v="3"/>
    <n v="5"/>
    <n v="370557"/>
    <n v="3.9999999105930328E-2"/>
    <n v="14900"/>
    <n v="0"/>
    <m/>
    <n v="0"/>
    <m/>
    <n v="0"/>
    <s v="NINGUNA"/>
    <x v="0"/>
    <n v="5"/>
    <n v="370557"/>
    <n v="0"/>
    <s v="5"/>
    <s v="CENTRO TRABAJO 30"/>
    <s v="5711001"/>
    <n v="0"/>
    <n v="5"/>
    <x v="1"/>
    <n v="370557"/>
    <n v="3.9999999105930328E-2"/>
    <n v="14900"/>
    <n v="0"/>
    <n v="0"/>
    <n v="0"/>
    <n v="0"/>
    <n v="0"/>
    <n v="0"/>
    <n v="0"/>
    <n v="0"/>
    <n v="0"/>
    <s v="SI"/>
    <s v=" "/>
    <s v="                "/>
  </r>
  <r>
    <x v="1"/>
    <s v="CC"/>
    <x v="391"/>
    <x v="391"/>
    <s v="SANCHEZ"/>
    <s v="RADA"/>
    <s v="BILL"/>
    <s v="MOISES"/>
    <s v="LA_GUAJIRA"/>
    <s v="RIOHACHA"/>
    <s v="1. DEPENDIENTE"/>
    <s v="NINGUNO"/>
    <n v="152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25"/>
    <n v="2234402"/>
    <n v="0.15999999642372131"/>
    <n v="357600"/>
    <s v="Sin Riesgo"/>
    <n v="0"/>
    <n v="0"/>
    <n v="0"/>
    <n v="0"/>
    <n v="0"/>
    <n v="357600"/>
    <s v="NINGUNA"/>
    <x v="3"/>
    <n v="25"/>
    <n v="2234402"/>
    <n v="3.9999999105930328E-2"/>
    <n v="89400"/>
    <n v="0"/>
    <m/>
    <n v="0"/>
    <m/>
    <n v="0"/>
    <s v="NINGUNA"/>
    <x v="0"/>
    <n v="25"/>
    <n v="2234402"/>
    <n v="6.9600000977516174E-2"/>
    <s v="5"/>
    <s v="CENTRO TRABAJO 30"/>
    <s v="5711001"/>
    <n v="155600"/>
    <n v="25"/>
    <x v="1"/>
    <n v="2156471"/>
    <n v="3.9999999105930328E-2"/>
    <n v="86300"/>
    <n v="0"/>
    <n v="0"/>
    <n v="0"/>
    <n v="0"/>
    <n v="0"/>
    <n v="0"/>
    <n v="0"/>
    <n v="0"/>
    <n v="0"/>
    <s v="SI"/>
    <s v=" "/>
    <s v="                "/>
  </r>
  <r>
    <x v="1"/>
    <s v="CC"/>
    <x v="392"/>
    <x v="392"/>
    <s v="OROZCO"/>
    <s v="RIVERO"/>
    <s v="JOSE"/>
    <s v="LUIS"/>
    <s v="BOGOTA_D.E."/>
    <s v="BOGOTA"/>
    <s v="1. DEPENDIENTE"/>
    <s v="NINGUNO"/>
    <n v="68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7"/>
    <n v="1808619"/>
    <n v="0.15999999642372131"/>
    <n v="289400"/>
    <s v="Sin Riesgo"/>
    <n v="0"/>
    <n v="0"/>
    <n v="0"/>
    <n v="0"/>
    <n v="0"/>
    <n v="289400"/>
    <s v="NINGUNA"/>
    <x v="0"/>
    <n v="7"/>
    <n v="1808619"/>
    <n v="3.9999999105930328E-2"/>
    <n v="72400"/>
    <n v="0"/>
    <m/>
    <n v="0"/>
    <m/>
    <n v="0"/>
    <s v="NINGUNA"/>
    <x v="0"/>
    <n v="7"/>
    <n v="1808619"/>
    <n v="6.9600000977516174E-2"/>
    <s v="5"/>
    <s v="CENTRO TRABAJO 24"/>
    <s v="5711001"/>
    <n v="125900"/>
    <n v="7"/>
    <x v="0"/>
    <n v="2878789"/>
    <n v="3.9999999105930328E-2"/>
    <n v="115200"/>
    <n v="0"/>
    <n v="0"/>
    <n v="0"/>
    <n v="0"/>
    <n v="0"/>
    <n v="0"/>
    <n v="0"/>
    <n v="0"/>
    <n v="0"/>
    <s v="SI"/>
    <s v=" "/>
    <s v="                "/>
  </r>
  <r>
    <x v="1"/>
    <s v="CC"/>
    <x v="393"/>
    <x v="393"/>
    <s v="AREVALO"/>
    <s v="MEJIA"/>
    <s v="ALDERSON"/>
    <s v="ENRIQU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4"/>
    <n v="46054"/>
    <s v="NO"/>
    <m/>
    <m/>
    <s v="NO"/>
    <m/>
    <m/>
    <s v="NO"/>
    <s v="NO"/>
    <m/>
    <m/>
    <n v="0"/>
    <m/>
    <m/>
    <s v="NO"/>
    <n v="3140434"/>
    <s v="NO"/>
    <s v="NO"/>
    <x v="0"/>
    <n v="1"/>
    <n v="99923"/>
    <n v="0.15999999642372131"/>
    <n v="16000"/>
    <s v="Sin Riesgo"/>
    <n v="0"/>
    <n v="0"/>
    <n v="0"/>
    <n v="0"/>
    <n v="0"/>
    <n v="16000"/>
    <s v="NINGUNA"/>
    <x v="2"/>
    <n v="1"/>
    <n v="99923"/>
    <n v="3.9999999105930328E-2"/>
    <n v="4000"/>
    <n v="0"/>
    <m/>
    <n v="0"/>
    <m/>
    <n v="0"/>
    <s v="NINGUNA"/>
    <x v="0"/>
    <n v="1"/>
    <n v="99923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93"/>
    <x v="393"/>
    <s v="AREVALO"/>
    <s v="MEJIA"/>
    <s v="ALDERSON"/>
    <s v="ENRIQU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3140434"/>
    <s v="NO"/>
    <s v="NO"/>
    <x v="0"/>
    <n v="7"/>
    <n v="732768"/>
    <n v="0.15999999642372131"/>
    <n v="117300"/>
    <s v="Sin Riesgo"/>
    <n v="0"/>
    <n v="0"/>
    <n v="0"/>
    <n v="0"/>
    <n v="0"/>
    <n v="117300"/>
    <s v="NINGUNA"/>
    <x v="2"/>
    <n v="7"/>
    <n v="732768"/>
    <n v="3.9999999105930328E-2"/>
    <n v="29400"/>
    <n v="0"/>
    <m/>
    <n v="0"/>
    <m/>
    <n v="0"/>
    <s v="NINGUNA"/>
    <x v="0"/>
    <n v="7"/>
    <n v="732768"/>
    <n v="0"/>
    <s v="5"/>
    <s v="CENTRO TRABAJO 30"/>
    <s v="5711001"/>
    <n v="0"/>
    <n v="7"/>
    <x v="1"/>
    <n v="732768"/>
    <n v="3.9999999105930328E-2"/>
    <n v="29400"/>
    <n v="0"/>
    <n v="0"/>
    <n v="0"/>
    <n v="0"/>
    <n v="0"/>
    <n v="0"/>
    <n v="0"/>
    <n v="0"/>
    <n v="0"/>
    <s v="SI"/>
    <s v=" "/>
    <s v="                "/>
  </r>
  <r>
    <x v="1"/>
    <s v="CC"/>
    <x v="393"/>
    <x v="393"/>
    <s v="AREVALO"/>
    <s v="MEJIA"/>
    <s v="ALDERSON"/>
    <s v="ENRIQUE"/>
    <s v="LA_GUAJIRA"/>
    <s v="RIOHACHA"/>
    <s v="1. DEPENDIENTE"/>
    <s v="NINGUNO"/>
    <n v="13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140434"/>
    <s v="NO"/>
    <s v="NO"/>
    <x v="0"/>
    <n v="22"/>
    <n v="2302985"/>
    <n v="0.15999999642372131"/>
    <n v="368500"/>
    <s v="Sin Riesgo"/>
    <n v="0"/>
    <n v="0"/>
    <n v="0"/>
    <n v="0"/>
    <n v="0"/>
    <n v="368500"/>
    <s v="NINGUNA"/>
    <x v="2"/>
    <n v="22"/>
    <n v="2302985"/>
    <n v="3.9999999105930328E-2"/>
    <n v="92200"/>
    <n v="0"/>
    <m/>
    <n v="0"/>
    <m/>
    <n v="0"/>
    <s v="NINGUNA"/>
    <x v="0"/>
    <n v="22"/>
    <n v="2302985"/>
    <n v="6.9600000977516174E-2"/>
    <s v="5"/>
    <s v="CENTRO TRABAJO 30"/>
    <s v="5711001"/>
    <n v="160300"/>
    <n v="22"/>
    <x v="1"/>
    <n v="2302985"/>
    <n v="3.9999999105930328E-2"/>
    <n v="92200"/>
    <n v="0"/>
    <n v="0"/>
    <n v="0"/>
    <n v="0"/>
    <n v="0"/>
    <n v="0"/>
    <n v="0"/>
    <n v="0"/>
    <n v="0"/>
    <s v="SI"/>
    <s v=" "/>
    <s v="                "/>
  </r>
  <r>
    <x v="1"/>
    <s v="CC"/>
    <x v="395"/>
    <x v="395"/>
    <s v="CANTILLO"/>
    <s v="DE LA ROSA"/>
    <s v="JOSE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0"/>
    <n v="1"/>
    <n v="58364"/>
    <n v="0"/>
    <n v="0"/>
    <n v="0"/>
    <m/>
    <n v="0"/>
    <m/>
    <n v="0"/>
    <s v="NINGUNA"/>
    <x v="0"/>
    <n v="1"/>
    <n v="58364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95"/>
    <x v="395"/>
    <s v="CANTILLO"/>
    <s v="DE LA ROSA"/>
    <s v="JOSE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8"/>
    <n v="46059"/>
    <s v="NO"/>
    <m/>
    <m/>
    <s v="NO"/>
    <m/>
    <m/>
    <s v="NO"/>
    <s v="NO"/>
    <m/>
    <m/>
    <n v="0"/>
    <m/>
    <m/>
    <s v="NO"/>
    <n v="1750905"/>
    <s v="NO"/>
    <s v="NO"/>
    <x v="0"/>
    <n v="2"/>
    <n v="203264"/>
    <n v="0.15999999642372131"/>
    <n v="32600"/>
    <s v="Sin Riesgo"/>
    <n v="0"/>
    <n v="0"/>
    <n v="0"/>
    <n v="0"/>
    <n v="0"/>
    <n v="32600"/>
    <s v="NINGUNA"/>
    <x v="0"/>
    <n v="2"/>
    <n v="203264"/>
    <n v="3.9999999105930328E-2"/>
    <n v="8200"/>
    <n v="0"/>
    <m/>
    <n v="0"/>
    <m/>
    <n v="0"/>
    <s v="NINGUNA"/>
    <x v="0"/>
    <n v="2"/>
    <n v="203264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95"/>
    <x v="395"/>
    <s v="CANTILLO"/>
    <s v="DE LA ROSA"/>
    <s v="JOSE"/>
    <s v="RAFAEL"/>
    <s v="BOGOTA_D.E."/>
    <s v="BOGOTA"/>
    <s v="1. DEPENDIENTE"/>
    <s v="NINGUNO"/>
    <n v="19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50905"/>
    <s v="NO"/>
    <s v="NO"/>
    <x v="0"/>
    <n v="27"/>
    <n v="2466989"/>
    <n v="0.15999999642372131"/>
    <n v="394800"/>
    <s v="Sin Riesgo"/>
    <n v="0"/>
    <n v="0"/>
    <n v="0"/>
    <n v="0"/>
    <n v="0"/>
    <n v="394800"/>
    <s v="NINGUNA"/>
    <x v="0"/>
    <n v="27"/>
    <n v="2466989"/>
    <n v="3.9999999105930328E-2"/>
    <n v="98700"/>
    <n v="0"/>
    <m/>
    <n v="0"/>
    <m/>
    <n v="0"/>
    <s v="NINGUNA"/>
    <x v="0"/>
    <n v="27"/>
    <n v="2466989"/>
    <n v="6.9600000977516174E-2"/>
    <s v="5"/>
    <s v="CENTRO TRABAJO 24"/>
    <s v="5711001"/>
    <n v="171800"/>
    <n v="27"/>
    <x v="0"/>
    <n v="2466989"/>
    <n v="3.9999999105930328E-2"/>
    <n v="98700"/>
    <n v="0"/>
    <n v="0"/>
    <n v="0"/>
    <n v="0"/>
    <n v="0"/>
    <n v="0"/>
    <n v="0"/>
    <n v="0"/>
    <n v="0"/>
    <s v="SI"/>
    <s v=" "/>
    <s v="                "/>
  </r>
  <r>
    <x v="1"/>
    <s v="CC"/>
    <x v="396"/>
    <x v="396"/>
    <s v="RODRIGUEZ"/>
    <s v="CARRASCAL"/>
    <s v="MANUEL"/>
    <s v="JOSE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1"/>
    <n v="74112"/>
    <n v="0.15999999642372131"/>
    <n v="11900"/>
    <s v="Sin Riesgo"/>
    <n v="0"/>
    <n v="0"/>
    <n v="0"/>
    <n v="0"/>
    <n v="0"/>
    <n v="11900"/>
    <s v="NINGUNA"/>
    <x v="0"/>
    <n v="1"/>
    <n v="74112"/>
    <n v="0"/>
    <n v="0"/>
    <n v="0"/>
    <m/>
    <n v="0"/>
    <m/>
    <n v="0"/>
    <s v="NINGUNA"/>
    <x v="0"/>
    <n v="1"/>
    <n v="74112"/>
    <n v="0"/>
    <s v="5"/>
    <s v="CENTRO TRABAJO 30"/>
    <s v="5711001"/>
    <n v="0"/>
    <n v="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96"/>
    <x v="396"/>
    <s v="RODRIGUEZ"/>
    <s v="CARRASCAL"/>
    <s v="MANUEL"/>
    <s v="JOSE"/>
    <s v="LA_GUAJIRA"/>
    <s v="RIOHACH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9"/>
    <n v="2549755"/>
    <n v="0.15999999642372131"/>
    <n v="408000"/>
    <s v="Sin Riesgo"/>
    <n v="0"/>
    <n v="0"/>
    <n v="0"/>
    <n v="0"/>
    <n v="0"/>
    <n v="408000"/>
    <s v="NINGUNA"/>
    <x v="0"/>
    <n v="29"/>
    <n v="2549755"/>
    <n v="3.9999999105930328E-2"/>
    <n v="102000"/>
    <n v="0"/>
    <m/>
    <n v="0"/>
    <m/>
    <n v="0"/>
    <s v="NINGUNA"/>
    <x v="0"/>
    <n v="29"/>
    <n v="2549755"/>
    <n v="6.9600000977516174E-2"/>
    <s v="5"/>
    <s v="CENTRO TRABAJO 30"/>
    <s v="5711001"/>
    <n v="177500"/>
    <n v="29"/>
    <x v="1"/>
    <n v="2496879"/>
    <n v="3.9999999105930328E-2"/>
    <n v="99900"/>
    <n v="0"/>
    <n v="0"/>
    <n v="0"/>
    <n v="0"/>
    <n v="0"/>
    <n v="0"/>
    <n v="0"/>
    <n v="0"/>
    <n v="0"/>
    <s v="SI"/>
    <s v=" "/>
    <s v="                "/>
  </r>
  <r>
    <x v="1"/>
    <s v="CC"/>
    <x v="397"/>
    <x v="397"/>
    <s v="AGUIRRE"/>
    <s v="MERINO"/>
    <s v="VICTOR"/>
    <s v="ALFONSO"/>
    <s v="BOGOTA_D.E."/>
    <s v="BOGOTA"/>
    <s v="1. DEPENDIENTE"/>
    <s v="NINGUNO"/>
    <n v="32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"/>
    <n v="1145990"/>
    <n v="0.15999999642372131"/>
    <n v="183400"/>
    <s v="Sin Riesgo"/>
    <n v="0"/>
    <n v="0"/>
    <n v="0"/>
    <n v="0"/>
    <n v="0"/>
    <n v="183400"/>
    <s v="NINGUNA"/>
    <x v="3"/>
    <n v="3"/>
    <n v="1145990"/>
    <n v="0.125"/>
    <n v="143300"/>
    <n v="0"/>
    <m/>
    <n v="0"/>
    <m/>
    <n v="0"/>
    <s v="NINGUNA"/>
    <x v="0"/>
    <n v="3"/>
    <n v="1145990"/>
    <n v="6.9600000977516174E-2"/>
    <s v="5"/>
    <s v="CENTRO TRABAJO 24"/>
    <s v="5711001"/>
    <n v="79800"/>
    <n v="3"/>
    <x v="0"/>
    <n v="1658332"/>
    <n v="3.9999999105930328E-2"/>
    <n v="66400"/>
    <n v="1658332"/>
    <n v="1.9999999552965164E-2"/>
    <n v="33200"/>
    <n v="2.9999999329447746E-2"/>
    <n v="49800"/>
    <n v="0"/>
    <n v="0"/>
    <n v="0"/>
    <n v="0"/>
    <s v="NO"/>
    <s v=" "/>
    <s v="                "/>
  </r>
  <r>
    <x v="1"/>
    <s v="CC"/>
    <x v="398"/>
    <x v="398"/>
    <s v="MEJIA"/>
    <s v="GIRALDO"/>
    <s v="ROBINSON"/>
    <s v="ENRIQUE"/>
    <s v="LA_GUAJIRA"/>
    <s v="RIOHACHA"/>
    <s v="1. DEPENDIENTE"/>
    <s v="NINGUNO"/>
    <n v="45"/>
    <s v="NO"/>
    <s v="NO"/>
    <m/>
    <s v="NO"/>
    <m/>
    <s v="Todos los sistemas (ARL, AFP, CCF, EPS)"/>
    <n v="46058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56650"/>
    <s v="NO"/>
    <s v="NO"/>
    <x v="4"/>
    <n v="5"/>
    <n v="577779"/>
    <n v="0.15999999642372131"/>
    <n v="92500"/>
    <s v="Sin Riesgo"/>
    <n v="0"/>
    <n v="0"/>
    <n v="0"/>
    <n v="0"/>
    <n v="0"/>
    <n v="92500"/>
    <s v="NINGUNA"/>
    <x v="0"/>
    <n v="5"/>
    <n v="577779"/>
    <n v="3.9999999105930328E-2"/>
    <n v="23200"/>
    <n v="0"/>
    <m/>
    <n v="0"/>
    <m/>
    <n v="0"/>
    <s v="NINGUNA"/>
    <x v="0"/>
    <n v="5"/>
    <n v="577779"/>
    <n v="6.9600000977516174E-2"/>
    <s v="5"/>
    <s v="CENTRO TRABAJO 30"/>
    <s v="5711001"/>
    <n v="40300"/>
    <n v="5"/>
    <x v="1"/>
    <n v="559021"/>
    <n v="3.9999999105930328E-2"/>
    <n v="22400"/>
    <n v="0"/>
    <n v="0"/>
    <n v="0"/>
    <n v="0"/>
    <n v="0"/>
    <n v="0"/>
    <n v="0"/>
    <n v="0"/>
    <n v="0"/>
    <s v="SI"/>
    <s v=" "/>
    <s v="                "/>
  </r>
  <r>
    <x v="1"/>
    <s v="CC"/>
    <x v="399"/>
    <x v="399"/>
    <s v="DIAZ"/>
    <s v="ANAYA"/>
    <s v="ALEXANDER"/>
    <s v="EMILIO"/>
    <s v="BOGOTA_D.E."/>
    <s v="BOGOTA"/>
    <s v="1. DEPENDIENTE"/>
    <s v="NINGUNO"/>
    <n v="204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308750"/>
    <s v="NO"/>
    <s v="NO"/>
    <x v="2"/>
    <n v="30"/>
    <n v="2685886"/>
    <n v="0.15999999642372131"/>
    <n v="429800"/>
    <s v="Sin Riesgo"/>
    <n v="0"/>
    <n v="0"/>
    <n v="0"/>
    <n v="0"/>
    <n v="0"/>
    <n v="429800"/>
    <s v="NINGUNA"/>
    <x v="12"/>
    <n v="30"/>
    <n v="2685886"/>
    <n v="3.9999999105930328E-2"/>
    <n v="107500"/>
    <n v="0"/>
    <m/>
    <n v="0"/>
    <m/>
    <n v="0"/>
    <s v="NINGUNA"/>
    <x v="0"/>
    <n v="30"/>
    <n v="2685886"/>
    <n v="6.9600000977516174E-2"/>
    <s v="5"/>
    <s v="CENTRO TRABAJO 24"/>
    <s v="5711001"/>
    <n v="187000"/>
    <n v="30"/>
    <x v="0"/>
    <n v="2623579"/>
    <n v="3.9999999105930328E-2"/>
    <n v="105000"/>
    <n v="0"/>
    <n v="0"/>
    <n v="0"/>
    <n v="0"/>
    <n v="0"/>
    <n v="0"/>
    <n v="0"/>
    <n v="0"/>
    <n v="0"/>
    <s v="SI"/>
    <s v=" "/>
    <s v="                "/>
  </r>
  <r>
    <x v="1"/>
    <s v="CC"/>
    <x v="400"/>
    <x v="400"/>
    <s v="PALACIOS"/>
    <s v="ASPRILLA"/>
    <s v="LUIS"/>
    <s v="ALBERT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"/>
    <n v="148223"/>
    <n v="0.15999999642372131"/>
    <n v="23800"/>
    <s v="Sin Riesgo"/>
    <n v="0"/>
    <n v="0"/>
    <n v="0"/>
    <n v="0"/>
    <n v="0"/>
    <n v="23800"/>
    <s v="NINGUNA"/>
    <x v="3"/>
    <n v="2"/>
    <n v="148223"/>
    <n v="0"/>
    <n v="0"/>
    <n v="0"/>
    <m/>
    <n v="0"/>
    <m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400"/>
    <x v="400"/>
    <s v="PALACIOS"/>
    <s v="ASPRILLA"/>
    <s v="LUIS"/>
    <s v="ALBERTO"/>
    <s v="BOGOTA_D.E."/>
    <s v="BOGOTA"/>
    <s v="1. DEPENDIENTE"/>
    <s v="NINGUNO"/>
    <n v="21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8"/>
    <n v="2854296"/>
    <n v="0.15999999642372131"/>
    <n v="456700"/>
    <s v="Sin Riesgo"/>
    <n v="0"/>
    <n v="0"/>
    <n v="0"/>
    <n v="0"/>
    <n v="0"/>
    <n v="456700"/>
    <s v="NINGUNA"/>
    <x v="3"/>
    <n v="28"/>
    <n v="2854296"/>
    <n v="3.9999999105930328E-2"/>
    <n v="114200"/>
    <n v="0"/>
    <m/>
    <n v="0"/>
    <m/>
    <n v="0"/>
    <s v="NINGUNA"/>
    <x v="0"/>
    <n v="28"/>
    <n v="2854296"/>
    <n v="6.9600000977516174E-2"/>
    <s v="5"/>
    <s v="CENTRO TRABAJO 24"/>
    <s v="5711001"/>
    <n v="198700"/>
    <n v="28"/>
    <x v="0"/>
    <n v="2854296"/>
    <n v="3.9999999105930328E-2"/>
    <n v="114200"/>
    <n v="0"/>
    <n v="0"/>
    <n v="0"/>
    <n v="0"/>
    <n v="0"/>
    <n v="0"/>
    <n v="0"/>
    <n v="0"/>
    <n v="0"/>
    <s v="SI"/>
    <s v=" "/>
    <s v="                "/>
  </r>
  <r>
    <x v="1"/>
    <s v="CC"/>
    <x v="401"/>
    <x v="401"/>
    <s v="JIMENEZ"/>
    <s v="CAMACHO"/>
    <s v="GUSTAVO"/>
    <s v="ALBERTO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1"/>
    <n v="30"/>
    <n v="4337067"/>
    <n v="0.15999999642372131"/>
    <n v="694000"/>
    <s v="Sin Riesgo"/>
    <n v="0"/>
    <n v="0"/>
    <n v="0"/>
    <n v="0"/>
    <n v="0"/>
    <n v="694000"/>
    <s v="NINGUNA"/>
    <x v="12"/>
    <n v="30"/>
    <n v="4337067"/>
    <n v="3.9999999105930328E-2"/>
    <n v="173500"/>
    <n v="0"/>
    <m/>
    <n v="0"/>
    <m/>
    <n v="0"/>
    <s v="NINGUNA"/>
    <x v="0"/>
    <n v="30"/>
    <n v="4337067"/>
    <n v="6.9600000977516174E-2"/>
    <s v="5"/>
    <s v="CENTRO TRABAJO 24"/>
    <s v="5711001"/>
    <n v="301900"/>
    <n v="30"/>
    <x v="0"/>
    <n v="4028022"/>
    <n v="3.9999999105930328E-2"/>
    <n v="161200"/>
    <n v="0"/>
    <n v="0"/>
    <n v="0"/>
    <n v="0"/>
    <n v="0"/>
    <n v="0"/>
    <n v="0"/>
    <n v="0"/>
    <n v="0"/>
    <s v="SI"/>
    <s v=" "/>
    <s v="                "/>
  </r>
  <r>
    <x v="1"/>
    <s v="CC"/>
    <x v="402"/>
    <x v="402"/>
    <s v="TAPIAS"/>
    <s v="VILLA"/>
    <s v="EMERSON"/>
    <s v=""/>
    <s v="LA_GUAJIRA"/>
    <s v="RIOHACHA"/>
    <s v="1. DEPENDIENTE"/>
    <s v="NINGUNO"/>
    <n v="172"/>
    <s v="NO"/>
    <s v="NO"/>
    <m/>
    <s v="NO"/>
    <m/>
    <s v="Todos los sistemas (ARL, AFP, CCF, EPS)"/>
    <n v="4607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539029"/>
    <s v="NO"/>
    <s v="NO"/>
    <x v="0"/>
    <n v="23"/>
    <n v="2558768"/>
    <n v="0.15999999642372131"/>
    <n v="409500"/>
    <s v="Sin Riesgo"/>
    <n v="0"/>
    <n v="0"/>
    <n v="0"/>
    <n v="0"/>
    <n v="0"/>
    <n v="409500"/>
    <s v="NINGUNA"/>
    <x v="12"/>
    <n v="23"/>
    <n v="2558768"/>
    <n v="3.9999999105930328E-2"/>
    <n v="102400"/>
    <n v="0"/>
    <m/>
    <n v="0"/>
    <m/>
    <n v="0"/>
    <s v="NINGUNA"/>
    <x v="0"/>
    <n v="23"/>
    <n v="2558768"/>
    <n v="6.9600000977516174E-2"/>
    <s v="5"/>
    <s v="CENTRO TRABAJO 30"/>
    <s v="5711001"/>
    <n v="178100"/>
    <n v="23"/>
    <x v="1"/>
    <n v="2640046"/>
    <n v="3.9999999105930328E-2"/>
    <n v="105700"/>
    <n v="0"/>
    <n v="0"/>
    <n v="0"/>
    <n v="0"/>
    <n v="0"/>
    <n v="0"/>
    <n v="0"/>
    <n v="0"/>
    <n v="0"/>
    <s v="SI"/>
    <s v=" "/>
    <s v="                "/>
  </r>
  <r>
    <x v="1"/>
    <s v="CC"/>
    <x v="403"/>
    <x v="403"/>
    <s v="DUARTE"/>
    <s v="VANEGAS"/>
    <s v="EDGARDO"/>
    <s v="JOSE"/>
    <s v="BOGOTA_D.E."/>
    <s v="BOGOTA"/>
    <s v="1. DEPENDIENTE"/>
    <s v="NINGUNO"/>
    <n v="28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3"/>
    <n v="653978"/>
    <n v="0.15999999642372131"/>
    <n v="104700"/>
    <s v="Sin Riesgo"/>
    <n v="0"/>
    <n v="0"/>
    <n v="0"/>
    <n v="0"/>
    <n v="0"/>
    <n v="104700"/>
    <s v="NINGUNA"/>
    <x v="3"/>
    <n v="3"/>
    <n v="653978"/>
    <n v="3.9999999105930328E-2"/>
    <n v="26200"/>
    <n v="0"/>
    <m/>
    <n v="0"/>
    <m/>
    <n v="0"/>
    <s v="NINGUNA"/>
    <x v="0"/>
    <n v="3"/>
    <n v="653978"/>
    <n v="6.9600000977516174E-2"/>
    <s v="5"/>
    <s v="CENTRO TRABAJO 24"/>
    <s v="5711001"/>
    <n v="45600"/>
    <n v="3"/>
    <x v="0"/>
    <n v="583808"/>
    <n v="3.9999999105930328E-2"/>
    <n v="23400"/>
    <n v="0"/>
    <n v="0"/>
    <n v="0"/>
    <n v="0"/>
    <n v="0"/>
    <n v="0"/>
    <n v="0"/>
    <n v="0"/>
    <n v="0"/>
    <s v="SI"/>
    <s v=" "/>
    <s v="                "/>
  </r>
  <r>
    <x v="1"/>
    <s v="CC"/>
    <x v="404"/>
    <x v="404"/>
    <s v="FERREIRA"/>
    <s v="RIVERA"/>
    <s v="FERNANDO"/>
    <s v=""/>
    <s v="ANTIOQUIA"/>
    <s v="MEDELLIN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81"/>
    <s v="NO"/>
    <s v="NO"/>
    <m/>
    <m/>
    <n v="0"/>
    <m/>
    <m/>
    <s v="NO"/>
    <n v="1810000"/>
    <s v="NO"/>
    <s v="NO"/>
    <x v="1"/>
    <n v="30"/>
    <n v="1810000"/>
    <n v="0.15999999642372131"/>
    <n v="289600"/>
    <s v="Sin Riesgo"/>
    <n v="0"/>
    <n v="0"/>
    <n v="0"/>
    <n v="0"/>
    <n v="0"/>
    <n v="289600"/>
    <s v="NINGUNA"/>
    <x v="2"/>
    <n v="30"/>
    <n v="1810000"/>
    <n v="3.9999999105930328E-2"/>
    <n v="72400"/>
    <n v="0"/>
    <m/>
    <n v="0"/>
    <m/>
    <n v="0"/>
    <s v="NINGUNA"/>
    <x v="0"/>
    <n v="30"/>
    <n v="1810000"/>
    <n v="0"/>
    <s v="1"/>
    <s v="CENTRO TRABAJO 4"/>
    <s v="1711001"/>
    <n v="0"/>
    <n v="30"/>
    <x v="4"/>
    <n v="1810000"/>
    <n v="3.9999999105930328E-2"/>
    <n v="72400"/>
    <n v="0"/>
    <n v="0"/>
    <n v="0"/>
    <n v="0"/>
    <n v="0"/>
    <n v="0"/>
    <n v="0"/>
    <n v="0"/>
    <n v="0"/>
    <s v="SI"/>
    <s v=" "/>
    <s v="                "/>
  </r>
  <r>
    <x v="1"/>
    <s v="CC"/>
    <x v="405"/>
    <x v="405"/>
    <s v="ANTOLINEZ"/>
    <s v="CRUZ"/>
    <s v="EDGAR"/>
    <s v=""/>
    <s v="BOGOTA_D.E."/>
    <s v="BOGOTA"/>
    <s v="1. DEPENDIENTE"/>
    <s v="NINGUNO"/>
    <n v="216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713687"/>
    <n v="0.15999999642372131"/>
    <n v="434200"/>
    <s v="Sin Riesgo"/>
    <n v="0"/>
    <n v="0"/>
    <n v="0"/>
    <n v="0"/>
    <n v="0"/>
    <n v="434200"/>
    <s v="NINGUNA"/>
    <x v="2"/>
    <n v="30"/>
    <n v="2713687"/>
    <n v="3.9999999105930328E-2"/>
    <n v="108600"/>
    <n v="0"/>
    <m/>
    <n v="0"/>
    <m/>
    <n v="0"/>
    <s v="NINGUNA"/>
    <x v="0"/>
    <n v="30"/>
    <n v="2713687"/>
    <n v="6.9600000977516174E-2"/>
    <s v="5"/>
    <s v="CENTRO TRABAJO 24"/>
    <s v="5711001"/>
    <n v="188900"/>
    <n v="30"/>
    <x v="0"/>
    <n v="2713687"/>
    <n v="3.9999999105930328E-2"/>
    <n v="108600"/>
    <n v="0"/>
    <n v="0"/>
    <n v="0"/>
    <n v="0"/>
    <n v="0"/>
    <n v="0"/>
    <n v="0"/>
    <n v="0"/>
    <n v="0"/>
    <s v="SI"/>
    <s v=" "/>
    <s v="                "/>
  </r>
  <r>
    <x v="1"/>
    <s v="CC"/>
    <x v="406"/>
    <x v="406"/>
    <s v="REYES"/>
    <s v="GUERRERO"/>
    <s v="LIBARDO"/>
    <s v=""/>
    <s v="BOLIVAR"/>
    <s v="CARTAGENA"/>
    <s v="1. DEPENDIENTE"/>
    <s v="NINGUNO"/>
    <n v="205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2308750"/>
    <s v="NO"/>
    <s v="NO"/>
    <x v="1"/>
    <n v="30"/>
    <n v="2703357"/>
    <n v="0.15999999642372131"/>
    <n v="432600"/>
    <s v="Sin Riesgo"/>
    <n v="0"/>
    <n v="0"/>
    <n v="0"/>
    <n v="0"/>
    <n v="0"/>
    <n v="432600"/>
    <s v="NINGUNA"/>
    <x v="12"/>
    <n v="30"/>
    <n v="2703357"/>
    <n v="3.9999999105930328E-2"/>
    <n v="108200"/>
    <n v="0"/>
    <m/>
    <n v="0"/>
    <m/>
    <n v="0"/>
    <s v="NINGUNA"/>
    <x v="0"/>
    <n v="30"/>
    <n v="2703357"/>
    <n v="6.9600000977516174E-2"/>
    <s v="5"/>
    <s v="CENTRO TRABAJO 8"/>
    <s v="5711001"/>
    <n v="188200"/>
    <n v="30"/>
    <x v="2"/>
    <n v="2636697"/>
    <n v="3.9999999105930328E-2"/>
    <n v="105500"/>
    <n v="0"/>
    <n v="0"/>
    <n v="0"/>
    <n v="0"/>
    <n v="0"/>
    <n v="0"/>
    <n v="0"/>
    <n v="0"/>
    <n v="0"/>
    <s v="SI"/>
    <s v=" "/>
    <s v="                "/>
  </r>
  <r>
    <x v="1"/>
    <s v="CC"/>
    <x v="407"/>
    <x v="407"/>
    <s v="MARTINEZ"/>
    <s v="GOMEZ"/>
    <s v="HERNAN"/>
    <s v="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6882380"/>
    <s v="NO"/>
    <s v="NO"/>
    <x v="1"/>
    <n v="30"/>
    <n v="16882380"/>
    <n v="0.15999999642372131"/>
    <n v="2701200"/>
    <s v="Sin Riesgo"/>
    <n v="0"/>
    <n v="0"/>
    <n v="84500"/>
    <n v="84500"/>
    <n v="0"/>
    <n v="2870200"/>
    <s v="NINGUNA"/>
    <x v="2"/>
    <n v="30"/>
    <n v="16882380"/>
    <n v="0.125"/>
    <n v="2110300"/>
    <n v="0"/>
    <m/>
    <n v="0"/>
    <m/>
    <n v="0"/>
    <s v="NINGUNA"/>
    <x v="0"/>
    <n v="30"/>
    <n v="16882380"/>
    <n v="5.2200001664459705E-3"/>
    <s v="1"/>
    <s v="CENTRO TRABAJO 24"/>
    <s v="1711001"/>
    <n v="88200"/>
    <n v="30"/>
    <x v="0"/>
    <n v="16882380"/>
    <n v="3.9999999105930328E-2"/>
    <n v="675300"/>
    <n v="16882380"/>
    <n v="1.9999999552965164E-2"/>
    <n v="337700"/>
    <n v="2.9999999329447746E-2"/>
    <n v="506500"/>
    <n v="0"/>
    <n v="0"/>
    <n v="0"/>
    <n v="0"/>
    <s v="NO"/>
    <s v=" "/>
    <s v="                "/>
  </r>
  <r>
    <x v="1"/>
    <s v="CC"/>
    <x v="408"/>
    <x v="408"/>
    <s v="SANTOS"/>
    <s v="RUEDA"/>
    <s v="TEODORO"/>
    <s v="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5"/>
    <s v="NO"/>
    <s v="NO"/>
    <m/>
    <m/>
    <n v="0"/>
    <m/>
    <m/>
    <s v="NO"/>
    <n v="3050412"/>
    <s v="NO"/>
    <s v="NO"/>
    <x v="0"/>
    <n v="7"/>
    <n v="711763"/>
    <n v="0.15999999642372131"/>
    <n v="113900"/>
    <s v="Sin Riesgo"/>
    <n v="0"/>
    <n v="0"/>
    <n v="0"/>
    <n v="0"/>
    <n v="0"/>
    <n v="113900"/>
    <s v="NINGUNA"/>
    <x v="0"/>
    <n v="7"/>
    <n v="711763"/>
    <n v="3.9999999105930328E-2"/>
    <n v="28500"/>
    <n v="0"/>
    <m/>
    <n v="0"/>
    <m/>
    <n v="0"/>
    <s v="NINGUNA"/>
    <x v="0"/>
    <n v="7"/>
    <n v="711763"/>
    <n v="0"/>
    <s v="5"/>
    <s v="CENTRO TRABAJO 30"/>
    <s v="5711001"/>
    <n v="0"/>
    <n v="7"/>
    <x v="1"/>
    <n v="711763"/>
    <n v="3.9999999105930328E-2"/>
    <n v="28500"/>
    <n v="0"/>
    <n v="0"/>
    <n v="0"/>
    <n v="0"/>
    <n v="0"/>
    <n v="0"/>
    <n v="0"/>
    <n v="0"/>
    <n v="0"/>
    <s v="SI"/>
    <s v=" "/>
    <s v="                "/>
  </r>
  <r>
    <x v="1"/>
    <s v="CC"/>
    <x v="408"/>
    <x v="408"/>
    <s v="SANTOS"/>
    <s v="RUEDA"/>
    <s v="TEODORO"/>
    <s v=""/>
    <s v="LA_GUAJIRA"/>
    <s v="RIOHACHA"/>
    <s v="1. DEPENDIENTE"/>
    <s v="NINGUNO"/>
    <n v="153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3050412"/>
    <s v="NO"/>
    <s v="NO"/>
    <x v="0"/>
    <n v="23"/>
    <n v="2934743"/>
    <n v="0.15999999642372131"/>
    <n v="469600"/>
    <s v="Sin Riesgo"/>
    <n v="0"/>
    <n v="0"/>
    <n v="0"/>
    <n v="0"/>
    <n v="0"/>
    <n v="469600"/>
    <s v="NINGUNA"/>
    <x v="0"/>
    <n v="23"/>
    <n v="2934743"/>
    <n v="3.9999999105930328E-2"/>
    <n v="117400"/>
    <n v="0"/>
    <m/>
    <n v="0"/>
    <m/>
    <n v="0"/>
    <s v="NINGUNA"/>
    <x v="0"/>
    <n v="23"/>
    <n v="2934743"/>
    <n v="6.9600000977516174E-2"/>
    <s v="5"/>
    <s v="CENTRO TRABAJO 30"/>
    <s v="5711001"/>
    <n v="204300"/>
    <n v="23"/>
    <x v="1"/>
    <n v="2650623"/>
    <n v="3.9999999105930328E-2"/>
    <n v="106100"/>
    <n v="0"/>
    <n v="0"/>
    <n v="0"/>
    <n v="0"/>
    <n v="0"/>
    <n v="0"/>
    <n v="0"/>
    <n v="0"/>
    <n v="0"/>
    <s v="SI"/>
    <s v=" "/>
    <s v="                "/>
  </r>
  <r>
    <x v="1"/>
    <s v="CC"/>
    <x v="409"/>
    <x v="409"/>
    <s v="CANDELA"/>
    <s v="SANDOVAL"/>
    <s v="JHON"/>
    <s v="ARNULFO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0"/>
    <n v="30"/>
    <n v="3160713"/>
    <n v="0.15999999642372131"/>
    <n v="505800"/>
    <s v="Sin Riesgo"/>
    <n v="0"/>
    <n v="0"/>
    <n v="0"/>
    <n v="0"/>
    <n v="0"/>
    <n v="505800"/>
    <s v="NINGUNA"/>
    <x v="0"/>
    <n v="30"/>
    <n v="3160713"/>
    <n v="3.9999999105930328E-2"/>
    <n v="126500"/>
    <n v="0"/>
    <m/>
    <n v="0"/>
    <m/>
    <n v="0"/>
    <s v="NINGUNA"/>
    <x v="0"/>
    <n v="30"/>
    <n v="3160713"/>
    <n v="6.9600000977516174E-2"/>
    <s v="5"/>
    <s v="CENTRO TRABAJO 24"/>
    <s v="5711001"/>
    <n v="220000"/>
    <n v="30"/>
    <x v="0"/>
    <n v="3160713"/>
    <n v="3.9999999105930328E-2"/>
    <n v="126500"/>
    <n v="0"/>
    <n v="0"/>
    <n v="0"/>
    <n v="0"/>
    <n v="0"/>
    <n v="0"/>
    <n v="0"/>
    <n v="0"/>
    <n v="0"/>
    <s v="SI"/>
    <s v=" "/>
    <s v="                "/>
  </r>
  <r>
    <x v="1"/>
    <s v="CC"/>
    <x v="410"/>
    <x v="410"/>
    <s v="VANEGAS"/>
    <s v="HERRERA"/>
    <s v="JESUS"/>
    <s v="HADAM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8422300"/>
    <s v="NO"/>
    <s v="NO"/>
    <x v="0"/>
    <n v="30"/>
    <n v="8422300"/>
    <n v="0.15999999642372131"/>
    <n v="1347600"/>
    <s v="Sin Riesgo"/>
    <n v="0"/>
    <n v="0"/>
    <n v="42200"/>
    <n v="42200"/>
    <n v="0"/>
    <n v="1432000"/>
    <s v="NINGUNA"/>
    <x v="0"/>
    <n v="30"/>
    <n v="8422300"/>
    <n v="3.9999999105930328E-2"/>
    <n v="336900"/>
    <n v="0"/>
    <m/>
    <n v="0"/>
    <m/>
    <n v="0"/>
    <s v="NINGUNA"/>
    <x v="0"/>
    <n v="30"/>
    <n v="8422300"/>
    <n v="6.9600000977516174E-2"/>
    <s v="5"/>
    <s v="CENTRO TRABAJO 24"/>
    <s v="5711001"/>
    <n v="586200"/>
    <n v="30"/>
    <x v="0"/>
    <n v="8422300"/>
    <n v="3.9999999105930328E-2"/>
    <n v="336900"/>
    <n v="0"/>
    <n v="0"/>
    <n v="0"/>
    <n v="0"/>
    <n v="0"/>
    <n v="0"/>
    <n v="0"/>
    <n v="0"/>
    <n v="0"/>
    <s v="SI"/>
    <s v=" "/>
    <s v="                "/>
  </r>
  <r>
    <x v="1"/>
    <s v="CC"/>
    <x v="411"/>
    <x v="411"/>
    <s v="CORDOBA"/>
    <s v="DUARTE"/>
    <s v="JOSE"/>
    <s v="MARI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0"/>
    <s v="NO"/>
    <s v="NO"/>
    <m/>
    <m/>
    <n v="0"/>
    <m/>
    <m/>
    <s v="NO"/>
    <n v="6384779"/>
    <s v="NO"/>
    <s v="NO"/>
    <x v="0"/>
    <n v="7"/>
    <n v="1489782"/>
    <n v="0.15999999642372131"/>
    <n v="238400"/>
    <s v="Sin Riesgo"/>
    <n v="0"/>
    <n v="0"/>
    <n v="0"/>
    <n v="0"/>
    <n v="0"/>
    <n v="238400"/>
    <s v="NINGUNA"/>
    <x v="2"/>
    <n v="7"/>
    <n v="1489782"/>
    <n v="3.9999999105930328E-2"/>
    <n v="59600"/>
    <n v="0"/>
    <m/>
    <n v="0"/>
    <m/>
    <n v="0"/>
    <s v="NINGUNA"/>
    <x v="0"/>
    <n v="7"/>
    <n v="1489782"/>
    <n v="0"/>
    <s v="5"/>
    <s v="CENTRO TRABAJO 30"/>
    <s v="5711001"/>
    <n v="0"/>
    <n v="7"/>
    <x v="1"/>
    <n v="1489782"/>
    <n v="3.9999999105930328E-2"/>
    <n v="59600"/>
    <n v="0"/>
    <n v="0"/>
    <n v="0"/>
    <n v="0"/>
    <n v="0"/>
    <n v="0"/>
    <n v="0"/>
    <n v="0"/>
    <n v="0"/>
    <s v="SI"/>
    <s v=" "/>
    <s v="                "/>
  </r>
  <r>
    <x v="1"/>
    <s v="CC"/>
    <x v="411"/>
    <x v="411"/>
    <s v="CORDOBA"/>
    <s v="DUARTE"/>
    <s v="JOSE"/>
    <s v="MARI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1"/>
    <n v="46066"/>
    <s v="NO"/>
    <m/>
    <m/>
    <s v="NO"/>
    <m/>
    <m/>
    <s v="NO"/>
    <m/>
    <m/>
    <s v="NO"/>
    <s v="NO"/>
    <m/>
    <m/>
    <n v="0"/>
    <m/>
    <m/>
    <s v="NO"/>
    <n v="6384779"/>
    <s v="NO"/>
    <s v="NO"/>
    <x v="0"/>
    <n v="6"/>
    <n v="1276956"/>
    <n v="0.15999999642372131"/>
    <n v="204400"/>
    <s v="Sin Riesgo"/>
    <n v="0"/>
    <n v="0"/>
    <n v="0"/>
    <n v="0"/>
    <n v="0"/>
    <n v="204400"/>
    <s v="NINGUNA"/>
    <x v="2"/>
    <n v="6"/>
    <n v="1276956"/>
    <n v="0"/>
    <n v="0"/>
    <n v="0"/>
    <m/>
    <n v="0"/>
    <m/>
    <n v="0"/>
    <s v="NINGUNA"/>
    <x v="0"/>
    <n v="6"/>
    <n v="1276956"/>
    <n v="0"/>
    <s v="5"/>
    <s v="CENTRO TRABAJO 30"/>
    <s v="5711001"/>
    <n v="0"/>
    <n v="6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411"/>
    <x v="411"/>
    <s v="CORDOBA"/>
    <s v="DUARTE"/>
    <s v="JOSE"/>
    <s v="MARIA"/>
    <s v="LA_GUAJIRA"/>
    <s v="RIOHACH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9"/>
    <s v="NO"/>
    <m/>
    <m/>
    <s v="NO"/>
    <m/>
    <m/>
    <s v="NO"/>
    <m/>
    <m/>
    <s v="NO"/>
    <s v="NO"/>
    <m/>
    <m/>
    <n v="0"/>
    <m/>
    <m/>
    <s v="NO"/>
    <n v="6384779"/>
    <s v="NO"/>
    <s v="NO"/>
    <x v="0"/>
    <n v="11"/>
    <n v="2341086"/>
    <n v="0.15999999642372131"/>
    <n v="374600"/>
    <s v="Sin Riesgo"/>
    <n v="0"/>
    <n v="0"/>
    <n v="0"/>
    <n v="0"/>
    <n v="0"/>
    <n v="374600"/>
    <s v="NINGUNA"/>
    <x v="2"/>
    <n v="11"/>
    <n v="2341086"/>
    <n v="0"/>
    <n v="0"/>
    <n v="0"/>
    <m/>
    <n v="0"/>
    <m/>
    <n v="0"/>
    <s v="NINGUNA"/>
    <x v="0"/>
    <n v="11"/>
    <n v="2341086"/>
    <n v="0"/>
    <s v="5"/>
    <s v="CENTRO TRABAJO 30"/>
    <s v="5711001"/>
    <n v="0"/>
    <n v="11"/>
    <x v="1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411"/>
    <x v="411"/>
    <s v="CORDOBA"/>
    <s v="DUARTE"/>
    <s v="JOSE"/>
    <s v="MARIA"/>
    <s v="LA_GUAJIRA"/>
    <s v="RIOHACHA"/>
    <s v="1. DEPENDIENTE"/>
    <s v="NINGUNO"/>
    <n v="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6384779"/>
    <s v="NO"/>
    <s v="NO"/>
    <x v="0"/>
    <n v="6"/>
    <n v="1276956"/>
    <n v="0.15999999642372131"/>
    <n v="204400"/>
    <s v="Sin Riesgo"/>
    <n v="0"/>
    <n v="0"/>
    <n v="0"/>
    <n v="0"/>
    <n v="0"/>
    <n v="204400"/>
    <s v="NINGUNA"/>
    <x v="2"/>
    <n v="6"/>
    <n v="1276956"/>
    <n v="3.9999999105930328E-2"/>
    <n v="51100"/>
    <n v="0"/>
    <m/>
    <n v="0"/>
    <m/>
    <n v="0"/>
    <s v="NINGUNA"/>
    <x v="0"/>
    <n v="6"/>
    <n v="1276956"/>
    <n v="6.9600000977516174E-2"/>
    <s v="5"/>
    <s v="CENTRO TRABAJO 30"/>
    <s v="5711001"/>
    <n v="88900"/>
    <n v="6"/>
    <x v="1"/>
    <n v="1276956"/>
    <n v="3.9999999105930328E-2"/>
    <n v="51100"/>
    <n v="0"/>
    <n v="0"/>
    <n v="0"/>
    <n v="0"/>
    <n v="0"/>
    <n v="0"/>
    <n v="0"/>
    <n v="0"/>
    <n v="0"/>
    <s v="SI"/>
    <s v=" "/>
    <s v="                "/>
  </r>
  <r>
    <x v="1"/>
    <s v="CC"/>
    <x v="412"/>
    <x v="412"/>
    <s v="HERRERA"/>
    <s v="OTALVAREZ"/>
    <s v="ALEXANDER"/>
    <s v=""/>
    <s v="BOGOTA_D.E."/>
    <s v="BOGOTA"/>
    <s v="1. DEPENDIENTE"/>
    <s v="NINGUNO"/>
    <n v="219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1"/>
    <n v="30"/>
    <n v="2825679"/>
    <n v="0.15999999642372131"/>
    <n v="452200"/>
    <s v="Sin Riesgo"/>
    <n v="0"/>
    <n v="0"/>
    <n v="0"/>
    <n v="0"/>
    <n v="0"/>
    <n v="452200"/>
    <s v="NINGUNA"/>
    <x v="0"/>
    <n v="30"/>
    <n v="2825679"/>
    <n v="3.9999999105930328E-2"/>
    <n v="113100"/>
    <n v="0"/>
    <m/>
    <n v="0"/>
    <m/>
    <n v="0"/>
    <s v="NINGUNA"/>
    <x v="0"/>
    <n v="30"/>
    <n v="2825679"/>
    <n v="6.9600000977516174E-2"/>
    <s v="5"/>
    <s v="CENTRO TRABAJO 24"/>
    <s v="5711001"/>
    <n v="196700"/>
    <n v="30"/>
    <x v="0"/>
    <n v="2825679"/>
    <n v="3.9999999105930328E-2"/>
    <n v="113100"/>
    <n v="0"/>
    <n v="0"/>
    <n v="0"/>
    <n v="0"/>
    <n v="0"/>
    <n v="0"/>
    <n v="0"/>
    <n v="0"/>
    <n v="0"/>
    <s v="SI"/>
    <s v=" "/>
    <s v="                "/>
  </r>
  <r>
    <x v="1"/>
    <s v="CC"/>
    <x v="413"/>
    <x v="413"/>
    <s v="URBINA"/>
    <s v="BELLO"/>
    <s v="BEDEL"/>
    <s v="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074908"/>
    <s v="NO"/>
    <s v="NO"/>
    <x v="4"/>
    <n v="30"/>
    <n v="2941214"/>
    <n v="0.15999999642372131"/>
    <n v="470600"/>
    <s v="Sin Riesgo"/>
    <n v="0"/>
    <n v="0"/>
    <n v="0"/>
    <n v="0"/>
    <n v="0"/>
    <n v="470600"/>
    <s v="NINGUNA"/>
    <x v="3"/>
    <n v="30"/>
    <n v="2941214"/>
    <n v="3.9999999105930328E-2"/>
    <n v="117700"/>
    <n v="0"/>
    <m/>
    <n v="0"/>
    <m/>
    <n v="0"/>
    <s v="NINGUNA"/>
    <x v="0"/>
    <n v="30"/>
    <n v="2941214"/>
    <n v="6.9600000977516174E-2"/>
    <s v="5"/>
    <s v="CENTRO TRABAJO 24"/>
    <s v="5711001"/>
    <n v="204800"/>
    <n v="30"/>
    <x v="0"/>
    <n v="2941214"/>
    <n v="3.9999999105930328E-2"/>
    <n v="117700"/>
    <n v="0"/>
    <n v="0"/>
    <n v="0"/>
    <n v="0"/>
    <n v="0"/>
    <n v="0"/>
    <n v="0"/>
    <n v="0"/>
    <n v="0"/>
    <s v="SI"/>
    <s v=" "/>
    <s v="                "/>
  </r>
  <r>
    <x v="1"/>
    <s v="CC"/>
    <x v="414"/>
    <x v="414"/>
    <s v="ROMERO"/>
    <s v="DIAZ"/>
    <s v="ROBERTO"/>
    <s v="CARLOS"/>
    <s v="BOGOTA_D.E."/>
    <s v="BOGOTA"/>
    <s v="1. DEPENDIENTE"/>
    <s v="NINGUNO"/>
    <n v="34"/>
    <s v="NO"/>
    <s v="NO"/>
    <m/>
    <s v="NO"/>
    <m/>
    <s v="Todos los sistemas (ARL, AFP, CCF, EPS)"/>
    <n v="46056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NO"/>
    <x v="1"/>
    <n v="3"/>
    <n v="1251616"/>
    <n v="0.15999999642372131"/>
    <n v="200300"/>
    <s v="Sin Riesgo"/>
    <n v="0"/>
    <n v="0"/>
    <n v="0"/>
    <n v="0"/>
    <n v="0"/>
    <n v="200300"/>
    <s v="NINGUNA"/>
    <x v="3"/>
    <n v="3"/>
    <n v="1251616"/>
    <n v="0.125"/>
    <n v="156500"/>
    <n v="0"/>
    <m/>
    <n v="0"/>
    <m/>
    <n v="0"/>
    <s v="NINGUNA"/>
    <x v="0"/>
    <n v="3"/>
    <n v="1251616"/>
    <n v="6.9600000977516174E-2"/>
    <s v="5"/>
    <s v="CENTRO TRABAJO 24"/>
    <s v="5711001"/>
    <n v="87200"/>
    <n v="3"/>
    <x v="0"/>
    <n v="1875016"/>
    <n v="3.9999999105930328E-2"/>
    <n v="75100"/>
    <n v="1875016"/>
    <n v="1.9999999552965164E-2"/>
    <n v="37600"/>
    <n v="2.9999999329447746E-2"/>
    <n v="56300"/>
    <n v="0"/>
    <n v="0"/>
    <n v="0"/>
    <n v="0"/>
    <s v="NO"/>
    <s v=" "/>
    <s v="                "/>
  </r>
  <r>
    <x v="1"/>
    <s v="CC"/>
    <x v="415"/>
    <x v="415"/>
    <s v="APONTE"/>
    <s v="SIERRA"/>
    <s v="FRANCISCO"/>
    <s v="JAVIER"/>
    <s v="LA_GUAJIRA"/>
    <s v="RIOHACH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902458"/>
    <s v="NO"/>
    <s v="NO"/>
    <x v="0"/>
    <n v="30"/>
    <n v="4902458"/>
    <n v="0.15999999642372131"/>
    <n v="784400"/>
    <s v="Sin Riesgo"/>
    <n v="0"/>
    <n v="0"/>
    <n v="0"/>
    <n v="0"/>
    <n v="0"/>
    <n v="784400"/>
    <s v="NINGUNA"/>
    <x v="3"/>
    <n v="30"/>
    <n v="4902458"/>
    <n v="3.9999999105930328E-2"/>
    <n v="196100"/>
    <n v="0"/>
    <m/>
    <n v="0"/>
    <m/>
    <n v="0"/>
    <s v="NINGUNA"/>
    <x v="0"/>
    <n v="30"/>
    <n v="4902458"/>
    <n v="6.9600000977516174E-2"/>
    <s v="5"/>
    <s v="CENTRO TRABAJO 30"/>
    <s v="5711001"/>
    <n v="341300"/>
    <n v="30"/>
    <x v="1"/>
    <n v="4902458"/>
    <n v="3.9999999105930328E-2"/>
    <n v="196100"/>
    <n v="0"/>
    <n v="0"/>
    <n v="0"/>
    <n v="0"/>
    <n v="0"/>
    <n v="0"/>
    <n v="0"/>
    <n v="0"/>
    <n v="0"/>
    <s v="SI"/>
    <s v=" "/>
    <s v="                "/>
  </r>
  <r>
    <x v="1"/>
    <s v="CC"/>
    <x v="416"/>
    <x v="416"/>
    <s v="RAMIREZ"/>
    <s v="CASTILLO"/>
    <s v="JESUS"/>
    <s v="EMIL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9"/>
    <n v="46060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"/>
    <n v="119040"/>
    <n v="0.15999999642372131"/>
    <n v="19100"/>
    <s v="Sin Riesgo"/>
    <n v="0"/>
    <n v="0"/>
    <n v="0"/>
    <n v="0"/>
    <n v="0"/>
    <n v="19100"/>
    <s v="NINGUNA"/>
    <x v="0"/>
    <n v="2"/>
    <n v="119040"/>
    <n v="0"/>
    <n v="0"/>
    <n v="0"/>
    <m/>
    <n v="0"/>
    <m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416"/>
    <x v="416"/>
    <s v="RAMIREZ"/>
    <s v="CASTILLO"/>
    <s v="JESUS"/>
    <s v="EMILI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0"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"/>
    <n v="119040"/>
    <n v="0.15999999642372131"/>
    <n v="19100"/>
    <s v="Sin Riesgo"/>
    <n v="0"/>
    <n v="0"/>
    <n v="0"/>
    <n v="0"/>
    <n v="0"/>
    <n v="19100"/>
    <s v="NINGUNA"/>
    <x v="0"/>
    <n v="2"/>
    <n v="119040"/>
    <n v="0"/>
    <n v="0"/>
    <n v="0"/>
    <m/>
    <n v="0"/>
    <m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416"/>
    <x v="416"/>
    <s v="RAMIREZ"/>
    <s v="CASTILLO"/>
    <s v="JESUS"/>
    <s v="EMILI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785595"/>
    <s v="NO"/>
    <s v="NO"/>
    <x v="0"/>
    <n v="26"/>
    <n v="2153022"/>
    <n v="0.15999999642372131"/>
    <n v="344500"/>
    <s v="Sin Riesgo"/>
    <n v="0"/>
    <n v="0"/>
    <n v="0"/>
    <n v="0"/>
    <n v="0"/>
    <n v="344500"/>
    <s v="NINGUNA"/>
    <x v="0"/>
    <n v="26"/>
    <n v="2153022"/>
    <n v="3.9999999105930328E-2"/>
    <n v="86200"/>
    <n v="0"/>
    <m/>
    <n v="0"/>
    <m/>
    <n v="0"/>
    <s v="NINGUNA"/>
    <x v="0"/>
    <n v="26"/>
    <n v="2153022"/>
    <n v="6.9600000977516174E-2"/>
    <s v="5"/>
    <s v="CENTRO TRABAJO 24"/>
    <s v="5711001"/>
    <n v="149900"/>
    <n v="26"/>
    <x v="0"/>
    <n v="2153022"/>
    <n v="3.9999999105930328E-2"/>
    <n v="86200"/>
    <n v="0"/>
    <n v="0"/>
    <n v="0"/>
    <n v="0"/>
    <n v="0"/>
    <n v="0"/>
    <n v="0"/>
    <n v="0"/>
    <n v="0"/>
    <s v="SI"/>
    <s v=" "/>
    <s v="                "/>
  </r>
  <r>
    <x v="1"/>
    <s v="CC"/>
    <x v="417"/>
    <x v="417"/>
    <s v="CALDERON"/>
    <s v="SANCHEZ"/>
    <s v="JOHN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0"/>
    <s v="NO"/>
    <s v="NO"/>
    <m/>
    <m/>
    <n v="0"/>
    <m/>
    <m/>
    <s v="NO"/>
    <n v="6340158"/>
    <s v="NO"/>
    <s v="NO"/>
    <x v="1"/>
    <n v="7"/>
    <n v="1479371"/>
    <n v="0.15999999642372131"/>
    <n v="236700"/>
    <s v="Sin Riesgo"/>
    <n v="0"/>
    <n v="0"/>
    <n v="0"/>
    <n v="0"/>
    <n v="0"/>
    <n v="236700"/>
    <s v="NINGUNA"/>
    <x v="2"/>
    <n v="7"/>
    <n v="1479371"/>
    <n v="3.9999999105930328E-2"/>
    <n v="59200"/>
    <n v="0"/>
    <m/>
    <n v="0"/>
    <m/>
    <n v="0"/>
    <s v="NINGUNA"/>
    <x v="0"/>
    <n v="7"/>
    <n v="1479371"/>
    <n v="0"/>
    <s v="5"/>
    <s v="CENTRO TRABAJO 24"/>
    <s v="5711001"/>
    <n v="0"/>
    <n v="7"/>
    <x v="0"/>
    <n v="1479371"/>
    <n v="3.9999999105930328E-2"/>
    <n v="59200"/>
    <n v="0"/>
    <n v="0"/>
    <n v="0"/>
    <n v="0"/>
    <n v="0"/>
    <n v="0"/>
    <n v="0"/>
    <n v="0"/>
    <n v="0"/>
    <s v="SI"/>
    <s v=" "/>
    <s v="                "/>
  </r>
  <r>
    <x v="1"/>
    <s v="CC"/>
    <x v="417"/>
    <x v="417"/>
    <s v="CALDERON"/>
    <s v="SANCHEZ"/>
    <s v="JOHN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3"/>
    <n v="46063"/>
    <s v="NO"/>
    <s v="NO"/>
    <m/>
    <m/>
    <n v="0"/>
    <m/>
    <m/>
    <s v="NO"/>
    <n v="6340158"/>
    <s v="NO"/>
    <s v="NO"/>
    <x v="1"/>
    <n v="1"/>
    <n v="211339"/>
    <n v="0.15999999642372131"/>
    <n v="33900"/>
    <s v="Sin Riesgo"/>
    <n v="0"/>
    <n v="0"/>
    <n v="0"/>
    <n v="0"/>
    <n v="0"/>
    <n v="33900"/>
    <s v="NINGUNA"/>
    <x v="2"/>
    <n v="1"/>
    <n v="211339"/>
    <n v="3.9999999105930328E-2"/>
    <n v="8500"/>
    <n v="0"/>
    <m/>
    <n v="0"/>
    <m/>
    <n v="0"/>
    <s v="NINGUNA"/>
    <x v="0"/>
    <n v="1"/>
    <n v="211339"/>
    <n v="0"/>
    <s v="5"/>
    <s v="CENTRO TRABAJO 24"/>
    <s v="5711001"/>
    <n v="0"/>
    <n v="1"/>
    <x v="0"/>
    <n v="211339"/>
    <n v="3.9999999105930328E-2"/>
    <n v="8500"/>
    <n v="0"/>
    <n v="0"/>
    <n v="0"/>
    <n v="0"/>
    <n v="0"/>
    <n v="0"/>
    <n v="0"/>
    <n v="0"/>
    <n v="0"/>
    <s v="SI"/>
    <s v=" "/>
    <s v="                "/>
  </r>
  <r>
    <x v="1"/>
    <s v="CC"/>
    <x v="417"/>
    <x v="417"/>
    <s v="CALDERON"/>
    <s v="SANCHEZ"/>
    <s v="JOHN"/>
    <s v=""/>
    <s v="BOGOTA_D.E."/>
    <s v="BOGOTA"/>
    <s v="1. DEPENDIENTE"/>
    <s v="NINGUNO"/>
    <n v="39"/>
    <s v="NO"/>
    <s v="NO"/>
    <m/>
    <s v="NO"/>
    <m/>
    <s v="Todos los sistemas (ARL, AFP, CCF, EPS)"/>
    <n v="46068"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6340158"/>
    <s v="NO"/>
    <s v="NO"/>
    <x v="1"/>
    <n v="7"/>
    <n v="2523130"/>
    <n v="0.15999999642372131"/>
    <n v="403800"/>
    <s v="Sin Riesgo"/>
    <n v="0"/>
    <n v="0"/>
    <n v="0"/>
    <n v="0"/>
    <n v="0"/>
    <n v="403800"/>
    <s v="NINGUNA"/>
    <x v="2"/>
    <n v="7"/>
    <n v="2523130"/>
    <n v="3.9999999105930328E-2"/>
    <n v="101000"/>
    <n v="0"/>
    <m/>
    <n v="0"/>
    <m/>
    <n v="0"/>
    <s v="NINGUNA"/>
    <x v="0"/>
    <n v="7"/>
    <n v="2523130"/>
    <n v="6.9600000977516174E-2"/>
    <s v="5"/>
    <s v="CENTRO TRABAJO 24"/>
    <s v="5711001"/>
    <n v="175700"/>
    <n v="7"/>
    <x v="0"/>
    <n v="2720532"/>
    <n v="3.9999999105930328E-2"/>
    <n v="108900"/>
    <n v="0"/>
    <n v="0"/>
    <n v="0"/>
    <n v="0"/>
    <n v="0"/>
    <n v="0"/>
    <n v="0"/>
    <n v="0"/>
    <n v="0"/>
    <s v="SI"/>
    <s v=" "/>
    <s v="                "/>
  </r>
  <r>
    <x v="1"/>
    <s v="CC"/>
    <x v="418"/>
    <x v="418"/>
    <s v="TORRES"/>
    <s v="BETANCOURT"/>
    <s v="ARISTOBULO"/>
    <s v="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7662332"/>
    <s v="NO"/>
    <s v="NO"/>
    <x v="1"/>
    <n v="30"/>
    <n v="10216442"/>
    <n v="0.15999999642372131"/>
    <n v="1634700"/>
    <s v="Sin Riesgo"/>
    <n v="0"/>
    <n v="0"/>
    <n v="51100"/>
    <n v="51100"/>
    <n v="0"/>
    <n v="1736900"/>
    <s v="NINGUNA"/>
    <x v="0"/>
    <n v="30"/>
    <n v="10216442"/>
    <n v="3.9999999105930328E-2"/>
    <n v="408700"/>
    <n v="0"/>
    <m/>
    <n v="0"/>
    <m/>
    <n v="0"/>
    <s v="NINGUNA"/>
    <x v="0"/>
    <n v="30"/>
    <n v="10216442"/>
    <n v="6.9600000977516174E-2"/>
    <s v="5"/>
    <s v="CENTRO TRABAJO 24"/>
    <s v="5711001"/>
    <n v="711100"/>
    <n v="30"/>
    <x v="0"/>
    <n v="7662331"/>
    <n v="3.9999999105930328E-2"/>
    <n v="306500"/>
    <n v="0"/>
    <n v="0"/>
    <n v="0"/>
    <n v="0"/>
    <n v="0"/>
    <n v="0"/>
    <n v="0"/>
    <n v="0"/>
    <n v="0"/>
    <s v="SI"/>
    <s v=" "/>
    <s v="                "/>
  </r>
  <r>
    <x v="1"/>
    <s v="CC"/>
    <x v="419"/>
    <x v="419"/>
    <s v="BERNAL"/>
    <s v="LEAL"/>
    <s v="HELVER"/>
    <s v="GUSTAVO"/>
    <s v="BOGOTA_D.E."/>
    <s v="BOGOTA"/>
    <s v="1. DEPENDIENTE"/>
    <s v="NINGUNO"/>
    <n v="180"/>
    <s v="NO"/>
    <s v="NO"/>
    <m/>
    <s v="Todos los sistemas (ARL, AFP, CCF, EPS)"/>
    <n v="46055"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5459847"/>
    <s v="NO"/>
    <s v="NO"/>
    <x v="1"/>
    <n v="29"/>
    <n v="5729532"/>
    <n v="0.15999999642372131"/>
    <n v="916800"/>
    <s v="Sin Riesgo"/>
    <n v="0"/>
    <n v="0"/>
    <n v="0"/>
    <n v="0"/>
    <n v="0"/>
    <n v="916800"/>
    <s v="NINGUNA"/>
    <x v="2"/>
    <n v="29"/>
    <n v="5729532"/>
    <n v="3.9999999105930328E-2"/>
    <n v="229200"/>
    <n v="0"/>
    <m/>
    <n v="0"/>
    <m/>
    <n v="0"/>
    <s v="NINGUNA"/>
    <x v="0"/>
    <n v="29"/>
    <n v="5729532"/>
    <n v="6.9600000977516174E-2"/>
    <s v="5"/>
    <s v="CENTRO TRABAJO 24"/>
    <s v="5711001"/>
    <n v="398800"/>
    <n v="29"/>
    <x v="0"/>
    <n v="5729532"/>
    <n v="3.9999999105930328E-2"/>
    <n v="229200"/>
    <n v="0"/>
    <n v="0"/>
    <n v="0"/>
    <n v="0"/>
    <n v="0"/>
    <n v="0"/>
    <n v="0"/>
    <n v="0"/>
    <n v="0"/>
    <s v="SI"/>
    <s v=" "/>
    <s v="                "/>
  </r>
  <r>
    <x v="1"/>
    <s v="CC"/>
    <x v="420"/>
    <x v="420"/>
    <s v="MORA"/>
    <s v="CUBILLOS"/>
    <s v="JESUS"/>
    <s v="ELKY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VACACIONES"/>
    <n v="46054"/>
    <n v="46057"/>
    <s v="NO"/>
    <s v="NO"/>
    <m/>
    <m/>
    <n v="0"/>
    <m/>
    <m/>
    <s v="NO"/>
    <n v="8428565"/>
    <s v="NO"/>
    <s v="NO"/>
    <x v="1"/>
    <n v="4"/>
    <n v="1055220"/>
    <n v="0.15999999642372131"/>
    <n v="168900"/>
    <s v="Sin Riesgo"/>
    <n v="0"/>
    <n v="0"/>
    <n v="5300"/>
    <n v="5300"/>
    <n v="0"/>
    <n v="179500"/>
    <s v="NINGUNA"/>
    <x v="2"/>
    <n v="4"/>
    <n v="1055220"/>
    <n v="3.9999999105930328E-2"/>
    <n v="42300"/>
    <n v="0"/>
    <m/>
    <n v="0"/>
    <m/>
    <n v="0"/>
    <s v="NINGUNA"/>
    <x v="0"/>
    <n v="4"/>
    <n v="1055220"/>
    <n v="0"/>
    <s v="5"/>
    <s v="CENTRO TRABAJO 24"/>
    <s v="5711001"/>
    <n v="0"/>
    <n v="4"/>
    <x v="0"/>
    <n v="1123809"/>
    <n v="3.9999999105930328E-2"/>
    <n v="45000"/>
    <n v="0"/>
    <n v="0"/>
    <n v="0"/>
    <n v="0"/>
    <n v="0"/>
    <n v="0"/>
    <n v="0"/>
    <n v="0"/>
    <n v="0"/>
    <s v="SI"/>
    <s v=" "/>
    <s v="                "/>
  </r>
  <r>
    <x v="1"/>
    <s v="CC"/>
    <x v="420"/>
    <x v="420"/>
    <s v="MORA"/>
    <s v="CUBILLOS"/>
    <s v="JESUS"/>
    <s v="ELKY"/>
    <s v="BOGOTA_D.E."/>
    <s v="BOGOTA"/>
    <s v="1. DEPENDIENTE"/>
    <s v="NINGUNO"/>
    <n v="153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8428565"/>
    <s v="NO"/>
    <s v="NO"/>
    <x v="1"/>
    <n v="26"/>
    <n v="7304757"/>
    <n v="0.15999999642372131"/>
    <n v="1168800"/>
    <s v="Sin Riesgo"/>
    <n v="0"/>
    <n v="0"/>
    <n v="36600"/>
    <n v="36600"/>
    <n v="0"/>
    <n v="1242000"/>
    <s v="NINGUNA"/>
    <x v="2"/>
    <n v="26"/>
    <n v="7304757"/>
    <n v="3.9999999105930328E-2"/>
    <n v="292200"/>
    <n v="0"/>
    <m/>
    <n v="0"/>
    <m/>
    <n v="0"/>
    <s v="NINGUNA"/>
    <x v="0"/>
    <n v="26"/>
    <n v="7304757"/>
    <n v="6.9600000977516174E-2"/>
    <s v="5"/>
    <s v="CENTRO TRABAJO 24"/>
    <s v="5711001"/>
    <n v="508500"/>
    <n v="26"/>
    <x v="0"/>
    <n v="7304757"/>
    <n v="3.9999999105930328E-2"/>
    <n v="292200"/>
    <n v="0"/>
    <n v="0"/>
    <n v="0"/>
    <n v="0"/>
    <n v="0"/>
    <n v="0"/>
    <n v="0"/>
    <n v="0"/>
    <n v="0"/>
    <s v="SI"/>
    <s v=" "/>
    <s v="                "/>
  </r>
  <r>
    <x v="1"/>
    <s v="CC"/>
    <x v="421"/>
    <x v="449"/>
    <s v="PADILLA"/>
    <s v="ESPINOSA"/>
    <s v="JOHN"/>
    <s v="JAIR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5"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"/>
    <n v="148223"/>
    <n v="0.15999999642372131"/>
    <n v="23800"/>
    <s v="Sin Riesgo"/>
    <n v="0"/>
    <n v="0"/>
    <n v="0"/>
    <n v="0"/>
    <n v="0"/>
    <n v="23800"/>
    <s v="NINGUNA"/>
    <x v="0"/>
    <n v="2"/>
    <n v="148223"/>
    <n v="0"/>
    <n v="0"/>
    <n v="0"/>
    <m/>
    <n v="0"/>
    <m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421"/>
    <x v="449"/>
    <s v="PADILLA"/>
    <s v="ESPINOSA"/>
    <s v="JOHN"/>
    <s v="JAIRO"/>
    <s v="BOGOTA_D.E."/>
    <s v="BOGOTA"/>
    <s v="1. DEPENDIENTE"/>
    <s v="NINGUNO"/>
    <n v="213"/>
    <s v="NO"/>
    <s v="NO"/>
    <m/>
    <s v="NO"/>
    <m/>
    <s v="Todos los sistemas (ARL, AFP, CCF, EPS)"/>
    <n v="46081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2"/>
    <n v="28"/>
    <n v="3585149"/>
    <n v="0.15999999642372131"/>
    <n v="573700"/>
    <s v="Sin Riesgo"/>
    <n v="0"/>
    <n v="0"/>
    <n v="0"/>
    <n v="0"/>
    <n v="0"/>
    <n v="573700"/>
    <s v="NINGUNA"/>
    <x v="0"/>
    <n v="28"/>
    <n v="3585149"/>
    <n v="3.9999999105930328E-2"/>
    <n v="143500"/>
    <n v="0"/>
    <m/>
    <n v="0"/>
    <m/>
    <n v="0"/>
    <s v="NINGUNA"/>
    <x v="0"/>
    <n v="28"/>
    <n v="3585149"/>
    <n v="6.9600000977516174E-2"/>
    <s v="5"/>
    <s v="CENTRO TRABAJO 24"/>
    <s v="5711001"/>
    <n v="249600"/>
    <n v="28"/>
    <x v="0"/>
    <n v="4234152"/>
    <n v="3.9999999105930328E-2"/>
    <n v="169400"/>
    <n v="0"/>
    <n v="0"/>
    <n v="0"/>
    <n v="0"/>
    <n v="0"/>
    <n v="0"/>
    <n v="0"/>
    <n v="0"/>
    <n v="0"/>
    <s v="SI"/>
    <s v=" "/>
    <s v="                "/>
  </r>
  <r>
    <x v="1"/>
    <s v="CC"/>
    <x v="422"/>
    <x v="422"/>
    <s v="MORALES"/>
    <s v="TAFUR"/>
    <s v="HENRY"/>
    <s v=""/>
    <s v="ANTIOQUIA"/>
    <s v="MEDELLIN"/>
    <s v="1. DEPENDIENTE"/>
    <s v="NINGUNO"/>
    <n v="188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9729530"/>
    <s v="NO"/>
    <s v="NO"/>
    <x v="1"/>
    <n v="30"/>
    <n v="11704368"/>
    <n v="0.15999999642372131"/>
    <n v="1872700"/>
    <s v="Sin Riesgo"/>
    <n v="0"/>
    <n v="0"/>
    <n v="58600"/>
    <n v="58600"/>
    <n v="0"/>
    <n v="1989900"/>
    <s v="NINGUNA"/>
    <x v="0"/>
    <n v="30"/>
    <n v="11704368"/>
    <n v="0.125"/>
    <n v="1463100"/>
    <n v="0"/>
    <m/>
    <n v="0"/>
    <m/>
    <n v="0"/>
    <s v="NINGUNA"/>
    <x v="0"/>
    <n v="30"/>
    <n v="11704368"/>
    <n v="6.9600000977516174E-2"/>
    <s v="5"/>
    <s v="CENTRO TRABAJO 4"/>
    <s v="5711001"/>
    <n v="814700"/>
    <n v="30"/>
    <x v="4"/>
    <n v="9729530"/>
    <n v="3.9999999105930328E-2"/>
    <n v="389200"/>
    <n v="9729530"/>
    <n v="1.9999999552965164E-2"/>
    <n v="194600"/>
    <n v="2.9999999329447746E-2"/>
    <n v="291900"/>
    <n v="0"/>
    <n v="0"/>
    <n v="0"/>
    <n v="0"/>
    <s v="NO"/>
    <s v=" "/>
    <s v="                "/>
  </r>
  <r>
    <x v="1"/>
    <s v="CC"/>
    <x v="423"/>
    <x v="423"/>
    <s v="SAIZ"/>
    <s v="PINEDA"/>
    <s v="HERMES"/>
    <s v="FERNANDO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6882380"/>
    <s v="NO"/>
    <s v="SI"/>
    <x v="1"/>
    <n v="30"/>
    <n v="16882380"/>
    <n v="0.15999999642372131"/>
    <n v="2701200"/>
    <s v="Sin Riesgo"/>
    <n v="0"/>
    <n v="0"/>
    <n v="84500"/>
    <n v="84500"/>
    <n v="0"/>
    <n v="2870200"/>
    <s v="NINGUNA"/>
    <x v="1"/>
    <n v="30"/>
    <n v="16882380"/>
    <n v="3.9999999105930328E-2"/>
    <n v="675300"/>
    <n v="0"/>
    <m/>
    <n v="0"/>
    <m/>
    <n v="0"/>
    <s v="NINGUNA"/>
    <x v="0"/>
    <n v="30"/>
    <n v="16882380"/>
    <n v="6.9600000977516174E-2"/>
    <s v="5"/>
    <s v="CENTRO TRABAJO 24"/>
    <s v="5711001"/>
    <n v="1175100"/>
    <n v="30"/>
    <x v="0"/>
    <n v="16882380"/>
    <n v="3.9999999105930328E-2"/>
    <n v="675300"/>
    <n v="0"/>
    <n v="0"/>
    <n v="0"/>
    <n v="0"/>
    <n v="0"/>
    <n v="0"/>
    <n v="0"/>
    <n v="0"/>
    <n v="0"/>
    <s v="SI"/>
    <s v=" "/>
    <s v="                "/>
  </r>
  <r>
    <x v="1"/>
    <s v="CC"/>
    <x v="424"/>
    <x v="424"/>
    <s v="ORJUELA"/>
    <s v="SALINAS"/>
    <s v="HUGO"/>
    <s v="NIVELSON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8"/>
    <n v="46058"/>
    <s v="NO"/>
    <s v="NO"/>
    <m/>
    <m/>
    <n v="0"/>
    <m/>
    <m/>
    <s v="NO"/>
    <n v="3415855"/>
    <s v="NO"/>
    <s v="NO"/>
    <x v="1"/>
    <n v="1"/>
    <n v="113862"/>
    <n v="0.15999999642372131"/>
    <n v="18300"/>
    <s v="Sin Riesgo"/>
    <n v="0"/>
    <n v="0"/>
    <n v="0"/>
    <n v="0"/>
    <n v="0"/>
    <n v="18300"/>
    <s v="NINGUNA"/>
    <x v="1"/>
    <n v="1"/>
    <n v="113862"/>
    <n v="3.9999999105930328E-2"/>
    <n v="4600"/>
    <n v="0"/>
    <m/>
    <n v="0"/>
    <m/>
    <n v="0"/>
    <s v="NINGUNA"/>
    <x v="0"/>
    <n v="1"/>
    <n v="113862"/>
    <n v="0"/>
    <s v="5"/>
    <s v="CENTRO TRABAJO 24"/>
    <s v="5711001"/>
    <n v="0"/>
    <n v="1"/>
    <x v="0"/>
    <n v="113862"/>
    <n v="3.9999999105930328E-2"/>
    <n v="4600"/>
    <n v="0"/>
    <n v="0"/>
    <n v="0"/>
    <n v="0"/>
    <n v="0"/>
    <n v="0"/>
    <n v="0"/>
    <n v="0"/>
    <n v="0"/>
    <s v="SI"/>
    <s v=" "/>
    <s v="                "/>
  </r>
  <r>
    <x v="1"/>
    <s v="CC"/>
    <x v="424"/>
    <x v="424"/>
    <s v="ORJUELA"/>
    <s v="SALINAS"/>
    <s v="HUGO"/>
    <s v="NIVELSON"/>
    <s v="BOGOTA_D.E."/>
    <s v="BOGOTA"/>
    <s v="1. DEPENDIENTE"/>
    <s v="NINGUNO"/>
    <n v="171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3415855"/>
    <s v="NO"/>
    <s v="NO"/>
    <x v="1"/>
    <n v="29"/>
    <n v="3301994"/>
    <n v="0.15999999642372131"/>
    <n v="528400"/>
    <s v="Sin Riesgo"/>
    <n v="0"/>
    <n v="0"/>
    <n v="0"/>
    <n v="0"/>
    <n v="0"/>
    <n v="528400"/>
    <s v="NINGUNA"/>
    <x v="1"/>
    <n v="29"/>
    <n v="3301994"/>
    <n v="3.9999999105930328E-2"/>
    <n v="132100"/>
    <n v="0"/>
    <m/>
    <n v="0"/>
    <m/>
    <n v="0"/>
    <s v="NINGUNA"/>
    <x v="0"/>
    <n v="29"/>
    <n v="3301994"/>
    <n v="6.9600000977516174E-2"/>
    <s v="5"/>
    <s v="CENTRO TRABAJO 24"/>
    <s v="5711001"/>
    <n v="229900"/>
    <n v="29"/>
    <x v="0"/>
    <n v="3301994"/>
    <n v="3.9999999105930328E-2"/>
    <n v="132100"/>
    <n v="0"/>
    <n v="0"/>
    <n v="0"/>
    <n v="0"/>
    <n v="0"/>
    <n v="0"/>
    <n v="0"/>
    <n v="0"/>
    <n v="0"/>
    <s v="SI"/>
    <s v=" "/>
    <s v="                "/>
  </r>
  <r>
    <x v="1"/>
    <s v="CC"/>
    <x v="425"/>
    <x v="425"/>
    <s v="CARDONA"/>
    <s v="SANCHEZ"/>
    <s v="JULIO"/>
    <s v="ENRIQUE"/>
    <s v="BOGOTA_D.E."/>
    <s v="BOGOTA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1650406"/>
    <s v="NO"/>
    <s v="NO"/>
    <x v="1"/>
    <n v="30"/>
    <n v="11650406"/>
    <n v="0.15999999642372131"/>
    <n v="1864100"/>
    <s v="Sin Riesgo"/>
    <n v="0"/>
    <n v="0"/>
    <n v="58300"/>
    <n v="58300"/>
    <n v="0"/>
    <n v="1980700"/>
    <s v="NINGUNA"/>
    <x v="8"/>
    <n v="30"/>
    <n v="11650406"/>
    <n v="3.9999999105930328E-2"/>
    <n v="466100"/>
    <n v="0"/>
    <m/>
    <n v="0"/>
    <m/>
    <n v="0"/>
    <s v="NINGUNA"/>
    <x v="0"/>
    <n v="30"/>
    <n v="11650406"/>
    <n v="6.9600000977516174E-2"/>
    <s v="5"/>
    <s v="CENTRO TRABAJO 24"/>
    <s v="5711001"/>
    <n v="810900"/>
    <n v="30"/>
    <x v="0"/>
    <n v="11650406"/>
    <n v="3.9999999105930328E-2"/>
    <n v="466100"/>
    <n v="0"/>
    <n v="0"/>
    <n v="0"/>
    <n v="0"/>
    <n v="0"/>
    <n v="0"/>
    <n v="0"/>
    <n v="0"/>
    <n v="0"/>
    <s v="SI"/>
    <s v=" "/>
    <s v="                "/>
  </r>
  <r>
    <x v="1"/>
    <s v="CC"/>
    <x v="426"/>
    <x v="426"/>
    <s v="POVEDA"/>
    <s v="TOBAR"/>
    <s v="ROBERT"/>
    <s v="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4937231"/>
    <s v="NO"/>
    <s v="NO"/>
    <x v="1"/>
    <n v="30"/>
    <n v="5616084"/>
    <n v="0.15999999642372131"/>
    <n v="898600"/>
    <s v="Sin Riesgo"/>
    <n v="0"/>
    <n v="0"/>
    <n v="0"/>
    <n v="0"/>
    <n v="0"/>
    <n v="898600"/>
    <s v="NINGUNA"/>
    <x v="0"/>
    <n v="30"/>
    <n v="5616084"/>
    <n v="3.9999999105930328E-2"/>
    <n v="224700"/>
    <n v="0"/>
    <m/>
    <n v="0"/>
    <m/>
    <n v="0"/>
    <s v="NINGUNA"/>
    <x v="0"/>
    <n v="30"/>
    <n v="5616084"/>
    <n v="6.9600000977516174E-2"/>
    <s v="5"/>
    <s v="CENTRO TRABAJO 24"/>
    <s v="5711001"/>
    <n v="390900"/>
    <n v="30"/>
    <x v="0"/>
    <n v="4937231"/>
    <n v="3.9999999105930328E-2"/>
    <n v="197500"/>
    <n v="0"/>
    <n v="0"/>
    <n v="0"/>
    <n v="0"/>
    <n v="0"/>
    <n v="0"/>
    <n v="0"/>
    <n v="0"/>
    <n v="0"/>
    <s v="SI"/>
    <s v=" "/>
    <s v="                "/>
  </r>
  <r>
    <x v="1"/>
    <s v="CC"/>
    <x v="427"/>
    <x v="427"/>
    <s v="BERNAL"/>
    <s v="LOZANO"/>
    <s v="JORGE"/>
    <s v="HUMBERT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69"/>
    <n v="46071"/>
    <s v="NO"/>
    <s v="NO"/>
    <m/>
    <m/>
    <n v="0"/>
    <m/>
    <m/>
    <s v="NO"/>
    <n v="6167245"/>
    <s v="NO"/>
    <s v="SI"/>
    <x v="1"/>
    <n v="3"/>
    <n v="616725"/>
    <n v="0.15999999642372131"/>
    <n v="98700"/>
    <s v="Sin Riesgo"/>
    <n v="0"/>
    <n v="0"/>
    <n v="0"/>
    <n v="0"/>
    <n v="0"/>
    <n v="98700"/>
    <s v="NINGUNA"/>
    <x v="0"/>
    <n v="3"/>
    <n v="616725"/>
    <n v="3.9999999105930328E-2"/>
    <n v="24700"/>
    <n v="0"/>
    <m/>
    <n v="0"/>
    <m/>
    <n v="0"/>
    <s v="NINGUNA"/>
    <x v="0"/>
    <n v="3"/>
    <n v="616725"/>
    <n v="0"/>
    <s v="5"/>
    <s v="CENTRO TRABAJO 24"/>
    <s v="5711001"/>
    <n v="0"/>
    <n v="3"/>
    <x v="0"/>
    <n v="616725"/>
    <n v="3.9999999105930328E-2"/>
    <n v="24700"/>
    <n v="0"/>
    <n v="0"/>
    <n v="0"/>
    <n v="0"/>
    <n v="0"/>
    <n v="0"/>
    <n v="0"/>
    <n v="0"/>
    <n v="0"/>
    <s v="SI"/>
    <s v=" "/>
    <s v="                "/>
  </r>
  <r>
    <x v="1"/>
    <s v="CC"/>
    <x v="427"/>
    <x v="427"/>
    <s v="BERNAL"/>
    <s v="LOZANO"/>
    <s v="JORGE"/>
    <s v="HUMBERTO"/>
    <s v="BOGOTA_D.E."/>
    <s v="BOGOTA"/>
    <s v="1. DEPENDIENTE"/>
    <s v="NINGUNO"/>
    <n v="153"/>
    <s v="NO"/>
    <s v="NO"/>
    <m/>
    <s v="NO"/>
    <m/>
    <s v="NO"/>
    <m/>
    <s v="NO"/>
    <s v="NO"/>
    <s v="NO"/>
    <s v="NO"/>
    <s v="SI"/>
    <n v="46054"/>
    <s v="SI"/>
    <s v="NO"/>
    <m/>
    <m/>
    <s v="NO"/>
    <m/>
    <m/>
    <s v="NO"/>
    <m/>
    <m/>
    <s v="NO"/>
    <m/>
    <m/>
    <s v="NO"/>
    <s v="NO"/>
    <m/>
    <m/>
    <n v="0"/>
    <m/>
    <m/>
    <s v="NO"/>
    <n v="6167245"/>
    <s v="NO"/>
    <s v="SI"/>
    <x v="1"/>
    <n v="27"/>
    <n v="5550521"/>
    <n v="0.15999999642372131"/>
    <n v="888100"/>
    <s v="Sin Riesgo"/>
    <n v="0"/>
    <n v="0"/>
    <n v="0"/>
    <n v="0"/>
    <n v="0"/>
    <n v="888100"/>
    <s v="NINGUNA"/>
    <x v="0"/>
    <n v="27"/>
    <n v="5550521"/>
    <n v="3.9999999105930328E-2"/>
    <n v="222100"/>
    <n v="0"/>
    <m/>
    <n v="0"/>
    <m/>
    <n v="0"/>
    <s v="NINGUNA"/>
    <x v="0"/>
    <n v="27"/>
    <n v="5550521"/>
    <n v="6.9600000977516174E-2"/>
    <s v="5"/>
    <s v="CENTRO TRABAJO 24"/>
    <s v="5711001"/>
    <n v="386400"/>
    <n v="27"/>
    <x v="0"/>
    <n v="5550521"/>
    <n v="3.9999999105930328E-2"/>
    <n v="222100"/>
    <n v="0"/>
    <n v="0"/>
    <n v="0"/>
    <n v="0"/>
    <n v="0"/>
    <n v="0"/>
    <n v="0"/>
    <n v="0"/>
    <n v="0"/>
    <s v="SI"/>
    <s v=" "/>
    <s v="                "/>
  </r>
  <r>
    <x v="1"/>
    <s v="CC"/>
    <x v="428"/>
    <x v="428"/>
    <s v="PARRA"/>
    <s v="DELGADO"/>
    <s v="JOSE"/>
    <s v="GABRI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54"/>
    <n v="46055"/>
    <s v="NO"/>
    <m/>
    <m/>
    <s v="NO"/>
    <m/>
    <m/>
    <s v="NO"/>
    <s v="NO"/>
    <m/>
    <m/>
    <n v="0"/>
    <m/>
    <m/>
    <s v="NO"/>
    <n v="2223339"/>
    <s v="NO"/>
    <s v="NO"/>
    <x v="1"/>
    <n v="2"/>
    <n v="255500"/>
    <n v="0.15999999642372131"/>
    <n v="40900"/>
    <s v="Sin Riesgo"/>
    <n v="0"/>
    <n v="0"/>
    <n v="0"/>
    <n v="0"/>
    <n v="0"/>
    <n v="40900"/>
    <s v="NINGUNA"/>
    <x v="3"/>
    <n v="2"/>
    <n v="255500"/>
    <n v="3.9999999105930328E-2"/>
    <n v="10300"/>
    <n v="0"/>
    <m/>
    <n v="0"/>
    <m/>
    <n v="0"/>
    <s v="NINGUNA"/>
    <x v="0"/>
    <n v="2"/>
    <n v="25550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428"/>
    <x v="428"/>
    <s v="PARRA"/>
    <s v="DELGADO"/>
    <s v="JOSE"/>
    <s v="GABRI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10"/>
    <n v="46072"/>
    <n v="46081"/>
    <s v="NO"/>
    <n v="2223339"/>
    <s v="NO"/>
    <s v="NO"/>
    <x v="1"/>
    <n v="10"/>
    <n v="1277500"/>
    <n v="0.15999999642372131"/>
    <n v="204400"/>
    <s v="Sin Riesgo"/>
    <n v="0"/>
    <n v="0"/>
    <n v="0"/>
    <n v="0"/>
    <n v="0"/>
    <n v="204400"/>
    <s v="NINGUNA"/>
    <x v="3"/>
    <n v="10"/>
    <n v="1277500"/>
    <n v="3.9999999105930328E-2"/>
    <n v="51100"/>
    <n v="0"/>
    <m/>
    <n v="0"/>
    <m/>
    <n v="0"/>
    <s v="NINGUNA"/>
    <x v="0"/>
    <n v="10"/>
    <n v="1277500"/>
    <n v="0"/>
    <s v="5"/>
    <s v="CENTRO TRABAJO 24"/>
    <s v="5711001"/>
    <n v="0"/>
    <n v="10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428"/>
    <x v="428"/>
    <s v="PARRA"/>
    <s v="DELGADO"/>
    <s v="JOSE"/>
    <s v="GABRIEL"/>
    <s v="BOGOTA_D.E."/>
    <s v="BOGOTA"/>
    <s v="1. DEPENDIENTE"/>
    <s v="NINGUNO"/>
    <n v="14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18"/>
    <n v="2056842"/>
    <n v="0.15999999642372131"/>
    <n v="329100"/>
    <s v="Sin Riesgo"/>
    <n v="0"/>
    <n v="0"/>
    <n v="0"/>
    <n v="0"/>
    <n v="0"/>
    <n v="329100"/>
    <s v="NINGUNA"/>
    <x v="3"/>
    <n v="18"/>
    <n v="2056842"/>
    <n v="3.9999999105930328E-2"/>
    <n v="82300"/>
    <n v="0"/>
    <m/>
    <n v="0"/>
    <m/>
    <n v="0"/>
    <s v="NINGUNA"/>
    <x v="0"/>
    <n v="18"/>
    <n v="2056842"/>
    <n v="6.9600000977516174E-2"/>
    <s v="5"/>
    <s v="CENTRO TRABAJO 24"/>
    <s v="5711001"/>
    <n v="143200"/>
    <n v="18"/>
    <x v="0"/>
    <n v="2056842"/>
    <n v="3.9999999105930328E-2"/>
    <n v="82300"/>
    <n v="0"/>
    <n v="0"/>
    <n v="0"/>
    <n v="0"/>
    <n v="0"/>
    <n v="0"/>
    <n v="0"/>
    <n v="0"/>
    <n v="0"/>
    <s v="SI"/>
    <s v=" "/>
    <s v="                "/>
  </r>
  <r>
    <x v="1"/>
    <s v="CC"/>
    <x v="429"/>
    <x v="429"/>
    <s v="HERNANDEZ"/>
    <s v="BOMBITA"/>
    <s v="CARLOS"/>
    <s v="ALBERTO"/>
    <s v="BOGOTA_D.E."/>
    <s v="BOGOTA"/>
    <s v="1. DEPENDIENTE"/>
    <s v="NINGUNO"/>
    <n v="68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665550"/>
    <s v="NO"/>
    <s v="SI"/>
    <x v="2"/>
    <n v="7"/>
    <n v="1757051"/>
    <n v="0.15999999642372131"/>
    <n v="281200"/>
    <s v="Sin Riesgo"/>
    <n v="0"/>
    <n v="0"/>
    <n v="0"/>
    <n v="0"/>
    <n v="0"/>
    <n v="281200"/>
    <s v="NINGUNA"/>
    <x v="0"/>
    <n v="7"/>
    <n v="1757051"/>
    <n v="3.9999999105930328E-2"/>
    <n v="70300"/>
    <n v="0"/>
    <m/>
    <n v="0"/>
    <m/>
    <n v="0"/>
    <s v="NINGUNA"/>
    <x v="0"/>
    <n v="7"/>
    <n v="1757051"/>
    <n v="6.9600000977516174E-2"/>
    <s v="5"/>
    <s v="CENTRO TRABAJO 24"/>
    <s v="5711001"/>
    <n v="122300"/>
    <n v="7"/>
    <x v="0"/>
    <n v="2340224"/>
    <n v="3.9999999105930328E-2"/>
    <n v="93700"/>
    <n v="0"/>
    <n v="0"/>
    <n v="0"/>
    <n v="0"/>
    <n v="0"/>
    <n v="0"/>
    <n v="0"/>
    <n v="0"/>
    <n v="0"/>
    <s v="SI"/>
    <s v=" "/>
    <s v="                "/>
  </r>
  <r>
    <x v="1"/>
    <s v="CC"/>
    <x v="430"/>
    <x v="430"/>
    <s v="GUZMAN"/>
    <s v="PEÑA"/>
    <s v="JOSE"/>
    <s v="LEONARDO"/>
    <s v="BOGOTA_D.E."/>
    <s v="BOGOTA"/>
    <s v="1. DEPENDIENTE"/>
    <s v="NINGUNO"/>
    <n v="18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16882380"/>
    <s v="NO"/>
    <s v="NO"/>
    <x v="2"/>
    <n v="30"/>
    <n v="16882380"/>
    <n v="0.15999999642372131"/>
    <n v="2701200"/>
    <s v="Sin Riesgo"/>
    <n v="0"/>
    <n v="0"/>
    <n v="84500"/>
    <n v="84500"/>
    <n v="0"/>
    <n v="2870200"/>
    <s v="NINGUNA"/>
    <x v="2"/>
    <n v="30"/>
    <n v="16882380"/>
    <n v="0.125"/>
    <n v="2110300"/>
    <n v="0"/>
    <m/>
    <n v="0"/>
    <m/>
    <n v="0"/>
    <s v="NINGUNA"/>
    <x v="0"/>
    <n v="30"/>
    <n v="16882380"/>
    <n v="6.9600000977516174E-2"/>
    <s v="5"/>
    <s v="CENTRO TRABAJO 24"/>
    <s v="5711001"/>
    <n v="1175100"/>
    <n v="30"/>
    <x v="0"/>
    <n v="16882380"/>
    <n v="3.9999999105930328E-2"/>
    <n v="675300"/>
    <n v="16882380"/>
    <n v="1.9999999552965164E-2"/>
    <n v="337700"/>
    <n v="2.9999999329447746E-2"/>
    <n v="506500"/>
    <n v="0"/>
    <n v="0"/>
    <n v="0"/>
    <n v="0"/>
    <s v="NO"/>
    <s v=" "/>
    <s v="                "/>
  </r>
  <r>
    <x v="1"/>
    <s v="CC"/>
    <x v="431"/>
    <x v="431"/>
    <s v="CARDENAS"/>
    <s v="FIGUEROA"/>
    <s v="OSCAR"/>
    <s v="ORLAN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60"/>
    <s v="NO"/>
    <s v="NO"/>
    <m/>
    <m/>
    <n v="0"/>
    <m/>
    <m/>
    <s v="NO"/>
    <n v="7458355"/>
    <s v="NO"/>
    <s v="SI"/>
    <x v="1"/>
    <n v="7"/>
    <n v="1740283"/>
    <n v="0.15999999642372131"/>
    <n v="278500"/>
    <s v="Sin Riesgo"/>
    <n v="0"/>
    <n v="0"/>
    <n v="8800"/>
    <n v="8800"/>
    <n v="0"/>
    <n v="296100"/>
    <s v="NINGUNA"/>
    <x v="8"/>
    <n v="7"/>
    <n v="1740283"/>
    <n v="3.9999999105930328E-2"/>
    <n v="69700"/>
    <n v="0"/>
    <m/>
    <n v="0"/>
    <m/>
    <n v="0"/>
    <s v="NINGUNA"/>
    <x v="0"/>
    <n v="7"/>
    <n v="1740283"/>
    <n v="0"/>
    <s v="5"/>
    <s v="CENTRO TRABAJO 24"/>
    <s v="5711001"/>
    <n v="0"/>
    <n v="7"/>
    <x v="0"/>
    <n v="1740283"/>
    <n v="3.9999999105930328E-2"/>
    <n v="69700"/>
    <n v="0"/>
    <n v="0"/>
    <n v="0"/>
    <n v="0"/>
    <n v="0"/>
    <n v="0"/>
    <n v="0"/>
    <n v="0"/>
    <n v="0"/>
    <s v="SI"/>
    <s v=" "/>
    <s v="                "/>
  </r>
  <r>
    <x v="1"/>
    <s v="CC"/>
    <x v="431"/>
    <x v="431"/>
    <s v="CARDENAS"/>
    <s v="FIGUEROA"/>
    <s v="OSCAR"/>
    <s v="ORLANDO"/>
    <s v="BOGOTA_D.E."/>
    <s v="BOGOTA"/>
    <s v="1. DEPENDIENTE"/>
    <s v="NINGUNO"/>
    <n v="135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7458355"/>
    <s v="NO"/>
    <s v="SI"/>
    <x v="1"/>
    <n v="23"/>
    <n v="5718073"/>
    <n v="0.15999999642372131"/>
    <n v="914900"/>
    <s v="Sin Riesgo"/>
    <n v="0"/>
    <n v="0"/>
    <n v="28600"/>
    <n v="28600"/>
    <n v="0"/>
    <n v="972100"/>
    <s v="NINGUNA"/>
    <x v="8"/>
    <n v="23"/>
    <n v="5718073"/>
    <n v="3.9999999105930328E-2"/>
    <n v="228800"/>
    <n v="0"/>
    <m/>
    <n v="0"/>
    <m/>
    <n v="0"/>
    <s v="NINGUNA"/>
    <x v="0"/>
    <n v="23"/>
    <n v="5718073"/>
    <n v="6.9600000977516174E-2"/>
    <s v="5"/>
    <s v="CENTRO TRABAJO 24"/>
    <s v="5711001"/>
    <n v="398000"/>
    <n v="23"/>
    <x v="0"/>
    <n v="5718073"/>
    <n v="3.9999999105930328E-2"/>
    <n v="228800"/>
    <n v="0"/>
    <n v="0"/>
    <n v="0"/>
    <n v="0"/>
    <n v="0"/>
    <n v="0"/>
    <n v="0"/>
    <n v="0"/>
    <n v="0"/>
    <s v="SI"/>
    <s v=" "/>
    <s v="                "/>
  </r>
  <r>
    <x v="1"/>
    <s v="CC"/>
    <x v="432"/>
    <x v="432"/>
    <s v="VILLATE"/>
    <s v="GOMEZ"/>
    <s v="LUIS"/>
    <s v="FRANCISCO"/>
    <s v="BOGOTA_D.E."/>
    <s v="BOGOTA"/>
    <s v="1. DEPENDIENTE"/>
    <s v="NINGUNO"/>
    <n v="21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3160713"/>
    <n v="0.15999999642372131"/>
    <n v="505800"/>
    <s v="Sin Riesgo"/>
    <n v="0"/>
    <n v="0"/>
    <n v="0"/>
    <n v="0"/>
    <n v="0"/>
    <n v="505800"/>
    <s v="NINGUNA"/>
    <x v="0"/>
    <n v="30"/>
    <n v="3160713"/>
    <n v="3.9999999105930328E-2"/>
    <n v="126500"/>
    <n v="0"/>
    <m/>
    <n v="0"/>
    <m/>
    <n v="0"/>
    <s v="NINGUNA"/>
    <x v="0"/>
    <n v="30"/>
    <n v="3160713"/>
    <n v="6.9600000977516174E-2"/>
    <s v="5"/>
    <s v="CENTRO TRABAJO 24"/>
    <s v="5711001"/>
    <n v="220000"/>
    <n v="30"/>
    <x v="0"/>
    <n v="3160713"/>
    <n v="3.9999999105930328E-2"/>
    <n v="126500"/>
    <n v="0"/>
    <n v="0"/>
    <n v="0"/>
    <n v="0"/>
    <n v="0"/>
    <n v="0"/>
    <n v="0"/>
    <n v="0"/>
    <n v="0"/>
    <s v="SI"/>
    <s v=" "/>
    <s v="                "/>
  </r>
  <r>
    <x v="1"/>
    <s v="CC"/>
    <x v="433"/>
    <x v="433"/>
    <s v="GUZMAN"/>
    <s v="BOHADA"/>
    <s v="MAURICIO"/>
    <s v="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81"/>
    <s v="NO"/>
    <s v="NO"/>
    <m/>
    <m/>
    <n v="0"/>
    <m/>
    <m/>
    <s v="NO"/>
    <n v="2418000"/>
    <s v="NO"/>
    <s v="NO"/>
    <x v="1"/>
    <n v="30"/>
    <n v="2418000"/>
    <n v="0.15999999642372131"/>
    <n v="386900"/>
    <s v="Sin Riesgo"/>
    <n v="0"/>
    <n v="0"/>
    <n v="0"/>
    <n v="0"/>
    <n v="0"/>
    <n v="386900"/>
    <s v="NINGUNA"/>
    <x v="2"/>
    <n v="30"/>
    <n v="2418000"/>
    <n v="3.9999999105930328E-2"/>
    <n v="96800"/>
    <n v="0"/>
    <m/>
    <n v="0"/>
    <m/>
    <n v="0"/>
    <s v="NINGUNA"/>
    <x v="0"/>
    <n v="30"/>
    <n v="2418000"/>
    <n v="0"/>
    <s v="1"/>
    <s v="CENTRO TRABAJO 24"/>
    <s v="1711001"/>
    <n v="0"/>
    <n v="30"/>
    <x v="0"/>
    <n v="2418000"/>
    <n v="3.9999999105930328E-2"/>
    <n v="96800"/>
    <n v="0"/>
    <n v="0"/>
    <n v="0"/>
    <n v="0"/>
    <n v="0"/>
    <n v="0"/>
    <n v="0"/>
    <n v="0"/>
    <n v="0"/>
    <s v="SI"/>
    <s v=" "/>
    <s v="                "/>
  </r>
  <r>
    <x v="1"/>
    <s v="CC"/>
    <x v="434"/>
    <x v="434"/>
    <s v="MORENO"/>
    <s v="CASTRO"/>
    <s v="JOSE"/>
    <s v="ANTONIO"/>
    <s v="BOGOTA_D.E."/>
    <s v="BOGOTA"/>
    <s v="1. DEPENDIENTE"/>
    <s v="NINGUNO"/>
    <n v="67"/>
    <s v="NO"/>
    <s v="NO"/>
    <m/>
    <s v="NO"/>
    <m/>
    <s v="Todos los sistemas (ARL, AFP, CCF, EPS)"/>
    <n v="46060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970185"/>
    <s v="NO"/>
    <s v="NO"/>
    <x v="1"/>
    <n v="7"/>
    <n v="2189385"/>
    <n v="0.15999999642372131"/>
    <n v="350400"/>
    <s v="Sin Riesgo"/>
    <n v="0"/>
    <n v="0"/>
    <n v="0"/>
    <n v="0"/>
    <n v="0"/>
    <n v="350400"/>
    <s v="NINGUNA"/>
    <x v="3"/>
    <n v="7"/>
    <n v="2189385"/>
    <n v="0.125"/>
    <n v="273700"/>
    <n v="0"/>
    <m/>
    <n v="0"/>
    <m/>
    <n v="0"/>
    <s v="NINGUNA"/>
    <x v="0"/>
    <n v="7"/>
    <n v="2189385"/>
    <n v="6.9600000977516174E-2"/>
    <s v="5"/>
    <s v="CENTRO TRABAJO 24"/>
    <s v="5711001"/>
    <n v="152400"/>
    <n v="7"/>
    <x v="0"/>
    <n v="3329190"/>
    <n v="3.9999999105930328E-2"/>
    <n v="133200"/>
    <n v="3329190"/>
    <n v="1.9999999552965164E-2"/>
    <n v="66600"/>
    <n v="2.9999999329447746E-2"/>
    <n v="99900"/>
    <n v="0"/>
    <n v="0"/>
    <n v="0"/>
    <n v="0"/>
    <s v="NO"/>
    <s v=" "/>
    <s v="                "/>
  </r>
  <r>
    <x v="1"/>
    <s v="CC"/>
    <x v="435"/>
    <x v="435"/>
    <s v="LOAIZA"/>
    <s v="GOMEZ"/>
    <s v="IVAN"/>
    <s v="DARIO"/>
    <s v="ANTIOQUIA"/>
    <s v="MEDELLIN"/>
    <s v="1. DEPENDIENTE"/>
    <s v="NINGUNO"/>
    <n v="188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515144"/>
    <n v="0.15999999642372131"/>
    <n v="402500"/>
    <s v="Sin Riesgo"/>
    <n v="0"/>
    <n v="0"/>
    <n v="0"/>
    <n v="0"/>
    <n v="0"/>
    <n v="402500"/>
    <s v="NINGUNA"/>
    <x v="0"/>
    <n v="30"/>
    <n v="2515144"/>
    <n v="3.9999999105930328E-2"/>
    <n v="100700"/>
    <n v="0"/>
    <m/>
    <n v="0"/>
    <m/>
    <n v="0"/>
    <s v="NINGUNA"/>
    <x v="0"/>
    <n v="30"/>
    <n v="2515144"/>
    <n v="6.9600000977516174E-2"/>
    <s v="5"/>
    <s v="CENTRO TRABAJO 4"/>
    <s v="5711001"/>
    <n v="175100"/>
    <n v="30"/>
    <x v="4"/>
    <n v="2515144"/>
    <n v="3.9999999105930328E-2"/>
    <n v="100700"/>
    <n v="0"/>
    <n v="0"/>
    <n v="0"/>
    <n v="0"/>
    <n v="0"/>
    <n v="0"/>
    <n v="0"/>
    <n v="0"/>
    <n v="0"/>
    <s v="SI"/>
    <s v=" "/>
    <s v="                "/>
  </r>
  <r>
    <x v="1"/>
    <s v="CC"/>
    <x v="436"/>
    <x v="436"/>
    <s v="OSORIO"/>
    <s v="BENJUMEA"/>
    <s v="JHON"/>
    <s v="JAIRO"/>
    <s v="ANTIOQUIA"/>
    <s v="MEDELLIN"/>
    <s v="1. DEPENDIENTE"/>
    <s v="NINGUNO"/>
    <n v="220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86374"/>
    <s v="NO"/>
    <s v="NO"/>
    <x v="1"/>
    <n v="30"/>
    <n v="2920092"/>
    <n v="0.15999999642372131"/>
    <n v="467300"/>
    <s v="Sin Riesgo"/>
    <n v="0"/>
    <n v="0"/>
    <n v="0"/>
    <n v="0"/>
    <n v="0"/>
    <n v="467300"/>
    <s v="NINGUNA"/>
    <x v="2"/>
    <n v="30"/>
    <n v="2920092"/>
    <n v="3.9999999105930328E-2"/>
    <n v="116900"/>
    <n v="0"/>
    <m/>
    <n v="0"/>
    <m/>
    <n v="0"/>
    <s v="NINGUNA"/>
    <x v="0"/>
    <n v="30"/>
    <n v="2920092"/>
    <n v="2.4360001087188721E-2"/>
    <s v="3"/>
    <s v="CENTRO TRABAJO 4"/>
    <s v="3711001"/>
    <n v="71200"/>
    <n v="30"/>
    <x v="4"/>
    <n v="2920092"/>
    <n v="3.9999999105930328E-2"/>
    <n v="116900"/>
    <n v="0"/>
    <n v="0"/>
    <n v="0"/>
    <n v="0"/>
    <n v="0"/>
    <n v="0"/>
    <n v="0"/>
    <n v="0"/>
    <n v="0"/>
    <s v="SI"/>
    <s v=" "/>
    <s v="                "/>
  </r>
  <r>
    <x v="1"/>
    <s v="CC"/>
    <x v="437"/>
    <x v="437"/>
    <s v="ESPINOSA"/>
    <s v="JARAMILLO"/>
    <s v="OVER"/>
    <s v="ALONSO"/>
    <s v="BOGOTA_D.E."/>
    <s v="BOGOTA"/>
    <s v="1. DEPENDIENTE"/>
    <s v="NINGUNO"/>
    <n v="217"/>
    <s v="NO"/>
    <s v="NO"/>
    <m/>
    <s v="NO"/>
    <m/>
    <s v="NO"/>
    <m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NO"/>
    <n v="2223339"/>
    <s v="NO"/>
    <s v="NO"/>
    <x v="1"/>
    <n v="30"/>
    <n v="2996237"/>
    <n v="0.15999999642372131"/>
    <n v="479400"/>
    <s v="Sin Riesgo"/>
    <n v="0"/>
    <n v="0"/>
    <n v="0"/>
    <n v="0"/>
    <n v="0"/>
    <n v="479400"/>
    <s v="NINGUNA"/>
    <x v="0"/>
    <n v="30"/>
    <n v="2996237"/>
    <n v="3.9999999105930328E-2"/>
    <n v="119900"/>
    <n v="0"/>
    <m/>
    <n v="0"/>
    <m/>
    <n v="0"/>
    <s v="NINGUNA"/>
    <x v="0"/>
    <n v="30"/>
    <n v="2996237"/>
    <n v="6.9600000977516174E-2"/>
    <s v="5"/>
    <s v="CENTRO TRABAJO 24"/>
    <s v="5711001"/>
    <n v="208600"/>
    <n v="30"/>
    <x v="0"/>
    <n v="2996237"/>
    <n v="3.9999999105930328E-2"/>
    <n v="119900"/>
    <n v="0"/>
    <n v="0"/>
    <n v="0"/>
    <n v="0"/>
    <n v="0"/>
    <n v="0"/>
    <n v="0"/>
    <n v="0"/>
    <n v="0"/>
    <s v="SI"/>
    <s v=" "/>
    <s v="                "/>
  </r>
  <r>
    <x v="1"/>
    <s v="CC"/>
    <x v="438"/>
    <x v="450"/>
    <s v="ZAMUDIO"/>
    <s v="CORDOVA"/>
    <s v="SANTIAGO"/>
    <s v=""/>
    <s v="BOGOTA_D.E."/>
    <s v="BOGOTA"/>
    <s v="40. BENEFICIARIO DE UPC ADICIONAL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0"/>
    <m/>
    <m/>
    <s v="NO"/>
    <n v="0"/>
    <s v="NO"/>
    <s v=""/>
    <x v="6"/>
    <n v="0"/>
    <n v="0"/>
    <n v="0"/>
    <n v="0"/>
    <s v="Sin Riesgo"/>
    <n v="0"/>
    <n v="0"/>
    <n v="0"/>
    <n v="0"/>
    <n v="0"/>
    <n v="0"/>
    <s v="NINGUNA"/>
    <x v="2"/>
    <n v="30"/>
    <n v="0"/>
    <n v="0"/>
    <n v="0"/>
    <n v="99000"/>
    <m/>
    <n v="0"/>
    <m/>
    <n v="0"/>
    <s v="NINGUNA"/>
    <x v="1"/>
    <n v="0"/>
    <n v="0"/>
    <n v="0"/>
    <s v="NINGUNA"/>
    <s v="CENTRO TRABAJO 24"/>
    <s v="0000000"/>
    <n v="0"/>
    <n v="0"/>
    <x v="6"/>
    <n v="0"/>
    <n v="0"/>
    <n v="0"/>
    <n v="0"/>
    <n v="0"/>
    <n v="0"/>
    <n v="0"/>
    <n v="0"/>
    <n v="0"/>
    <n v="0"/>
    <n v="0"/>
    <n v="0"/>
    <s v="NO"/>
    <s v="CC"/>
    <n v="79425463"/>
  </r>
  <r>
    <x v="1"/>
    <s v="CC"/>
    <x v="10"/>
    <x v="10"/>
    <s v="MALDONADO"/>
    <s v="LOSADA"/>
    <s v="EDINSON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LICENCIA REMUNERADA"/>
    <n v="46054"/>
    <n v="46054"/>
    <s v="NO"/>
    <s v="NO"/>
    <m/>
    <m/>
    <n v="0"/>
    <m/>
    <m/>
    <s v="CORRECCIÓN"/>
    <n v="1750905"/>
    <s v="NO"/>
    <s v="NO"/>
    <x v="0"/>
    <n v="1"/>
    <n v="58364"/>
    <n v="0.15999999642372131"/>
    <n v="9400"/>
    <s v="Sin Riesgo"/>
    <n v="0"/>
    <n v="0"/>
    <n v="0"/>
    <n v="0"/>
    <n v="0"/>
    <n v="9400"/>
    <s v="NINGUNA"/>
    <x v="3"/>
    <n v="1"/>
    <n v="58364"/>
    <n v="3.9999999105930328E-2"/>
    <n v="2400"/>
    <n v="0"/>
    <m/>
    <n v="0"/>
    <m/>
    <n v="0"/>
    <s v="NINGUNA"/>
    <x v="0"/>
    <n v="1"/>
    <n v="58364"/>
    <n v="0"/>
    <s v="5"/>
    <s v="CENTRO TRABAJO 24"/>
    <s v="5711001"/>
    <n v="0"/>
    <n v="1"/>
    <x v="0"/>
    <n v="58364"/>
    <n v="3.9999999105930328E-2"/>
    <n v="2400"/>
    <n v="0"/>
    <n v="0"/>
    <n v="0"/>
    <n v="0"/>
    <n v="0"/>
    <n v="0"/>
    <n v="0"/>
    <n v="0"/>
    <n v="0"/>
    <s v="SI"/>
    <s v=" "/>
    <s v="                "/>
  </r>
  <r>
    <x v="1"/>
    <s v="CC"/>
    <x v="10"/>
    <x v="10"/>
    <s v="MALDONADO"/>
    <s v="LOSADA"/>
    <s v="EDINSON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INCAPACIDAD GENERAL"/>
    <n v="46062"/>
    <n v="46063"/>
    <s v="NO"/>
    <m/>
    <m/>
    <s v="NO"/>
    <m/>
    <m/>
    <s v="NO"/>
    <s v="NO"/>
    <m/>
    <m/>
    <n v="0"/>
    <m/>
    <m/>
    <s v="CORRECCIÓN"/>
    <n v="1750905"/>
    <s v="NO"/>
    <s v="NO"/>
    <x v="0"/>
    <n v="2"/>
    <n v="205820"/>
    <n v="0.15999999642372131"/>
    <n v="33000"/>
    <s v="Sin Riesgo"/>
    <n v="0"/>
    <n v="0"/>
    <n v="0"/>
    <n v="0"/>
    <n v="0"/>
    <n v="33000"/>
    <s v="NINGUNA"/>
    <x v="3"/>
    <n v="2"/>
    <n v="205820"/>
    <n v="3.9999999105930328E-2"/>
    <n v="8300"/>
    <n v="0"/>
    <m/>
    <n v="0"/>
    <m/>
    <n v="0"/>
    <s v="NINGUNA"/>
    <x v="0"/>
    <n v="2"/>
    <n v="20582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0"/>
    <x v="10"/>
    <s v="MALDONADO"/>
    <s v="LOSADA"/>
    <s v="EDINSON"/>
    <s v="ANDR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0"/>
    <s v="NO"/>
    <m/>
    <m/>
    <s v="NO"/>
    <m/>
    <m/>
    <s v="NO"/>
    <m/>
    <m/>
    <s v="NO"/>
    <s v="NO"/>
    <m/>
    <m/>
    <n v="0"/>
    <m/>
    <m/>
    <s v="CORRECCIÓN"/>
    <n v="1750905"/>
    <s v="NO"/>
    <s v="NO"/>
    <x v="0"/>
    <n v="2"/>
    <n v="116727"/>
    <n v="0.15999999642372131"/>
    <n v="18700"/>
    <s v="Sin Riesgo"/>
    <n v="0"/>
    <n v="0"/>
    <n v="0"/>
    <n v="0"/>
    <n v="0"/>
    <n v="18700"/>
    <s v="NINGUNA"/>
    <x v="3"/>
    <n v="2"/>
    <n v="116727"/>
    <n v="0"/>
    <n v="0"/>
    <n v="0"/>
    <m/>
    <n v="0"/>
    <m/>
    <n v="0"/>
    <s v="NINGUNA"/>
    <x v="0"/>
    <n v="2"/>
    <n v="116727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0"/>
    <x v="10"/>
    <s v="MALDONADO"/>
    <s v="LOSADA"/>
    <s v="EDINSON"/>
    <s v="ANDRES"/>
    <s v="BOGOTA_D.E."/>
    <s v="BOGOTA"/>
    <s v="1. DEPENDIENTE"/>
    <s v="NINGUNO"/>
    <n v="124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1750905"/>
    <s v="NO"/>
    <s v="NO"/>
    <x v="0"/>
    <n v="16"/>
    <n v="1600632"/>
    <n v="0.15999999642372131"/>
    <n v="256200"/>
    <s v="Sin Riesgo"/>
    <n v="0"/>
    <n v="0"/>
    <n v="0"/>
    <n v="0"/>
    <n v="0"/>
    <n v="256200"/>
    <s v="NINGUNA"/>
    <x v="3"/>
    <n v="16"/>
    <n v="1600632"/>
    <n v="3.9999999105930328E-2"/>
    <n v="64100"/>
    <n v="0"/>
    <m/>
    <n v="0"/>
    <m/>
    <n v="0"/>
    <s v="NINGUNA"/>
    <x v="0"/>
    <n v="16"/>
    <n v="1600632"/>
    <n v="6.9600000977516174E-2"/>
    <s v="5"/>
    <s v="CENTRO TRABAJO 24"/>
    <s v="5711001"/>
    <n v="111500"/>
    <n v="16"/>
    <x v="0"/>
    <n v="2098116"/>
    <n v="3.9999999105930328E-2"/>
    <n v="84000"/>
    <n v="0"/>
    <n v="0"/>
    <n v="0"/>
    <n v="0"/>
    <n v="0"/>
    <n v="0"/>
    <n v="0"/>
    <n v="0"/>
    <n v="0"/>
    <s v="SI"/>
    <s v=" "/>
    <s v="                "/>
  </r>
  <r>
    <x v="1"/>
    <s v="CC"/>
    <x v="54"/>
    <x v="54"/>
    <s v="PELAEZ"/>
    <s v="TORRES"/>
    <s v="NELSON"/>
    <s v="ALCIDES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0"/>
    <s v="NO"/>
    <m/>
    <m/>
    <s v="NO"/>
    <m/>
    <m/>
    <s v="NO"/>
    <m/>
    <m/>
    <s v="NO"/>
    <s v="NO"/>
    <m/>
    <m/>
    <n v="0"/>
    <m/>
    <m/>
    <s v="CORRECCIÓN"/>
    <n v="2223339"/>
    <s v="NO"/>
    <s v="NO"/>
    <x v="1"/>
    <n v="2"/>
    <n v="148223"/>
    <n v="0.15999999642372131"/>
    <n v="23800"/>
    <s v="Sin Riesgo"/>
    <n v="0"/>
    <n v="0"/>
    <n v="0"/>
    <n v="0"/>
    <n v="0"/>
    <n v="23800"/>
    <s v="NINGUNA"/>
    <x v="9"/>
    <n v="2"/>
    <n v="148223"/>
    <n v="0"/>
    <n v="0"/>
    <n v="0"/>
    <m/>
    <n v="0"/>
    <m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54"/>
    <x v="54"/>
    <s v="PELAEZ"/>
    <s v="TORRES"/>
    <s v="NELSON"/>
    <s v="ALCIDES"/>
    <s v="BOGOTA_D.E."/>
    <s v="BOGOTA"/>
    <s v="1. DEPENDIENTE"/>
    <s v="NINGUNO"/>
    <n v="157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2223339"/>
    <s v="NO"/>
    <s v="NO"/>
    <x v="1"/>
    <n v="19"/>
    <n v="2820641"/>
    <n v="0.15999999642372131"/>
    <n v="451400"/>
    <s v="Sin Riesgo"/>
    <n v="0"/>
    <n v="0"/>
    <n v="0"/>
    <n v="0"/>
    <n v="0"/>
    <n v="451400"/>
    <s v="NINGUNA"/>
    <x v="9"/>
    <n v="19"/>
    <n v="2820641"/>
    <n v="3.9999999105930328E-2"/>
    <n v="112900"/>
    <n v="0"/>
    <m/>
    <n v="0"/>
    <m/>
    <n v="0"/>
    <s v="NINGUNA"/>
    <x v="0"/>
    <n v="19"/>
    <n v="2820641"/>
    <n v="6.9600000977516174E-2"/>
    <s v="5"/>
    <s v="CENTRO TRABAJO 24"/>
    <s v="5711001"/>
    <n v="196400"/>
    <n v="19"/>
    <x v="0"/>
    <n v="3254353"/>
    <n v="3.9999999105930328E-2"/>
    <n v="130200"/>
    <n v="0"/>
    <n v="0"/>
    <n v="0"/>
    <n v="0"/>
    <n v="0"/>
    <n v="0"/>
    <n v="0"/>
    <n v="0"/>
    <n v="0"/>
    <s v="SI"/>
    <s v=" "/>
    <s v="                "/>
  </r>
  <r>
    <x v="1"/>
    <s v="CC"/>
    <x v="75"/>
    <x v="75"/>
    <s v="PADILLA"/>
    <s v="PALOMINO"/>
    <s v="HENRY"/>
    <s v=""/>
    <s v="BOGOTA_D.E."/>
    <s v="BOGOTA"/>
    <s v="1. DEPENDIENTE"/>
    <s v="NINGUNO"/>
    <n v="161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2223339"/>
    <s v="NO"/>
    <s v="NO"/>
    <x v="0"/>
    <n v="21"/>
    <n v="2630642"/>
    <n v="0.15999999642372131"/>
    <n v="421000"/>
    <s v="Sin Riesgo"/>
    <n v="0"/>
    <n v="0"/>
    <n v="0"/>
    <n v="0"/>
    <n v="0"/>
    <n v="421000"/>
    <s v="NINGUNA"/>
    <x v="12"/>
    <n v="21"/>
    <n v="2630642"/>
    <n v="3.9999999105930328E-2"/>
    <n v="105300"/>
    <n v="0"/>
    <m/>
    <n v="0"/>
    <m/>
    <n v="0"/>
    <s v="NINGUNA"/>
    <x v="0"/>
    <n v="21"/>
    <n v="2630642"/>
    <n v="6.9600000977516174E-2"/>
    <s v="5"/>
    <s v="CENTRO TRABAJO 24"/>
    <s v="5711001"/>
    <n v="183100"/>
    <n v="21"/>
    <x v="0"/>
    <n v="2476588"/>
    <n v="3.9999999105930328E-2"/>
    <n v="99100"/>
    <n v="0"/>
    <n v="0"/>
    <n v="0"/>
    <n v="0"/>
    <n v="0"/>
    <n v="0"/>
    <n v="0"/>
    <n v="0"/>
    <n v="0"/>
    <s v="SI"/>
    <s v=" "/>
    <s v="                "/>
  </r>
  <r>
    <x v="1"/>
    <s v="CC"/>
    <x v="94"/>
    <x v="94"/>
    <s v="ECHAVEZ"/>
    <s v="AREVALO"/>
    <s v="RICARDO"/>
    <s v=""/>
    <s v="BOGOTA_D.E."/>
    <s v="BOGOTA"/>
    <s v="1. DEPENDIENTE"/>
    <s v="NINGUNO"/>
    <n v="175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1785595"/>
    <s v="NO"/>
    <s v="NO"/>
    <x v="2"/>
    <n v="21"/>
    <n v="2201696"/>
    <n v="0.15999999642372131"/>
    <n v="352300"/>
    <s v="Sin Riesgo"/>
    <n v="0"/>
    <n v="0"/>
    <n v="0"/>
    <n v="0"/>
    <n v="0"/>
    <n v="352300"/>
    <s v="NINGUNA"/>
    <x v="0"/>
    <n v="21"/>
    <n v="2201696"/>
    <n v="3.9999999105930328E-2"/>
    <n v="88100"/>
    <n v="0"/>
    <m/>
    <n v="0"/>
    <m/>
    <n v="0"/>
    <s v="NINGUNA"/>
    <x v="0"/>
    <n v="21"/>
    <n v="2201696"/>
    <n v="6.9600000977516174E-2"/>
    <s v="5"/>
    <s v="CENTRO TRABAJO 24"/>
    <s v="5711001"/>
    <n v="153300"/>
    <n v="21"/>
    <x v="0"/>
    <n v="2518713"/>
    <n v="3.9999999105930328E-2"/>
    <n v="100800"/>
    <n v="0"/>
    <n v="0"/>
    <n v="0"/>
    <n v="0"/>
    <n v="0"/>
    <n v="0"/>
    <n v="0"/>
    <n v="0"/>
    <n v="0"/>
    <s v="SI"/>
    <s v=" "/>
    <s v="                "/>
  </r>
  <r>
    <x v="1"/>
    <s v="CC"/>
    <x v="131"/>
    <x v="131"/>
    <s v="DUARTE"/>
    <s v="SALAZAR"/>
    <s v="MIGUEL"/>
    <s v="ANG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8"/>
    <n v="46058"/>
    <s v="NO"/>
    <m/>
    <m/>
    <s v="NO"/>
    <m/>
    <m/>
    <s v="NO"/>
    <m/>
    <m/>
    <s v="NO"/>
    <s v="NO"/>
    <m/>
    <m/>
    <n v="0"/>
    <m/>
    <m/>
    <s v="CORRECCIÓN"/>
    <n v="1785595"/>
    <s v="NO"/>
    <s v="NO"/>
    <x v="2"/>
    <n v="1"/>
    <n v="59520"/>
    <n v="0.15999999642372131"/>
    <n v="9600"/>
    <s v="Sin Riesgo"/>
    <n v="0"/>
    <n v="0"/>
    <n v="0"/>
    <n v="0"/>
    <n v="0"/>
    <n v="9600"/>
    <s v="NINGUNA"/>
    <x v="9"/>
    <n v="1"/>
    <n v="59520"/>
    <n v="0"/>
    <n v="0"/>
    <n v="0"/>
    <m/>
    <n v="0"/>
    <m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31"/>
    <x v="131"/>
    <s v="DUARTE"/>
    <s v="SALAZAR"/>
    <s v="MIGUEL"/>
    <s v="ANG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0"/>
    <s v="NO"/>
    <m/>
    <m/>
    <s v="NO"/>
    <m/>
    <m/>
    <s v="NO"/>
    <m/>
    <m/>
    <s v="NO"/>
    <s v="NO"/>
    <m/>
    <m/>
    <n v="0"/>
    <m/>
    <m/>
    <s v="CORRECCIÓN"/>
    <n v="1785595"/>
    <s v="NO"/>
    <s v="NO"/>
    <x v="2"/>
    <n v="2"/>
    <n v="119040"/>
    <n v="0.15999999642372131"/>
    <n v="19100"/>
    <s v="Sin Riesgo"/>
    <n v="0"/>
    <n v="0"/>
    <n v="0"/>
    <n v="0"/>
    <n v="0"/>
    <n v="19100"/>
    <s v="NINGUNA"/>
    <x v="9"/>
    <n v="2"/>
    <n v="119040"/>
    <n v="0"/>
    <n v="0"/>
    <n v="0"/>
    <m/>
    <n v="0"/>
    <m/>
    <n v="0"/>
    <s v="NINGUNA"/>
    <x v="0"/>
    <n v="2"/>
    <n v="119040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31"/>
    <x v="131"/>
    <s v="DUARTE"/>
    <s v="SALAZAR"/>
    <s v="MIGUEL"/>
    <s v="ANG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70"/>
    <n v="46070"/>
    <s v="NO"/>
    <m/>
    <m/>
    <s v="NO"/>
    <m/>
    <m/>
    <s v="NO"/>
    <m/>
    <m/>
    <s v="NO"/>
    <s v="NO"/>
    <m/>
    <m/>
    <n v="0"/>
    <m/>
    <m/>
    <s v="CORRECCIÓN"/>
    <n v="1785595"/>
    <s v="NO"/>
    <s v="NO"/>
    <x v="2"/>
    <n v="1"/>
    <n v="59520"/>
    <n v="0.15999999642372131"/>
    <n v="9600"/>
    <s v="Sin Riesgo"/>
    <n v="0"/>
    <n v="0"/>
    <n v="0"/>
    <n v="0"/>
    <n v="0"/>
    <n v="9600"/>
    <s v="NINGUNA"/>
    <x v="9"/>
    <n v="1"/>
    <n v="59520"/>
    <n v="0"/>
    <n v="0"/>
    <n v="0"/>
    <m/>
    <n v="0"/>
    <m/>
    <n v="0"/>
    <s v="NINGUNA"/>
    <x v="0"/>
    <n v="1"/>
    <n v="59520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131"/>
    <x v="131"/>
    <s v="DUARTE"/>
    <s v="SALAZAR"/>
    <s v="MIGUEL"/>
    <s v="ANGEL"/>
    <s v="BOGOTA_D.E."/>
    <s v="BOGOTA"/>
    <s v="1. DEPENDIENTE"/>
    <s v="NINGUNO"/>
    <n v="135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1785595"/>
    <s v="NO"/>
    <s v="NO"/>
    <x v="2"/>
    <n v="17"/>
    <n v="1783261"/>
    <n v="0.15999999642372131"/>
    <n v="285400"/>
    <s v="Sin Riesgo"/>
    <n v="0"/>
    <n v="0"/>
    <n v="0"/>
    <n v="0"/>
    <n v="0"/>
    <n v="285400"/>
    <s v="NINGUNA"/>
    <x v="9"/>
    <n v="17"/>
    <n v="1783261"/>
    <n v="3.9999999105930328E-2"/>
    <n v="71400"/>
    <n v="0"/>
    <m/>
    <n v="0"/>
    <m/>
    <n v="0"/>
    <s v="NINGUNA"/>
    <x v="0"/>
    <n v="17"/>
    <n v="1783261"/>
    <n v="6.9600000977516174E-2"/>
    <s v="5"/>
    <s v="CENTRO TRABAJO 24"/>
    <s v="5711001"/>
    <n v="124200"/>
    <n v="17"/>
    <x v="0"/>
    <n v="2119658"/>
    <n v="3.9999999105930328E-2"/>
    <n v="84800"/>
    <n v="0"/>
    <n v="0"/>
    <n v="0"/>
    <n v="0"/>
    <n v="0"/>
    <n v="0"/>
    <n v="0"/>
    <n v="0"/>
    <n v="0"/>
    <s v="SI"/>
    <s v=" "/>
    <s v="                "/>
  </r>
  <r>
    <x v="1"/>
    <s v="CC"/>
    <x v="215"/>
    <x v="215"/>
    <s v="PRIETO"/>
    <s v="AMEZQUITA"/>
    <s v="LUIS"/>
    <s v="EDUARDO"/>
    <s v="BOGOTA_D.E."/>
    <s v="BOGOTA"/>
    <s v="1. DEPENDIENTE"/>
    <s v="NINGUNO"/>
    <n v="175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2223339"/>
    <s v="NO"/>
    <s v="NO"/>
    <x v="1"/>
    <n v="21"/>
    <n v="2928875"/>
    <n v="0.15999999642372131"/>
    <n v="468700"/>
    <s v="Sin Riesgo"/>
    <n v="0"/>
    <n v="0"/>
    <n v="0"/>
    <n v="0"/>
    <n v="0"/>
    <n v="468700"/>
    <s v="NINGUNA"/>
    <x v="10"/>
    <n v="21"/>
    <n v="2928875"/>
    <n v="3.9999999105930328E-2"/>
    <n v="117200"/>
    <n v="0"/>
    <m/>
    <n v="0"/>
    <m/>
    <n v="0"/>
    <s v="NINGUNA"/>
    <x v="0"/>
    <n v="21"/>
    <n v="2928875"/>
    <n v="6.9600000977516174E-2"/>
    <s v="5"/>
    <s v="CENTRO TRABAJO 24"/>
    <s v="5711001"/>
    <n v="203900"/>
    <n v="21"/>
    <x v="0"/>
    <n v="3350717"/>
    <n v="3.9999999105930328E-2"/>
    <n v="134100"/>
    <n v="0"/>
    <n v="0"/>
    <n v="0"/>
    <n v="0"/>
    <n v="0"/>
    <n v="0"/>
    <n v="0"/>
    <n v="0"/>
    <n v="0"/>
    <s v="SI"/>
    <s v=" "/>
    <s v="                "/>
  </r>
  <r>
    <x v="1"/>
    <s v="CC"/>
    <x v="232"/>
    <x v="232"/>
    <s v="ROMERO"/>
    <s v="MELO"/>
    <s v="DANIEL"/>
    <s v="ALEJANDRO"/>
    <s v="BOGOTA_D.E."/>
    <s v="BOGOTA"/>
    <s v="1. DEPENDIENTE"/>
    <s v="NINGUNO"/>
    <n v="170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1750905"/>
    <s v="NO"/>
    <s v="NO"/>
    <x v="0"/>
    <n v="21"/>
    <n v="2024511"/>
    <n v="0.15999999642372131"/>
    <n v="324000"/>
    <s v="Sin Riesgo"/>
    <n v="0"/>
    <n v="0"/>
    <n v="0"/>
    <n v="0"/>
    <n v="0"/>
    <n v="324000"/>
    <s v="NINGUNA"/>
    <x v="2"/>
    <n v="21"/>
    <n v="2024511"/>
    <n v="3.9999999105930328E-2"/>
    <n v="81000"/>
    <n v="0"/>
    <m/>
    <n v="0"/>
    <m/>
    <n v="0"/>
    <s v="NINGUNA"/>
    <x v="0"/>
    <n v="21"/>
    <n v="2024511"/>
    <n v="6.9600000977516174E-2"/>
    <s v="5"/>
    <s v="CENTRO TRABAJO 24"/>
    <s v="5711001"/>
    <n v="141000"/>
    <n v="21"/>
    <x v="0"/>
    <n v="2472296"/>
    <n v="3.9999999105930328E-2"/>
    <n v="98900"/>
    <n v="0"/>
    <n v="0"/>
    <n v="0"/>
    <n v="0"/>
    <n v="0"/>
    <n v="0"/>
    <n v="0"/>
    <n v="0"/>
    <n v="0"/>
    <s v="SI"/>
    <s v=" "/>
    <s v="                "/>
  </r>
  <r>
    <x v="1"/>
    <s v="CC"/>
    <x v="244"/>
    <x v="244"/>
    <s v="PEREZ"/>
    <s v="ESPEJO"/>
    <s v="JOSE"/>
    <s v="DANIEL"/>
    <s v="BOGOTA_D.E."/>
    <s v="BOGOTA"/>
    <s v="1. DEPENDIENTE"/>
    <s v="NINGUNO"/>
    <n v="171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2665550"/>
    <s v="NO"/>
    <s v="NO"/>
    <x v="0"/>
    <n v="21"/>
    <n v="3338580"/>
    <n v="0.15999999642372131"/>
    <n v="534200"/>
    <s v="Sin Riesgo"/>
    <n v="0"/>
    <n v="0"/>
    <n v="0"/>
    <n v="0"/>
    <n v="0"/>
    <n v="534200"/>
    <s v="NINGUNA"/>
    <x v="0"/>
    <n v="21"/>
    <n v="3338580"/>
    <n v="3.9999999105930328E-2"/>
    <n v="133600"/>
    <n v="0"/>
    <m/>
    <n v="0"/>
    <m/>
    <n v="0"/>
    <s v="NINGUNA"/>
    <x v="0"/>
    <n v="21"/>
    <n v="3338580"/>
    <n v="6.9600000977516174E-2"/>
    <s v="5"/>
    <s v="CENTRO TRABAJO 24"/>
    <s v="5711001"/>
    <n v="232400"/>
    <n v="21"/>
    <x v="0"/>
    <n v="3978792"/>
    <n v="3.9999999105930328E-2"/>
    <n v="159200"/>
    <n v="0"/>
    <n v="0"/>
    <n v="0"/>
    <n v="0"/>
    <n v="0"/>
    <n v="0"/>
    <n v="0"/>
    <n v="0"/>
    <n v="0"/>
    <s v="SI"/>
    <s v=" "/>
    <s v="                "/>
  </r>
  <r>
    <x v="1"/>
    <s v="CC"/>
    <x v="256"/>
    <x v="256"/>
    <s v="ARGOTE"/>
    <s v="DUARTE"/>
    <s v="LUIS"/>
    <s v="ALFREDO"/>
    <s v="BOGOTA_D.E."/>
    <s v="BOGOTA"/>
    <s v="1. DEPENDIENTE"/>
    <s v="NINGUNO"/>
    <n v="176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2223339"/>
    <s v="NO"/>
    <s v="NO"/>
    <x v="2"/>
    <n v="21"/>
    <n v="3385101"/>
    <n v="0.15999999642372131"/>
    <n v="541700"/>
    <s v="Sin Riesgo"/>
    <n v="0"/>
    <n v="0"/>
    <n v="0"/>
    <n v="0"/>
    <n v="0"/>
    <n v="541700"/>
    <s v="NINGUNA"/>
    <x v="0"/>
    <n v="21"/>
    <n v="3385101"/>
    <n v="3.9999999105930328E-2"/>
    <n v="135500"/>
    <n v="0"/>
    <m/>
    <n v="0"/>
    <m/>
    <n v="0"/>
    <s v="NINGUNA"/>
    <x v="0"/>
    <n v="21"/>
    <n v="3385101"/>
    <n v="6.9600000977516174E-2"/>
    <s v="5"/>
    <s v="CENTRO TRABAJO 24"/>
    <s v="5711001"/>
    <n v="235700"/>
    <n v="21"/>
    <x v="0"/>
    <n v="4505951"/>
    <n v="3.9999999105930328E-2"/>
    <n v="180300"/>
    <n v="0"/>
    <n v="0"/>
    <n v="0"/>
    <n v="0"/>
    <n v="0"/>
    <n v="0"/>
    <n v="0"/>
    <n v="0"/>
    <n v="0"/>
    <s v="SI"/>
    <s v=" "/>
    <s v="                "/>
  </r>
  <r>
    <x v="1"/>
    <s v="CC"/>
    <x v="325"/>
    <x v="325"/>
    <s v="RAMOS"/>
    <s v="MENDOZA"/>
    <s v="JUAN"/>
    <s v="CARLOS"/>
    <s v="BOGOTA_D.E."/>
    <s v="BOGOTA"/>
    <s v="1. DEPENDIENTE"/>
    <s v="NINGUNO"/>
    <n v="178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2223339"/>
    <s v="NO"/>
    <s v="NO"/>
    <x v="2"/>
    <n v="21"/>
    <n v="3162326"/>
    <n v="0.15999999642372131"/>
    <n v="506000"/>
    <s v="Sin Riesgo"/>
    <n v="0"/>
    <n v="0"/>
    <n v="0"/>
    <n v="0"/>
    <n v="0"/>
    <n v="506000"/>
    <s v="NINGUNA"/>
    <x v="3"/>
    <n v="21"/>
    <n v="3162326"/>
    <n v="3.9999999105930328E-2"/>
    <n v="126500"/>
    <n v="0"/>
    <m/>
    <n v="0"/>
    <m/>
    <n v="0"/>
    <s v="NINGUNA"/>
    <x v="0"/>
    <n v="21"/>
    <n v="3162326"/>
    <n v="6.9600000977516174E-2"/>
    <s v="5"/>
    <s v="CENTRO TRABAJO 24"/>
    <s v="5711001"/>
    <n v="220100"/>
    <n v="21"/>
    <x v="0"/>
    <n v="3713291"/>
    <n v="3.9999999105930328E-2"/>
    <n v="148600"/>
    <n v="0"/>
    <n v="0"/>
    <n v="0"/>
    <n v="0"/>
    <n v="0"/>
    <n v="0"/>
    <n v="0"/>
    <n v="0"/>
    <n v="0"/>
    <s v="SI"/>
    <s v=" "/>
    <s v="                "/>
  </r>
  <r>
    <x v="1"/>
    <s v="CC"/>
    <x v="332"/>
    <x v="332"/>
    <s v="MONTAÑEZ"/>
    <s v="ALARCON"/>
    <s v="JORGE"/>
    <s v="OSVAL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4"/>
    <n v="46054"/>
    <s v="NO"/>
    <m/>
    <m/>
    <s v="NO"/>
    <m/>
    <m/>
    <s v="NO"/>
    <m/>
    <m/>
    <s v="NO"/>
    <s v="NO"/>
    <m/>
    <m/>
    <n v="0"/>
    <m/>
    <m/>
    <s v="CORRECCIÓN"/>
    <n v="2223339"/>
    <s v="NO"/>
    <s v="NO"/>
    <x v="0"/>
    <n v="1"/>
    <n v="74112"/>
    <n v="0.15999999642372131"/>
    <n v="11900"/>
    <s v="Sin Riesgo"/>
    <n v="0"/>
    <n v="0"/>
    <n v="0"/>
    <n v="0"/>
    <n v="0"/>
    <n v="11900"/>
    <s v="NINGUNA"/>
    <x v="0"/>
    <n v="1"/>
    <n v="74112"/>
    <n v="0"/>
    <n v="0"/>
    <n v="0"/>
    <m/>
    <n v="0"/>
    <m/>
    <n v="0"/>
    <s v="NINGUNA"/>
    <x v="0"/>
    <n v="1"/>
    <n v="74112"/>
    <n v="0"/>
    <s v="5"/>
    <s v="CENTRO TRABAJO 24"/>
    <s v="5711001"/>
    <n v="0"/>
    <n v="1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32"/>
    <x v="332"/>
    <s v="MONTAÑEZ"/>
    <s v="ALARCON"/>
    <s v="JORGE"/>
    <s v="OSVALDO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69"/>
    <n v="46074"/>
    <s v="NO"/>
    <m/>
    <m/>
    <s v="NO"/>
    <m/>
    <m/>
    <s v="NO"/>
    <m/>
    <m/>
    <s v="NO"/>
    <s v="NO"/>
    <m/>
    <m/>
    <n v="0"/>
    <m/>
    <m/>
    <s v="CORRECCIÓN"/>
    <n v="2223339"/>
    <s v="NO"/>
    <s v="NO"/>
    <x v="0"/>
    <n v="6"/>
    <n v="444668"/>
    <n v="0.15999999642372131"/>
    <n v="71200"/>
    <s v="Sin Riesgo"/>
    <n v="0"/>
    <n v="0"/>
    <n v="0"/>
    <n v="0"/>
    <n v="0"/>
    <n v="71200"/>
    <s v="NINGUNA"/>
    <x v="0"/>
    <n v="6"/>
    <n v="444668"/>
    <n v="0"/>
    <n v="0"/>
    <n v="0"/>
    <m/>
    <n v="0"/>
    <m/>
    <n v="0"/>
    <s v="NINGUNA"/>
    <x v="0"/>
    <n v="6"/>
    <n v="444668"/>
    <n v="0"/>
    <s v="5"/>
    <s v="CENTRO TRABAJO 24"/>
    <s v="5711001"/>
    <n v="0"/>
    <n v="6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32"/>
    <x v="332"/>
    <s v="MONTAÑEZ"/>
    <s v="ALARCON"/>
    <s v="JORGE"/>
    <s v="OSVALDO"/>
    <s v="BOGOTA_D.E."/>
    <s v="BOGOTA"/>
    <s v="1. DEPENDIENTE"/>
    <s v="NINGUNO"/>
    <n v="122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2223339"/>
    <s v="NO"/>
    <s v="NO"/>
    <x v="0"/>
    <n v="14"/>
    <n v="2191197"/>
    <n v="0.15999999642372131"/>
    <n v="350600"/>
    <s v="Sin Riesgo"/>
    <n v="0"/>
    <n v="0"/>
    <n v="0"/>
    <n v="0"/>
    <n v="0"/>
    <n v="350600"/>
    <s v="NINGUNA"/>
    <x v="0"/>
    <n v="14"/>
    <n v="2191197"/>
    <n v="3.9999999105930328E-2"/>
    <n v="87700"/>
    <n v="0"/>
    <m/>
    <n v="0"/>
    <m/>
    <n v="0"/>
    <s v="NINGUNA"/>
    <x v="0"/>
    <n v="14"/>
    <n v="2191197"/>
    <n v="6.9600000977516174E-2"/>
    <s v="5"/>
    <s v="CENTRO TRABAJO 24"/>
    <s v="5711001"/>
    <n v="152600"/>
    <n v="14"/>
    <x v="0"/>
    <n v="2685692"/>
    <n v="3.9999999105930328E-2"/>
    <n v="107500"/>
    <n v="0"/>
    <n v="0"/>
    <n v="0"/>
    <n v="0"/>
    <n v="0"/>
    <n v="0"/>
    <n v="0"/>
    <n v="0"/>
    <n v="0"/>
    <s v="SI"/>
    <s v=" "/>
    <s v="                "/>
  </r>
  <r>
    <x v="1"/>
    <s v="CC"/>
    <x v="381"/>
    <x v="381"/>
    <s v="SANTACRUZ"/>
    <s v="RODRIGUEZ"/>
    <s v="WILMAR"/>
    <s v="GIOVANNY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LICENCIA NO REMUNERADA"/>
    <n v="46057"/>
    <n v="46058"/>
    <s v="NO"/>
    <m/>
    <m/>
    <s v="NO"/>
    <m/>
    <m/>
    <s v="NO"/>
    <m/>
    <m/>
    <s v="NO"/>
    <s v="NO"/>
    <m/>
    <m/>
    <n v="0"/>
    <m/>
    <m/>
    <s v="CORRECCIÓN"/>
    <n v="2223339"/>
    <s v="NO"/>
    <s v="NO"/>
    <x v="4"/>
    <n v="2"/>
    <n v="148223"/>
    <n v="0.15999999642372131"/>
    <n v="23800"/>
    <s v="Sin Riesgo"/>
    <n v="0"/>
    <n v="0"/>
    <n v="0"/>
    <n v="0"/>
    <n v="0"/>
    <n v="23800"/>
    <s v="NINGUNA"/>
    <x v="10"/>
    <n v="2"/>
    <n v="148223"/>
    <n v="0"/>
    <n v="0"/>
    <n v="0"/>
    <m/>
    <n v="0"/>
    <m/>
    <n v="0"/>
    <s v="NINGUNA"/>
    <x v="0"/>
    <n v="2"/>
    <n v="148223"/>
    <n v="0"/>
    <s v="5"/>
    <s v="CENTRO TRABAJO 24"/>
    <s v="5711001"/>
    <n v="0"/>
    <n v="2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81"/>
    <x v="381"/>
    <s v="SANTACRUZ"/>
    <s v="RODRIGUEZ"/>
    <s v="WILMAR"/>
    <s v="GIOVANNY"/>
    <s v="BOGOTA_D.E."/>
    <s v="BOGOTA"/>
    <s v="1. DEPENDIENTE"/>
    <s v="NINGUNO"/>
    <n v="159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2223339"/>
    <s v="NO"/>
    <s v="NO"/>
    <x v="4"/>
    <n v="19"/>
    <n v="2616953"/>
    <n v="0.15999999642372131"/>
    <n v="418800"/>
    <s v="Sin Riesgo"/>
    <n v="0"/>
    <n v="0"/>
    <n v="0"/>
    <n v="0"/>
    <n v="0"/>
    <n v="418800"/>
    <s v="NINGUNA"/>
    <x v="10"/>
    <n v="19"/>
    <n v="2616953"/>
    <n v="3.9999999105930328E-2"/>
    <n v="104700"/>
    <n v="0"/>
    <m/>
    <n v="0"/>
    <m/>
    <n v="0"/>
    <s v="NINGUNA"/>
    <x v="0"/>
    <n v="19"/>
    <n v="2616953"/>
    <n v="6.9600000977516174E-2"/>
    <s v="5"/>
    <s v="CENTRO TRABAJO 24"/>
    <s v="5711001"/>
    <n v="182200"/>
    <n v="19"/>
    <x v="0"/>
    <n v="2813686"/>
    <n v="3.9999999105930328E-2"/>
    <n v="112600"/>
    <n v="0"/>
    <n v="0"/>
    <n v="0"/>
    <n v="0"/>
    <n v="0"/>
    <n v="0"/>
    <n v="0"/>
    <n v="0"/>
    <n v="0"/>
    <s v="SI"/>
    <s v=" "/>
    <s v="                "/>
  </r>
  <r>
    <x v="1"/>
    <s v="CC"/>
    <x v="390"/>
    <x v="390"/>
    <s v="BOLAÑO"/>
    <s v="BENJUMEA"/>
    <s v="JORGE"/>
    <s v="ENRIQUE"/>
    <s v="BOGOTA_D.E."/>
    <s v="BOGOTA"/>
    <s v="1. DEPENDIENTE"/>
    <s v="NINGUNO"/>
    <n v="175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2223339"/>
    <s v="NO"/>
    <s v="NO"/>
    <x v="0"/>
    <n v="21"/>
    <n v="3062549"/>
    <n v="0.15999999642372131"/>
    <n v="490100"/>
    <s v="Sin Riesgo"/>
    <n v="0"/>
    <n v="0"/>
    <n v="0"/>
    <n v="0"/>
    <n v="0"/>
    <n v="490100"/>
    <s v="NINGUNA"/>
    <x v="2"/>
    <n v="21"/>
    <n v="3062549"/>
    <n v="3.9999999105930328E-2"/>
    <n v="122600"/>
    <n v="0"/>
    <m/>
    <n v="0"/>
    <m/>
    <n v="0"/>
    <s v="NINGUNA"/>
    <x v="0"/>
    <n v="21"/>
    <n v="3062549"/>
    <n v="6.9600000977516174E-2"/>
    <s v="5"/>
    <s v="CENTRO TRABAJO 24"/>
    <s v="5711001"/>
    <n v="213200"/>
    <n v="21"/>
    <x v="0"/>
    <n v="3711045"/>
    <n v="3.9999999105930328E-2"/>
    <n v="148500"/>
    <n v="0"/>
    <n v="0"/>
    <n v="0"/>
    <n v="0"/>
    <n v="0"/>
    <n v="0"/>
    <n v="0"/>
    <n v="0"/>
    <n v="0"/>
    <s v="SI"/>
    <s v=" "/>
    <s v="                "/>
  </r>
  <r>
    <x v="1"/>
    <s v="CC"/>
    <x v="394"/>
    <x v="394"/>
    <s v="CERVERA"/>
    <s v="ALVAREZ"/>
    <s v="DARWIN"/>
    <s v="RAFAEL"/>
    <s v="BOGOTA_D.E."/>
    <s v="BOGOTA"/>
    <s v="1. DEPENDIENTE"/>
    <s v="NINGUNO"/>
    <n v="0"/>
    <s v="NO"/>
    <s v="NO"/>
    <m/>
    <s v="NO"/>
    <m/>
    <s v="NO"/>
    <m/>
    <s v="NO"/>
    <s v="NO"/>
    <s v="NO"/>
    <s v="NO"/>
    <s v="NO"/>
    <m/>
    <s v="NO"/>
    <s v="NO"/>
    <m/>
    <m/>
    <s v="NO"/>
    <m/>
    <m/>
    <s v="NO"/>
    <m/>
    <m/>
    <s v="NO"/>
    <m/>
    <m/>
    <s v="NO"/>
    <s v="NO"/>
    <m/>
    <m/>
    <n v="3"/>
    <n v="46054"/>
    <n v="46056"/>
    <s v="CORRECCIÓN"/>
    <n v="1785595"/>
    <s v="NO"/>
    <s v="NO"/>
    <x v="0"/>
    <n v="3"/>
    <n v="258303"/>
    <n v="0.15999999642372131"/>
    <n v="41400"/>
    <s v="Sin Riesgo"/>
    <n v="0"/>
    <n v="0"/>
    <n v="0"/>
    <n v="0"/>
    <n v="0"/>
    <n v="41400"/>
    <s v="NINGUNA"/>
    <x v="10"/>
    <n v="3"/>
    <n v="258303"/>
    <n v="3.9999999105930328E-2"/>
    <n v="10400"/>
    <n v="0"/>
    <m/>
    <n v="0"/>
    <m/>
    <n v="0"/>
    <s v="NINGUNA"/>
    <x v="0"/>
    <n v="3"/>
    <n v="258303"/>
    <n v="0"/>
    <s v="5"/>
    <s v="CENTRO TRABAJO 24"/>
    <s v="5711001"/>
    <n v="0"/>
    <n v="3"/>
    <x v="0"/>
    <n v="0"/>
    <n v="0"/>
    <n v="0"/>
    <n v="0"/>
    <n v="0"/>
    <n v="0"/>
    <n v="0"/>
    <n v="0"/>
    <n v="0"/>
    <n v="0"/>
    <n v="0"/>
    <n v="0"/>
    <s v="SI"/>
    <s v=" "/>
    <s v="                "/>
  </r>
  <r>
    <x v="1"/>
    <s v="CC"/>
    <x v="394"/>
    <x v="394"/>
    <s v="CERVERA"/>
    <s v="ALVAREZ"/>
    <s v="DARWIN"/>
    <s v="RAFAEL"/>
    <s v="BOGOTA_D.E."/>
    <s v="BOGOTA"/>
    <s v="1. DEPENDIENTE"/>
    <s v="NINGUNO"/>
    <n v="148"/>
    <s v="NO"/>
    <s v="NO"/>
    <m/>
    <s v="NO"/>
    <m/>
    <s v="Todos los sistemas (ARL, AFP, CCF, EPS)"/>
    <n v="46074"/>
    <s v="NO"/>
    <s v="NO"/>
    <s v="NO"/>
    <s v="NO"/>
    <s v="NO"/>
    <m/>
    <s v="SI"/>
    <s v="NO"/>
    <m/>
    <m/>
    <s v="NO"/>
    <m/>
    <m/>
    <s v="NO"/>
    <m/>
    <m/>
    <s v="NO"/>
    <m/>
    <m/>
    <s v="NO"/>
    <s v="NO"/>
    <m/>
    <m/>
    <n v="0"/>
    <m/>
    <m/>
    <s v="CORRECCIÓN"/>
    <n v="1785595"/>
    <s v="NO"/>
    <s v="NO"/>
    <x v="0"/>
    <n v="18"/>
    <n v="1862162"/>
    <n v="0.15999999642372131"/>
    <n v="298000"/>
    <s v="Sin Riesgo"/>
    <n v="0"/>
    <n v="0"/>
    <n v="0"/>
    <n v="0"/>
    <n v="0"/>
    <n v="298000"/>
    <s v="NINGUNA"/>
    <x v="10"/>
    <n v="18"/>
    <n v="1862162"/>
    <n v="3.9999999105930328E-2"/>
    <n v="74500"/>
    <n v="0"/>
    <m/>
    <n v="0"/>
    <m/>
    <n v="0"/>
    <s v="NINGUNA"/>
    <x v="0"/>
    <n v="18"/>
    <n v="1862162"/>
    <n v="6.9600000977516174E-2"/>
    <s v="5"/>
    <s v="CENTRO TRABAJO 24"/>
    <s v="5711001"/>
    <n v="129700"/>
    <n v="18"/>
    <x v="0"/>
    <n v="2278942"/>
    <n v="3.9999999105930328E-2"/>
    <n v="91200"/>
    <n v="0"/>
    <n v="0"/>
    <n v="0"/>
    <n v="0"/>
    <n v="0"/>
    <n v="0"/>
    <n v="0"/>
    <n v="0"/>
    <n v="0"/>
    <s v="SI"/>
    <s v=" "/>
    <s v="               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83DFA-BD5B-4AA6-ABF1-A1DD64863983}" name="TablaDinámica11" cacheId="5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563:F2018" firstHeaderRow="1" firstDataRow="2" firstDataCol="3"/>
  <pivotFields count="99">
    <pivotField axis="axisCol"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439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2"/>
        <item x="207"/>
        <item x="220"/>
        <item x="223"/>
        <item x="224"/>
        <item x="237"/>
        <item x="246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67"/>
        <item x="178"/>
        <item x="179"/>
        <item x="181"/>
        <item x="184"/>
        <item x="187"/>
        <item x="200"/>
        <item x="250"/>
        <item x="259"/>
        <item x="262"/>
        <item x="340"/>
        <item x="364"/>
        <item x="383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24"/>
        <item x="114"/>
        <item x="171"/>
        <item x="185"/>
        <item x="217"/>
        <item x="438"/>
        <item x="7"/>
        <item x="15"/>
        <item x="16"/>
        <item x="17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43"/>
        <item x="70"/>
        <item x="92"/>
        <item x="93"/>
        <item x="98"/>
        <item x="143"/>
        <item x="297"/>
        <item x="301"/>
        <item x="313"/>
        <item x="330"/>
        <item x="353"/>
        <item x="434"/>
        <item x="14"/>
        <item x="40"/>
        <item x="6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79"/>
        <item x="394"/>
        <item x="397"/>
        <item x="401"/>
        <item x="405"/>
        <item x="412"/>
        <item x="417"/>
        <item x="428"/>
        <item x="429"/>
        <item x="431"/>
        <item x="437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</items>
    </pivotField>
    <pivotField axis="axisRow" compact="0" outline="0" subtotalTop="0" showAll="0" defaultSubtotal="0">
      <items count="451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2"/>
        <item x="207"/>
        <item x="220"/>
        <item x="223"/>
        <item x="224"/>
        <item x="237"/>
        <item x="246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44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78"/>
        <item x="179"/>
        <item x="181"/>
        <item x="184"/>
        <item x="187"/>
        <item x="200"/>
        <item x="250"/>
        <item x="259"/>
        <item x="262"/>
        <item x="340"/>
        <item x="364"/>
        <item x="383"/>
        <item x="167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444"/>
        <item x="24"/>
        <item x="114"/>
        <item x="171"/>
        <item x="185"/>
        <item x="217"/>
        <item x="450"/>
        <item x="7"/>
        <item x="15"/>
        <item x="16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17"/>
        <item x="43"/>
        <item x="70"/>
        <item x="92"/>
        <item x="93"/>
        <item x="98"/>
        <item x="143"/>
        <item x="297"/>
        <item x="313"/>
        <item x="330"/>
        <item x="353"/>
        <item x="434"/>
        <item x="439"/>
        <item x="448"/>
        <item x="14"/>
        <item x="4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60"/>
        <item x="441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449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94"/>
        <item x="397"/>
        <item x="401"/>
        <item x="405"/>
        <item x="412"/>
        <item x="417"/>
        <item x="428"/>
        <item x="429"/>
        <item x="431"/>
        <item x="437"/>
        <item x="442"/>
        <item x="379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01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440"/>
        <item x="446"/>
        <item x="447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  <item x="438"/>
        <item x="44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2"/>
        <item x="0"/>
        <item x="1"/>
        <item x="3"/>
        <item x="4"/>
        <item x="6"/>
        <item x="5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2"/>
    <field x="3"/>
    <field x="83"/>
  </rowFields>
  <rowItems count="454">
    <i>
      <x/>
      <x/>
      <x v="2"/>
    </i>
    <i>
      <x v="1"/>
      <x v="1"/>
      <x v="1"/>
    </i>
    <i>
      <x v="2"/>
      <x v="2"/>
      <x v="3"/>
    </i>
    <i>
      <x v="3"/>
      <x v="3"/>
      <x v="1"/>
    </i>
    <i>
      <x v="4"/>
      <x v="4"/>
      <x v="1"/>
    </i>
    <i>
      <x v="5"/>
      <x v="5"/>
      <x v="1"/>
    </i>
    <i>
      <x v="6"/>
      <x v="6"/>
      <x v="1"/>
    </i>
    <i>
      <x v="7"/>
      <x v="7"/>
      <x v="1"/>
    </i>
    <i>
      <x v="8"/>
      <x v="8"/>
      <x v="1"/>
    </i>
    <i>
      <x v="9"/>
      <x v="9"/>
      <x v="1"/>
    </i>
    <i>
      <x v="10"/>
      <x v="10"/>
      <x v="1"/>
    </i>
    <i>
      <x v="11"/>
      <x v="11"/>
      <x v="1"/>
    </i>
    <i>
      <x v="12"/>
      <x v="12"/>
      <x v="1"/>
    </i>
    <i>
      <x v="13"/>
      <x v="13"/>
      <x v="1"/>
    </i>
    <i>
      <x v="14"/>
      <x v="14"/>
      <x v="1"/>
    </i>
    <i>
      <x v="15"/>
      <x v="15"/>
      <x v="1"/>
    </i>
    <i>
      <x v="16"/>
      <x v="16"/>
      <x v="1"/>
    </i>
    <i>
      <x v="17"/>
      <x v="17"/>
      <x v="1"/>
    </i>
    <i>
      <x v="18"/>
      <x v="18"/>
      <x v="1"/>
    </i>
    <i>
      <x v="19"/>
      <x v="19"/>
      <x v="1"/>
    </i>
    <i>
      <x v="20"/>
      <x v="20"/>
      <x v="1"/>
    </i>
    <i>
      <x v="21"/>
      <x v="21"/>
      <x v="1"/>
    </i>
    <i>
      <x v="22"/>
      <x v="22"/>
      <x v="1"/>
    </i>
    <i>
      <x v="23"/>
      <x v="23"/>
      <x v="1"/>
    </i>
    <i>
      <x v="24"/>
      <x v="24"/>
      <x v="1"/>
    </i>
    <i>
      <x v="25"/>
      <x v="25"/>
      <x v="1"/>
    </i>
    <i>
      <x v="26"/>
      <x v="26"/>
      <x v="1"/>
    </i>
    <i>
      <x v="27"/>
      <x v="27"/>
      <x v="1"/>
    </i>
    <i>
      <x v="28"/>
      <x v="28"/>
      <x v="1"/>
    </i>
    <i>
      <x v="29"/>
      <x v="29"/>
      <x v="1"/>
    </i>
    <i>
      <x v="30"/>
      <x v="30"/>
      <x v="2"/>
    </i>
    <i>
      <x v="31"/>
      <x v="31"/>
      <x v="1"/>
    </i>
    <i>
      <x v="32"/>
      <x v="32"/>
      <x v="1"/>
    </i>
    <i>
      <x v="33"/>
      <x v="33"/>
      <x v="1"/>
    </i>
    <i>
      <x v="34"/>
      <x v="34"/>
      <x v="1"/>
    </i>
    <i>
      <x v="35"/>
      <x v="35"/>
      <x v="1"/>
    </i>
    <i>
      <x v="36"/>
      <x v="36"/>
      <x v="1"/>
    </i>
    <i>
      <x v="37"/>
      <x v="37"/>
      <x v="2"/>
    </i>
    <i>
      <x v="38"/>
      <x v="38"/>
      <x v="2"/>
    </i>
    <i r="1">
      <x v="103"/>
      <x v="2"/>
    </i>
    <i>
      <x v="39"/>
      <x v="39"/>
      <x v="2"/>
    </i>
    <i>
      <x v="40"/>
      <x v="40"/>
      <x v="1"/>
    </i>
    <i>
      <x v="41"/>
      <x v="41"/>
      <x v="1"/>
    </i>
    <i>
      <x v="42"/>
      <x v="42"/>
      <x v="1"/>
    </i>
    <i>
      <x v="43"/>
      <x v="43"/>
      <x v="1"/>
    </i>
    <i>
      <x v="44"/>
      <x v="44"/>
      <x v="1"/>
    </i>
    <i>
      <x v="45"/>
      <x v="45"/>
      <x v="1"/>
    </i>
    <i>
      <x v="46"/>
      <x v="46"/>
      <x v="1"/>
    </i>
    <i>
      <x v="47"/>
      <x v="47"/>
      <x v="2"/>
    </i>
    <i>
      <x v="48"/>
      <x v="48"/>
      <x v="2"/>
    </i>
    <i>
      <x v="49"/>
      <x v="49"/>
      <x v="1"/>
    </i>
    <i>
      <x v="50"/>
      <x v="50"/>
      <x v="1"/>
    </i>
    <i>
      <x v="51"/>
      <x v="51"/>
      <x v="1"/>
    </i>
    <i>
      <x v="52"/>
      <x v="52"/>
      <x v="1"/>
    </i>
    <i>
      <x v="53"/>
      <x v="53"/>
      <x v="1"/>
    </i>
    <i>
      <x v="54"/>
      <x v="54"/>
      <x v="1"/>
    </i>
    <i>
      <x v="55"/>
      <x v="55"/>
      <x v="2"/>
    </i>
    <i>
      <x v="56"/>
      <x v="56"/>
      <x v="1"/>
    </i>
    <i>
      <x v="57"/>
      <x v="57"/>
      <x v="1"/>
    </i>
    <i>
      <x v="58"/>
      <x v="58"/>
      <x v="1"/>
    </i>
    <i>
      <x v="59"/>
      <x v="59"/>
      <x v="1"/>
    </i>
    <i>
      <x v="60"/>
      <x v="60"/>
      <x v="1"/>
    </i>
    <i>
      <x v="61"/>
      <x v="61"/>
      <x v="1"/>
    </i>
    <i>
      <x v="62"/>
      <x v="62"/>
      <x v="1"/>
    </i>
    <i>
      <x v="63"/>
      <x v="63"/>
      <x v="1"/>
    </i>
    <i>
      <x v="64"/>
      <x v="64"/>
      <x v="1"/>
    </i>
    <i>
      <x v="65"/>
      <x v="65"/>
      <x v="1"/>
    </i>
    <i>
      <x v="66"/>
      <x v="66"/>
      <x v="1"/>
    </i>
    <i>
      <x v="67"/>
      <x v="67"/>
      <x v="1"/>
    </i>
    <i>
      <x v="68"/>
      <x v="68"/>
      <x v="1"/>
    </i>
    <i>
      <x v="69"/>
      <x v="69"/>
      <x v="1"/>
    </i>
    <i>
      <x v="70"/>
      <x v="70"/>
      <x v="1"/>
    </i>
    <i>
      <x v="71"/>
      <x v="71"/>
      <x v="1"/>
    </i>
    <i>
      <x v="72"/>
      <x v="72"/>
      <x/>
    </i>
    <i>
      <x v="73"/>
      <x v="73"/>
      <x v="1"/>
    </i>
    <i>
      <x v="74"/>
      <x v="74"/>
      <x v="1"/>
    </i>
    <i>
      <x v="75"/>
      <x v="75"/>
      <x v="1"/>
    </i>
    <i>
      <x v="76"/>
      <x v="76"/>
      <x v="1"/>
    </i>
    <i>
      <x v="77"/>
      <x v="77"/>
      <x v="1"/>
    </i>
    <i>
      <x v="78"/>
      <x v="78"/>
      <x v="1"/>
    </i>
    <i>
      <x v="79"/>
      <x v="79"/>
      <x v="1"/>
    </i>
    <i>
      <x v="80"/>
      <x v="80"/>
      <x v="1"/>
    </i>
    <i>
      <x v="81"/>
      <x v="81"/>
      <x v="1"/>
    </i>
    <i>
      <x v="82"/>
      <x v="82"/>
      <x v="1"/>
    </i>
    <i>
      <x v="83"/>
      <x v="83"/>
      <x v="1"/>
    </i>
    <i>
      <x v="84"/>
      <x v="84"/>
      <x v="1"/>
    </i>
    <i>
      <x v="85"/>
      <x v="85"/>
      <x v="1"/>
    </i>
    <i>
      <x v="86"/>
      <x v="86"/>
      <x v="1"/>
    </i>
    <i>
      <x v="87"/>
      <x v="87"/>
      <x v="1"/>
    </i>
    <i>
      <x v="88"/>
      <x v="88"/>
      <x v="1"/>
    </i>
    <i>
      <x v="89"/>
      <x v="89"/>
      <x v="2"/>
    </i>
    <i>
      <x v="90"/>
      <x v="90"/>
      <x v="4"/>
    </i>
    <i>
      <x v="91"/>
      <x v="91"/>
      <x v="1"/>
    </i>
    <i>
      <x v="92"/>
      <x v="92"/>
      <x v="2"/>
    </i>
    <i>
      <x v="93"/>
      <x v="93"/>
      <x v="1"/>
    </i>
    <i>
      <x v="94"/>
      <x v="94"/>
      <x v="2"/>
    </i>
    <i>
      <x v="95"/>
      <x v="95"/>
      <x v="1"/>
    </i>
    <i>
      <x v="96"/>
      <x v="96"/>
      <x v="1"/>
    </i>
    <i>
      <x v="97"/>
      <x v="97"/>
      <x v="4"/>
    </i>
    <i>
      <x v="98"/>
      <x v="98"/>
      <x v="1"/>
    </i>
    <i>
      <x v="99"/>
      <x v="99"/>
      <x v="1"/>
    </i>
    <i>
      <x v="100"/>
      <x v="100"/>
      <x v="1"/>
    </i>
    <i>
      <x v="101"/>
      <x v="101"/>
      <x v="1"/>
    </i>
    <i>
      <x v="102"/>
      <x v="102"/>
      <x v="4"/>
    </i>
    <i>
      <x v="103"/>
      <x v="104"/>
      <x v="2"/>
    </i>
    <i>
      <x v="104"/>
      <x v="105"/>
      <x v="1"/>
    </i>
    <i>
      <x v="105"/>
      <x v="106"/>
      <x v="1"/>
    </i>
    <i>
      <x v="106"/>
      <x v="107"/>
      <x v="1"/>
    </i>
    <i>
      <x v="107"/>
      <x v="108"/>
      <x v="2"/>
    </i>
    <i>
      <x v="108"/>
      <x v="109"/>
      <x v="2"/>
    </i>
    <i>
      <x v="109"/>
      <x v="110"/>
      <x v="2"/>
    </i>
    <i>
      <x v="110"/>
      <x v="111"/>
      <x v="1"/>
    </i>
    <i>
      <x v="111"/>
      <x v="112"/>
      <x v="1"/>
    </i>
    <i>
      <x v="112"/>
      <x v="113"/>
      <x v="1"/>
    </i>
    <i>
      <x v="113"/>
      <x v="114"/>
      <x v="2"/>
    </i>
    <i>
      <x v="114"/>
      <x v="115"/>
      <x v="1"/>
    </i>
    <i>
      <x v="115"/>
      <x v="116"/>
      <x v="2"/>
    </i>
    <i>
      <x v="116"/>
      <x v="129"/>
      <x v="2"/>
    </i>
    <i>
      <x v="117"/>
      <x v="117"/>
      <x v="2"/>
    </i>
    <i>
      <x v="118"/>
      <x v="118"/>
      <x v="2"/>
    </i>
    <i>
      <x v="119"/>
      <x v="119"/>
      <x v="2"/>
    </i>
    <i>
      <x v="120"/>
      <x v="120"/>
      <x v="2"/>
    </i>
    <i>
      <x v="121"/>
      <x v="121"/>
      <x v="2"/>
    </i>
    <i>
      <x v="122"/>
      <x v="122"/>
      <x v="2"/>
    </i>
    <i>
      <x v="123"/>
      <x v="123"/>
      <x v="1"/>
    </i>
    <i>
      <x v="124"/>
      <x v="124"/>
      <x v="2"/>
    </i>
    <i>
      <x v="125"/>
      <x v="125"/>
      <x v="2"/>
    </i>
    <i>
      <x v="126"/>
      <x v="126"/>
      <x v="2"/>
    </i>
    <i>
      <x v="127"/>
      <x v="127"/>
      <x v="2"/>
    </i>
    <i>
      <x v="128"/>
      <x v="128"/>
      <x v="1"/>
    </i>
    <i>
      <x v="129"/>
      <x v="130"/>
      <x v="2"/>
    </i>
    <i>
      <x v="130"/>
      <x v="131"/>
      <x v="2"/>
    </i>
    <i>
      <x v="131"/>
      <x v="132"/>
      <x v="2"/>
    </i>
    <i>
      <x v="132"/>
      <x v="133"/>
      <x v="2"/>
    </i>
    <i>
      <x v="133"/>
      <x v="134"/>
      <x v="2"/>
    </i>
    <i>
      <x v="134"/>
      <x v="135"/>
      <x v="2"/>
    </i>
    <i>
      <x v="135"/>
      <x v="136"/>
      <x v="2"/>
    </i>
    <i>
      <x v="136"/>
      <x v="137"/>
      <x v="2"/>
    </i>
    <i r="1">
      <x v="150"/>
      <x v="2"/>
    </i>
    <i>
      <x v="137"/>
      <x v="138"/>
      <x v="2"/>
    </i>
    <i>
      <x v="138"/>
      <x v="139"/>
      <x v="2"/>
    </i>
    <i>
      <x v="139"/>
      <x v="140"/>
      <x v="2"/>
    </i>
    <i>
      <x v="140"/>
      <x v="141"/>
      <x v="2"/>
    </i>
    <i>
      <x v="141"/>
      <x v="142"/>
      <x v="2"/>
    </i>
    <i>
      <x v="142"/>
      <x v="143"/>
      <x v="2"/>
    </i>
    <i>
      <x v="143"/>
      <x v="144"/>
      <x v="2"/>
    </i>
    <i>
      <x v="144"/>
      <x v="145"/>
      <x v="2"/>
    </i>
    <i>
      <x v="145"/>
      <x v="146"/>
      <x v="2"/>
    </i>
    <i>
      <x v="146"/>
      <x v="147"/>
      <x v="2"/>
    </i>
    <i>
      <x v="147"/>
      <x v="148"/>
      <x v="2"/>
    </i>
    <i>
      <x v="148"/>
      <x v="149"/>
      <x v="1"/>
    </i>
    <i>
      <x v="149"/>
      <x v="151"/>
      <x v="2"/>
    </i>
    <i>
      <x v="150"/>
      <x v="152"/>
      <x v="2"/>
    </i>
    <i>
      <x v="151"/>
      <x v="153"/>
      <x v="2"/>
    </i>
    <i>
      <x v="152"/>
      <x v="154"/>
      <x v="2"/>
    </i>
    <i>
      <x v="153"/>
      <x v="155"/>
      <x v="1"/>
    </i>
    <i>
      <x v="154"/>
      <x v="156"/>
      <x v="5"/>
    </i>
    <i>
      <x v="155"/>
      <x v="157"/>
      <x v="2"/>
    </i>
    <i>
      <x v="156"/>
      <x v="158"/>
      <x v="2"/>
    </i>
    <i>
      <x v="157"/>
      <x v="159"/>
      <x v="2"/>
    </i>
    <i>
      <x v="158"/>
      <x v="190"/>
      <x v="2"/>
    </i>
    <i>
      <x v="159"/>
      <x v="160"/>
      <x v="2"/>
    </i>
    <i>
      <x v="160"/>
      <x v="161"/>
      <x v="2"/>
    </i>
    <i>
      <x v="161"/>
      <x v="162"/>
      <x v="2"/>
    </i>
    <i>
      <x v="162"/>
      <x v="163"/>
      <x v="2"/>
    </i>
    <i>
      <x v="163"/>
      <x v="164"/>
      <x v="2"/>
    </i>
    <i>
      <x v="164"/>
      <x v="165"/>
      <x v="2"/>
    </i>
    <i>
      <x v="165"/>
      <x v="166"/>
      <x v="1"/>
    </i>
    <i>
      <x v="166"/>
      <x v="167"/>
      <x v="1"/>
    </i>
    <i>
      <x v="167"/>
      <x v="168"/>
      <x v="2"/>
    </i>
    <i>
      <x v="168"/>
      <x v="169"/>
      <x v="2"/>
    </i>
    <i>
      <x v="169"/>
      <x v="170"/>
      <x v="1"/>
    </i>
    <i>
      <x v="170"/>
      <x v="171"/>
      <x v="1"/>
    </i>
    <i>
      <x v="171"/>
      <x v="172"/>
      <x v="1"/>
    </i>
    <i>
      <x v="172"/>
      <x v="173"/>
      <x v="1"/>
    </i>
    <i>
      <x v="173"/>
      <x v="174"/>
      <x v="2"/>
    </i>
    <i>
      <x v="174"/>
      <x v="175"/>
      <x v="2"/>
    </i>
    <i>
      <x v="175"/>
      <x v="176"/>
      <x v="2"/>
    </i>
    <i>
      <x v="176"/>
      <x v="177"/>
      <x v="2"/>
    </i>
    <i>
      <x v="177"/>
      <x v="178"/>
      <x v="2"/>
    </i>
    <i>
      <x v="178"/>
      <x v="179"/>
      <x v="1"/>
    </i>
    <i>
      <x v="179"/>
      <x v="180"/>
      <x v="2"/>
    </i>
    <i>
      <x v="180"/>
      <x v="181"/>
      <x v="1"/>
    </i>
    <i>
      <x v="181"/>
      <x v="182"/>
      <x v="2"/>
    </i>
    <i>
      <x v="182"/>
      <x v="183"/>
      <x v="2"/>
    </i>
    <i>
      <x v="183"/>
      <x v="184"/>
      <x v="2"/>
    </i>
    <i>
      <x v="184"/>
      <x v="185"/>
      <x v="2"/>
    </i>
    <i>
      <x v="185"/>
      <x v="186"/>
      <x v="2"/>
    </i>
    <i>
      <x v="186"/>
      <x v="187"/>
      <x v="1"/>
    </i>
    <i>
      <x v="187"/>
      <x v="188"/>
      <x v="1"/>
    </i>
    <i>
      <x v="188"/>
      <x v="189"/>
      <x v="1"/>
    </i>
    <i>
      <x v="189"/>
      <x v="191"/>
      <x v="1"/>
    </i>
    <i>
      <x v="190"/>
      <x v="192"/>
      <x v="1"/>
    </i>
    <i r="1">
      <x v="202"/>
      <x v="1"/>
    </i>
    <i>
      <x v="191"/>
      <x v="193"/>
      <x v="1"/>
    </i>
    <i>
      <x v="192"/>
      <x v="194"/>
      <x v="1"/>
    </i>
    <i>
      <x v="193"/>
      <x v="195"/>
      <x v="1"/>
    </i>
    <i>
      <x v="194"/>
      <x v="196"/>
      <x v="2"/>
    </i>
    <i>
      <x v="195"/>
      <x v="197"/>
      <x v="1"/>
    </i>
    <i>
      <x v="196"/>
      <x v="203"/>
      <x v="1"/>
    </i>
    <i r="1">
      <x v="382"/>
      <x v="1"/>
    </i>
    <i>
      <x v="197"/>
      <x v="198"/>
      <x v="2"/>
    </i>
    <i>
      <x v="198"/>
      <x v="199"/>
      <x/>
    </i>
    <i>
      <x v="199"/>
      <x v="200"/>
      <x v="1"/>
    </i>
    <i>
      <x v="200"/>
      <x v="201"/>
      <x v="1"/>
    </i>
    <i>
      <x v="201"/>
      <x v="204"/>
      <x v="1"/>
    </i>
    <i>
      <x v="202"/>
      <x v="205"/>
      <x v="1"/>
    </i>
    <i>
      <x v="203"/>
      <x v="245"/>
      <x v="1"/>
    </i>
    <i>
      <x v="204"/>
      <x v="206"/>
      <x v="2"/>
    </i>
    <i>
      <x v="205"/>
      <x v="207"/>
      <x v="1"/>
    </i>
    <i>
      <x v="206"/>
      <x v="208"/>
      <x v="1"/>
    </i>
    <i>
      <x v="207"/>
      <x v="209"/>
      <x v="1"/>
    </i>
    <i>
      <x v="208"/>
      <x v="210"/>
      <x v="1"/>
    </i>
    <i>
      <x v="209"/>
      <x v="211"/>
      <x v="1"/>
    </i>
    <i>
      <x v="210"/>
      <x v="212"/>
      <x v="1"/>
    </i>
    <i>
      <x v="211"/>
      <x v="213"/>
      <x v="1"/>
    </i>
    <i r="1">
      <x v="246"/>
      <x v="1"/>
    </i>
    <i>
      <x v="212"/>
      <x v="214"/>
      <x v="1"/>
    </i>
    <i>
      <x v="213"/>
      <x v="215"/>
      <x v="1"/>
    </i>
    <i>
      <x v="214"/>
      <x v="216"/>
      <x v="1"/>
    </i>
    <i>
      <x v="215"/>
      <x v="217"/>
      <x v="1"/>
    </i>
    <i>
      <x v="216"/>
      <x v="218"/>
      <x v="1"/>
    </i>
    <i>
      <x v="217"/>
      <x v="219"/>
      <x v="1"/>
    </i>
    <i>
      <x v="218"/>
      <x v="220"/>
      <x v="1"/>
    </i>
    <i>
      <x v="219"/>
      <x v="221"/>
      <x v="1"/>
    </i>
    <i>
      <x v="220"/>
      <x v="222"/>
      <x v="1"/>
    </i>
    <i>
      <x v="221"/>
      <x v="223"/>
      <x v="3"/>
    </i>
    <i>
      <x v="222"/>
      <x v="224"/>
      <x v="1"/>
    </i>
    <i>
      <x v="223"/>
      <x v="225"/>
      <x v="1"/>
    </i>
    <i>
      <x v="224"/>
      <x v="226"/>
      <x v="1"/>
    </i>
    <i>
      <x v="225"/>
      <x v="227"/>
      <x v="1"/>
    </i>
    <i>
      <x v="226"/>
      <x v="228"/>
      <x v="4"/>
    </i>
    <i>
      <x v="227"/>
      <x v="229"/>
      <x v="1"/>
    </i>
    <i>
      <x v="228"/>
      <x v="230"/>
      <x v="2"/>
    </i>
    <i>
      <x v="229"/>
      <x v="231"/>
      <x v="1"/>
    </i>
    <i>
      <x v="230"/>
      <x v="232"/>
      <x/>
    </i>
    <i>
      <x v="231"/>
      <x v="233"/>
      <x v="1"/>
    </i>
    <i>
      <x v="232"/>
      <x v="234"/>
      <x v="1"/>
    </i>
    <i>
      <x v="233"/>
      <x v="235"/>
      <x v="1"/>
    </i>
    <i>
      <x v="234"/>
      <x v="236"/>
      <x v="1"/>
    </i>
    <i>
      <x v="235"/>
      <x v="237"/>
      <x v="1"/>
    </i>
    <i>
      <x v="236"/>
      <x v="238"/>
      <x v="2"/>
    </i>
    <i>
      <x v="237"/>
      <x v="239"/>
      <x v="2"/>
    </i>
    <i>
      <x v="238"/>
      <x v="240"/>
      <x v="1"/>
    </i>
    <i>
      <x v="239"/>
      <x v="241"/>
      <x/>
    </i>
    <i>
      <x v="240"/>
      <x v="242"/>
      <x v="2"/>
    </i>
    <i>
      <x v="241"/>
      <x v="243"/>
      <x v="1"/>
    </i>
    <i>
      <x v="242"/>
      <x v="244"/>
      <x v="4"/>
    </i>
    <i>
      <x v="243"/>
      <x v="247"/>
      <x v="1"/>
    </i>
    <i>
      <x v="244"/>
      <x v="248"/>
      <x v="1"/>
    </i>
    <i>
      <x v="245"/>
      <x v="249"/>
      <x v="1"/>
    </i>
    <i>
      <x v="246"/>
      <x v="250"/>
      <x v="1"/>
    </i>
    <i>
      <x v="247"/>
      <x v="251"/>
      <x v="1"/>
    </i>
    <i>
      <x v="248"/>
      <x v="252"/>
      <x v="1"/>
    </i>
    <i>
      <x v="249"/>
      <x v="253"/>
      <x v="1"/>
    </i>
    <i>
      <x v="250"/>
      <x v="254"/>
      <x v="2"/>
    </i>
    <i>
      <x v="251"/>
      <x v="255"/>
      <x v="1"/>
    </i>
    <i>
      <x v="252"/>
      <x v="256"/>
      <x v="2"/>
    </i>
    <i>
      <x v="253"/>
      <x v="257"/>
      <x v="1"/>
    </i>
    <i>
      <x v="254"/>
      <x v="258"/>
      <x v="1"/>
    </i>
    <i>
      <x v="255"/>
      <x v="259"/>
      <x v="1"/>
    </i>
    <i>
      <x v="256"/>
      <x v="260"/>
      <x v="1"/>
    </i>
    <i>
      <x v="257"/>
      <x v="261"/>
      <x v="1"/>
    </i>
    <i>
      <x v="258"/>
      <x v="262"/>
      <x v="2"/>
    </i>
    <i>
      <x v="259"/>
      <x v="263"/>
      <x v="2"/>
    </i>
    <i>
      <x v="260"/>
      <x v="264"/>
      <x v="2"/>
    </i>
    <i>
      <x v="261"/>
      <x v="265"/>
      <x v="1"/>
    </i>
    <i>
      <x v="262"/>
      <x v="266"/>
      <x v="1"/>
    </i>
    <i>
      <x v="263"/>
      <x v="267"/>
      <x v="2"/>
    </i>
    <i>
      <x v="264"/>
      <x v="268"/>
      <x v="1"/>
    </i>
    <i>
      <x v="265"/>
      <x v="269"/>
      <x v="1"/>
    </i>
    <i>
      <x v="266"/>
      <x v="270"/>
      <x v="2"/>
    </i>
    <i>
      <x v="267"/>
      <x v="271"/>
      <x v="1"/>
    </i>
    <i>
      <x v="268"/>
      <x v="272"/>
      <x v="1"/>
    </i>
    <i>
      <x v="269"/>
      <x v="273"/>
      <x v="1"/>
    </i>
    <i>
      <x v="270"/>
      <x v="274"/>
      <x v="1"/>
    </i>
    <i>
      <x v="271"/>
      <x v="275"/>
      <x v="1"/>
    </i>
    <i>
      <x v="272"/>
      <x v="276"/>
      <x v="1"/>
    </i>
    <i>
      <x v="273"/>
      <x v="277"/>
      <x v="1"/>
    </i>
    <i>
      <x v="274"/>
      <x v="278"/>
      <x v="1"/>
    </i>
    <i>
      <x v="275"/>
      <x v="279"/>
      <x v="1"/>
    </i>
    <i>
      <x v="276"/>
      <x v="280"/>
      <x v="1"/>
    </i>
    <i r="1">
      <x v="282"/>
      <x v="1"/>
    </i>
    <i>
      <x v="277"/>
      <x v="281"/>
      <x v="1"/>
    </i>
    <i>
      <x v="278"/>
      <x v="283"/>
      <x v="2"/>
    </i>
    <i>
      <x v="279"/>
      <x v="284"/>
      <x/>
    </i>
    <i>
      <x v="280"/>
      <x v="285"/>
      <x v="1"/>
    </i>
    <i>
      <x v="281"/>
      <x v="286"/>
      <x v="1"/>
    </i>
    <i>
      <x v="282"/>
      <x v="287"/>
      <x v="1"/>
    </i>
    <i>
      <x v="283"/>
      <x v="288"/>
      <x v="1"/>
    </i>
    <i>
      <x v="284"/>
      <x v="289"/>
      <x v="1"/>
    </i>
    <i>
      <x v="285"/>
      <x v="290"/>
      <x v="2"/>
    </i>
    <i>
      <x v="286"/>
      <x v="291"/>
      <x v="1"/>
    </i>
    <i>
      <x v="287"/>
      <x v="292"/>
      <x v="1"/>
    </i>
    <i>
      <x v="288"/>
      <x v="293"/>
      <x v="1"/>
    </i>
    <i>
      <x v="289"/>
      <x v="294"/>
      <x v="1"/>
    </i>
    <i>
      <x v="290"/>
      <x v="295"/>
      <x v="1"/>
    </i>
    <i r="2">
      <x v="2"/>
    </i>
    <i r="1">
      <x v="328"/>
      <x v="1"/>
    </i>
    <i r="2">
      <x v="2"/>
    </i>
    <i>
      <x v="291"/>
      <x v="296"/>
      <x v="1"/>
    </i>
    <i>
      <x v="292"/>
      <x v="297"/>
      <x v="2"/>
    </i>
    <i>
      <x v="293"/>
      <x v="298"/>
      <x v="2"/>
    </i>
    <i>
      <x v="294"/>
      <x v="299"/>
      <x v="1"/>
    </i>
    <i>
      <x v="295"/>
      <x v="300"/>
      <x v="2"/>
    </i>
    <i>
      <x v="296"/>
      <x v="301"/>
      <x v="1"/>
    </i>
    <i>
      <x v="297"/>
      <x v="302"/>
      <x v="1"/>
    </i>
    <i>
      <x v="298"/>
      <x v="303"/>
      <x v="1"/>
    </i>
    <i>
      <x v="299"/>
      <x v="304"/>
      <x v="1"/>
    </i>
    <i>
      <x v="300"/>
      <x v="305"/>
      <x v="1"/>
    </i>
    <i>
      <x v="301"/>
      <x v="306"/>
      <x v="1"/>
    </i>
    <i>
      <x v="302"/>
      <x v="307"/>
      <x v="2"/>
    </i>
    <i>
      <x v="303"/>
      <x v="308"/>
      <x v="1"/>
    </i>
    <i>
      <x v="304"/>
      <x v="309"/>
      <x v="1"/>
    </i>
    <i>
      <x v="305"/>
      <x v="310"/>
      <x v="1"/>
    </i>
    <i>
      <x v="306"/>
      <x v="311"/>
      <x v="1"/>
    </i>
    <i>
      <x v="307"/>
      <x v="312"/>
      <x v="1"/>
    </i>
    <i>
      <x v="308"/>
      <x v="313"/>
      <x v="1"/>
    </i>
    <i>
      <x v="309"/>
      <x v="314"/>
      <x v="1"/>
    </i>
    <i>
      <x v="310"/>
      <x v="315"/>
      <x v="1"/>
    </i>
    <i>
      <x v="311"/>
      <x v="316"/>
      <x v="1"/>
    </i>
    <i>
      <x v="312"/>
      <x v="317"/>
      <x v="1"/>
    </i>
    <i>
      <x v="313"/>
      <x v="329"/>
      <x v="1"/>
    </i>
    <i>
      <x v="314"/>
      <x v="318"/>
      <x v="1"/>
    </i>
    <i>
      <x v="315"/>
      <x v="319"/>
      <x v="1"/>
    </i>
    <i>
      <x v="316"/>
      <x v="320"/>
      <x v="1"/>
    </i>
    <i>
      <x v="317"/>
      <x v="321"/>
      <x v="1"/>
    </i>
    <i>
      <x v="318"/>
      <x v="322"/>
      <x v="1"/>
    </i>
    <i>
      <x v="319"/>
      <x v="323"/>
      <x v="1"/>
    </i>
    <i>
      <x v="320"/>
      <x v="324"/>
      <x v="1"/>
    </i>
    <i>
      <x v="321"/>
      <x v="325"/>
      <x v="1"/>
    </i>
    <i>
      <x v="322"/>
      <x v="326"/>
      <x v="1"/>
    </i>
    <i>
      <x v="323"/>
      <x v="327"/>
      <x v="1"/>
    </i>
    <i>
      <x v="324"/>
      <x v="330"/>
      <x v="1"/>
    </i>
    <i>
      <x v="325"/>
      <x v="331"/>
      <x v="1"/>
    </i>
    <i>
      <x v="326"/>
      <x v="332"/>
      <x v="1"/>
    </i>
    <i>
      <x v="327"/>
      <x v="333"/>
      <x v="1"/>
    </i>
    <i>
      <x v="328"/>
      <x v="334"/>
      <x v="1"/>
    </i>
    <i>
      <x v="329"/>
      <x v="335"/>
      <x v="1"/>
    </i>
    <i>
      <x v="330"/>
      <x v="336"/>
      <x v="1"/>
    </i>
    <i>
      <x v="331"/>
      <x v="337"/>
      <x v="1"/>
    </i>
    <i>
      <x v="332"/>
      <x v="338"/>
      <x v="1"/>
    </i>
    <i>
      <x v="333"/>
      <x v="339"/>
      <x v="1"/>
    </i>
    <i>
      <x v="334"/>
      <x v="340"/>
      <x v="1"/>
    </i>
    <i>
      <x v="335"/>
      <x v="341"/>
      <x v="1"/>
    </i>
    <i>
      <x v="336"/>
      <x v="342"/>
      <x v="1"/>
    </i>
    <i>
      <x v="337"/>
      <x v="343"/>
      <x v="1"/>
    </i>
    <i>
      <x v="338"/>
      <x v="344"/>
      <x v="1"/>
    </i>
    <i>
      <x v="339"/>
      <x v="345"/>
      <x v="1"/>
    </i>
    <i>
      <x v="340"/>
      <x v="346"/>
      <x v="1"/>
    </i>
    <i>
      <x v="341"/>
      <x v="347"/>
      <x v="1"/>
    </i>
    <i>
      <x v="342"/>
      <x v="348"/>
      <x v="1"/>
    </i>
    <i>
      <x v="343"/>
      <x v="349"/>
      <x v="1"/>
    </i>
    <i>
      <x v="344"/>
      <x v="350"/>
      <x v="2"/>
    </i>
    <i>
      <x v="345"/>
      <x v="351"/>
      <x v="1"/>
    </i>
    <i>
      <x v="346"/>
      <x v="352"/>
      <x v="1"/>
    </i>
    <i>
      <x v="347"/>
      <x v="353"/>
      <x v="1"/>
    </i>
    <i>
      <x v="348"/>
      <x v="354"/>
      <x v="1"/>
    </i>
    <i>
      <x v="349"/>
      <x v="355"/>
      <x v="1"/>
    </i>
    <i>
      <x v="350"/>
      <x v="356"/>
      <x v="1"/>
    </i>
    <i>
      <x v="351"/>
      <x v="357"/>
      <x v="2"/>
    </i>
    <i>
      <x v="352"/>
      <x v="358"/>
      <x v="1"/>
    </i>
    <i>
      <x v="353"/>
      <x v="359"/>
      <x v="1"/>
    </i>
    <i r="1">
      <x v="397"/>
      <x v="1"/>
    </i>
    <i>
      <x v="354"/>
      <x v="360"/>
      <x v="1"/>
    </i>
    <i>
      <x v="355"/>
      <x v="361"/>
      <x v="2"/>
    </i>
    <i>
      <x v="356"/>
      <x v="362"/>
      <x v="1"/>
    </i>
    <i>
      <x v="357"/>
      <x v="363"/>
      <x v="2"/>
    </i>
    <i>
      <x v="358"/>
      <x v="364"/>
      <x v="2"/>
    </i>
    <i>
      <x v="359"/>
      <x v="365"/>
      <x v="1"/>
    </i>
    <i>
      <x v="360"/>
      <x v="366"/>
      <x v="1"/>
    </i>
    <i>
      <x v="361"/>
      <x v="367"/>
      <x v="1"/>
    </i>
    <i>
      <x v="362"/>
      <x v="368"/>
      <x v="2"/>
    </i>
    <i r="1">
      <x v="398"/>
      <x v="2"/>
    </i>
    <i>
      <x v="363"/>
      <x v="369"/>
      <x v="2"/>
    </i>
    <i>
      <x v="364"/>
      <x v="370"/>
      <x v="2"/>
    </i>
    <i r="1">
      <x v="399"/>
      <x v="2"/>
    </i>
    <i>
      <x v="365"/>
      <x v="371"/>
      <x v="2"/>
    </i>
    <i>
      <x v="366"/>
      <x v="372"/>
      <x v="2"/>
    </i>
    <i>
      <x v="367"/>
      <x v="373"/>
      <x v="2"/>
    </i>
    <i>
      <x v="368"/>
      <x v="374"/>
      <x v="2"/>
    </i>
    <i>
      <x v="369"/>
      <x v="375"/>
      <x v="2"/>
    </i>
    <i>
      <x v="370"/>
      <x v="376"/>
      <x v="2"/>
    </i>
    <i>
      <x v="371"/>
      <x v="377"/>
      <x v="1"/>
    </i>
    <i>
      <x v="372"/>
      <x v="378"/>
      <x v="2"/>
    </i>
    <i>
      <x v="373"/>
      <x v="379"/>
      <x v="2"/>
    </i>
    <i>
      <x v="374"/>
      <x v="380"/>
      <x v="2"/>
    </i>
    <i>
      <x v="375"/>
      <x v="381"/>
      <x v="1"/>
    </i>
    <i>
      <x v="376"/>
      <x v="383"/>
      <x v="2"/>
    </i>
    <i>
      <x v="377"/>
      <x v="384"/>
      <x v="1"/>
    </i>
    <i>
      <x v="378"/>
      <x v="385"/>
      <x v="2"/>
    </i>
    <i>
      <x v="379"/>
      <x v="386"/>
      <x v="2"/>
    </i>
    <i>
      <x v="380"/>
      <x v="387"/>
      <x v="2"/>
    </i>
    <i>
      <x v="381"/>
      <x v="388"/>
      <x v="2"/>
    </i>
    <i>
      <x v="382"/>
      <x v="389"/>
      <x v="1"/>
    </i>
    <i>
      <x v="383"/>
      <x v="390"/>
      <x v="1"/>
    </i>
    <i>
      <x v="384"/>
      <x v="391"/>
      <x v="1"/>
    </i>
    <i>
      <x v="385"/>
      <x v="392"/>
      <x v="1"/>
    </i>
    <i>
      <x v="386"/>
      <x v="393"/>
      <x v="2"/>
    </i>
    <i>
      <x v="387"/>
      <x v="394"/>
      <x v="2"/>
    </i>
    <i>
      <x v="388"/>
      <x v="395"/>
      <x v="2"/>
    </i>
    <i>
      <x v="389"/>
      <x v="396"/>
      <x v="1"/>
    </i>
    <i>
      <x v="390"/>
      <x v="400"/>
      <x v="1"/>
    </i>
    <i>
      <x v="391"/>
      <x v="401"/>
      <x v="1"/>
    </i>
    <i>
      <x v="392"/>
      <x v="402"/>
      <x v="1"/>
    </i>
    <i>
      <x v="393"/>
      <x v="403"/>
      <x v="1"/>
    </i>
    <i>
      <x v="394"/>
      <x v="404"/>
      <x v="1"/>
    </i>
    <i>
      <x v="395"/>
      <x v="405"/>
      <x v="1"/>
    </i>
    <i>
      <x v="396"/>
      <x v="406"/>
      <x v="1"/>
    </i>
    <i>
      <x v="397"/>
      <x v="407"/>
      <x v="1"/>
    </i>
    <i>
      <x v="398"/>
      <x v="408"/>
      <x v="1"/>
    </i>
    <i>
      <x v="399"/>
      <x v="409"/>
      <x v="1"/>
    </i>
    <i r="1">
      <x v="449"/>
      <x v="1"/>
    </i>
    <i>
      <x v="400"/>
      <x v="410"/>
      <x v="1"/>
    </i>
    <i>
      <x v="401"/>
      <x v="411"/>
      <x v="1"/>
    </i>
    <i>
      <x v="402"/>
      <x v="412"/>
      <x v="1"/>
    </i>
    <i>
      <x v="403"/>
      <x v="413"/>
      <x v="1"/>
    </i>
    <i>
      <x v="404"/>
      <x v="414"/>
      <x v="2"/>
    </i>
    <i>
      <x v="405"/>
      <x v="415"/>
      <x v="1"/>
    </i>
    <i>
      <x v="406"/>
      <x v="416"/>
      <x v="1"/>
    </i>
    <i>
      <x v="407"/>
      <x v="417"/>
      <x v="1"/>
    </i>
    <i>
      <x v="408"/>
      <x v="418"/>
      <x v="2"/>
    </i>
    <i>
      <x v="409"/>
      <x v="419"/>
      <x v="2"/>
    </i>
    <i>
      <x v="410"/>
      <x v="420"/>
      <x v="1"/>
    </i>
    <i>
      <x v="411"/>
      <x v="421"/>
      <x v="1"/>
    </i>
    <i>
      <x v="412"/>
      <x v="422"/>
      <x v="1"/>
    </i>
    <i>
      <x v="413"/>
      <x v="423"/>
      <x v="1"/>
    </i>
    <i>
      <x v="414"/>
      <x v="424"/>
      <x v="1"/>
    </i>
    <i>
      <x v="415"/>
      <x v="425"/>
      <x v="1"/>
    </i>
    <i>
      <x v="416"/>
      <x v="426"/>
      <x v="1"/>
    </i>
    <i>
      <x v="417"/>
      <x v="427"/>
      <x v="2"/>
    </i>
    <i r="1">
      <x v="450"/>
      <x v="2"/>
    </i>
    <i>
      <x v="418"/>
      <x v="428"/>
      <x v="1"/>
    </i>
    <i>
      <x v="419"/>
      <x v="429"/>
      <x v="1"/>
    </i>
    <i>
      <x v="420"/>
      <x v="430"/>
      <x v="1"/>
    </i>
    <i>
      <x v="421"/>
      <x v="431"/>
      <x v="2"/>
    </i>
    <i>
      <x v="422"/>
      <x v="432"/>
      <x v="2"/>
    </i>
    <i>
      <x v="423"/>
      <x v="433"/>
      <x v="2"/>
    </i>
    <i>
      <x v="424"/>
      <x v="434"/>
      <x/>
    </i>
    <i>
      <x v="425"/>
      <x v="435"/>
      <x v="1"/>
    </i>
    <i>
      <x v="426"/>
      <x v="436"/>
      <x v="1"/>
    </i>
    <i>
      <x v="427"/>
      <x v="437"/>
      <x v="2"/>
    </i>
    <i>
      <x v="428"/>
      <x v="438"/>
      <x v="1"/>
    </i>
    <i>
      <x v="429"/>
      <x v="439"/>
      <x v="1"/>
    </i>
    <i>
      <x v="430"/>
      <x v="440"/>
      <x v="1"/>
    </i>
    <i>
      <x v="431"/>
      <x v="441"/>
      <x v="1"/>
    </i>
    <i>
      <x v="432"/>
      <x v="442"/>
      <x v="1"/>
    </i>
    <i>
      <x v="433"/>
      <x v="443"/>
      <x v="1"/>
    </i>
    <i>
      <x v="434"/>
      <x v="444"/>
      <x v="1"/>
    </i>
    <i>
      <x v="435"/>
      <x v="445"/>
      <x v="1"/>
    </i>
    <i>
      <x v="436"/>
      <x v="446"/>
      <x v="6"/>
    </i>
    <i>
      <x v="437"/>
      <x v="447"/>
      <x v="1"/>
    </i>
    <i>
      <x v="438"/>
      <x v="448"/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Valor Cotización CCF" fld="86" baseField="0" baseItem="0" numFmtId="167"/>
  </dataFields>
  <formats count="17">
    <format dxfId="94">
      <pivotArea type="all" dataOnly="0" outline="0" fieldPosition="0"/>
    </format>
    <format dxfId="95">
      <pivotArea outline="0" collapsedLevelsAreSubtotals="1" fieldPosition="0"/>
    </format>
    <format dxfId="96">
      <pivotArea type="origin" dataOnly="0" labelOnly="1" outline="0" fieldPosition="0"/>
    </format>
    <format dxfId="97">
      <pivotArea field="0" type="button" dataOnly="0" labelOnly="1" outline="0" axis="axisCol" fieldPosition="0"/>
    </format>
    <format dxfId="98">
      <pivotArea type="topRight" dataOnly="0" labelOnly="1" outline="0" fieldPosition="0"/>
    </format>
    <format dxfId="99">
      <pivotArea field="2" type="button" dataOnly="0" labelOnly="1" outline="0" axis="axisRow" fieldPosition="0"/>
    </format>
    <format dxfId="100">
      <pivotArea field="3" type="button" dataOnly="0" labelOnly="1" outline="0" axis="axisRow" fieldPosition="1"/>
    </format>
    <format dxfId="101">
      <pivotArea field="83" type="button" dataOnly="0" labelOnly="1" outline="0" axis="axisRow" fieldPosition="2"/>
    </format>
    <format dxfId="102">
      <pivotArea dataOnly="0" labelOnly="1" grandRow="1" outline="0" fieldPosition="0"/>
    </format>
    <format dxfId="103">
      <pivotArea dataOnly="0" labelOnly="1" outline="0" fieldPosition="0">
        <references count="1">
          <reference field="0" count="0"/>
        </references>
      </pivotArea>
    </format>
    <format dxfId="104">
      <pivotArea dataOnly="0" labelOnly="1" grandCol="1" outline="0" fieldPosition="0"/>
    </format>
    <format dxfId="105">
      <pivotArea outline="0" fieldPosition="0">
        <references count="1">
          <reference field="0" count="1" selected="0">
            <x v="1"/>
          </reference>
        </references>
      </pivotArea>
    </format>
    <format dxfId="106">
      <pivotArea outline="0" collapsedLevelsAreSubtotals="1" fieldPosition="0"/>
    </format>
    <format dxfId="107">
      <pivotArea field="0" type="button" dataOnly="0" labelOnly="1" outline="0" axis="axisCol" fieldPosition="0"/>
    </format>
    <format dxfId="108">
      <pivotArea type="topRight" dataOnly="0" labelOnly="1" outline="0" fieldPosition="0"/>
    </format>
    <format dxfId="109">
      <pivotArea dataOnly="0" labelOnly="1" outline="0" fieldPosition="0">
        <references count="1">
          <reference field="0" count="0"/>
        </references>
      </pivotArea>
    </format>
    <format dxfId="1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BFFC7-DCCA-4F6D-82BB-E09644EA2072}" name="TablaDinámica9" cacheId="5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36:F990" firstHeaderRow="1" firstDataRow="2" firstDataCol="3"/>
  <pivotFields count="99"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9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7"/>
        <item x="220"/>
        <item x="223"/>
        <item x="224"/>
        <item x="237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67"/>
        <item x="178"/>
        <item x="179"/>
        <item x="181"/>
        <item x="184"/>
        <item x="187"/>
        <item x="200"/>
        <item x="202"/>
        <item x="246"/>
        <item x="250"/>
        <item x="259"/>
        <item x="262"/>
        <item x="340"/>
        <item x="364"/>
        <item x="383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24"/>
        <item x="114"/>
        <item x="171"/>
        <item x="185"/>
        <item x="217"/>
        <item x="438"/>
        <item x="7"/>
        <item x="15"/>
        <item x="16"/>
        <item x="17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43"/>
        <item x="70"/>
        <item x="92"/>
        <item x="93"/>
        <item x="98"/>
        <item x="143"/>
        <item x="297"/>
        <item x="301"/>
        <item x="313"/>
        <item x="330"/>
        <item x="353"/>
        <item x="434"/>
        <item x="14"/>
        <item x="40"/>
        <item x="6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79"/>
        <item x="394"/>
        <item x="397"/>
        <item x="401"/>
        <item x="405"/>
        <item x="412"/>
        <item x="417"/>
        <item x="428"/>
        <item x="429"/>
        <item x="431"/>
        <item x="437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51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7"/>
        <item x="220"/>
        <item x="223"/>
        <item x="224"/>
        <item x="237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44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78"/>
        <item x="179"/>
        <item x="181"/>
        <item x="184"/>
        <item x="187"/>
        <item x="200"/>
        <item x="202"/>
        <item x="246"/>
        <item x="250"/>
        <item x="259"/>
        <item x="262"/>
        <item x="340"/>
        <item x="364"/>
        <item x="383"/>
        <item x="167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444"/>
        <item x="24"/>
        <item x="114"/>
        <item x="171"/>
        <item x="185"/>
        <item x="217"/>
        <item x="450"/>
        <item x="7"/>
        <item x="15"/>
        <item x="16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17"/>
        <item x="43"/>
        <item x="70"/>
        <item x="92"/>
        <item x="93"/>
        <item x="98"/>
        <item x="143"/>
        <item x="297"/>
        <item x="313"/>
        <item x="330"/>
        <item x="353"/>
        <item x="434"/>
        <item x="439"/>
        <item x="448"/>
        <item x="14"/>
        <item x="4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60"/>
        <item x="441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449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94"/>
        <item x="397"/>
        <item x="401"/>
        <item x="405"/>
        <item x="412"/>
        <item x="417"/>
        <item x="428"/>
        <item x="429"/>
        <item x="431"/>
        <item x="437"/>
        <item x="442"/>
        <item x="379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01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440"/>
        <item x="446"/>
        <item x="447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  <item x="438"/>
        <item x="4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8"/>
        <item x="9"/>
        <item x="10"/>
        <item x="0"/>
        <item x="3"/>
        <item x="2"/>
        <item x="6"/>
        <item x="4"/>
        <item x="14"/>
        <item x="1"/>
        <item x="15"/>
        <item x="7"/>
        <item x="12"/>
        <item x="11"/>
        <item x="5"/>
        <item x="13"/>
        <item m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3"/>
    <field x="63"/>
  </rowFields>
  <rowItems count="453">
    <i>
      <x/>
      <x/>
      <x v="6"/>
    </i>
    <i>
      <x v="1"/>
      <x v="1"/>
      <x v="4"/>
    </i>
    <i>
      <x v="2"/>
      <x v="2"/>
      <x v="5"/>
    </i>
    <i>
      <x v="3"/>
      <x v="3"/>
      <x v="1"/>
    </i>
    <i>
      <x v="4"/>
      <x v="4"/>
      <x v="2"/>
    </i>
    <i>
      <x v="5"/>
      <x v="5"/>
      <x/>
    </i>
    <i>
      <x v="6"/>
      <x v="6"/>
      <x v="5"/>
    </i>
    <i>
      <x v="7"/>
      <x v="7"/>
      <x/>
    </i>
    <i>
      <x v="8"/>
      <x v="8"/>
      <x/>
    </i>
    <i>
      <x v="9"/>
      <x v="9"/>
      <x v="5"/>
    </i>
    <i>
      <x v="10"/>
      <x v="10"/>
      <x v="3"/>
    </i>
    <i>
      <x v="11"/>
      <x v="11"/>
      <x v="1"/>
    </i>
    <i>
      <x v="12"/>
      <x v="12"/>
      <x/>
    </i>
    <i>
      <x v="13"/>
      <x v="13"/>
      <x v="5"/>
    </i>
    <i>
      <x v="14"/>
      <x v="14"/>
      <x/>
    </i>
    <i>
      <x v="15"/>
      <x v="15"/>
      <x/>
    </i>
    <i>
      <x v="16"/>
      <x v="16"/>
      <x v="4"/>
    </i>
    <i>
      <x v="17"/>
      <x v="17"/>
      <x v="5"/>
    </i>
    <i>
      <x v="18"/>
      <x v="18"/>
      <x v="5"/>
    </i>
    <i>
      <x v="19"/>
      <x v="19"/>
      <x v="4"/>
    </i>
    <i>
      <x v="20"/>
      <x v="20"/>
      <x v="5"/>
    </i>
    <i>
      <x v="21"/>
      <x v="21"/>
      <x/>
    </i>
    <i>
      <x v="22"/>
      <x v="22"/>
      <x v="5"/>
    </i>
    <i>
      <x v="23"/>
      <x v="23"/>
      <x v="2"/>
    </i>
    <i>
      <x v="24"/>
      <x v="24"/>
      <x v="3"/>
    </i>
    <i>
      <x v="25"/>
      <x v="25"/>
      <x v="3"/>
    </i>
    <i>
      <x v="26"/>
      <x v="26"/>
      <x v="5"/>
    </i>
    <i>
      <x v="27"/>
      <x v="27"/>
      <x v="5"/>
    </i>
    <i>
      <x v="28"/>
      <x v="28"/>
      <x v="3"/>
    </i>
    <i>
      <x v="29"/>
      <x v="29"/>
      <x v="5"/>
    </i>
    <i>
      <x v="30"/>
      <x v="30"/>
      <x v="5"/>
    </i>
    <i>
      <x v="31"/>
      <x v="31"/>
      <x v="3"/>
    </i>
    <i>
      <x v="32"/>
      <x v="32"/>
      <x v="5"/>
    </i>
    <i>
      <x v="33"/>
      <x v="33"/>
      <x v="2"/>
    </i>
    <i>
      <x v="34"/>
      <x v="34"/>
      <x v="8"/>
    </i>
    <i>
      <x v="35"/>
      <x v="35"/>
      <x v="3"/>
    </i>
    <i>
      <x v="36"/>
      <x v="36"/>
      <x v="5"/>
    </i>
    <i>
      <x v="37"/>
      <x v="37"/>
      <x v="3"/>
    </i>
    <i>
      <x v="38"/>
      <x v="38"/>
      <x v="3"/>
    </i>
    <i r="1">
      <x v="101"/>
      <x v="3"/>
    </i>
    <i>
      <x v="39"/>
      <x v="39"/>
      <x v="3"/>
    </i>
    <i>
      <x v="40"/>
      <x v="40"/>
      <x v="2"/>
    </i>
    <i>
      <x v="41"/>
      <x v="41"/>
      <x v="4"/>
    </i>
    <i>
      <x v="42"/>
      <x v="42"/>
      <x v="5"/>
    </i>
    <i>
      <x v="43"/>
      <x v="43"/>
      <x v="5"/>
    </i>
    <i>
      <x v="44"/>
      <x v="44"/>
      <x v="5"/>
    </i>
    <i>
      <x v="45"/>
      <x v="45"/>
      <x v="5"/>
    </i>
    <i>
      <x v="46"/>
      <x v="46"/>
      <x v="5"/>
    </i>
    <i>
      <x v="47"/>
      <x v="47"/>
      <x v="5"/>
    </i>
    <i>
      <x v="48"/>
      <x v="48"/>
      <x v="4"/>
    </i>
    <i>
      <x v="49"/>
      <x v="49"/>
      <x/>
    </i>
    <i>
      <x v="50"/>
      <x v="50"/>
      <x v="4"/>
    </i>
    <i r="2">
      <x v="10"/>
    </i>
    <i>
      <x v="51"/>
      <x v="51"/>
      <x v="4"/>
    </i>
    <i>
      <x v="52"/>
      <x v="52"/>
      <x v="5"/>
    </i>
    <i>
      <x v="53"/>
      <x v="53"/>
      <x v="5"/>
    </i>
    <i>
      <x v="54"/>
      <x v="54"/>
      <x/>
    </i>
    <i>
      <x v="55"/>
      <x v="55"/>
      <x/>
    </i>
    <i>
      <x v="56"/>
      <x v="56"/>
      <x v="1"/>
    </i>
    <i>
      <x v="57"/>
      <x v="57"/>
      <x/>
    </i>
    <i>
      <x v="58"/>
      <x v="58"/>
      <x/>
    </i>
    <i>
      <x v="59"/>
      <x v="59"/>
      <x v="5"/>
    </i>
    <i>
      <x v="60"/>
      <x v="60"/>
      <x/>
    </i>
    <i>
      <x v="61"/>
      <x v="61"/>
      <x/>
    </i>
    <i>
      <x v="62"/>
      <x v="62"/>
      <x v="3"/>
    </i>
    <i>
      <x v="63"/>
      <x v="63"/>
      <x v="3"/>
    </i>
    <i>
      <x v="64"/>
      <x v="64"/>
      <x v="1"/>
    </i>
    <i>
      <x v="65"/>
      <x v="65"/>
      <x v="5"/>
    </i>
    <i>
      <x v="66"/>
      <x v="66"/>
      <x v="2"/>
    </i>
    <i>
      <x v="67"/>
      <x v="67"/>
      <x v="3"/>
    </i>
    <i>
      <x v="68"/>
      <x v="68"/>
      <x v="5"/>
    </i>
    <i>
      <x v="69"/>
      <x v="69"/>
      <x v="5"/>
    </i>
    <i>
      <x v="70"/>
      <x v="70"/>
      <x v="4"/>
    </i>
    <i>
      <x v="71"/>
      <x v="71"/>
      <x v="5"/>
    </i>
    <i>
      <x v="72"/>
      <x v="72"/>
      <x v="5"/>
    </i>
    <i>
      <x v="73"/>
      <x v="73"/>
      <x v="5"/>
    </i>
    <i>
      <x v="74"/>
      <x v="74"/>
      <x v="4"/>
    </i>
    <i>
      <x v="75"/>
      <x v="75"/>
      <x/>
    </i>
    <i>
      <x v="76"/>
      <x v="76"/>
      <x/>
    </i>
    <i>
      <x v="77"/>
      <x v="77"/>
      <x v="5"/>
    </i>
    <i>
      <x v="78"/>
      <x v="78"/>
      <x v="5"/>
    </i>
    <i>
      <x v="79"/>
      <x v="79"/>
      <x v="5"/>
    </i>
    <i>
      <x v="80"/>
      <x v="80"/>
      <x v="5"/>
    </i>
    <i>
      <x v="81"/>
      <x v="81"/>
      <x v="4"/>
    </i>
    <i>
      <x v="82"/>
      <x v="82"/>
      <x v="5"/>
    </i>
    <i>
      <x v="83"/>
      <x v="83"/>
      <x v="9"/>
    </i>
    <i>
      <x v="84"/>
      <x v="84"/>
      <x v="5"/>
    </i>
    <i>
      <x v="85"/>
      <x v="85"/>
      <x/>
    </i>
    <i>
      <x v="86"/>
      <x v="86"/>
      <x v="5"/>
    </i>
    <i>
      <x v="87"/>
      <x v="87"/>
      <x v="3"/>
    </i>
    <i>
      <x v="88"/>
      <x v="88"/>
      <x v="5"/>
    </i>
    <i>
      <x v="89"/>
      <x v="89"/>
      <x v="5"/>
    </i>
    <i>
      <x v="90"/>
      <x v="90"/>
      <x v="3"/>
    </i>
    <i>
      <x v="91"/>
      <x v="91"/>
      <x v="3"/>
    </i>
    <i>
      <x v="92"/>
      <x v="92"/>
      <x v="4"/>
    </i>
    <i>
      <x v="93"/>
      <x v="93"/>
      <x v="3"/>
    </i>
    <i>
      <x v="94"/>
      <x v="94"/>
      <x v="5"/>
    </i>
    <i>
      <x v="95"/>
      <x v="95"/>
      <x v="3"/>
    </i>
    <i>
      <x v="96"/>
      <x v="96"/>
      <x v="9"/>
    </i>
    <i>
      <x v="97"/>
      <x v="97"/>
      <x/>
    </i>
    <i>
      <x v="98"/>
      <x v="98"/>
      <x v="3"/>
    </i>
    <i>
      <x v="99"/>
      <x v="99"/>
      <x v="5"/>
    </i>
    <i>
      <x v="100"/>
      <x v="100"/>
      <x v="3"/>
    </i>
    <i>
      <x v="101"/>
      <x v="102"/>
      <x v="4"/>
    </i>
    <i>
      <x v="102"/>
      <x v="103"/>
      <x v="5"/>
    </i>
    <i>
      <x v="103"/>
      <x v="104"/>
      <x v="3"/>
    </i>
    <i>
      <x v="104"/>
      <x v="105"/>
      <x v="2"/>
    </i>
    <i>
      <x v="105"/>
      <x v="106"/>
      <x v="3"/>
    </i>
    <i>
      <x v="106"/>
      <x v="107"/>
      <x v="6"/>
    </i>
    <i>
      <x v="107"/>
      <x v="108"/>
      <x v="11"/>
    </i>
    <i>
      <x v="108"/>
      <x v="109"/>
      <x v="4"/>
    </i>
    <i>
      <x v="109"/>
      <x v="110"/>
      <x/>
    </i>
    <i>
      <x v="110"/>
      <x v="111"/>
      <x v="5"/>
    </i>
    <i>
      <x v="111"/>
      <x v="112"/>
      <x v="1"/>
    </i>
    <i>
      <x v="112"/>
      <x v="113"/>
      <x v="4"/>
    </i>
    <i>
      <x v="113"/>
      <x v="114"/>
      <x v="3"/>
    </i>
    <i>
      <x v="114"/>
      <x v="129"/>
      <x v="5"/>
    </i>
    <i>
      <x v="115"/>
      <x v="115"/>
      <x v="3"/>
    </i>
    <i>
      <x v="116"/>
      <x v="116"/>
      <x v="3"/>
    </i>
    <i>
      <x v="117"/>
      <x v="117"/>
      <x v="11"/>
    </i>
    <i>
      <x v="118"/>
      <x v="118"/>
      <x v="3"/>
    </i>
    <i>
      <x v="119"/>
      <x v="119"/>
      <x v="3"/>
    </i>
    <i>
      <x v="120"/>
      <x v="120"/>
      <x v="4"/>
    </i>
    <i>
      <x v="121"/>
      <x v="121"/>
      <x v="5"/>
    </i>
    <i>
      <x v="122"/>
      <x v="122"/>
      <x v="2"/>
    </i>
    <i>
      <x v="123"/>
      <x v="123"/>
      <x v="4"/>
    </i>
    <i>
      <x v="124"/>
      <x v="124"/>
      <x v="4"/>
    </i>
    <i>
      <x v="125"/>
      <x v="125"/>
      <x v="11"/>
    </i>
    <i>
      <x v="126"/>
      <x v="126"/>
      <x v="3"/>
    </i>
    <i>
      <x v="127"/>
      <x v="127"/>
      <x v="5"/>
    </i>
    <i>
      <x v="128"/>
      <x v="128"/>
      <x/>
    </i>
    <i>
      <x v="129"/>
      <x v="130"/>
      <x v="5"/>
    </i>
    <i>
      <x v="130"/>
      <x v="131"/>
      <x v="3"/>
    </i>
    <i>
      <x v="131"/>
      <x v="132"/>
      <x v="5"/>
    </i>
    <i>
      <x v="132"/>
      <x v="133"/>
      <x/>
    </i>
    <i>
      <x v="133"/>
      <x v="134"/>
      <x v="3"/>
    </i>
    <i>
      <x v="134"/>
      <x v="135"/>
      <x v="3"/>
    </i>
    <i>
      <x v="135"/>
      <x v="136"/>
      <x v="3"/>
    </i>
    <i>
      <x v="136"/>
      <x v="137"/>
      <x v="6"/>
    </i>
    <i r="1">
      <x v="150"/>
      <x v="6"/>
    </i>
    <i>
      <x v="137"/>
      <x v="138"/>
      <x v="5"/>
    </i>
    <i>
      <x v="138"/>
      <x v="139"/>
      <x v="11"/>
    </i>
    <i>
      <x v="139"/>
      <x v="140"/>
      <x v="5"/>
    </i>
    <i>
      <x v="140"/>
      <x v="141"/>
      <x v="5"/>
    </i>
    <i>
      <x v="141"/>
      <x v="142"/>
      <x v="3"/>
    </i>
    <i>
      <x v="142"/>
      <x v="143"/>
      <x v="11"/>
    </i>
    <i>
      <x v="143"/>
      <x v="144"/>
      <x v="3"/>
    </i>
    <i>
      <x v="144"/>
      <x v="145"/>
      <x v="4"/>
    </i>
    <i>
      <x v="145"/>
      <x v="146"/>
      <x v="4"/>
    </i>
    <i>
      <x v="146"/>
      <x v="147"/>
      <x v="3"/>
    </i>
    <i>
      <x v="147"/>
      <x v="148"/>
      <x v="5"/>
    </i>
    <i>
      <x v="148"/>
      <x v="149"/>
      <x v="3"/>
    </i>
    <i>
      <x v="149"/>
      <x v="151"/>
      <x v="3"/>
    </i>
    <i>
      <x v="150"/>
      <x v="152"/>
      <x v="3"/>
    </i>
    <i>
      <x v="151"/>
      <x v="153"/>
      <x v="3"/>
    </i>
    <i>
      <x v="152"/>
      <x v="154"/>
      <x v="5"/>
    </i>
    <i>
      <x v="153"/>
      <x v="155"/>
      <x v="3"/>
    </i>
    <i>
      <x v="154"/>
      <x v="156"/>
      <x v="5"/>
    </i>
    <i>
      <x v="155"/>
      <x v="157"/>
      <x v="7"/>
    </i>
    <i>
      <x v="156"/>
      <x v="158"/>
      <x v="3"/>
    </i>
    <i>
      <x v="157"/>
      <x v="159"/>
      <x v="3"/>
    </i>
    <i>
      <x v="158"/>
      <x v="190"/>
      <x v="3"/>
    </i>
    <i>
      <x v="159"/>
      <x v="160"/>
      <x v="11"/>
    </i>
    <i>
      <x v="160"/>
      <x v="161"/>
      <x v="3"/>
    </i>
    <i>
      <x v="161"/>
      <x v="162"/>
      <x v="5"/>
    </i>
    <i>
      <x v="162"/>
      <x v="163"/>
      <x v="3"/>
    </i>
    <i>
      <x v="163"/>
      <x v="164"/>
      <x v="12"/>
    </i>
    <i>
      <x v="164"/>
      <x v="165"/>
      <x v="3"/>
    </i>
    <i>
      <x v="165"/>
      <x v="166"/>
      <x v="4"/>
    </i>
    <i>
      <x v="166"/>
      <x v="167"/>
      <x v="2"/>
    </i>
    <i>
      <x v="167"/>
      <x v="168"/>
      <x v="3"/>
    </i>
    <i>
      <x v="168"/>
      <x v="169"/>
      <x v="11"/>
    </i>
    <i>
      <x v="169"/>
      <x v="170"/>
      <x v="4"/>
    </i>
    <i>
      <x v="170"/>
      <x v="171"/>
      <x v="3"/>
    </i>
    <i>
      <x v="171"/>
      <x v="172"/>
      <x v="4"/>
    </i>
    <i>
      <x v="172"/>
      <x v="173"/>
      <x v="4"/>
    </i>
    <i>
      <x v="173"/>
      <x v="174"/>
      <x v="11"/>
    </i>
    <i>
      <x v="174"/>
      <x v="175"/>
      <x v="5"/>
    </i>
    <i>
      <x v="175"/>
      <x v="176"/>
      <x v="5"/>
    </i>
    <i>
      <x v="176"/>
      <x v="177"/>
      <x v="3"/>
    </i>
    <i>
      <x v="177"/>
      <x v="178"/>
      <x v="11"/>
    </i>
    <i>
      <x v="178"/>
      <x v="179"/>
      <x v="3"/>
    </i>
    <i>
      <x v="179"/>
      <x v="180"/>
      <x v="1"/>
    </i>
    <i>
      <x v="180"/>
      <x v="181"/>
      <x v="1"/>
    </i>
    <i>
      <x v="181"/>
      <x v="182"/>
      <x v="6"/>
    </i>
    <i>
      <x v="182"/>
      <x v="183"/>
      <x v="3"/>
    </i>
    <i>
      <x v="183"/>
      <x v="184"/>
      <x v="2"/>
    </i>
    <i>
      <x v="184"/>
      <x v="185"/>
      <x v="4"/>
    </i>
    <i>
      <x v="185"/>
      <x v="186"/>
      <x v="4"/>
    </i>
    <i>
      <x v="186"/>
      <x v="187"/>
      <x v="4"/>
    </i>
    <i>
      <x v="187"/>
      <x v="188"/>
      <x v="3"/>
    </i>
    <i>
      <x v="188"/>
      <x v="189"/>
      <x v="9"/>
    </i>
    <i>
      <x v="189"/>
      <x v="191"/>
      <x/>
    </i>
    <i>
      <x v="190"/>
      <x v="192"/>
      <x v="4"/>
    </i>
    <i r="1">
      <x v="202"/>
      <x v="4"/>
    </i>
    <i>
      <x v="191"/>
      <x v="193"/>
      <x v="3"/>
    </i>
    <i>
      <x v="192"/>
      <x v="194"/>
      <x v="3"/>
    </i>
    <i>
      <x v="193"/>
      <x v="195"/>
      <x v="12"/>
    </i>
    <i>
      <x v="194"/>
      <x v="196"/>
      <x v="4"/>
    </i>
    <i>
      <x v="195"/>
      <x v="197"/>
      <x v="4"/>
    </i>
    <i>
      <x v="196"/>
      <x v="203"/>
      <x v="3"/>
    </i>
    <i r="1">
      <x v="382"/>
      <x v="3"/>
    </i>
    <i>
      <x v="197"/>
      <x v="198"/>
      <x v="12"/>
    </i>
    <i>
      <x v="198"/>
      <x v="199"/>
      <x v="12"/>
    </i>
    <i>
      <x v="199"/>
      <x v="200"/>
      <x v="5"/>
    </i>
    <i>
      <x v="200"/>
      <x v="201"/>
      <x v="4"/>
    </i>
    <i>
      <x v="201"/>
      <x v="204"/>
      <x v="4"/>
    </i>
    <i>
      <x v="202"/>
      <x v="205"/>
      <x v="2"/>
    </i>
    <i>
      <x v="203"/>
      <x v="245"/>
      <x v="13"/>
    </i>
    <i>
      <x v="204"/>
      <x v="206"/>
      <x v="12"/>
    </i>
    <i>
      <x v="205"/>
      <x v="207"/>
      <x v="3"/>
    </i>
    <i>
      <x v="206"/>
      <x v="208"/>
      <x v="2"/>
    </i>
    <i>
      <x v="207"/>
      <x v="209"/>
      <x v="2"/>
    </i>
    <i>
      <x v="208"/>
      <x v="210"/>
      <x v="6"/>
    </i>
    <i>
      <x v="209"/>
      <x v="211"/>
      <x v="3"/>
    </i>
    <i>
      <x v="210"/>
      <x v="212"/>
      <x v="4"/>
    </i>
    <i>
      <x v="211"/>
      <x v="213"/>
      <x v="4"/>
    </i>
    <i r="1">
      <x v="246"/>
      <x v="4"/>
    </i>
    <i>
      <x v="212"/>
      <x v="214"/>
      <x v="5"/>
    </i>
    <i>
      <x v="213"/>
      <x v="215"/>
      <x v="1"/>
    </i>
    <i>
      <x v="214"/>
      <x v="216"/>
      <x v="3"/>
    </i>
    <i>
      <x v="215"/>
      <x v="217"/>
      <x v="3"/>
    </i>
    <i>
      <x v="216"/>
      <x v="218"/>
      <x v="4"/>
    </i>
    <i>
      <x v="217"/>
      <x v="219"/>
      <x v="2"/>
    </i>
    <i>
      <x v="218"/>
      <x v="220"/>
      <x v="4"/>
    </i>
    <i>
      <x v="219"/>
      <x v="221"/>
      <x v="5"/>
    </i>
    <i>
      <x v="220"/>
      <x v="222"/>
      <x v="4"/>
    </i>
    <i>
      <x v="221"/>
      <x v="223"/>
      <x v="8"/>
    </i>
    <i>
      <x v="222"/>
      <x v="224"/>
      <x v="4"/>
    </i>
    <i>
      <x v="223"/>
      <x v="225"/>
      <x v="2"/>
    </i>
    <i>
      <x v="224"/>
      <x v="226"/>
      <x v="4"/>
    </i>
    <i>
      <x v="225"/>
      <x v="227"/>
      <x v="4"/>
    </i>
    <i>
      <x v="226"/>
      <x v="228"/>
      <x v="3"/>
    </i>
    <i>
      <x v="227"/>
      <x v="229"/>
      <x v="5"/>
    </i>
    <i>
      <x v="228"/>
      <x v="230"/>
      <x v="4"/>
    </i>
    <i>
      <x v="229"/>
      <x v="231"/>
      <x v="2"/>
    </i>
    <i>
      <x v="230"/>
      <x v="232"/>
      <x v="6"/>
    </i>
    <i>
      <x v="231"/>
      <x v="233"/>
      <x v="3"/>
    </i>
    <i>
      <x v="232"/>
      <x v="234"/>
      <x v="1"/>
    </i>
    <i>
      <x v="233"/>
      <x v="235"/>
      <x v="2"/>
    </i>
    <i>
      <x v="234"/>
      <x v="236"/>
      <x v="2"/>
    </i>
    <i>
      <x v="235"/>
      <x v="237"/>
      <x/>
    </i>
    <i>
      <x v="236"/>
      <x v="238"/>
      <x v="4"/>
    </i>
    <i>
      <x v="237"/>
      <x v="239"/>
      <x v="3"/>
    </i>
    <i>
      <x v="238"/>
      <x v="240"/>
      <x v="12"/>
    </i>
    <i>
      <x v="239"/>
      <x v="241"/>
      <x v="12"/>
    </i>
    <i>
      <x v="240"/>
      <x v="242"/>
      <x v="5"/>
    </i>
    <i>
      <x v="241"/>
      <x v="243"/>
      <x v="5"/>
    </i>
    <i>
      <x v="242"/>
      <x v="244"/>
      <x v="5"/>
    </i>
    <i>
      <x v="243"/>
      <x v="247"/>
      <x v="4"/>
    </i>
    <i>
      <x v="244"/>
      <x v="248"/>
      <x v="5"/>
    </i>
    <i>
      <x v="245"/>
      <x v="249"/>
      <x v="3"/>
    </i>
    <i>
      <x v="246"/>
      <x v="250"/>
      <x v="12"/>
    </i>
    <i>
      <x v="247"/>
      <x v="251"/>
      <x v="3"/>
    </i>
    <i>
      <x v="248"/>
      <x v="252"/>
      <x v="2"/>
    </i>
    <i>
      <x v="249"/>
      <x v="253"/>
      <x v="1"/>
    </i>
    <i>
      <x v="250"/>
      <x v="254"/>
      <x v="5"/>
    </i>
    <i>
      <x v="251"/>
      <x v="255"/>
      <x v="6"/>
    </i>
    <i>
      <x v="252"/>
      <x v="256"/>
      <x v="3"/>
    </i>
    <i>
      <x v="253"/>
      <x v="257"/>
      <x v="4"/>
    </i>
    <i>
      <x v="254"/>
      <x v="258"/>
      <x v="7"/>
    </i>
    <i>
      <x v="255"/>
      <x v="259"/>
      <x v="6"/>
    </i>
    <i>
      <x v="256"/>
      <x v="260"/>
      <x v="3"/>
    </i>
    <i>
      <x v="257"/>
      <x v="261"/>
      <x v="12"/>
    </i>
    <i>
      <x v="258"/>
      <x v="262"/>
      <x v="3"/>
    </i>
    <i>
      <x v="259"/>
      <x v="263"/>
      <x v="3"/>
    </i>
    <i>
      <x v="260"/>
      <x v="264"/>
      <x v="2"/>
    </i>
    <i>
      <x v="261"/>
      <x v="265"/>
      <x v="4"/>
    </i>
    <i>
      <x v="262"/>
      <x v="266"/>
      <x v="3"/>
    </i>
    <i>
      <x v="263"/>
      <x v="267"/>
      <x v="2"/>
    </i>
    <i>
      <x v="264"/>
      <x v="268"/>
      <x v="3"/>
    </i>
    <i>
      <x v="265"/>
      <x v="269"/>
      <x v="6"/>
    </i>
    <i>
      <x v="266"/>
      <x v="270"/>
      <x v="4"/>
    </i>
    <i>
      <x v="267"/>
      <x v="271"/>
      <x v="5"/>
    </i>
    <i>
      <x v="268"/>
      <x v="272"/>
      <x v="3"/>
    </i>
    <i>
      <x v="269"/>
      <x v="273"/>
      <x v="3"/>
    </i>
    <i>
      <x v="270"/>
      <x v="274"/>
      <x v="3"/>
    </i>
    <i>
      <x v="271"/>
      <x v="275"/>
      <x v="5"/>
    </i>
    <i>
      <x v="272"/>
      <x v="276"/>
      <x v="3"/>
    </i>
    <i>
      <x v="273"/>
      <x v="277"/>
      <x v="4"/>
    </i>
    <i>
      <x v="274"/>
      <x v="278"/>
      <x v="4"/>
    </i>
    <i>
      <x v="275"/>
      <x v="279"/>
      <x v="3"/>
    </i>
    <i>
      <x v="276"/>
      <x v="280"/>
      <x v="3"/>
    </i>
    <i r="1">
      <x v="282"/>
      <x v="3"/>
    </i>
    <i>
      <x v="277"/>
      <x v="281"/>
      <x v="3"/>
    </i>
    <i>
      <x v="278"/>
      <x v="283"/>
      <x v="5"/>
    </i>
    <i>
      <x v="279"/>
      <x v="284"/>
      <x v="3"/>
    </i>
    <i>
      <x v="280"/>
      <x v="285"/>
      <x v="4"/>
    </i>
    <i>
      <x v="281"/>
      <x v="286"/>
      <x v="4"/>
    </i>
    <i>
      <x v="282"/>
      <x v="287"/>
      <x v="1"/>
    </i>
    <i>
      <x v="283"/>
      <x v="288"/>
      <x v="4"/>
    </i>
    <i>
      <x v="284"/>
      <x v="289"/>
      <x v="2"/>
    </i>
    <i>
      <x v="285"/>
      <x v="290"/>
      <x v="5"/>
    </i>
    <i>
      <x v="286"/>
      <x v="291"/>
      <x v="1"/>
    </i>
    <i>
      <x v="287"/>
      <x v="292"/>
      <x v="4"/>
    </i>
    <i>
      <x v="288"/>
      <x v="293"/>
      <x v="2"/>
    </i>
    <i>
      <x v="289"/>
      <x v="294"/>
      <x/>
    </i>
    <i>
      <x v="290"/>
      <x v="295"/>
      <x v="4"/>
    </i>
    <i r="1">
      <x v="328"/>
      <x v="4"/>
    </i>
    <i>
      <x v="291"/>
      <x v="296"/>
      <x v="4"/>
    </i>
    <i>
      <x v="292"/>
      <x v="297"/>
      <x v="3"/>
    </i>
    <i>
      <x v="293"/>
      <x v="298"/>
      <x v="6"/>
    </i>
    <i>
      <x v="294"/>
      <x v="299"/>
      <x v="3"/>
    </i>
    <i>
      <x v="295"/>
      <x v="300"/>
      <x v="4"/>
    </i>
    <i>
      <x v="296"/>
      <x v="301"/>
      <x v="4"/>
    </i>
    <i>
      <x v="297"/>
      <x v="302"/>
      <x v="3"/>
    </i>
    <i>
      <x v="298"/>
      <x v="303"/>
      <x v="4"/>
    </i>
    <i>
      <x v="299"/>
      <x v="304"/>
      <x v="2"/>
    </i>
    <i>
      <x v="300"/>
      <x v="305"/>
      <x v="5"/>
    </i>
    <i>
      <x v="301"/>
      <x v="306"/>
      <x v="3"/>
    </i>
    <i>
      <x v="302"/>
      <x v="307"/>
      <x v="5"/>
    </i>
    <i>
      <x v="303"/>
      <x v="308"/>
      <x v="4"/>
    </i>
    <i>
      <x v="304"/>
      <x v="309"/>
      <x v="3"/>
    </i>
    <i>
      <x v="305"/>
      <x v="310"/>
      <x v="3"/>
    </i>
    <i>
      <x v="306"/>
      <x v="311"/>
      <x v="3"/>
    </i>
    <i>
      <x v="307"/>
      <x v="312"/>
      <x v="4"/>
    </i>
    <i>
      <x v="308"/>
      <x v="313"/>
      <x v="4"/>
    </i>
    <i>
      <x v="309"/>
      <x v="314"/>
      <x v="4"/>
    </i>
    <i>
      <x v="310"/>
      <x v="315"/>
      <x v="3"/>
    </i>
    <i>
      <x v="311"/>
      <x v="316"/>
      <x v="6"/>
    </i>
    <i>
      <x v="312"/>
      <x v="317"/>
      <x v="2"/>
    </i>
    <i>
      <x v="313"/>
      <x v="329"/>
      <x v="3"/>
    </i>
    <i>
      <x v="314"/>
      <x v="318"/>
      <x v="2"/>
    </i>
    <i>
      <x v="315"/>
      <x v="319"/>
      <x v="4"/>
    </i>
    <i>
      <x v="316"/>
      <x v="320"/>
      <x v="12"/>
    </i>
    <i>
      <x v="317"/>
      <x v="321"/>
      <x v="5"/>
    </i>
    <i>
      <x v="318"/>
      <x v="322"/>
      <x v="3"/>
    </i>
    <i>
      <x v="319"/>
      <x v="323"/>
      <x v="5"/>
    </i>
    <i>
      <x v="320"/>
      <x v="324"/>
      <x v="4"/>
    </i>
    <i>
      <x v="321"/>
      <x v="325"/>
      <x v="3"/>
    </i>
    <i>
      <x v="322"/>
      <x v="326"/>
      <x/>
    </i>
    <i>
      <x v="323"/>
      <x v="327"/>
      <x v="3"/>
    </i>
    <i>
      <x v="324"/>
      <x v="330"/>
      <x v="4"/>
    </i>
    <i>
      <x v="325"/>
      <x v="331"/>
      <x v="2"/>
    </i>
    <i>
      <x v="326"/>
      <x v="332"/>
      <x v="4"/>
    </i>
    <i>
      <x v="327"/>
      <x v="333"/>
      <x v="3"/>
    </i>
    <i>
      <x v="328"/>
      <x v="334"/>
      <x v="4"/>
    </i>
    <i>
      <x v="329"/>
      <x v="335"/>
      <x v="5"/>
    </i>
    <i>
      <x v="330"/>
      <x v="336"/>
      <x v="1"/>
    </i>
    <i>
      <x v="331"/>
      <x v="337"/>
      <x v="3"/>
    </i>
    <i>
      <x v="332"/>
      <x v="338"/>
      <x v="4"/>
    </i>
    <i>
      <x v="333"/>
      <x v="339"/>
      <x v="1"/>
    </i>
    <i>
      <x v="334"/>
      <x v="340"/>
      <x v="1"/>
    </i>
    <i>
      <x v="335"/>
      <x v="341"/>
      <x v="3"/>
    </i>
    <i>
      <x v="336"/>
      <x v="342"/>
      <x v="4"/>
    </i>
    <i>
      <x v="337"/>
      <x v="343"/>
      <x v="3"/>
    </i>
    <i>
      <x v="338"/>
      <x v="344"/>
      <x v="3"/>
    </i>
    <i>
      <x v="339"/>
      <x v="345"/>
      <x v="4"/>
    </i>
    <i>
      <x v="340"/>
      <x v="346"/>
      <x v="3"/>
    </i>
    <i>
      <x v="341"/>
      <x v="347"/>
      <x v="3"/>
    </i>
    <i>
      <x v="342"/>
      <x v="348"/>
      <x v="12"/>
    </i>
    <i>
      <x v="343"/>
      <x v="349"/>
      <x v="7"/>
    </i>
    <i>
      <x v="344"/>
      <x v="350"/>
      <x v="3"/>
    </i>
    <i>
      <x v="345"/>
      <x v="351"/>
      <x v="2"/>
    </i>
    <i>
      <x v="346"/>
      <x v="352"/>
      <x v="3"/>
    </i>
    <i>
      <x v="347"/>
      <x v="353"/>
      <x v="5"/>
    </i>
    <i>
      <x v="348"/>
      <x v="354"/>
      <x v="4"/>
    </i>
    <i>
      <x v="349"/>
      <x v="355"/>
      <x v="5"/>
    </i>
    <i>
      <x v="350"/>
      <x v="356"/>
      <x v="5"/>
    </i>
    <i>
      <x v="351"/>
      <x v="357"/>
      <x v="5"/>
    </i>
    <i>
      <x v="352"/>
      <x v="358"/>
      <x v="12"/>
    </i>
    <i>
      <x v="353"/>
      <x v="359"/>
      <x v="4"/>
    </i>
    <i r="1">
      <x v="397"/>
      <x v="4"/>
    </i>
    <i>
      <x v="354"/>
      <x v="360"/>
      <x v="3"/>
    </i>
    <i>
      <x v="355"/>
      <x v="361"/>
      <x v="5"/>
    </i>
    <i>
      <x v="356"/>
      <x v="362"/>
      <x v="3"/>
    </i>
    <i>
      <x v="357"/>
      <x v="363"/>
      <x v="6"/>
    </i>
    <i>
      <x v="358"/>
      <x v="364"/>
      <x v="1"/>
    </i>
    <i>
      <x v="359"/>
      <x v="365"/>
      <x v="3"/>
    </i>
    <i>
      <x v="360"/>
      <x v="366"/>
      <x v="5"/>
    </i>
    <i>
      <x v="361"/>
      <x v="367"/>
      <x v="2"/>
    </i>
    <i>
      <x v="362"/>
      <x v="368"/>
      <x v="5"/>
    </i>
    <i r="1">
      <x v="398"/>
      <x v="5"/>
    </i>
    <i>
      <x v="363"/>
      <x v="369"/>
      <x v="3"/>
    </i>
    <i>
      <x v="364"/>
      <x v="370"/>
      <x v="1"/>
    </i>
    <i r="1">
      <x v="399"/>
      <x v="1"/>
    </i>
    <i>
      <x v="365"/>
      <x v="371"/>
      <x v="5"/>
    </i>
    <i>
      <x v="366"/>
      <x v="372"/>
      <x v="5"/>
    </i>
    <i>
      <x v="367"/>
      <x v="373"/>
      <x v="3"/>
    </i>
    <i>
      <x v="368"/>
      <x v="374"/>
      <x v="3"/>
    </i>
    <i>
      <x v="369"/>
      <x v="375"/>
      <x v="11"/>
    </i>
    <i>
      <x v="370"/>
      <x v="376"/>
      <x v="11"/>
    </i>
    <i>
      <x v="371"/>
      <x v="377"/>
      <x v="2"/>
    </i>
    <i>
      <x v="372"/>
      <x v="378"/>
      <x v="3"/>
    </i>
    <i>
      <x v="373"/>
      <x v="379"/>
      <x v="3"/>
    </i>
    <i>
      <x v="374"/>
      <x v="380"/>
      <x v="3"/>
    </i>
    <i>
      <x v="375"/>
      <x v="381"/>
      <x v="5"/>
    </i>
    <i>
      <x v="376"/>
      <x v="383"/>
      <x v="5"/>
    </i>
    <i>
      <x v="377"/>
      <x v="384"/>
      <x/>
    </i>
    <i>
      <x v="378"/>
      <x v="385"/>
      <x v="3"/>
    </i>
    <i>
      <x v="379"/>
      <x v="386"/>
      <x v="6"/>
    </i>
    <i>
      <x v="380"/>
      <x v="387"/>
      <x v="3"/>
    </i>
    <i>
      <x v="381"/>
      <x v="388"/>
      <x v="5"/>
    </i>
    <i>
      <x v="382"/>
      <x v="389"/>
      <x v="4"/>
    </i>
    <i>
      <x v="383"/>
      <x v="390"/>
      <x v="4"/>
    </i>
    <i>
      <x v="384"/>
      <x v="391"/>
      <x v="2"/>
    </i>
    <i>
      <x v="385"/>
      <x v="392"/>
      <x v="2"/>
    </i>
    <i>
      <x v="386"/>
      <x v="393"/>
      <x v="4"/>
    </i>
    <i>
      <x v="387"/>
      <x v="394"/>
      <x v="3"/>
    </i>
    <i>
      <x v="388"/>
      <x v="395"/>
      <x v="12"/>
    </i>
    <i>
      <x v="389"/>
      <x v="396"/>
      <x v="4"/>
    </i>
    <i>
      <x v="390"/>
      <x v="400"/>
      <x v="9"/>
    </i>
    <i>
      <x v="391"/>
      <x v="401"/>
      <x v="3"/>
    </i>
    <i>
      <x v="392"/>
      <x v="402"/>
      <x v="14"/>
    </i>
    <i>
      <x v="393"/>
      <x v="403"/>
      <x/>
    </i>
    <i>
      <x v="394"/>
      <x v="404"/>
      <x v="3"/>
    </i>
    <i>
      <x v="395"/>
      <x v="405"/>
      <x v="3"/>
    </i>
    <i>
      <x v="396"/>
      <x v="406"/>
      <x v="5"/>
    </i>
    <i>
      <x v="397"/>
      <x v="407"/>
      <x v="1"/>
    </i>
    <i>
      <x v="398"/>
      <x v="408"/>
      <x/>
    </i>
    <i>
      <x v="399"/>
      <x v="409"/>
      <x v="5"/>
    </i>
    <i r="1">
      <x v="449"/>
      <x v="5"/>
    </i>
    <i>
      <x v="400"/>
      <x v="410"/>
      <x v="2"/>
    </i>
    <i>
      <x v="401"/>
      <x v="411"/>
      <x v="3"/>
    </i>
    <i>
      <x v="402"/>
      <x v="412"/>
      <x v="4"/>
    </i>
    <i>
      <x v="403"/>
      <x v="413"/>
      <x v="3"/>
    </i>
    <i>
      <x v="404"/>
      <x v="414"/>
      <x v="5"/>
    </i>
    <i>
      <x v="405"/>
      <x v="415"/>
      <x v="3"/>
    </i>
    <i>
      <x v="406"/>
      <x v="416"/>
      <x v="3"/>
    </i>
    <i>
      <x v="407"/>
      <x v="417"/>
      <x v="2"/>
    </i>
    <i>
      <x v="408"/>
      <x v="418"/>
      <x v="4"/>
    </i>
    <i>
      <x v="409"/>
      <x v="419"/>
      <x v="3"/>
    </i>
    <i>
      <x v="410"/>
      <x v="420"/>
      <x v="3"/>
    </i>
    <i>
      <x v="411"/>
      <x v="421"/>
      <x v="4"/>
    </i>
    <i>
      <x v="412"/>
      <x v="422"/>
      <x v="3"/>
    </i>
    <i>
      <x v="413"/>
      <x v="423"/>
      <x v="3"/>
    </i>
    <i>
      <x v="414"/>
      <x v="424"/>
      <x/>
    </i>
    <i>
      <x v="415"/>
      <x v="425"/>
      <x v="5"/>
    </i>
    <i>
      <x v="416"/>
      <x v="426"/>
      <x v="15"/>
    </i>
    <i>
      <x v="417"/>
      <x v="427"/>
      <x v="5"/>
    </i>
    <i r="1">
      <x v="450"/>
      <x v="5"/>
    </i>
    <i>
      <x v="418"/>
      <x v="428"/>
      <x v="7"/>
    </i>
    <i>
      <x v="419"/>
      <x v="429"/>
      <x v="3"/>
    </i>
    <i>
      <x v="420"/>
      <x v="430"/>
      <x v="1"/>
    </i>
    <i>
      <x v="421"/>
      <x v="431"/>
      <x v="7"/>
    </i>
    <i>
      <x v="422"/>
      <x v="432"/>
      <x v="11"/>
    </i>
    <i>
      <x v="423"/>
      <x v="433"/>
      <x v="5"/>
    </i>
    <i>
      <x v="424"/>
      <x v="434"/>
      <x v="4"/>
    </i>
    <i>
      <x v="425"/>
      <x v="435"/>
      <x v="4"/>
    </i>
    <i>
      <x v="426"/>
      <x v="436"/>
      <x v="4"/>
    </i>
    <i>
      <x v="427"/>
      <x v="437"/>
      <x v="5"/>
    </i>
    <i>
      <x v="428"/>
      <x v="438"/>
      <x v="3"/>
    </i>
    <i>
      <x v="429"/>
      <x v="439"/>
      <x v="4"/>
    </i>
    <i>
      <x v="430"/>
      <x v="440"/>
      <x v="3"/>
    </i>
    <i>
      <x v="431"/>
      <x v="441"/>
      <x v="3"/>
    </i>
    <i>
      <x v="432"/>
      <x v="442"/>
      <x v="2"/>
    </i>
    <i>
      <x v="433"/>
      <x v="443"/>
      <x v="4"/>
    </i>
    <i>
      <x v="434"/>
      <x v="444"/>
      <x v="3"/>
    </i>
    <i>
      <x v="435"/>
      <x v="445"/>
      <x/>
    </i>
    <i>
      <x v="436"/>
      <x v="446"/>
      <x v="1"/>
    </i>
    <i>
      <x v="437"/>
      <x v="447"/>
      <x v="5"/>
    </i>
    <i>
      <x v="438"/>
      <x v="448"/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Valor Cotización2" fld="67" baseField="0" baseItem="0" numFmtId="167"/>
  </dataFields>
  <formats count="18">
    <format dxfId="76">
      <pivotArea type="all" dataOnly="0" outline="0" fieldPosition="0"/>
    </format>
    <format dxfId="77">
      <pivotArea outline="0" collapsedLevelsAreSubtotals="1" fieldPosition="0"/>
    </format>
    <format dxfId="78">
      <pivotArea type="origin" dataOnly="0" labelOnly="1" outline="0" fieldPosition="0"/>
    </format>
    <format dxfId="79">
      <pivotArea field="0" type="button" dataOnly="0" labelOnly="1" outline="0" axis="axisCol" fieldPosition="0"/>
    </format>
    <format dxfId="80">
      <pivotArea type="topRight" dataOnly="0" labelOnly="1" outline="0" fieldPosition="0"/>
    </format>
    <format dxfId="81">
      <pivotArea field="2" type="button" dataOnly="0" labelOnly="1" outline="0" axis="axisRow" fieldPosition="0"/>
    </format>
    <format dxfId="82">
      <pivotArea field="3" type="button" dataOnly="0" labelOnly="1" outline="0" axis="axisRow" fieldPosition="1"/>
    </format>
    <format dxfId="83">
      <pivotArea field="63" type="button" dataOnly="0" labelOnly="1" outline="0" axis="axisRow" fieldPosition="2"/>
    </format>
    <format dxfId="84">
      <pivotArea dataOnly="0" labelOnly="1" grandRow="1" outline="0" fieldPosition="0"/>
    </format>
    <format dxfId="85">
      <pivotArea dataOnly="0" labelOnly="1" outline="0" fieldPosition="0">
        <references count="1">
          <reference field="0" count="0"/>
        </references>
      </pivotArea>
    </format>
    <format dxfId="86">
      <pivotArea dataOnly="0" labelOnly="1" grandCol="1" outline="0" fieldPosition="0"/>
    </format>
    <format dxfId="87">
      <pivotArea field="0" grandRow="1" outline="0" axis="axisCol" fieldPosition="0">
        <references count="1">
          <reference field="0" count="1" selected="0">
            <x v="1"/>
          </reference>
        </references>
      </pivotArea>
    </format>
    <format dxfId="88">
      <pivotArea outline="0" fieldPosition="0">
        <references count="1">
          <reference field="0" count="1" selected="0">
            <x v="1"/>
          </reference>
        </references>
      </pivotArea>
    </format>
    <format dxfId="89">
      <pivotArea outline="0" collapsedLevelsAreSubtotals="1" fieldPosition="0"/>
    </format>
    <format dxfId="90">
      <pivotArea field="0" type="button" dataOnly="0" labelOnly="1" outline="0" axis="axisCol" fieldPosition="0"/>
    </format>
    <format dxfId="91">
      <pivotArea type="topRight" dataOnly="0" labelOnly="1" outline="0" fieldPosition="0"/>
    </format>
    <format dxfId="92">
      <pivotArea dataOnly="0" labelOnly="1" outline="0" fieldPosition="0">
        <references count="1">
          <reference field="0" count="0"/>
        </references>
      </pivotArea>
    </format>
    <format dxfId="9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320B1-1B10-4859-8A25-181209C35886}" name="TablaDinámica10" cacheId="5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041:F1494" firstHeaderRow="1" firstDataRow="2" firstDataCol="3"/>
  <pivotFields count="99">
    <pivotField axis="axisCol"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439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7"/>
        <item x="220"/>
        <item x="223"/>
        <item x="224"/>
        <item x="237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67"/>
        <item x="178"/>
        <item x="179"/>
        <item x="181"/>
        <item x="184"/>
        <item x="187"/>
        <item x="200"/>
        <item x="202"/>
        <item x="246"/>
        <item x="250"/>
        <item x="259"/>
        <item x="262"/>
        <item x="340"/>
        <item x="364"/>
        <item x="383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24"/>
        <item x="114"/>
        <item x="171"/>
        <item x="185"/>
        <item x="217"/>
        <item x="438"/>
        <item x="7"/>
        <item x="15"/>
        <item x="16"/>
        <item x="17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43"/>
        <item x="70"/>
        <item x="92"/>
        <item x="93"/>
        <item x="98"/>
        <item x="143"/>
        <item x="297"/>
        <item x="301"/>
        <item x="313"/>
        <item x="330"/>
        <item x="353"/>
        <item x="434"/>
        <item x="14"/>
        <item x="40"/>
        <item x="6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79"/>
        <item x="394"/>
        <item x="397"/>
        <item x="401"/>
        <item x="405"/>
        <item x="412"/>
        <item x="417"/>
        <item x="428"/>
        <item x="429"/>
        <item x="431"/>
        <item x="437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</items>
    </pivotField>
    <pivotField axis="axisRow" compact="0" outline="0" subtotalTop="0" showAll="0" defaultSubtotal="0">
      <items count="451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7"/>
        <item x="220"/>
        <item x="223"/>
        <item x="224"/>
        <item x="237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44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78"/>
        <item x="179"/>
        <item x="181"/>
        <item x="184"/>
        <item x="187"/>
        <item x="200"/>
        <item x="202"/>
        <item x="246"/>
        <item x="250"/>
        <item x="259"/>
        <item x="262"/>
        <item x="340"/>
        <item x="364"/>
        <item x="383"/>
        <item x="167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444"/>
        <item x="24"/>
        <item x="114"/>
        <item x="171"/>
        <item x="185"/>
        <item x="217"/>
        <item x="450"/>
        <item x="7"/>
        <item x="15"/>
        <item x="16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17"/>
        <item x="43"/>
        <item x="70"/>
        <item x="92"/>
        <item x="93"/>
        <item x="98"/>
        <item x="143"/>
        <item x="297"/>
        <item x="313"/>
        <item x="330"/>
        <item x="353"/>
        <item x="434"/>
        <item x="439"/>
        <item x="448"/>
        <item x="14"/>
        <item x="4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60"/>
        <item x="441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449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94"/>
        <item x="397"/>
        <item x="401"/>
        <item x="405"/>
        <item x="412"/>
        <item x="417"/>
        <item x="428"/>
        <item x="429"/>
        <item x="431"/>
        <item x="437"/>
        <item x="442"/>
        <item x="379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01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440"/>
        <item x="446"/>
        <item x="447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  <item x="438"/>
        <item x="44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2"/>
    <field x="3"/>
    <field x="74"/>
  </rowFields>
  <rowItems count="452">
    <i>
      <x/>
      <x/>
      <x/>
    </i>
    <i>
      <x v="1"/>
      <x v="1"/>
      <x/>
    </i>
    <i>
      <x v="2"/>
      <x v="2"/>
      <x/>
    </i>
    <i>
      <x v="3"/>
      <x v="3"/>
      <x/>
    </i>
    <i>
      <x v="4"/>
      <x v="4"/>
      <x/>
    </i>
    <i>
      <x v="5"/>
      <x v="5"/>
      <x/>
    </i>
    <i>
      <x v="6"/>
      <x v="6"/>
      <x/>
    </i>
    <i>
      <x v="7"/>
      <x v="7"/>
      <x/>
    </i>
    <i>
      <x v="8"/>
      <x v="8"/>
      <x/>
    </i>
    <i>
      <x v="9"/>
      <x v="9"/>
      <x/>
    </i>
    <i>
      <x v="10"/>
      <x v="10"/>
      <x/>
    </i>
    <i>
      <x v="11"/>
      <x v="11"/>
      <x/>
    </i>
    <i>
      <x v="12"/>
      <x v="12"/>
      <x/>
    </i>
    <i>
      <x v="13"/>
      <x v="13"/>
      <x/>
    </i>
    <i>
      <x v="14"/>
      <x v="14"/>
      <x/>
    </i>
    <i>
      <x v="15"/>
      <x v="15"/>
      <x/>
    </i>
    <i>
      <x v="16"/>
      <x v="16"/>
      <x/>
    </i>
    <i>
      <x v="17"/>
      <x v="17"/>
      <x/>
    </i>
    <i>
      <x v="18"/>
      <x v="18"/>
      <x/>
    </i>
    <i>
      <x v="19"/>
      <x v="19"/>
      <x/>
    </i>
    <i>
      <x v="20"/>
      <x v="20"/>
      <x/>
    </i>
    <i>
      <x v="21"/>
      <x v="21"/>
      <x/>
    </i>
    <i>
      <x v="22"/>
      <x v="22"/>
      <x/>
    </i>
    <i>
      <x v="23"/>
      <x v="23"/>
      <x/>
    </i>
    <i>
      <x v="24"/>
      <x v="24"/>
      <x/>
    </i>
    <i>
      <x v="25"/>
      <x v="25"/>
      <x/>
    </i>
    <i>
      <x v="26"/>
      <x v="26"/>
      <x/>
    </i>
    <i>
      <x v="27"/>
      <x v="27"/>
      <x/>
    </i>
    <i>
      <x v="28"/>
      <x v="28"/>
      <x/>
    </i>
    <i>
      <x v="29"/>
      <x v="29"/>
      <x/>
    </i>
    <i>
      <x v="30"/>
      <x v="30"/>
      <x/>
    </i>
    <i>
      <x v="31"/>
      <x v="31"/>
      <x/>
    </i>
    <i>
      <x v="32"/>
      <x v="32"/>
      <x/>
    </i>
    <i>
      <x v="33"/>
      <x v="33"/>
      <x/>
    </i>
    <i>
      <x v="34"/>
      <x v="34"/>
      <x/>
    </i>
    <i>
      <x v="35"/>
      <x v="35"/>
      <x/>
    </i>
    <i>
      <x v="36"/>
      <x v="36"/>
      <x/>
    </i>
    <i>
      <x v="37"/>
      <x v="37"/>
      <x/>
    </i>
    <i>
      <x v="38"/>
      <x v="38"/>
      <x/>
    </i>
    <i r="1">
      <x v="101"/>
      <x/>
    </i>
    <i>
      <x v="39"/>
      <x v="39"/>
      <x/>
    </i>
    <i>
      <x v="40"/>
      <x v="40"/>
      <x/>
    </i>
    <i>
      <x v="41"/>
      <x v="41"/>
      <x/>
    </i>
    <i>
      <x v="42"/>
      <x v="42"/>
      <x/>
    </i>
    <i>
      <x v="43"/>
      <x v="43"/>
      <x/>
    </i>
    <i>
      <x v="44"/>
      <x v="44"/>
      <x/>
    </i>
    <i>
      <x v="45"/>
      <x v="45"/>
      <x/>
    </i>
    <i>
      <x v="46"/>
      <x v="46"/>
      <x/>
    </i>
    <i>
      <x v="47"/>
      <x v="47"/>
      <x/>
    </i>
    <i>
      <x v="48"/>
      <x v="48"/>
      <x/>
    </i>
    <i>
      <x v="49"/>
      <x v="49"/>
      <x/>
    </i>
    <i>
      <x v="50"/>
      <x v="50"/>
      <x/>
    </i>
    <i>
      <x v="51"/>
      <x v="51"/>
      <x/>
    </i>
    <i>
      <x v="52"/>
      <x v="52"/>
      <x/>
    </i>
    <i>
      <x v="53"/>
      <x v="53"/>
      <x/>
    </i>
    <i>
      <x v="54"/>
      <x v="54"/>
      <x/>
    </i>
    <i>
      <x v="55"/>
      <x v="55"/>
      <x/>
    </i>
    <i>
      <x v="56"/>
      <x v="56"/>
      <x/>
    </i>
    <i>
      <x v="57"/>
      <x v="57"/>
      <x/>
    </i>
    <i>
      <x v="58"/>
      <x v="58"/>
      <x/>
    </i>
    <i>
      <x v="59"/>
      <x v="59"/>
      <x/>
    </i>
    <i>
      <x v="60"/>
      <x v="60"/>
      <x/>
    </i>
    <i>
      <x v="61"/>
      <x v="61"/>
      <x/>
    </i>
    <i>
      <x v="62"/>
      <x v="62"/>
      <x/>
    </i>
    <i>
      <x v="63"/>
      <x v="63"/>
      <x/>
    </i>
    <i>
      <x v="64"/>
      <x v="64"/>
      <x/>
    </i>
    <i>
      <x v="65"/>
      <x v="65"/>
      <x/>
    </i>
    <i>
      <x v="66"/>
      <x v="66"/>
      <x/>
    </i>
    <i>
      <x v="67"/>
      <x v="67"/>
      <x/>
    </i>
    <i>
      <x v="68"/>
      <x v="68"/>
      <x/>
    </i>
    <i>
      <x v="69"/>
      <x v="69"/>
      <x/>
    </i>
    <i>
      <x v="70"/>
      <x v="70"/>
      <x/>
    </i>
    <i>
      <x v="71"/>
      <x v="71"/>
      <x/>
    </i>
    <i>
      <x v="72"/>
      <x v="72"/>
      <x/>
    </i>
    <i>
      <x v="73"/>
      <x v="73"/>
      <x/>
    </i>
    <i>
      <x v="74"/>
      <x v="74"/>
      <x/>
    </i>
    <i>
      <x v="75"/>
      <x v="75"/>
      <x/>
    </i>
    <i>
      <x v="76"/>
      <x v="76"/>
      <x/>
    </i>
    <i>
      <x v="77"/>
      <x v="77"/>
      <x/>
    </i>
    <i>
      <x v="78"/>
      <x v="78"/>
      <x/>
    </i>
    <i>
      <x v="79"/>
      <x v="79"/>
      <x/>
    </i>
    <i>
      <x v="80"/>
      <x v="80"/>
      <x/>
    </i>
    <i>
      <x v="81"/>
      <x v="81"/>
      <x/>
    </i>
    <i>
      <x v="82"/>
      <x v="82"/>
      <x/>
    </i>
    <i>
      <x v="83"/>
      <x v="83"/>
      <x/>
    </i>
    <i>
      <x v="84"/>
      <x v="84"/>
      <x/>
    </i>
    <i>
      <x v="85"/>
      <x v="85"/>
      <x/>
    </i>
    <i>
      <x v="86"/>
      <x v="86"/>
      <x/>
    </i>
    <i>
      <x v="87"/>
      <x v="87"/>
      <x/>
    </i>
    <i>
      <x v="88"/>
      <x v="88"/>
      <x/>
    </i>
    <i>
      <x v="89"/>
      <x v="89"/>
      <x/>
    </i>
    <i>
      <x v="90"/>
      <x v="90"/>
      <x/>
    </i>
    <i>
      <x v="91"/>
      <x v="91"/>
      <x/>
    </i>
    <i>
      <x v="92"/>
      <x v="92"/>
      <x/>
    </i>
    <i>
      <x v="93"/>
      <x v="93"/>
      <x/>
    </i>
    <i>
      <x v="94"/>
      <x v="94"/>
      <x/>
    </i>
    <i>
      <x v="95"/>
      <x v="95"/>
      <x/>
    </i>
    <i>
      <x v="96"/>
      <x v="96"/>
      <x/>
    </i>
    <i>
      <x v="97"/>
      <x v="97"/>
      <x/>
    </i>
    <i>
      <x v="98"/>
      <x v="98"/>
      <x/>
    </i>
    <i>
      <x v="99"/>
      <x v="99"/>
      <x/>
    </i>
    <i>
      <x v="100"/>
      <x v="100"/>
      <x/>
    </i>
    <i>
      <x v="101"/>
      <x v="102"/>
      <x/>
    </i>
    <i>
      <x v="102"/>
      <x v="103"/>
      <x/>
    </i>
    <i>
      <x v="103"/>
      <x v="104"/>
      <x/>
    </i>
    <i>
      <x v="104"/>
      <x v="105"/>
      <x/>
    </i>
    <i>
      <x v="105"/>
      <x v="106"/>
      <x/>
    </i>
    <i>
      <x v="106"/>
      <x v="107"/>
      <x/>
    </i>
    <i>
      <x v="107"/>
      <x v="108"/>
      <x/>
    </i>
    <i>
      <x v="108"/>
      <x v="109"/>
      <x/>
    </i>
    <i>
      <x v="109"/>
      <x v="110"/>
      <x/>
    </i>
    <i>
      <x v="110"/>
      <x v="111"/>
      <x/>
    </i>
    <i>
      <x v="111"/>
      <x v="112"/>
      <x/>
    </i>
    <i>
      <x v="112"/>
      <x v="113"/>
      <x/>
    </i>
    <i>
      <x v="113"/>
      <x v="114"/>
      <x/>
    </i>
    <i>
      <x v="114"/>
      <x v="129"/>
      <x/>
    </i>
    <i>
      <x v="115"/>
      <x v="115"/>
      <x/>
    </i>
    <i>
      <x v="116"/>
      <x v="116"/>
      <x/>
    </i>
    <i>
      <x v="117"/>
      <x v="117"/>
      <x/>
    </i>
    <i>
      <x v="118"/>
      <x v="118"/>
      <x/>
    </i>
    <i>
      <x v="119"/>
      <x v="119"/>
      <x/>
    </i>
    <i>
      <x v="120"/>
      <x v="120"/>
      <x/>
    </i>
    <i>
      <x v="121"/>
      <x v="121"/>
      <x/>
    </i>
    <i>
      <x v="122"/>
      <x v="122"/>
      <x/>
    </i>
    <i>
      <x v="123"/>
      <x v="123"/>
      <x/>
    </i>
    <i>
      <x v="124"/>
      <x v="124"/>
      <x/>
    </i>
    <i>
      <x v="125"/>
      <x v="125"/>
      <x/>
    </i>
    <i>
      <x v="126"/>
      <x v="126"/>
      <x/>
    </i>
    <i>
      <x v="127"/>
      <x v="127"/>
      <x/>
    </i>
    <i>
      <x v="128"/>
      <x v="128"/>
      <x/>
    </i>
    <i>
      <x v="129"/>
      <x v="130"/>
      <x/>
    </i>
    <i>
      <x v="130"/>
      <x v="131"/>
      <x/>
    </i>
    <i>
      <x v="131"/>
      <x v="132"/>
      <x/>
    </i>
    <i>
      <x v="132"/>
      <x v="133"/>
      <x/>
    </i>
    <i>
      <x v="133"/>
      <x v="134"/>
      <x/>
    </i>
    <i>
      <x v="134"/>
      <x v="135"/>
      <x/>
    </i>
    <i>
      <x v="135"/>
      <x v="136"/>
      <x/>
    </i>
    <i>
      <x v="136"/>
      <x v="137"/>
      <x/>
    </i>
    <i r="1">
      <x v="150"/>
      <x/>
    </i>
    <i>
      <x v="137"/>
      <x v="138"/>
      <x/>
    </i>
    <i>
      <x v="138"/>
      <x v="139"/>
      <x/>
    </i>
    <i>
      <x v="139"/>
      <x v="140"/>
      <x/>
    </i>
    <i>
      <x v="140"/>
      <x v="141"/>
      <x/>
    </i>
    <i>
      <x v="141"/>
      <x v="142"/>
      <x/>
    </i>
    <i>
      <x v="142"/>
      <x v="143"/>
      <x/>
    </i>
    <i>
      <x v="143"/>
      <x v="144"/>
      <x/>
    </i>
    <i>
      <x v="144"/>
      <x v="145"/>
      <x/>
    </i>
    <i>
      <x v="145"/>
      <x v="146"/>
      <x/>
    </i>
    <i>
      <x v="146"/>
      <x v="147"/>
      <x/>
    </i>
    <i>
      <x v="147"/>
      <x v="148"/>
      <x/>
    </i>
    <i>
      <x v="148"/>
      <x v="149"/>
      <x/>
    </i>
    <i>
      <x v="149"/>
      <x v="151"/>
      <x/>
    </i>
    <i>
      <x v="150"/>
      <x v="152"/>
      <x/>
    </i>
    <i>
      <x v="151"/>
      <x v="153"/>
      <x/>
    </i>
    <i>
      <x v="152"/>
      <x v="154"/>
      <x/>
    </i>
    <i>
      <x v="153"/>
      <x v="155"/>
      <x/>
    </i>
    <i>
      <x v="154"/>
      <x v="156"/>
      <x v="1"/>
    </i>
    <i>
      <x v="155"/>
      <x v="157"/>
      <x/>
    </i>
    <i>
      <x v="156"/>
      <x v="158"/>
      <x/>
    </i>
    <i>
      <x v="157"/>
      <x v="159"/>
      <x/>
    </i>
    <i>
      <x v="158"/>
      <x v="190"/>
      <x/>
    </i>
    <i>
      <x v="159"/>
      <x v="160"/>
      <x/>
    </i>
    <i>
      <x v="160"/>
      <x v="161"/>
      <x/>
    </i>
    <i>
      <x v="161"/>
      <x v="162"/>
      <x/>
    </i>
    <i>
      <x v="162"/>
      <x v="163"/>
      <x/>
    </i>
    <i>
      <x v="163"/>
      <x v="164"/>
      <x/>
    </i>
    <i>
      <x v="164"/>
      <x v="165"/>
      <x/>
    </i>
    <i>
      <x v="165"/>
      <x v="166"/>
      <x/>
    </i>
    <i>
      <x v="166"/>
      <x v="167"/>
      <x/>
    </i>
    <i>
      <x v="167"/>
      <x v="168"/>
      <x/>
    </i>
    <i>
      <x v="168"/>
      <x v="169"/>
      <x/>
    </i>
    <i>
      <x v="169"/>
      <x v="170"/>
      <x/>
    </i>
    <i>
      <x v="170"/>
      <x v="171"/>
      <x/>
    </i>
    <i>
      <x v="171"/>
      <x v="172"/>
      <x/>
    </i>
    <i>
      <x v="172"/>
      <x v="173"/>
      <x/>
    </i>
    <i>
      <x v="173"/>
      <x v="174"/>
      <x/>
    </i>
    <i>
      <x v="174"/>
      <x v="175"/>
      <x/>
    </i>
    <i>
      <x v="175"/>
      <x v="176"/>
      <x/>
    </i>
    <i>
      <x v="176"/>
      <x v="177"/>
      <x/>
    </i>
    <i>
      <x v="177"/>
      <x v="178"/>
      <x/>
    </i>
    <i>
      <x v="178"/>
      <x v="179"/>
      <x/>
    </i>
    <i>
      <x v="179"/>
      <x v="180"/>
      <x/>
    </i>
    <i>
      <x v="180"/>
      <x v="181"/>
      <x/>
    </i>
    <i>
      <x v="181"/>
      <x v="182"/>
      <x/>
    </i>
    <i>
      <x v="182"/>
      <x v="183"/>
      <x/>
    </i>
    <i>
      <x v="183"/>
      <x v="184"/>
      <x/>
    </i>
    <i>
      <x v="184"/>
      <x v="185"/>
      <x/>
    </i>
    <i>
      <x v="185"/>
      <x v="186"/>
      <x/>
    </i>
    <i>
      <x v="186"/>
      <x v="187"/>
      <x/>
    </i>
    <i>
      <x v="187"/>
      <x v="188"/>
      <x/>
    </i>
    <i>
      <x v="188"/>
      <x v="189"/>
      <x/>
    </i>
    <i>
      <x v="189"/>
      <x v="191"/>
      <x/>
    </i>
    <i>
      <x v="190"/>
      <x v="192"/>
      <x/>
    </i>
    <i r="1">
      <x v="202"/>
      <x/>
    </i>
    <i>
      <x v="191"/>
      <x v="193"/>
      <x/>
    </i>
    <i>
      <x v="192"/>
      <x v="194"/>
      <x/>
    </i>
    <i>
      <x v="193"/>
      <x v="195"/>
      <x/>
    </i>
    <i>
      <x v="194"/>
      <x v="196"/>
      <x/>
    </i>
    <i>
      <x v="195"/>
      <x v="197"/>
      <x/>
    </i>
    <i>
      <x v="196"/>
      <x v="203"/>
      <x/>
    </i>
    <i r="1">
      <x v="382"/>
      <x/>
    </i>
    <i>
      <x v="197"/>
      <x v="198"/>
      <x/>
    </i>
    <i>
      <x v="198"/>
      <x v="199"/>
      <x/>
    </i>
    <i>
      <x v="199"/>
      <x v="200"/>
      <x/>
    </i>
    <i>
      <x v="200"/>
      <x v="201"/>
      <x/>
    </i>
    <i>
      <x v="201"/>
      <x v="204"/>
      <x/>
    </i>
    <i>
      <x v="202"/>
      <x v="205"/>
      <x/>
    </i>
    <i>
      <x v="203"/>
      <x v="245"/>
      <x/>
    </i>
    <i>
      <x v="204"/>
      <x v="206"/>
      <x/>
    </i>
    <i>
      <x v="205"/>
      <x v="207"/>
      <x/>
    </i>
    <i>
      <x v="206"/>
      <x v="208"/>
      <x/>
    </i>
    <i>
      <x v="207"/>
      <x v="209"/>
      <x/>
    </i>
    <i>
      <x v="208"/>
      <x v="210"/>
      <x/>
    </i>
    <i>
      <x v="209"/>
      <x v="211"/>
      <x/>
    </i>
    <i>
      <x v="210"/>
      <x v="212"/>
      <x/>
    </i>
    <i>
      <x v="211"/>
      <x v="213"/>
      <x/>
    </i>
    <i r="1">
      <x v="246"/>
      <x/>
    </i>
    <i>
      <x v="212"/>
      <x v="214"/>
      <x/>
    </i>
    <i>
      <x v="213"/>
      <x v="215"/>
      <x/>
    </i>
    <i>
      <x v="214"/>
      <x v="216"/>
      <x/>
    </i>
    <i>
      <x v="215"/>
      <x v="217"/>
      <x/>
    </i>
    <i>
      <x v="216"/>
      <x v="218"/>
      <x/>
    </i>
    <i>
      <x v="217"/>
      <x v="219"/>
      <x/>
    </i>
    <i>
      <x v="218"/>
      <x v="220"/>
      <x/>
    </i>
    <i>
      <x v="219"/>
      <x v="221"/>
      <x/>
    </i>
    <i>
      <x v="220"/>
      <x v="222"/>
      <x/>
    </i>
    <i>
      <x v="221"/>
      <x v="223"/>
      <x/>
    </i>
    <i>
      <x v="222"/>
      <x v="224"/>
      <x/>
    </i>
    <i>
      <x v="223"/>
      <x v="225"/>
      <x/>
    </i>
    <i>
      <x v="224"/>
      <x v="226"/>
      <x/>
    </i>
    <i>
      <x v="225"/>
      <x v="227"/>
      <x/>
    </i>
    <i>
      <x v="226"/>
      <x v="228"/>
      <x/>
    </i>
    <i>
      <x v="227"/>
      <x v="229"/>
      <x/>
    </i>
    <i>
      <x v="228"/>
      <x v="230"/>
      <x/>
    </i>
    <i>
      <x v="229"/>
      <x v="231"/>
      <x/>
    </i>
    <i>
      <x v="230"/>
      <x v="232"/>
      <x/>
    </i>
    <i>
      <x v="231"/>
      <x v="233"/>
      <x/>
    </i>
    <i>
      <x v="232"/>
      <x v="234"/>
      <x/>
    </i>
    <i>
      <x v="233"/>
      <x v="235"/>
      <x/>
    </i>
    <i>
      <x v="234"/>
      <x v="236"/>
      <x/>
    </i>
    <i>
      <x v="235"/>
      <x v="237"/>
      <x/>
    </i>
    <i>
      <x v="236"/>
      <x v="238"/>
      <x/>
    </i>
    <i>
      <x v="237"/>
      <x v="239"/>
      <x/>
    </i>
    <i>
      <x v="238"/>
      <x v="240"/>
      <x/>
    </i>
    <i>
      <x v="239"/>
      <x v="241"/>
      <x/>
    </i>
    <i>
      <x v="240"/>
      <x v="242"/>
      <x/>
    </i>
    <i>
      <x v="241"/>
      <x v="243"/>
      <x/>
    </i>
    <i>
      <x v="242"/>
      <x v="244"/>
      <x/>
    </i>
    <i>
      <x v="243"/>
      <x v="247"/>
      <x/>
    </i>
    <i>
      <x v="244"/>
      <x v="248"/>
      <x/>
    </i>
    <i>
      <x v="245"/>
      <x v="249"/>
      <x/>
    </i>
    <i>
      <x v="246"/>
      <x v="250"/>
      <x/>
    </i>
    <i>
      <x v="247"/>
      <x v="251"/>
      <x/>
    </i>
    <i>
      <x v="248"/>
      <x v="252"/>
      <x/>
    </i>
    <i>
      <x v="249"/>
      <x v="253"/>
      <x/>
    </i>
    <i>
      <x v="250"/>
      <x v="254"/>
      <x/>
    </i>
    <i>
      <x v="251"/>
      <x v="255"/>
      <x/>
    </i>
    <i>
      <x v="252"/>
      <x v="256"/>
      <x/>
    </i>
    <i>
      <x v="253"/>
      <x v="257"/>
      <x/>
    </i>
    <i>
      <x v="254"/>
      <x v="258"/>
      <x/>
    </i>
    <i>
      <x v="255"/>
      <x v="259"/>
      <x/>
    </i>
    <i>
      <x v="256"/>
      <x v="260"/>
      <x/>
    </i>
    <i>
      <x v="257"/>
      <x v="261"/>
      <x/>
    </i>
    <i>
      <x v="258"/>
      <x v="262"/>
      <x/>
    </i>
    <i>
      <x v="259"/>
      <x v="263"/>
      <x/>
    </i>
    <i>
      <x v="260"/>
      <x v="264"/>
      <x/>
    </i>
    <i>
      <x v="261"/>
      <x v="265"/>
      <x/>
    </i>
    <i>
      <x v="262"/>
      <x v="266"/>
      <x/>
    </i>
    <i>
      <x v="263"/>
      <x v="267"/>
      <x/>
    </i>
    <i>
      <x v="264"/>
      <x v="268"/>
      <x/>
    </i>
    <i>
      <x v="265"/>
      <x v="269"/>
      <x/>
    </i>
    <i>
      <x v="266"/>
      <x v="270"/>
      <x/>
    </i>
    <i>
      <x v="267"/>
      <x v="271"/>
      <x/>
    </i>
    <i>
      <x v="268"/>
      <x v="272"/>
      <x/>
    </i>
    <i>
      <x v="269"/>
      <x v="273"/>
      <x/>
    </i>
    <i>
      <x v="270"/>
      <x v="274"/>
      <x/>
    </i>
    <i>
      <x v="271"/>
      <x v="275"/>
      <x/>
    </i>
    <i>
      <x v="272"/>
      <x v="276"/>
      <x/>
    </i>
    <i>
      <x v="273"/>
      <x v="277"/>
      <x/>
    </i>
    <i>
      <x v="274"/>
      <x v="278"/>
      <x/>
    </i>
    <i>
      <x v="275"/>
      <x v="279"/>
      <x/>
    </i>
    <i>
      <x v="276"/>
      <x v="280"/>
      <x/>
    </i>
    <i r="1">
      <x v="282"/>
      <x/>
    </i>
    <i>
      <x v="277"/>
      <x v="281"/>
      <x/>
    </i>
    <i>
      <x v="278"/>
      <x v="283"/>
      <x/>
    </i>
    <i>
      <x v="279"/>
      <x v="284"/>
      <x/>
    </i>
    <i>
      <x v="280"/>
      <x v="285"/>
      <x/>
    </i>
    <i>
      <x v="281"/>
      <x v="286"/>
      <x/>
    </i>
    <i>
      <x v="282"/>
      <x v="287"/>
      <x/>
    </i>
    <i>
      <x v="283"/>
      <x v="288"/>
      <x/>
    </i>
    <i>
      <x v="284"/>
      <x v="289"/>
      <x/>
    </i>
    <i>
      <x v="285"/>
      <x v="290"/>
      <x/>
    </i>
    <i>
      <x v="286"/>
      <x v="291"/>
      <x/>
    </i>
    <i>
      <x v="287"/>
      <x v="292"/>
      <x/>
    </i>
    <i>
      <x v="288"/>
      <x v="293"/>
      <x/>
    </i>
    <i>
      <x v="289"/>
      <x v="294"/>
      <x/>
    </i>
    <i>
      <x v="290"/>
      <x v="295"/>
      <x/>
    </i>
    <i r="1">
      <x v="328"/>
      <x/>
    </i>
    <i>
      <x v="291"/>
      <x v="296"/>
      <x/>
    </i>
    <i>
      <x v="292"/>
      <x v="297"/>
      <x/>
    </i>
    <i>
      <x v="293"/>
      <x v="298"/>
      <x/>
    </i>
    <i>
      <x v="294"/>
      <x v="299"/>
      <x/>
    </i>
    <i>
      <x v="295"/>
      <x v="300"/>
      <x/>
    </i>
    <i>
      <x v="296"/>
      <x v="301"/>
      <x/>
    </i>
    <i>
      <x v="297"/>
      <x v="302"/>
      <x/>
    </i>
    <i>
      <x v="298"/>
      <x v="303"/>
      <x/>
    </i>
    <i>
      <x v="299"/>
      <x v="304"/>
      <x/>
    </i>
    <i>
      <x v="300"/>
      <x v="305"/>
      <x/>
    </i>
    <i>
      <x v="301"/>
      <x v="306"/>
      <x/>
    </i>
    <i>
      <x v="302"/>
      <x v="307"/>
      <x/>
    </i>
    <i>
      <x v="303"/>
      <x v="308"/>
      <x/>
    </i>
    <i>
      <x v="304"/>
      <x v="309"/>
      <x/>
    </i>
    <i>
      <x v="305"/>
      <x v="310"/>
      <x/>
    </i>
    <i>
      <x v="306"/>
      <x v="311"/>
      <x/>
    </i>
    <i>
      <x v="307"/>
      <x v="312"/>
      <x/>
    </i>
    <i>
      <x v="308"/>
      <x v="313"/>
      <x/>
    </i>
    <i>
      <x v="309"/>
      <x v="314"/>
      <x/>
    </i>
    <i>
      <x v="310"/>
      <x v="315"/>
      <x/>
    </i>
    <i>
      <x v="311"/>
      <x v="316"/>
      <x/>
    </i>
    <i>
      <x v="312"/>
      <x v="317"/>
      <x/>
    </i>
    <i>
      <x v="313"/>
      <x v="329"/>
      <x/>
    </i>
    <i>
      <x v="314"/>
      <x v="318"/>
      <x/>
    </i>
    <i>
      <x v="315"/>
      <x v="319"/>
      <x/>
    </i>
    <i>
      <x v="316"/>
      <x v="320"/>
      <x/>
    </i>
    <i>
      <x v="317"/>
      <x v="321"/>
      <x/>
    </i>
    <i>
      <x v="318"/>
      <x v="322"/>
      <x/>
    </i>
    <i>
      <x v="319"/>
      <x v="323"/>
      <x/>
    </i>
    <i>
      <x v="320"/>
      <x v="324"/>
      <x/>
    </i>
    <i>
      <x v="321"/>
      <x v="325"/>
      <x/>
    </i>
    <i>
      <x v="322"/>
      <x v="326"/>
      <x/>
    </i>
    <i>
      <x v="323"/>
      <x v="327"/>
      <x/>
    </i>
    <i>
      <x v="324"/>
      <x v="330"/>
      <x/>
    </i>
    <i>
      <x v="325"/>
      <x v="331"/>
      <x/>
    </i>
    <i>
      <x v="326"/>
      <x v="332"/>
      <x/>
    </i>
    <i>
      <x v="327"/>
      <x v="333"/>
      <x/>
    </i>
    <i>
      <x v="328"/>
      <x v="334"/>
      <x/>
    </i>
    <i>
      <x v="329"/>
      <x v="335"/>
      <x/>
    </i>
    <i>
      <x v="330"/>
      <x v="336"/>
      <x/>
    </i>
    <i>
      <x v="331"/>
      <x v="337"/>
      <x/>
    </i>
    <i>
      <x v="332"/>
      <x v="338"/>
      <x/>
    </i>
    <i>
      <x v="333"/>
      <x v="339"/>
      <x/>
    </i>
    <i>
      <x v="334"/>
      <x v="340"/>
      <x/>
    </i>
    <i>
      <x v="335"/>
      <x v="341"/>
      <x/>
    </i>
    <i>
      <x v="336"/>
      <x v="342"/>
      <x/>
    </i>
    <i>
      <x v="337"/>
      <x v="343"/>
      <x/>
    </i>
    <i>
      <x v="338"/>
      <x v="344"/>
      <x/>
    </i>
    <i>
      <x v="339"/>
      <x v="345"/>
      <x/>
    </i>
    <i>
      <x v="340"/>
      <x v="346"/>
      <x/>
    </i>
    <i>
      <x v="341"/>
      <x v="347"/>
      <x/>
    </i>
    <i>
      <x v="342"/>
      <x v="348"/>
      <x/>
    </i>
    <i>
      <x v="343"/>
      <x v="349"/>
      <x/>
    </i>
    <i>
      <x v="344"/>
      <x v="350"/>
      <x/>
    </i>
    <i>
      <x v="345"/>
      <x v="351"/>
      <x/>
    </i>
    <i>
      <x v="346"/>
      <x v="352"/>
      <x/>
    </i>
    <i>
      <x v="347"/>
      <x v="353"/>
      <x/>
    </i>
    <i>
      <x v="348"/>
      <x v="354"/>
      <x/>
    </i>
    <i>
      <x v="349"/>
      <x v="355"/>
      <x/>
    </i>
    <i>
      <x v="350"/>
      <x v="356"/>
      <x/>
    </i>
    <i>
      <x v="351"/>
      <x v="357"/>
      <x/>
    </i>
    <i>
      <x v="352"/>
      <x v="358"/>
      <x/>
    </i>
    <i>
      <x v="353"/>
      <x v="359"/>
      <x/>
    </i>
    <i r="1">
      <x v="397"/>
      <x/>
    </i>
    <i>
      <x v="354"/>
      <x v="360"/>
      <x/>
    </i>
    <i>
      <x v="355"/>
      <x v="361"/>
      <x/>
    </i>
    <i>
      <x v="356"/>
      <x v="362"/>
      <x/>
    </i>
    <i>
      <x v="357"/>
      <x v="363"/>
      <x/>
    </i>
    <i>
      <x v="358"/>
      <x v="364"/>
      <x/>
    </i>
    <i>
      <x v="359"/>
      <x v="365"/>
      <x/>
    </i>
    <i>
      <x v="360"/>
      <x v="366"/>
      <x/>
    </i>
    <i>
      <x v="361"/>
      <x v="367"/>
      <x/>
    </i>
    <i>
      <x v="362"/>
      <x v="368"/>
      <x/>
    </i>
    <i r="1">
      <x v="398"/>
      <x/>
    </i>
    <i>
      <x v="363"/>
      <x v="369"/>
      <x/>
    </i>
    <i>
      <x v="364"/>
      <x v="370"/>
      <x/>
    </i>
    <i r="1">
      <x v="399"/>
      <x/>
    </i>
    <i>
      <x v="365"/>
      <x v="371"/>
      <x/>
    </i>
    <i>
      <x v="366"/>
      <x v="372"/>
      <x/>
    </i>
    <i>
      <x v="367"/>
      <x v="373"/>
      <x/>
    </i>
    <i>
      <x v="368"/>
      <x v="374"/>
      <x/>
    </i>
    <i>
      <x v="369"/>
      <x v="375"/>
      <x/>
    </i>
    <i>
      <x v="370"/>
      <x v="376"/>
      <x/>
    </i>
    <i>
      <x v="371"/>
      <x v="377"/>
      <x/>
    </i>
    <i>
      <x v="372"/>
      <x v="378"/>
      <x/>
    </i>
    <i>
      <x v="373"/>
      <x v="379"/>
      <x/>
    </i>
    <i>
      <x v="374"/>
      <x v="380"/>
      <x/>
    </i>
    <i>
      <x v="375"/>
      <x v="381"/>
      <x/>
    </i>
    <i>
      <x v="376"/>
      <x v="383"/>
      <x/>
    </i>
    <i>
      <x v="377"/>
      <x v="384"/>
      <x/>
    </i>
    <i>
      <x v="378"/>
      <x v="385"/>
      <x/>
    </i>
    <i>
      <x v="379"/>
      <x v="386"/>
      <x/>
    </i>
    <i>
      <x v="380"/>
      <x v="387"/>
      <x/>
    </i>
    <i>
      <x v="381"/>
      <x v="388"/>
      <x/>
    </i>
    <i>
      <x v="382"/>
      <x v="389"/>
      <x/>
    </i>
    <i>
      <x v="383"/>
      <x v="390"/>
      <x/>
    </i>
    <i>
      <x v="384"/>
      <x v="391"/>
      <x/>
    </i>
    <i>
      <x v="385"/>
      <x v="392"/>
      <x/>
    </i>
    <i>
      <x v="386"/>
      <x v="393"/>
      <x/>
    </i>
    <i>
      <x v="387"/>
      <x v="394"/>
      <x/>
    </i>
    <i>
      <x v="388"/>
      <x v="395"/>
      <x/>
    </i>
    <i>
      <x v="389"/>
      <x v="396"/>
      <x/>
    </i>
    <i>
      <x v="390"/>
      <x v="400"/>
      <x/>
    </i>
    <i>
      <x v="391"/>
      <x v="401"/>
      <x/>
    </i>
    <i>
      <x v="392"/>
      <x v="402"/>
      <x/>
    </i>
    <i>
      <x v="393"/>
      <x v="403"/>
      <x/>
    </i>
    <i>
      <x v="394"/>
      <x v="404"/>
      <x/>
    </i>
    <i>
      <x v="395"/>
      <x v="405"/>
      <x/>
    </i>
    <i>
      <x v="396"/>
      <x v="406"/>
      <x/>
    </i>
    <i>
      <x v="397"/>
      <x v="407"/>
      <x/>
    </i>
    <i>
      <x v="398"/>
      <x v="408"/>
      <x/>
    </i>
    <i>
      <x v="399"/>
      <x v="409"/>
      <x/>
    </i>
    <i r="1">
      <x v="449"/>
      <x/>
    </i>
    <i>
      <x v="400"/>
      <x v="410"/>
      <x/>
    </i>
    <i>
      <x v="401"/>
      <x v="411"/>
      <x/>
    </i>
    <i>
      <x v="402"/>
      <x v="412"/>
      <x/>
    </i>
    <i>
      <x v="403"/>
      <x v="413"/>
      <x/>
    </i>
    <i>
      <x v="404"/>
      <x v="414"/>
      <x/>
    </i>
    <i>
      <x v="405"/>
      <x v="415"/>
      <x/>
    </i>
    <i>
      <x v="406"/>
      <x v="416"/>
      <x/>
    </i>
    <i>
      <x v="407"/>
      <x v="417"/>
      <x/>
    </i>
    <i>
      <x v="408"/>
      <x v="418"/>
      <x/>
    </i>
    <i>
      <x v="409"/>
      <x v="419"/>
      <x/>
    </i>
    <i>
      <x v="410"/>
      <x v="420"/>
      <x/>
    </i>
    <i>
      <x v="411"/>
      <x v="421"/>
      <x/>
    </i>
    <i>
      <x v="412"/>
      <x v="422"/>
      <x/>
    </i>
    <i>
      <x v="413"/>
      <x v="423"/>
      <x/>
    </i>
    <i>
      <x v="414"/>
      <x v="424"/>
      <x/>
    </i>
    <i>
      <x v="415"/>
      <x v="425"/>
      <x/>
    </i>
    <i>
      <x v="416"/>
      <x v="426"/>
      <x/>
    </i>
    <i>
      <x v="417"/>
      <x v="427"/>
      <x/>
    </i>
    <i r="1">
      <x v="450"/>
      <x/>
    </i>
    <i>
      <x v="418"/>
      <x v="428"/>
      <x/>
    </i>
    <i>
      <x v="419"/>
      <x v="429"/>
      <x/>
    </i>
    <i>
      <x v="420"/>
      <x v="430"/>
      <x/>
    </i>
    <i>
      <x v="421"/>
      <x v="431"/>
      <x/>
    </i>
    <i>
      <x v="422"/>
      <x v="432"/>
      <x/>
    </i>
    <i>
      <x v="423"/>
      <x v="433"/>
      <x/>
    </i>
    <i>
      <x v="424"/>
      <x v="434"/>
      <x/>
    </i>
    <i>
      <x v="425"/>
      <x v="435"/>
      <x/>
    </i>
    <i>
      <x v="426"/>
      <x v="436"/>
      <x/>
    </i>
    <i>
      <x v="427"/>
      <x v="437"/>
      <x/>
    </i>
    <i>
      <x v="428"/>
      <x v="438"/>
      <x/>
    </i>
    <i>
      <x v="429"/>
      <x v="439"/>
      <x/>
    </i>
    <i>
      <x v="430"/>
      <x v="440"/>
      <x/>
    </i>
    <i>
      <x v="431"/>
      <x v="441"/>
      <x/>
    </i>
    <i>
      <x v="432"/>
      <x v="442"/>
      <x/>
    </i>
    <i>
      <x v="433"/>
      <x v="443"/>
      <x/>
    </i>
    <i>
      <x v="434"/>
      <x v="444"/>
      <x/>
    </i>
    <i>
      <x v="435"/>
      <x v="445"/>
      <x/>
    </i>
    <i>
      <x v="436"/>
      <x v="446"/>
      <x/>
    </i>
    <i>
      <x v="437"/>
      <x v="447"/>
      <x/>
    </i>
    <i>
      <x v="438"/>
      <x v="448"/>
      <x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Valor Cotización3" fld="81" baseField="0" baseItem="0" numFmtId="167"/>
  </dataFields>
  <formats count="17">
    <format dxfId="59">
      <pivotArea type="all" dataOnly="0" outline="0" fieldPosition="0"/>
    </format>
    <format dxfId="60">
      <pivotArea outline="0" collapsedLevelsAreSubtotals="1" fieldPosition="0"/>
    </format>
    <format dxfId="61">
      <pivotArea type="origin" dataOnly="0" labelOnly="1" outline="0" fieldPosition="0"/>
    </format>
    <format dxfId="62">
      <pivotArea field="0" type="button" dataOnly="0" labelOnly="1" outline="0" axis="axisCol" fieldPosition="0"/>
    </format>
    <format dxfId="63">
      <pivotArea type="topRight" dataOnly="0" labelOnly="1" outline="0" fieldPosition="0"/>
    </format>
    <format dxfId="64">
      <pivotArea field="2" type="button" dataOnly="0" labelOnly="1" outline="0" axis="axisRow" fieldPosition="0"/>
    </format>
    <format dxfId="65">
      <pivotArea field="3" type="button" dataOnly="0" labelOnly="1" outline="0" axis="axisRow" fieldPosition="1"/>
    </format>
    <format dxfId="66">
      <pivotArea field="74" type="button" dataOnly="0" labelOnly="1" outline="0" axis="axisRow" fieldPosition="2"/>
    </format>
    <format dxfId="67">
      <pivotArea dataOnly="0" labelOnly="1" grandRow="1" outline="0" fieldPosition="0"/>
    </format>
    <format dxfId="68">
      <pivotArea dataOnly="0" labelOnly="1" outline="0" fieldPosition="0">
        <references count="1">
          <reference field="0" count="0"/>
        </references>
      </pivotArea>
    </format>
    <format dxfId="69">
      <pivotArea dataOnly="0" labelOnly="1" grandCol="1" outline="0" fieldPosition="0"/>
    </format>
    <format dxfId="70">
      <pivotArea outline="0" fieldPosition="0">
        <references count="1">
          <reference field="0" count="1" selected="0">
            <x v="1"/>
          </reference>
        </references>
      </pivotArea>
    </format>
    <format dxfId="71">
      <pivotArea outline="0" collapsedLevelsAreSubtotals="1" fieldPosition="0"/>
    </format>
    <format dxfId="72">
      <pivotArea field="0" type="button" dataOnly="0" labelOnly="1" outline="0" axis="axisCol" fieldPosition="0"/>
    </format>
    <format dxfId="73">
      <pivotArea type="topRight" dataOnly="0" labelOnly="1" outline="0" fieldPosition="0"/>
    </format>
    <format dxfId="74">
      <pivotArea dataOnly="0" labelOnly="1" outline="0" fieldPosition="0">
        <references count="1">
          <reference field="0" count="0"/>
        </references>
      </pivotArea>
    </format>
    <format dxfId="7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1866E-314B-4A7A-AEC8-33371679AEE2}" name="TablaDinámica8" cacheId="5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463" firstHeaderRow="1" firstDataRow="2" firstDataCol="3"/>
  <pivotFields count="99"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9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7"/>
        <item x="220"/>
        <item x="223"/>
        <item x="224"/>
        <item x="237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67"/>
        <item x="178"/>
        <item x="179"/>
        <item x="181"/>
        <item x="184"/>
        <item x="187"/>
        <item x="200"/>
        <item x="202"/>
        <item x="246"/>
        <item x="250"/>
        <item x="259"/>
        <item x="262"/>
        <item x="340"/>
        <item x="364"/>
        <item x="383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24"/>
        <item x="114"/>
        <item x="171"/>
        <item x="185"/>
        <item x="217"/>
        <item x="438"/>
        <item x="7"/>
        <item x="15"/>
        <item x="16"/>
        <item x="17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43"/>
        <item x="70"/>
        <item x="92"/>
        <item x="93"/>
        <item x="98"/>
        <item x="143"/>
        <item x="297"/>
        <item x="301"/>
        <item x="313"/>
        <item x="330"/>
        <item x="353"/>
        <item x="434"/>
        <item x="14"/>
        <item x="40"/>
        <item x="6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79"/>
        <item x="394"/>
        <item x="397"/>
        <item x="401"/>
        <item x="405"/>
        <item x="412"/>
        <item x="417"/>
        <item x="428"/>
        <item x="429"/>
        <item x="431"/>
        <item x="437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51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7"/>
        <item x="220"/>
        <item x="223"/>
        <item x="224"/>
        <item x="237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44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78"/>
        <item x="179"/>
        <item x="181"/>
        <item x="184"/>
        <item x="187"/>
        <item x="200"/>
        <item x="202"/>
        <item x="246"/>
        <item x="250"/>
        <item x="259"/>
        <item x="262"/>
        <item x="340"/>
        <item x="364"/>
        <item x="383"/>
        <item x="167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444"/>
        <item x="24"/>
        <item x="114"/>
        <item x="171"/>
        <item x="185"/>
        <item x="217"/>
        <item x="450"/>
        <item x="7"/>
        <item x="15"/>
        <item x="16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17"/>
        <item x="43"/>
        <item x="70"/>
        <item x="92"/>
        <item x="93"/>
        <item x="98"/>
        <item x="143"/>
        <item x="297"/>
        <item x="313"/>
        <item x="330"/>
        <item x="353"/>
        <item x="434"/>
        <item x="439"/>
        <item x="448"/>
        <item x="14"/>
        <item x="4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60"/>
        <item x="441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449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94"/>
        <item x="397"/>
        <item x="401"/>
        <item x="405"/>
        <item x="412"/>
        <item x="417"/>
        <item x="428"/>
        <item x="429"/>
        <item x="431"/>
        <item x="437"/>
        <item x="442"/>
        <item x="379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01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440"/>
        <item x="446"/>
        <item x="447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  <item x="438"/>
        <item x="4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4"/>
        <item x="1"/>
        <item x="0"/>
        <item x="2"/>
        <item x="5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3"/>
    <field x="50"/>
  </rowFields>
  <rowItems count="459">
    <i>
      <x/>
      <x/>
      <x v="2"/>
    </i>
    <i>
      <x v="1"/>
      <x v="1"/>
      <x v="2"/>
    </i>
    <i>
      <x v="2"/>
      <x v="2"/>
      <x v="6"/>
    </i>
    <i>
      <x v="3"/>
      <x v="3"/>
      <x v="3"/>
    </i>
    <i>
      <x v="4"/>
      <x v="4"/>
      <x v="3"/>
    </i>
    <i>
      <x v="5"/>
      <x v="5"/>
      <x v="2"/>
    </i>
    <i>
      <x v="6"/>
      <x v="6"/>
      <x v="3"/>
    </i>
    <i>
      <x v="7"/>
      <x v="7"/>
      <x v="2"/>
    </i>
    <i>
      <x v="8"/>
      <x v="8"/>
      <x v="2"/>
    </i>
    <i>
      <x v="9"/>
      <x v="9"/>
      <x v="2"/>
    </i>
    <i>
      <x v="10"/>
      <x v="10"/>
      <x v="2"/>
    </i>
    <i>
      <x v="11"/>
      <x v="11"/>
      <x v="2"/>
    </i>
    <i>
      <x v="12"/>
      <x v="12"/>
      <x v="2"/>
    </i>
    <i>
      <x v="13"/>
      <x v="13"/>
      <x v="2"/>
    </i>
    <i>
      <x v="14"/>
      <x v="14"/>
      <x/>
    </i>
    <i>
      <x v="15"/>
      <x v="15"/>
      <x/>
    </i>
    <i>
      <x v="16"/>
      <x v="16"/>
      <x v="3"/>
    </i>
    <i>
      <x v="17"/>
      <x v="17"/>
      <x v="3"/>
    </i>
    <i>
      <x v="18"/>
      <x v="18"/>
      <x/>
    </i>
    <i>
      <x v="19"/>
      <x v="19"/>
      <x v="2"/>
    </i>
    <i>
      <x v="20"/>
      <x v="20"/>
      <x v="1"/>
    </i>
    <i>
      <x v="21"/>
      <x v="21"/>
      <x v="2"/>
    </i>
    <i>
      <x v="22"/>
      <x v="22"/>
      <x v="1"/>
    </i>
    <i>
      <x v="23"/>
      <x v="23"/>
      <x v="3"/>
    </i>
    <i>
      <x v="24"/>
      <x v="24"/>
      <x v="1"/>
    </i>
    <i>
      <x v="25"/>
      <x v="25"/>
      <x v="2"/>
    </i>
    <i>
      <x v="26"/>
      <x v="26"/>
      <x v="2"/>
    </i>
    <i>
      <x v="27"/>
      <x v="27"/>
      <x v="2"/>
    </i>
    <i>
      <x v="28"/>
      <x v="28"/>
      <x v="2"/>
    </i>
    <i>
      <x v="29"/>
      <x v="29"/>
      <x v="1"/>
    </i>
    <i>
      <x v="30"/>
      <x v="30"/>
      <x v="1"/>
    </i>
    <i>
      <x v="31"/>
      <x v="31"/>
      <x v="2"/>
    </i>
    <i>
      <x v="32"/>
      <x v="32"/>
      <x v="2"/>
    </i>
    <i>
      <x v="33"/>
      <x v="33"/>
      <x v="1"/>
    </i>
    <i>
      <x v="34"/>
      <x v="34"/>
      <x v="1"/>
    </i>
    <i>
      <x v="35"/>
      <x v="35"/>
      <x v="2"/>
    </i>
    <i>
      <x v="36"/>
      <x v="36"/>
      <x v="2"/>
    </i>
    <i>
      <x v="37"/>
      <x v="37"/>
      <x v="2"/>
    </i>
    <i>
      <x v="38"/>
      <x v="38"/>
      <x/>
    </i>
    <i r="1">
      <x v="101"/>
      <x/>
    </i>
    <i>
      <x v="39"/>
      <x v="39"/>
      <x v="2"/>
    </i>
    <i>
      <x v="40"/>
      <x v="40"/>
      <x v="1"/>
    </i>
    <i>
      <x v="41"/>
      <x v="41"/>
      <x v="3"/>
    </i>
    <i>
      <x v="42"/>
      <x v="42"/>
      <x v="2"/>
    </i>
    <i>
      <x v="43"/>
      <x v="43"/>
      <x v="1"/>
    </i>
    <i>
      <x v="44"/>
      <x v="44"/>
      <x v="2"/>
    </i>
    <i>
      <x v="45"/>
      <x v="45"/>
      <x v="1"/>
    </i>
    <i>
      <x v="46"/>
      <x v="46"/>
      <x v="2"/>
    </i>
    <i>
      <x v="47"/>
      <x v="47"/>
      <x v="1"/>
    </i>
    <i>
      <x v="48"/>
      <x v="48"/>
      <x v="1"/>
    </i>
    <i>
      <x v="49"/>
      <x v="49"/>
      <x v="1"/>
    </i>
    <i>
      <x v="50"/>
      <x v="50"/>
      <x v="1"/>
    </i>
    <i>
      <x v="51"/>
      <x v="51"/>
      <x v="2"/>
    </i>
    <i>
      <x v="52"/>
      <x v="52"/>
      <x v="1"/>
    </i>
    <i>
      <x v="53"/>
      <x v="53"/>
      <x v="1"/>
    </i>
    <i>
      <x v="54"/>
      <x v="54"/>
      <x v="2"/>
    </i>
    <i>
      <x v="55"/>
      <x v="55"/>
      <x v="1"/>
    </i>
    <i>
      <x v="56"/>
      <x v="56"/>
      <x v="1"/>
    </i>
    <i>
      <x v="57"/>
      <x v="57"/>
      <x/>
    </i>
    <i>
      <x v="58"/>
      <x v="58"/>
      <x v="1"/>
    </i>
    <i>
      <x v="59"/>
      <x v="59"/>
      <x v="2"/>
    </i>
    <i>
      <x v="60"/>
      <x v="60"/>
      <x v="1"/>
    </i>
    <i>
      <x v="61"/>
      <x v="61"/>
      <x v="3"/>
    </i>
    <i>
      <x v="62"/>
      <x v="62"/>
      <x v="1"/>
    </i>
    <i>
      <x v="63"/>
      <x v="63"/>
      <x v="2"/>
    </i>
    <i>
      <x v="64"/>
      <x v="64"/>
      <x v="3"/>
    </i>
    <i>
      <x v="65"/>
      <x v="65"/>
      <x v="4"/>
    </i>
    <i r="2">
      <x v="5"/>
    </i>
    <i>
      <x v="66"/>
      <x v="66"/>
      <x v="1"/>
    </i>
    <i>
      <x v="67"/>
      <x v="67"/>
      <x v="3"/>
    </i>
    <i>
      <x v="68"/>
      <x v="68"/>
      <x v="1"/>
    </i>
    <i>
      <x v="69"/>
      <x v="69"/>
      <x v="1"/>
    </i>
    <i>
      <x v="70"/>
      <x v="70"/>
      <x v="1"/>
    </i>
    <i>
      <x v="71"/>
      <x v="71"/>
      <x v="1"/>
    </i>
    <i>
      <x v="72"/>
      <x v="72"/>
      <x v="1"/>
    </i>
    <i>
      <x v="73"/>
      <x v="73"/>
      <x v="3"/>
    </i>
    <i>
      <x v="74"/>
      <x v="74"/>
      <x v="2"/>
    </i>
    <i>
      <x v="75"/>
      <x v="75"/>
      <x/>
    </i>
    <i>
      <x v="76"/>
      <x v="76"/>
      <x v="1"/>
    </i>
    <i>
      <x v="77"/>
      <x v="77"/>
      <x v="1"/>
    </i>
    <i>
      <x v="78"/>
      <x v="78"/>
      <x v="1"/>
    </i>
    <i>
      <x v="79"/>
      <x v="79"/>
      <x v="1"/>
    </i>
    <i>
      <x v="80"/>
      <x v="80"/>
      <x v="2"/>
    </i>
    <i>
      <x v="81"/>
      <x v="81"/>
      <x v="3"/>
    </i>
    <i>
      <x v="82"/>
      <x v="82"/>
      <x v="1"/>
    </i>
    <i>
      <x v="83"/>
      <x v="83"/>
      <x v="6"/>
    </i>
    <i>
      <x v="84"/>
      <x v="84"/>
      <x/>
    </i>
    <i>
      <x v="85"/>
      <x v="85"/>
      <x v="1"/>
    </i>
    <i>
      <x v="86"/>
      <x v="86"/>
      <x v="2"/>
    </i>
    <i>
      <x v="87"/>
      <x v="87"/>
      <x v="2"/>
    </i>
    <i>
      <x v="88"/>
      <x v="88"/>
      <x v="1"/>
    </i>
    <i>
      <x v="89"/>
      <x v="89"/>
      <x v="1"/>
    </i>
    <i>
      <x v="90"/>
      <x v="90"/>
      <x v="2"/>
    </i>
    <i>
      <x v="91"/>
      <x v="91"/>
      <x v="2"/>
    </i>
    <i>
      <x v="92"/>
      <x v="92"/>
      <x v="2"/>
    </i>
    <i>
      <x v="93"/>
      <x v="93"/>
      <x v="1"/>
    </i>
    <i>
      <x v="94"/>
      <x v="94"/>
      <x v="1"/>
    </i>
    <i>
      <x v="95"/>
      <x v="95"/>
      <x v="1"/>
    </i>
    <i>
      <x v="96"/>
      <x v="96"/>
      <x v="1"/>
    </i>
    <i>
      <x v="97"/>
      <x v="97"/>
      <x v="1"/>
    </i>
    <i>
      <x v="98"/>
      <x v="98"/>
      <x v="1"/>
    </i>
    <i>
      <x v="99"/>
      <x v="99"/>
      <x v="3"/>
    </i>
    <i>
      <x v="100"/>
      <x v="100"/>
      <x v="1"/>
    </i>
    <i>
      <x v="101"/>
      <x v="102"/>
      <x v="2"/>
    </i>
    <i>
      <x v="102"/>
      <x v="103"/>
      <x v="6"/>
    </i>
    <i>
      <x v="103"/>
      <x v="104"/>
      <x v="2"/>
    </i>
    <i>
      <x v="104"/>
      <x v="105"/>
      <x v="2"/>
    </i>
    <i>
      <x v="105"/>
      <x v="106"/>
      <x v="2"/>
    </i>
    <i>
      <x v="106"/>
      <x v="107"/>
      <x v="2"/>
    </i>
    <i>
      <x v="107"/>
      <x v="108"/>
      <x v="2"/>
    </i>
    <i>
      <x v="108"/>
      <x v="109"/>
      <x v="1"/>
    </i>
    <i>
      <x v="109"/>
      <x v="110"/>
      <x v="2"/>
    </i>
    <i>
      <x v="110"/>
      <x v="111"/>
      <x/>
    </i>
    <i>
      <x v="111"/>
      <x v="112"/>
      <x/>
    </i>
    <i>
      <x v="112"/>
      <x v="113"/>
      <x v="1"/>
    </i>
    <i>
      <x v="113"/>
      <x v="114"/>
      <x v="2"/>
    </i>
    <i>
      <x v="114"/>
      <x v="129"/>
      <x v="1"/>
    </i>
    <i>
      <x v="115"/>
      <x v="115"/>
      <x v="2"/>
    </i>
    <i>
      <x v="116"/>
      <x v="116"/>
      <x v="3"/>
    </i>
    <i>
      <x v="117"/>
      <x v="117"/>
      <x v="2"/>
    </i>
    <i>
      <x v="118"/>
      <x v="118"/>
      <x v="2"/>
    </i>
    <i>
      <x v="119"/>
      <x v="119"/>
      <x v="2"/>
    </i>
    <i>
      <x v="120"/>
      <x v="120"/>
      <x v="2"/>
    </i>
    <i>
      <x v="121"/>
      <x v="121"/>
      <x v="2"/>
    </i>
    <i>
      <x v="122"/>
      <x v="122"/>
      <x v="1"/>
    </i>
    <i>
      <x v="123"/>
      <x v="123"/>
      <x v="2"/>
    </i>
    <i>
      <x v="124"/>
      <x v="124"/>
      <x v="1"/>
    </i>
    <i>
      <x v="125"/>
      <x v="125"/>
      <x v="3"/>
    </i>
    <i>
      <x v="126"/>
      <x v="126"/>
      <x v="3"/>
    </i>
    <i>
      <x v="127"/>
      <x v="127"/>
      <x v="3"/>
    </i>
    <i>
      <x v="128"/>
      <x v="128"/>
      <x/>
    </i>
    <i>
      <x v="129"/>
      <x v="130"/>
      <x v="3"/>
    </i>
    <i>
      <x v="130"/>
      <x v="131"/>
      <x v="3"/>
    </i>
    <i>
      <x v="131"/>
      <x v="132"/>
      <x v="3"/>
    </i>
    <i>
      <x v="132"/>
      <x v="133"/>
      <x v="3"/>
    </i>
    <i>
      <x v="133"/>
      <x v="134"/>
      <x v="1"/>
    </i>
    <i>
      <x v="134"/>
      <x v="135"/>
      <x v="2"/>
    </i>
    <i>
      <x v="135"/>
      <x v="136"/>
      <x v="2"/>
    </i>
    <i>
      <x v="136"/>
      <x v="137"/>
      <x v="2"/>
    </i>
    <i r="1">
      <x v="150"/>
      <x v="2"/>
    </i>
    <i>
      <x v="137"/>
      <x v="138"/>
      <x v="2"/>
    </i>
    <i>
      <x v="138"/>
      <x v="139"/>
      <x v="2"/>
    </i>
    <i>
      <x v="139"/>
      <x v="140"/>
      <x v="2"/>
    </i>
    <i>
      <x v="140"/>
      <x v="141"/>
      <x v="2"/>
    </i>
    <i>
      <x v="141"/>
      <x v="142"/>
      <x v="2"/>
    </i>
    <i>
      <x v="142"/>
      <x v="143"/>
      <x v="2"/>
    </i>
    <i>
      <x v="143"/>
      <x v="144"/>
      <x v="3"/>
    </i>
    <i>
      <x v="144"/>
      <x v="145"/>
      <x v="3"/>
    </i>
    <i>
      <x v="145"/>
      <x v="146"/>
      <x v="2"/>
    </i>
    <i>
      <x v="146"/>
      <x v="147"/>
      <x v="2"/>
    </i>
    <i>
      <x v="147"/>
      <x v="148"/>
      <x v="2"/>
    </i>
    <i>
      <x v="148"/>
      <x v="149"/>
      <x v="1"/>
    </i>
    <i>
      <x v="149"/>
      <x v="151"/>
      <x v="2"/>
    </i>
    <i>
      <x v="150"/>
      <x v="152"/>
      <x v="2"/>
    </i>
    <i>
      <x v="151"/>
      <x v="153"/>
      <x v="2"/>
    </i>
    <i>
      <x v="152"/>
      <x v="154"/>
      <x/>
    </i>
    <i>
      <x v="153"/>
      <x v="155"/>
      <x v="3"/>
    </i>
    <i>
      <x v="154"/>
      <x v="156"/>
      <x v="5"/>
    </i>
    <i>
      <x v="155"/>
      <x v="157"/>
      <x v="2"/>
    </i>
    <i>
      <x v="156"/>
      <x v="158"/>
      <x v="2"/>
    </i>
    <i>
      <x v="157"/>
      <x v="159"/>
      <x v="2"/>
    </i>
    <i>
      <x v="158"/>
      <x v="190"/>
      <x v="2"/>
    </i>
    <i>
      <x v="159"/>
      <x v="160"/>
      <x v="1"/>
    </i>
    <i>
      <x v="160"/>
      <x v="161"/>
      <x v="2"/>
    </i>
    <i>
      <x v="161"/>
      <x v="162"/>
      <x v="2"/>
    </i>
    <i>
      <x v="162"/>
      <x v="163"/>
      <x v="1"/>
    </i>
    <i>
      <x v="163"/>
      <x v="164"/>
      <x v="3"/>
    </i>
    <i>
      <x v="164"/>
      <x v="165"/>
      <x v="3"/>
    </i>
    <i>
      <x v="165"/>
      <x v="166"/>
      <x/>
    </i>
    <i>
      <x v="166"/>
      <x v="167"/>
      <x v="2"/>
    </i>
    <i>
      <x v="167"/>
      <x v="168"/>
      <x v="1"/>
    </i>
    <i>
      <x v="168"/>
      <x v="169"/>
      <x v="2"/>
    </i>
    <i>
      <x v="169"/>
      <x v="170"/>
      <x v="3"/>
    </i>
    <i>
      <x v="170"/>
      <x v="171"/>
      <x v="1"/>
    </i>
    <i r="2">
      <x v="5"/>
    </i>
    <i>
      <x v="171"/>
      <x v="172"/>
      <x v="1"/>
    </i>
    <i>
      <x v="172"/>
      <x v="173"/>
      <x v="1"/>
    </i>
    <i>
      <x v="173"/>
      <x v="174"/>
      <x v="2"/>
    </i>
    <i>
      <x v="174"/>
      <x v="175"/>
      <x v="2"/>
    </i>
    <i>
      <x v="175"/>
      <x v="176"/>
      <x v="2"/>
    </i>
    <i>
      <x v="176"/>
      <x v="177"/>
      <x v="2"/>
    </i>
    <i>
      <x v="177"/>
      <x v="178"/>
      <x v="2"/>
    </i>
    <i>
      <x v="178"/>
      <x v="179"/>
      <x v="3"/>
    </i>
    <i>
      <x v="179"/>
      <x v="180"/>
      <x v="1"/>
    </i>
    <i>
      <x v="180"/>
      <x v="181"/>
      <x v="1"/>
    </i>
    <i>
      <x v="181"/>
      <x v="182"/>
      <x v="2"/>
    </i>
    <i>
      <x v="182"/>
      <x v="183"/>
      <x/>
    </i>
    <i>
      <x v="183"/>
      <x v="184"/>
      <x v="2"/>
    </i>
    <i>
      <x v="184"/>
      <x v="185"/>
      <x/>
    </i>
    <i>
      <x v="185"/>
      <x v="186"/>
      <x v="3"/>
    </i>
    <i>
      <x v="186"/>
      <x v="187"/>
      <x v="2"/>
    </i>
    <i>
      <x v="187"/>
      <x v="188"/>
      <x v="2"/>
    </i>
    <i>
      <x v="188"/>
      <x v="189"/>
      <x v="1"/>
    </i>
    <i>
      <x v="189"/>
      <x v="191"/>
      <x/>
    </i>
    <i>
      <x v="190"/>
      <x v="192"/>
      <x v="2"/>
    </i>
    <i r="1">
      <x v="202"/>
      <x v="2"/>
    </i>
    <i>
      <x v="191"/>
      <x v="193"/>
      <x v="2"/>
    </i>
    <i>
      <x v="192"/>
      <x v="194"/>
      <x v="3"/>
    </i>
    <i>
      <x v="193"/>
      <x v="195"/>
      <x v="2"/>
    </i>
    <i>
      <x v="194"/>
      <x v="196"/>
      <x/>
    </i>
    <i>
      <x v="195"/>
      <x v="197"/>
      <x v="3"/>
    </i>
    <i>
      <x v="196"/>
      <x v="203"/>
      <x v="2"/>
    </i>
    <i r="1">
      <x v="382"/>
      <x v="2"/>
    </i>
    <i>
      <x v="197"/>
      <x v="198"/>
      <x v="2"/>
    </i>
    <i>
      <x v="198"/>
      <x v="199"/>
      <x v="2"/>
    </i>
    <i>
      <x v="199"/>
      <x v="200"/>
      <x v="1"/>
    </i>
    <i>
      <x v="200"/>
      <x v="201"/>
      <x v="1"/>
    </i>
    <i>
      <x v="201"/>
      <x v="204"/>
      <x v="3"/>
    </i>
    <i>
      <x v="202"/>
      <x v="205"/>
      <x v="2"/>
    </i>
    <i>
      <x v="203"/>
      <x v="245"/>
      <x v="1"/>
    </i>
    <i>
      <x v="204"/>
      <x v="206"/>
      <x/>
    </i>
    <i>
      <x v="205"/>
      <x v="207"/>
      <x v="3"/>
    </i>
    <i>
      <x v="206"/>
      <x v="208"/>
      <x v="1"/>
    </i>
    <i>
      <x v="207"/>
      <x v="209"/>
      <x v="3"/>
    </i>
    <i>
      <x v="208"/>
      <x v="210"/>
      <x v="2"/>
    </i>
    <i>
      <x v="209"/>
      <x v="211"/>
      <x v="3"/>
    </i>
    <i>
      <x v="210"/>
      <x v="212"/>
      <x v="2"/>
    </i>
    <i>
      <x v="211"/>
      <x v="213"/>
      <x v="3"/>
    </i>
    <i r="1">
      <x v="246"/>
      <x v="3"/>
    </i>
    <i>
      <x v="212"/>
      <x v="214"/>
      <x v="3"/>
    </i>
    <i>
      <x v="213"/>
      <x v="215"/>
      <x v="2"/>
    </i>
    <i>
      <x v="214"/>
      <x v="216"/>
      <x v="2"/>
    </i>
    <i>
      <x v="215"/>
      <x v="217"/>
      <x v="2"/>
    </i>
    <i>
      <x v="216"/>
      <x v="218"/>
      <x v="2"/>
    </i>
    <i>
      <x v="217"/>
      <x v="219"/>
      <x v="2"/>
    </i>
    <i>
      <x v="218"/>
      <x v="220"/>
      <x v="2"/>
    </i>
    <i>
      <x v="219"/>
      <x v="221"/>
      <x v="3"/>
    </i>
    <i>
      <x v="220"/>
      <x v="222"/>
      <x/>
    </i>
    <i>
      <x v="221"/>
      <x v="223"/>
      <x v="1"/>
    </i>
    <i>
      <x v="222"/>
      <x v="224"/>
      <x v="3"/>
    </i>
    <i>
      <x v="223"/>
      <x v="225"/>
      <x v="3"/>
    </i>
    <i>
      <x v="224"/>
      <x v="226"/>
      <x v="3"/>
    </i>
    <i>
      <x v="225"/>
      <x v="227"/>
      <x v="2"/>
    </i>
    <i>
      <x v="226"/>
      <x v="228"/>
      <x v="2"/>
    </i>
    <i>
      <x v="227"/>
      <x v="229"/>
      <x v="1"/>
    </i>
    <i>
      <x v="228"/>
      <x v="230"/>
      <x v="3"/>
    </i>
    <i>
      <x v="229"/>
      <x v="231"/>
      <x v="2"/>
    </i>
    <i>
      <x v="230"/>
      <x v="232"/>
      <x v="1"/>
    </i>
    <i>
      <x v="231"/>
      <x v="233"/>
      <x v="1"/>
    </i>
    <i>
      <x v="232"/>
      <x v="234"/>
      <x v="2"/>
    </i>
    <i>
      <x v="233"/>
      <x v="235"/>
      <x v="3"/>
    </i>
    <i>
      <x v="234"/>
      <x v="236"/>
      <x v="3"/>
    </i>
    <i>
      <x v="235"/>
      <x v="237"/>
      <x v="3"/>
    </i>
    <i>
      <x v="236"/>
      <x v="238"/>
      <x v="2"/>
    </i>
    <i>
      <x v="237"/>
      <x v="239"/>
      <x v="3"/>
    </i>
    <i>
      <x v="238"/>
      <x v="240"/>
      <x v="3"/>
    </i>
    <i>
      <x v="239"/>
      <x v="241"/>
      <x v="1"/>
    </i>
    <i>
      <x v="240"/>
      <x v="242"/>
      <x v="2"/>
    </i>
    <i>
      <x v="241"/>
      <x v="243"/>
      <x v="1"/>
    </i>
    <i>
      <x v="242"/>
      <x v="244"/>
      <x v="1"/>
    </i>
    <i>
      <x v="243"/>
      <x v="247"/>
      <x v="2"/>
    </i>
    <i>
      <x v="244"/>
      <x v="248"/>
      <x v="3"/>
    </i>
    <i>
      <x v="245"/>
      <x v="249"/>
      <x v="3"/>
    </i>
    <i>
      <x v="246"/>
      <x v="250"/>
      <x v="3"/>
    </i>
    <i>
      <x v="247"/>
      <x v="251"/>
      <x v="1"/>
    </i>
    <i>
      <x v="248"/>
      <x v="252"/>
      <x v="2"/>
    </i>
    <i>
      <x v="249"/>
      <x v="253"/>
      <x v="1"/>
    </i>
    <i>
      <x v="250"/>
      <x v="254"/>
      <x v="2"/>
    </i>
    <i>
      <x v="251"/>
      <x v="255"/>
      <x v="2"/>
    </i>
    <i>
      <x v="252"/>
      <x v="256"/>
      <x v="2"/>
    </i>
    <i>
      <x v="253"/>
      <x v="257"/>
      <x v="2"/>
    </i>
    <i>
      <x v="254"/>
      <x v="258"/>
      <x v="2"/>
    </i>
    <i>
      <x v="255"/>
      <x v="259"/>
      <x v="3"/>
    </i>
    <i>
      <x v="256"/>
      <x v="260"/>
      <x v="1"/>
    </i>
    <i>
      <x v="257"/>
      <x v="261"/>
      <x v="1"/>
    </i>
    <i>
      <x v="258"/>
      <x v="262"/>
      <x v="4"/>
    </i>
    <i r="2">
      <x v="5"/>
    </i>
    <i>
      <x v="259"/>
      <x v="263"/>
      <x v="3"/>
    </i>
    <i>
      <x v="260"/>
      <x v="264"/>
      <x v="1"/>
    </i>
    <i>
      <x v="261"/>
      <x v="265"/>
      <x v="1"/>
    </i>
    <i>
      <x v="262"/>
      <x v="266"/>
      <x v="2"/>
    </i>
    <i>
      <x v="263"/>
      <x v="267"/>
      <x v="2"/>
    </i>
    <i>
      <x v="264"/>
      <x v="268"/>
      <x v="2"/>
    </i>
    <i>
      <x v="265"/>
      <x v="269"/>
      <x v="2"/>
    </i>
    <i>
      <x v="266"/>
      <x v="270"/>
      <x v="3"/>
    </i>
    <i>
      <x v="267"/>
      <x v="271"/>
      <x v="2"/>
    </i>
    <i>
      <x v="268"/>
      <x v="272"/>
      <x v="1"/>
    </i>
    <i>
      <x v="269"/>
      <x v="273"/>
      <x v="2"/>
    </i>
    <i>
      <x v="270"/>
      <x v="274"/>
      <x v="2"/>
    </i>
    <i>
      <x v="271"/>
      <x v="275"/>
      <x v="2"/>
    </i>
    <i>
      <x v="272"/>
      <x v="276"/>
      <x v="2"/>
    </i>
    <i>
      <x v="273"/>
      <x v="277"/>
      <x v="3"/>
    </i>
    <i>
      <x v="274"/>
      <x v="278"/>
      <x v="1"/>
    </i>
    <i>
      <x v="275"/>
      <x v="279"/>
      <x v="2"/>
    </i>
    <i>
      <x v="276"/>
      <x v="280"/>
      <x v="3"/>
    </i>
    <i r="1">
      <x v="282"/>
      <x v="3"/>
    </i>
    <i>
      <x v="277"/>
      <x v="281"/>
      <x v="1"/>
    </i>
    <i>
      <x v="278"/>
      <x v="283"/>
      <x v="2"/>
    </i>
    <i>
      <x v="279"/>
      <x v="284"/>
      <x v="2"/>
    </i>
    <i>
      <x v="280"/>
      <x v="285"/>
      <x v="2"/>
    </i>
    <i>
      <x v="281"/>
      <x v="286"/>
      <x v="2"/>
    </i>
    <i>
      <x v="282"/>
      <x v="287"/>
      <x v="1"/>
    </i>
    <i>
      <x v="283"/>
      <x v="288"/>
      <x v="1"/>
    </i>
    <i>
      <x v="284"/>
      <x v="289"/>
      <x v="2"/>
    </i>
    <i>
      <x v="285"/>
      <x v="290"/>
      <x v="1"/>
    </i>
    <i>
      <x v="286"/>
      <x v="291"/>
      <x v="2"/>
    </i>
    <i>
      <x v="287"/>
      <x v="292"/>
      <x v="1"/>
    </i>
    <i>
      <x v="288"/>
      <x v="293"/>
      <x v="1"/>
    </i>
    <i>
      <x v="289"/>
      <x v="294"/>
      <x v="2"/>
    </i>
    <i>
      <x v="290"/>
      <x v="295"/>
      <x v="2"/>
    </i>
    <i r="2">
      <x v="3"/>
    </i>
    <i r="1">
      <x v="328"/>
      <x v="3"/>
    </i>
    <i>
      <x v="291"/>
      <x v="296"/>
      <x v="2"/>
    </i>
    <i>
      <x v="292"/>
      <x v="297"/>
      <x v="2"/>
    </i>
    <i>
      <x v="293"/>
      <x v="298"/>
      <x v="3"/>
    </i>
    <i>
      <x v="294"/>
      <x v="299"/>
      <x v="2"/>
    </i>
    <i>
      <x v="295"/>
      <x v="300"/>
      <x v="2"/>
    </i>
    <i>
      <x v="296"/>
      <x v="301"/>
      <x v="2"/>
    </i>
    <i>
      <x v="297"/>
      <x v="302"/>
      <x v="1"/>
    </i>
    <i>
      <x v="298"/>
      <x v="303"/>
      <x v="2"/>
    </i>
    <i>
      <x v="299"/>
      <x v="304"/>
      <x v="1"/>
    </i>
    <i>
      <x v="300"/>
      <x v="305"/>
      <x v="2"/>
    </i>
    <i>
      <x v="301"/>
      <x v="306"/>
      <x v="2"/>
    </i>
    <i>
      <x v="302"/>
      <x v="307"/>
      <x/>
    </i>
    <i>
      <x v="303"/>
      <x v="308"/>
      <x v="2"/>
    </i>
    <i>
      <x v="304"/>
      <x v="309"/>
      <x v="2"/>
    </i>
    <i>
      <x v="305"/>
      <x v="310"/>
      <x v="2"/>
    </i>
    <i>
      <x v="306"/>
      <x v="311"/>
      <x v="3"/>
    </i>
    <i>
      <x v="307"/>
      <x v="312"/>
      <x v="1"/>
    </i>
    <i>
      <x v="308"/>
      <x v="313"/>
      <x v="3"/>
    </i>
    <i>
      <x v="309"/>
      <x v="314"/>
      <x v="3"/>
    </i>
    <i>
      <x v="310"/>
      <x v="315"/>
      <x v="2"/>
    </i>
    <i>
      <x v="311"/>
      <x v="316"/>
      <x v="1"/>
    </i>
    <i>
      <x v="312"/>
      <x v="317"/>
      <x v="2"/>
    </i>
    <i>
      <x v="313"/>
      <x v="329"/>
      <x v="2"/>
    </i>
    <i>
      <x v="314"/>
      <x v="318"/>
      <x v="2"/>
    </i>
    <i>
      <x v="315"/>
      <x v="319"/>
      <x v="3"/>
    </i>
    <i>
      <x v="316"/>
      <x v="320"/>
      <x v="1"/>
    </i>
    <i>
      <x v="317"/>
      <x v="321"/>
      <x v="1"/>
    </i>
    <i>
      <x v="318"/>
      <x v="322"/>
      <x v="1"/>
    </i>
    <i>
      <x v="319"/>
      <x v="323"/>
      <x v="1"/>
    </i>
    <i>
      <x v="320"/>
      <x v="324"/>
      <x v="1"/>
    </i>
    <i>
      <x v="321"/>
      <x v="325"/>
      <x v="3"/>
    </i>
    <i>
      <x v="322"/>
      <x v="326"/>
      <x v="1"/>
    </i>
    <i>
      <x v="323"/>
      <x v="327"/>
      <x v="1"/>
    </i>
    <i>
      <x v="324"/>
      <x v="330"/>
      <x v="3"/>
    </i>
    <i>
      <x v="325"/>
      <x v="331"/>
      <x/>
    </i>
    <i>
      <x v="326"/>
      <x v="332"/>
      <x v="2"/>
    </i>
    <i>
      <x v="327"/>
      <x v="333"/>
      <x v="3"/>
    </i>
    <i>
      <x v="328"/>
      <x v="334"/>
      <x v="6"/>
    </i>
    <i>
      <x v="329"/>
      <x v="335"/>
      <x/>
    </i>
    <i>
      <x v="330"/>
      <x v="336"/>
      <x v="3"/>
    </i>
    <i>
      <x v="331"/>
      <x v="337"/>
      <x v="3"/>
    </i>
    <i>
      <x v="332"/>
      <x v="338"/>
      <x v="2"/>
    </i>
    <i>
      <x v="333"/>
      <x v="339"/>
      <x/>
    </i>
    <i>
      <x v="334"/>
      <x v="340"/>
      <x v="1"/>
    </i>
    <i>
      <x v="335"/>
      <x v="341"/>
      <x v="2"/>
    </i>
    <i>
      <x v="336"/>
      <x v="342"/>
      <x/>
    </i>
    <i>
      <x v="337"/>
      <x v="343"/>
      <x v="2"/>
    </i>
    <i>
      <x v="338"/>
      <x v="344"/>
      <x v="2"/>
    </i>
    <i>
      <x v="339"/>
      <x v="345"/>
      <x v="2"/>
    </i>
    <i>
      <x v="340"/>
      <x v="346"/>
      <x v="3"/>
    </i>
    <i>
      <x v="341"/>
      <x v="347"/>
      <x v="2"/>
    </i>
    <i>
      <x v="342"/>
      <x v="348"/>
      <x v="3"/>
    </i>
    <i>
      <x v="343"/>
      <x v="349"/>
      <x v="3"/>
    </i>
    <i>
      <x v="344"/>
      <x v="350"/>
      <x v="2"/>
    </i>
    <i>
      <x v="345"/>
      <x v="351"/>
      <x v="4"/>
    </i>
    <i r="2">
      <x v="5"/>
    </i>
    <i>
      <x v="346"/>
      <x v="352"/>
      <x v="2"/>
    </i>
    <i>
      <x v="347"/>
      <x v="353"/>
      <x v="2"/>
    </i>
    <i>
      <x v="348"/>
      <x v="354"/>
      <x v="2"/>
    </i>
    <i>
      <x v="349"/>
      <x v="355"/>
      <x v="2"/>
    </i>
    <i>
      <x v="350"/>
      <x v="356"/>
      <x/>
    </i>
    <i>
      <x v="351"/>
      <x v="357"/>
      <x v="2"/>
    </i>
    <i>
      <x v="352"/>
      <x v="358"/>
      <x v="2"/>
    </i>
    <i>
      <x v="353"/>
      <x v="359"/>
      <x v="3"/>
    </i>
    <i r="1">
      <x v="397"/>
      <x v="3"/>
    </i>
    <i>
      <x v="354"/>
      <x v="360"/>
      <x v="2"/>
    </i>
    <i>
      <x v="355"/>
      <x v="361"/>
      <x v="2"/>
    </i>
    <i>
      <x v="356"/>
      <x v="362"/>
      <x v="2"/>
    </i>
    <i>
      <x v="357"/>
      <x v="363"/>
      <x v="2"/>
    </i>
    <i>
      <x v="358"/>
      <x v="364"/>
      <x v="2"/>
    </i>
    <i>
      <x v="359"/>
      <x v="365"/>
      <x v="3"/>
    </i>
    <i>
      <x v="360"/>
      <x v="366"/>
      <x v="3"/>
    </i>
    <i>
      <x v="361"/>
      <x v="367"/>
      <x v="3"/>
    </i>
    <i>
      <x v="362"/>
      <x v="368"/>
      <x v="2"/>
    </i>
    <i r="1">
      <x v="398"/>
      <x v="2"/>
    </i>
    <i>
      <x v="363"/>
      <x v="369"/>
      <x v="2"/>
    </i>
    <i>
      <x v="364"/>
      <x v="370"/>
      <x v="3"/>
    </i>
    <i r="1">
      <x v="399"/>
      <x v="3"/>
    </i>
    <i>
      <x v="365"/>
      <x v="371"/>
      <x v="2"/>
    </i>
    <i>
      <x v="366"/>
      <x v="372"/>
      <x v="2"/>
    </i>
    <i>
      <x v="367"/>
      <x v="373"/>
      <x v="2"/>
    </i>
    <i>
      <x v="368"/>
      <x v="374"/>
      <x v="2"/>
    </i>
    <i>
      <x v="369"/>
      <x v="375"/>
      <x v="2"/>
    </i>
    <i>
      <x v="370"/>
      <x v="376"/>
      <x v="2"/>
    </i>
    <i>
      <x v="371"/>
      <x v="377"/>
      <x v="3"/>
    </i>
    <i>
      <x v="372"/>
      <x v="378"/>
      <x v="2"/>
    </i>
    <i>
      <x v="373"/>
      <x v="379"/>
      <x v="4"/>
    </i>
    <i r="2">
      <x v="5"/>
    </i>
    <i>
      <x v="374"/>
      <x v="380"/>
      <x v="3"/>
    </i>
    <i>
      <x v="375"/>
      <x v="381"/>
      <x v="1"/>
    </i>
    <i>
      <x v="376"/>
      <x v="383"/>
      <x v="2"/>
    </i>
    <i>
      <x v="377"/>
      <x v="384"/>
      <x v="1"/>
    </i>
    <i>
      <x v="378"/>
      <x v="385"/>
      <x v="2"/>
    </i>
    <i>
      <x v="379"/>
      <x v="386"/>
      <x v="2"/>
    </i>
    <i>
      <x v="380"/>
      <x v="387"/>
      <x v="1"/>
    </i>
    <i>
      <x v="381"/>
      <x v="388"/>
      <x v="1"/>
    </i>
    <i>
      <x v="382"/>
      <x v="389"/>
      <x v="1"/>
    </i>
    <i>
      <x v="383"/>
      <x v="390"/>
      <x/>
    </i>
    <i>
      <x v="384"/>
      <x v="391"/>
      <x/>
    </i>
    <i>
      <x v="385"/>
      <x v="392"/>
      <x/>
    </i>
    <i>
      <x v="386"/>
      <x v="393"/>
      <x v="2"/>
    </i>
    <i>
      <x v="387"/>
      <x v="394"/>
      <x/>
    </i>
    <i>
      <x v="388"/>
      <x v="395"/>
      <x v="2"/>
    </i>
    <i>
      <x v="389"/>
      <x v="396"/>
      <x v="3"/>
    </i>
    <i>
      <x v="390"/>
      <x v="400"/>
      <x v="2"/>
    </i>
    <i>
      <x v="391"/>
      <x v="401"/>
      <x v="2"/>
    </i>
    <i>
      <x v="392"/>
      <x v="402"/>
      <x v="1"/>
    </i>
    <i>
      <x v="393"/>
      <x v="403"/>
      <x v="3"/>
    </i>
    <i>
      <x v="394"/>
      <x v="404"/>
      <x v="1"/>
    </i>
    <i>
      <x v="395"/>
      <x v="405"/>
      <x v="3"/>
    </i>
    <i>
      <x v="396"/>
      <x v="406"/>
      <x v="3"/>
    </i>
    <i>
      <x v="397"/>
      <x v="407"/>
      <x v="2"/>
    </i>
    <i>
      <x v="398"/>
      <x v="408"/>
      <x v="1"/>
    </i>
    <i>
      <x v="399"/>
      <x v="409"/>
      <x v="2"/>
    </i>
    <i r="1">
      <x v="449"/>
      <x v="2"/>
    </i>
    <i>
      <x v="400"/>
      <x v="410"/>
      <x v="6"/>
    </i>
    <i>
      <x v="401"/>
      <x v="411"/>
      <x v="2"/>
    </i>
    <i>
      <x v="402"/>
      <x v="412"/>
      <x v="2"/>
    </i>
    <i>
      <x v="403"/>
      <x v="413"/>
      <x v="3"/>
    </i>
    <i>
      <x v="404"/>
      <x v="414"/>
      <x v="2"/>
    </i>
    <i>
      <x v="405"/>
      <x v="415"/>
      <x v="3"/>
    </i>
    <i>
      <x v="406"/>
      <x v="416"/>
      <x v="2"/>
    </i>
    <i>
      <x v="407"/>
      <x v="417"/>
      <x v="1"/>
    </i>
    <i>
      <x v="408"/>
      <x v="418"/>
      <x v="3"/>
    </i>
    <i>
      <x v="409"/>
      <x v="419"/>
      <x v="3"/>
    </i>
    <i>
      <x v="410"/>
      <x v="420"/>
      <x v="3"/>
    </i>
    <i>
      <x v="411"/>
      <x v="421"/>
      <x/>
    </i>
    <i>
      <x v="412"/>
      <x v="422"/>
      <x v="2"/>
    </i>
    <i>
      <x v="413"/>
      <x v="423"/>
      <x v="2"/>
    </i>
    <i>
      <x v="414"/>
      <x v="424"/>
      <x v="2"/>
    </i>
    <i>
      <x v="415"/>
      <x v="425"/>
      <x v="2"/>
    </i>
    <i>
      <x v="416"/>
      <x v="426"/>
      <x v="2"/>
    </i>
    <i>
      <x v="417"/>
      <x v="427"/>
      <x/>
    </i>
    <i r="1">
      <x v="450"/>
      <x/>
    </i>
    <i>
      <x v="418"/>
      <x v="428"/>
      <x v="2"/>
    </i>
    <i>
      <x v="419"/>
      <x v="429"/>
      <x v="3"/>
    </i>
    <i>
      <x v="420"/>
      <x v="430"/>
      <x v="2"/>
    </i>
    <i>
      <x v="421"/>
      <x v="431"/>
      <x v="2"/>
    </i>
    <i>
      <x v="422"/>
      <x v="432"/>
      <x v="2"/>
    </i>
    <i>
      <x v="423"/>
      <x v="433"/>
      <x v="1"/>
    </i>
    <i>
      <x v="424"/>
      <x v="434"/>
      <x v="1"/>
    </i>
    <i>
      <x v="425"/>
      <x v="435"/>
      <x v="2"/>
    </i>
    <i>
      <x v="426"/>
      <x v="436"/>
      <x v="3"/>
    </i>
    <i>
      <x v="427"/>
      <x v="437"/>
      <x v="1"/>
    </i>
    <i r="2">
      <x v="2"/>
    </i>
    <i>
      <x v="428"/>
      <x v="438"/>
      <x v="3"/>
    </i>
    <i>
      <x v="429"/>
      <x v="439"/>
      <x v="3"/>
    </i>
    <i>
      <x v="430"/>
      <x v="440"/>
      <x v="2"/>
    </i>
    <i>
      <x v="431"/>
      <x v="441"/>
      <x v="3"/>
    </i>
    <i>
      <x v="432"/>
      <x v="442"/>
      <x v="2"/>
    </i>
    <i>
      <x v="433"/>
      <x v="443"/>
      <x v="3"/>
    </i>
    <i>
      <x v="434"/>
      <x v="444"/>
      <x/>
    </i>
    <i>
      <x v="435"/>
      <x v="445"/>
      <x v="2"/>
    </i>
    <i>
      <x v="436"/>
      <x v="446"/>
      <x v="3"/>
    </i>
    <i>
      <x v="437"/>
      <x v="447"/>
      <x v="3"/>
    </i>
    <i>
      <x v="438"/>
      <x v="448"/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Total" fld="61" baseField="0" baseItem="0" numFmtId="167"/>
  </dataFields>
  <formats count="19">
    <format dxfId="40">
      <pivotArea type="all" dataOnly="0" outline="0" fieldPosition="0"/>
    </format>
    <format dxfId="41">
      <pivotArea outline="0" collapsedLevelsAreSubtotals="1" fieldPosition="0"/>
    </format>
    <format dxfId="42">
      <pivotArea type="origin" dataOnly="0" labelOnly="1" outline="0" fieldPosition="0"/>
    </format>
    <format dxfId="43">
      <pivotArea field="0" type="button" dataOnly="0" labelOnly="1" outline="0" axis="axisCol" fieldPosition="0"/>
    </format>
    <format dxfId="44">
      <pivotArea type="topRight" dataOnly="0" labelOnly="1" outline="0" fieldPosition="0"/>
    </format>
    <format dxfId="45">
      <pivotArea field="2" type="button" dataOnly="0" labelOnly="1" outline="0" axis="axisRow" fieldPosition="0"/>
    </format>
    <format dxfId="46">
      <pivotArea field="3" type="button" dataOnly="0" labelOnly="1" outline="0" axis="axisRow" fieldPosition="1"/>
    </format>
    <format dxfId="47">
      <pivotArea field="50" type="button" dataOnly="0" labelOnly="1" outline="0" axis="axisRow" fieldPosition="2"/>
    </format>
    <format dxfId="48">
      <pivotArea dataOnly="0" labelOnly="1" grandRow="1" outline="0" fieldPosition="0"/>
    </format>
    <format dxfId="49">
      <pivotArea dataOnly="0" labelOnly="1" outline="0" fieldPosition="0">
        <references count="1">
          <reference field="0" count="0"/>
        </references>
      </pivotArea>
    </format>
    <format dxfId="50">
      <pivotArea dataOnly="0" labelOnly="1" grandCol="1" outline="0" fieldPosition="0"/>
    </format>
    <format dxfId="51">
      <pivotArea field="0" grandRow="1" outline="0" axis="axisCol" fieldPosition="0">
        <references count="1">
          <reference field="0" count="1" selected="0">
            <x v="1"/>
          </reference>
        </references>
      </pivotArea>
    </format>
    <format dxfId="52">
      <pivotArea outline="0" fieldPosition="0">
        <references count="1">
          <reference field="0" count="1" selected="0">
            <x v="1"/>
          </reference>
        </references>
      </pivotArea>
    </format>
    <format dxfId="53">
      <pivotArea field="0" grandRow="1" outline="0" axis="axisCol" fieldPosition="0">
        <references count="1">
          <reference field="0" count="1" selected="0">
            <x v="0"/>
          </reference>
        </references>
      </pivotArea>
    </format>
    <format dxfId="54">
      <pivotArea outline="0" collapsedLevelsAreSubtotals="1" fieldPosition="0"/>
    </format>
    <format dxfId="55">
      <pivotArea field="0" type="button" dataOnly="0" labelOnly="1" outline="0" axis="axisCol" fieldPosition="0"/>
    </format>
    <format dxfId="56">
      <pivotArea type="topRight" dataOnly="0" labelOnly="1" outline="0" fieldPosition="0"/>
    </format>
    <format dxfId="57">
      <pivotArea dataOnly="0" labelOnly="1" outline="0" fieldPosition="0">
        <references count="1">
          <reference field="0" count="0"/>
        </references>
      </pivotArea>
    </format>
    <format dxfId="5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FC4E0-DA41-4DD4-A4A4-EF27C1ABE4EA}" name="TablaDinámica13" cacheId="5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601:F3056" firstHeaderRow="1" firstDataRow="2" firstDataCol="3"/>
  <pivotFields count="99">
    <pivotField axis="axisCol"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439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2"/>
        <item x="207"/>
        <item x="220"/>
        <item x="223"/>
        <item x="224"/>
        <item x="237"/>
        <item x="246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67"/>
        <item x="178"/>
        <item x="179"/>
        <item x="181"/>
        <item x="184"/>
        <item x="187"/>
        <item x="200"/>
        <item x="250"/>
        <item x="259"/>
        <item x="262"/>
        <item x="340"/>
        <item x="364"/>
        <item x="383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24"/>
        <item x="114"/>
        <item x="171"/>
        <item x="185"/>
        <item x="217"/>
        <item x="438"/>
        <item x="7"/>
        <item x="15"/>
        <item x="16"/>
        <item x="17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43"/>
        <item x="70"/>
        <item x="92"/>
        <item x="93"/>
        <item x="98"/>
        <item x="143"/>
        <item x="297"/>
        <item x="301"/>
        <item x="313"/>
        <item x="330"/>
        <item x="353"/>
        <item x="434"/>
        <item x="14"/>
        <item x="40"/>
        <item x="6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79"/>
        <item x="394"/>
        <item x="397"/>
        <item x="401"/>
        <item x="405"/>
        <item x="412"/>
        <item x="417"/>
        <item x="428"/>
        <item x="429"/>
        <item x="431"/>
        <item x="437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</items>
    </pivotField>
    <pivotField axis="axisRow" compact="0" outline="0" subtotalTop="0" showAll="0" defaultSubtotal="0">
      <items count="451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2"/>
        <item x="207"/>
        <item x="220"/>
        <item x="223"/>
        <item x="224"/>
        <item x="237"/>
        <item x="246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44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78"/>
        <item x="179"/>
        <item x="181"/>
        <item x="184"/>
        <item x="187"/>
        <item x="200"/>
        <item x="250"/>
        <item x="259"/>
        <item x="262"/>
        <item x="340"/>
        <item x="364"/>
        <item x="383"/>
        <item x="167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444"/>
        <item x="24"/>
        <item x="114"/>
        <item x="171"/>
        <item x="185"/>
        <item x="217"/>
        <item x="450"/>
        <item x="7"/>
        <item x="15"/>
        <item x="16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17"/>
        <item x="43"/>
        <item x="70"/>
        <item x="92"/>
        <item x="93"/>
        <item x="98"/>
        <item x="143"/>
        <item x="297"/>
        <item x="313"/>
        <item x="330"/>
        <item x="353"/>
        <item x="434"/>
        <item x="439"/>
        <item x="448"/>
        <item x="14"/>
        <item x="4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60"/>
        <item x="441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449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94"/>
        <item x="397"/>
        <item x="401"/>
        <item x="405"/>
        <item x="412"/>
        <item x="417"/>
        <item x="428"/>
        <item x="429"/>
        <item x="431"/>
        <item x="437"/>
        <item x="442"/>
        <item x="379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01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440"/>
        <item x="446"/>
        <item x="447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  <item x="438"/>
        <item x="44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2"/>
        <item x="0"/>
        <item x="1"/>
        <item x="3"/>
        <item x="4"/>
        <item x="6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2"/>
    <field x="3"/>
    <field x="83"/>
  </rowFields>
  <rowItems count="454">
    <i>
      <x/>
      <x/>
      <x v="2"/>
    </i>
    <i>
      <x v="1"/>
      <x v="1"/>
      <x v="1"/>
    </i>
    <i>
      <x v="2"/>
      <x v="2"/>
      <x v="3"/>
    </i>
    <i>
      <x v="3"/>
      <x v="3"/>
      <x v="1"/>
    </i>
    <i>
      <x v="4"/>
      <x v="4"/>
      <x v="1"/>
    </i>
    <i>
      <x v="5"/>
      <x v="5"/>
      <x v="1"/>
    </i>
    <i>
      <x v="6"/>
      <x v="6"/>
      <x v="1"/>
    </i>
    <i>
      <x v="7"/>
      <x v="7"/>
      <x v="1"/>
    </i>
    <i>
      <x v="8"/>
      <x v="8"/>
      <x v="1"/>
    </i>
    <i>
      <x v="9"/>
      <x v="9"/>
      <x v="1"/>
    </i>
    <i>
      <x v="10"/>
      <x v="10"/>
      <x v="1"/>
    </i>
    <i>
      <x v="11"/>
      <x v="11"/>
      <x v="1"/>
    </i>
    <i>
      <x v="12"/>
      <x v="12"/>
      <x v="1"/>
    </i>
    <i>
      <x v="13"/>
      <x v="13"/>
      <x v="1"/>
    </i>
    <i>
      <x v="14"/>
      <x v="14"/>
      <x v="1"/>
    </i>
    <i>
      <x v="15"/>
      <x v="15"/>
      <x v="1"/>
    </i>
    <i>
      <x v="16"/>
      <x v="16"/>
      <x v="1"/>
    </i>
    <i>
      <x v="17"/>
      <x v="17"/>
      <x v="1"/>
    </i>
    <i>
      <x v="18"/>
      <x v="18"/>
      <x v="1"/>
    </i>
    <i>
      <x v="19"/>
      <x v="19"/>
      <x v="1"/>
    </i>
    <i>
      <x v="20"/>
      <x v="20"/>
      <x v="1"/>
    </i>
    <i>
      <x v="21"/>
      <x v="21"/>
      <x v="1"/>
    </i>
    <i>
      <x v="22"/>
      <x v="22"/>
      <x v="1"/>
    </i>
    <i>
      <x v="23"/>
      <x v="23"/>
      <x v="1"/>
    </i>
    <i>
      <x v="24"/>
      <x v="24"/>
      <x v="1"/>
    </i>
    <i>
      <x v="25"/>
      <x v="25"/>
      <x v="1"/>
    </i>
    <i>
      <x v="26"/>
      <x v="26"/>
      <x v="1"/>
    </i>
    <i>
      <x v="27"/>
      <x v="27"/>
      <x v="1"/>
    </i>
    <i>
      <x v="28"/>
      <x v="28"/>
      <x v="1"/>
    </i>
    <i>
      <x v="29"/>
      <x v="29"/>
      <x v="1"/>
    </i>
    <i>
      <x v="30"/>
      <x v="30"/>
      <x v="2"/>
    </i>
    <i>
      <x v="31"/>
      <x v="31"/>
      <x v="1"/>
    </i>
    <i>
      <x v="32"/>
      <x v="32"/>
      <x v="1"/>
    </i>
    <i>
      <x v="33"/>
      <x v="33"/>
      <x v="1"/>
    </i>
    <i>
      <x v="34"/>
      <x v="34"/>
      <x v="1"/>
    </i>
    <i>
      <x v="35"/>
      <x v="35"/>
      <x v="1"/>
    </i>
    <i>
      <x v="36"/>
      <x v="36"/>
      <x v="1"/>
    </i>
    <i>
      <x v="37"/>
      <x v="37"/>
      <x v="2"/>
    </i>
    <i>
      <x v="38"/>
      <x v="38"/>
      <x v="2"/>
    </i>
    <i r="1">
      <x v="103"/>
      <x v="2"/>
    </i>
    <i>
      <x v="39"/>
      <x v="39"/>
      <x v="2"/>
    </i>
    <i>
      <x v="40"/>
      <x v="40"/>
      <x v="1"/>
    </i>
    <i>
      <x v="41"/>
      <x v="41"/>
      <x v="1"/>
    </i>
    <i>
      <x v="42"/>
      <x v="42"/>
      <x v="1"/>
    </i>
    <i>
      <x v="43"/>
      <x v="43"/>
      <x v="1"/>
    </i>
    <i>
      <x v="44"/>
      <x v="44"/>
      <x v="1"/>
    </i>
    <i>
      <x v="45"/>
      <x v="45"/>
      <x v="1"/>
    </i>
    <i>
      <x v="46"/>
      <x v="46"/>
      <x v="1"/>
    </i>
    <i>
      <x v="47"/>
      <x v="47"/>
      <x v="2"/>
    </i>
    <i>
      <x v="48"/>
      <x v="48"/>
      <x v="2"/>
    </i>
    <i>
      <x v="49"/>
      <x v="49"/>
      <x v="1"/>
    </i>
    <i>
      <x v="50"/>
      <x v="50"/>
      <x v="1"/>
    </i>
    <i>
      <x v="51"/>
      <x v="51"/>
      <x v="1"/>
    </i>
    <i>
      <x v="52"/>
      <x v="52"/>
      <x v="1"/>
    </i>
    <i>
      <x v="53"/>
      <x v="53"/>
      <x v="1"/>
    </i>
    <i>
      <x v="54"/>
      <x v="54"/>
      <x v="1"/>
    </i>
    <i>
      <x v="55"/>
      <x v="55"/>
      <x v="2"/>
    </i>
    <i>
      <x v="56"/>
      <x v="56"/>
      <x v="1"/>
    </i>
    <i>
      <x v="57"/>
      <x v="57"/>
      <x v="1"/>
    </i>
    <i>
      <x v="58"/>
      <x v="58"/>
      <x v="1"/>
    </i>
    <i>
      <x v="59"/>
      <x v="59"/>
      <x v="1"/>
    </i>
    <i>
      <x v="60"/>
      <x v="60"/>
      <x v="1"/>
    </i>
    <i>
      <x v="61"/>
      <x v="61"/>
      <x v="1"/>
    </i>
    <i>
      <x v="62"/>
      <x v="62"/>
      <x v="1"/>
    </i>
    <i>
      <x v="63"/>
      <x v="63"/>
      <x v="1"/>
    </i>
    <i>
      <x v="64"/>
      <x v="64"/>
      <x v="1"/>
    </i>
    <i>
      <x v="65"/>
      <x v="65"/>
      <x v="1"/>
    </i>
    <i>
      <x v="66"/>
      <x v="66"/>
      <x v="1"/>
    </i>
    <i>
      <x v="67"/>
      <x v="67"/>
      <x v="1"/>
    </i>
    <i>
      <x v="68"/>
      <x v="68"/>
      <x v="1"/>
    </i>
    <i>
      <x v="69"/>
      <x v="69"/>
      <x v="1"/>
    </i>
    <i>
      <x v="70"/>
      <x v="70"/>
      <x v="1"/>
    </i>
    <i>
      <x v="71"/>
      <x v="71"/>
      <x v="1"/>
    </i>
    <i>
      <x v="72"/>
      <x v="72"/>
      <x/>
    </i>
    <i>
      <x v="73"/>
      <x v="73"/>
      <x v="1"/>
    </i>
    <i>
      <x v="74"/>
      <x v="74"/>
      <x v="1"/>
    </i>
    <i>
      <x v="75"/>
      <x v="75"/>
      <x v="1"/>
    </i>
    <i>
      <x v="76"/>
      <x v="76"/>
      <x v="1"/>
    </i>
    <i>
      <x v="77"/>
      <x v="77"/>
      <x v="1"/>
    </i>
    <i>
      <x v="78"/>
      <x v="78"/>
      <x v="1"/>
    </i>
    <i>
      <x v="79"/>
      <x v="79"/>
      <x v="1"/>
    </i>
    <i>
      <x v="80"/>
      <x v="80"/>
      <x v="1"/>
    </i>
    <i>
      <x v="81"/>
      <x v="81"/>
      <x v="1"/>
    </i>
    <i>
      <x v="82"/>
      <x v="82"/>
      <x v="1"/>
    </i>
    <i>
      <x v="83"/>
      <x v="83"/>
      <x v="1"/>
    </i>
    <i>
      <x v="84"/>
      <x v="84"/>
      <x v="1"/>
    </i>
    <i>
      <x v="85"/>
      <x v="85"/>
      <x v="1"/>
    </i>
    <i>
      <x v="86"/>
      <x v="86"/>
      <x v="1"/>
    </i>
    <i>
      <x v="87"/>
      <x v="87"/>
      <x v="1"/>
    </i>
    <i>
      <x v="88"/>
      <x v="88"/>
      <x v="1"/>
    </i>
    <i>
      <x v="89"/>
      <x v="89"/>
      <x v="2"/>
    </i>
    <i>
      <x v="90"/>
      <x v="90"/>
      <x v="4"/>
    </i>
    <i>
      <x v="91"/>
      <x v="91"/>
      <x v="1"/>
    </i>
    <i>
      <x v="92"/>
      <x v="92"/>
      <x v="2"/>
    </i>
    <i>
      <x v="93"/>
      <x v="93"/>
      <x v="1"/>
    </i>
    <i>
      <x v="94"/>
      <x v="94"/>
      <x v="2"/>
    </i>
    <i>
      <x v="95"/>
      <x v="95"/>
      <x v="1"/>
    </i>
    <i>
      <x v="96"/>
      <x v="96"/>
      <x v="1"/>
    </i>
    <i>
      <x v="97"/>
      <x v="97"/>
      <x v="4"/>
    </i>
    <i>
      <x v="98"/>
      <x v="98"/>
      <x v="1"/>
    </i>
    <i>
      <x v="99"/>
      <x v="99"/>
      <x v="1"/>
    </i>
    <i>
      <x v="100"/>
      <x v="100"/>
      <x v="1"/>
    </i>
    <i>
      <x v="101"/>
      <x v="101"/>
      <x v="1"/>
    </i>
    <i>
      <x v="102"/>
      <x v="102"/>
      <x v="4"/>
    </i>
    <i>
      <x v="103"/>
      <x v="104"/>
      <x v="2"/>
    </i>
    <i>
      <x v="104"/>
      <x v="105"/>
      <x v="1"/>
    </i>
    <i>
      <x v="105"/>
      <x v="106"/>
      <x v="1"/>
    </i>
    <i>
      <x v="106"/>
      <x v="107"/>
      <x v="1"/>
    </i>
    <i>
      <x v="107"/>
      <x v="108"/>
      <x v="2"/>
    </i>
    <i>
      <x v="108"/>
      <x v="109"/>
      <x v="2"/>
    </i>
    <i>
      <x v="109"/>
      <x v="110"/>
      <x v="2"/>
    </i>
    <i>
      <x v="110"/>
      <x v="111"/>
      <x v="1"/>
    </i>
    <i>
      <x v="111"/>
      <x v="112"/>
      <x v="1"/>
    </i>
    <i>
      <x v="112"/>
      <x v="113"/>
      <x v="1"/>
    </i>
    <i>
      <x v="113"/>
      <x v="114"/>
      <x v="2"/>
    </i>
    <i>
      <x v="114"/>
      <x v="115"/>
      <x v="1"/>
    </i>
    <i>
      <x v="115"/>
      <x v="116"/>
      <x v="2"/>
    </i>
    <i>
      <x v="116"/>
      <x v="129"/>
      <x v="2"/>
    </i>
    <i>
      <x v="117"/>
      <x v="117"/>
      <x v="2"/>
    </i>
    <i>
      <x v="118"/>
      <x v="118"/>
      <x v="2"/>
    </i>
    <i>
      <x v="119"/>
      <x v="119"/>
      <x v="2"/>
    </i>
    <i>
      <x v="120"/>
      <x v="120"/>
      <x v="2"/>
    </i>
    <i>
      <x v="121"/>
      <x v="121"/>
      <x v="2"/>
    </i>
    <i>
      <x v="122"/>
      <x v="122"/>
      <x v="2"/>
    </i>
    <i>
      <x v="123"/>
      <x v="123"/>
      <x v="1"/>
    </i>
    <i>
      <x v="124"/>
      <x v="124"/>
      <x v="2"/>
    </i>
    <i>
      <x v="125"/>
      <x v="125"/>
      <x v="2"/>
    </i>
    <i>
      <x v="126"/>
      <x v="126"/>
      <x v="2"/>
    </i>
    <i>
      <x v="127"/>
      <x v="127"/>
      <x v="2"/>
    </i>
    <i>
      <x v="128"/>
      <x v="128"/>
      <x v="1"/>
    </i>
    <i>
      <x v="129"/>
      <x v="130"/>
      <x v="2"/>
    </i>
    <i>
      <x v="130"/>
      <x v="131"/>
      <x v="2"/>
    </i>
    <i>
      <x v="131"/>
      <x v="132"/>
      <x v="2"/>
    </i>
    <i>
      <x v="132"/>
      <x v="133"/>
      <x v="2"/>
    </i>
    <i>
      <x v="133"/>
      <x v="134"/>
      <x v="2"/>
    </i>
    <i>
      <x v="134"/>
      <x v="135"/>
      <x v="2"/>
    </i>
    <i>
      <x v="135"/>
      <x v="136"/>
      <x v="2"/>
    </i>
    <i>
      <x v="136"/>
      <x v="137"/>
      <x v="2"/>
    </i>
    <i r="1">
      <x v="150"/>
      <x v="2"/>
    </i>
    <i>
      <x v="137"/>
      <x v="138"/>
      <x v="2"/>
    </i>
    <i>
      <x v="138"/>
      <x v="139"/>
      <x v="2"/>
    </i>
    <i>
      <x v="139"/>
      <x v="140"/>
      <x v="2"/>
    </i>
    <i>
      <x v="140"/>
      <x v="141"/>
      <x v="2"/>
    </i>
    <i>
      <x v="141"/>
      <x v="142"/>
      <x v="2"/>
    </i>
    <i>
      <x v="142"/>
      <x v="143"/>
      <x v="2"/>
    </i>
    <i>
      <x v="143"/>
      <x v="144"/>
      <x v="2"/>
    </i>
    <i>
      <x v="144"/>
      <x v="145"/>
      <x v="2"/>
    </i>
    <i>
      <x v="145"/>
      <x v="146"/>
      <x v="2"/>
    </i>
    <i>
      <x v="146"/>
      <x v="147"/>
      <x v="2"/>
    </i>
    <i>
      <x v="147"/>
      <x v="148"/>
      <x v="2"/>
    </i>
    <i>
      <x v="148"/>
      <x v="149"/>
      <x v="1"/>
    </i>
    <i>
      <x v="149"/>
      <x v="151"/>
      <x v="2"/>
    </i>
    <i>
      <x v="150"/>
      <x v="152"/>
      <x v="2"/>
    </i>
    <i>
      <x v="151"/>
      <x v="153"/>
      <x v="2"/>
    </i>
    <i>
      <x v="152"/>
      <x v="154"/>
      <x v="2"/>
    </i>
    <i>
      <x v="153"/>
      <x v="155"/>
      <x v="1"/>
    </i>
    <i>
      <x v="154"/>
      <x v="156"/>
      <x v="5"/>
    </i>
    <i>
      <x v="155"/>
      <x v="157"/>
      <x v="2"/>
    </i>
    <i>
      <x v="156"/>
      <x v="158"/>
      <x v="2"/>
    </i>
    <i>
      <x v="157"/>
      <x v="159"/>
      <x v="2"/>
    </i>
    <i>
      <x v="158"/>
      <x v="190"/>
      <x v="2"/>
    </i>
    <i>
      <x v="159"/>
      <x v="160"/>
      <x v="2"/>
    </i>
    <i>
      <x v="160"/>
      <x v="161"/>
      <x v="2"/>
    </i>
    <i>
      <x v="161"/>
      <x v="162"/>
      <x v="2"/>
    </i>
    <i>
      <x v="162"/>
      <x v="163"/>
      <x v="2"/>
    </i>
    <i>
      <x v="163"/>
      <x v="164"/>
      <x v="2"/>
    </i>
    <i>
      <x v="164"/>
      <x v="165"/>
      <x v="2"/>
    </i>
    <i>
      <x v="165"/>
      <x v="166"/>
      <x v="1"/>
    </i>
    <i>
      <x v="166"/>
      <x v="167"/>
      <x v="1"/>
    </i>
    <i>
      <x v="167"/>
      <x v="168"/>
      <x v="2"/>
    </i>
    <i>
      <x v="168"/>
      <x v="169"/>
      <x v="2"/>
    </i>
    <i>
      <x v="169"/>
      <x v="170"/>
      <x v="1"/>
    </i>
    <i>
      <x v="170"/>
      <x v="171"/>
      <x v="1"/>
    </i>
    <i>
      <x v="171"/>
      <x v="172"/>
      <x v="1"/>
    </i>
    <i>
      <x v="172"/>
      <x v="173"/>
      <x v="1"/>
    </i>
    <i>
      <x v="173"/>
      <x v="174"/>
      <x v="2"/>
    </i>
    <i>
      <x v="174"/>
      <x v="175"/>
      <x v="2"/>
    </i>
    <i>
      <x v="175"/>
      <x v="176"/>
      <x v="2"/>
    </i>
    <i>
      <x v="176"/>
      <x v="177"/>
      <x v="2"/>
    </i>
    <i>
      <x v="177"/>
      <x v="178"/>
      <x v="2"/>
    </i>
    <i>
      <x v="178"/>
      <x v="179"/>
      <x v="1"/>
    </i>
    <i>
      <x v="179"/>
      <x v="180"/>
      <x v="2"/>
    </i>
    <i>
      <x v="180"/>
      <x v="181"/>
      <x v="1"/>
    </i>
    <i>
      <x v="181"/>
      <x v="182"/>
      <x v="2"/>
    </i>
    <i>
      <x v="182"/>
      <x v="183"/>
      <x v="2"/>
    </i>
    <i>
      <x v="183"/>
      <x v="184"/>
      <x v="2"/>
    </i>
    <i>
      <x v="184"/>
      <x v="185"/>
      <x v="2"/>
    </i>
    <i>
      <x v="185"/>
      <x v="186"/>
      <x v="2"/>
    </i>
    <i>
      <x v="186"/>
      <x v="187"/>
      <x v="1"/>
    </i>
    <i>
      <x v="187"/>
      <x v="188"/>
      <x v="1"/>
    </i>
    <i>
      <x v="188"/>
      <x v="189"/>
      <x v="1"/>
    </i>
    <i>
      <x v="189"/>
      <x v="191"/>
      <x v="1"/>
    </i>
    <i>
      <x v="190"/>
      <x v="192"/>
      <x v="1"/>
    </i>
    <i r="1">
      <x v="202"/>
      <x v="1"/>
    </i>
    <i>
      <x v="191"/>
      <x v="193"/>
      <x v="1"/>
    </i>
    <i>
      <x v="192"/>
      <x v="194"/>
      <x v="1"/>
    </i>
    <i>
      <x v="193"/>
      <x v="195"/>
      <x v="1"/>
    </i>
    <i>
      <x v="194"/>
      <x v="196"/>
      <x v="2"/>
    </i>
    <i>
      <x v="195"/>
      <x v="197"/>
      <x v="1"/>
    </i>
    <i>
      <x v="196"/>
      <x v="203"/>
      <x v="1"/>
    </i>
    <i r="1">
      <x v="382"/>
      <x v="1"/>
    </i>
    <i>
      <x v="197"/>
      <x v="198"/>
      <x v="2"/>
    </i>
    <i>
      <x v="198"/>
      <x v="199"/>
      <x/>
    </i>
    <i>
      <x v="199"/>
      <x v="200"/>
      <x v="1"/>
    </i>
    <i>
      <x v="200"/>
      <x v="201"/>
      <x v="1"/>
    </i>
    <i>
      <x v="201"/>
      <x v="204"/>
      <x v="1"/>
    </i>
    <i>
      <x v="202"/>
      <x v="205"/>
      <x v="1"/>
    </i>
    <i>
      <x v="203"/>
      <x v="245"/>
      <x v="1"/>
    </i>
    <i>
      <x v="204"/>
      <x v="206"/>
      <x v="2"/>
    </i>
    <i>
      <x v="205"/>
      <x v="207"/>
      <x v="1"/>
    </i>
    <i>
      <x v="206"/>
      <x v="208"/>
      <x v="1"/>
    </i>
    <i>
      <x v="207"/>
      <x v="209"/>
      <x v="1"/>
    </i>
    <i>
      <x v="208"/>
      <x v="210"/>
      <x v="1"/>
    </i>
    <i>
      <x v="209"/>
      <x v="211"/>
      <x v="1"/>
    </i>
    <i>
      <x v="210"/>
      <x v="212"/>
      <x v="1"/>
    </i>
    <i>
      <x v="211"/>
      <x v="213"/>
      <x v="1"/>
    </i>
    <i r="1">
      <x v="246"/>
      <x v="1"/>
    </i>
    <i>
      <x v="212"/>
      <x v="214"/>
      <x v="1"/>
    </i>
    <i>
      <x v="213"/>
      <x v="215"/>
      <x v="1"/>
    </i>
    <i>
      <x v="214"/>
      <x v="216"/>
      <x v="1"/>
    </i>
    <i>
      <x v="215"/>
      <x v="217"/>
      <x v="1"/>
    </i>
    <i>
      <x v="216"/>
      <x v="218"/>
      <x v="1"/>
    </i>
    <i>
      <x v="217"/>
      <x v="219"/>
      <x v="1"/>
    </i>
    <i>
      <x v="218"/>
      <x v="220"/>
      <x v="1"/>
    </i>
    <i>
      <x v="219"/>
      <x v="221"/>
      <x v="1"/>
    </i>
    <i>
      <x v="220"/>
      <x v="222"/>
      <x v="1"/>
    </i>
    <i>
      <x v="221"/>
      <x v="223"/>
      <x v="3"/>
    </i>
    <i>
      <x v="222"/>
      <x v="224"/>
      <x v="1"/>
    </i>
    <i>
      <x v="223"/>
      <x v="225"/>
      <x v="1"/>
    </i>
    <i>
      <x v="224"/>
      <x v="226"/>
      <x v="1"/>
    </i>
    <i>
      <x v="225"/>
      <x v="227"/>
      <x v="1"/>
    </i>
    <i>
      <x v="226"/>
      <x v="228"/>
      <x v="4"/>
    </i>
    <i>
      <x v="227"/>
      <x v="229"/>
      <x v="1"/>
    </i>
    <i>
      <x v="228"/>
      <x v="230"/>
      <x v="2"/>
    </i>
    <i>
      <x v="229"/>
      <x v="231"/>
      <x v="1"/>
    </i>
    <i>
      <x v="230"/>
      <x v="232"/>
      <x/>
    </i>
    <i>
      <x v="231"/>
      <x v="233"/>
      <x v="1"/>
    </i>
    <i>
      <x v="232"/>
      <x v="234"/>
      <x v="1"/>
    </i>
    <i>
      <x v="233"/>
      <x v="235"/>
      <x v="1"/>
    </i>
    <i>
      <x v="234"/>
      <x v="236"/>
      <x v="1"/>
    </i>
    <i>
      <x v="235"/>
      <x v="237"/>
      <x v="1"/>
    </i>
    <i>
      <x v="236"/>
      <x v="238"/>
      <x v="2"/>
    </i>
    <i>
      <x v="237"/>
      <x v="239"/>
      <x v="2"/>
    </i>
    <i>
      <x v="238"/>
      <x v="240"/>
      <x v="1"/>
    </i>
    <i>
      <x v="239"/>
      <x v="241"/>
      <x/>
    </i>
    <i>
      <x v="240"/>
      <x v="242"/>
      <x v="2"/>
    </i>
    <i>
      <x v="241"/>
      <x v="243"/>
      <x v="1"/>
    </i>
    <i>
      <x v="242"/>
      <x v="244"/>
      <x v="4"/>
    </i>
    <i>
      <x v="243"/>
      <x v="247"/>
      <x v="1"/>
    </i>
    <i>
      <x v="244"/>
      <x v="248"/>
      <x v="1"/>
    </i>
    <i>
      <x v="245"/>
      <x v="249"/>
      <x v="1"/>
    </i>
    <i>
      <x v="246"/>
      <x v="250"/>
      <x v="1"/>
    </i>
    <i>
      <x v="247"/>
      <x v="251"/>
      <x v="1"/>
    </i>
    <i>
      <x v="248"/>
      <x v="252"/>
      <x v="1"/>
    </i>
    <i>
      <x v="249"/>
      <x v="253"/>
      <x v="1"/>
    </i>
    <i>
      <x v="250"/>
      <x v="254"/>
      <x v="2"/>
    </i>
    <i>
      <x v="251"/>
      <x v="255"/>
      <x v="1"/>
    </i>
    <i>
      <x v="252"/>
      <x v="256"/>
      <x v="2"/>
    </i>
    <i>
      <x v="253"/>
      <x v="257"/>
      <x v="1"/>
    </i>
    <i>
      <x v="254"/>
      <x v="258"/>
      <x v="1"/>
    </i>
    <i>
      <x v="255"/>
      <x v="259"/>
      <x v="1"/>
    </i>
    <i>
      <x v="256"/>
      <x v="260"/>
      <x v="1"/>
    </i>
    <i>
      <x v="257"/>
      <x v="261"/>
      <x v="1"/>
    </i>
    <i>
      <x v="258"/>
      <x v="262"/>
      <x v="2"/>
    </i>
    <i>
      <x v="259"/>
      <x v="263"/>
      <x v="2"/>
    </i>
    <i>
      <x v="260"/>
      <x v="264"/>
      <x v="2"/>
    </i>
    <i>
      <x v="261"/>
      <x v="265"/>
      <x v="1"/>
    </i>
    <i>
      <x v="262"/>
      <x v="266"/>
      <x v="1"/>
    </i>
    <i>
      <x v="263"/>
      <x v="267"/>
      <x v="2"/>
    </i>
    <i>
      <x v="264"/>
      <x v="268"/>
      <x v="1"/>
    </i>
    <i>
      <x v="265"/>
      <x v="269"/>
      <x v="1"/>
    </i>
    <i>
      <x v="266"/>
      <x v="270"/>
      <x v="2"/>
    </i>
    <i>
      <x v="267"/>
      <x v="271"/>
      <x v="1"/>
    </i>
    <i>
      <x v="268"/>
      <x v="272"/>
      <x v="1"/>
    </i>
    <i>
      <x v="269"/>
      <x v="273"/>
      <x v="1"/>
    </i>
    <i>
      <x v="270"/>
      <x v="274"/>
      <x v="1"/>
    </i>
    <i>
      <x v="271"/>
      <x v="275"/>
      <x v="1"/>
    </i>
    <i>
      <x v="272"/>
      <x v="276"/>
      <x v="1"/>
    </i>
    <i>
      <x v="273"/>
      <x v="277"/>
      <x v="1"/>
    </i>
    <i>
      <x v="274"/>
      <x v="278"/>
      <x v="1"/>
    </i>
    <i>
      <x v="275"/>
      <x v="279"/>
      <x v="1"/>
    </i>
    <i>
      <x v="276"/>
      <x v="280"/>
      <x v="1"/>
    </i>
    <i r="1">
      <x v="282"/>
      <x v="1"/>
    </i>
    <i>
      <x v="277"/>
      <x v="281"/>
      <x v="1"/>
    </i>
    <i>
      <x v="278"/>
      <x v="283"/>
      <x v="2"/>
    </i>
    <i>
      <x v="279"/>
      <x v="284"/>
      <x/>
    </i>
    <i>
      <x v="280"/>
      <x v="285"/>
      <x v="1"/>
    </i>
    <i>
      <x v="281"/>
      <x v="286"/>
      <x v="1"/>
    </i>
    <i>
      <x v="282"/>
      <x v="287"/>
      <x v="1"/>
    </i>
    <i>
      <x v="283"/>
      <x v="288"/>
      <x v="1"/>
    </i>
    <i>
      <x v="284"/>
      <x v="289"/>
      <x v="1"/>
    </i>
    <i>
      <x v="285"/>
      <x v="290"/>
      <x v="2"/>
    </i>
    <i>
      <x v="286"/>
      <x v="291"/>
      <x v="1"/>
    </i>
    <i>
      <x v="287"/>
      <x v="292"/>
      <x v="1"/>
    </i>
    <i>
      <x v="288"/>
      <x v="293"/>
      <x v="1"/>
    </i>
    <i>
      <x v="289"/>
      <x v="294"/>
      <x v="1"/>
    </i>
    <i>
      <x v="290"/>
      <x v="295"/>
      <x v="1"/>
    </i>
    <i r="2">
      <x v="2"/>
    </i>
    <i r="1">
      <x v="328"/>
      <x v="1"/>
    </i>
    <i r="2">
      <x v="2"/>
    </i>
    <i>
      <x v="291"/>
      <x v="296"/>
      <x v="1"/>
    </i>
    <i>
      <x v="292"/>
      <x v="297"/>
      <x v="2"/>
    </i>
    <i>
      <x v="293"/>
      <x v="298"/>
      <x v="2"/>
    </i>
    <i>
      <x v="294"/>
      <x v="299"/>
      <x v="1"/>
    </i>
    <i>
      <x v="295"/>
      <x v="300"/>
      <x v="2"/>
    </i>
    <i>
      <x v="296"/>
      <x v="301"/>
      <x v="1"/>
    </i>
    <i>
      <x v="297"/>
      <x v="302"/>
      <x v="1"/>
    </i>
    <i>
      <x v="298"/>
      <x v="303"/>
      <x v="1"/>
    </i>
    <i>
      <x v="299"/>
      <x v="304"/>
      <x v="1"/>
    </i>
    <i>
      <x v="300"/>
      <x v="305"/>
      <x v="1"/>
    </i>
    <i>
      <x v="301"/>
      <x v="306"/>
      <x v="1"/>
    </i>
    <i>
      <x v="302"/>
      <x v="307"/>
      <x v="2"/>
    </i>
    <i>
      <x v="303"/>
      <x v="308"/>
      <x v="1"/>
    </i>
    <i>
      <x v="304"/>
      <x v="309"/>
      <x v="1"/>
    </i>
    <i>
      <x v="305"/>
      <x v="310"/>
      <x v="1"/>
    </i>
    <i>
      <x v="306"/>
      <x v="311"/>
      <x v="1"/>
    </i>
    <i>
      <x v="307"/>
      <x v="312"/>
      <x v="1"/>
    </i>
    <i>
      <x v="308"/>
      <x v="313"/>
      <x v="1"/>
    </i>
    <i>
      <x v="309"/>
      <x v="314"/>
      <x v="1"/>
    </i>
    <i>
      <x v="310"/>
      <x v="315"/>
      <x v="1"/>
    </i>
    <i>
      <x v="311"/>
      <x v="316"/>
      <x v="1"/>
    </i>
    <i>
      <x v="312"/>
      <x v="317"/>
      <x v="1"/>
    </i>
    <i>
      <x v="313"/>
      <x v="329"/>
      <x v="1"/>
    </i>
    <i>
      <x v="314"/>
      <x v="318"/>
      <x v="1"/>
    </i>
    <i>
      <x v="315"/>
      <x v="319"/>
      <x v="1"/>
    </i>
    <i>
      <x v="316"/>
      <x v="320"/>
      <x v="1"/>
    </i>
    <i>
      <x v="317"/>
      <x v="321"/>
      <x v="1"/>
    </i>
    <i>
      <x v="318"/>
      <x v="322"/>
      <x v="1"/>
    </i>
    <i>
      <x v="319"/>
      <x v="323"/>
      <x v="1"/>
    </i>
    <i>
      <x v="320"/>
      <x v="324"/>
      <x v="1"/>
    </i>
    <i>
      <x v="321"/>
      <x v="325"/>
      <x v="1"/>
    </i>
    <i>
      <x v="322"/>
      <x v="326"/>
      <x v="1"/>
    </i>
    <i>
      <x v="323"/>
      <x v="327"/>
      <x v="1"/>
    </i>
    <i>
      <x v="324"/>
      <x v="330"/>
      <x v="1"/>
    </i>
    <i>
      <x v="325"/>
      <x v="331"/>
      <x v="1"/>
    </i>
    <i>
      <x v="326"/>
      <x v="332"/>
      <x v="1"/>
    </i>
    <i>
      <x v="327"/>
      <x v="333"/>
      <x v="1"/>
    </i>
    <i>
      <x v="328"/>
      <x v="334"/>
      <x v="1"/>
    </i>
    <i>
      <x v="329"/>
      <x v="335"/>
      <x v="1"/>
    </i>
    <i>
      <x v="330"/>
      <x v="336"/>
      <x v="1"/>
    </i>
    <i>
      <x v="331"/>
      <x v="337"/>
      <x v="1"/>
    </i>
    <i>
      <x v="332"/>
      <x v="338"/>
      <x v="1"/>
    </i>
    <i>
      <x v="333"/>
      <x v="339"/>
      <x v="1"/>
    </i>
    <i>
      <x v="334"/>
      <x v="340"/>
      <x v="1"/>
    </i>
    <i>
      <x v="335"/>
      <x v="341"/>
      <x v="1"/>
    </i>
    <i>
      <x v="336"/>
      <x v="342"/>
      <x v="1"/>
    </i>
    <i>
      <x v="337"/>
      <x v="343"/>
      <x v="1"/>
    </i>
    <i>
      <x v="338"/>
      <x v="344"/>
      <x v="1"/>
    </i>
    <i>
      <x v="339"/>
      <x v="345"/>
      <x v="1"/>
    </i>
    <i>
      <x v="340"/>
      <x v="346"/>
      <x v="1"/>
    </i>
    <i>
      <x v="341"/>
      <x v="347"/>
      <x v="1"/>
    </i>
    <i>
      <x v="342"/>
      <x v="348"/>
      <x v="1"/>
    </i>
    <i>
      <x v="343"/>
      <x v="349"/>
      <x v="1"/>
    </i>
    <i>
      <x v="344"/>
      <x v="350"/>
      <x v="2"/>
    </i>
    <i>
      <x v="345"/>
      <x v="351"/>
      <x v="1"/>
    </i>
    <i>
      <x v="346"/>
      <x v="352"/>
      <x v="1"/>
    </i>
    <i>
      <x v="347"/>
      <x v="353"/>
      <x v="1"/>
    </i>
    <i>
      <x v="348"/>
      <x v="354"/>
      <x v="1"/>
    </i>
    <i>
      <x v="349"/>
      <x v="355"/>
      <x v="1"/>
    </i>
    <i>
      <x v="350"/>
      <x v="356"/>
      <x v="1"/>
    </i>
    <i>
      <x v="351"/>
      <x v="357"/>
      <x v="2"/>
    </i>
    <i>
      <x v="352"/>
      <x v="358"/>
      <x v="1"/>
    </i>
    <i>
      <x v="353"/>
      <x v="359"/>
      <x v="1"/>
    </i>
    <i r="1">
      <x v="397"/>
      <x v="1"/>
    </i>
    <i>
      <x v="354"/>
      <x v="360"/>
      <x v="1"/>
    </i>
    <i>
      <x v="355"/>
      <x v="361"/>
      <x v="2"/>
    </i>
    <i>
      <x v="356"/>
      <x v="362"/>
      <x v="1"/>
    </i>
    <i>
      <x v="357"/>
      <x v="363"/>
      <x v="2"/>
    </i>
    <i>
      <x v="358"/>
      <x v="364"/>
      <x v="2"/>
    </i>
    <i>
      <x v="359"/>
      <x v="365"/>
      <x v="1"/>
    </i>
    <i>
      <x v="360"/>
      <x v="366"/>
      <x v="1"/>
    </i>
    <i>
      <x v="361"/>
      <x v="367"/>
      <x v="1"/>
    </i>
    <i>
      <x v="362"/>
      <x v="368"/>
      <x v="2"/>
    </i>
    <i r="1">
      <x v="398"/>
      <x v="2"/>
    </i>
    <i>
      <x v="363"/>
      <x v="369"/>
      <x v="2"/>
    </i>
    <i>
      <x v="364"/>
      <x v="370"/>
      <x v="2"/>
    </i>
    <i r="1">
      <x v="399"/>
      <x v="2"/>
    </i>
    <i>
      <x v="365"/>
      <x v="371"/>
      <x v="2"/>
    </i>
    <i>
      <x v="366"/>
      <x v="372"/>
      <x v="2"/>
    </i>
    <i>
      <x v="367"/>
      <x v="373"/>
      <x v="2"/>
    </i>
    <i>
      <x v="368"/>
      <x v="374"/>
      <x v="2"/>
    </i>
    <i>
      <x v="369"/>
      <x v="375"/>
      <x v="2"/>
    </i>
    <i>
      <x v="370"/>
      <x v="376"/>
      <x v="2"/>
    </i>
    <i>
      <x v="371"/>
      <x v="377"/>
      <x v="1"/>
    </i>
    <i>
      <x v="372"/>
      <x v="378"/>
      <x v="2"/>
    </i>
    <i>
      <x v="373"/>
      <x v="379"/>
      <x v="2"/>
    </i>
    <i>
      <x v="374"/>
      <x v="380"/>
      <x v="2"/>
    </i>
    <i>
      <x v="375"/>
      <x v="381"/>
      <x v="1"/>
    </i>
    <i>
      <x v="376"/>
      <x v="383"/>
      <x v="2"/>
    </i>
    <i>
      <x v="377"/>
      <x v="384"/>
      <x v="1"/>
    </i>
    <i>
      <x v="378"/>
      <x v="385"/>
      <x v="2"/>
    </i>
    <i>
      <x v="379"/>
      <x v="386"/>
      <x v="2"/>
    </i>
    <i>
      <x v="380"/>
      <x v="387"/>
      <x v="2"/>
    </i>
    <i>
      <x v="381"/>
      <x v="388"/>
      <x v="2"/>
    </i>
    <i>
      <x v="382"/>
      <x v="389"/>
      <x v="1"/>
    </i>
    <i>
      <x v="383"/>
      <x v="390"/>
      <x v="1"/>
    </i>
    <i>
      <x v="384"/>
      <x v="391"/>
      <x v="1"/>
    </i>
    <i>
      <x v="385"/>
      <x v="392"/>
      <x v="1"/>
    </i>
    <i>
      <x v="386"/>
      <x v="393"/>
      <x v="2"/>
    </i>
    <i>
      <x v="387"/>
      <x v="394"/>
      <x v="2"/>
    </i>
    <i>
      <x v="388"/>
      <x v="395"/>
      <x v="2"/>
    </i>
    <i>
      <x v="389"/>
      <x v="396"/>
      <x v="1"/>
    </i>
    <i>
      <x v="390"/>
      <x v="400"/>
      <x v="1"/>
    </i>
    <i>
      <x v="391"/>
      <x v="401"/>
      <x v="1"/>
    </i>
    <i>
      <x v="392"/>
      <x v="402"/>
      <x v="1"/>
    </i>
    <i>
      <x v="393"/>
      <x v="403"/>
      <x v="1"/>
    </i>
    <i>
      <x v="394"/>
      <x v="404"/>
      <x v="1"/>
    </i>
    <i>
      <x v="395"/>
      <x v="405"/>
      <x v="1"/>
    </i>
    <i>
      <x v="396"/>
      <x v="406"/>
      <x v="1"/>
    </i>
    <i>
      <x v="397"/>
      <x v="407"/>
      <x v="1"/>
    </i>
    <i>
      <x v="398"/>
      <x v="408"/>
      <x v="1"/>
    </i>
    <i>
      <x v="399"/>
      <x v="409"/>
      <x v="1"/>
    </i>
    <i r="1">
      <x v="449"/>
      <x v="1"/>
    </i>
    <i>
      <x v="400"/>
      <x v="410"/>
      <x v="1"/>
    </i>
    <i>
      <x v="401"/>
      <x v="411"/>
      <x v="1"/>
    </i>
    <i>
      <x v="402"/>
      <x v="412"/>
      <x v="1"/>
    </i>
    <i>
      <x v="403"/>
      <x v="413"/>
      <x v="1"/>
    </i>
    <i>
      <x v="404"/>
      <x v="414"/>
      <x v="2"/>
    </i>
    <i>
      <x v="405"/>
      <x v="415"/>
      <x v="1"/>
    </i>
    <i>
      <x v="406"/>
      <x v="416"/>
      <x v="1"/>
    </i>
    <i>
      <x v="407"/>
      <x v="417"/>
      <x v="1"/>
    </i>
    <i>
      <x v="408"/>
      <x v="418"/>
      <x v="2"/>
    </i>
    <i>
      <x v="409"/>
      <x v="419"/>
      <x v="2"/>
    </i>
    <i>
      <x v="410"/>
      <x v="420"/>
      <x v="1"/>
    </i>
    <i>
      <x v="411"/>
      <x v="421"/>
      <x v="1"/>
    </i>
    <i>
      <x v="412"/>
      <x v="422"/>
      <x v="1"/>
    </i>
    <i>
      <x v="413"/>
      <x v="423"/>
      <x v="1"/>
    </i>
    <i>
      <x v="414"/>
      <x v="424"/>
      <x v="1"/>
    </i>
    <i>
      <x v="415"/>
      <x v="425"/>
      <x v="1"/>
    </i>
    <i>
      <x v="416"/>
      <x v="426"/>
      <x v="1"/>
    </i>
    <i>
      <x v="417"/>
      <x v="427"/>
      <x v="2"/>
    </i>
    <i r="1">
      <x v="450"/>
      <x v="2"/>
    </i>
    <i>
      <x v="418"/>
      <x v="428"/>
      <x v="1"/>
    </i>
    <i>
      <x v="419"/>
      <x v="429"/>
      <x v="1"/>
    </i>
    <i>
      <x v="420"/>
      <x v="430"/>
      <x v="1"/>
    </i>
    <i>
      <x v="421"/>
      <x v="431"/>
      <x v="2"/>
    </i>
    <i>
      <x v="422"/>
      <x v="432"/>
      <x v="2"/>
    </i>
    <i>
      <x v="423"/>
      <x v="433"/>
      <x v="2"/>
    </i>
    <i>
      <x v="424"/>
      <x v="434"/>
      <x/>
    </i>
    <i>
      <x v="425"/>
      <x v="435"/>
      <x v="1"/>
    </i>
    <i>
      <x v="426"/>
      <x v="436"/>
      <x v="1"/>
    </i>
    <i>
      <x v="427"/>
      <x v="437"/>
      <x v="2"/>
    </i>
    <i>
      <x v="428"/>
      <x v="438"/>
      <x v="1"/>
    </i>
    <i>
      <x v="429"/>
      <x v="439"/>
      <x v="1"/>
    </i>
    <i>
      <x v="430"/>
      <x v="440"/>
      <x v="1"/>
    </i>
    <i>
      <x v="431"/>
      <x v="441"/>
      <x v="1"/>
    </i>
    <i>
      <x v="432"/>
      <x v="442"/>
      <x v="1"/>
    </i>
    <i>
      <x v="433"/>
      <x v="443"/>
      <x v="1"/>
    </i>
    <i>
      <x v="434"/>
      <x v="444"/>
      <x v="1"/>
    </i>
    <i>
      <x v="435"/>
      <x v="445"/>
      <x v="1"/>
    </i>
    <i>
      <x v="436"/>
      <x v="446"/>
      <x v="6"/>
    </i>
    <i>
      <x v="437"/>
      <x v="447"/>
      <x v="1"/>
    </i>
    <i>
      <x v="438"/>
      <x v="448"/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Valor Cotización ICBF" fld="91" baseField="0" baseItem="0" numFmtId="167"/>
  </dataFields>
  <formats count="17">
    <format dxfId="23">
      <pivotArea type="all" dataOnly="0" outline="0" fieldPosition="0"/>
    </format>
    <format dxfId="24">
      <pivotArea outline="0" collapsedLevelsAreSubtotals="1" fieldPosition="0"/>
    </format>
    <format dxfId="25">
      <pivotArea type="origin" dataOnly="0" labelOnly="1" outline="0" fieldPosition="0"/>
    </format>
    <format dxfId="26">
      <pivotArea field="0" type="button" dataOnly="0" labelOnly="1" outline="0" axis="axisCol" fieldPosition="0"/>
    </format>
    <format dxfId="27">
      <pivotArea type="topRight" dataOnly="0" labelOnly="1" outline="0" fieldPosition="0"/>
    </format>
    <format dxfId="28">
      <pivotArea field="2" type="button" dataOnly="0" labelOnly="1" outline="0" axis="axisRow" fieldPosition="0"/>
    </format>
    <format dxfId="29">
      <pivotArea field="3" type="button" dataOnly="0" labelOnly="1" outline="0" axis="axisRow" fieldPosition="1"/>
    </format>
    <format dxfId="30">
      <pivotArea field="83" type="button" dataOnly="0" labelOnly="1" outline="0" axis="axisRow" fieldPosition="2"/>
    </format>
    <format dxfId="31">
      <pivotArea dataOnly="0" labelOnly="1" grandRow="1" outline="0" fieldPosition="0"/>
    </format>
    <format dxfId="32">
      <pivotArea dataOnly="0" labelOnly="1" outline="0" fieldPosition="0">
        <references count="1">
          <reference field="0" count="0"/>
        </references>
      </pivotArea>
    </format>
    <format dxfId="33">
      <pivotArea dataOnly="0" labelOnly="1" grandCol="1" outline="0" fieldPosition="0"/>
    </format>
    <format dxfId="34">
      <pivotArea outline="0" fieldPosition="0">
        <references count="1">
          <reference field="0" count="1" selected="0">
            <x v="1"/>
          </reference>
        </references>
      </pivotArea>
    </format>
    <format dxfId="35">
      <pivotArea outline="0" collapsedLevelsAreSubtotals="1" fieldPosition="0"/>
    </format>
    <format dxfId="36">
      <pivotArea field="0" type="button" dataOnly="0" labelOnly="1" outline="0" axis="axisCol" fieldPosition="0"/>
    </format>
    <format dxfId="37">
      <pivotArea type="topRight" dataOnly="0" labelOnly="1" outline="0" fieldPosition="0"/>
    </format>
    <format dxfId="38">
      <pivotArea dataOnly="0" labelOnly="1" outline="0" fieldPosition="0">
        <references count="1">
          <reference field="0" count="0"/>
        </references>
      </pivotArea>
    </format>
    <format dxfId="3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8C5B1-9F5D-4737-8640-B2487180E896}" name="TablaDinámica12" cacheId="5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100:F2555" firstHeaderRow="1" firstDataRow="2" firstDataCol="3"/>
  <pivotFields count="99">
    <pivotField axis="axisCol"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439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2"/>
        <item x="207"/>
        <item x="220"/>
        <item x="223"/>
        <item x="224"/>
        <item x="237"/>
        <item x="246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67"/>
        <item x="178"/>
        <item x="179"/>
        <item x="181"/>
        <item x="184"/>
        <item x="187"/>
        <item x="200"/>
        <item x="250"/>
        <item x="259"/>
        <item x="262"/>
        <item x="340"/>
        <item x="364"/>
        <item x="383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24"/>
        <item x="114"/>
        <item x="171"/>
        <item x="185"/>
        <item x="217"/>
        <item x="438"/>
        <item x="7"/>
        <item x="15"/>
        <item x="16"/>
        <item x="17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43"/>
        <item x="70"/>
        <item x="92"/>
        <item x="93"/>
        <item x="98"/>
        <item x="143"/>
        <item x="297"/>
        <item x="301"/>
        <item x="313"/>
        <item x="330"/>
        <item x="353"/>
        <item x="434"/>
        <item x="14"/>
        <item x="40"/>
        <item x="6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79"/>
        <item x="394"/>
        <item x="397"/>
        <item x="401"/>
        <item x="405"/>
        <item x="412"/>
        <item x="417"/>
        <item x="428"/>
        <item x="429"/>
        <item x="431"/>
        <item x="437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</items>
    </pivotField>
    <pivotField axis="axisRow" compact="0" outline="0" subtotalTop="0" showAll="0" defaultSubtotal="0">
      <items count="451">
        <item x="9"/>
        <item x="22"/>
        <item x="25"/>
        <item x="28"/>
        <item x="29"/>
        <item x="31"/>
        <item x="32"/>
        <item x="33"/>
        <item x="34"/>
        <item x="35"/>
        <item x="37"/>
        <item x="39"/>
        <item x="42"/>
        <item x="46"/>
        <item x="47"/>
        <item x="48"/>
        <item x="49"/>
        <item x="50"/>
        <item x="58"/>
        <item x="59"/>
        <item x="65"/>
        <item x="66"/>
        <item x="67"/>
        <item x="71"/>
        <item x="79"/>
        <item x="95"/>
        <item x="100"/>
        <item x="112"/>
        <item x="116"/>
        <item x="117"/>
        <item x="119"/>
        <item x="124"/>
        <item x="127"/>
        <item x="136"/>
        <item x="148"/>
        <item x="150"/>
        <item x="156"/>
        <item x="169"/>
        <item x="182"/>
        <item x="188"/>
        <item x="201"/>
        <item x="202"/>
        <item x="207"/>
        <item x="220"/>
        <item x="223"/>
        <item x="224"/>
        <item x="237"/>
        <item x="246"/>
        <item x="263"/>
        <item x="264"/>
        <item x="266"/>
        <item x="272"/>
        <item x="273"/>
        <item x="274"/>
        <item x="278"/>
        <item x="281"/>
        <item x="284"/>
        <item x="285"/>
        <item x="287"/>
        <item x="288"/>
        <item x="289"/>
        <item x="290"/>
        <item x="291"/>
        <item x="292"/>
        <item x="293"/>
        <item x="298"/>
        <item x="299"/>
        <item x="300"/>
        <item x="302"/>
        <item x="303"/>
        <item x="317"/>
        <item x="320"/>
        <item x="324"/>
        <item x="335"/>
        <item x="337"/>
        <item x="342"/>
        <item x="348"/>
        <item x="355"/>
        <item x="357"/>
        <item x="358"/>
        <item x="359"/>
        <item x="360"/>
        <item x="365"/>
        <item x="366"/>
        <item x="368"/>
        <item x="370"/>
        <item x="382"/>
        <item x="385"/>
        <item x="386"/>
        <item x="387"/>
        <item x="404"/>
        <item x="407"/>
        <item x="408"/>
        <item x="410"/>
        <item x="415"/>
        <item x="418"/>
        <item x="420"/>
        <item x="422"/>
        <item x="423"/>
        <item x="425"/>
        <item x="427"/>
        <item x="430"/>
        <item x="435"/>
        <item x="445"/>
        <item x="12"/>
        <item x="44"/>
        <item x="158"/>
        <item x="165"/>
        <item x="166"/>
        <item x="168"/>
        <item x="198"/>
        <item x="236"/>
        <item x="249"/>
        <item x="265"/>
        <item x="331"/>
        <item x="362"/>
        <item x="13"/>
        <item x="178"/>
        <item x="179"/>
        <item x="181"/>
        <item x="184"/>
        <item x="187"/>
        <item x="200"/>
        <item x="250"/>
        <item x="259"/>
        <item x="262"/>
        <item x="340"/>
        <item x="364"/>
        <item x="383"/>
        <item x="167"/>
        <item x="18"/>
        <item x="19"/>
        <item x="23"/>
        <item x="41"/>
        <item x="83"/>
        <item x="86"/>
        <item x="111"/>
        <item x="173"/>
        <item x="176"/>
        <item x="226"/>
        <item x="230"/>
        <item x="231"/>
        <item x="234"/>
        <item x="235"/>
        <item x="239"/>
        <item x="260"/>
        <item x="282"/>
        <item x="294"/>
        <item x="393"/>
        <item x="426"/>
        <item x="444"/>
        <item x="24"/>
        <item x="114"/>
        <item x="171"/>
        <item x="185"/>
        <item x="217"/>
        <item x="450"/>
        <item x="7"/>
        <item x="15"/>
        <item x="16"/>
        <item x="20"/>
        <item x="21"/>
        <item x="72"/>
        <item x="89"/>
        <item x="90"/>
        <item x="101"/>
        <item x="103"/>
        <item x="130"/>
        <item x="180"/>
        <item x="189"/>
        <item x="209"/>
        <item x="214"/>
        <item x="216"/>
        <item x="218"/>
        <item x="225"/>
        <item x="228"/>
        <item x="229"/>
        <item x="253"/>
        <item x="255"/>
        <item x="256"/>
        <item x="308"/>
        <item x="314"/>
        <item x="328"/>
        <item x="338"/>
        <item x="341"/>
        <item x="345"/>
        <item x="349"/>
        <item x="388"/>
        <item x="392"/>
        <item x="424"/>
        <item x="17"/>
        <item x="43"/>
        <item x="70"/>
        <item x="92"/>
        <item x="93"/>
        <item x="98"/>
        <item x="143"/>
        <item x="297"/>
        <item x="313"/>
        <item x="330"/>
        <item x="353"/>
        <item x="434"/>
        <item x="439"/>
        <item x="448"/>
        <item x="14"/>
        <item x="40"/>
        <item x="76"/>
        <item x="81"/>
        <item x="97"/>
        <item x="104"/>
        <item x="105"/>
        <item x="106"/>
        <item x="121"/>
        <item x="132"/>
        <item x="153"/>
        <item x="157"/>
        <item x="160"/>
        <item x="163"/>
        <item x="175"/>
        <item x="204"/>
        <item x="213"/>
        <item x="238"/>
        <item x="242"/>
        <item x="251"/>
        <item x="276"/>
        <item x="286"/>
        <item x="304"/>
        <item x="305"/>
        <item x="311"/>
        <item x="315"/>
        <item x="326"/>
        <item x="333"/>
        <item x="346"/>
        <item x="363"/>
        <item x="371"/>
        <item x="374"/>
        <item x="375"/>
        <item x="378"/>
        <item x="391"/>
        <item x="396"/>
        <item x="399"/>
        <item x="406"/>
        <item x="411"/>
        <item x="433"/>
        <item x="436"/>
        <item x="60"/>
        <item x="441"/>
        <item x="11"/>
        <item x="30"/>
        <item x="55"/>
        <item x="74"/>
        <item x="96"/>
        <item x="120"/>
        <item x="134"/>
        <item x="145"/>
        <item x="147"/>
        <item x="152"/>
        <item x="164"/>
        <item x="191"/>
        <item x="219"/>
        <item x="240"/>
        <item x="241"/>
        <item x="248"/>
        <item x="257"/>
        <item x="261"/>
        <item x="267"/>
        <item x="275"/>
        <item x="280"/>
        <item x="283"/>
        <item x="316"/>
        <item x="319"/>
        <item x="322"/>
        <item x="336"/>
        <item x="377"/>
        <item x="380"/>
        <item x="390"/>
        <item x="395"/>
        <item x="400"/>
        <item x="414"/>
        <item x="416"/>
        <item x="421"/>
        <item x="432"/>
        <item x="449"/>
        <item x="2"/>
        <item x="3"/>
        <item x="5"/>
        <item x="10"/>
        <item x="54"/>
        <item x="62"/>
        <item x="69"/>
        <item x="110"/>
        <item x="122"/>
        <item x="133"/>
        <item x="135"/>
        <item x="139"/>
        <item x="142"/>
        <item x="161"/>
        <item x="170"/>
        <item x="172"/>
        <item x="177"/>
        <item x="199"/>
        <item x="205"/>
        <item x="208"/>
        <item x="210"/>
        <item x="215"/>
        <item x="232"/>
        <item x="244"/>
        <item x="252"/>
        <item x="258"/>
        <item x="295"/>
        <item x="306"/>
        <item x="318"/>
        <item x="321"/>
        <item x="325"/>
        <item x="329"/>
        <item x="332"/>
        <item x="350"/>
        <item x="369"/>
        <item x="394"/>
        <item x="397"/>
        <item x="401"/>
        <item x="405"/>
        <item x="412"/>
        <item x="417"/>
        <item x="428"/>
        <item x="429"/>
        <item x="431"/>
        <item x="437"/>
        <item x="442"/>
        <item x="379"/>
        <item x="45"/>
        <item x="51"/>
        <item x="91"/>
        <item x="94"/>
        <item x="118"/>
        <item x="129"/>
        <item x="131"/>
        <item x="146"/>
        <item x="206"/>
        <item x="211"/>
        <item x="351"/>
        <item x="409"/>
        <item x="413"/>
        <item x="140"/>
        <item x="141"/>
        <item x="222"/>
        <item x="309"/>
        <item x="310"/>
        <item x="323"/>
        <item x="327"/>
        <item x="354"/>
        <item x="356"/>
        <item x="0"/>
        <item x="4"/>
        <item x="36"/>
        <item x="52"/>
        <item x="61"/>
        <item x="73"/>
        <item x="75"/>
        <item x="77"/>
        <item x="82"/>
        <item x="84"/>
        <item x="99"/>
        <item x="108"/>
        <item x="109"/>
        <item x="154"/>
        <item x="155"/>
        <item x="162"/>
        <item x="183"/>
        <item x="190"/>
        <item x="193"/>
        <item x="194"/>
        <item x="195"/>
        <item x="196"/>
        <item x="197"/>
        <item x="203"/>
        <item x="227"/>
        <item x="243"/>
        <item x="245"/>
        <item x="247"/>
        <item x="271"/>
        <item x="277"/>
        <item x="301"/>
        <item x="312"/>
        <item x="334"/>
        <item x="343"/>
        <item x="344"/>
        <item x="347"/>
        <item x="352"/>
        <item x="361"/>
        <item x="373"/>
        <item x="376"/>
        <item x="381"/>
        <item x="389"/>
        <item x="398"/>
        <item x="402"/>
        <item x="403"/>
        <item x="440"/>
        <item x="446"/>
        <item x="447"/>
        <item x="1"/>
        <item x="6"/>
        <item x="8"/>
        <item x="26"/>
        <item x="27"/>
        <item x="38"/>
        <item x="53"/>
        <item x="56"/>
        <item x="57"/>
        <item x="63"/>
        <item x="64"/>
        <item x="68"/>
        <item x="78"/>
        <item x="80"/>
        <item x="85"/>
        <item x="87"/>
        <item x="88"/>
        <item x="102"/>
        <item x="107"/>
        <item x="113"/>
        <item x="115"/>
        <item x="123"/>
        <item x="125"/>
        <item x="126"/>
        <item x="128"/>
        <item x="137"/>
        <item x="138"/>
        <item x="144"/>
        <item x="149"/>
        <item x="151"/>
        <item x="159"/>
        <item x="174"/>
        <item x="186"/>
        <item x="192"/>
        <item x="212"/>
        <item x="221"/>
        <item x="233"/>
        <item x="254"/>
        <item x="268"/>
        <item x="269"/>
        <item x="270"/>
        <item x="279"/>
        <item x="296"/>
        <item x="307"/>
        <item x="339"/>
        <item x="367"/>
        <item x="372"/>
        <item x="384"/>
        <item x="419"/>
        <item x="438"/>
        <item x="44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2"/>
        <item x="0"/>
        <item x="1"/>
        <item x="3"/>
        <item x="4"/>
        <item x="6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2"/>
    <field x="3"/>
    <field x="83"/>
  </rowFields>
  <rowItems count="454">
    <i>
      <x/>
      <x/>
      <x v="2"/>
    </i>
    <i>
      <x v="1"/>
      <x v="1"/>
      <x v="1"/>
    </i>
    <i>
      <x v="2"/>
      <x v="2"/>
      <x v="3"/>
    </i>
    <i>
      <x v="3"/>
      <x v="3"/>
      <x v="1"/>
    </i>
    <i>
      <x v="4"/>
      <x v="4"/>
      <x v="1"/>
    </i>
    <i>
      <x v="5"/>
      <x v="5"/>
      <x v="1"/>
    </i>
    <i>
      <x v="6"/>
      <x v="6"/>
      <x v="1"/>
    </i>
    <i>
      <x v="7"/>
      <x v="7"/>
      <x v="1"/>
    </i>
    <i>
      <x v="8"/>
      <x v="8"/>
      <x v="1"/>
    </i>
    <i>
      <x v="9"/>
      <x v="9"/>
      <x v="1"/>
    </i>
    <i>
      <x v="10"/>
      <x v="10"/>
      <x v="1"/>
    </i>
    <i>
      <x v="11"/>
      <x v="11"/>
      <x v="1"/>
    </i>
    <i>
      <x v="12"/>
      <x v="12"/>
      <x v="1"/>
    </i>
    <i>
      <x v="13"/>
      <x v="13"/>
      <x v="1"/>
    </i>
    <i>
      <x v="14"/>
      <x v="14"/>
      <x v="1"/>
    </i>
    <i>
      <x v="15"/>
      <x v="15"/>
      <x v="1"/>
    </i>
    <i>
      <x v="16"/>
      <x v="16"/>
      <x v="1"/>
    </i>
    <i>
      <x v="17"/>
      <x v="17"/>
      <x v="1"/>
    </i>
    <i>
      <x v="18"/>
      <x v="18"/>
      <x v="1"/>
    </i>
    <i>
      <x v="19"/>
      <x v="19"/>
      <x v="1"/>
    </i>
    <i>
      <x v="20"/>
      <x v="20"/>
      <x v="1"/>
    </i>
    <i>
      <x v="21"/>
      <x v="21"/>
      <x v="1"/>
    </i>
    <i>
      <x v="22"/>
      <x v="22"/>
      <x v="1"/>
    </i>
    <i>
      <x v="23"/>
      <x v="23"/>
      <x v="1"/>
    </i>
    <i>
      <x v="24"/>
      <x v="24"/>
      <x v="1"/>
    </i>
    <i>
      <x v="25"/>
      <x v="25"/>
      <x v="1"/>
    </i>
    <i>
      <x v="26"/>
      <x v="26"/>
      <x v="1"/>
    </i>
    <i>
      <x v="27"/>
      <x v="27"/>
      <x v="1"/>
    </i>
    <i>
      <x v="28"/>
      <x v="28"/>
      <x v="1"/>
    </i>
    <i>
      <x v="29"/>
      <x v="29"/>
      <x v="1"/>
    </i>
    <i>
      <x v="30"/>
      <x v="30"/>
      <x v="2"/>
    </i>
    <i>
      <x v="31"/>
      <x v="31"/>
      <x v="1"/>
    </i>
    <i>
      <x v="32"/>
      <x v="32"/>
      <x v="1"/>
    </i>
    <i>
      <x v="33"/>
      <x v="33"/>
      <x v="1"/>
    </i>
    <i>
      <x v="34"/>
      <x v="34"/>
      <x v="1"/>
    </i>
    <i>
      <x v="35"/>
      <x v="35"/>
      <x v="1"/>
    </i>
    <i>
      <x v="36"/>
      <x v="36"/>
      <x v="1"/>
    </i>
    <i>
      <x v="37"/>
      <x v="37"/>
      <x v="2"/>
    </i>
    <i>
      <x v="38"/>
      <x v="38"/>
      <x v="2"/>
    </i>
    <i r="1">
      <x v="103"/>
      <x v="2"/>
    </i>
    <i>
      <x v="39"/>
      <x v="39"/>
      <x v="2"/>
    </i>
    <i>
      <x v="40"/>
      <x v="40"/>
      <x v="1"/>
    </i>
    <i>
      <x v="41"/>
      <x v="41"/>
      <x v="1"/>
    </i>
    <i>
      <x v="42"/>
      <x v="42"/>
      <x v="1"/>
    </i>
    <i>
      <x v="43"/>
      <x v="43"/>
      <x v="1"/>
    </i>
    <i>
      <x v="44"/>
      <x v="44"/>
      <x v="1"/>
    </i>
    <i>
      <x v="45"/>
      <x v="45"/>
      <x v="1"/>
    </i>
    <i>
      <x v="46"/>
      <x v="46"/>
      <x v="1"/>
    </i>
    <i>
      <x v="47"/>
      <x v="47"/>
      <x v="2"/>
    </i>
    <i>
      <x v="48"/>
      <x v="48"/>
      <x v="2"/>
    </i>
    <i>
      <x v="49"/>
      <x v="49"/>
      <x v="1"/>
    </i>
    <i>
      <x v="50"/>
      <x v="50"/>
      <x v="1"/>
    </i>
    <i>
      <x v="51"/>
      <x v="51"/>
      <x v="1"/>
    </i>
    <i>
      <x v="52"/>
      <x v="52"/>
      <x v="1"/>
    </i>
    <i>
      <x v="53"/>
      <x v="53"/>
      <x v="1"/>
    </i>
    <i>
      <x v="54"/>
      <x v="54"/>
      <x v="1"/>
    </i>
    <i>
      <x v="55"/>
      <x v="55"/>
      <x v="2"/>
    </i>
    <i>
      <x v="56"/>
      <x v="56"/>
      <x v="1"/>
    </i>
    <i>
      <x v="57"/>
      <x v="57"/>
      <x v="1"/>
    </i>
    <i>
      <x v="58"/>
      <x v="58"/>
      <x v="1"/>
    </i>
    <i>
      <x v="59"/>
      <x v="59"/>
      <x v="1"/>
    </i>
    <i>
      <x v="60"/>
      <x v="60"/>
      <x v="1"/>
    </i>
    <i>
      <x v="61"/>
      <x v="61"/>
      <x v="1"/>
    </i>
    <i>
      <x v="62"/>
      <x v="62"/>
      <x v="1"/>
    </i>
    <i>
      <x v="63"/>
      <x v="63"/>
      <x v="1"/>
    </i>
    <i>
      <x v="64"/>
      <x v="64"/>
      <x v="1"/>
    </i>
    <i>
      <x v="65"/>
      <x v="65"/>
      <x v="1"/>
    </i>
    <i>
      <x v="66"/>
      <x v="66"/>
      <x v="1"/>
    </i>
    <i>
      <x v="67"/>
      <x v="67"/>
      <x v="1"/>
    </i>
    <i>
      <x v="68"/>
      <x v="68"/>
      <x v="1"/>
    </i>
    <i>
      <x v="69"/>
      <x v="69"/>
      <x v="1"/>
    </i>
    <i>
      <x v="70"/>
      <x v="70"/>
      <x v="1"/>
    </i>
    <i>
      <x v="71"/>
      <x v="71"/>
      <x v="1"/>
    </i>
    <i>
      <x v="72"/>
      <x v="72"/>
      <x/>
    </i>
    <i>
      <x v="73"/>
      <x v="73"/>
      <x v="1"/>
    </i>
    <i>
      <x v="74"/>
      <x v="74"/>
      <x v="1"/>
    </i>
    <i>
      <x v="75"/>
      <x v="75"/>
      <x v="1"/>
    </i>
    <i>
      <x v="76"/>
      <x v="76"/>
      <x v="1"/>
    </i>
    <i>
      <x v="77"/>
      <x v="77"/>
      <x v="1"/>
    </i>
    <i>
      <x v="78"/>
      <x v="78"/>
      <x v="1"/>
    </i>
    <i>
      <x v="79"/>
      <x v="79"/>
      <x v="1"/>
    </i>
    <i>
      <x v="80"/>
      <x v="80"/>
      <x v="1"/>
    </i>
    <i>
      <x v="81"/>
      <x v="81"/>
      <x v="1"/>
    </i>
    <i>
      <x v="82"/>
      <x v="82"/>
      <x v="1"/>
    </i>
    <i>
      <x v="83"/>
      <x v="83"/>
      <x v="1"/>
    </i>
    <i>
      <x v="84"/>
      <x v="84"/>
      <x v="1"/>
    </i>
    <i>
      <x v="85"/>
      <x v="85"/>
      <x v="1"/>
    </i>
    <i>
      <x v="86"/>
      <x v="86"/>
      <x v="1"/>
    </i>
    <i>
      <x v="87"/>
      <x v="87"/>
      <x v="1"/>
    </i>
    <i>
      <x v="88"/>
      <x v="88"/>
      <x v="1"/>
    </i>
    <i>
      <x v="89"/>
      <x v="89"/>
      <x v="2"/>
    </i>
    <i>
      <x v="90"/>
      <x v="90"/>
      <x v="4"/>
    </i>
    <i>
      <x v="91"/>
      <x v="91"/>
      <x v="1"/>
    </i>
    <i>
      <x v="92"/>
      <x v="92"/>
      <x v="2"/>
    </i>
    <i>
      <x v="93"/>
      <x v="93"/>
      <x v="1"/>
    </i>
    <i>
      <x v="94"/>
      <x v="94"/>
      <x v="2"/>
    </i>
    <i>
      <x v="95"/>
      <x v="95"/>
      <x v="1"/>
    </i>
    <i>
      <x v="96"/>
      <x v="96"/>
      <x v="1"/>
    </i>
    <i>
      <x v="97"/>
      <x v="97"/>
      <x v="4"/>
    </i>
    <i>
      <x v="98"/>
      <x v="98"/>
      <x v="1"/>
    </i>
    <i>
      <x v="99"/>
      <x v="99"/>
      <x v="1"/>
    </i>
    <i>
      <x v="100"/>
      <x v="100"/>
      <x v="1"/>
    </i>
    <i>
      <x v="101"/>
      <x v="101"/>
      <x v="1"/>
    </i>
    <i>
      <x v="102"/>
      <x v="102"/>
      <x v="4"/>
    </i>
    <i>
      <x v="103"/>
      <x v="104"/>
      <x v="2"/>
    </i>
    <i>
      <x v="104"/>
      <x v="105"/>
      <x v="1"/>
    </i>
    <i>
      <x v="105"/>
      <x v="106"/>
      <x v="1"/>
    </i>
    <i>
      <x v="106"/>
      <x v="107"/>
      <x v="1"/>
    </i>
    <i>
      <x v="107"/>
      <x v="108"/>
      <x v="2"/>
    </i>
    <i>
      <x v="108"/>
      <x v="109"/>
      <x v="2"/>
    </i>
    <i>
      <x v="109"/>
      <x v="110"/>
      <x v="2"/>
    </i>
    <i>
      <x v="110"/>
      <x v="111"/>
      <x v="1"/>
    </i>
    <i>
      <x v="111"/>
      <x v="112"/>
      <x v="1"/>
    </i>
    <i>
      <x v="112"/>
      <x v="113"/>
      <x v="1"/>
    </i>
    <i>
      <x v="113"/>
      <x v="114"/>
      <x v="2"/>
    </i>
    <i>
      <x v="114"/>
      <x v="115"/>
      <x v="1"/>
    </i>
    <i>
      <x v="115"/>
      <x v="116"/>
      <x v="2"/>
    </i>
    <i>
      <x v="116"/>
      <x v="129"/>
      <x v="2"/>
    </i>
    <i>
      <x v="117"/>
      <x v="117"/>
      <x v="2"/>
    </i>
    <i>
      <x v="118"/>
      <x v="118"/>
      <x v="2"/>
    </i>
    <i>
      <x v="119"/>
      <x v="119"/>
      <x v="2"/>
    </i>
    <i>
      <x v="120"/>
      <x v="120"/>
      <x v="2"/>
    </i>
    <i>
      <x v="121"/>
      <x v="121"/>
      <x v="2"/>
    </i>
    <i>
      <x v="122"/>
      <x v="122"/>
      <x v="2"/>
    </i>
    <i>
      <x v="123"/>
      <x v="123"/>
      <x v="1"/>
    </i>
    <i>
      <x v="124"/>
      <x v="124"/>
      <x v="2"/>
    </i>
    <i>
      <x v="125"/>
      <x v="125"/>
      <x v="2"/>
    </i>
    <i>
      <x v="126"/>
      <x v="126"/>
      <x v="2"/>
    </i>
    <i>
      <x v="127"/>
      <x v="127"/>
      <x v="2"/>
    </i>
    <i>
      <x v="128"/>
      <x v="128"/>
      <x v="1"/>
    </i>
    <i>
      <x v="129"/>
      <x v="130"/>
      <x v="2"/>
    </i>
    <i>
      <x v="130"/>
      <x v="131"/>
      <x v="2"/>
    </i>
    <i>
      <x v="131"/>
      <x v="132"/>
      <x v="2"/>
    </i>
    <i>
      <x v="132"/>
      <x v="133"/>
      <x v="2"/>
    </i>
    <i>
      <x v="133"/>
      <x v="134"/>
      <x v="2"/>
    </i>
    <i>
      <x v="134"/>
      <x v="135"/>
      <x v="2"/>
    </i>
    <i>
      <x v="135"/>
      <x v="136"/>
      <x v="2"/>
    </i>
    <i>
      <x v="136"/>
      <x v="137"/>
      <x v="2"/>
    </i>
    <i r="1">
      <x v="150"/>
      <x v="2"/>
    </i>
    <i>
      <x v="137"/>
      <x v="138"/>
      <x v="2"/>
    </i>
    <i>
      <x v="138"/>
      <x v="139"/>
      <x v="2"/>
    </i>
    <i>
      <x v="139"/>
      <x v="140"/>
      <x v="2"/>
    </i>
    <i>
      <x v="140"/>
      <x v="141"/>
      <x v="2"/>
    </i>
    <i>
      <x v="141"/>
      <x v="142"/>
      <x v="2"/>
    </i>
    <i>
      <x v="142"/>
      <x v="143"/>
      <x v="2"/>
    </i>
    <i>
      <x v="143"/>
      <x v="144"/>
      <x v="2"/>
    </i>
    <i>
      <x v="144"/>
      <x v="145"/>
      <x v="2"/>
    </i>
    <i>
      <x v="145"/>
      <x v="146"/>
      <x v="2"/>
    </i>
    <i>
      <x v="146"/>
      <x v="147"/>
      <x v="2"/>
    </i>
    <i>
      <x v="147"/>
      <x v="148"/>
      <x v="2"/>
    </i>
    <i>
      <x v="148"/>
      <x v="149"/>
      <x v="1"/>
    </i>
    <i>
      <x v="149"/>
      <x v="151"/>
      <x v="2"/>
    </i>
    <i>
      <x v="150"/>
      <x v="152"/>
      <x v="2"/>
    </i>
    <i>
      <x v="151"/>
      <x v="153"/>
      <x v="2"/>
    </i>
    <i>
      <x v="152"/>
      <x v="154"/>
      <x v="2"/>
    </i>
    <i>
      <x v="153"/>
      <x v="155"/>
      <x v="1"/>
    </i>
    <i>
      <x v="154"/>
      <x v="156"/>
      <x v="5"/>
    </i>
    <i>
      <x v="155"/>
      <x v="157"/>
      <x v="2"/>
    </i>
    <i>
      <x v="156"/>
      <x v="158"/>
      <x v="2"/>
    </i>
    <i>
      <x v="157"/>
      <x v="159"/>
      <x v="2"/>
    </i>
    <i>
      <x v="158"/>
      <x v="190"/>
      <x v="2"/>
    </i>
    <i>
      <x v="159"/>
      <x v="160"/>
      <x v="2"/>
    </i>
    <i>
      <x v="160"/>
      <x v="161"/>
      <x v="2"/>
    </i>
    <i>
      <x v="161"/>
      <x v="162"/>
      <x v="2"/>
    </i>
    <i>
      <x v="162"/>
      <x v="163"/>
      <x v="2"/>
    </i>
    <i>
      <x v="163"/>
      <x v="164"/>
      <x v="2"/>
    </i>
    <i>
      <x v="164"/>
      <x v="165"/>
      <x v="2"/>
    </i>
    <i>
      <x v="165"/>
      <x v="166"/>
      <x v="1"/>
    </i>
    <i>
      <x v="166"/>
      <x v="167"/>
      <x v="1"/>
    </i>
    <i>
      <x v="167"/>
      <x v="168"/>
      <x v="2"/>
    </i>
    <i>
      <x v="168"/>
      <x v="169"/>
      <x v="2"/>
    </i>
    <i>
      <x v="169"/>
      <x v="170"/>
      <x v="1"/>
    </i>
    <i>
      <x v="170"/>
      <x v="171"/>
      <x v="1"/>
    </i>
    <i>
      <x v="171"/>
      <x v="172"/>
      <x v="1"/>
    </i>
    <i>
      <x v="172"/>
      <x v="173"/>
      <x v="1"/>
    </i>
    <i>
      <x v="173"/>
      <x v="174"/>
      <x v="2"/>
    </i>
    <i>
      <x v="174"/>
      <x v="175"/>
      <x v="2"/>
    </i>
    <i>
      <x v="175"/>
      <x v="176"/>
      <x v="2"/>
    </i>
    <i>
      <x v="176"/>
      <x v="177"/>
      <x v="2"/>
    </i>
    <i>
      <x v="177"/>
      <x v="178"/>
      <x v="2"/>
    </i>
    <i>
      <x v="178"/>
      <x v="179"/>
      <x v="1"/>
    </i>
    <i>
      <x v="179"/>
      <x v="180"/>
      <x v="2"/>
    </i>
    <i>
      <x v="180"/>
      <x v="181"/>
      <x v="1"/>
    </i>
    <i>
      <x v="181"/>
      <x v="182"/>
      <x v="2"/>
    </i>
    <i>
      <x v="182"/>
      <x v="183"/>
      <x v="2"/>
    </i>
    <i>
      <x v="183"/>
      <x v="184"/>
      <x v="2"/>
    </i>
    <i>
      <x v="184"/>
      <x v="185"/>
      <x v="2"/>
    </i>
    <i>
      <x v="185"/>
      <x v="186"/>
      <x v="2"/>
    </i>
    <i>
      <x v="186"/>
      <x v="187"/>
      <x v="1"/>
    </i>
    <i>
      <x v="187"/>
      <x v="188"/>
      <x v="1"/>
    </i>
    <i>
      <x v="188"/>
      <x v="189"/>
      <x v="1"/>
    </i>
    <i>
      <x v="189"/>
      <x v="191"/>
      <x v="1"/>
    </i>
    <i>
      <x v="190"/>
      <x v="192"/>
      <x v="1"/>
    </i>
    <i r="1">
      <x v="202"/>
      <x v="1"/>
    </i>
    <i>
      <x v="191"/>
      <x v="193"/>
      <x v="1"/>
    </i>
    <i>
      <x v="192"/>
      <x v="194"/>
      <x v="1"/>
    </i>
    <i>
      <x v="193"/>
      <x v="195"/>
      <x v="1"/>
    </i>
    <i>
      <x v="194"/>
      <x v="196"/>
      <x v="2"/>
    </i>
    <i>
      <x v="195"/>
      <x v="197"/>
      <x v="1"/>
    </i>
    <i>
      <x v="196"/>
      <x v="203"/>
      <x v="1"/>
    </i>
    <i r="1">
      <x v="382"/>
      <x v="1"/>
    </i>
    <i>
      <x v="197"/>
      <x v="198"/>
      <x v="2"/>
    </i>
    <i>
      <x v="198"/>
      <x v="199"/>
      <x/>
    </i>
    <i>
      <x v="199"/>
      <x v="200"/>
      <x v="1"/>
    </i>
    <i>
      <x v="200"/>
      <x v="201"/>
      <x v="1"/>
    </i>
    <i>
      <x v="201"/>
      <x v="204"/>
      <x v="1"/>
    </i>
    <i>
      <x v="202"/>
      <x v="205"/>
      <x v="1"/>
    </i>
    <i>
      <x v="203"/>
      <x v="245"/>
      <x v="1"/>
    </i>
    <i>
      <x v="204"/>
      <x v="206"/>
      <x v="2"/>
    </i>
    <i>
      <x v="205"/>
      <x v="207"/>
      <x v="1"/>
    </i>
    <i>
      <x v="206"/>
      <x v="208"/>
      <x v="1"/>
    </i>
    <i>
      <x v="207"/>
      <x v="209"/>
      <x v="1"/>
    </i>
    <i>
      <x v="208"/>
      <x v="210"/>
      <x v="1"/>
    </i>
    <i>
      <x v="209"/>
      <x v="211"/>
      <x v="1"/>
    </i>
    <i>
      <x v="210"/>
      <x v="212"/>
      <x v="1"/>
    </i>
    <i>
      <x v="211"/>
      <x v="213"/>
      <x v="1"/>
    </i>
    <i r="1">
      <x v="246"/>
      <x v="1"/>
    </i>
    <i>
      <x v="212"/>
      <x v="214"/>
      <x v="1"/>
    </i>
    <i>
      <x v="213"/>
      <x v="215"/>
      <x v="1"/>
    </i>
    <i>
      <x v="214"/>
      <x v="216"/>
      <x v="1"/>
    </i>
    <i>
      <x v="215"/>
      <x v="217"/>
      <x v="1"/>
    </i>
    <i>
      <x v="216"/>
      <x v="218"/>
      <x v="1"/>
    </i>
    <i>
      <x v="217"/>
      <x v="219"/>
      <x v="1"/>
    </i>
    <i>
      <x v="218"/>
      <x v="220"/>
      <x v="1"/>
    </i>
    <i>
      <x v="219"/>
      <x v="221"/>
      <x v="1"/>
    </i>
    <i>
      <x v="220"/>
      <x v="222"/>
      <x v="1"/>
    </i>
    <i>
      <x v="221"/>
      <x v="223"/>
      <x v="3"/>
    </i>
    <i>
      <x v="222"/>
      <x v="224"/>
      <x v="1"/>
    </i>
    <i>
      <x v="223"/>
      <x v="225"/>
      <x v="1"/>
    </i>
    <i>
      <x v="224"/>
      <x v="226"/>
      <x v="1"/>
    </i>
    <i>
      <x v="225"/>
      <x v="227"/>
      <x v="1"/>
    </i>
    <i>
      <x v="226"/>
      <x v="228"/>
      <x v="4"/>
    </i>
    <i>
      <x v="227"/>
      <x v="229"/>
      <x v="1"/>
    </i>
    <i>
      <x v="228"/>
      <x v="230"/>
      <x v="2"/>
    </i>
    <i>
      <x v="229"/>
      <x v="231"/>
      <x v="1"/>
    </i>
    <i>
      <x v="230"/>
      <x v="232"/>
      <x/>
    </i>
    <i>
      <x v="231"/>
      <x v="233"/>
      <x v="1"/>
    </i>
    <i>
      <x v="232"/>
      <x v="234"/>
      <x v="1"/>
    </i>
    <i>
      <x v="233"/>
      <x v="235"/>
      <x v="1"/>
    </i>
    <i>
      <x v="234"/>
      <x v="236"/>
      <x v="1"/>
    </i>
    <i>
      <x v="235"/>
      <x v="237"/>
      <x v="1"/>
    </i>
    <i>
      <x v="236"/>
      <x v="238"/>
      <x v="2"/>
    </i>
    <i>
      <x v="237"/>
      <x v="239"/>
      <x v="2"/>
    </i>
    <i>
      <x v="238"/>
      <x v="240"/>
      <x v="1"/>
    </i>
    <i>
      <x v="239"/>
      <x v="241"/>
      <x/>
    </i>
    <i>
      <x v="240"/>
      <x v="242"/>
      <x v="2"/>
    </i>
    <i>
      <x v="241"/>
      <x v="243"/>
      <x v="1"/>
    </i>
    <i>
      <x v="242"/>
      <x v="244"/>
      <x v="4"/>
    </i>
    <i>
      <x v="243"/>
      <x v="247"/>
      <x v="1"/>
    </i>
    <i>
      <x v="244"/>
      <x v="248"/>
      <x v="1"/>
    </i>
    <i>
      <x v="245"/>
      <x v="249"/>
      <x v="1"/>
    </i>
    <i>
      <x v="246"/>
      <x v="250"/>
      <x v="1"/>
    </i>
    <i>
      <x v="247"/>
      <x v="251"/>
      <x v="1"/>
    </i>
    <i>
      <x v="248"/>
      <x v="252"/>
      <x v="1"/>
    </i>
    <i>
      <x v="249"/>
      <x v="253"/>
      <x v="1"/>
    </i>
    <i>
      <x v="250"/>
      <x v="254"/>
      <x v="2"/>
    </i>
    <i>
      <x v="251"/>
      <x v="255"/>
      <x v="1"/>
    </i>
    <i>
      <x v="252"/>
      <x v="256"/>
      <x v="2"/>
    </i>
    <i>
      <x v="253"/>
      <x v="257"/>
      <x v="1"/>
    </i>
    <i>
      <x v="254"/>
      <x v="258"/>
      <x v="1"/>
    </i>
    <i>
      <x v="255"/>
      <x v="259"/>
      <x v="1"/>
    </i>
    <i>
      <x v="256"/>
      <x v="260"/>
      <x v="1"/>
    </i>
    <i>
      <x v="257"/>
      <x v="261"/>
      <x v="1"/>
    </i>
    <i>
      <x v="258"/>
      <x v="262"/>
      <x v="2"/>
    </i>
    <i>
      <x v="259"/>
      <x v="263"/>
      <x v="2"/>
    </i>
    <i>
      <x v="260"/>
      <x v="264"/>
      <x v="2"/>
    </i>
    <i>
      <x v="261"/>
      <x v="265"/>
      <x v="1"/>
    </i>
    <i>
      <x v="262"/>
      <x v="266"/>
      <x v="1"/>
    </i>
    <i>
      <x v="263"/>
      <x v="267"/>
      <x v="2"/>
    </i>
    <i>
      <x v="264"/>
      <x v="268"/>
      <x v="1"/>
    </i>
    <i>
      <x v="265"/>
      <x v="269"/>
      <x v="1"/>
    </i>
    <i>
      <x v="266"/>
      <x v="270"/>
      <x v="2"/>
    </i>
    <i>
      <x v="267"/>
      <x v="271"/>
      <x v="1"/>
    </i>
    <i>
      <x v="268"/>
      <x v="272"/>
      <x v="1"/>
    </i>
    <i>
      <x v="269"/>
      <x v="273"/>
      <x v="1"/>
    </i>
    <i>
      <x v="270"/>
      <x v="274"/>
      <x v="1"/>
    </i>
    <i>
      <x v="271"/>
      <x v="275"/>
      <x v="1"/>
    </i>
    <i>
      <x v="272"/>
      <x v="276"/>
      <x v="1"/>
    </i>
    <i>
      <x v="273"/>
      <x v="277"/>
      <x v="1"/>
    </i>
    <i>
      <x v="274"/>
      <x v="278"/>
      <x v="1"/>
    </i>
    <i>
      <x v="275"/>
      <x v="279"/>
      <x v="1"/>
    </i>
    <i>
      <x v="276"/>
      <x v="280"/>
      <x v="1"/>
    </i>
    <i r="1">
      <x v="282"/>
      <x v="1"/>
    </i>
    <i>
      <x v="277"/>
      <x v="281"/>
      <x v="1"/>
    </i>
    <i>
      <x v="278"/>
      <x v="283"/>
      <x v="2"/>
    </i>
    <i>
      <x v="279"/>
      <x v="284"/>
      <x/>
    </i>
    <i>
      <x v="280"/>
      <x v="285"/>
      <x v="1"/>
    </i>
    <i>
      <x v="281"/>
      <x v="286"/>
      <x v="1"/>
    </i>
    <i>
      <x v="282"/>
      <x v="287"/>
      <x v="1"/>
    </i>
    <i>
      <x v="283"/>
      <x v="288"/>
      <x v="1"/>
    </i>
    <i>
      <x v="284"/>
      <x v="289"/>
      <x v="1"/>
    </i>
    <i>
      <x v="285"/>
      <x v="290"/>
      <x v="2"/>
    </i>
    <i>
      <x v="286"/>
      <x v="291"/>
      <x v="1"/>
    </i>
    <i>
      <x v="287"/>
      <x v="292"/>
      <x v="1"/>
    </i>
    <i>
      <x v="288"/>
      <x v="293"/>
      <x v="1"/>
    </i>
    <i>
      <x v="289"/>
      <x v="294"/>
      <x v="1"/>
    </i>
    <i>
      <x v="290"/>
      <x v="295"/>
      <x v="1"/>
    </i>
    <i r="2">
      <x v="2"/>
    </i>
    <i r="1">
      <x v="328"/>
      <x v="1"/>
    </i>
    <i r="2">
      <x v="2"/>
    </i>
    <i>
      <x v="291"/>
      <x v="296"/>
      <x v="1"/>
    </i>
    <i>
      <x v="292"/>
      <x v="297"/>
      <x v="2"/>
    </i>
    <i>
      <x v="293"/>
      <x v="298"/>
      <x v="2"/>
    </i>
    <i>
      <x v="294"/>
      <x v="299"/>
      <x v="1"/>
    </i>
    <i>
      <x v="295"/>
      <x v="300"/>
      <x v="2"/>
    </i>
    <i>
      <x v="296"/>
      <x v="301"/>
      <x v="1"/>
    </i>
    <i>
      <x v="297"/>
      <x v="302"/>
      <x v="1"/>
    </i>
    <i>
      <x v="298"/>
      <x v="303"/>
      <x v="1"/>
    </i>
    <i>
      <x v="299"/>
      <x v="304"/>
      <x v="1"/>
    </i>
    <i>
      <x v="300"/>
      <x v="305"/>
      <x v="1"/>
    </i>
    <i>
      <x v="301"/>
      <x v="306"/>
      <x v="1"/>
    </i>
    <i>
      <x v="302"/>
      <x v="307"/>
      <x v="2"/>
    </i>
    <i>
      <x v="303"/>
      <x v="308"/>
      <x v="1"/>
    </i>
    <i>
      <x v="304"/>
      <x v="309"/>
      <x v="1"/>
    </i>
    <i>
      <x v="305"/>
      <x v="310"/>
      <x v="1"/>
    </i>
    <i>
      <x v="306"/>
      <x v="311"/>
      <x v="1"/>
    </i>
    <i>
      <x v="307"/>
      <x v="312"/>
      <x v="1"/>
    </i>
    <i>
      <x v="308"/>
      <x v="313"/>
      <x v="1"/>
    </i>
    <i>
      <x v="309"/>
      <x v="314"/>
      <x v="1"/>
    </i>
    <i>
      <x v="310"/>
      <x v="315"/>
      <x v="1"/>
    </i>
    <i>
      <x v="311"/>
      <x v="316"/>
      <x v="1"/>
    </i>
    <i>
      <x v="312"/>
      <x v="317"/>
      <x v="1"/>
    </i>
    <i>
      <x v="313"/>
      <x v="329"/>
      <x v="1"/>
    </i>
    <i>
      <x v="314"/>
      <x v="318"/>
      <x v="1"/>
    </i>
    <i>
      <x v="315"/>
      <x v="319"/>
      <x v="1"/>
    </i>
    <i>
      <x v="316"/>
      <x v="320"/>
      <x v="1"/>
    </i>
    <i>
      <x v="317"/>
      <x v="321"/>
      <x v="1"/>
    </i>
    <i>
      <x v="318"/>
      <x v="322"/>
      <x v="1"/>
    </i>
    <i>
      <x v="319"/>
      <x v="323"/>
      <x v="1"/>
    </i>
    <i>
      <x v="320"/>
      <x v="324"/>
      <x v="1"/>
    </i>
    <i>
      <x v="321"/>
      <x v="325"/>
      <x v="1"/>
    </i>
    <i>
      <x v="322"/>
      <x v="326"/>
      <x v="1"/>
    </i>
    <i>
      <x v="323"/>
      <x v="327"/>
      <x v="1"/>
    </i>
    <i>
      <x v="324"/>
      <x v="330"/>
      <x v="1"/>
    </i>
    <i>
      <x v="325"/>
      <x v="331"/>
      <x v="1"/>
    </i>
    <i>
      <x v="326"/>
      <x v="332"/>
      <x v="1"/>
    </i>
    <i>
      <x v="327"/>
      <x v="333"/>
      <x v="1"/>
    </i>
    <i>
      <x v="328"/>
      <x v="334"/>
      <x v="1"/>
    </i>
    <i>
      <x v="329"/>
      <x v="335"/>
      <x v="1"/>
    </i>
    <i>
      <x v="330"/>
      <x v="336"/>
      <x v="1"/>
    </i>
    <i>
      <x v="331"/>
      <x v="337"/>
      <x v="1"/>
    </i>
    <i>
      <x v="332"/>
      <x v="338"/>
      <x v="1"/>
    </i>
    <i>
      <x v="333"/>
      <x v="339"/>
      <x v="1"/>
    </i>
    <i>
      <x v="334"/>
      <x v="340"/>
      <x v="1"/>
    </i>
    <i>
      <x v="335"/>
      <x v="341"/>
      <x v="1"/>
    </i>
    <i>
      <x v="336"/>
      <x v="342"/>
      <x v="1"/>
    </i>
    <i>
      <x v="337"/>
      <x v="343"/>
      <x v="1"/>
    </i>
    <i>
      <x v="338"/>
      <x v="344"/>
      <x v="1"/>
    </i>
    <i>
      <x v="339"/>
      <x v="345"/>
      <x v="1"/>
    </i>
    <i>
      <x v="340"/>
      <x v="346"/>
      <x v="1"/>
    </i>
    <i>
      <x v="341"/>
      <x v="347"/>
      <x v="1"/>
    </i>
    <i>
      <x v="342"/>
      <x v="348"/>
      <x v="1"/>
    </i>
    <i>
      <x v="343"/>
      <x v="349"/>
      <x v="1"/>
    </i>
    <i>
      <x v="344"/>
      <x v="350"/>
      <x v="2"/>
    </i>
    <i>
      <x v="345"/>
      <x v="351"/>
      <x v="1"/>
    </i>
    <i>
      <x v="346"/>
      <x v="352"/>
      <x v="1"/>
    </i>
    <i>
      <x v="347"/>
      <x v="353"/>
      <x v="1"/>
    </i>
    <i>
      <x v="348"/>
      <x v="354"/>
      <x v="1"/>
    </i>
    <i>
      <x v="349"/>
      <x v="355"/>
      <x v="1"/>
    </i>
    <i>
      <x v="350"/>
      <x v="356"/>
      <x v="1"/>
    </i>
    <i>
      <x v="351"/>
      <x v="357"/>
      <x v="2"/>
    </i>
    <i>
      <x v="352"/>
      <x v="358"/>
      <x v="1"/>
    </i>
    <i>
      <x v="353"/>
      <x v="359"/>
      <x v="1"/>
    </i>
    <i r="1">
      <x v="397"/>
      <x v="1"/>
    </i>
    <i>
      <x v="354"/>
      <x v="360"/>
      <x v="1"/>
    </i>
    <i>
      <x v="355"/>
      <x v="361"/>
      <x v="2"/>
    </i>
    <i>
      <x v="356"/>
      <x v="362"/>
      <x v="1"/>
    </i>
    <i>
      <x v="357"/>
      <x v="363"/>
      <x v="2"/>
    </i>
    <i>
      <x v="358"/>
      <x v="364"/>
      <x v="2"/>
    </i>
    <i>
      <x v="359"/>
      <x v="365"/>
      <x v="1"/>
    </i>
    <i>
      <x v="360"/>
      <x v="366"/>
      <x v="1"/>
    </i>
    <i>
      <x v="361"/>
      <x v="367"/>
      <x v="1"/>
    </i>
    <i>
      <x v="362"/>
      <x v="368"/>
      <x v="2"/>
    </i>
    <i r="1">
      <x v="398"/>
      <x v="2"/>
    </i>
    <i>
      <x v="363"/>
      <x v="369"/>
      <x v="2"/>
    </i>
    <i>
      <x v="364"/>
      <x v="370"/>
      <x v="2"/>
    </i>
    <i r="1">
      <x v="399"/>
      <x v="2"/>
    </i>
    <i>
      <x v="365"/>
      <x v="371"/>
      <x v="2"/>
    </i>
    <i>
      <x v="366"/>
      <x v="372"/>
      <x v="2"/>
    </i>
    <i>
      <x v="367"/>
      <x v="373"/>
      <x v="2"/>
    </i>
    <i>
      <x v="368"/>
      <x v="374"/>
      <x v="2"/>
    </i>
    <i>
      <x v="369"/>
      <x v="375"/>
      <x v="2"/>
    </i>
    <i>
      <x v="370"/>
      <x v="376"/>
      <x v="2"/>
    </i>
    <i>
      <x v="371"/>
      <x v="377"/>
      <x v="1"/>
    </i>
    <i>
      <x v="372"/>
      <x v="378"/>
      <x v="2"/>
    </i>
    <i>
      <x v="373"/>
      <x v="379"/>
      <x v="2"/>
    </i>
    <i>
      <x v="374"/>
      <x v="380"/>
      <x v="2"/>
    </i>
    <i>
      <x v="375"/>
      <x v="381"/>
      <x v="1"/>
    </i>
    <i>
      <x v="376"/>
      <x v="383"/>
      <x v="2"/>
    </i>
    <i>
      <x v="377"/>
      <x v="384"/>
      <x v="1"/>
    </i>
    <i>
      <x v="378"/>
      <x v="385"/>
      <x v="2"/>
    </i>
    <i>
      <x v="379"/>
      <x v="386"/>
      <x v="2"/>
    </i>
    <i>
      <x v="380"/>
      <x v="387"/>
      <x v="2"/>
    </i>
    <i>
      <x v="381"/>
      <x v="388"/>
      <x v="2"/>
    </i>
    <i>
      <x v="382"/>
      <x v="389"/>
      <x v="1"/>
    </i>
    <i>
      <x v="383"/>
      <x v="390"/>
      <x v="1"/>
    </i>
    <i>
      <x v="384"/>
      <x v="391"/>
      <x v="1"/>
    </i>
    <i>
      <x v="385"/>
      <x v="392"/>
      <x v="1"/>
    </i>
    <i>
      <x v="386"/>
      <x v="393"/>
      <x v="2"/>
    </i>
    <i>
      <x v="387"/>
      <x v="394"/>
      <x v="2"/>
    </i>
    <i>
      <x v="388"/>
      <x v="395"/>
      <x v="2"/>
    </i>
    <i>
      <x v="389"/>
      <x v="396"/>
      <x v="1"/>
    </i>
    <i>
      <x v="390"/>
      <x v="400"/>
      <x v="1"/>
    </i>
    <i>
      <x v="391"/>
      <x v="401"/>
      <x v="1"/>
    </i>
    <i>
      <x v="392"/>
      <x v="402"/>
      <x v="1"/>
    </i>
    <i>
      <x v="393"/>
      <x v="403"/>
      <x v="1"/>
    </i>
    <i>
      <x v="394"/>
      <x v="404"/>
      <x v="1"/>
    </i>
    <i>
      <x v="395"/>
      <x v="405"/>
      <x v="1"/>
    </i>
    <i>
      <x v="396"/>
      <x v="406"/>
      <x v="1"/>
    </i>
    <i>
      <x v="397"/>
      <x v="407"/>
      <x v="1"/>
    </i>
    <i>
      <x v="398"/>
      <x v="408"/>
      <x v="1"/>
    </i>
    <i>
      <x v="399"/>
      <x v="409"/>
      <x v="1"/>
    </i>
    <i r="1">
      <x v="449"/>
      <x v="1"/>
    </i>
    <i>
      <x v="400"/>
      <x v="410"/>
      <x v="1"/>
    </i>
    <i>
      <x v="401"/>
      <x v="411"/>
      <x v="1"/>
    </i>
    <i>
      <x v="402"/>
      <x v="412"/>
      <x v="1"/>
    </i>
    <i>
      <x v="403"/>
      <x v="413"/>
      <x v="1"/>
    </i>
    <i>
      <x v="404"/>
      <x v="414"/>
      <x v="2"/>
    </i>
    <i>
      <x v="405"/>
      <x v="415"/>
      <x v="1"/>
    </i>
    <i>
      <x v="406"/>
      <x v="416"/>
      <x v="1"/>
    </i>
    <i>
      <x v="407"/>
      <x v="417"/>
      <x v="1"/>
    </i>
    <i>
      <x v="408"/>
      <x v="418"/>
      <x v="2"/>
    </i>
    <i>
      <x v="409"/>
      <x v="419"/>
      <x v="2"/>
    </i>
    <i>
      <x v="410"/>
      <x v="420"/>
      <x v="1"/>
    </i>
    <i>
      <x v="411"/>
      <x v="421"/>
      <x v="1"/>
    </i>
    <i>
      <x v="412"/>
      <x v="422"/>
      <x v="1"/>
    </i>
    <i>
      <x v="413"/>
      <x v="423"/>
      <x v="1"/>
    </i>
    <i>
      <x v="414"/>
      <x v="424"/>
      <x v="1"/>
    </i>
    <i>
      <x v="415"/>
      <x v="425"/>
      <x v="1"/>
    </i>
    <i>
      <x v="416"/>
      <x v="426"/>
      <x v="1"/>
    </i>
    <i>
      <x v="417"/>
      <x v="427"/>
      <x v="2"/>
    </i>
    <i r="1">
      <x v="450"/>
      <x v="2"/>
    </i>
    <i>
      <x v="418"/>
      <x v="428"/>
      <x v="1"/>
    </i>
    <i>
      <x v="419"/>
      <x v="429"/>
      <x v="1"/>
    </i>
    <i>
      <x v="420"/>
      <x v="430"/>
      <x v="1"/>
    </i>
    <i>
      <x v="421"/>
      <x v="431"/>
      <x v="2"/>
    </i>
    <i>
      <x v="422"/>
      <x v="432"/>
      <x v="2"/>
    </i>
    <i>
      <x v="423"/>
      <x v="433"/>
      <x v="2"/>
    </i>
    <i>
      <x v="424"/>
      <x v="434"/>
      <x/>
    </i>
    <i>
      <x v="425"/>
      <x v="435"/>
      <x v="1"/>
    </i>
    <i>
      <x v="426"/>
      <x v="436"/>
      <x v="1"/>
    </i>
    <i>
      <x v="427"/>
      <x v="437"/>
      <x v="2"/>
    </i>
    <i>
      <x v="428"/>
      <x v="438"/>
      <x v="1"/>
    </i>
    <i>
      <x v="429"/>
      <x v="439"/>
      <x v="1"/>
    </i>
    <i>
      <x v="430"/>
      <x v="440"/>
      <x v="1"/>
    </i>
    <i>
      <x v="431"/>
      <x v="441"/>
      <x v="1"/>
    </i>
    <i>
      <x v="432"/>
      <x v="442"/>
      <x v="1"/>
    </i>
    <i>
      <x v="433"/>
      <x v="443"/>
      <x v="1"/>
    </i>
    <i>
      <x v="434"/>
      <x v="444"/>
      <x v="1"/>
    </i>
    <i>
      <x v="435"/>
      <x v="445"/>
      <x v="1"/>
    </i>
    <i>
      <x v="436"/>
      <x v="446"/>
      <x v="6"/>
    </i>
    <i>
      <x v="437"/>
      <x v="447"/>
      <x v="1"/>
    </i>
    <i>
      <x v="438"/>
      <x v="448"/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Valor Cotización SENA" fld="89" baseField="0" baseItem="0" numFmtId="167"/>
  </dataFields>
  <formats count="17">
    <format dxfId="6">
      <pivotArea type="all" dataOnly="0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field="0" type="button" dataOnly="0" labelOnly="1" outline="0" axis="axisCol" fieldPosition="0"/>
    </format>
    <format dxfId="10">
      <pivotArea type="topRight" dataOnly="0" labelOnly="1" outline="0" fieldPosition="0"/>
    </format>
    <format dxfId="11">
      <pivotArea field="2" type="button" dataOnly="0" labelOnly="1" outline="0" axis="axisRow" fieldPosition="0"/>
    </format>
    <format dxfId="12">
      <pivotArea field="3" type="button" dataOnly="0" labelOnly="1" outline="0" axis="axisRow" fieldPosition="1"/>
    </format>
    <format dxfId="13">
      <pivotArea field="83" type="button" dataOnly="0" labelOnly="1" outline="0" axis="axisRow" fieldPosition="2"/>
    </format>
    <format dxfId="14">
      <pivotArea dataOnly="0" labelOnly="1" grandRow="1" outline="0" fieldPosition="0"/>
    </format>
    <format dxfId="15">
      <pivotArea dataOnly="0" labelOnly="1" outline="0" fieldPosition="0">
        <references count="1">
          <reference field="0" count="0"/>
        </references>
      </pivotArea>
    </format>
    <format dxfId="16">
      <pivotArea dataOnly="0" labelOnly="1" grandCol="1" outline="0" fieldPosition="0"/>
    </format>
    <format dxfId="17">
      <pivotArea outline="0" fieldPosition="0">
        <references count="1">
          <reference field="0" count="1" selected="0">
            <x v="1"/>
          </reference>
        </references>
      </pivotArea>
    </format>
    <format dxfId="18">
      <pivotArea outline="0" collapsedLevelsAreSubtotals="1" fieldPosition="0"/>
    </format>
    <format dxfId="19">
      <pivotArea field="0" type="button" dataOnly="0" labelOnly="1" outline="0" axis="axisCol" fieldPosition="0"/>
    </format>
    <format dxfId="20">
      <pivotArea type="topRight" dataOnly="0" labelOnly="1" outline="0" fieldPosition="0"/>
    </format>
    <format dxfId="21">
      <pivotArea dataOnly="0" labelOnly="1" outline="0" fieldPosition="0">
        <references count="1">
          <reference field="0" count="0"/>
        </references>
      </pivotArea>
    </format>
    <format dxfId="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BE63-A979-4D7D-B672-62DB7BEE47B4}">
  <dimension ref="A1:BR127"/>
  <sheetViews>
    <sheetView workbookViewId="0"/>
  </sheetViews>
  <sheetFormatPr defaultColWidth="11.42578125"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3" spans="1:70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25</v>
      </c>
      <c r="H3" t="s">
        <v>31</v>
      </c>
      <c r="I3" t="s">
        <v>25</v>
      </c>
      <c r="J3" t="s">
        <v>25</v>
      </c>
      <c r="K3" t="s">
        <v>25</v>
      </c>
      <c r="L3" t="s">
        <v>25</v>
      </c>
      <c r="M3" t="s">
        <v>32</v>
      </c>
      <c r="N3" t="s">
        <v>32</v>
      </c>
      <c r="O3" s="2" t="s">
        <v>25</v>
      </c>
      <c r="P3" t="s">
        <v>33</v>
      </c>
      <c r="Q3" s="2" t="s">
        <v>25</v>
      </c>
      <c r="R3" s="2">
        <v>0</v>
      </c>
      <c r="S3" t="s">
        <v>34</v>
      </c>
      <c r="T3" t="s">
        <v>34</v>
      </c>
      <c r="U3" t="s">
        <v>35</v>
      </c>
      <c r="V3" t="s">
        <v>36</v>
      </c>
      <c r="W3" t="s">
        <v>32</v>
      </c>
      <c r="X3" t="s">
        <v>37</v>
      </c>
      <c r="Y3" t="s">
        <v>38</v>
      </c>
      <c r="Z3" t="s">
        <v>39</v>
      </c>
      <c r="AA3" t="s">
        <v>40</v>
      </c>
      <c r="AB3" t="s">
        <v>40</v>
      </c>
      <c r="AC3" t="s">
        <v>30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50</v>
      </c>
      <c r="AX3" t="s">
        <v>60</v>
      </c>
      <c r="AY3" t="s">
        <v>61</v>
      </c>
      <c r="AZ3" t="s">
        <v>62</v>
      </c>
      <c r="BA3" t="s">
        <v>63</v>
      </c>
      <c r="BB3" t="s">
        <v>64</v>
      </c>
      <c r="BC3" t="s">
        <v>65</v>
      </c>
      <c r="BD3" t="s">
        <v>66</v>
      </c>
      <c r="BE3" t="s">
        <v>67</v>
      </c>
      <c r="BF3" t="s">
        <v>68</v>
      </c>
      <c r="BG3" t="s">
        <v>69</v>
      </c>
      <c r="BH3" t="s">
        <v>70</v>
      </c>
      <c r="BI3" t="s">
        <v>71</v>
      </c>
      <c r="BJ3" t="s">
        <v>72</v>
      </c>
      <c r="BK3" t="s">
        <v>73</v>
      </c>
      <c r="BL3" t="s">
        <v>40</v>
      </c>
      <c r="BM3" t="s">
        <v>40</v>
      </c>
      <c r="BN3" t="s">
        <v>74</v>
      </c>
      <c r="BO3" t="s">
        <v>75</v>
      </c>
      <c r="BP3" t="s">
        <v>76</v>
      </c>
      <c r="BQ3" t="s">
        <v>74</v>
      </c>
      <c r="BR3" t="s">
        <v>25</v>
      </c>
    </row>
    <row r="4" spans="1:70">
      <c r="A4" s="1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87</v>
      </c>
      <c r="M4" t="s">
        <v>88</v>
      </c>
      <c r="N4" t="s">
        <v>88</v>
      </c>
      <c r="O4" s="2">
        <v>6.0000000000000001E-3</v>
      </c>
      <c r="P4" t="s">
        <v>89</v>
      </c>
      <c r="Q4" s="2">
        <v>5.2199999999999998E-3</v>
      </c>
      <c r="R4" s="2">
        <v>5.2199999999999998E-3</v>
      </c>
      <c r="S4" t="s">
        <v>90</v>
      </c>
      <c r="T4" t="s">
        <v>90</v>
      </c>
      <c r="U4" t="s">
        <v>91</v>
      </c>
      <c r="V4" t="s">
        <v>92</v>
      </c>
      <c r="W4" t="s">
        <v>37</v>
      </c>
      <c r="X4" t="s">
        <v>93</v>
      </c>
      <c r="Y4" t="s">
        <v>94</v>
      </c>
      <c r="Z4" t="s">
        <v>95</v>
      </c>
      <c r="AA4" t="s">
        <v>96</v>
      </c>
      <c r="AB4" t="s">
        <v>97</v>
      </c>
      <c r="AC4" t="s">
        <v>98</v>
      </c>
      <c r="AD4" t="s">
        <v>99</v>
      </c>
      <c r="AE4" t="s">
        <v>100</v>
      </c>
      <c r="AF4" t="s">
        <v>101</v>
      </c>
      <c r="AG4" t="s">
        <v>102</v>
      </c>
      <c r="AH4" t="s">
        <v>103</v>
      </c>
      <c r="AJ4" t="s">
        <v>104</v>
      </c>
      <c r="AK4" t="s">
        <v>105</v>
      </c>
      <c r="AL4" t="s">
        <v>106</v>
      </c>
      <c r="AM4" t="s">
        <v>107</v>
      </c>
      <c r="AN4" t="s">
        <v>108</v>
      </c>
      <c r="AO4" t="s">
        <v>109</v>
      </c>
      <c r="AP4" t="s">
        <v>110</v>
      </c>
      <c r="AQ4" t="s">
        <v>111</v>
      </c>
      <c r="AR4" t="s">
        <v>69</v>
      </c>
      <c r="AS4" t="s">
        <v>62</v>
      </c>
      <c r="AT4" t="s">
        <v>112</v>
      </c>
      <c r="AU4" t="s">
        <v>113</v>
      </c>
      <c r="AV4" t="s">
        <v>114</v>
      </c>
      <c r="AW4" t="s">
        <v>115</v>
      </c>
      <c r="AX4" t="s">
        <v>116</v>
      </c>
      <c r="AY4" t="s">
        <v>117</v>
      </c>
      <c r="AZ4" t="s">
        <v>118</v>
      </c>
      <c r="BA4" t="s">
        <v>119</v>
      </c>
      <c r="BB4" t="s">
        <v>120</v>
      </c>
      <c r="BC4" t="s">
        <v>69</v>
      </c>
      <c r="BD4" t="s">
        <v>121</v>
      </c>
      <c r="BE4" t="s">
        <v>122</v>
      </c>
      <c r="BF4" t="s">
        <v>50</v>
      </c>
      <c r="BG4" t="s">
        <v>123</v>
      </c>
      <c r="BH4" t="s">
        <v>124</v>
      </c>
      <c r="BI4" t="s">
        <v>125</v>
      </c>
      <c r="BJ4" t="s">
        <v>126</v>
      </c>
      <c r="BK4" t="s">
        <v>127</v>
      </c>
      <c r="BL4" t="s">
        <v>96</v>
      </c>
      <c r="BM4" t="s">
        <v>97</v>
      </c>
      <c r="BN4" t="s">
        <v>128</v>
      </c>
      <c r="BO4" t="s">
        <v>129</v>
      </c>
      <c r="BP4" t="s">
        <v>130</v>
      </c>
      <c r="BQ4" t="s">
        <v>128</v>
      </c>
    </row>
    <row r="5" spans="1:70">
      <c r="A5" s="1" t="s">
        <v>131</v>
      </c>
      <c r="B5" t="s">
        <v>132</v>
      </c>
      <c r="C5" t="s">
        <v>133</v>
      </c>
      <c r="D5" t="s">
        <v>134</v>
      </c>
      <c r="E5" t="s">
        <v>135</v>
      </c>
      <c r="F5" t="s">
        <v>136</v>
      </c>
      <c r="G5" t="s">
        <v>137</v>
      </c>
      <c r="H5" t="s">
        <v>138</v>
      </c>
      <c r="I5" t="s">
        <v>139</v>
      </c>
      <c r="J5" t="s">
        <v>140</v>
      </c>
      <c r="K5" t="s">
        <v>141</v>
      </c>
      <c r="N5" t="s">
        <v>142</v>
      </c>
      <c r="O5" s="2">
        <v>0.02</v>
      </c>
      <c r="P5" t="s">
        <v>143</v>
      </c>
      <c r="Q5" s="2">
        <v>1.044E-2</v>
      </c>
      <c r="R5" s="2">
        <v>1.044E-2</v>
      </c>
      <c r="S5" t="s">
        <v>144</v>
      </c>
      <c r="T5" t="s">
        <v>145</v>
      </c>
      <c r="V5" t="s">
        <v>32</v>
      </c>
      <c r="W5" t="s">
        <v>93</v>
      </c>
      <c r="AB5" t="s">
        <v>96</v>
      </c>
      <c r="AC5" t="s">
        <v>146</v>
      </c>
      <c r="AD5" t="s">
        <v>44</v>
      </c>
      <c r="AE5" t="s">
        <v>147</v>
      </c>
      <c r="AF5" t="s">
        <v>148</v>
      </c>
      <c r="AG5" t="s">
        <v>149</v>
      </c>
      <c r="AH5" t="s">
        <v>150</v>
      </c>
      <c r="AJ5" t="s">
        <v>151</v>
      </c>
      <c r="AK5" t="s">
        <v>152</v>
      </c>
      <c r="AL5" t="s">
        <v>153</v>
      </c>
      <c r="AM5" t="s">
        <v>154</v>
      </c>
      <c r="AN5" t="s">
        <v>155</v>
      </c>
      <c r="AO5" t="s">
        <v>121</v>
      </c>
      <c r="AP5" t="s">
        <v>156</v>
      </c>
      <c r="AQ5" t="s">
        <v>157</v>
      </c>
      <c r="AR5" t="s">
        <v>158</v>
      </c>
      <c r="AS5" t="s">
        <v>159</v>
      </c>
      <c r="AT5" t="s">
        <v>160</v>
      </c>
      <c r="AU5" t="s">
        <v>161</v>
      </c>
      <c r="AV5" t="s">
        <v>162</v>
      </c>
      <c r="AW5" t="s">
        <v>163</v>
      </c>
      <c r="AX5" t="s">
        <v>164</v>
      </c>
      <c r="AY5" t="s">
        <v>165</v>
      </c>
      <c r="AZ5" t="s">
        <v>166</v>
      </c>
      <c r="BA5" t="s">
        <v>167</v>
      </c>
      <c r="BB5" t="s">
        <v>168</v>
      </c>
      <c r="BC5" t="s">
        <v>169</v>
      </c>
      <c r="BD5" t="s">
        <v>170</v>
      </c>
      <c r="BF5" t="s">
        <v>171</v>
      </c>
      <c r="BG5" t="s">
        <v>172</v>
      </c>
      <c r="BH5" t="s">
        <v>173</v>
      </c>
      <c r="BI5" t="s">
        <v>174</v>
      </c>
      <c r="BJ5" t="s">
        <v>175</v>
      </c>
      <c r="BK5" t="s">
        <v>176</v>
      </c>
      <c r="BL5" t="s">
        <v>177</v>
      </c>
      <c r="BM5" t="s">
        <v>96</v>
      </c>
      <c r="BN5" t="s">
        <v>32</v>
      </c>
      <c r="BO5" t="s">
        <v>35</v>
      </c>
      <c r="BP5" t="s">
        <v>178</v>
      </c>
    </row>
    <row r="6" spans="1:70">
      <c r="A6" s="1" t="s">
        <v>179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s">
        <v>185</v>
      </c>
      <c r="H6" t="s">
        <v>186</v>
      </c>
      <c r="I6" t="s">
        <v>187</v>
      </c>
      <c r="J6" t="s">
        <v>188</v>
      </c>
      <c r="K6" t="s">
        <v>189</v>
      </c>
      <c r="O6" s="2">
        <v>0.04</v>
      </c>
      <c r="P6" t="s">
        <v>190</v>
      </c>
      <c r="Q6" s="2">
        <v>2.436E-2</v>
      </c>
      <c r="R6" s="2">
        <v>2.436E-2</v>
      </c>
      <c r="S6" t="s">
        <v>191</v>
      </c>
      <c r="T6" t="s">
        <v>144</v>
      </c>
      <c r="AB6" t="s">
        <v>177</v>
      </c>
      <c r="AC6" t="s">
        <v>192</v>
      </c>
      <c r="AD6" t="s">
        <v>193</v>
      </c>
      <c r="AE6" t="s">
        <v>194</v>
      </c>
      <c r="AF6" t="s">
        <v>195</v>
      </c>
      <c r="AG6" t="s">
        <v>196</v>
      </c>
      <c r="AH6" t="s">
        <v>197</v>
      </c>
      <c r="AJ6" t="s">
        <v>198</v>
      </c>
      <c r="AK6" t="s">
        <v>199</v>
      </c>
      <c r="AL6" t="s">
        <v>200</v>
      </c>
      <c r="AM6" t="s">
        <v>201</v>
      </c>
      <c r="AN6" t="s">
        <v>202</v>
      </c>
      <c r="AO6" t="s">
        <v>203</v>
      </c>
      <c r="AP6" t="s">
        <v>204</v>
      </c>
      <c r="AQ6" t="s">
        <v>205</v>
      </c>
      <c r="AR6" t="s">
        <v>206</v>
      </c>
      <c r="AS6" t="s">
        <v>207</v>
      </c>
      <c r="AT6" t="s">
        <v>208</v>
      </c>
      <c r="AU6" t="s">
        <v>209</v>
      </c>
      <c r="AV6" t="s">
        <v>210</v>
      </c>
      <c r="AW6" t="s">
        <v>211</v>
      </c>
      <c r="AX6" t="s">
        <v>212</v>
      </c>
      <c r="AY6" t="s">
        <v>213</v>
      </c>
      <c r="AZ6" t="s">
        <v>214</v>
      </c>
      <c r="BA6" t="s">
        <v>215</v>
      </c>
      <c r="BB6" t="s">
        <v>216</v>
      </c>
      <c r="BC6" t="s">
        <v>217</v>
      </c>
      <c r="BD6" t="s">
        <v>218</v>
      </c>
      <c r="BF6" t="s">
        <v>219</v>
      </c>
      <c r="BG6" t="s">
        <v>220</v>
      </c>
      <c r="BH6" t="s">
        <v>221</v>
      </c>
      <c r="BI6" t="s">
        <v>109</v>
      </c>
      <c r="BJ6" t="s">
        <v>222</v>
      </c>
      <c r="BK6" t="s">
        <v>223</v>
      </c>
      <c r="BL6" t="s">
        <v>32</v>
      </c>
      <c r="BM6" t="s">
        <v>177</v>
      </c>
      <c r="BO6" t="s">
        <v>224</v>
      </c>
      <c r="BP6" t="s">
        <v>225</v>
      </c>
    </row>
    <row r="7" spans="1:70">
      <c r="A7" s="1" t="s">
        <v>226</v>
      </c>
      <c r="B7" t="s">
        <v>227</v>
      </c>
      <c r="C7" t="s">
        <v>228</v>
      </c>
      <c r="D7" t="s">
        <v>229</v>
      </c>
      <c r="E7" t="s">
        <v>230</v>
      </c>
      <c r="F7" t="s">
        <v>231</v>
      </c>
      <c r="G7" t="s">
        <v>232</v>
      </c>
      <c r="H7" t="s">
        <v>233</v>
      </c>
      <c r="I7" t="s">
        <v>234</v>
      </c>
      <c r="J7" t="s">
        <v>235</v>
      </c>
      <c r="K7" t="s">
        <v>236</v>
      </c>
      <c r="P7" t="s">
        <v>237</v>
      </c>
      <c r="Q7" s="2">
        <v>4.3499999999999997E-2</v>
      </c>
      <c r="R7" s="2">
        <v>4.3499999999999997E-2</v>
      </c>
      <c r="S7" t="s">
        <v>238</v>
      </c>
      <c r="T7" t="s">
        <v>191</v>
      </c>
      <c r="AC7" t="s">
        <v>239</v>
      </c>
      <c r="AD7" t="s">
        <v>240</v>
      </c>
      <c r="AE7" t="s">
        <v>241</v>
      </c>
      <c r="AF7" t="s">
        <v>242</v>
      </c>
      <c r="AG7" t="s">
        <v>243</v>
      </c>
      <c r="AH7" t="s">
        <v>244</v>
      </c>
      <c r="AJ7" t="s">
        <v>245</v>
      </c>
      <c r="AK7" t="s">
        <v>246</v>
      </c>
      <c r="AL7" t="s">
        <v>247</v>
      </c>
      <c r="AM7" t="s">
        <v>248</v>
      </c>
      <c r="AN7" t="s">
        <v>249</v>
      </c>
      <c r="AO7" t="s">
        <v>250</v>
      </c>
      <c r="AP7" t="s">
        <v>251</v>
      </c>
      <c r="AQ7" t="s">
        <v>252</v>
      </c>
      <c r="AR7" t="s">
        <v>253</v>
      </c>
      <c r="AS7" t="s">
        <v>254</v>
      </c>
      <c r="AT7" t="s">
        <v>255</v>
      </c>
      <c r="AV7" t="s">
        <v>256</v>
      </c>
      <c r="AW7" t="s">
        <v>257</v>
      </c>
      <c r="AX7" t="s">
        <v>258</v>
      </c>
      <c r="AY7" t="s">
        <v>259</v>
      </c>
      <c r="AZ7" t="s">
        <v>260</v>
      </c>
      <c r="BA7" t="s">
        <v>261</v>
      </c>
      <c r="BB7" t="s">
        <v>262</v>
      </c>
      <c r="BC7" t="s">
        <v>263</v>
      </c>
      <c r="BD7" t="s">
        <v>264</v>
      </c>
      <c r="BF7" t="s">
        <v>265</v>
      </c>
      <c r="BG7" t="s">
        <v>266</v>
      </c>
      <c r="BH7" t="s">
        <v>267</v>
      </c>
      <c r="BI7" t="s">
        <v>203</v>
      </c>
      <c r="BJ7" t="s">
        <v>268</v>
      </c>
      <c r="BM7" t="s">
        <v>32</v>
      </c>
      <c r="BO7" t="s">
        <v>269</v>
      </c>
    </row>
    <row r="8" spans="1:70">
      <c r="A8" s="1" t="s">
        <v>270</v>
      </c>
      <c r="B8" t="s">
        <v>271</v>
      </c>
      <c r="C8" t="s">
        <v>272</v>
      </c>
      <c r="D8" t="s">
        <v>273</v>
      </c>
      <c r="E8" t="s">
        <v>274</v>
      </c>
      <c r="F8" t="s">
        <v>275</v>
      </c>
      <c r="G8" t="s">
        <v>276</v>
      </c>
      <c r="I8" t="s">
        <v>277</v>
      </c>
      <c r="J8" t="s">
        <v>278</v>
      </c>
      <c r="K8" t="s">
        <v>279</v>
      </c>
      <c r="P8" t="s">
        <v>280</v>
      </c>
      <c r="Q8" s="2">
        <v>6.9599999999999995E-2</v>
      </c>
      <c r="R8" s="2">
        <v>6.9599999999999995E-2</v>
      </c>
      <c r="S8" t="s">
        <v>281</v>
      </c>
      <c r="T8" t="s">
        <v>238</v>
      </c>
      <c r="AC8" t="s">
        <v>282</v>
      </c>
      <c r="AD8" t="s">
        <v>203</v>
      </c>
      <c r="AE8" t="s">
        <v>283</v>
      </c>
      <c r="AF8" t="s">
        <v>284</v>
      </c>
      <c r="AG8" t="s">
        <v>285</v>
      </c>
      <c r="AH8" t="s">
        <v>286</v>
      </c>
      <c r="AJ8" t="s">
        <v>287</v>
      </c>
      <c r="AK8" t="s">
        <v>288</v>
      </c>
      <c r="AL8" t="s">
        <v>289</v>
      </c>
      <c r="AM8" t="s">
        <v>290</v>
      </c>
      <c r="AN8" t="s">
        <v>291</v>
      </c>
      <c r="AO8" t="s">
        <v>292</v>
      </c>
      <c r="AP8" t="s">
        <v>293</v>
      </c>
      <c r="AQ8" t="s">
        <v>294</v>
      </c>
      <c r="AR8" t="s">
        <v>295</v>
      </c>
      <c r="AS8" t="s">
        <v>296</v>
      </c>
      <c r="AT8" t="s">
        <v>297</v>
      </c>
      <c r="AV8" t="s">
        <v>298</v>
      </c>
      <c r="AW8" t="s">
        <v>299</v>
      </c>
      <c r="AX8" t="s">
        <v>300</v>
      </c>
      <c r="AY8" t="s">
        <v>301</v>
      </c>
      <c r="AZ8" t="s">
        <v>199</v>
      </c>
      <c r="BA8" t="s">
        <v>302</v>
      </c>
      <c r="BB8" t="s">
        <v>303</v>
      </c>
      <c r="BC8" t="s">
        <v>304</v>
      </c>
      <c r="BD8" t="s">
        <v>305</v>
      </c>
      <c r="BF8" t="s">
        <v>306</v>
      </c>
      <c r="BG8" t="s">
        <v>307</v>
      </c>
      <c r="BH8" t="s">
        <v>308</v>
      </c>
      <c r="BI8" t="s">
        <v>309</v>
      </c>
      <c r="BJ8" t="s">
        <v>310</v>
      </c>
      <c r="BO8" t="s">
        <v>91</v>
      </c>
    </row>
    <row r="9" spans="1:70">
      <c r="A9" s="1" t="s">
        <v>311</v>
      </c>
      <c r="B9" t="s">
        <v>312</v>
      </c>
      <c r="C9" t="s">
        <v>313</v>
      </c>
      <c r="D9" t="s">
        <v>314</v>
      </c>
      <c r="E9" t="s">
        <v>315</v>
      </c>
      <c r="F9" t="s">
        <v>316</v>
      </c>
      <c r="G9" t="s">
        <v>317</v>
      </c>
      <c r="I9" t="s">
        <v>278</v>
      </c>
      <c r="J9" t="s">
        <v>131</v>
      </c>
      <c r="K9" t="s">
        <v>318</v>
      </c>
      <c r="P9" t="s">
        <v>319</v>
      </c>
      <c r="S9" t="s">
        <v>320</v>
      </c>
      <c r="T9" t="s">
        <v>281</v>
      </c>
      <c r="AC9" t="s">
        <v>321</v>
      </c>
      <c r="AD9" t="s">
        <v>322</v>
      </c>
      <c r="AE9" t="s">
        <v>323</v>
      </c>
      <c r="AF9" t="s">
        <v>324</v>
      </c>
      <c r="AG9" t="s">
        <v>325</v>
      </c>
      <c r="AH9" t="s">
        <v>326</v>
      </c>
      <c r="AJ9" t="s">
        <v>58</v>
      </c>
      <c r="AK9" t="s">
        <v>327</v>
      </c>
      <c r="AL9" t="s">
        <v>328</v>
      </c>
      <c r="AM9" t="s">
        <v>329</v>
      </c>
      <c r="AN9" t="s">
        <v>330</v>
      </c>
      <c r="AO9" t="s">
        <v>331</v>
      </c>
      <c r="AP9" t="s">
        <v>332</v>
      </c>
      <c r="AQ9" t="s">
        <v>333</v>
      </c>
      <c r="AR9" t="s">
        <v>334</v>
      </c>
      <c r="AS9" t="s">
        <v>335</v>
      </c>
      <c r="AT9" t="s">
        <v>336</v>
      </c>
      <c r="AV9" t="s">
        <v>337</v>
      </c>
      <c r="AW9" t="s">
        <v>338</v>
      </c>
      <c r="AX9" t="s">
        <v>339</v>
      </c>
      <c r="AY9" t="s">
        <v>340</v>
      </c>
      <c r="AZ9" t="s">
        <v>341</v>
      </c>
      <c r="BA9" t="s">
        <v>342</v>
      </c>
      <c r="BB9" t="s">
        <v>343</v>
      </c>
      <c r="BC9" t="s">
        <v>344</v>
      </c>
      <c r="BD9" t="s">
        <v>345</v>
      </c>
      <c r="BF9" t="s">
        <v>346</v>
      </c>
      <c r="BG9" t="s">
        <v>347</v>
      </c>
      <c r="BH9" t="s">
        <v>348</v>
      </c>
      <c r="BI9" t="s">
        <v>349</v>
      </c>
      <c r="BO9" t="s">
        <v>350</v>
      </c>
    </row>
    <row r="10" spans="1:70">
      <c r="B10" t="s">
        <v>351</v>
      </c>
      <c r="C10" t="s">
        <v>352</v>
      </c>
      <c r="D10" t="s">
        <v>353</v>
      </c>
      <c r="E10" t="s">
        <v>354</v>
      </c>
      <c r="F10" t="s">
        <v>355</v>
      </c>
      <c r="G10" t="s">
        <v>356</v>
      </c>
      <c r="I10" t="s">
        <v>357</v>
      </c>
      <c r="J10" t="s">
        <v>358</v>
      </c>
      <c r="K10" t="s">
        <v>359</v>
      </c>
      <c r="S10" t="s">
        <v>360</v>
      </c>
      <c r="T10" t="s">
        <v>360</v>
      </c>
      <c r="AC10" t="s">
        <v>361</v>
      </c>
      <c r="AD10" t="s">
        <v>362</v>
      </c>
      <c r="AE10" t="s">
        <v>363</v>
      </c>
      <c r="AF10" t="s">
        <v>364</v>
      </c>
      <c r="AH10" t="s">
        <v>365</v>
      </c>
      <c r="AJ10" t="s">
        <v>366</v>
      </c>
      <c r="AK10" t="s">
        <v>322</v>
      </c>
      <c r="AL10" t="s">
        <v>367</v>
      </c>
      <c r="AM10" t="s">
        <v>368</v>
      </c>
      <c r="AN10" t="s">
        <v>369</v>
      </c>
      <c r="AO10" t="s">
        <v>370</v>
      </c>
      <c r="AP10" t="s">
        <v>371</v>
      </c>
      <c r="AQ10" t="s">
        <v>372</v>
      </c>
      <c r="AR10" t="s">
        <v>373</v>
      </c>
      <c r="AS10" t="s">
        <v>374</v>
      </c>
      <c r="AT10" t="s">
        <v>375</v>
      </c>
      <c r="AV10" t="s">
        <v>376</v>
      </c>
      <c r="AW10" t="s">
        <v>377</v>
      </c>
      <c r="AX10" t="s">
        <v>378</v>
      </c>
      <c r="AY10" t="s">
        <v>379</v>
      </c>
      <c r="AZ10" t="s">
        <v>380</v>
      </c>
      <c r="BA10" t="s">
        <v>381</v>
      </c>
      <c r="BB10" t="s">
        <v>382</v>
      </c>
      <c r="BC10" t="s">
        <v>383</v>
      </c>
      <c r="BD10" t="s">
        <v>384</v>
      </c>
      <c r="BF10" t="s">
        <v>203</v>
      </c>
      <c r="BG10" t="s">
        <v>385</v>
      </c>
      <c r="BH10" t="s">
        <v>386</v>
      </c>
      <c r="BI10" t="s">
        <v>387</v>
      </c>
      <c r="BO10" t="s">
        <v>388</v>
      </c>
    </row>
    <row r="11" spans="1:70">
      <c r="B11" t="s">
        <v>389</v>
      </c>
      <c r="C11" t="s">
        <v>390</v>
      </c>
      <c r="E11" t="s">
        <v>391</v>
      </c>
      <c r="F11" t="s">
        <v>392</v>
      </c>
      <c r="G11" t="s">
        <v>393</v>
      </c>
      <c r="I11" t="s">
        <v>394</v>
      </c>
      <c r="J11" t="s">
        <v>395</v>
      </c>
      <c r="K11" t="s">
        <v>396</v>
      </c>
      <c r="S11" t="s">
        <v>397</v>
      </c>
      <c r="T11" t="s">
        <v>397</v>
      </c>
      <c r="AC11" t="s">
        <v>398</v>
      </c>
      <c r="AD11" t="s">
        <v>399</v>
      </c>
      <c r="AE11" t="s">
        <v>400</v>
      </c>
      <c r="AF11" t="s">
        <v>401</v>
      </c>
      <c r="AH11" t="s">
        <v>402</v>
      </c>
      <c r="AJ11" t="s">
        <v>403</v>
      </c>
      <c r="AK11" t="s">
        <v>404</v>
      </c>
      <c r="AL11" t="s">
        <v>405</v>
      </c>
      <c r="AM11" t="s">
        <v>406</v>
      </c>
      <c r="AN11" t="s">
        <v>407</v>
      </c>
      <c r="AO11" t="s">
        <v>408</v>
      </c>
      <c r="AP11" t="s">
        <v>409</v>
      </c>
      <c r="AQ11" t="s">
        <v>410</v>
      </c>
      <c r="AR11" t="s">
        <v>411</v>
      </c>
      <c r="AS11" t="s">
        <v>412</v>
      </c>
      <c r="AT11" t="s">
        <v>413</v>
      </c>
      <c r="AV11" t="s">
        <v>414</v>
      </c>
      <c r="AW11" t="s">
        <v>415</v>
      </c>
      <c r="AX11" t="s">
        <v>416</v>
      </c>
      <c r="AY11" t="s">
        <v>417</v>
      </c>
      <c r="AZ11" t="s">
        <v>64</v>
      </c>
      <c r="BA11" t="s">
        <v>418</v>
      </c>
      <c r="BB11" t="s">
        <v>419</v>
      </c>
      <c r="BC11" t="s">
        <v>420</v>
      </c>
      <c r="BD11" t="s">
        <v>421</v>
      </c>
      <c r="BF11" t="s">
        <v>422</v>
      </c>
      <c r="BG11" t="s">
        <v>423</v>
      </c>
      <c r="BH11" t="s">
        <v>424</v>
      </c>
      <c r="BI11" t="s">
        <v>425</v>
      </c>
      <c r="BO11" t="s">
        <v>426</v>
      </c>
    </row>
    <row r="12" spans="1:70">
      <c r="B12" t="s">
        <v>427</v>
      </c>
      <c r="C12" t="s">
        <v>428</v>
      </c>
      <c r="E12" t="s">
        <v>429</v>
      </c>
      <c r="F12" t="s">
        <v>430</v>
      </c>
      <c r="G12" t="s">
        <v>431</v>
      </c>
      <c r="I12" t="s">
        <v>432</v>
      </c>
      <c r="J12" t="s">
        <v>433</v>
      </c>
      <c r="K12" t="s">
        <v>434</v>
      </c>
      <c r="AC12" t="s">
        <v>435</v>
      </c>
      <c r="AD12" t="s">
        <v>436</v>
      </c>
      <c r="AE12" t="s">
        <v>437</v>
      </c>
      <c r="AF12" t="s">
        <v>438</v>
      </c>
      <c r="AH12" t="s">
        <v>439</v>
      </c>
      <c r="AJ12" t="s">
        <v>440</v>
      </c>
      <c r="AK12" t="s">
        <v>69</v>
      </c>
      <c r="AL12" t="s">
        <v>441</v>
      </c>
      <c r="AM12" t="s">
        <v>442</v>
      </c>
      <c r="AN12" t="s">
        <v>443</v>
      </c>
      <c r="AO12" t="s">
        <v>444</v>
      </c>
      <c r="AP12" t="s">
        <v>445</v>
      </c>
      <c r="AQ12" t="s">
        <v>446</v>
      </c>
      <c r="AR12" t="s">
        <v>447</v>
      </c>
      <c r="AS12" t="s">
        <v>448</v>
      </c>
      <c r="AV12" t="s">
        <v>449</v>
      </c>
      <c r="AW12" t="s">
        <v>450</v>
      </c>
      <c r="AX12" t="s">
        <v>451</v>
      </c>
      <c r="AY12" t="s">
        <v>452</v>
      </c>
      <c r="AZ12" t="s">
        <v>453</v>
      </c>
      <c r="BA12" t="s">
        <v>454</v>
      </c>
      <c r="BB12" t="s">
        <v>455</v>
      </c>
      <c r="BC12" t="s">
        <v>456</v>
      </c>
      <c r="BD12" t="s">
        <v>457</v>
      </c>
      <c r="BF12" t="s">
        <v>448</v>
      </c>
      <c r="BG12" t="s">
        <v>458</v>
      </c>
      <c r="BH12" t="s">
        <v>459</v>
      </c>
      <c r="BI12" t="s">
        <v>460</v>
      </c>
      <c r="BO12" t="s">
        <v>461</v>
      </c>
    </row>
    <row r="13" spans="1:70">
      <c r="B13" t="s">
        <v>462</v>
      </c>
      <c r="C13" t="s">
        <v>463</v>
      </c>
      <c r="E13" t="s">
        <v>464</v>
      </c>
      <c r="F13" t="s">
        <v>465</v>
      </c>
      <c r="I13" t="s">
        <v>466</v>
      </c>
      <c r="J13" t="s">
        <v>467</v>
      </c>
      <c r="K13" t="s">
        <v>468</v>
      </c>
      <c r="AC13" t="s">
        <v>469</v>
      </c>
      <c r="AD13" t="s">
        <v>470</v>
      </c>
      <c r="AE13" t="s">
        <v>471</v>
      </c>
      <c r="AF13" t="s">
        <v>472</v>
      </c>
      <c r="AH13" t="s">
        <v>473</v>
      </c>
      <c r="AJ13" t="s">
        <v>474</v>
      </c>
      <c r="AK13" t="s">
        <v>475</v>
      </c>
      <c r="AL13" t="s">
        <v>476</v>
      </c>
      <c r="AM13" t="s">
        <v>477</v>
      </c>
      <c r="AN13" t="s">
        <v>478</v>
      </c>
      <c r="AO13" t="s">
        <v>329</v>
      </c>
      <c r="AP13" t="s">
        <v>479</v>
      </c>
      <c r="AQ13" t="s">
        <v>480</v>
      </c>
      <c r="AR13" t="s">
        <v>481</v>
      </c>
      <c r="AS13" t="s">
        <v>482</v>
      </c>
      <c r="AV13" t="s">
        <v>483</v>
      </c>
      <c r="AW13" t="s">
        <v>484</v>
      </c>
      <c r="AX13" t="s">
        <v>485</v>
      </c>
      <c r="AY13" t="s">
        <v>486</v>
      </c>
      <c r="AZ13" t="s">
        <v>487</v>
      </c>
      <c r="BA13" t="s">
        <v>488</v>
      </c>
      <c r="BB13" t="s">
        <v>489</v>
      </c>
      <c r="BC13" t="s">
        <v>490</v>
      </c>
      <c r="BD13" t="s">
        <v>491</v>
      </c>
      <c r="BF13" t="s">
        <v>492</v>
      </c>
      <c r="BG13" t="s">
        <v>493</v>
      </c>
      <c r="BH13" t="s">
        <v>494</v>
      </c>
      <c r="BI13" t="s">
        <v>197</v>
      </c>
      <c r="BO13" t="s">
        <v>495</v>
      </c>
    </row>
    <row r="14" spans="1:70">
      <c r="B14" t="s">
        <v>496</v>
      </c>
      <c r="C14" t="s">
        <v>497</v>
      </c>
      <c r="E14" t="s">
        <v>498</v>
      </c>
      <c r="I14" t="s">
        <v>499</v>
      </c>
      <c r="J14" t="s">
        <v>500</v>
      </c>
      <c r="K14" t="s">
        <v>501</v>
      </c>
      <c r="AC14" t="s">
        <v>502</v>
      </c>
      <c r="AD14" t="s">
        <v>503</v>
      </c>
      <c r="AF14" t="s">
        <v>504</v>
      </c>
      <c r="AH14" t="s">
        <v>505</v>
      </c>
      <c r="AJ14" t="s">
        <v>263</v>
      </c>
      <c r="AK14" t="s">
        <v>362</v>
      </c>
      <c r="AL14" t="s">
        <v>506</v>
      </c>
      <c r="AM14" t="s">
        <v>507</v>
      </c>
      <c r="AN14" t="s">
        <v>508</v>
      </c>
      <c r="AO14" t="s">
        <v>509</v>
      </c>
      <c r="AP14" t="s">
        <v>510</v>
      </c>
      <c r="AQ14" t="s">
        <v>511</v>
      </c>
      <c r="AR14" t="s">
        <v>512</v>
      </c>
      <c r="AS14" t="s">
        <v>513</v>
      </c>
      <c r="AV14" t="s">
        <v>514</v>
      </c>
      <c r="AW14" t="s">
        <v>515</v>
      </c>
      <c r="AX14" t="s">
        <v>516</v>
      </c>
      <c r="AY14" t="s">
        <v>516</v>
      </c>
      <c r="AZ14" t="s">
        <v>263</v>
      </c>
      <c r="BA14" t="s">
        <v>517</v>
      </c>
      <c r="BB14" t="s">
        <v>518</v>
      </c>
      <c r="BC14" t="s">
        <v>519</v>
      </c>
      <c r="BD14" t="s">
        <v>520</v>
      </c>
      <c r="BF14" t="s">
        <v>521</v>
      </c>
      <c r="BG14" t="s">
        <v>522</v>
      </c>
      <c r="BH14" t="s">
        <v>523</v>
      </c>
      <c r="BI14" t="s">
        <v>524</v>
      </c>
      <c r="BO14" t="s">
        <v>39</v>
      </c>
    </row>
    <row r="15" spans="1:70">
      <c r="B15" t="s">
        <v>525</v>
      </c>
      <c r="C15" t="s">
        <v>526</v>
      </c>
      <c r="E15" t="s">
        <v>527</v>
      </c>
      <c r="I15" t="s">
        <v>528</v>
      </c>
      <c r="J15" t="s">
        <v>529</v>
      </c>
      <c r="AC15" t="s">
        <v>530</v>
      </c>
      <c r="AD15" t="s">
        <v>531</v>
      </c>
      <c r="AF15" t="s">
        <v>109</v>
      </c>
      <c r="AH15" t="s">
        <v>532</v>
      </c>
      <c r="AJ15" t="s">
        <v>533</v>
      </c>
      <c r="AK15" t="s">
        <v>534</v>
      </c>
      <c r="AL15" t="s">
        <v>535</v>
      </c>
      <c r="AM15" t="s">
        <v>536</v>
      </c>
      <c r="AN15" t="s">
        <v>537</v>
      </c>
      <c r="AO15" t="s">
        <v>538</v>
      </c>
      <c r="AP15" t="s">
        <v>539</v>
      </c>
      <c r="AQ15" t="s">
        <v>540</v>
      </c>
      <c r="AR15" t="s">
        <v>541</v>
      </c>
      <c r="AS15" t="s">
        <v>542</v>
      </c>
      <c r="AV15" t="s">
        <v>543</v>
      </c>
      <c r="AW15" t="s">
        <v>544</v>
      </c>
      <c r="AX15" t="s">
        <v>545</v>
      </c>
      <c r="AY15" t="s">
        <v>546</v>
      </c>
      <c r="AZ15" t="s">
        <v>547</v>
      </c>
      <c r="BA15" t="s">
        <v>548</v>
      </c>
      <c r="BB15" t="s">
        <v>549</v>
      </c>
      <c r="BD15" t="s">
        <v>550</v>
      </c>
      <c r="BF15" t="s">
        <v>551</v>
      </c>
      <c r="BG15" t="s">
        <v>552</v>
      </c>
      <c r="BH15" t="s">
        <v>553</v>
      </c>
      <c r="BI15" t="s">
        <v>554</v>
      </c>
      <c r="BO15" t="s">
        <v>95</v>
      </c>
    </row>
    <row r="16" spans="1:70">
      <c r="B16" t="s">
        <v>555</v>
      </c>
      <c r="C16" t="s">
        <v>556</v>
      </c>
      <c r="E16" t="s">
        <v>557</v>
      </c>
      <c r="I16" t="s">
        <v>558</v>
      </c>
      <c r="J16" t="s">
        <v>559</v>
      </c>
      <c r="AC16" t="s">
        <v>560</v>
      </c>
      <c r="AD16" t="s">
        <v>263</v>
      </c>
      <c r="AF16" t="s">
        <v>65</v>
      </c>
      <c r="AH16" t="s">
        <v>375</v>
      </c>
      <c r="AJ16" t="s">
        <v>561</v>
      </c>
      <c r="AK16" t="s">
        <v>562</v>
      </c>
      <c r="AL16" t="s">
        <v>563</v>
      </c>
      <c r="AM16" t="s">
        <v>564</v>
      </c>
      <c r="AN16" t="s">
        <v>565</v>
      </c>
      <c r="AO16" t="s">
        <v>566</v>
      </c>
      <c r="AP16" t="s">
        <v>567</v>
      </c>
      <c r="AQ16" t="s">
        <v>568</v>
      </c>
      <c r="AR16" t="s">
        <v>569</v>
      </c>
      <c r="AS16" t="s">
        <v>570</v>
      </c>
      <c r="AV16" t="s">
        <v>571</v>
      </c>
      <c r="AW16" t="s">
        <v>572</v>
      </c>
      <c r="AX16" t="s">
        <v>573</v>
      </c>
      <c r="AY16" t="s">
        <v>574</v>
      </c>
      <c r="AZ16" t="s">
        <v>575</v>
      </c>
      <c r="BA16" t="s">
        <v>576</v>
      </c>
      <c r="BD16" t="s">
        <v>577</v>
      </c>
      <c r="BF16" t="s">
        <v>578</v>
      </c>
      <c r="BG16" t="s">
        <v>579</v>
      </c>
      <c r="BH16" t="s">
        <v>580</v>
      </c>
      <c r="BI16" t="s">
        <v>581</v>
      </c>
    </row>
    <row r="17" spans="2:61">
      <c r="B17" t="s">
        <v>582</v>
      </c>
      <c r="C17" t="s">
        <v>583</v>
      </c>
      <c r="E17" t="s">
        <v>584</v>
      </c>
      <c r="I17" t="s">
        <v>585</v>
      </c>
      <c r="J17" t="s">
        <v>586</v>
      </c>
      <c r="AD17" t="s">
        <v>587</v>
      </c>
      <c r="AF17" t="s">
        <v>219</v>
      </c>
      <c r="AH17" t="s">
        <v>588</v>
      </c>
      <c r="AJ17" t="s">
        <v>589</v>
      </c>
      <c r="AK17" t="s">
        <v>590</v>
      </c>
      <c r="AL17" t="s">
        <v>591</v>
      </c>
      <c r="AM17" t="s">
        <v>592</v>
      </c>
      <c r="AN17" t="s">
        <v>593</v>
      </c>
      <c r="AO17" t="s">
        <v>594</v>
      </c>
      <c r="AP17" t="s">
        <v>595</v>
      </c>
      <c r="AQ17" t="s">
        <v>596</v>
      </c>
      <c r="AR17" t="s">
        <v>597</v>
      </c>
      <c r="AS17" t="s">
        <v>598</v>
      </c>
      <c r="AV17" t="s">
        <v>599</v>
      </c>
      <c r="AW17" t="s">
        <v>600</v>
      </c>
      <c r="AX17" t="s">
        <v>601</v>
      </c>
      <c r="AY17" t="s">
        <v>602</v>
      </c>
      <c r="AZ17" t="s">
        <v>603</v>
      </c>
      <c r="BA17" t="s">
        <v>604</v>
      </c>
      <c r="BF17" t="s">
        <v>605</v>
      </c>
      <c r="BG17" t="s">
        <v>606</v>
      </c>
      <c r="BH17" t="s">
        <v>607</v>
      </c>
      <c r="BI17" t="s">
        <v>608</v>
      </c>
    </row>
    <row r="18" spans="2:61">
      <c r="B18" t="s">
        <v>609</v>
      </c>
      <c r="E18" t="s">
        <v>610</v>
      </c>
      <c r="I18" t="s">
        <v>611</v>
      </c>
      <c r="J18" t="s">
        <v>612</v>
      </c>
      <c r="AD18" t="s">
        <v>613</v>
      </c>
      <c r="AF18" t="s">
        <v>614</v>
      </c>
      <c r="AH18" t="s">
        <v>615</v>
      </c>
      <c r="AJ18" t="s">
        <v>616</v>
      </c>
      <c r="AK18" t="s">
        <v>617</v>
      </c>
      <c r="AL18" t="s">
        <v>618</v>
      </c>
      <c r="AM18" t="s">
        <v>619</v>
      </c>
      <c r="AN18" t="s">
        <v>620</v>
      </c>
      <c r="AO18" t="s">
        <v>621</v>
      </c>
      <c r="AP18" t="s">
        <v>450</v>
      </c>
      <c r="AQ18" t="s">
        <v>622</v>
      </c>
      <c r="AR18" t="s">
        <v>623</v>
      </c>
      <c r="AS18" t="s">
        <v>624</v>
      </c>
      <c r="AV18" t="s">
        <v>625</v>
      </c>
      <c r="AX18" t="s">
        <v>626</v>
      </c>
      <c r="AY18" t="s">
        <v>627</v>
      </c>
      <c r="AZ18" t="s">
        <v>628</v>
      </c>
      <c r="BA18" t="s">
        <v>629</v>
      </c>
      <c r="BF18" t="s">
        <v>630</v>
      </c>
      <c r="BG18" t="s">
        <v>631</v>
      </c>
      <c r="BH18" t="s">
        <v>632</v>
      </c>
      <c r="BI18" t="s">
        <v>633</v>
      </c>
    </row>
    <row r="19" spans="2:61">
      <c r="B19" t="s">
        <v>77</v>
      </c>
      <c r="E19" t="s">
        <v>634</v>
      </c>
      <c r="I19" t="s">
        <v>635</v>
      </c>
      <c r="J19" t="s">
        <v>636</v>
      </c>
      <c r="AD19" t="s">
        <v>637</v>
      </c>
      <c r="AF19" t="s">
        <v>638</v>
      </c>
      <c r="AH19" t="s">
        <v>508</v>
      </c>
      <c r="AJ19" t="s">
        <v>639</v>
      </c>
      <c r="AK19" t="s">
        <v>640</v>
      </c>
      <c r="AL19" t="s">
        <v>641</v>
      </c>
      <c r="AN19" t="s">
        <v>642</v>
      </c>
      <c r="AO19" t="s">
        <v>643</v>
      </c>
      <c r="AP19" t="s">
        <v>644</v>
      </c>
      <c r="AQ19" t="s">
        <v>645</v>
      </c>
      <c r="AR19" t="s">
        <v>646</v>
      </c>
      <c r="AS19" t="s">
        <v>647</v>
      </c>
      <c r="AV19" t="s">
        <v>648</v>
      </c>
      <c r="AX19" t="s">
        <v>649</v>
      </c>
      <c r="AY19" t="s">
        <v>650</v>
      </c>
      <c r="AZ19" t="s">
        <v>651</v>
      </c>
      <c r="BA19" t="s">
        <v>652</v>
      </c>
      <c r="BF19" t="s">
        <v>653</v>
      </c>
      <c r="BG19" t="s">
        <v>654</v>
      </c>
      <c r="BH19" t="s">
        <v>655</v>
      </c>
      <c r="BI19" t="s">
        <v>656</v>
      </c>
    </row>
    <row r="20" spans="2:61">
      <c r="B20" t="s">
        <v>657</v>
      </c>
      <c r="E20" t="s">
        <v>658</v>
      </c>
      <c r="I20" t="s">
        <v>659</v>
      </c>
      <c r="J20" t="s">
        <v>660</v>
      </c>
      <c r="AD20" t="s">
        <v>661</v>
      </c>
      <c r="AF20" t="s">
        <v>662</v>
      </c>
      <c r="AH20" t="s">
        <v>663</v>
      </c>
      <c r="AJ20" t="s">
        <v>664</v>
      </c>
      <c r="AK20" t="s">
        <v>665</v>
      </c>
      <c r="AL20" t="s">
        <v>666</v>
      </c>
      <c r="AN20" t="s">
        <v>600</v>
      </c>
      <c r="AO20" t="s">
        <v>667</v>
      </c>
      <c r="AP20" t="s">
        <v>668</v>
      </c>
      <c r="AQ20" t="s">
        <v>669</v>
      </c>
      <c r="AR20" t="s">
        <v>670</v>
      </c>
      <c r="AS20" t="s">
        <v>671</v>
      </c>
      <c r="AV20" t="s">
        <v>672</v>
      </c>
      <c r="AX20" t="s">
        <v>673</v>
      </c>
      <c r="AY20" t="s">
        <v>674</v>
      </c>
      <c r="AZ20" t="s">
        <v>675</v>
      </c>
      <c r="BA20" t="s">
        <v>676</v>
      </c>
      <c r="BF20" t="s">
        <v>253</v>
      </c>
      <c r="BG20" t="s">
        <v>677</v>
      </c>
      <c r="BH20" t="s">
        <v>678</v>
      </c>
      <c r="BI20" t="s">
        <v>679</v>
      </c>
    </row>
    <row r="21" spans="2:61">
      <c r="B21" t="s">
        <v>131</v>
      </c>
      <c r="E21" t="s">
        <v>680</v>
      </c>
      <c r="I21" t="s">
        <v>681</v>
      </c>
      <c r="J21" t="s">
        <v>432</v>
      </c>
      <c r="AD21" t="s">
        <v>682</v>
      </c>
      <c r="AF21" t="s">
        <v>346</v>
      </c>
      <c r="AH21" t="s">
        <v>683</v>
      </c>
      <c r="AJ21" t="s">
        <v>684</v>
      </c>
      <c r="AK21" t="s">
        <v>685</v>
      </c>
      <c r="AL21" t="s">
        <v>686</v>
      </c>
      <c r="AN21" t="s">
        <v>687</v>
      </c>
      <c r="AO21" t="s">
        <v>688</v>
      </c>
      <c r="AP21" t="s">
        <v>689</v>
      </c>
      <c r="AQ21" t="s">
        <v>690</v>
      </c>
      <c r="AR21" t="s">
        <v>691</v>
      </c>
      <c r="AS21" t="s">
        <v>692</v>
      </c>
      <c r="AV21" t="s">
        <v>693</v>
      </c>
      <c r="AX21" t="s">
        <v>694</v>
      </c>
      <c r="AY21" t="s">
        <v>695</v>
      </c>
      <c r="AZ21" t="s">
        <v>696</v>
      </c>
      <c r="BA21" t="s">
        <v>697</v>
      </c>
      <c r="BF21" t="s">
        <v>698</v>
      </c>
      <c r="BG21" t="s">
        <v>699</v>
      </c>
      <c r="BH21" t="s">
        <v>700</v>
      </c>
      <c r="BI21" t="s">
        <v>701</v>
      </c>
    </row>
    <row r="22" spans="2:61">
      <c r="B22" t="s">
        <v>702</v>
      </c>
      <c r="E22" t="s">
        <v>703</v>
      </c>
      <c r="I22" t="s">
        <v>704</v>
      </c>
      <c r="J22" t="s">
        <v>705</v>
      </c>
      <c r="AD22" t="s">
        <v>706</v>
      </c>
      <c r="AF22" t="s">
        <v>404</v>
      </c>
      <c r="AH22" t="s">
        <v>707</v>
      </c>
      <c r="AJ22" t="s">
        <v>708</v>
      </c>
      <c r="AK22" t="s">
        <v>709</v>
      </c>
      <c r="AL22" t="s">
        <v>710</v>
      </c>
      <c r="AO22" t="s">
        <v>711</v>
      </c>
      <c r="AP22" t="s">
        <v>712</v>
      </c>
      <c r="AQ22" t="s">
        <v>713</v>
      </c>
      <c r="AR22" t="s">
        <v>714</v>
      </c>
      <c r="AS22" t="s">
        <v>715</v>
      </c>
      <c r="AV22" t="s">
        <v>716</v>
      </c>
      <c r="AX22" t="s">
        <v>717</v>
      </c>
      <c r="AY22" t="s">
        <v>718</v>
      </c>
      <c r="AZ22" t="s">
        <v>444</v>
      </c>
      <c r="BA22" t="s">
        <v>719</v>
      </c>
      <c r="BF22" t="s">
        <v>720</v>
      </c>
      <c r="BG22" t="s">
        <v>721</v>
      </c>
      <c r="BH22" t="s">
        <v>722</v>
      </c>
      <c r="BI22" t="s">
        <v>723</v>
      </c>
    </row>
    <row r="23" spans="2:61">
      <c r="B23" t="s">
        <v>724</v>
      </c>
      <c r="E23" t="s">
        <v>725</v>
      </c>
      <c r="I23" t="s">
        <v>726</v>
      </c>
      <c r="J23" t="s">
        <v>727</v>
      </c>
      <c r="AD23" t="s">
        <v>728</v>
      </c>
      <c r="AF23" t="s">
        <v>729</v>
      </c>
      <c r="AH23" t="s">
        <v>730</v>
      </c>
      <c r="AJ23" t="s">
        <v>731</v>
      </c>
      <c r="AK23" t="s">
        <v>732</v>
      </c>
      <c r="AL23" t="s">
        <v>733</v>
      </c>
      <c r="AO23" t="s">
        <v>734</v>
      </c>
      <c r="AP23" t="s">
        <v>735</v>
      </c>
      <c r="AQ23" t="s">
        <v>736</v>
      </c>
      <c r="AR23" t="s">
        <v>737</v>
      </c>
      <c r="AS23" t="s">
        <v>738</v>
      </c>
      <c r="AV23" t="s">
        <v>739</v>
      </c>
      <c r="AX23" t="s">
        <v>733</v>
      </c>
      <c r="AY23" t="s">
        <v>477</v>
      </c>
      <c r="AZ23" t="s">
        <v>740</v>
      </c>
      <c r="BA23" t="s">
        <v>741</v>
      </c>
      <c r="BF23" t="s">
        <v>742</v>
      </c>
      <c r="BG23" t="s">
        <v>743</v>
      </c>
      <c r="BH23" t="s">
        <v>744</v>
      </c>
      <c r="BI23" t="s">
        <v>745</v>
      </c>
    </row>
    <row r="24" spans="2:61">
      <c r="B24" t="s">
        <v>746</v>
      </c>
      <c r="E24" t="s">
        <v>747</v>
      </c>
      <c r="I24" t="s">
        <v>748</v>
      </c>
      <c r="J24" t="s">
        <v>749</v>
      </c>
      <c r="AD24" t="s">
        <v>750</v>
      </c>
      <c r="AF24" t="s">
        <v>751</v>
      </c>
      <c r="AH24" t="s">
        <v>752</v>
      </c>
      <c r="AJ24" t="s">
        <v>753</v>
      </c>
      <c r="AK24" t="s">
        <v>754</v>
      </c>
      <c r="AL24" t="s">
        <v>755</v>
      </c>
      <c r="AO24" t="s">
        <v>756</v>
      </c>
      <c r="AP24" t="s">
        <v>757</v>
      </c>
      <c r="AQ24" t="s">
        <v>758</v>
      </c>
      <c r="AR24" t="s">
        <v>759</v>
      </c>
      <c r="AS24" t="s">
        <v>760</v>
      </c>
      <c r="AV24" t="s">
        <v>761</v>
      </c>
      <c r="AX24" t="s">
        <v>762</v>
      </c>
      <c r="AY24" t="s">
        <v>763</v>
      </c>
      <c r="AZ24" t="s">
        <v>764</v>
      </c>
      <c r="BA24" t="s">
        <v>765</v>
      </c>
      <c r="BF24" t="s">
        <v>766</v>
      </c>
      <c r="BG24" t="s">
        <v>767</v>
      </c>
      <c r="BH24" t="s">
        <v>768</v>
      </c>
      <c r="BI24" t="s">
        <v>769</v>
      </c>
    </row>
    <row r="25" spans="2:61">
      <c r="B25" t="s">
        <v>270</v>
      </c>
      <c r="E25" t="s">
        <v>770</v>
      </c>
      <c r="I25" t="s">
        <v>771</v>
      </c>
      <c r="J25" t="s">
        <v>772</v>
      </c>
      <c r="AD25" t="s">
        <v>773</v>
      </c>
      <c r="AF25" t="s">
        <v>774</v>
      </c>
      <c r="AH25" t="s">
        <v>775</v>
      </c>
      <c r="AJ25" t="s">
        <v>734</v>
      </c>
      <c r="AK25" t="s">
        <v>776</v>
      </c>
      <c r="AL25" t="s">
        <v>777</v>
      </c>
      <c r="AO25" t="s">
        <v>778</v>
      </c>
      <c r="AP25" t="s">
        <v>779</v>
      </c>
      <c r="AQ25" t="s">
        <v>780</v>
      </c>
      <c r="AR25" t="s">
        <v>781</v>
      </c>
      <c r="AS25" t="s">
        <v>782</v>
      </c>
      <c r="AV25" t="s">
        <v>641</v>
      </c>
      <c r="AX25" t="s">
        <v>783</v>
      </c>
      <c r="AY25" t="s">
        <v>784</v>
      </c>
      <c r="AZ25" t="s">
        <v>785</v>
      </c>
      <c r="BA25" t="s">
        <v>786</v>
      </c>
      <c r="BF25" t="s">
        <v>787</v>
      </c>
      <c r="BG25" t="s">
        <v>788</v>
      </c>
      <c r="BH25" t="s">
        <v>789</v>
      </c>
      <c r="BI25" t="s">
        <v>790</v>
      </c>
    </row>
    <row r="26" spans="2:61">
      <c r="B26" t="s">
        <v>791</v>
      </c>
      <c r="E26" t="s">
        <v>792</v>
      </c>
      <c r="I26" t="s">
        <v>793</v>
      </c>
      <c r="J26" t="s">
        <v>794</v>
      </c>
      <c r="AD26" t="s">
        <v>795</v>
      </c>
      <c r="AF26" t="s">
        <v>362</v>
      </c>
      <c r="AJ26" t="s">
        <v>796</v>
      </c>
      <c r="AK26" t="s">
        <v>797</v>
      </c>
      <c r="AL26" t="s">
        <v>798</v>
      </c>
      <c r="AO26" t="s">
        <v>799</v>
      </c>
      <c r="AP26" t="s">
        <v>800</v>
      </c>
      <c r="AQ26" t="s">
        <v>801</v>
      </c>
      <c r="AR26" t="s">
        <v>802</v>
      </c>
      <c r="AS26" t="s">
        <v>803</v>
      </c>
      <c r="AV26" t="s">
        <v>804</v>
      </c>
      <c r="AX26" t="s">
        <v>805</v>
      </c>
      <c r="AY26" t="s">
        <v>806</v>
      </c>
      <c r="AZ26" t="s">
        <v>807</v>
      </c>
      <c r="BA26" t="s">
        <v>808</v>
      </c>
      <c r="BF26" t="s">
        <v>809</v>
      </c>
      <c r="BG26" t="s">
        <v>810</v>
      </c>
      <c r="BH26" t="s">
        <v>811</v>
      </c>
      <c r="BI26" t="s">
        <v>458</v>
      </c>
    </row>
    <row r="27" spans="2:61">
      <c r="B27" t="s">
        <v>812</v>
      </c>
      <c r="E27" t="s">
        <v>813</v>
      </c>
      <c r="I27" t="s">
        <v>814</v>
      </c>
      <c r="J27" t="s">
        <v>815</v>
      </c>
      <c r="AD27" t="s">
        <v>816</v>
      </c>
      <c r="AF27" t="s">
        <v>817</v>
      </c>
      <c r="AJ27" t="s">
        <v>818</v>
      </c>
      <c r="AK27" t="s">
        <v>819</v>
      </c>
      <c r="AL27" t="s">
        <v>820</v>
      </c>
      <c r="AO27" t="s">
        <v>821</v>
      </c>
      <c r="AP27" t="s">
        <v>822</v>
      </c>
      <c r="AQ27" t="s">
        <v>686</v>
      </c>
      <c r="AR27" t="s">
        <v>823</v>
      </c>
      <c r="AS27" t="s">
        <v>589</v>
      </c>
      <c r="AV27" t="s">
        <v>824</v>
      </c>
      <c r="AX27" t="s">
        <v>825</v>
      </c>
      <c r="AY27" t="s">
        <v>826</v>
      </c>
      <c r="AZ27" t="s">
        <v>827</v>
      </c>
      <c r="BA27" t="s">
        <v>828</v>
      </c>
      <c r="BF27" t="s">
        <v>829</v>
      </c>
      <c r="BG27" t="s">
        <v>830</v>
      </c>
      <c r="BH27" t="s">
        <v>831</v>
      </c>
      <c r="BI27" t="s">
        <v>194</v>
      </c>
    </row>
    <row r="28" spans="2:61">
      <c r="E28" t="s">
        <v>832</v>
      </c>
      <c r="I28" t="s">
        <v>833</v>
      </c>
      <c r="J28" t="s">
        <v>466</v>
      </c>
      <c r="AD28" t="s">
        <v>710</v>
      </c>
      <c r="AF28" t="s">
        <v>834</v>
      </c>
      <c r="AJ28" t="s">
        <v>835</v>
      </c>
      <c r="AK28" t="s">
        <v>836</v>
      </c>
      <c r="AL28" t="s">
        <v>837</v>
      </c>
      <c r="AO28" t="s">
        <v>838</v>
      </c>
      <c r="AQ28" t="s">
        <v>839</v>
      </c>
      <c r="AR28" t="s">
        <v>840</v>
      </c>
      <c r="AS28" t="s">
        <v>841</v>
      </c>
      <c r="AV28" t="s">
        <v>842</v>
      </c>
      <c r="AX28" t="s">
        <v>843</v>
      </c>
      <c r="AY28" t="s">
        <v>779</v>
      </c>
      <c r="AZ28" t="s">
        <v>844</v>
      </c>
      <c r="BA28" t="s">
        <v>845</v>
      </c>
      <c r="BF28" t="s">
        <v>846</v>
      </c>
      <c r="BG28" t="s">
        <v>847</v>
      </c>
      <c r="BH28" t="s">
        <v>848</v>
      </c>
      <c r="BI28" t="s">
        <v>849</v>
      </c>
    </row>
    <row r="29" spans="2:61">
      <c r="E29" t="s">
        <v>850</v>
      </c>
      <c r="I29" t="s">
        <v>851</v>
      </c>
      <c r="J29" t="s">
        <v>499</v>
      </c>
      <c r="AD29" t="s">
        <v>852</v>
      </c>
      <c r="AF29" t="s">
        <v>853</v>
      </c>
      <c r="AJ29" t="s">
        <v>854</v>
      </c>
      <c r="AK29" t="s">
        <v>855</v>
      </c>
      <c r="AL29" t="s">
        <v>856</v>
      </c>
      <c r="AO29" t="s">
        <v>857</v>
      </c>
      <c r="AQ29" t="s">
        <v>858</v>
      </c>
      <c r="AR29" t="s">
        <v>859</v>
      </c>
      <c r="AS29" t="s">
        <v>860</v>
      </c>
      <c r="AV29" t="s">
        <v>861</v>
      </c>
      <c r="AX29" t="s">
        <v>862</v>
      </c>
      <c r="AY29" t="s">
        <v>863</v>
      </c>
      <c r="AZ29" t="s">
        <v>864</v>
      </c>
      <c r="BA29" t="s">
        <v>865</v>
      </c>
      <c r="BF29" t="s">
        <v>866</v>
      </c>
      <c r="BH29" t="s">
        <v>867</v>
      </c>
      <c r="BI29" t="s">
        <v>868</v>
      </c>
    </row>
    <row r="30" spans="2:61">
      <c r="E30" t="s">
        <v>869</v>
      </c>
      <c r="I30" t="s">
        <v>870</v>
      </c>
      <c r="J30" t="s">
        <v>528</v>
      </c>
      <c r="AD30" t="s">
        <v>270</v>
      </c>
      <c r="AF30" t="s">
        <v>871</v>
      </c>
      <c r="AJ30" t="s">
        <v>872</v>
      </c>
      <c r="AK30" t="s">
        <v>873</v>
      </c>
      <c r="AO30" t="s">
        <v>874</v>
      </c>
      <c r="AQ30" t="s">
        <v>875</v>
      </c>
      <c r="AR30" t="s">
        <v>876</v>
      </c>
      <c r="AS30" t="s">
        <v>877</v>
      </c>
      <c r="AV30" t="s">
        <v>878</v>
      </c>
      <c r="AX30" t="s">
        <v>879</v>
      </c>
      <c r="AY30" t="s">
        <v>880</v>
      </c>
      <c r="AZ30" t="s">
        <v>881</v>
      </c>
      <c r="BA30" t="s">
        <v>437</v>
      </c>
      <c r="BF30" t="s">
        <v>589</v>
      </c>
      <c r="BH30" t="s">
        <v>882</v>
      </c>
      <c r="BI30" t="s">
        <v>883</v>
      </c>
    </row>
    <row r="31" spans="2:61">
      <c r="E31" t="s">
        <v>884</v>
      </c>
      <c r="I31" t="s">
        <v>885</v>
      </c>
      <c r="J31" t="s">
        <v>886</v>
      </c>
      <c r="AD31" t="s">
        <v>830</v>
      </c>
      <c r="AF31" t="s">
        <v>887</v>
      </c>
      <c r="AJ31" t="s">
        <v>888</v>
      </c>
      <c r="AK31" t="s">
        <v>889</v>
      </c>
      <c r="AO31" t="s">
        <v>890</v>
      </c>
      <c r="AQ31" t="s">
        <v>891</v>
      </c>
      <c r="AR31" t="s">
        <v>892</v>
      </c>
      <c r="AS31" t="s">
        <v>893</v>
      </c>
      <c r="AV31" t="s">
        <v>894</v>
      </c>
      <c r="AX31" t="s">
        <v>895</v>
      </c>
      <c r="AY31" t="s">
        <v>896</v>
      </c>
      <c r="AZ31" t="s">
        <v>897</v>
      </c>
      <c r="BA31" t="s">
        <v>898</v>
      </c>
      <c r="BF31" t="s">
        <v>899</v>
      </c>
      <c r="BH31" t="s">
        <v>900</v>
      </c>
      <c r="BI31" t="s">
        <v>763</v>
      </c>
    </row>
    <row r="32" spans="2:61">
      <c r="E32" t="s">
        <v>901</v>
      </c>
      <c r="I32" t="s">
        <v>902</v>
      </c>
      <c r="J32" t="s">
        <v>903</v>
      </c>
      <c r="AD32" t="s">
        <v>311</v>
      </c>
      <c r="AF32" t="s">
        <v>904</v>
      </c>
      <c r="AJ32" t="s">
        <v>905</v>
      </c>
      <c r="AK32" t="s">
        <v>906</v>
      </c>
      <c r="AO32" t="s">
        <v>907</v>
      </c>
      <c r="AQ32" t="s">
        <v>908</v>
      </c>
      <c r="AR32" t="s">
        <v>909</v>
      </c>
      <c r="AS32" t="s">
        <v>910</v>
      </c>
      <c r="AV32" t="s">
        <v>911</v>
      </c>
      <c r="AX32" t="s">
        <v>912</v>
      </c>
      <c r="AZ32" t="s">
        <v>913</v>
      </c>
      <c r="BA32" t="s">
        <v>914</v>
      </c>
      <c r="BF32" t="s">
        <v>915</v>
      </c>
      <c r="BH32" t="s">
        <v>916</v>
      </c>
      <c r="BI32" t="s">
        <v>917</v>
      </c>
    </row>
    <row r="33" spans="5:61">
      <c r="E33" t="s">
        <v>918</v>
      </c>
      <c r="I33" t="s">
        <v>919</v>
      </c>
      <c r="J33" t="s">
        <v>920</v>
      </c>
      <c r="AD33" t="s">
        <v>921</v>
      </c>
      <c r="AF33" t="s">
        <v>922</v>
      </c>
      <c r="AJ33" t="s">
        <v>923</v>
      </c>
      <c r="AK33" t="s">
        <v>924</v>
      </c>
      <c r="AO33" t="s">
        <v>925</v>
      </c>
      <c r="AS33" t="s">
        <v>926</v>
      </c>
      <c r="AV33" t="s">
        <v>927</v>
      </c>
      <c r="AZ33" t="s">
        <v>928</v>
      </c>
      <c r="BA33" t="s">
        <v>929</v>
      </c>
      <c r="BF33" t="s">
        <v>930</v>
      </c>
      <c r="BH33" t="s">
        <v>931</v>
      </c>
      <c r="BI33" t="s">
        <v>932</v>
      </c>
    </row>
    <row r="34" spans="5:61">
      <c r="E34" t="s">
        <v>933</v>
      </c>
      <c r="I34" t="s">
        <v>934</v>
      </c>
      <c r="J34" t="s">
        <v>935</v>
      </c>
      <c r="AD34" t="s">
        <v>936</v>
      </c>
      <c r="AF34" t="s">
        <v>937</v>
      </c>
      <c r="AJ34" t="s">
        <v>938</v>
      </c>
      <c r="AK34" t="s">
        <v>939</v>
      </c>
      <c r="AO34" t="s">
        <v>940</v>
      </c>
      <c r="AS34" t="s">
        <v>941</v>
      </c>
      <c r="AV34" t="s">
        <v>942</v>
      </c>
      <c r="AZ34" t="s">
        <v>943</v>
      </c>
      <c r="BA34" t="s">
        <v>944</v>
      </c>
      <c r="BF34" t="s">
        <v>945</v>
      </c>
      <c r="BH34" t="s">
        <v>946</v>
      </c>
      <c r="BI34" t="s">
        <v>743</v>
      </c>
    </row>
    <row r="35" spans="5:61">
      <c r="E35" t="s">
        <v>947</v>
      </c>
      <c r="I35" t="s">
        <v>948</v>
      </c>
      <c r="J35" t="s">
        <v>558</v>
      </c>
      <c r="AD35" t="s">
        <v>949</v>
      </c>
      <c r="AF35" t="s">
        <v>950</v>
      </c>
      <c r="AJ35" t="s">
        <v>951</v>
      </c>
      <c r="AK35" t="s">
        <v>952</v>
      </c>
      <c r="AO35" t="s">
        <v>953</v>
      </c>
      <c r="AS35" t="s">
        <v>954</v>
      </c>
      <c r="AV35" t="s">
        <v>955</v>
      </c>
      <c r="AZ35" t="s">
        <v>458</v>
      </c>
      <c r="BA35" t="s">
        <v>455</v>
      </c>
      <c r="BF35" t="s">
        <v>956</v>
      </c>
      <c r="BH35" t="s">
        <v>957</v>
      </c>
      <c r="BI35" t="s">
        <v>958</v>
      </c>
    </row>
    <row r="36" spans="5:61">
      <c r="E36" t="s">
        <v>959</v>
      </c>
      <c r="I36" t="s">
        <v>960</v>
      </c>
      <c r="J36" t="s">
        <v>961</v>
      </c>
      <c r="AF36" t="s">
        <v>962</v>
      </c>
      <c r="AJ36" t="s">
        <v>963</v>
      </c>
      <c r="AK36" t="s">
        <v>964</v>
      </c>
      <c r="AO36" t="s">
        <v>965</v>
      </c>
      <c r="AS36" t="s">
        <v>966</v>
      </c>
      <c r="AV36" t="s">
        <v>967</v>
      </c>
      <c r="AZ36" t="s">
        <v>968</v>
      </c>
      <c r="BA36" t="s">
        <v>969</v>
      </c>
      <c r="BF36" t="s">
        <v>970</v>
      </c>
      <c r="BH36" t="s">
        <v>971</v>
      </c>
      <c r="BI36" t="s">
        <v>972</v>
      </c>
    </row>
    <row r="37" spans="5:61">
      <c r="E37" t="s">
        <v>973</v>
      </c>
      <c r="I37" t="s">
        <v>974</v>
      </c>
      <c r="J37" t="s">
        <v>975</v>
      </c>
      <c r="AF37" t="s">
        <v>976</v>
      </c>
      <c r="AJ37" t="s">
        <v>977</v>
      </c>
      <c r="AK37" t="s">
        <v>978</v>
      </c>
      <c r="AO37" t="s">
        <v>979</v>
      </c>
      <c r="AS37" t="s">
        <v>980</v>
      </c>
      <c r="AV37" t="s">
        <v>981</v>
      </c>
      <c r="AZ37" t="s">
        <v>982</v>
      </c>
      <c r="BA37" t="s">
        <v>983</v>
      </c>
      <c r="BF37" t="s">
        <v>984</v>
      </c>
      <c r="BH37" t="s">
        <v>985</v>
      </c>
      <c r="BI37" t="s">
        <v>986</v>
      </c>
    </row>
    <row r="38" spans="5:61">
      <c r="E38" t="s">
        <v>987</v>
      </c>
      <c r="I38" t="s">
        <v>988</v>
      </c>
      <c r="J38" t="s">
        <v>989</v>
      </c>
      <c r="AF38" t="s">
        <v>742</v>
      </c>
      <c r="AJ38" t="s">
        <v>990</v>
      </c>
      <c r="AK38" t="s">
        <v>991</v>
      </c>
      <c r="AO38" t="s">
        <v>992</v>
      </c>
      <c r="AS38" t="s">
        <v>993</v>
      </c>
      <c r="AV38" t="s">
        <v>994</v>
      </c>
      <c r="AZ38" t="s">
        <v>995</v>
      </c>
      <c r="BA38" t="s">
        <v>996</v>
      </c>
      <c r="BF38" t="s">
        <v>997</v>
      </c>
      <c r="BH38" t="s">
        <v>998</v>
      </c>
      <c r="BI38" t="s">
        <v>999</v>
      </c>
    </row>
    <row r="39" spans="5:61">
      <c r="I39" t="s">
        <v>1000</v>
      </c>
      <c r="J39" t="s">
        <v>1001</v>
      </c>
      <c r="AF39" t="s">
        <v>339</v>
      </c>
      <c r="AJ39" t="s">
        <v>940</v>
      </c>
      <c r="AK39" t="s">
        <v>1002</v>
      </c>
      <c r="AO39" t="s">
        <v>830</v>
      </c>
      <c r="AS39" t="s">
        <v>1003</v>
      </c>
      <c r="AV39" t="s">
        <v>1004</v>
      </c>
      <c r="AZ39" t="s">
        <v>1005</v>
      </c>
      <c r="BA39" t="s">
        <v>1006</v>
      </c>
      <c r="BF39" t="s">
        <v>1007</v>
      </c>
      <c r="BH39" t="s">
        <v>1008</v>
      </c>
      <c r="BI39" t="s">
        <v>1009</v>
      </c>
    </row>
    <row r="40" spans="5:61">
      <c r="I40" t="s">
        <v>1010</v>
      </c>
      <c r="J40" t="s">
        <v>1011</v>
      </c>
      <c r="AF40" t="s">
        <v>1012</v>
      </c>
      <c r="AJ40" t="s">
        <v>1013</v>
      </c>
      <c r="AK40" t="s">
        <v>1014</v>
      </c>
      <c r="AO40" t="s">
        <v>1015</v>
      </c>
      <c r="AS40" t="s">
        <v>486</v>
      </c>
      <c r="AZ40" t="s">
        <v>1016</v>
      </c>
      <c r="BA40" t="s">
        <v>1017</v>
      </c>
      <c r="BF40" t="s">
        <v>1018</v>
      </c>
      <c r="BH40" t="s">
        <v>1019</v>
      </c>
      <c r="BI40" t="s">
        <v>1020</v>
      </c>
    </row>
    <row r="41" spans="5:61">
      <c r="I41" t="s">
        <v>1021</v>
      </c>
      <c r="J41" t="s">
        <v>1022</v>
      </c>
      <c r="AF41" t="s">
        <v>1023</v>
      </c>
      <c r="AJ41" t="s">
        <v>1024</v>
      </c>
      <c r="AK41" t="s">
        <v>1025</v>
      </c>
      <c r="AO41" t="s">
        <v>1026</v>
      </c>
      <c r="AS41" t="s">
        <v>1027</v>
      </c>
      <c r="AZ41" t="s">
        <v>1028</v>
      </c>
      <c r="BA41" t="s">
        <v>1029</v>
      </c>
      <c r="BF41" t="s">
        <v>514</v>
      </c>
      <c r="BH41" t="s">
        <v>1030</v>
      </c>
      <c r="BI41" t="s">
        <v>1031</v>
      </c>
    </row>
    <row r="42" spans="5:61">
      <c r="I42" t="s">
        <v>1032</v>
      </c>
      <c r="J42" t="s">
        <v>1033</v>
      </c>
      <c r="AF42" t="s">
        <v>1034</v>
      </c>
      <c r="AJ42" t="s">
        <v>1035</v>
      </c>
      <c r="AK42" t="s">
        <v>1036</v>
      </c>
      <c r="AO42" t="s">
        <v>1037</v>
      </c>
      <c r="AS42" t="s">
        <v>1038</v>
      </c>
      <c r="AZ42" t="s">
        <v>750</v>
      </c>
      <c r="BA42" t="s">
        <v>1039</v>
      </c>
      <c r="BF42" t="s">
        <v>1040</v>
      </c>
      <c r="BH42" t="s">
        <v>1041</v>
      </c>
      <c r="BI42" t="s">
        <v>1042</v>
      </c>
    </row>
    <row r="43" spans="5:61">
      <c r="I43" t="s">
        <v>1043</v>
      </c>
      <c r="J43" t="s">
        <v>585</v>
      </c>
      <c r="AF43" t="s">
        <v>1044</v>
      </c>
      <c r="AJ43" t="s">
        <v>1045</v>
      </c>
      <c r="AK43" t="s">
        <v>1046</v>
      </c>
      <c r="AO43" t="s">
        <v>1047</v>
      </c>
      <c r="AS43" t="s">
        <v>1048</v>
      </c>
      <c r="AZ43" t="s">
        <v>1049</v>
      </c>
      <c r="BF43" t="s">
        <v>1050</v>
      </c>
      <c r="BH43" t="s">
        <v>1051</v>
      </c>
      <c r="BI43" t="s">
        <v>1052</v>
      </c>
    </row>
    <row r="44" spans="5:61">
      <c r="I44" t="s">
        <v>1053</v>
      </c>
      <c r="J44" t="s">
        <v>1054</v>
      </c>
      <c r="AF44" t="s">
        <v>1055</v>
      </c>
      <c r="AJ44" t="s">
        <v>1056</v>
      </c>
      <c r="AK44" t="s">
        <v>1057</v>
      </c>
      <c r="AO44" t="s">
        <v>1058</v>
      </c>
      <c r="AS44" t="s">
        <v>1059</v>
      </c>
      <c r="AZ44" t="s">
        <v>1060</v>
      </c>
      <c r="BF44" t="s">
        <v>1061</v>
      </c>
      <c r="BH44" t="s">
        <v>1062</v>
      </c>
      <c r="BI44" t="s">
        <v>1063</v>
      </c>
    </row>
    <row r="45" spans="5:61">
      <c r="I45" t="s">
        <v>1064</v>
      </c>
      <c r="J45" t="s">
        <v>635</v>
      </c>
      <c r="AF45" t="s">
        <v>1065</v>
      </c>
      <c r="AJ45" t="s">
        <v>1066</v>
      </c>
      <c r="AK45" t="s">
        <v>1067</v>
      </c>
      <c r="AS45" t="s">
        <v>1068</v>
      </c>
      <c r="AZ45" t="s">
        <v>1069</v>
      </c>
      <c r="BF45" t="s">
        <v>1070</v>
      </c>
      <c r="BH45" t="s">
        <v>992</v>
      </c>
    </row>
    <row r="46" spans="5:61">
      <c r="I46" t="s">
        <v>1071</v>
      </c>
      <c r="J46" t="s">
        <v>1072</v>
      </c>
      <c r="AF46" t="s">
        <v>1073</v>
      </c>
      <c r="AJ46" t="s">
        <v>1074</v>
      </c>
      <c r="AK46" t="s">
        <v>1075</v>
      </c>
      <c r="AS46" t="s">
        <v>1076</v>
      </c>
      <c r="AZ46" t="s">
        <v>1077</v>
      </c>
      <c r="BF46" t="s">
        <v>1078</v>
      </c>
      <c r="BH46" t="s">
        <v>1079</v>
      </c>
    </row>
    <row r="47" spans="5:61">
      <c r="I47" t="s">
        <v>1080</v>
      </c>
      <c r="AF47" t="s">
        <v>1081</v>
      </c>
      <c r="AJ47" t="s">
        <v>600</v>
      </c>
      <c r="AK47" t="s">
        <v>1082</v>
      </c>
      <c r="AS47" t="s">
        <v>1083</v>
      </c>
      <c r="AZ47" t="s">
        <v>1084</v>
      </c>
      <c r="BF47" t="s">
        <v>1085</v>
      </c>
      <c r="BH47" t="s">
        <v>1086</v>
      </c>
    </row>
    <row r="48" spans="5:61">
      <c r="AF48" t="s">
        <v>1087</v>
      </c>
      <c r="AJ48" t="s">
        <v>1088</v>
      </c>
      <c r="AK48" t="s">
        <v>1089</v>
      </c>
      <c r="AS48" t="s">
        <v>1090</v>
      </c>
      <c r="AZ48" t="s">
        <v>67</v>
      </c>
      <c r="BF48" t="s">
        <v>595</v>
      </c>
      <c r="BH48" t="s">
        <v>1091</v>
      </c>
    </row>
    <row r="49" spans="32:60">
      <c r="AF49" t="s">
        <v>1092</v>
      </c>
      <c r="AK49" t="s">
        <v>1093</v>
      </c>
      <c r="AS49" t="s">
        <v>1094</v>
      </c>
      <c r="AZ49" t="s">
        <v>1095</v>
      </c>
      <c r="BF49" t="s">
        <v>1096</v>
      </c>
      <c r="BH49" t="s">
        <v>1097</v>
      </c>
    </row>
    <row r="50" spans="32:60">
      <c r="AF50" t="s">
        <v>1098</v>
      </c>
      <c r="AK50" t="s">
        <v>194</v>
      </c>
      <c r="AS50" t="s">
        <v>1099</v>
      </c>
      <c r="AZ50" t="s">
        <v>1100</v>
      </c>
      <c r="BF50" t="s">
        <v>1101</v>
      </c>
    </row>
    <row r="51" spans="32:60">
      <c r="AF51" t="s">
        <v>1102</v>
      </c>
      <c r="AK51" t="s">
        <v>1103</v>
      </c>
      <c r="AS51" t="s">
        <v>1104</v>
      </c>
      <c r="AZ51" t="s">
        <v>1105</v>
      </c>
      <c r="BF51" t="s">
        <v>1106</v>
      </c>
    </row>
    <row r="52" spans="32:60">
      <c r="AF52" t="s">
        <v>1107</v>
      </c>
      <c r="AK52" t="s">
        <v>1108</v>
      </c>
      <c r="AS52" t="s">
        <v>1109</v>
      </c>
      <c r="AZ52" t="s">
        <v>1110</v>
      </c>
      <c r="BF52" t="s">
        <v>1111</v>
      </c>
    </row>
    <row r="53" spans="32:60">
      <c r="AF53" t="s">
        <v>1112</v>
      </c>
      <c r="AK53" t="s">
        <v>1113</v>
      </c>
      <c r="AS53" t="s">
        <v>1114</v>
      </c>
      <c r="AZ53" t="s">
        <v>1115</v>
      </c>
      <c r="BF53" t="s">
        <v>1116</v>
      </c>
    </row>
    <row r="54" spans="32:60">
      <c r="AF54" t="s">
        <v>486</v>
      </c>
      <c r="AK54" t="s">
        <v>161</v>
      </c>
      <c r="AS54" t="s">
        <v>1117</v>
      </c>
      <c r="AZ54" t="s">
        <v>1118</v>
      </c>
      <c r="BF54" t="s">
        <v>1119</v>
      </c>
    </row>
    <row r="55" spans="32:60">
      <c r="AF55" t="s">
        <v>514</v>
      </c>
      <c r="AK55" t="s">
        <v>1120</v>
      </c>
      <c r="AS55" t="s">
        <v>643</v>
      </c>
      <c r="AZ55" t="s">
        <v>1121</v>
      </c>
      <c r="BF55" t="s">
        <v>1122</v>
      </c>
    </row>
    <row r="56" spans="32:60">
      <c r="AF56" t="s">
        <v>1123</v>
      </c>
      <c r="AK56" t="s">
        <v>1124</v>
      </c>
      <c r="AS56" t="s">
        <v>1125</v>
      </c>
      <c r="AZ56" t="s">
        <v>977</v>
      </c>
      <c r="BF56" t="s">
        <v>1126</v>
      </c>
    </row>
    <row r="57" spans="32:60">
      <c r="AF57" t="s">
        <v>1127</v>
      </c>
      <c r="AK57" t="s">
        <v>1128</v>
      </c>
      <c r="AS57" t="s">
        <v>1129</v>
      </c>
      <c r="AZ57" t="s">
        <v>1130</v>
      </c>
      <c r="BF57" t="s">
        <v>1131</v>
      </c>
    </row>
    <row r="58" spans="32:60">
      <c r="AF58" t="s">
        <v>1132</v>
      </c>
      <c r="AK58" t="s">
        <v>1133</v>
      </c>
      <c r="AS58" t="s">
        <v>1134</v>
      </c>
      <c r="AZ58" t="s">
        <v>1135</v>
      </c>
      <c r="BF58" t="s">
        <v>1136</v>
      </c>
    </row>
    <row r="59" spans="32:60">
      <c r="AF59" t="s">
        <v>1137</v>
      </c>
      <c r="AK59" t="s">
        <v>1138</v>
      </c>
      <c r="AS59" t="s">
        <v>1139</v>
      </c>
      <c r="AZ59" t="s">
        <v>1140</v>
      </c>
      <c r="BF59" t="s">
        <v>1141</v>
      </c>
    </row>
    <row r="60" spans="32:60">
      <c r="AF60" t="s">
        <v>1142</v>
      </c>
      <c r="AK60" t="s">
        <v>1143</v>
      </c>
      <c r="AS60" t="s">
        <v>1144</v>
      </c>
      <c r="AZ60" t="s">
        <v>1145</v>
      </c>
      <c r="BF60" t="s">
        <v>1146</v>
      </c>
    </row>
    <row r="61" spans="32:60">
      <c r="AF61" t="s">
        <v>1147</v>
      </c>
      <c r="AK61" t="s">
        <v>1148</v>
      </c>
      <c r="AS61" t="s">
        <v>1028</v>
      </c>
      <c r="AZ61" t="s">
        <v>1149</v>
      </c>
      <c r="BF61" t="s">
        <v>1150</v>
      </c>
    </row>
    <row r="62" spans="32:60">
      <c r="AF62" t="s">
        <v>1151</v>
      </c>
      <c r="AK62" t="s">
        <v>1152</v>
      </c>
      <c r="AS62" t="s">
        <v>750</v>
      </c>
      <c r="AZ62" t="s">
        <v>1153</v>
      </c>
      <c r="BF62" t="s">
        <v>1154</v>
      </c>
    </row>
    <row r="63" spans="32:60">
      <c r="AF63" t="s">
        <v>1082</v>
      </c>
      <c r="AK63" t="s">
        <v>1155</v>
      </c>
      <c r="AS63" t="s">
        <v>1156</v>
      </c>
      <c r="AZ63" t="s">
        <v>1157</v>
      </c>
      <c r="BF63" t="s">
        <v>1158</v>
      </c>
    </row>
    <row r="64" spans="32:60">
      <c r="AF64" t="s">
        <v>1159</v>
      </c>
      <c r="AK64" t="s">
        <v>1160</v>
      </c>
      <c r="AS64" t="s">
        <v>1161</v>
      </c>
      <c r="AZ64" t="s">
        <v>1162</v>
      </c>
      <c r="BF64" t="s">
        <v>1163</v>
      </c>
    </row>
    <row r="65" spans="32:58">
      <c r="AF65" t="s">
        <v>1164</v>
      </c>
      <c r="AK65" t="s">
        <v>778</v>
      </c>
      <c r="AS65" t="s">
        <v>1165</v>
      </c>
      <c r="AZ65" t="s">
        <v>1166</v>
      </c>
      <c r="BF65" t="s">
        <v>1167</v>
      </c>
    </row>
    <row r="66" spans="32:58">
      <c r="AF66" t="s">
        <v>1168</v>
      </c>
      <c r="AK66" t="s">
        <v>1169</v>
      </c>
      <c r="AS66" t="s">
        <v>1170</v>
      </c>
      <c r="AZ66" t="s">
        <v>1171</v>
      </c>
      <c r="BF66" t="s">
        <v>1172</v>
      </c>
    </row>
    <row r="67" spans="32:58">
      <c r="AF67" t="s">
        <v>458</v>
      </c>
      <c r="AK67" t="s">
        <v>1173</v>
      </c>
      <c r="AS67" t="s">
        <v>1174</v>
      </c>
      <c r="BF67" t="s">
        <v>1175</v>
      </c>
    </row>
    <row r="68" spans="32:58">
      <c r="AF68" t="s">
        <v>1176</v>
      </c>
      <c r="AK68" t="s">
        <v>1177</v>
      </c>
      <c r="AS68" t="s">
        <v>1178</v>
      </c>
      <c r="BF68" t="s">
        <v>1179</v>
      </c>
    </row>
    <row r="69" spans="32:58">
      <c r="AF69" t="s">
        <v>1180</v>
      </c>
      <c r="AK69" t="s">
        <v>1181</v>
      </c>
      <c r="AS69" t="s">
        <v>1182</v>
      </c>
      <c r="BF69" t="s">
        <v>1183</v>
      </c>
    </row>
    <row r="70" spans="32:58">
      <c r="AF70" t="s">
        <v>1184</v>
      </c>
      <c r="AK70" t="s">
        <v>1185</v>
      </c>
      <c r="AS70" t="s">
        <v>1186</v>
      </c>
      <c r="BF70" t="s">
        <v>122</v>
      </c>
    </row>
    <row r="71" spans="32:58">
      <c r="AF71" t="s">
        <v>226</v>
      </c>
      <c r="AK71" t="s">
        <v>1187</v>
      </c>
      <c r="AS71" t="s">
        <v>1188</v>
      </c>
      <c r="BF71" t="s">
        <v>1189</v>
      </c>
    </row>
    <row r="72" spans="32:58">
      <c r="AF72" t="s">
        <v>1190</v>
      </c>
      <c r="AK72" t="s">
        <v>1191</v>
      </c>
      <c r="AS72" t="s">
        <v>1192</v>
      </c>
      <c r="BF72" t="s">
        <v>1193</v>
      </c>
    </row>
    <row r="73" spans="32:58">
      <c r="AF73" t="s">
        <v>1194</v>
      </c>
      <c r="AK73" t="s">
        <v>1195</v>
      </c>
      <c r="AS73" t="s">
        <v>1196</v>
      </c>
      <c r="BF73" t="s">
        <v>1197</v>
      </c>
    </row>
    <row r="74" spans="32:58">
      <c r="AF74" t="s">
        <v>1198</v>
      </c>
      <c r="AK74" t="s">
        <v>1199</v>
      </c>
      <c r="AS74" t="s">
        <v>1200</v>
      </c>
      <c r="BF74" t="s">
        <v>1201</v>
      </c>
    </row>
    <row r="75" spans="32:58">
      <c r="AF75" t="s">
        <v>750</v>
      </c>
      <c r="AK75" t="s">
        <v>1202</v>
      </c>
      <c r="AS75" t="s">
        <v>1203</v>
      </c>
      <c r="BF75" t="s">
        <v>419</v>
      </c>
    </row>
    <row r="76" spans="32:58">
      <c r="AF76" t="s">
        <v>1204</v>
      </c>
      <c r="AK76" t="s">
        <v>1205</v>
      </c>
      <c r="AS76" t="s">
        <v>1206</v>
      </c>
      <c r="BF76" t="s">
        <v>1207</v>
      </c>
    </row>
    <row r="77" spans="32:58">
      <c r="AF77" t="s">
        <v>1208</v>
      </c>
      <c r="AK77" t="s">
        <v>1209</v>
      </c>
      <c r="AS77" t="s">
        <v>1105</v>
      </c>
      <c r="BF77" t="s">
        <v>1140</v>
      </c>
    </row>
    <row r="78" spans="32:58">
      <c r="AF78" t="s">
        <v>1210</v>
      </c>
      <c r="AK78" t="s">
        <v>1211</v>
      </c>
      <c r="AS78" t="s">
        <v>1212</v>
      </c>
      <c r="BF78" t="s">
        <v>1213</v>
      </c>
    </row>
    <row r="79" spans="32:58">
      <c r="AF79" t="s">
        <v>1214</v>
      </c>
      <c r="AK79" t="s">
        <v>1215</v>
      </c>
      <c r="AS79" t="s">
        <v>1118</v>
      </c>
      <c r="BF79" t="s">
        <v>1216</v>
      </c>
    </row>
    <row r="80" spans="32:58">
      <c r="AF80" t="s">
        <v>1217</v>
      </c>
      <c r="AK80" t="s">
        <v>1218</v>
      </c>
      <c r="AS80" t="s">
        <v>944</v>
      </c>
      <c r="BF80" t="s">
        <v>1219</v>
      </c>
    </row>
    <row r="81" spans="32:58">
      <c r="AF81" t="s">
        <v>1220</v>
      </c>
      <c r="AK81" t="s">
        <v>1221</v>
      </c>
      <c r="AS81" t="s">
        <v>382</v>
      </c>
      <c r="BF81" t="s">
        <v>1222</v>
      </c>
    </row>
    <row r="82" spans="32:58">
      <c r="AF82" t="s">
        <v>1223</v>
      </c>
      <c r="AK82" t="s">
        <v>1224</v>
      </c>
      <c r="AS82" t="s">
        <v>1225</v>
      </c>
      <c r="BF82" t="s">
        <v>830</v>
      </c>
    </row>
    <row r="83" spans="32:58">
      <c r="AF83" t="s">
        <v>1226</v>
      </c>
      <c r="AK83" t="s">
        <v>1227</v>
      </c>
      <c r="AS83" t="s">
        <v>1228</v>
      </c>
      <c r="BF83" t="s">
        <v>1229</v>
      </c>
    </row>
    <row r="84" spans="32:58">
      <c r="AF84" t="s">
        <v>1230</v>
      </c>
      <c r="AK84" t="s">
        <v>1231</v>
      </c>
      <c r="AS84" t="s">
        <v>1232</v>
      </c>
      <c r="BF84" t="s">
        <v>1233</v>
      </c>
    </row>
    <row r="85" spans="32:58">
      <c r="AF85" t="s">
        <v>1234</v>
      </c>
      <c r="AK85" t="s">
        <v>1235</v>
      </c>
      <c r="AS85" t="s">
        <v>1236</v>
      </c>
      <c r="BF85" t="s">
        <v>1237</v>
      </c>
    </row>
    <row r="86" spans="32:58">
      <c r="AF86" t="s">
        <v>1238</v>
      </c>
      <c r="AK86" t="s">
        <v>1239</v>
      </c>
      <c r="AS86" t="s">
        <v>1240</v>
      </c>
      <c r="BF86" t="s">
        <v>1241</v>
      </c>
    </row>
    <row r="87" spans="32:58">
      <c r="AF87" t="s">
        <v>1179</v>
      </c>
      <c r="AK87" t="s">
        <v>1242</v>
      </c>
      <c r="AS87" t="s">
        <v>1243</v>
      </c>
      <c r="BF87" t="s">
        <v>1244</v>
      </c>
    </row>
    <row r="88" spans="32:58">
      <c r="AF88" t="s">
        <v>508</v>
      </c>
      <c r="AK88" t="s">
        <v>894</v>
      </c>
      <c r="AS88" t="s">
        <v>1245</v>
      </c>
      <c r="BF88" t="s">
        <v>600</v>
      </c>
    </row>
    <row r="89" spans="32:58">
      <c r="AF89" t="s">
        <v>1246</v>
      </c>
      <c r="AK89" t="s">
        <v>1247</v>
      </c>
      <c r="AS89" t="s">
        <v>1248</v>
      </c>
      <c r="BF89" t="s">
        <v>1249</v>
      </c>
    </row>
    <row r="90" spans="32:58">
      <c r="AF90" t="s">
        <v>1250</v>
      </c>
      <c r="AK90" t="s">
        <v>1251</v>
      </c>
      <c r="AS90" t="s">
        <v>1252</v>
      </c>
    </row>
    <row r="91" spans="32:58">
      <c r="AF91" t="s">
        <v>122</v>
      </c>
      <c r="AK91" t="s">
        <v>1253</v>
      </c>
      <c r="AS91" t="s">
        <v>1254</v>
      </c>
    </row>
    <row r="92" spans="32:58">
      <c r="AF92" t="s">
        <v>823</v>
      </c>
      <c r="AK92" t="s">
        <v>1255</v>
      </c>
      <c r="AS92" t="s">
        <v>1256</v>
      </c>
    </row>
    <row r="93" spans="32:58">
      <c r="AF93" t="s">
        <v>382</v>
      </c>
      <c r="AK93" t="s">
        <v>1257</v>
      </c>
      <c r="AS93" t="s">
        <v>1258</v>
      </c>
    </row>
    <row r="94" spans="32:58">
      <c r="AF94" t="s">
        <v>1259</v>
      </c>
      <c r="AK94" t="s">
        <v>1260</v>
      </c>
      <c r="AS94" t="s">
        <v>1261</v>
      </c>
    </row>
    <row r="95" spans="32:58">
      <c r="AF95" t="s">
        <v>1262</v>
      </c>
      <c r="AK95" t="s">
        <v>1263</v>
      </c>
      <c r="AS95" t="s">
        <v>1264</v>
      </c>
    </row>
    <row r="96" spans="32:58">
      <c r="AF96" t="s">
        <v>1265</v>
      </c>
      <c r="AK96" t="s">
        <v>1266</v>
      </c>
      <c r="AS96" t="s">
        <v>1267</v>
      </c>
    </row>
    <row r="97" spans="32:45">
      <c r="AF97" t="s">
        <v>1051</v>
      </c>
      <c r="AK97" t="s">
        <v>1268</v>
      </c>
      <c r="AS97" t="s">
        <v>1269</v>
      </c>
    </row>
    <row r="98" spans="32:45">
      <c r="AF98" t="s">
        <v>743</v>
      </c>
      <c r="AK98" t="s">
        <v>1270</v>
      </c>
      <c r="AS98" t="s">
        <v>1271</v>
      </c>
    </row>
    <row r="99" spans="32:45">
      <c r="AF99" t="s">
        <v>1272</v>
      </c>
      <c r="AK99" t="s">
        <v>1273</v>
      </c>
      <c r="AS99" t="s">
        <v>1274</v>
      </c>
    </row>
    <row r="100" spans="32:45">
      <c r="AF100" t="s">
        <v>1275</v>
      </c>
      <c r="AK100" t="s">
        <v>1276</v>
      </c>
      <c r="AS100" t="s">
        <v>1277</v>
      </c>
    </row>
    <row r="101" spans="32:45">
      <c r="AF101" t="s">
        <v>1278</v>
      </c>
      <c r="AK101" t="s">
        <v>1279</v>
      </c>
      <c r="AS101" t="s">
        <v>1280</v>
      </c>
    </row>
    <row r="102" spans="32:45">
      <c r="AF102" t="s">
        <v>1281</v>
      </c>
      <c r="AK102" t="s">
        <v>1282</v>
      </c>
      <c r="AS102" t="s">
        <v>1283</v>
      </c>
    </row>
    <row r="103" spans="32:45">
      <c r="AF103" t="s">
        <v>1140</v>
      </c>
      <c r="AK103" t="s">
        <v>1284</v>
      </c>
      <c r="AS103" t="s">
        <v>1285</v>
      </c>
    </row>
    <row r="104" spans="32:45">
      <c r="AF104" t="s">
        <v>1286</v>
      </c>
      <c r="AK104" t="s">
        <v>1287</v>
      </c>
      <c r="AS104" t="s">
        <v>1288</v>
      </c>
    </row>
    <row r="105" spans="32:45">
      <c r="AF105" t="s">
        <v>1289</v>
      </c>
      <c r="AK105" t="s">
        <v>1290</v>
      </c>
      <c r="AS105" t="s">
        <v>1291</v>
      </c>
    </row>
    <row r="106" spans="32:45">
      <c r="AF106" t="s">
        <v>1292</v>
      </c>
      <c r="AK106" t="s">
        <v>1293</v>
      </c>
      <c r="AS106" t="s">
        <v>1294</v>
      </c>
    </row>
    <row r="107" spans="32:45">
      <c r="AF107" t="s">
        <v>1295</v>
      </c>
      <c r="AK107" t="s">
        <v>1296</v>
      </c>
      <c r="AS107" t="s">
        <v>1297</v>
      </c>
    </row>
    <row r="108" spans="32:45">
      <c r="AF108" t="s">
        <v>1298</v>
      </c>
      <c r="AK108" t="s">
        <v>1299</v>
      </c>
      <c r="AS108" t="s">
        <v>1300</v>
      </c>
    </row>
    <row r="109" spans="32:45">
      <c r="AF109" t="s">
        <v>1301</v>
      </c>
      <c r="AK109" t="s">
        <v>1302</v>
      </c>
      <c r="AS109" t="s">
        <v>1303</v>
      </c>
    </row>
    <row r="110" spans="32:45">
      <c r="AF110" t="s">
        <v>1304</v>
      </c>
      <c r="AK110" t="s">
        <v>1305</v>
      </c>
      <c r="AS110" t="s">
        <v>1306</v>
      </c>
    </row>
    <row r="111" spans="32:45">
      <c r="AF111" t="s">
        <v>1307</v>
      </c>
      <c r="AK111" t="s">
        <v>1308</v>
      </c>
      <c r="AS111" t="s">
        <v>1309</v>
      </c>
    </row>
    <row r="112" spans="32:45">
      <c r="AF112" t="s">
        <v>1310</v>
      </c>
      <c r="AK112" t="s">
        <v>1311</v>
      </c>
      <c r="AS112" t="s">
        <v>1312</v>
      </c>
    </row>
    <row r="113" spans="32:45">
      <c r="AF113" t="s">
        <v>1313</v>
      </c>
      <c r="AK113" t="s">
        <v>1314</v>
      </c>
      <c r="AS113" t="s">
        <v>1315</v>
      </c>
    </row>
    <row r="114" spans="32:45">
      <c r="AF114" t="s">
        <v>1017</v>
      </c>
      <c r="AK114" t="s">
        <v>1316</v>
      </c>
      <c r="AS114" t="s">
        <v>1317</v>
      </c>
    </row>
    <row r="115" spans="32:45">
      <c r="AF115" t="s">
        <v>1318</v>
      </c>
      <c r="AK115" t="s">
        <v>1319</v>
      </c>
      <c r="AS115" t="s">
        <v>1320</v>
      </c>
    </row>
    <row r="116" spans="32:45">
      <c r="AF116" t="s">
        <v>1321</v>
      </c>
      <c r="AK116" t="s">
        <v>1322</v>
      </c>
      <c r="AS116" t="s">
        <v>1323</v>
      </c>
    </row>
    <row r="117" spans="32:45">
      <c r="AF117" t="s">
        <v>1324</v>
      </c>
      <c r="AK117" t="s">
        <v>1325</v>
      </c>
      <c r="AS117" t="s">
        <v>1326</v>
      </c>
    </row>
    <row r="118" spans="32:45">
      <c r="AF118" t="s">
        <v>1327</v>
      </c>
      <c r="AK118" t="s">
        <v>1328</v>
      </c>
      <c r="AS118" t="s">
        <v>1329</v>
      </c>
    </row>
    <row r="119" spans="32:45">
      <c r="AF119" t="s">
        <v>619</v>
      </c>
      <c r="AK119" t="s">
        <v>1330</v>
      </c>
    </row>
    <row r="120" spans="32:45">
      <c r="AF120" t="s">
        <v>1331</v>
      </c>
      <c r="AK120" t="s">
        <v>1332</v>
      </c>
    </row>
    <row r="121" spans="32:45">
      <c r="AF121" t="s">
        <v>1300</v>
      </c>
      <c r="AK121" t="s">
        <v>1333</v>
      </c>
    </row>
    <row r="122" spans="32:45">
      <c r="AF122" t="s">
        <v>1334</v>
      </c>
      <c r="AK122" t="s">
        <v>1335</v>
      </c>
    </row>
    <row r="123" spans="32:45">
      <c r="AF123" t="s">
        <v>1336</v>
      </c>
      <c r="AK123" t="s">
        <v>1337</v>
      </c>
    </row>
    <row r="124" spans="32:45">
      <c r="AF124" t="s">
        <v>1338</v>
      </c>
      <c r="AK124" t="s">
        <v>1339</v>
      </c>
    </row>
    <row r="125" spans="32:45">
      <c r="AF125" t="s">
        <v>1340</v>
      </c>
      <c r="AK125" t="s">
        <v>1341</v>
      </c>
    </row>
    <row r="126" spans="32:45">
      <c r="AF126" t="s">
        <v>1342</v>
      </c>
    </row>
    <row r="127" spans="32:45">
      <c r="AF127" t="s">
        <v>1343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2246-A251-4AAD-8193-F4DFEEFD89DB}">
  <dimension ref="A1:CV1292"/>
  <sheetViews>
    <sheetView zoomScale="85" zoomScaleNormal="85" workbookViewId="0">
      <selection activeCell="A2" sqref="A2:D11"/>
    </sheetView>
  </sheetViews>
  <sheetFormatPr defaultColWidth="11.42578125" defaultRowHeight="15"/>
  <cols>
    <col min="1" max="1" width="9.7109375" bestFit="1" customWidth="1"/>
    <col min="2" max="2" width="10.42578125" bestFit="1" customWidth="1"/>
    <col min="3" max="3" width="11.28515625" bestFit="1" customWidth="1"/>
    <col min="4" max="4" width="42.85546875" bestFit="1" customWidth="1"/>
    <col min="5" max="5" width="18.140625" bestFit="1" customWidth="1"/>
    <col min="6" max="6" width="20.28515625" bestFit="1" customWidth="1"/>
    <col min="7" max="7" width="17.42578125" bestFit="1" customWidth="1"/>
    <col min="8" max="8" width="19.5703125" bestFit="1" customWidth="1"/>
    <col min="9" max="9" width="17.140625" bestFit="1" customWidth="1"/>
    <col min="10" max="10" width="11.85546875" bestFit="1" customWidth="1"/>
    <col min="11" max="11" width="33.85546875" bestFit="1" customWidth="1"/>
    <col min="12" max="12" width="53.85546875" bestFit="1" customWidth="1"/>
    <col min="13" max="13" width="19.42578125" bestFit="1" customWidth="1"/>
    <col min="14" max="14" width="12.85546875" bestFit="1" customWidth="1"/>
    <col min="15" max="15" width="43.5703125" bestFit="1" customWidth="1"/>
    <col min="16" max="16" width="32.85546875" bestFit="1" customWidth="1"/>
    <col min="17" max="17" width="37" bestFit="1" customWidth="1"/>
    <col min="18" max="18" width="13.140625" bestFit="1" customWidth="1"/>
    <col min="19" max="19" width="37" bestFit="1" customWidth="1"/>
    <col min="20" max="20" width="12.85546875" bestFit="1" customWidth="1"/>
    <col min="21" max="21" width="7.140625" bestFit="1" customWidth="1"/>
    <col min="22" max="22" width="7" bestFit="1" customWidth="1"/>
    <col min="23" max="23" width="7.140625" bestFit="1" customWidth="1"/>
    <col min="24" max="25" width="7" bestFit="1" customWidth="1"/>
    <col min="26" max="26" width="12.85546875" bestFit="1" customWidth="1"/>
    <col min="27" max="27" width="7" bestFit="1" customWidth="1"/>
    <col min="28" max="28" width="25.5703125" bestFit="1" customWidth="1"/>
    <col min="29" max="29" width="12.7109375" bestFit="1" customWidth="1"/>
    <col min="30" max="30" width="10.42578125" bestFit="1" customWidth="1"/>
    <col min="31" max="31" width="22.140625" bestFit="1" customWidth="1"/>
    <col min="32" max="32" width="12.5703125" bestFit="1" customWidth="1"/>
    <col min="33" max="33" width="10.28515625" bestFit="1" customWidth="1"/>
    <col min="34" max="34" width="7.5703125" bestFit="1" customWidth="1"/>
    <col min="35" max="35" width="13.28515625" bestFit="1" customWidth="1"/>
    <col min="36" max="36" width="10.85546875" bestFit="1" customWidth="1"/>
    <col min="37" max="37" width="22.28515625" bestFit="1" customWidth="1"/>
    <col min="38" max="38" width="15.5703125" bestFit="1" customWidth="1"/>
    <col min="39" max="39" width="13.28515625" bestFit="1" customWidth="1"/>
    <col min="40" max="40" width="7.140625" bestFit="1" customWidth="1"/>
    <col min="41" max="41" width="7" bestFit="1" customWidth="1"/>
    <col min="42" max="42" width="12.7109375" bestFit="1" customWidth="1"/>
    <col min="43" max="43" width="10.42578125" bestFit="1" customWidth="1"/>
    <col min="44" max="44" width="6.5703125" bestFit="1" customWidth="1"/>
    <col min="45" max="45" width="12.28515625" bestFit="1" customWidth="1"/>
    <col min="46" max="46" width="9.85546875" bestFit="1" customWidth="1"/>
    <col min="47" max="47" width="15.42578125" bestFit="1" customWidth="1"/>
    <col min="48" max="48" width="21.42578125" bestFit="1" customWidth="1"/>
    <col min="49" max="49" width="18.140625" bestFit="1" customWidth="1"/>
    <col min="50" max="50" width="19.42578125" bestFit="1" customWidth="1"/>
    <col min="51" max="51" width="18.140625" bestFit="1" customWidth="1"/>
    <col min="52" max="52" width="7.85546875" bestFit="1" customWidth="1"/>
    <col min="53" max="53" width="9.28515625" bestFit="1" customWidth="1"/>
    <col min="54" max="54" width="12.28515625" bestFit="1" customWidth="1"/>
    <col min="55" max="55" width="18.5703125" bestFit="1" customWidth="1"/>
    <col min="56" max="56" width="23.7109375" bestFit="1" customWidth="1"/>
    <col min="57" max="57" width="31.85546875" bestFit="1" customWidth="1"/>
    <col min="58" max="58" width="34.42578125" bestFit="1" customWidth="1"/>
    <col min="59" max="59" width="31" bestFit="1" customWidth="1"/>
    <col min="60" max="60" width="22" bestFit="1" customWidth="1"/>
    <col min="61" max="61" width="20.7109375" bestFit="1" customWidth="1"/>
    <col min="62" max="62" width="8.5703125" bestFit="1" customWidth="1"/>
    <col min="63" max="63" width="14.7109375" bestFit="1" customWidth="1"/>
    <col min="64" max="64" width="50.140625" bestFit="1" customWidth="1"/>
    <col min="65" max="65" width="7.85546875" bestFit="1" customWidth="1"/>
    <col min="66" max="66" width="9.28515625" bestFit="1" customWidth="1"/>
    <col min="67" max="67" width="12.28515625" bestFit="1" customWidth="1"/>
    <col min="68" max="68" width="18.5703125" bestFit="1" customWidth="1"/>
    <col min="69" max="69" width="12.5703125" bestFit="1" customWidth="1"/>
    <col min="70" max="70" width="32.85546875" bestFit="1" customWidth="1"/>
    <col min="71" max="71" width="23.5703125" bestFit="1" customWidth="1"/>
    <col min="72" max="72" width="22.140625" bestFit="1" customWidth="1"/>
    <col min="73" max="73" width="28.140625" bestFit="1" customWidth="1"/>
    <col min="74" max="74" width="14.5703125" bestFit="1" customWidth="1"/>
    <col min="75" max="75" width="18.140625" bestFit="1" customWidth="1"/>
    <col min="76" max="76" width="7.85546875" bestFit="1" customWidth="1"/>
    <col min="77" max="77" width="9.28515625" bestFit="1" customWidth="1"/>
    <col min="78" max="78" width="12.28515625" bestFit="1" customWidth="1"/>
    <col min="79" max="79" width="9.7109375" bestFit="1" customWidth="1"/>
    <col min="80" max="80" width="20.140625" bestFit="1" customWidth="1"/>
    <col min="81" max="81" width="22.7109375" bestFit="1" customWidth="1"/>
    <col min="82" max="82" width="18.5703125" bestFit="1" customWidth="1"/>
    <col min="83" max="83" width="7.85546875" bestFit="1" customWidth="1"/>
    <col min="84" max="84" width="25" bestFit="1" customWidth="1"/>
    <col min="85" max="85" width="10.28515625" bestFit="1" customWidth="1"/>
    <col min="86" max="86" width="12.7109375" bestFit="1" customWidth="1"/>
    <col min="87" max="87" width="22.28515625" bestFit="1" customWidth="1"/>
    <col min="88" max="88" width="24" bestFit="1" customWidth="1"/>
    <col min="89" max="89" width="14.28515625" bestFit="1" customWidth="1"/>
    <col min="90" max="90" width="23.85546875" bestFit="1" customWidth="1"/>
    <col min="91" max="91" width="13.5703125" bestFit="1" customWidth="1"/>
    <col min="92" max="92" width="23.140625" bestFit="1" customWidth="1"/>
    <col min="93" max="93" width="13.85546875" bestFit="1" customWidth="1"/>
    <col min="94" max="94" width="23.5703125" bestFit="1" customWidth="1"/>
    <col min="95" max="95" width="13.7109375" bestFit="1" customWidth="1"/>
    <col min="96" max="96" width="23.28515625" bestFit="1" customWidth="1"/>
    <col min="97" max="97" width="32.85546875" bestFit="1" customWidth="1"/>
    <col min="98" max="98" width="10.42578125" bestFit="1" customWidth="1"/>
    <col min="99" max="100" width="9.28515625" bestFit="1" customWidth="1"/>
  </cols>
  <sheetData>
    <row r="1" spans="1:99">
      <c r="A1" t="s">
        <v>1344</v>
      </c>
      <c r="B1" t="s">
        <v>1345</v>
      </c>
      <c r="C1" t="s">
        <v>1346</v>
      </c>
      <c r="D1" t="s">
        <v>1347</v>
      </c>
      <c r="E1" t="s">
        <v>1348</v>
      </c>
      <c r="F1" t="s">
        <v>1349</v>
      </c>
      <c r="G1" t="s">
        <v>1350</v>
      </c>
      <c r="H1" t="s">
        <v>1351</v>
      </c>
      <c r="I1" t="s">
        <v>1352</v>
      </c>
      <c r="J1" t="s">
        <v>1353</v>
      </c>
      <c r="K1" t="s">
        <v>1354</v>
      </c>
      <c r="L1" t="s">
        <v>1355</v>
      </c>
      <c r="M1" t="s">
        <v>1356</v>
      </c>
      <c r="N1" t="s">
        <v>1357</v>
      </c>
      <c r="O1" t="s">
        <v>1358</v>
      </c>
      <c r="P1" t="s">
        <v>1359</v>
      </c>
      <c r="Q1" t="s">
        <v>1360</v>
      </c>
      <c r="R1" t="s">
        <v>1361</v>
      </c>
      <c r="S1" t="s">
        <v>1362</v>
      </c>
      <c r="T1" t="s">
        <v>1363</v>
      </c>
      <c r="U1" t="s">
        <v>1364</v>
      </c>
      <c r="V1" t="s">
        <v>1365</v>
      </c>
      <c r="W1" t="s">
        <v>1366</v>
      </c>
      <c r="X1" t="s">
        <v>1367</v>
      </c>
      <c r="Y1" t="s">
        <v>1368</v>
      </c>
      <c r="Z1" t="s">
        <v>1369</v>
      </c>
      <c r="AA1" t="s">
        <v>1370</v>
      </c>
      <c r="AB1" t="s">
        <v>1371</v>
      </c>
      <c r="AC1" t="s">
        <v>1372</v>
      </c>
      <c r="AD1" t="s">
        <v>1373</v>
      </c>
      <c r="AE1" t="s">
        <v>1374</v>
      </c>
      <c r="AF1" t="s">
        <v>1375</v>
      </c>
      <c r="AG1" t="s">
        <v>1376</v>
      </c>
      <c r="AH1" t="s">
        <v>1377</v>
      </c>
      <c r="AI1" t="s">
        <v>1378</v>
      </c>
      <c r="AJ1" t="s">
        <v>1379</v>
      </c>
      <c r="AK1" t="s">
        <v>1380</v>
      </c>
      <c r="AL1" t="s">
        <v>1381</v>
      </c>
      <c r="AM1" t="s">
        <v>1382</v>
      </c>
      <c r="AN1" t="s">
        <v>1383</v>
      </c>
      <c r="AO1" t="s">
        <v>1384</v>
      </c>
      <c r="AP1" t="s">
        <v>1385</v>
      </c>
      <c r="AQ1" t="s">
        <v>1386</v>
      </c>
      <c r="AR1" t="s">
        <v>1387</v>
      </c>
      <c r="AS1" t="s">
        <v>1388</v>
      </c>
      <c r="AT1" t="s">
        <v>1389</v>
      </c>
      <c r="AU1" t="s">
        <v>1390</v>
      </c>
      <c r="AV1" t="s">
        <v>1391</v>
      </c>
      <c r="AW1" t="s">
        <v>1392</v>
      </c>
      <c r="AX1" t="s">
        <v>1393</v>
      </c>
      <c r="AY1" t="s">
        <v>1394</v>
      </c>
      <c r="AZ1" t="s">
        <v>1395</v>
      </c>
      <c r="BA1" t="s">
        <v>1396</v>
      </c>
      <c r="BB1" t="s">
        <v>1397</v>
      </c>
      <c r="BC1" t="s">
        <v>1398</v>
      </c>
      <c r="BD1" t="s">
        <v>1399</v>
      </c>
      <c r="BE1" t="s">
        <v>1400</v>
      </c>
      <c r="BF1" t="s">
        <v>1401</v>
      </c>
      <c r="BG1" t="s">
        <v>1402</v>
      </c>
      <c r="BH1" t="s">
        <v>1403</v>
      </c>
      <c r="BI1" t="s">
        <v>1404</v>
      </c>
      <c r="BJ1" t="s">
        <v>1405</v>
      </c>
      <c r="BK1" t="s">
        <v>1406</v>
      </c>
      <c r="BL1" t="s">
        <v>1394</v>
      </c>
      <c r="BM1" t="s">
        <v>1395</v>
      </c>
      <c r="BN1" t="s">
        <v>1396</v>
      </c>
      <c r="BO1" t="s">
        <v>1397</v>
      </c>
      <c r="BP1" t="s">
        <v>1398</v>
      </c>
      <c r="BQ1" t="s">
        <v>1407</v>
      </c>
      <c r="BR1" t="s">
        <v>1408</v>
      </c>
      <c r="BS1" t="s">
        <v>1409</v>
      </c>
      <c r="BT1" t="s">
        <v>1410</v>
      </c>
      <c r="BU1" t="s">
        <v>1411</v>
      </c>
      <c r="BV1" t="s">
        <v>1412</v>
      </c>
      <c r="BW1" t="s">
        <v>1394</v>
      </c>
      <c r="BX1" t="s">
        <v>1395</v>
      </c>
      <c r="BY1" t="s">
        <v>1396</v>
      </c>
      <c r="BZ1" t="s">
        <v>1397</v>
      </c>
      <c r="CA1" t="s">
        <v>1413</v>
      </c>
      <c r="CB1" t="s">
        <v>1414</v>
      </c>
      <c r="CC1" t="s">
        <v>1415</v>
      </c>
      <c r="CD1" t="s">
        <v>1398</v>
      </c>
      <c r="CE1" t="s">
        <v>1395</v>
      </c>
      <c r="CF1" t="s">
        <v>1416</v>
      </c>
      <c r="CG1" t="s">
        <v>1417</v>
      </c>
      <c r="CH1" t="s">
        <v>1418</v>
      </c>
      <c r="CI1" t="s">
        <v>1419</v>
      </c>
      <c r="CJ1" t="s">
        <v>1420</v>
      </c>
      <c r="CK1" t="s">
        <v>1421</v>
      </c>
      <c r="CL1" t="s">
        <v>1422</v>
      </c>
      <c r="CM1" t="s">
        <v>1423</v>
      </c>
      <c r="CN1" t="s">
        <v>1424</v>
      </c>
      <c r="CO1" t="s">
        <v>1425</v>
      </c>
      <c r="CP1" t="s">
        <v>1426</v>
      </c>
      <c r="CQ1" t="s">
        <v>1427</v>
      </c>
      <c r="CR1" t="s">
        <v>1428</v>
      </c>
      <c r="CS1" t="s">
        <v>1429</v>
      </c>
      <c r="CT1" t="s">
        <v>1345</v>
      </c>
      <c r="CU1" t="s">
        <v>1430</v>
      </c>
    </row>
    <row r="2" spans="1:99">
      <c r="A2" t="s">
        <v>1431</v>
      </c>
      <c r="B2" t="s">
        <v>34</v>
      </c>
      <c r="C2" t="s">
        <v>1432</v>
      </c>
      <c r="D2" t="s">
        <v>1433</v>
      </c>
      <c r="E2" t="s">
        <v>1434</v>
      </c>
      <c r="F2" t="s">
        <v>1435</v>
      </c>
      <c r="G2" t="s">
        <v>1436</v>
      </c>
      <c r="H2" t="s">
        <v>1437</v>
      </c>
      <c r="I2" t="s">
        <v>240</v>
      </c>
      <c r="J2" t="s">
        <v>46</v>
      </c>
      <c r="K2" t="s">
        <v>29</v>
      </c>
      <c r="L2" t="s">
        <v>30</v>
      </c>
      <c r="M2">
        <v>188</v>
      </c>
      <c r="N2" t="s">
        <v>32</v>
      </c>
      <c r="O2" t="s">
        <v>32</v>
      </c>
      <c r="Q2" t="s">
        <v>32</v>
      </c>
      <c r="S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AA2" t="s">
        <v>88</v>
      </c>
      <c r="AB2" t="s">
        <v>32</v>
      </c>
      <c r="AE2" t="s">
        <v>32</v>
      </c>
      <c r="AH2" t="s">
        <v>32</v>
      </c>
      <c r="AK2" t="s">
        <v>32</v>
      </c>
      <c r="AN2" t="s">
        <v>32</v>
      </c>
      <c r="AO2" t="s">
        <v>32</v>
      </c>
      <c r="AR2">
        <v>0</v>
      </c>
      <c r="AU2" t="s">
        <v>32</v>
      </c>
      <c r="AV2">
        <v>1750905</v>
      </c>
      <c r="AW2" t="s">
        <v>32</v>
      </c>
      <c r="AX2" t="s">
        <v>32</v>
      </c>
      <c r="AY2" t="s">
        <v>317</v>
      </c>
      <c r="AZ2">
        <v>30</v>
      </c>
      <c r="BA2">
        <v>2032509</v>
      </c>
      <c r="BB2">
        <v>0.16</v>
      </c>
      <c r="BC2">
        <v>325300</v>
      </c>
      <c r="BD2" t="s">
        <v>142</v>
      </c>
      <c r="BE2">
        <v>0</v>
      </c>
      <c r="BF2">
        <v>0</v>
      </c>
      <c r="BG2">
        <v>0</v>
      </c>
      <c r="BH2">
        <v>0</v>
      </c>
      <c r="BI2">
        <v>0</v>
      </c>
      <c r="BJ2">
        <v>325300</v>
      </c>
      <c r="BK2" t="s">
        <v>25</v>
      </c>
      <c r="BL2" t="s">
        <v>1010</v>
      </c>
      <c r="BM2">
        <v>30</v>
      </c>
      <c r="BN2">
        <v>2032509</v>
      </c>
      <c r="BO2">
        <v>0.04</v>
      </c>
      <c r="BP2">
        <v>81400</v>
      </c>
      <c r="BQ2">
        <v>0</v>
      </c>
      <c r="BR2" t="s">
        <v>1438</v>
      </c>
      <c r="BS2">
        <v>0</v>
      </c>
      <c r="BT2" t="s">
        <v>1438</v>
      </c>
      <c r="BU2">
        <v>0</v>
      </c>
      <c r="BV2" t="s">
        <v>25</v>
      </c>
      <c r="BW2" t="s">
        <v>189</v>
      </c>
      <c r="BX2">
        <v>30</v>
      </c>
      <c r="BY2">
        <v>2032509</v>
      </c>
      <c r="BZ2">
        <v>6.9599999999999995E-2</v>
      </c>
      <c r="CA2" t="s">
        <v>1439</v>
      </c>
      <c r="CB2" t="s">
        <v>227</v>
      </c>
      <c r="CC2" t="s">
        <v>1440</v>
      </c>
      <c r="CD2">
        <v>141500</v>
      </c>
      <c r="CE2">
        <v>30</v>
      </c>
      <c r="CF2" t="s">
        <v>635</v>
      </c>
      <c r="CG2">
        <v>2032509</v>
      </c>
      <c r="CH2">
        <v>0.04</v>
      </c>
      <c r="CI2">
        <v>81400</v>
      </c>
      <c r="CJ2">
        <v>2032509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 t="s">
        <v>88</v>
      </c>
      <c r="CT2" t="s">
        <v>1441</v>
      </c>
      <c r="CU2" t="s">
        <v>1442</v>
      </c>
    </row>
    <row r="3" spans="1:99">
      <c r="A3" t="s">
        <v>1431</v>
      </c>
      <c r="B3" t="s">
        <v>34</v>
      </c>
      <c r="C3" t="s">
        <v>1443</v>
      </c>
      <c r="D3" t="s">
        <v>1444</v>
      </c>
      <c r="E3" t="s">
        <v>1028</v>
      </c>
      <c r="F3" t="s">
        <v>1028</v>
      </c>
      <c r="G3" t="s">
        <v>1445</v>
      </c>
      <c r="H3" t="s">
        <v>1446</v>
      </c>
      <c r="I3" t="s">
        <v>240</v>
      </c>
      <c r="J3" t="s">
        <v>46</v>
      </c>
      <c r="K3" t="s">
        <v>29</v>
      </c>
      <c r="L3" t="s">
        <v>30</v>
      </c>
      <c r="M3">
        <v>9</v>
      </c>
      <c r="N3" t="s">
        <v>32</v>
      </c>
      <c r="O3" t="s">
        <v>32</v>
      </c>
      <c r="Q3" t="s">
        <v>40</v>
      </c>
      <c r="R3">
        <v>46080</v>
      </c>
      <c r="S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AA3" t="s">
        <v>32</v>
      </c>
      <c r="AB3" t="s">
        <v>32</v>
      </c>
      <c r="AE3" t="s">
        <v>32</v>
      </c>
      <c r="AH3" t="s">
        <v>32</v>
      </c>
      <c r="AK3" t="s">
        <v>32</v>
      </c>
      <c r="AN3" t="s">
        <v>32</v>
      </c>
      <c r="AO3" t="s">
        <v>32</v>
      </c>
      <c r="AR3">
        <v>0</v>
      </c>
      <c r="AU3" t="s">
        <v>32</v>
      </c>
      <c r="AV3">
        <v>1750905</v>
      </c>
      <c r="AW3" t="s">
        <v>32</v>
      </c>
      <c r="AX3" t="s">
        <v>32</v>
      </c>
      <c r="AY3" t="s">
        <v>317</v>
      </c>
      <c r="AZ3">
        <v>4</v>
      </c>
      <c r="BA3">
        <v>233454</v>
      </c>
      <c r="BB3">
        <v>0.16</v>
      </c>
      <c r="BC3">
        <v>37400</v>
      </c>
      <c r="BD3" t="s">
        <v>142</v>
      </c>
      <c r="BE3">
        <v>0</v>
      </c>
      <c r="BF3">
        <v>0</v>
      </c>
      <c r="BG3">
        <v>0</v>
      </c>
      <c r="BH3">
        <v>0</v>
      </c>
      <c r="BI3">
        <v>0</v>
      </c>
      <c r="BJ3">
        <v>37400</v>
      </c>
      <c r="BK3" t="s">
        <v>25</v>
      </c>
      <c r="BL3" t="s">
        <v>187</v>
      </c>
      <c r="BM3">
        <v>4</v>
      </c>
      <c r="BN3">
        <v>233454</v>
      </c>
      <c r="BO3">
        <v>0.04</v>
      </c>
      <c r="BP3">
        <v>9400</v>
      </c>
      <c r="BQ3">
        <v>0</v>
      </c>
      <c r="BR3" t="s">
        <v>1438</v>
      </c>
      <c r="BS3">
        <v>0</v>
      </c>
      <c r="BT3" t="s">
        <v>1438</v>
      </c>
      <c r="BU3">
        <v>0</v>
      </c>
      <c r="BV3" t="s">
        <v>25</v>
      </c>
      <c r="BW3" t="s">
        <v>189</v>
      </c>
      <c r="BX3">
        <v>4</v>
      </c>
      <c r="BY3">
        <v>233454</v>
      </c>
      <c r="BZ3">
        <v>6.9599999999999995E-2</v>
      </c>
      <c r="CA3" t="s">
        <v>1439</v>
      </c>
      <c r="CB3" t="s">
        <v>227</v>
      </c>
      <c r="CC3" t="s">
        <v>1440</v>
      </c>
      <c r="CD3">
        <v>16300</v>
      </c>
      <c r="CE3">
        <v>4</v>
      </c>
      <c r="CF3" t="s">
        <v>635</v>
      </c>
      <c r="CG3">
        <v>233454</v>
      </c>
      <c r="CH3">
        <v>0.04</v>
      </c>
      <c r="CI3">
        <v>9400</v>
      </c>
      <c r="CJ3">
        <v>233454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 t="s">
        <v>88</v>
      </c>
      <c r="CT3" t="s">
        <v>1441</v>
      </c>
      <c r="CU3" t="s">
        <v>1442</v>
      </c>
    </row>
    <row r="4" spans="1:99">
      <c r="A4" t="s">
        <v>1431</v>
      </c>
      <c r="B4" t="s">
        <v>34</v>
      </c>
      <c r="C4" t="s">
        <v>1447</v>
      </c>
      <c r="D4" t="s">
        <v>1448</v>
      </c>
      <c r="E4" t="s">
        <v>1449</v>
      </c>
      <c r="F4" t="s">
        <v>1450</v>
      </c>
      <c r="G4" t="s">
        <v>1436</v>
      </c>
      <c r="H4" t="s">
        <v>1451</v>
      </c>
      <c r="I4" t="s">
        <v>682</v>
      </c>
      <c r="J4" t="s">
        <v>484</v>
      </c>
      <c r="K4" t="s">
        <v>29</v>
      </c>
      <c r="L4" t="s">
        <v>30</v>
      </c>
      <c r="M4">
        <v>204</v>
      </c>
      <c r="N4" t="s">
        <v>32</v>
      </c>
      <c r="O4" t="s">
        <v>32</v>
      </c>
      <c r="Q4" t="s">
        <v>32</v>
      </c>
      <c r="S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AA4" t="s">
        <v>88</v>
      </c>
      <c r="AB4" t="s">
        <v>32</v>
      </c>
      <c r="AE4" t="s">
        <v>32</v>
      </c>
      <c r="AH4" t="s">
        <v>32</v>
      </c>
      <c r="AK4" t="s">
        <v>32</v>
      </c>
      <c r="AN4" t="s">
        <v>32</v>
      </c>
      <c r="AO4" t="s">
        <v>32</v>
      </c>
      <c r="AR4">
        <v>0</v>
      </c>
      <c r="AU4" t="s">
        <v>32</v>
      </c>
      <c r="AV4">
        <v>1889179</v>
      </c>
      <c r="AW4" t="s">
        <v>32</v>
      </c>
      <c r="AX4" t="s">
        <v>32</v>
      </c>
      <c r="AY4" t="s">
        <v>317</v>
      </c>
      <c r="AZ4">
        <v>30</v>
      </c>
      <c r="BA4">
        <v>2222363</v>
      </c>
      <c r="BB4">
        <v>0.16</v>
      </c>
      <c r="BC4">
        <v>355600</v>
      </c>
      <c r="BD4" t="s">
        <v>142</v>
      </c>
      <c r="BE4">
        <v>0</v>
      </c>
      <c r="BF4">
        <v>0</v>
      </c>
      <c r="BG4">
        <v>0</v>
      </c>
      <c r="BH4">
        <v>0</v>
      </c>
      <c r="BI4">
        <v>0</v>
      </c>
      <c r="BJ4">
        <v>355600</v>
      </c>
      <c r="BK4" t="s">
        <v>25</v>
      </c>
      <c r="BL4" t="s">
        <v>1071</v>
      </c>
      <c r="BM4">
        <v>30</v>
      </c>
      <c r="BN4">
        <v>2222363</v>
      </c>
      <c r="BO4">
        <v>0.04</v>
      </c>
      <c r="BP4">
        <v>88900</v>
      </c>
      <c r="BQ4">
        <v>0</v>
      </c>
      <c r="BR4" t="s">
        <v>1438</v>
      </c>
      <c r="BS4">
        <v>0</v>
      </c>
      <c r="BT4" t="s">
        <v>1438</v>
      </c>
      <c r="BU4">
        <v>0</v>
      </c>
      <c r="BV4" t="s">
        <v>25</v>
      </c>
      <c r="BW4" t="s">
        <v>189</v>
      </c>
      <c r="BX4">
        <v>30</v>
      </c>
      <c r="BY4">
        <v>2222363</v>
      </c>
      <c r="BZ4">
        <v>6.9599999999999995E-2</v>
      </c>
      <c r="CA4" t="s">
        <v>1439</v>
      </c>
      <c r="CB4" t="s">
        <v>312</v>
      </c>
      <c r="CC4" t="s">
        <v>1440</v>
      </c>
      <c r="CD4">
        <v>154700</v>
      </c>
      <c r="CE4">
        <v>30</v>
      </c>
      <c r="CF4" t="s">
        <v>466</v>
      </c>
      <c r="CG4">
        <v>2222363</v>
      </c>
      <c r="CH4">
        <v>0.04</v>
      </c>
      <c r="CI4">
        <v>88900</v>
      </c>
      <c r="CJ4">
        <v>2222363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 t="s">
        <v>88</v>
      </c>
      <c r="CT4" t="s">
        <v>1441</v>
      </c>
      <c r="CU4" t="s">
        <v>1442</v>
      </c>
    </row>
    <row r="5" spans="1:99">
      <c r="A5" t="s">
        <v>1431</v>
      </c>
      <c r="B5" t="s">
        <v>34</v>
      </c>
      <c r="C5" t="s">
        <v>1452</v>
      </c>
      <c r="D5" t="s">
        <v>1453</v>
      </c>
      <c r="E5" t="s">
        <v>1253</v>
      </c>
      <c r="F5" t="s">
        <v>1454</v>
      </c>
      <c r="G5" t="s">
        <v>1455</v>
      </c>
      <c r="H5" t="s">
        <v>1456</v>
      </c>
      <c r="I5" t="s">
        <v>203</v>
      </c>
      <c r="J5" t="s">
        <v>403</v>
      </c>
      <c r="K5" t="s">
        <v>29</v>
      </c>
      <c r="L5" t="s">
        <v>30</v>
      </c>
      <c r="M5">
        <v>201</v>
      </c>
      <c r="N5" t="s">
        <v>32</v>
      </c>
      <c r="O5" t="s">
        <v>32</v>
      </c>
      <c r="Q5" t="s">
        <v>32</v>
      </c>
      <c r="S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AA5" t="s">
        <v>88</v>
      </c>
      <c r="AB5" t="s">
        <v>32</v>
      </c>
      <c r="AE5" t="s">
        <v>32</v>
      </c>
      <c r="AH5" t="s">
        <v>32</v>
      </c>
      <c r="AK5" t="s">
        <v>32</v>
      </c>
      <c r="AN5" t="s">
        <v>32</v>
      </c>
      <c r="AO5" t="s">
        <v>32</v>
      </c>
      <c r="AR5">
        <v>0</v>
      </c>
      <c r="AU5" t="s">
        <v>32</v>
      </c>
      <c r="AV5">
        <v>2308750</v>
      </c>
      <c r="AW5" t="s">
        <v>32</v>
      </c>
      <c r="AX5" t="s">
        <v>32</v>
      </c>
      <c r="AY5" t="s">
        <v>317</v>
      </c>
      <c r="AZ5">
        <v>30</v>
      </c>
      <c r="BA5">
        <v>2643077</v>
      </c>
      <c r="BB5">
        <v>0.16</v>
      </c>
      <c r="BC5">
        <v>422900</v>
      </c>
      <c r="BD5" t="s">
        <v>142</v>
      </c>
      <c r="BE5">
        <v>0</v>
      </c>
      <c r="BF5">
        <v>0</v>
      </c>
      <c r="BG5">
        <v>0</v>
      </c>
      <c r="BH5">
        <v>0</v>
      </c>
      <c r="BI5">
        <v>0</v>
      </c>
      <c r="BJ5">
        <v>422900</v>
      </c>
      <c r="BK5" t="s">
        <v>25</v>
      </c>
      <c r="BL5" t="s">
        <v>1010</v>
      </c>
      <c r="BM5">
        <v>30</v>
      </c>
      <c r="BN5">
        <v>2643077</v>
      </c>
      <c r="BO5">
        <v>0.04</v>
      </c>
      <c r="BP5">
        <v>105800</v>
      </c>
      <c r="BQ5">
        <v>0</v>
      </c>
      <c r="BR5" t="s">
        <v>1438</v>
      </c>
      <c r="BS5">
        <v>0</v>
      </c>
      <c r="BT5" t="s">
        <v>1438</v>
      </c>
      <c r="BU5">
        <v>0</v>
      </c>
      <c r="BV5" t="s">
        <v>25</v>
      </c>
      <c r="BW5" t="s">
        <v>189</v>
      </c>
      <c r="BX5">
        <v>30</v>
      </c>
      <c r="BY5">
        <v>2643077</v>
      </c>
      <c r="BZ5">
        <v>6.9599999999999995E-2</v>
      </c>
      <c r="CA5" t="s">
        <v>1439</v>
      </c>
      <c r="CB5" t="s">
        <v>609</v>
      </c>
      <c r="CC5" t="s">
        <v>1440</v>
      </c>
      <c r="CD5">
        <v>184000</v>
      </c>
      <c r="CE5">
        <v>30</v>
      </c>
      <c r="CF5" t="s">
        <v>1001</v>
      </c>
      <c r="CG5">
        <v>2584226</v>
      </c>
      <c r="CH5">
        <v>0.04</v>
      </c>
      <c r="CI5">
        <v>103400</v>
      </c>
      <c r="CJ5">
        <v>2584226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 t="s">
        <v>88</v>
      </c>
      <c r="CT5" t="s">
        <v>1441</v>
      </c>
      <c r="CU5" t="s">
        <v>1442</v>
      </c>
    </row>
    <row r="6" spans="1:99">
      <c r="A6" t="s">
        <v>1431</v>
      </c>
      <c r="B6" t="s">
        <v>34</v>
      </c>
      <c r="C6" t="s">
        <v>1457</v>
      </c>
      <c r="D6" t="s">
        <v>1458</v>
      </c>
      <c r="E6" t="s">
        <v>1459</v>
      </c>
      <c r="F6" t="s">
        <v>1460</v>
      </c>
      <c r="G6" t="s">
        <v>1461</v>
      </c>
      <c r="H6" t="s">
        <v>1462</v>
      </c>
      <c r="I6" t="s">
        <v>240</v>
      </c>
      <c r="J6" t="s">
        <v>46</v>
      </c>
      <c r="K6" t="s">
        <v>29</v>
      </c>
      <c r="L6" t="s">
        <v>30</v>
      </c>
      <c r="M6">
        <v>0</v>
      </c>
      <c r="N6" t="s">
        <v>32</v>
      </c>
      <c r="O6" t="s">
        <v>32</v>
      </c>
      <c r="Q6" t="s">
        <v>32</v>
      </c>
      <c r="S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AA6" t="s">
        <v>32</v>
      </c>
      <c r="AB6" t="s">
        <v>32</v>
      </c>
      <c r="AE6" t="s">
        <v>32</v>
      </c>
      <c r="AH6" t="s">
        <v>32</v>
      </c>
      <c r="AK6" t="s">
        <v>128</v>
      </c>
      <c r="AL6">
        <v>46069</v>
      </c>
      <c r="AM6">
        <v>46069</v>
      </c>
      <c r="AN6" t="s">
        <v>32</v>
      </c>
      <c r="AO6" t="s">
        <v>32</v>
      </c>
      <c r="AR6">
        <v>0</v>
      </c>
      <c r="AU6" t="s">
        <v>32</v>
      </c>
      <c r="AV6">
        <v>1750905</v>
      </c>
      <c r="AW6" t="s">
        <v>32</v>
      </c>
      <c r="AX6" t="s">
        <v>32</v>
      </c>
      <c r="AY6" t="s">
        <v>317</v>
      </c>
      <c r="AZ6">
        <v>1</v>
      </c>
      <c r="BA6">
        <v>58364</v>
      </c>
      <c r="BB6">
        <v>0.16</v>
      </c>
      <c r="BC6">
        <v>9400</v>
      </c>
      <c r="BD6" t="s">
        <v>142</v>
      </c>
      <c r="BE6">
        <v>0</v>
      </c>
      <c r="BF6">
        <v>0</v>
      </c>
      <c r="BG6">
        <v>0</v>
      </c>
      <c r="BH6">
        <v>0</v>
      </c>
      <c r="BI6">
        <v>0</v>
      </c>
      <c r="BJ6">
        <v>9400</v>
      </c>
      <c r="BK6" t="s">
        <v>25</v>
      </c>
      <c r="BL6" t="s">
        <v>1071</v>
      </c>
      <c r="BM6">
        <v>1</v>
      </c>
      <c r="BN6">
        <v>58364</v>
      </c>
      <c r="BO6">
        <v>0.04</v>
      </c>
      <c r="BP6">
        <v>2400</v>
      </c>
      <c r="BQ6">
        <v>0</v>
      </c>
      <c r="BR6" t="s">
        <v>1438</v>
      </c>
      <c r="BS6">
        <v>0</v>
      </c>
      <c r="BT6" t="s">
        <v>1438</v>
      </c>
      <c r="BU6">
        <v>0</v>
      </c>
      <c r="BV6" t="s">
        <v>25</v>
      </c>
      <c r="BW6" t="s">
        <v>189</v>
      </c>
      <c r="BX6">
        <v>1</v>
      </c>
      <c r="BY6">
        <v>58364</v>
      </c>
      <c r="BZ6">
        <v>0</v>
      </c>
      <c r="CA6" t="s">
        <v>1439</v>
      </c>
      <c r="CB6" t="s">
        <v>227</v>
      </c>
      <c r="CC6" t="s">
        <v>1440</v>
      </c>
      <c r="CD6">
        <v>0</v>
      </c>
      <c r="CE6">
        <v>1</v>
      </c>
      <c r="CF6" t="s">
        <v>635</v>
      </c>
      <c r="CG6">
        <v>58364</v>
      </c>
      <c r="CH6">
        <v>0.04</v>
      </c>
      <c r="CI6">
        <v>2400</v>
      </c>
      <c r="CJ6">
        <v>58364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 t="s">
        <v>88</v>
      </c>
      <c r="CT6" t="s">
        <v>1441</v>
      </c>
      <c r="CU6" t="s">
        <v>1442</v>
      </c>
    </row>
    <row r="7" spans="1:99">
      <c r="A7" t="s">
        <v>1431</v>
      </c>
      <c r="B7" t="s">
        <v>34</v>
      </c>
      <c r="C7" t="s">
        <v>1457</v>
      </c>
      <c r="D7" t="s">
        <v>1458</v>
      </c>
      <c r="E7" t="s">
        <v>1459</v>
      </c>
      <c r="F7" t="s">
        <v>1460</v>
      </c>
      <c r="G7" t="s">
        <v>1461</v>
      </c>
      <c r="H7" t="s">
        <v>1462</v>
      </c>
      <c r="I7" t="s">
        <v>240</v>
      </c>
      <c r="J7" t="s">
        <v>46</v>
      </c>
      <c r="K7" t="s">
        <v>29</v>
      </c>
      <c r="L7" t="s">
        <v>30</v>
      </c>
      <c r="M7">
        <v>188</v>
      </c>
      <c r="N7" t="s">
        <v>32</v>
      </c>
      <c r="O7" t="s">
        <v>32</v>
      </c>
      <c r="Q7" t="s">
        <v>32</v>
      </c>
      <c r="S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AA7" t="s">
        <v>88</v>
      </c>
      <c r="AB7" t="s">
        <v>32</v>
      </c>
      <c r="AE7" t="s">
        <v>32</v>
      </c>
      <c r="AH7" t="s">
        <v>32</v>
      </c>
      <c r="AK7" t="s">
        <v>32</v>
      </c>
      <c r="AN7" t="s">
        <v>32</v>
      </c>
      <c r="AO7" t="s">
        <v>32</v>
      </c>
      <c r="AR7">
        <v>0</v>
      </c>
      <c r="AU7" t="s">
        <v>32</v>
      </c>
      <c r="AV7">
        <v>1750905</v>
      </c>
      <c r="AW7" t="s">
        <v>32</v>
      </c>
      <c r="AX7" t="s">
        <v>32</v>
      </c>
      <c r="AY7" t="s">
        <v>317</v>
      </c>
      <c r="AZ7">
        <v>29</v>
      </c>
      <c r="BA7">
        <v>2073895</v>
      </c>
      <c r="BB7">
        <v>0.16</v>
      </c>
      <c r="BC7">
        <v>331900</v>
      </c>
      <c r="BD7" t="s">
        <v>142</v>
      </c>
      <c r="BE7">
        <v>0</v>
      </c>
      <c r="BF7">
        <v>0</v>
      </c>
      <c r="BG7">
        <v>0</v>
      </c>
      <c r="BH7">
        <v>0</v>
      </c>
      <c r="BI7">
        <v>0</v>
      </c>
      <c r="BJ7">
        <v>331900</v>
      </c>
      <c r="BK7" t="s">
        <v>25</v>
      </c>
      <c r="BL7" t="s">
        <v>1071</v>
      </c>
      <c r="BM7">
        <v>29</v>
      </c>
      <c r="BN7">
        <v>2073895</v>
      </c>
      <c r="BO7">
        <v>0.04</v>
      </c>
      <c r="BP7">
        <v>83000</v>
      </c>
      <c r="BQ7">
        <v>0</v>
      </c>
      <c r="BR7" t="s">
        <v>1438</v>
      </c>
      <c r="BS7">
        <v>0</v>
      </c>
      <c r="BT7" t="s">
        <v>1438</v>
      </c>
      <c r="BU7">
        <v>0</v>
      </c>
      <c r="BV7" t="s">
        <v>25</v>
      </c>
      <c r="BW7" t="s">
        <v>189</v>
      </c>
      <c r="BX7">
        <v>29</v>
      </c>
      <c r="BY7">
        <v>2073895</v>
      </c>
      <c r="BZ7">
        <v>6.9599999999999995E-2</v>
      </c>
      <c r="CA7" t="s">
        <v>1439</v>
      </c>
      <c r="CB7" t="s">
        <v>227</v>
      </c>
      <c r="CC7" t="s">
        <v>1440</v>
      </c>
      <c r="CD7">
        <v>144400</v>
      </c>
      <c r="CE7">
        <v>29</v>
      </c>
      <c r="CF7" t="s">
        <v>635</v>
      </c>
      <c r="CG7">
        <v>2073895</v>
      </c>
      <c r="CH7">
        <v>0.04</v>
      </c>
      <c r="CI7">
        <v>83000</v>
      </c>
      <c r="CJ7">
        <v>2073895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 t="s">
        <v>88</v>
      </c>
      <c r="CT7" t="s">
        <v>1441</v>
      </c>
      <c r="CU7" t="s">
        <v>1442</v>
      </c>
    </row>
    <row r="8" spans="1:99">
      <c r="A8" t="s">
        <v>1431</v>
      </c>
      <c r="B8" t="s">
        <v>34</v>
      </c>
      <c r="C8" t="s">
        <v>1463</v>
      </c>
      <c r="D8" t="s">
        <v>1464</v>
      </c>
      <c r="E8" t="s">
        <v>1465</v>
      </c>
      <c r="F8" t="s">
        <v>1466</v>
      </c>
      <c r="G8" t="s">
        <v>1467</v>
      </c>
      <c r="H8" t="s">
        <v>1468</v>
      </c>
      <c r="I8" t="s">
        <v>240</v>
      </c>
      <c r="J8" t="s">
        <v>46</v>
      </c>
      <c r="K8" t="s">
        <v>29</v>
      </c>
      <c r="L8" t="s">
        <v>30</v>
      </c>
      <c r="M8">
        <v>0</v>
      </c>
      <c r="N8" t="s">
        <v>32</v>
      </c>
      <c r="O8" t="s">
        <v>32</v>
      </c>
      <c r="Q8" t="s">
        <v>32</v>
      </c>
      <c r="S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AA8" t="s">
        <v>32</v>
      </c>
      <c r="AB8" t="s">
        <v>37</v>
      </c>
      <c r="AC8">
        <v>46054</v>
      </c>
      <c r="AD8">
        <v>46055</v>
      </c>
      <c r="AE8" t="s">
        <v>32</v>
      </c>
      <c r="AH8" t="s">
        <v>32</v>
      </c>
      <c r="AK8" t="s">
        <v>32</v>
      </c>
      <c r="AN8" t="s">
        <v>32</v>
      </c>
      <c r="AO8" t="s">
        <v>32</v>
      </c>
      <c r="AR8">
        <v>0</v>
      </c>
      <c r="AU8" t="s">
        <v>32</v>
      </c>
      <c r="AV8">
        <v>1750905</v>
      </c>
      <c r="AW8" t="s">
        <v>32</v>
      </c>
      <c r="AX8" t="s">
        <v>32</v>
      </c>
      <c r="AY8" t="s">
        <v>317</v>
      </c>
      <c r="AZ8">
        <v>2</v>
      </c>
      <c r="BA8">
        <v>116727</v>
      </c>
      <c r="BB8">
        <v>0.16</v>
      </c>
      <c r="BC8">
        <v>18700</v>
      </c>
      <c r="BD8" t="s">
        <v>142</v>
      </c>
      <c r="BE8">
        <v>0</v>
      </c>
      <c r="BF8">
        <v>0</v>
      </c>
      <c r="BG8">
        <v>0</v>
      </c>
      <c r="BH8">
        <v>0</v>
      </c>
      <c r="BI8">
        <v>0</v>
      </c>
      <c r="BJ8">
        <v>18700</v>
      </c>
      <c r="BK8" t="s">
        <v>25</v>
      </c>
      <c r="BL8" t="s">
        <v>1064</v>
      </c>
      <c r="BM8">
        <v>2</v>
      </c>
      <c r="BN8">
        <v>116727</v>
      </c>
      <c r="BO8">
        <v>0</v>
      </c>
      <c r="BP8">
        <v>0</v>
      </c>
      <c r="BQ8">
        <v>0</v>
      </c>
      <c r="BR8" t="s">
        <v>1438</v>
      </c>
      <c r="BS8">
        <v>0</v>
      </c>
      <c r="BT8" t="s">
        <v>1438</v>
      </c>
      <c r="BU8">
        <v>0</v>
      </c>
      <c r="BV8" t="s">
        <v>25</v>
      </c>
      <c r="BW8" t="s">
        <v>189</v>
      </c>
      <c r="BX8">
        <v>2</v>
      </c>
      <c r="BY8">
        <v>116727</v>
      </c>
      <c r="BZ8">
        <v>0</v>
      </c>
      <c r="CA8" t="s">
        <v>1439</v>
      </c>
      <c r="CB8" t="s">
        <v>227</v>
      </c>
      <c r="CC8" t="s">
        <v>1440</v>
      </c>
      <c r="CD8">
        <v>0</v>
      </c>
      <c r="CE8">
        <v>2</v>
      </c>
      <c r="CF8" t="s">
        <v>635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 t="s">
        <v>88</v>
      </c>
      <c r="CT8" t="s">
        <v>1441</v>
      </c>
      <c r="CU8" t="s">
        <v>1442</v>
      </c>
    </row>
    <row r="9" spans="1:99">
      <c r="A9" t="s">
        <v>1431</v>
      </c>
      <c r="B9" t="s">
        <v>34</v>
      </c>
      <c r="C9" t="s">
        <v>1463</v>
      </c>
      <c r="D9" t="s">
        <v>1464</v>
      </c>
      <c r="E9" t="s">
        <v>1465</v>
      </c>
      <c r="F9" t="s">
        <v>1466</v>
      </c>
      <c r="G9" t="s">
        <v>1467</v>
      </c>
      <c r="H9" t="s">
        <v>1468</v>
      </c>
      <c r="I9" t="s">
        <v>240</v>
      </c>
      <c r="J9" t="s">
        <v>46</v>
      </c>
      <c r="K9" t="s">
        <v>29</v>
      </c>
      <c r="L9" t="s">
        <v>30</v>
      </c>
      <c r="M9">
        <v>0</v>
      </c>
      <c r="N9" t="s">
        <v>32</v>
      </c>
      <c r="O9" t="s">
        <v>32</v>
      </c>
      <c r="Q9" t="s">
        <v>32</v>
      </c>
      <c r="S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AA9" t="s">
        <v>32</v>
      </c>
      <c r="AB9" t="s">
        <v>37</v>
      </c>
      <c r="AC9">
        <v>46055</v>
      </c>
      <c r="AD9">
        <v>46061</v>
      </c>
      <c r="AE9" t="s">
        <v>32</v>
      </c>
      <c r="AH9" t="s">
        <v>32</v>
      </c>
      <c r="AK9" t="s">
        <v>32</v>
      </c>
      <c r="AN9" t="s">
        <v>32</v>
      </c>
      <c r="AO9" t="s">
        <v>32</v>
      </c>
      <c r="AR9">
        <v>0</v>
      </c>
      <c r="AU9" t="s">
        <v>32</v>
      </c>
      <c r="AV9">
        <v>1750905</v>
      </c>
      <c r="AW9" t="s">
        <v>32</v>
      </c>
      <c r="AX9" t="s">
        <v>32</v>
      </c>
      <c r="AY9" t="s">
        <v>317</v>
      </c>
      <c r="AZ9">
        <v>7</v>
      </c>
      <c r="BA9">
        <v>408545</v>
      </c>
      <c r="BB9">
        <v>0.16</v>
      </c>
      <c r="BC9">
        <v>65400</v>
      </c>
      <c r="BD9" t="s">
        <v>142</v>
      </c>
      <c r="BE9">
        <v>0</v>
      </c>
      <c r="BF9">
        <v>0</v>
      </c>
      <c r="BG9">
        <v>0</v>
      </c>
      <c r="BH9">
        <v>0</v>
      </c>
      <c r="BI9">
        <v>0</v>
      </c>
      <c r="BJ9">
        <v>65400</v>
      </c>
      <c r="BK9" t="s">
        <v>25</v>
      </c>
      <c r="BL9" t="s">
        <v>1064</v>
      </c>
      <c r="BM9">
        <v>7</v>
      </c>
      <c r="BN9">
        <v>408545</v>
      </c>
      <c r="BO9">
        <v>0</v>
      </c>
      <c r="BP9">
        <v>0</v>
      </c>
      <c r="BQ9">
        <v>0</v>
      </c>
      <c r="BR9" t="s">
        <v>1438</v>
      </c>
      <c r="BS9">
        <v>0</v>
      </c>
      <c r="BT9" t="s">
        <v>1438</v>
      </c>
      <c r="BU9">
        <v>0</v>
      </c>
      <c r="BV9" t="s">
        <v>25</v>
      </c>
      <c r="BW9" t="s">
        <v>189</v>
      </c>
      <c r="BX9">
        <v>7</v>
      </c>
      <c r="BY9">
        <v>408545</v>
      </c>
      <c r="BZ9">
        <v>0</v>
      </c>
      <c r="CA9" t="s">
        <v>1439</v>
      </c>
      <c r="CB9" t="s">
        <v>227</v>
      </c>
      <c r="CC9" t="s">
        <v>1440</v>
      </c>
      <c r="CD9">
        <v>0</v>
      </c>
      <c r="CE9">
        <v>7</v>
      </c>
      <c r="CF9" t="s">
        <v>635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 t="s">
        <v>88</v>
      </c>
      <c r="CT9" t="s">
        <v>1441</v>
      </c>
      <c r="CU9" t="s">
        <v>1442</v>
      </c>
    </row>
    <row r="10" spans="1:99">
      <c r="A10" t="s">
        <v>1431</v>
      </c>
      <c r="B10" t="s">
        <v>34</v>
      </c>
      <c r="C10" t="s">
        <v>1463</v>
      </c>
      <c r="D10" t="s">
        <v>1464</v>
      </c>
      <c r="E10" t="s">
        <v>1465</v>
      </c>
      <c r="F10" t="s">
        <v>1466</v>
      </c>
      <c r="G10" t="s">
        <v>1467</v>
      </c>
      <c r="H10" t="s">
        <v>1468</v>
      </c>
      <c r="I10" t="s">
        <v>240</v>
      </c>
      <c r="J10" t="s">
        <v>46</v>
      </c>
      <c r="K10" t="s">
        <v>29</v>
      </c>
      <c r="L10" t="s">
        <v>30</v>
      </c>
      <c r="M10">
        <v>140</v>
      </c>
      <c r="N10" t="s">
        <v>32</v>
      </c>
      <c r="O10" t="s">
        <v>32</v>
      </c>
      <c r="Q10" t="s">
        <v>32</v>
      </c>
      <c r="S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AA10" t="s">
        <v>88</v>
      </c>
      <c r="AB10" t="s">
        <v>32</v>
      </c>
      <c r="AE10" t="s">
        <v>32</v>
      </c>
      <c r="AH10" t="s">
        <v>32</v>
      </c>
      <c r="AK10" t="s">
        <v>32</v>
      </c>
      <c r="AN10" t="s">
        <v>32</v>
      </c>
      <c r="AO10" t="s">
        <v>32</v>
      </c>
      <c r="AR10">
        <v>0</v>
      </c>
      <c r="AU10" t="s">
        <v>32</v>
      </c>
      <c r="AV10">
        <v>1750905</v>
      </c>
      <c r="AW10" t="s">
        <v>32</v>
      </c>
      <c r="AX10" t="s">
        <v>32</v>
      </c>
      <c r="AY10" t="s">
        <v>317</v>
      </c>
      <c r="AZ10">
        <v>21</v>
      </c>
      <c r="BA10">
        <v>1545572</v>
      </c>
      <c r="BB10">
        <v>0.16</v>
      </c>
      <c r="BC10">
        <v>247300</v>
      </c>
      <c r="BD10" t="s">
        <v>142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247300</v>
      </c>
      <c r="BK10" t="s">
        <v>25</v>
      </c>
      <c r="BL10" t="s">
        <v>1064</v>
      </c>
      <c r="BM10">
        <v>21</v>
      </c>
      <c r="BN10">
        <v>1545572</v>
      </c>
      <c r="BO10">
        <v>0.04</v>
      </c>
      <c r="BP10">
        <v>61900</v>
      </c>
      <c r="BQ10">
        <v>0</v>
      </c>
      <c r="BR10" t="s">
        <v>1438</v>
      </c>
      <c r="BS10">
        <v>0</v>
      </c>
      <c r="BT10" t="s">
        <v>1438</v>
      </c>
      <c r="BU10">
        <v>0</v>
      </c>
      <c r="BV10" t="s">
        <v>25</v>
      </c>
      <c r="BW10" t="s">
        <v>189</v>
      </c>
      <c r="BX10">
        <v>21</v>
      </c>
      <c r="BY10">
        <v>1545572</v>
      </c>
      <c r="BZ10">
        <v>6.9599999999999995E-2</v>
      </c>
      <c r="CA10" t="s">
        <v>1439</v>
      </c>
      <c r="CB10" t="s">
        <v>227</v>
      </c>
      <c r="CC10" t="s">
        <v>1440</v>
      </c>
      <c r="CD10">
        <v>107600</v>
      </c>
      <c r="CE10">
        <v>21</v>
      </c>
      <c r="CF10" t="s">
        <v>635</v>
      </c>
      <c r="CG10">
        <v>1545572</v>
      </c>
      <c r="CH10">
        <v>0.04</v>
      </c>
      <c r="CI10">
        <v>61900</v>
      </c>
      <c r="CJ10">
        <v>1545572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 t="s">
        <v>88</v>
      </c>
      <c r="CT10" t="s">
        <v>1441</v>
      </c>
      <c r="CU10" t="s">
        <v>1442</v>
      </c>
    </row>
    <row r="11" spans="1:99">
      <c r="A11" t="s">
        <v>1431</v>
      </c>
      <c r="B11" t="s">
        <v>34</v>
      </c>
      <c r="C11" t="s">
        <v>1469</v>
      </c>
      <c r="D11" t="s">
        <v>1470</v>
      </c>
      <c r="E11" t="s">
        <v>1471</v>
      </c>
      <c r="F11" t="s">
        <v>1472</v>
      </c>
      <c r="G11" t="s">
        <v>1473</v>
      </c>
      <c r="H11" t="s">
        <v>1474</v>
      </c>
      <c r="I11" t="s">
        <v>240</v>
      </c>
      <c r="J11" t="s">
        <v>46</v>
      </c>
      <c r="K11" t="s">
        <v>29</v>
      </c>
      <c r="L11" t="s">
        <v>30</v>
      </c>
      <c r="M11">
        <v>162</v>
      </c>
      <c r="N11" t="s">
        <v>32</v>
      </c>
      <c r="O11" t="s">
        <v>32</v>
      </c>
      <c r="Q11" t="s">
        <v>40</v>
      </c>
      <c r="R11">
        <v>46059</v>
      </c>
      <c r="S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AA11" t="s">
        <v>88</v>
      </c>
      <c r="AB11" t="s">
        <v>32</v>
      </c>
      <c r="AE11" t="s">
        <v>32</v>
      </c>
      <c r="AH11" t="s">
        <v>32</v>
      </c>
      <c r="AK11" t="s">
        <v>32</v>
      </c>
      <c r="AN11" t="s">
        <v>32</v>
      </c>
      <c r="AO11" t="s">
        <v>32</v>
      </c>
      <c r="AR11">
        <v>0</v>
      </c>
      <c r="AU11" t="s">
        <v>32</v>
      </c>
      <c r="AV11">
        <v>2223339</v>
      </c>
      <c r="AW11" t="s">
        <v>32</v>
      </c>
      <c r="AX11" t="s">
        <v>32</v>
      </c>
      <c r="AY11" t="s">
        <v>317</v>
      </c>
      <c r="AZ11">
        <v>25</v>
      </c>
      <c r="BA11">
        <v>2334844</v>
      </c>
      <c r="BB11">
        <v>0.16</v>
      </c>
      <c r="BC11">
        <v>373600</v>
      </c>
      <c r="BD11" t="s">
        <v>142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373600</v>
      </c>
      <c r="BK11" t="s">
        <v>25</v>
      </c>
      <c r="BL11" t="s">
        <v>1010</v>
      </c>
      <c r="BM11">
        <v>25</v>
      </c>
      <c r="BN11">
        <v>2334844</v>
      </c>
      <c r="BO11">
        <v>0.04</v>
      </c>
      <c r="BP11">
        <v>93400</v>
      </c>
      <c r="BQ11">
        <v>0</v>
      </c>
      <c r="BR11" t="s">
        <v>1438</v>
      </c>
      <c r="BS11">
        <v>0</v>
      </c>
      <c r="BT11" t="s">
        <v>1438</v>
      </c>
      <c r="BU11">
        <v>0</v>
      </c>
      <c r="BV11" t="s">
        <v>25</v>
      </c>
      <c r="BW11" t="s">
        <v>189</v>
      </c>
      <c r="BX11">
        <v>25</v>
      </c>
      <c r="BY11">
        <v>2334844</v>
      </c>
      <c r="BZ11">
        <v>6.9599999999999995E-2</v>
      </c>
      <c r="CA11" t="s">
        <v>1439</v>
      </c>
      <c r="CB11" t="s">
        <v>227</v>
      </c>
      <c r="CC11" t="s">
        <v>1440</v>
      </c>
      <c r="CD11">
        <v>162600</v>
      </c>
      <c r="CE11">
        <v>25</v>
      </c>
      <c r="CF11" t="s">
        <v>635</v>
      </c>
      <c r="CG11">
        <v>2334844</v>
      </c>
      <c r="CH11">
        <v>0.04</v>
      </c>
      <c r="CI11">
        <v>93400</v>
      </c>
      <c r="CJ11">
        <v>2334844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 t="s">
        <v>88</v>
      </c>
      <c r="CT11" t="s">
        <v>1441</v>
      </c>
      <c r="CU11" t="s">
        <v>1442</v>
      </c>
    </row>
    <row r="12" spans="1:99">
      <c r="A12" t="s">
        <v>1431</v>
      </c>
      <c r="B12" t="s">
        <v>34</v>
      </c>
      <c r="C12" t="s">
        <v>1475</v>
      </c>
      <c r="D12" t="s">
        <v>1476</v>
      </c>
      <c r="E12" t="s">
        <v>1450</v>
      </c>
      <c r="F12" t="s">
        <v>1477</v>
      </c>
      <c r="G12" t="s">
        <v>1478</v>
      </c>
      <c r="H12" t="s">
        <v>1479</v>
      </c>
      <c r="I12" t="s">
        <v>682</v>
      </c>
      <c r="J12" t="s">
        <v>484</v>
      </c>
      <c r="K12" t="s">
        <v>29</v>
      </c>
      <c r="L12" t="s">
        <v>30</v>
      </c>
      <c r="M12">
        <v>0</v>
      </c>
      <c r="N12" t="s">
        <v>32</v>
      </c>
      <c r="O12" t="s">
        <v>32</v>
      </c>
      <c r="Q12" t="s">
        <v>32</v>
      </c>
      <c r="S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AA12" t="s">
        <v>32</v>
      </c>
      <c r="AB12" t="s">
        <v>37</v>
      </c>
      <c r="AC12">
        <v>46054</v>
      </c>
      <c r="AD12">
        <v>46054</v>
      </c>
      <c r="AE12" t="s">
        <v>32</v>
      </c>
      <c r="AH12" t="s">
        <v>32</v>
      </c>
      <c r="AK12" t="s">
        <v>32</v>
      </c>
      <c r="AN12" t="s">
        <v>32</v>
      </c>
      <c r="AO12" t="s">
        <v>32</v>
      </c>
      <c r="AR12">
        <v>0</v>
      </c>
      <c r="AU12" t="s">
        <v>32</v>
      </c>
      <c r="AV12">
        <v>1750905</v>
      </c>
      <c r="AW12" t="s">
        <v>32</v>
      </c>
      <c r="AX12" t="s">
        <v>32</v>
      </c>
      <c r="AY12" t="s">
        <v>317</v>
      </c>
      <c r="AZ12">
        <v>1</v>
      </c>
      <c r="BA12">
        <v>58364</v>
      </c>
      <c r="BB12">
        <v>0.16</v>
      </c>
      <c r="BC12">
        <v>9400</v>
      </c>
      <c r="BD12" t="s">
        <v>142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9400</v>
      </c>
      <c r="BK12" t="s">
        <v>25</v>
      </c>
      <c r="BL12" t="s">
        <v>726</v>
      </c>
      <c r="BM12">
        <v>1</v>
      </c>
      <c r="BN12">
        <v>58364</v>
      </c>
      <c r="BO12">
        <v>0</v>
      </c>
      <c r="BP12">
        <v>0</v>
      </c>
      <c r="BQ12">
        <v>0</v>
      </c>
      <c r="BR12" t="s">
        <v>1438</v>
      </c>
      <c r="BS12">
        <v>0</v>
      </c>
      <c r="BT12" t="s">
        <v>1438</v>
      </c>
      <c r="BU12">
        <v>0</v>
      </c>
      <c r="BV12" t="s">
        <v>25</v>
      </c>
      <c r="BW12" t="s">
        <v>189</v>
      </c>
      <c r="BX12">
        <v>1</v>
      </c>
      <c r="BY12">
        <v>58364</v>
      </c>
      <c r="BZ12">
        <v>0</v>
      </c>
      <c r="CA12" t="s">
        <v>1439</v>
      </c>
      <c r="CB12" t="s">
        <v>312</v>
      </c>
      <c r="CC12" t="s">
        <v>1440</v>
      </c>
      <c r="CD12">
        <v>0</v>
      </c>
      <c r="CE12">
        <v>1</v>
      </c>
      <c r="CF12" t="s">
        <v>466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 t="s">
        <v>88</v>
      </c>
      <c r="CT12" t="s">
        <v>1441</v>
      </c>
      <c r="CU12" t="s">
        <v>1442</v>
      </c>
    </row>
    <row r="13" spans="1:99">
      <c r="A13" t="s">
        <v>1431</v>
      </c>
      <c r="B13" t="s">
        <v>34</v>
      </c>
      <c r="C13" t="s">
        <v>1475</v>
      </c>
      <c r="D13" t="s">
        <v>1476</v>
      </c>
      <c r="E13" t="s">
        <v>1450</v>
      </c>
      <c r="F13" t="s">
        <v>1477</v>
      </c>
      <c r="G13" t="s">
        <v>1478</v>
      </c>
      <c r="H13" t="s">
        <v>1479</v>
      </c>
      <c r="I13" t="s">
        <v>682</v>
      </c>
      <c r="J13" t="s">
        <v>484</v>
      </c>
      <c r="K13" t="s">
        <v>29</v>
      </c>
      <c r="L13" t="s">
        <v>30</v>
      </c>
      <c r="M13">
        <v>0</v>
      </c>
      <c r="N13" t="s">
        <v>32</v>
      </c>
      <c r="O13" t="s">
        <v>32</v>
      </c>
      <c r="Q13" t="s">
        <v>32</v>
      </c>
      <c r="S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AA13" t="s">
        <v>32</v>
      </c>
      <c r="AB13" t="s">
        <v>37</v>
      </c>
      <c r="AC13">
        <v>46069</v>
      </c>
      <c r="AD13">
        <v>46069</v>
      </c>
      <c r="AE13" t="s">
        <v>32</v>
      </c>
      <c r="AH13" t="s">
        <v>32</v>
      </c>
      <c r="AK13" t="s">
        <v>32</v>
      </c>
      <c r="AN13" t="s">
        <v>32</v>
      </c>
      <c r="AO13" t="s">
        <v>32</v>
      </c>
      <c r="AR13">
        <v>0</v>
      </c>
      <c r="AU13" t="s">
        <v>32</v>
      </c>
      <c r="AV13">
        <v>1750905</v>
      </c>
      <c r="AW13" t="s">
        <v>32</v>
      </c>
      <c r="AX13" t="s">
        <v>32</v>
      </c>
      <c r="AY13" t="s">
        <v>317</v>
      </c>
      <c r="AZ13">
        <v>1</v>
      </c>
      <c r="BA13">
        <v>58364</v>
      </c>
      <c r="BB13">
        <v>0.16</v>
      </c>
      <c r="BC13">
        <v>9400</v>
      </c>
      <c r="BD13" t="s">
        <v>142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9400</v>
      </c>
      <c r="BK13" t="s">
        <v>25</v>
      </c>
      <c r="BL13" t="s">
        <v>726</v>
      </c>
      <c r="BM13">
        <v>1</v>
      </c>
      <c r="BN13">
        <v>58364</v>
      </c>
      <c r="BO13">
        <v>0</v>
      </c>
      <c r="BP13">
        <v>0</v>
      </c>
      <c r="BQ13">
        <v>0</v>
      </c>
      <c r="BR13" t="s">
        <v>1438</v>
      </c>
      <c r="BS13">
        <v>0</v>
      </c>
      <c r="BT13" t="s">
        <v>1438</v>
      </c>
      <c r="BU13">
        <v>0</v>
      </c>
      <c r="BV13" t="s">
        <v>25</v>
      </c>
      <c r="BW13" t="s">
        <v>189</v>
      </c>
      <c r="BX13">
        <v>1</v>
      </c>
      <c r="BY13">
        <v>58364</v>
      </c>
      <c r="BZ13">
        <v>0</v>
      </c>
      <c r="CA13" t="s">
        <v>1439</v>
      </c>
      <c r="CB13" t="s">
        <v>312</v>
      </c>
      <c r="CC13" t="s">
        <v>1440</v>
      </c>
      <c r="CD13">
        <v>0</v>
      </c>
      <c r="CE13">
        <v>1</v>
      </c>
      <c r="CF13" t="s">
        <v>466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 t="s">
        <v>88</v>
      </c>
      <c r="CT13" t="s">
        <v>1441</v>
      </c>
      <c r="CU13" t="s">
        <v>1442</v>
      </c>
    </row>
    <row r="14" spans="1:99">
      <c r="A14" t="s">
        <v>1431</v>
      </c>
      <c r="B14" t="s">
        <v>34</v>
      </c>
      <c r="C14" t="s">
        <v>1475</v>
      </c>
      <c r="D14" t="s">
        <v>1476</v>
      </c>
      <c r="E14" t="s">
        <v>1450</v>
      </c>
      <c r="F14" t="s">
        <v>1477</v>
      </c>
      <c r="G14" t="s">
        <v>1478</v>
      </c>
      <c r="H14" t="s">
        <v>1479</v>
      </c>
      <c r="I14" t="s">
        <v>682</v>
      </c>
      <c r="J14" t="s">
        <v>484</v>
      </c>
      <c r="K14" t="s">
        <v>29</v>
      </c>
      <c r="L14" t="s">
        <v>30</v>
      </c>
      <c r="M14">
        <v>198</v>
      </c>
      <c r="N14" t="s">
        <v>32</v>
      </c>
      <c r="O14" t="s">
        <v>32</v>
      </c>
      <c r="Q14" t="s">
        <v>32</v>
      </c>
      <c r="S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AA14" t="s">
        <v>88</v>
      </c>
      <c r="AB14" t="s">
        <v>32</v>
      </c>
      <c r="AE14" t="s">
        <v>32</v>
      </c>
      <c r="AH14" t="s">
        <v>32</v>
      </c>
      <c r="AK14" t="s">
        <v>32</v>
      </c>
      <c r="AN14" t="s">
        <v>32</v>
      </c>
      <c r="AO14" t="s">
        <v>32</v>
      </c>
      <c r="AR14">
        <v>0</v>
      </c>
      <c r="AU14" t="s">
        <v>32</v>
      </c>
      <c r="AV14">
        <v>1750905</v>
      </c>
      <c r="AW14" t="s">
        <v>32</v>
      </c>
      <c r="AX14" t="s">
        <v>32</v>
      </c>
      <c r="AY14" t="s">
        <v>317</v>
      </c>
      <c r="AZ14">
        <v>28</v>
      </c>
      <c r="BA14">
        <v>1972818</v>
      </c>
      <c r="BB14">
        <v>0.16</v>
      </c>
      <c r="BC14">
        <v>315700</v>
      </c>
      <c r="BD14" t="s">
        <v>142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315700</v>
      </c>
      <c r="BK14" t="s">
        <v>25</v>
      </c>
      <c r="BL14" t="s">
        <v>726</v>
      </c>
      <c r="BM14">
        <v>28</v>
      </c>
      <c r="BN14">
        <v>1972818</v>
      </c>
      <c r="BO14">
        <v>0.04</v>
      </c>
      <c r="BP14">
        <v>79000</v>
      </c>
      <c r="BQ14">
        <v>0</v>
      </c>
      <c r="BR14" t="s">
        <v>1438</v>
      </c>
      <c r="BS14">
        <v>0</v>
      </c>
      <c r="BT14" t="s">
        <v>1438</v>
      </c>
      <c r="BU14">
        <v>0</v>
      </c>
      <c r="BV14" t="s">
        <v>25</v>
      </c>
      <c r="BW14" t="s">
        <v>189</v>
      </c>
      <c r="BX14">
        <v>28</v>
      </c>
      <c r="BY14">
        <v>1972818</v>
      </c>
      <c r="BZ14">
        <v>6.9599999999999995E-2</v>
      </c>
      <c r="CA14" t="s">
        <v>1439</v>
      </c>
      <c r="CB14" t="s">
        <v>312</v>
      </c>
      <c r="CC14" t="s">
        <v>1440</v>
      </c>
      <c r="CD14">
        <v>137400</v>
      </c>
      <c r="CE14">
        <v>28</v>
      </c>
      <c r="CF14" t="s">
        <v>466</v>
      </c>
      <c r="CG14">
        <v>1972819</v>
      </c>
      <c r="CH14">
        <v>0.04</v>
      </c>
      <c r="CI14">
        <v>79000</v>
      </c>
      <c r="CJ14">
        <v>1972819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 t="s">
        <v>88</v>
      </c>
      <c r="CT14" t="s">
        <v>1441</v>
      </c>
      <c r="CU14" t="s">
        <v>1442</v>
      </c>
    </row>
    <row r="15" spans="1:99">
      <c r="A15" t="s">
        <v>1431</v>
      </c>
      <c r="B15" t="s">
        <v>34</v>
      </c>
      <c r="C15" t="s">
        <v>1480</v>
      </c>
      <c r="D15" t="s">
        <v>1481</v>
      </c>
      <c r="E15" t="s">
        <v>1482</v>
      </c>
      <c r="F15" t="s">
        <v>1483</v>
      </c>
      <c r="G15" t="s">
        <v>1484</v>
      </c>
      <c r="H15" t="s">
        <v>1437</v>
      </c>
      <c r="I15" t="s">
        <v>240</v>
      </c>
      <c r="J15" t="s">
        <v>46</v>
      </c>
      <c r="K15" t="s">
        <v>29</v>
      </c>
      <c r="L15" t="s">
        <v>30</v>
      </c>
      <c r="M15">
        <v>0</v>
      </c>
      <c r="N15" t="s">
        <v>32</v>
      </c>
      <c r="O15" t="s">
        <v>32</v>
      </c>
      <c r="Q15" t="s">
        <v>40</v>
      </c>
      <c r="R15">
        <v>46081</v>
      </c>
      <c r="S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AA15" t="s">
        <v>32</v>
      </c>
      <c r="AB15" t="s">
        <v>32</v>
      </c>
      <c r="AE15" t="s">
        <v>32</v>
      </c>
      <c r="AH15" t="s">
        <v>32</v>
      </c>
      <c r="AK15" t="s">
        <v>32</v>
      </c>
      <c r="AN15" t="s">
        <v>32</v>
      </c>
      <c r="AO15" t="s">
        <v>32</v>
      </c>
      <c r="AR15">
        <v>0</v>
      </c>
      <c r="AU15" t="s">
        <v>32</v>
      </c>
      <c r="AV15">
        <v>1785595</v>
      </c>
      <c r="AW15" t="s">
        <v>32</v>
      </c>
      <c r="AX15" t="s">
        <v>32</v>
      </c>
      <c r="AY15" t="s">
        <v>185</v>
      </c>
      <c r="AZ15">
        <v>3</v>
      </c>
      <c r="BA15">
        <v>178560</v>
      </c>
      <c r="BB15">
        <v>0.16</v>
      </c>
      <c r="BC15">
        <v>28600</v>
      </c>
      <c r="BD15" t="s">
        <v>142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28600</v>
      </c>
      <c r="BK15" t="s">
        <v>25</v>
      </c>
      <c r="BL15" t="s">
        <v>902</v>
      </c>
      <c r="BM15">
        <v>3</v>
      </c>
      <c r="BN15">
        <v>178560</v>
      </c>
      <c r="BO15">
        <v>0.04</v>
      </c>
      <c r="BP15">
        <v>7200</v>
      </c>
      <c r="BQ15">
        <v>0</v>
      </c>
      <c r="BR15" t="s">
        <v>1438</v>
      </c>
      <c r="BS15">
        <v>0</v>
      </c>
      <c r="BT15" t="s">
        <v>1438</v>
      </c>
      <c r="BU15">
        <v>0</v>
      </c>
      <c r="BV15" t="s">
        <v>25</v>
      </c>
      <c r="BW15" t="s">
        <v>189</v>
      </c>
      <c r="BX15">
        <v>3</v>
      </c>
      <c r="BY15">
        <v>178560</v>
      </c>
      <c r="BZ15">
        <v>6.9599999999999995E-2</v>
      </c>
      <c r="CA15" t="s">
        <v>1439</v>
      </c>
      <c r="CB15" t="s">
        <v>227</v>
      </c>
      <c r="CC15" t="s">
        <v>1440</v>
      </c>
      <c r="CD15">
        <v>12500</v>
      </c>
      <c r="CE15">
        <v>3</v>
      </c>
      <c r="CF15" t="s">
        <v>635</v>
      </c>
      <c r="CG15">
        <v>178560</v>
      </c>
      <c r="CH15">
        <v>0.04</v>
      </c>
      <c r="CI15">
        <v>7200</v>
      </c>
      <c r="CJ15">
        <v>178560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 t="s">
        <v>88</v>
      </c>
      <c r="CT15" t="s">
        <v>1441</v>
      </c>
      <c r="CU15" t="s">
        <v>1442</v>
      </c>
    </row>
    <row r="16" spans="1:99">
      <c r="A16" t="s">
        <v>1431</v>
      </c>
      <c r="B16" t="s">
        <v>34</v>
      </c>
      <c r="C16" t="s">
        <v>1485</v>
      </c>
      <c r="D16" t="s">
        <v>1486</v>
      </c>
      <c r="E16" t="s">
        <v>1487</v>
      </c>
      <c r="F16" t="s">
        <v>1488</v>
      </c>
      <c r="G16" t="s">
        <v>1489</v>
      </c>
      <c r="H16" t="s">
        <v>1490</v>
      </c>
      <c r="I16" t="s">
        <v>682</v>
      </c>
      <c r="J16" t="s">
        <v>484</v>
      </c>
      <c r="K16" t="s">
        <v>29</v>
      </c>
      <c r="L16" t="s">
        <v>30</v>
      </c>
      <c r="M16">
        <v>0</v>
      </c>
      <c r="N16" t="s">
        <v>32</v>
      </c>
      <c r="O16" t="s">
        <v>32</v>
      </c>
      <c r="Q16" t="s">
        <v>32</v>
      </c>
      <c r="S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AA16" t="s">
        <v>32</v>
      </c>
      <c r="AB16" t="s">
        <v>37</v>
      </c>
      <c r="AC16">
        <v>46054</v>
      </c>
      <c r="AD16">
        <v>46054</v>
      </c>
      <c r="AE16" t="s">
        <v>32</v>
      </c>
      <c r="AH16" t="s">
        <v>32</v>
      </c>
      <c r="AK16" t="s">
        <v>32</v>
      </c>
      <c r="AN16" t="s">
        <v>32</v>
      </c>
      <c r="AO16" t="s">
        <v>32</v>
      </c>
      <c r="AR16">
        <v>0</v>
      </c>
      <c r="AU16" t="s">
        <v>32</v>
      </c>
      <c r="AV16">
        <v>1785595</v>
      </c>
      <c r="AW16" t="s">
        <v>32</v>
      </c>
      <c r="AX16" t="s">
        <v>32</v>
      </c>
      <c r="AY16" t="s">
        <v>317</v>
      </c>
      <c r="AZ16">
        <v>1</v>
      </c>
      <c r="BA16">
        <v>59520</v>
      </c>
      <c r="BB16">
        <v>0.16</v>
      </c>
      <c r="BC16">
        <v>9600</v>
      </c>
      <c r="BD16" t="s">
        <v>142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9600</v>
      </c>
      <c r="BK16" t="s">
        <v>25</v>
      </c>
      <c r="BL16" t="s">
        <v>1491</v>
      </c>
      <c r="BM16">
        <v>1</v>
      </c>
      <c r="BN16">
        <v>59520</v>
      </c>
      <c r="BO16">
        <v>0</v>
      </c>
      <c r="BP16">
        <v>0</v>
      </c>
      <c r="BQ16">
        <v>0</v>
      </c>
      <c r="BR16" t="s">
        <v>1438</v>
      </c>
      <c r="BS16">
        <v>0</v>
      </c>
      <c r="BT16" t="s">
        <v>1438</v>
      </c>
      <c r="BU16">
        <v>0</v>
      </c>
      <c r="BV16" t="s">
        <v>25</v>
      </c>
      <c r="BW16" t="s">
        <v>189</v>
      </c>
      <c r="BX16">
        <v>1</v>
      </c>
      <c r="BY16">
        <v>59520</v>
      </c>
      <c r="BZ16">
        <v>0</v>
      </c>
      <c r="CA16" t="s">
        <v>1439</v>
      </c>
      <c r="CB16" t="s">
        <v>312</v>
      </c>
      <c r="CC16" t="s">
        <v>1440</v>
      </c>
      <c r="CD16">
        <v>0</v>
      </c>
      <c r="CE16">
        <v>1</v>
      </c>
      <c r="CF16" t="s">
        <v>466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 t="s">
        <v>88</v>
      </c>
      <c r="CT16" t="s">
        <v>1441</v>
      </c>
      <c r="CU16" t="s">
        <v>1442</v>
      </c>
    </row>
    <row r="17" spans="1:99">
      <c r="A17" t="s">
        <v>1431</v>
      </c>
      <c r="B17" t="s">
        <v>34</v>
      </c>
      <c r="C17" t="s">
        <v>1485</v>
      </c>
      <c r="D17" t="s">
        <v>1486</v>
      </c>
      <c r="E17" t="s">
        <v>1487</v>
      </c>
      <c r="F17" t="s">
        <v>1488</v>
      </c>
      <c r="G17" t="s">
        <v>1489</v>
      </c>
      <c r="H17" t="s">
        <v>1490</v>
      </c>
      <c r="I17" t="s">
        <v>682</v>
      </c>
      <c r="J17" t="s">
        <v>484</v>
      </c>
      <c r="K17" t="s">
        <v>29</v>
      </c>
      <c r="L17" t="s">
        <v>30</v>
      </c>
      <c r="M17">
        <v>0</v>
      </c>
      <c r="N17" t="s">
        <v>32</v>
      </c>
      <c r="O17" t="s">
        <v>32</v>
      </c>
      <c r="Q17" t="s">
        <v>32</v>
      </c>
      <c r="S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AA17" t="s">
        <v>32</v>
      </c>
      <c r="AB17" t="s">
        <v>32</v>
      </c>
      <c r="AE17" t="s">
        <v>1492</v>
      </c>
      <c r="AF17">
        <v>46056</v>
      </c>
      <c r="AG17">
        <v>46056</v>
      </c>
      <c r="AH17" t="s">
        <v>32</v>
      </c>
      <c r="AK17" t="s">
        <v>32</v>
      </c>
      <c r="AN17" t="s">
        <v>32</v>
      </c>
      <c r="AO17" t="s">
        <v>32</v>
      </c>
      <c r="AR17">
        <v>0</v>
      </c>
      <c r="AU17" t="s">
        <v>32</v>
      </c>
      <c r="AV17">
        <v>1785595</v>
      </c>
      <c r="AW17" t="s">
        <v>32</v>
      </c>
      <c r="AX17" t="s">
        <v>32</v>
      </c>
      <c r="AY17" t="s">
        <v>317</v>
      </c>
      <c r="AZ17">
        <v>1</v>
      </c>
      <c r="BA17">
        <v>69937</v>
      </c>
      <c r="BB17">
        <v>0.16</v>
      </c>
      <c r="BC17">
        <v>11200</v>
      </c>
      <c r="BD17" t="s">
        <v>142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11200</v>
      </c>
      <c r="BK17" t="s">
        <v>25</v>
      </c>
      <c r="BL17" t="s">
        <v>1491</v>
      </c>
      <c r="BM17">
        <v>1</v>
      </c>
      <c r="BN17">
        <v>69937</v>
      </c>
      <c r="BO17">
        <v>0.04</v>
      </c>
      <c r="BP17">
        <v>2800</v>
      </c>
      <c r="BQ17">
        <v>0</v>
      </c>
      <c r="BR17" t="s">
        <v>1438</v>
      </c>
      <c r="BS17">
        <v>0</v>
      </c>
      <c r="BT17" t="s">
        <v>1438</v>
      </c>
      <c r="BU17">
        <v>0</v>
      </c>
      <c r="BV17" t="s">
        <v>25</v>
      </c>
      <c r="BW17" t="s">
        <v>189</v>
      </c>
      <c r="BX17">
        <v>1</v>
      </c>
      <c r="BY17">
        <v>69937</v>
      </c>
      <c r="BZ17">
        <v>0</v>
      </c>
      <c r="CA17" t="s">
        <v>1439</v>
      </c>
      <c r="CB17" t="s">
        <v>312</v>
      </c>
      <c r="CC17" t="s">
        <v>1440</v>
      </c>
      <c r="CD17">
        <v>0</v>
      </c>
      <c r="CE17">
        <v>1</v>
      </c>
      <c r="CF17" t="s">
        <v>466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 t="s">
        <v>88</v>
      </c>
      <c r="CT17" t="s">
        <v>1441</v>
      </c>
      <c r="CU17" t="s">
        <v>1442</v>
      </c>
    </row>
    <row r="18" spans="1:99">
      <c r="A18" t="s">
        <v>1431</v>
      </c>
      <c r="B18" t="s">
        <v>34</v>
      </c>
      <c r="C18" t="s">
        <v>1485</v>
      </c>
      <c r="D18" t="s">
        <v>1486</v>
      </c>
      <c r="E18" t="s">
        <v>1487</v>
      </c>
      <c r="F18" t="s">
        <v>1488</v>
      </c>
      <c r="G18" t="s">
        <v>1489</v>
      </c>
      <c r="H18" t="s">
        <v>1490</v>
      </c>
      <c r="I18" t="s">
        <v>682</v>
      </c>
      <c r="J18" t="s">
        <v>484</v>
      </c>
      <c r="K18" t="s">
        <v>29</v>
      </c>
      <c r="L18" t="s">
        <v>30</v>
      </c>
      <c r="M18">
        <v>192</v>
      </c>
      <c r="N18" t="s">
        <v>32</v>
      </c>
      <c r="O18" t="s">
        <v>32</v>
      </c>
      <c r="Q18" t="s">
        <v>32</v>
      </c>
      <c r="S18" t="s">
        <v>40</v>
      </c>
      <c r="T18">
        <v>46079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AA18" t="s">
        <v>88</v>
      </c>
      <c r="AB18" t="s">
        <v>32</v>
      </c>
      <c r="AE18" t="s">
        <v>32</v>
      </c>
      <c r="AH18" t="s">
        <v>32</v>
      </c>
      <c r="AK18" t="s">
        <v>32</v>
      </c>
      <c r="AN18" t="s">
        <v>32</v>
      </c>
      <c r="AO18" t="s">
        <v>32</v>
      </c>
      <c r="AR18">
        <v>0</v>
      </c>
      <c r="AU18" t="s">
        <v>32</v>
      </c>
      <c r="AV18">
        <v>1785595</v>
      </c>
      <c r="AW18" t="s">
        <v>32</v>
      </c>
      <c r="AX18" t="s">
        <v>32</v>
      </c>
      <c r="AY18" t="s">
        <v>317</v>
      </c>
      <c r="AZ18">
        <v>24</v>
      </c>
      <c r="BA18">
        <v>2913713</v>
      </c>
      <c r="BB18">
        <v>0.16</v>
      </c>
      <c r="BC18">
        <v>466200</v>
      </c>
      <c r="BD18" t="s">
        <v>142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466200</v>
      </c>
      <c r="BK18" t="s">
        <v>25</v>
      </c>
      <c r="BL18" t="s">
        <v>1491</v>
      </c>
      <c r="BM18">
        <v>24</v>
      </c>
      <c r="BN18">
        <v>2913713</v>
      </c>
      <c r="BO18">
        <v>0.04</v>
      </c>
      <c r="BP18">
        <v>116600</v>
      </c>
      <c r="BQ18">
        <v>0</v>
      </c>
      <c r="BR18" t="s">
        <v>1438</v>
      </c>
      <c r="BS18">
        <v>0</v>
      </c>
      <c r="BT18" t="s">
        <v>1438</v>
      </c>
      <c r="BU18">
        <v>0</v>
      </c>
      <c r="BV18" t="s">
        <v>25</v>
      </c>
      <c r="BW18" t="s">
        <v>189</v>
      </c>
      <c r="BX18">
        <v>24</v>
      </c>
      <c r="BY18">
        <v>2913713</v>
      </c>
      <c r="BZ18">
        <v>6.9599999999999995E-2</v>
      </c>
      <c r="CA18" t="s">
        <v>1439</v>
      </c>
      <c r="CB18" t="s">
        <v>312</v>
      </c>
      <c r="CC18" t="s">
        <v>1440</v>
      </c>
      <c r="CD18">
        <v>202800</v>
      </c>
      <c r="CE18">
        <v>24</v>
      </c>
      <c r="CF18" t="s">
        <v>466</v>
      </c>
      <c r="CG18">
        <v>4259565</v>
      </c>
      <c r="CH18">
        <v>0.04</v>
      </c>
      <c r="CI18">
        <v>170400</v>
      </c>
      <c r="CJ18">
        <v>4259565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 t="s">
        <v>88</v>
      </c>
      <c r="CT18" t="s">
        <v>1441</v>
      </c>
      <c r="CU18" t="s">
        <v>1442</v>
      </c>
    </row>
    <row r="19" spans="1:99">
      <c r="A19" t="s">
        <v>1431</v>
      </c>
      <c r="B19" t="s">
        <v>34</v>
      </c>
      <c r="C19" t="s">
        <v>1493</v>
      </c>
      <c r="D19" t="s">
        <v>1494</v>
      </c>
      <c r="E19" t="s">
        <v>1495</v>
      </c>
      <c r="F19" t="s">
        <v>1496</v>
      </c>
      <c r="G19" t="s">
        <v>1497</v>
      </c>
      <c r="H19" t="s">
        <v>1498</v>
      </c>
      <c r="I19" t="s">
        <v>240</v>
      </c>
      <c r="J19" t="s">
        <v>46</v>
      </c>
      <c r="K19" t="s">
        <v>29</v>
      </c>
      <c r="L19" t="s">
        <v>30</v>
      </c>
      <c r="M19">
        <v>0</v>
      </c>
      <c r="N19" t="s">
        <v>32</v>
      </c>
      <c r="O19" t="s">
        <v>32</v>
      </c>
      <c r="Q19" t="s">
        <v>32</v>
      </c>
      <c r="S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AA19" t="s">
        <v>32</v>
      </c>
      <c r="AB19" t="s">
        <v>32</v>
      </c>
      <c r="AE19" t="s">
        <v>32</v>
      </c>
      <c r="AH19" t="s">
        <v>32</v>
      </c>
      <c r="AK19" t="s">
        <v>128</v>
      </c>
      <c r="AL19">
        <v>46054</v>
      </c>
      <c r="AM19">
        <v>46054</v>
      </c>
      <c r="AN19" t="s">
        <v>32</v>
      </c>
      <c r="AO19" t="s">
        <v>32</v>
      </c>
      <c r="AR19">
        <v>0</v>
      </c>
      <c r="AU19" t="s">
        <v>32</v>
      </c>
      <c r="AV19">
        <v>1750905</v>
      </c>
      <c r="AW19" t="s">
        <v>32</v>
      </c>
      <c r="AX19" t="s">
        <v>32</v>
      </c>
      <c r="AY19" t="s">
        <v>317</v>
      </c>
      <c r="AZ19">
        <v>1</v>
      </c>
      <c r="BA19">
        <v>58364</v>
      </c>
      <c r="BB19">
        <v>0.16</v>
      </c>
      <c r="BC19">
        <v>9400</v>
      </c>
      <c r="BD19" t="s">
        <v>142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9400</v>
      </c>
      <c r="BK19" t="s">
        <v>25</v>
      </c>
      <c r="BL19" t="s">
        <v>1064</v>
      </c>
      <c r="BM19">
        <v>1</v>
      </c>
      <c r="BN19">
        <v>58364</v>
      </c>
      <c r="BO19">
        <v>0.04</v>
      </c>
      <c r="BP19">
        <v>2400</v>
      </c>
      <c r="BQ19">
        <v>0</v>
      </c>
      <c r="BR19" t="s">
        <v>1438</v>
      </c>
      <c r="BS19">
        <v>0</v>
      </c>
      <c r="BT19" t="s">
        <v>1438</v>
      </c>
      <c r="BU19">
        <v>0</v>
      </c>
      <c r="BV19" t="s">
        <v>25</v>
      </c>
      <c r="BW19" t="s">
        <v>189</v>
      </c>
      <c r="BX19">
        <v>1</v>
      </c>
      <c r="BY19">
        <v>58364</v>
      </c>
      <c r="BZ19">
        <v>0</v>
      </c>
      <c r="CA19" t="s">
        <v>1439</v>
      </c>
      <c r="CB19" t="s">
        <v>227</v>
      </c>
      <c r="CC19" t="s">
        <v>1440</v>
      </c>
      <c r="CD19">
        <v>0</v>
      </c>
      <c r="CE19">
        <v>1</v>
      </c>
      <c r="CF19" t="s">
        <v>635</v>
      </c>
      <c r="CG19">
        <v>58364</v>
      </c>
      <c r="CH19">
        <v>0.04</v>
      </c>
      <c r="CI19">
        <v>2400</v>
      </c>
      <c r="CJ19">
        <v>58364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 t="s">
        <v>88</v>
      </c>
      <c r="CT19" t="s">
        <v>1441</v>
      </c>
      <c r="CU19" t="s">
        <v>1442</v>
      </c>
    </row>
    <row r="20" spans="1:99">
      <c r="A20" t="s">
        <v>1431</v>
      </c>
      <c r="B20" t="s">
        <v>34</v>
      </c>
      <c r="C20" t="s">
        <v>1493</v>
      </c>
      <c r="D20" t="s">
        <v>1494</v>
      </c>
      <c r="E20" t="s">
        <v>1495</v>
      </c>
      <c r="F20" t="s">
        <v>1496</v>
      </c>
      <c r="G20" t="s">
        <v>1497</v>
      </c>
      <c r="H20" t="s">
        <v>1498</v>
      </c>
      <c r="I20" t="s">
        <v>240</v>
      </c>
      <c r="J20" t="s">
        <v>46</v>
      </c>
      <c r="K20" t="s">
        <v>29</v>
      </c>
      <c r="L20" t="s">
        <v>30</v>
      </c>
      <c r="M20">
        <v>0</v>
      </c>
      <c r="N20" t="s">
        <v>32</v>
      </c>
      <c r="O20" t="s">
        <v>32</v>
      </c>
      <c r="Q20" t="s">
        <v>32</v>
      </c>
      <c r="S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AA20" t="s">
        <v>32</v>
      </c>
      <c r="AB20" t="s">
        <v>32</v>
      </c>
      <c r="AE20" t="s">
        <v>1492</v>
      </c>
      <c r="AF20">
        <v>46062</v>
      </c>
      <c r="AG20">
        <v>46063</v>
      </c>
      <c r="AH20" t="s">
        <v>32</v>
      </c>
      <c r="AK20" t="s">
        <v>32</v>
      </c>
      <c r="AN20" t="s">
        <v>32</v>
      </c>
      <c r="AO20" t="s">
        <v>32</v>
      </c>
      <c r="AR20">
        <v>0</v>
      </c>
      <c r="AU20" t="s">
        <v>32</v>
      </c>
      <c r="AV20">
        <v>1750905</v>
      </c>
      <c r="AW20" t="s">
        <v>32</v>
      </c>
      <c r="AX20" t="s">
        <v>32</v>
      </c>
      <c r="AY20" t="s">
        <v>317</v>
      </c>
      <c r="AZ20">
        <v>2</v>
      </c>
      <c r="BA20">
        <v>205820</v>
      </c>
      <c r="BB20">
        <v>0.16</v>
      </c>
      <c r="BC20">
        <v>33000</v>
      </c>
      <c r="BD20" t="s">
        <v>142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33000</v>
      </c>
      <c r="BK20" t="s">
        <v>25</v>
      </c>
      <c r="BL20" t="s">
        <v>1064</v>
      </c>
      <c r="BM20">
        <v>2</v>
      </c>
      <c r="BN20">
        <v>205820</v>
      </c>
      <c r="BO20">
        <v>0.04</v>
      </c>
      <c r="BP20">
        <v>8300</v>
      </c>
      <c r="BQ20">
        <v>0</v>
      </c>
      <c r="BR20" t="s">
        <v>1438</v>
      </c>
      <c r="BS20">
        <v>0</v>
      </c>
      <c r="BT20" t="s">
        <v>1438</v>
      </c>
      <c r="BU20">
        <v>0</v>
      </c>
      <c r="BV20" t="s">
        <v>25</v>
      </c>
      <c r="BW20" t="s">
        <v>189</v>
      </c>
      <c r="BX20">
        <v>2</v>
      </c>
      <c r="BY20">
        <v>205820</v>
      </c>
      <c r="BZ20">
        <v>0</v>
      </c>
      <c r="CA20" t="s">
        <v>1439</v>
      </c>
      <c r="CB20" t="s">
        <v>227</v>
      </c>
      <c r="CC20" t="s">
        <v>1440</v>
      </c>
      <c r="CD20">
        <v>0</v>
      </c>
      <c r="CE20">
        <v>2</v>
      </c>
      <c r="CF20" t="s">
        <v>635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 t="s">
        <v>88</v>
      </c>
      <c r="CT20" t="s">
        <v>1441</v>
      </c>
      <c r="CU20" t="s">
        <v>1442</v>
      </c>
    </row>
    <row r="21" spans="1:99">
      <c r="A21" t="s">
        <v>1431</v>
      </c>
      <c r="B21" t="s">
        <v>34</v>
      </c>
      <c r="C21" t="s">
        <v>1493</v>
      </c>
      <c r="D21" t="s">
        <v>1494</v>
      </c>
      <c r="E21" t="s">
        <v>1495</v>
      </c>
      <c r="F21" t="s">
        <v>1496</v>
      </c>
      <c r="G21" t="s">
        <v>1497</v>
      </c>
      <c r="H21" t="s">
        <v>1498</v>
      </c>
      <c r="I21" t="s">
        <v>240</v>
      </c>
      <c r="J21" t="s">
        <v>46</v>
      </c>
      <c r="K21" t="s">
        <v>29</v>
      </c>
      <c r="L21" t="s">
        <v>30</v>
      </c>
      <c r="M21">
        <v>0</v>
      </c>
      <c r="N21" t="s">
        <v>32</v>
      </c>
      <c r="O21" t="s">
        <v>32</v>
      </c>
      <c r="Q21" t="s">
        <v>32</v>
      </c>
      <c r="S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AA21" t="s">
        <v>32</v>
      </c>
      <c r="AB21" t="s">
        <v>37</v>
      </c>
      <c r="AC21">
        <v>46069</v>
      </c>
      <c r="AD21">
        <v>46070</v>
      </c>
      <c r="AE21" t="s">
        <v>32</v>
      </c>
      <c r="AH21" t="s">
        <v>32</v>
      </c>
      <c r="AK21" t="s">
        <v>32</v>
      </c>
      <c r="AN21" t="s">
        <v>32</v>
      </c>
      <c r="AO21" t="s">
        <v>32</v>
      </c>
      <c r="AR21">
        <v>0</v>
      </c>
      <c r="AU21" t="s">
        <v>32</v>
      </c>
      <c r="AV21">
        <v>1750905</v>
      </c>
      <c r="AW21" t="s">
        <v>32</v>
      </c>
      <c r="AX21" t="s">
        <v>32</v>
      </c>
      <c r="AY21" t="s">
        <v>317</v>
      </c>
      <c r="AZ21">
        <v>2</v>
      </c>
      <c r="BA21">
        <v>116727</v>
      </c>
      <c r="BB21">
        <v>0.16</v>
      </c>
      <c r="BC21">
        <v>18700</v>
      </c>
      <c r="BD21" t="s">
        <v>142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18700</v>
      </c>
      <c r="BK21" t="s">
        <v>25</v>
      </c>
      <c r="BL21" t="s">
        <v>1064</v>
      </c>
      <c r="BM21">
        <v>2</v>
      </c>
      <c r="BN21">
        <v>116727</v>
      </c>
      <c r="BO21">
        <v>0</v>
      </c>
      <c r="BP21">
        <v>0</v>
      </c>
      <c r="BQ21">
        <v>0</v>
      </c>
      <c r="BR21" t="s">
        <v>1438</v>
      </c>
      <c r="BS21">
        <v>0</v>
      </c>
      <c r="BT21" t="s">
        <v>1438</v>
      </c>
      <c r="BU21">
        <v>0</v>
      </c>
      <c r="BV21" t="s">
        <v>25</v>
      </c>
      <c r="BW21" t="s">
        <v>189</v>
      </c>
      <c r="BX21">
        <v>2</v>
      </c>
      <c r="BY21">
        <v>116727</v>
      </c>
      <c r="BZ21">
        <v>0</v>
      </c>
      <c r="CA21" t="s">
        <v>1439</v>
      </c>
      <c r="CB21" t="s">
        <v>227</v>
      </c>
      <c r="CC21" t="s">
        <v>1440</v>
      </c>
      <c r="CD21">
        <v>0</v>
      </c>
      <c r="CE21">
        <v>2</v>
      </c>
      <c r="CF21" t="s">
        <v>635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 t="s">
        <v>88</v>
      </c>
      <c r="CT21" t="s">
        <v>1441</v>
      </c>
      <c r="CU21" t="s">
        <v>1442</v>
      </c>
    </row>
    <row r="22" spans="1:99">
      <c r="A22" t="s">
        <v>1431</v>
      </c>
      <c r="B22" t="s">
        <v>34</v>
      </c>
      <c r="C22" t="s">
        <v>1493</v>
      </c>
      <c r="D22" t="s">
        <v>1494</v>
      </c>
      <c r="E22" t="s">
        <v>1495</v>
      </c>
      <c r="F22" t="s">
        <v>1496</v>
      </c>
      <c r="G22" t="s">
        <v>1497</v>
      </c>
      <c r="H22" t="s">
        <v>1498</v>
      </c>
      <c r="I22" t="s">
        <v>240</v>
      </c>
      <c r="J22" t="s">
        <v>46</v>
      </c>
      <c r="K22" t="s">
        <v>29</v>
      </c>
      <c r="L22" t="s">
        <v>30</v>
      </c>
      <c r="M22">
        <v>124</v>
      </c>
      <c r="N22" t="s">
        <v>32</v>
      </c>
      <c r="O22" t="s">
        <v>32</v>
      </c>
      <c r="Q22" t="s">
        <v>32</v>
      </c>
      <c r="S22" t="s">
        <v>40</v>
      </c>
      <c r="T22">
        <v>46074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AA22" t="s">
        <v>88</v>
      </c>
      <c r="AB22" t="s">
        <v>32</v>
      </c>
      <c r="AE22" t="s">
        <v>32</v>
      </c>
      <c r="AH22" t="s">
        <v>32</v>
      </c>
      <c r="AK22" t="s">
        <v>32</v>
      </c>
      <c r="AN22" t="s">
        <v>32</v>
      </c>
      <c r="AO22" t="s">
        <v>32</v>
      </c>
      <c r="AR22">
        <v>0</v>
      </c>
      <c r="AU22" t="s">
        <v>32</v>
      </c>
      <c r="AV22">
        <v>1750905</v>
      </c>
      <c r="AW22" t="s">
        <v>32</v>
      </c>
      <c r="AX22" t="s">
        <v>32</v>
      </c>
      <c r="AY22" t="s">
        <v>317</v>
      </c>
      <c r="AZ22">
        <v>16</v>
      </c>
      <c r="BA22">
        <v>1600632</v>
      </c>
      <c r="BB22">
        <v>0.16</v>
      </c>
      <c r="BC22">
        <v>256200</v>
      </c>
      <c r="BD22" t="s">
        <v>142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256200</v>
      </c>
      <c r="BK22" t="s">
        <v>25</v>
      </c>
      <c r="BL22" t="s">
        <v>1064</v>
      </c>
      <c r="BM22">
        <v>16</v>
      </c>
      <c r="BN22">
        <v>1600632</v>
      </c>
      <c r="BO22">
        <v>0.04</v>
      </c>
      <c r="BP22">
        <v>64100</v>
      </c>
      <c r="BQ22">
        <v>0</v>
      </c>
      <c r="BR22" t="s">
        <v>1438</v>
      </c>
      <c r="BS22">
        <v>0</v>
      </c>
      <c r="BT22" t="s">
        <v>1438</v>
      </c>
      <c r="BU22">
        <v>0</v>
      </c>
      <c r="BV22" t="s">
        <v>25</v>
      </c>
      <c r="BW22" t="s">
        <v>189</v>
      </c>
      <c r="BX22">
        <v>16</v>
      </c>
      <c r="BY22">
        <v>1600632</v>
      </c>
      <c r="BZ22">
        <v>6.9599999999999995E-2</v>
      </c>
      <c r="CA22" t="s">
        <v>1439</v>
      </c>
      <c r="CB22" t="s">
        <v>227</v>
      </c>
      <c r="CC22" t="s">
        <v>1440</v>
      </c>
      <c r="CD22">
        <v>111500</v>
      </c>
      <c r="CE22">
        <v>16</v>
      </c>
      <c r="CF22" t="s">
        <v>635</v>
      </c>
      <c r="CG22">
        <v>2098116</v>
      </c>
      <c r="CH22">
        <v>0.04</v>
      </c>
      <c r="CI22">
        <v>84000</v>
      </c>
      <c r="CJ22">
        <v>2098116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 t="s">
        <v>88</v>
      </c>
      <c r="CT22" t="s">
        <v>1441</v>
      </c>
      <c r="CU22" t="s">
        <v>1442</v>
      </c>
    </row>
    <row r="23" spans="1:99">
      <c r="A23" t="s">
        <v>1431</v>
      </c>
      <c r="B23" t="s">
        <v>34</v>
      </c>
      <c r="C23" t="s">
        <v>1499</v>
      </c>
      <c r="D23" t="s">
        <v>1500</v>
      </c>
      <c r="E23" t="s">
        <v>1501</v>
      </c>
      <c r="F23" t="s">
        <v>1502</v>
      </c>
      <c r="G23" t="s">
        <v>1445</v>
      </c>
      <c r="H23" t="s">
        <v>1503</v>
      </c>
      <c r="I23" t="s">
        <v>240</v>
      </c>
      <c r="J23" t="s">
        <v>46</v>
      </c>
      <c r="K23" t="s">
        <v>29</v>
      </c>
      <c r="L23" t="s">
        <v>30</v>
      </c>
      <c r="M23">
        <v>24</v>
      </c>
      <c r="N23" t="s">
        <v>32</v>
      </c>
      <c r="O23" t="s">
        <v>32</v>
      </c>
      <c r="Q23" t="s">
        <v>32</v>
      </c>
      <c r="S23" t="s">
        <v>40</v>
      </c>
      <c r="T23">
        <v>46055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AA23" t="s">
        <v>88</v>
      </c>
      <c r="AB23" t="s">
        <v>32</v>
      </c>
      <c r="AE23" t="s">
        <v>32</v>
      </c>
      <c r="AH23" t="s">
        <v>32</v>
      </c>
      <c r="AK23" t="s">
        <v>32</v>
      </c>
      <c r="AN23" t="s">
        <v>32</v>
      </c>
      <c r="AO23" t="s">
        <v>32</v>
      </c>
      <c r="AR23">
        <v>0</v>
      </c>
      <c r="AU23" t="s">
        <v>32</v>
      </c>
      <c r="AV23">
        <v>2223339</v>
      </c>
      <c r="AW23" t="s">
        <v>32</v>
      </c>
      <c r="AX23" t="s">
        <v>32</v>
      </c>
      <c r="AY23" t="s">
        <v>317</v>
      </c>
      <c r="AZ23">
        <v>2</v>
      </c>
      <c r="BA23">
        <v>980747</v>
      </c>
      <c r="BB23">
        <v>0.16</v>
      </c>
      <c r="BC23">
        <v>157000</v>
      </c>
      <c r="BD23" t="s">
        <v>142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157000</v>
      </c>
      <c r="BK23" t="s">
        <v>25</v>
      </c>
      <c r="BL23" t="s">
        <v>1064</v>
      </c>
      <c r="BM23">
        <v>2</v>
      </c>
      <c r="BN23">
        <v>980747</v>
      </c>
      <c r="BO23">
        <v>0.125</v>
      </c>
      <c r="BP23">
        <v>122600</v>
      </c>
      <c r="BQ23">
        <v>0</v>
      </c>
      <c r="BR23" t="s">
        <v>1438</v>
      </c>
      <c r="BS23">
        <v>0</v>
      </c>
      <c r="BT23" t="s">
        <v>1438</v>
      </c>
      <c r="BU23">
        <v>0</v>
      </c>
      <c r="BV23" t="s">
        <v>25</v>
      </c>
      <c r="BW23" t="s">
        <v>189</v>
      </c>
      <c r="BX23">
        <v>2</v>
      </c>
      <c r="BY23">
        <v>980747</v>
      </c>
      <c r="BZ23">
        <v>6.9599999999999995E-2</v>
      </c>
      <c r="CA23" t="s">
        <v>1439</v>
      </c>
      <c r="CB23" t="s">
        <v>227</v>
      </c>
      <c r="CC23" t="s">
        <v>1440</v>
      </c>
      <c r="CD23">
        <v>68300</v>
      </c>
      <c r="CE23">
        <v>2</v>
      </c>
      <c r="CF23" t="s">
        <v>635</v>
      </c>
      <c r="CG23">
        <v>1535765</v>
      </c>
      <c r="CH23">
        <v>0.04</v>
      </c>
      <c r="CI23">
        <v>61500</v>
      </c>
      <c r="CJ23">
        <v>1535765</v>
      </c>
      <c r="CK23">
        <v>0.02</v>
      </c>
      <c r="CL23">
        <v>30800</v>
      </c>
      <c r="CM23">
        <v>0.03</v>
      </c>
      <c r="CN23">
        <v>46100</v>
      </c>
      <c r="CO23">
        <v>0</v>
      </c>
      <c r="CP23">
        <v>0</v>
      </c>
      <c r="CQ23">
        <v>0</v>
      </c>
      <c r="CR23">
        <v>0</v>
      </c>
      <c r="CS23" t="s">
        <v>88</v>
      </c>
      <c r="CT23" t="s">
        <v>1441</v>
      </c>
      <c r="CU23" t="s">
        <v>1442</v>
      </c>
    </row>
    <row r="24" spans="1:99">
      <c r="A24" t="s">
        <v>1431</v>
      </c>
      <c r="B24" t="s">
        <v>34</v>
      </c>
      <c r="C24" t="s">
        <v>1504</v>
      </c>
      <c r="D24" t="s">
        <v>1505</v>
      </c>
      <c r="E24" t="s">
        <v>1506</v>
      </c>
      <c r="F24" t="s">
        <v>1507</v>
      </c>
      <c r="G24" t="s">
        <v>1508</v>
      </c>
      <c r="H24" t="s">
        <v>1489</v>
      </c>
      <c r="I24" t="s">
        <v>682</v>
      </c>
      <c r="J24" t="s">
        <v>484</v>
      </c>
      <c r="K24" t="s">
        <v>29</v>
      </c>
      <c r="L24" t="s">
        <v>30</v>
      </c>
      <c r="M24">
        <v>203</v>
      </c>
      <c r="N24" t="s">
        <v>32</v>
      </c>
      <c r="O24" t="s">
        <v>32</v>
      </c>
      <c r="Q24" t="s">
        <v>32</v>
      </c>
      <c r="S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AA24" t="s">
        <v>88</v>
      </c>
      <c r="AB24" t="s">
        <v>32</v>
      </c>
      <c r="AE24" t="s">
        <v>32</v>
      </c>
      <c r="AH24" t="s">
        <v>32</v>
      </c>
      <c r="AK24" t="s">
        <v>32</v>
      </c>
      <c r="AN24" t="s">
        <v>32</v>
      </c>
      <c r="AO24" t="s">
        <v>32</v>
      </c>
      <c r="AR24">
        <v>0</v>
      </c>
      <c r="AU24" t="s">
        <v>32</v>
      </c>
      <c r="AV24">
        <v>2223339</v>
      </c>
      <c r="AW24" t="s">
        <v>32</v>
      </c>
      <c r="AX24" t="s">
        <v>32</v>
      </c>
      <c r="AY24" t="s">
        <v>317</v>
      </c>
      <c r="AZ24">
        <v>30</v>
      </c>
      <c r="BA24">
        <v>2602824</v>
      </c>
      <c r="BB24">
        <v>0.16</v>
      </c>
      <c r="BC24">
        <v>416500</v>
      </c>
      <c r="BD24" t="s">
        <v>142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416500</v>
      </c>
      <c r="BK24" t="s">
        <v>25</v>
      </c>
      <c r="BL24" t="s">
        <v>1064</v>
      </c>
      <c r="BM24">
        <v>30</v>
      </c>
      <c r="BN24">
        <v>2602824</v>
      </c>
      <c r="BO24">
        <v>0.04</v>
      </c>
      <c r="BP24">
        <v>104200</v>
      </c>
      <c r="BQ24">
        <v>0</v>
      </c>
      <c r="BR24" t="s">
        <v>1438</v>
      </c>
      <c r="BS24">
        <v>0</v>
      </c>
      <c r="BT24" t="s">
        <v>1438</v>
      </c>
      <c r="BU24">
        <v>0</v>
      </c>
      <c r="BV24" t="s">
        <v>25</v>
      </c>
      <c r="BW24" t="s">
        <v>189</v>
      </c>
      <c r="BX24">
        <v>30</v>
      </c>
      <c r="BY24">
        <v>2602824</v>
      </c>
      <c r="BZ24">
        <v>6.9599999999999995E-2</v>
      </c>
      <c r="CA24" t="s">
        <v>1439</v>
      </c>
      <c r="CB24" t="s">
        <v>312</v>
      </c>
      <c r="CC24" t="s">
        <v>1440</v>
      </c>
      <c r="CD24">
        <v>181200</v>
      </c>
      <c r="CE24">
        <v>30</v>
      </c>
      <c r="CF24" t="s">
        <v>466</v>
      </c>
      <c r="CG24">
        <v>2602824</v>
      </c>
      <c r="CH24">
        <v>0.04</v>
      </c>
      <c r="CI24">
        <v>104200</v>
      </c>
      <c r="CJ24">
        <v>2602824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 t="s">
        <v>88</v>
      </c>
      <c r="CT24" t="s">
        <v>1441</v>
      </c>
      <c r="CU24" t="s">
        <v>1442</v>
      </c>
    </row>
    <row r="25" spans="1:99">
      <c r="A25" t="s">
        <v>1431</v>
      </c>
      <c r="B25" t="s">
        <v>34</v>
      </c>
      <c r="C25" t="s">
        <v>1509</v>
      </c>
      <c r="D25" t="s">
        <v>1510</v>
      </c>
      <c r="E25" t="s">
        <v>1511</v>
      </c>
      <c r="F25" t="s">
        <v>1512</v>
      </c>
      <c r="G25" t="s">
        <v>1513</v>
      </c>
      <c r="H25" t="s">
        <v>1489</v>
      </c>
      <c r="I25" t="s">
        <v>682</v>
      </c>
      <c r="J25" t="s">
        <v>484</v>
      </c>
      <c r="K25" t="s">
        <v>29</v>
      </c>
      <c r="L25" t="s">
        <v>30</v>
      </c>
      <c r="M25">
        <v>204</v>
      </c>
      <c r="N25" t="s">
        <v>32</v>
      </c>
      <c r="O25" t="s">
        <v>32</v>
      </c>
      <c r="Q25" t="s">
        <v>32</v>
      </c>
      <c r="S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AA25" t="s">
        <v>88</v>
      </c>
      <c r="AB25" t="s">
        <v>32</v>
      </c>
      <c r="AE25" t="s">
        <v>32</v>
      </c>
      <c r="AH25" t="s">
        <v>32</v>
      </c>
      <c r="AK25" t="s">
        <v>32</v>
      </c>
      <c r="AN25" t="s">
        <v>32</v>
      </c>
      <c r="AO25" t="s">
        <v>32</v>
      </c>
      <c r="AR25">
        <v>0</v>
      </c>
      <c r="AU25" t="s">
        <v>32</v>
      </c>
      <c r="AV25">
        <v>1750905</v>
      </c>
      <c r="AW25" t="s">
        <v>32</v>
      </c>
      <c r="AX25" t="s">
        <v>32</v>
      </c>
      <c r="AY25" t="s">
        <v>317</v>
      </c>
      <c r="AZ25">
        <v>30</v>
      </c>
      <c r="BA25">
        <v>2059702</v>
      </c>
      <c r="BB25">
        <v>0.16</v>
      </c>
      <c r="BC25">
        <v>329600</v>
      </c>
      <c r="BD25" t="s">
        <v>142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329600</v>
      </c>
      <c r="BK25" t="s">
        <v>25</v>
      </c>
      <c r="BL25" t="s">
        <v>1010</v>
      </c>
      <c r="BM25">
        <v>30</v>
      </c>
      <c r="BN25">
        <v>2059702</v>
      </c>
      <c r="BO25">
        <v>0.04</v>
      </c>
      <c r="BP25">
        <v>82400</v>
      </c>
      <c r="BQ25">
        <v>0</v>
      </c>
      <c r="BR25" t="s">
        <v>1438</v>
      </c>
      <c r="BS25">
        <v>0</v>
      </c>
      <c r="BT25" t="s">
        <v>1438</v>
      </c>
      <c r="BU25">
        <v>0</v>
      </c>
      <c r="BV25" t="s">
        <v>25</v>
      </c>
      <c r="BW25" t="s">
        <v>189</v>
      </c>
      <c r="BX25">
        <v>30</v>
      </c>
      <c r="BY25">
        <v>2059702</v>
      </c>
      <c r="BZ25">
        <v>6.9599999999999995E-2</v>
      </c>
      <c r="CA25" t="s">
        <v>1439</v>
      </c>
      <c r="CB25" t="s">
        <v>312</v>
      </c>
      <c r="CC25" t="s">
        <v>1440</v>
      </c>
      <c r="CD25">
        <v>143400</v>
      </c>
      <c r="CE25">
        <v>30</v>
      </c>
      <c r="CF25" t="s">
        <v>466</v>
      </c>
      <c r="CG25">
        <v>2059702</v>
      </c>
      <c r="CH25">
        <v>0.04</v>
      </c>
      <c r="CI25">
        <v>82400</v>
      </c>
      <c r="CJ25">
        <v>2059702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 t="s">
        <v>88</v>
      </c>
      <c r="CT25" t="s">
        <v>1441</v>
      </c>
      <c r="CU25" t="s">
        <v>1442</v>
      </c>
    </row>
    <row r="26" spans="1:99">
      <c r="A26" t="s">
        <v>1431</v>
      </c>
      <c r="B26" t="s">
        <v>34</v>
      </c>
      <c r="C26" t="s">
        <v>1514</v>
      </c>
      <c r="D26" t="s">
        <v>1515</v>
      </c>
      <c r="E26" t="s">
        <v>1516</v>
      </c>
      <c r="F26" t="s">
        <v>1517</v>
      </c>
      <c r="G26" t="s">
        <v>1518</v>
      </c>
      <c r="H26" t="s">
        <v>1519</v>
      </c>
      <c r="I26" t="s">
        <v>240</v>
      </c>
      <c r="J26" t="s">
        <v>46</v>
      </c>
      <c r="K26" t="s">
        <v>29</v>
      </c>
      <c r="L26" t="s">
        <v>30</v>
      </c>
      <c r="M26">
        <v>0</v>
      </c>
      <c r="N26" t="s">
        <v>32</v>
      </c>
      <c r="O26" t="s">
        <v>32</v>
      </c>
      <c r="Q26" t="s">
        <v>32</v>
      </c>
      <c r="S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AA26" t="s">
        <v>32</v>
      </c>
      <c r="AB26" t="s">
        <v>37</v>
      </c>
      <c r="AC26">
        <v>46054</v>
      </c>
      <c r="AD26">
        <v>46055</v>
      </c>
      <c r="AE26" t="s">
        <v>32</v>
      </c>
      <c r="AH26" t="s">
        <v>32</v>
      </c>
      <c r="AK26" t="s">
        <v>32</v>
      </c>
      <c r="AN26" t="s">
        <v>32</v>
      </c>
      <c r="AO26" t="s">
        <v>32</v>
      </c>
      <c r="AR26">
        <v>0</v>
      </c>
      <c r="AU26" t="s">
        <v>32</v>
      </c>
      <c r="AV26">
        <v>1750905</v>
      </c>
      <c r="AW26" t="s">
        <v>32</v>
      </c>
      <c r="AX26" t="s">
        <v>32</v>
      </c>
      <c r="AY26" t="s">
        <v>356</v>
      </c>
      <c r="AZ26">
        <v>2</v>
      </c>
      <c r="BA26">
        <v>116727</v>
      </c>
      <c r="BB26">
        <v>0.16</v>
      </c>
      <c r="BC26">
        <v>18700</v>
      </c>
      <c r="BD26" t="s">
        <v>142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18700</v>
      </c>
      <c r="BK26" t="s">
        <v>25</v>
      </c>
      <c r="BL26" t="s">
        <v>1064</v>
      </c>
      <c r="BM26">
        <v>2</v>
      </c>
      <c r="BN26">
        <v>116727</v>
      </c>
      <c r="BO26">
        <v>0</v>
      </c>
      <c r="BP26">
        <v>0</v>
      </c>
      <c r="BQ26">
        <v>0</v>
      </c>
      <c r="BR26" t="s">
        <v>1438</v>
      </c>
      <c r="BS26">
        <v>0</v>
      </c>
      <c r="BT26" t="s">
        <v>1438</v>
      </c>
      <c r="BU26">
        <v>0</v>
      </c>
      <c r="BV26" t="s">
        <v>25</v>
      </c>
      <c r="BW26" t="s">
        <v>189</v>
      </c>
      <c r="BX26">
        <v>2</v>
      </c>
      <c r="BY26">
        <v>116727</v>
      </c>
      <c r="BZ26">
        <v>0</v>
      </c>
      <c r="CA26" t="s">
        <v>1439</v>
      </c>
      <c r="CB26" t="s">
        <v>227</v>
      </c>
      <c r="CC26" t="s">
        <v>1440</v>
      </c>
      <c r="CD26">
        <v>0</v>
      </c>
      <c r="CE26">
        <v>2</v>
      </c>
      <c r="CF26" t="s">
        <v>635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 t="s">
        <v>88</v>
      </c>
      <c r="CT26" t="s">
        <v>1441</v>
      </c>
      <c r="CU26" t="s">
        <v>1442</v>
      </c>
    </row>
    <row r="27" spans="1:99">
      <c r="A27" t="s">
        <v>1431</v>
      </c>
      <c r="B27" t="s">
        <v>34</v>
      </c>
      <c r="C27" t="s">
        <v>1514</v>
      </c>
      <c r="D27" t="s">
        <v>1515</v>
      </c>
      <c r="E27" t="s">
        <v>1516</v>
      </c>
      <c r="F27" t="s">
        <v>1517</v>
      </c>
      <c r="G27" t="s">
        <v>1518</v>
      </c>
      <c r="H27" t="s">
        <v>1519</v>
      </c>
      <c r="I27" t="s">
        <v>240</v>
      </c>
      <c r="J27" t="s">
        <v>46</v>
      </c>
      <c r="K27" t="s">
        <v>29</v>
      </c>
      <c r="L27" t="s">
        <v>30</v>
      </c>
      <c r="M27">
        <v>24</v>
      </c>
      <c r="N27" t="s">
        <v>32</v>
      </c>
      <c r="O27" t="s">
        <v>32</v>
      </c>
      <c r="Q27" t="s">
        <v>32</v>
      </c>
      <c r="S27" t="s">
        <v>40</v>
      </c>
      <c r="T27">
        <v>46056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AA27" t="s">
        <v>88</v>
      </c>
      <c r="AB27" t="s">
        <v>32</v>
      </c>
      <c r="AE27" t="s">
        <v>32</v>
      </c>
      <c r="AH27" t="s">
        <v>32</v>
      </c>
      <c r="AK27" t="s">
        <v>32</v>
      </c>
      <c r="AN27" t="s">
        <v>32</v>
      </c>
      <c r="AO27" t="s">
        <v>32</v>
      </c>
      <c r="AR27">
        <v>0</v>
      </c>
      <c r="AU27" t="s">
        <v>32</v>
      </c>
      <c r="AV27">
        <v>1750905</v>
      </c>
      <c r="AW27" t="s">
        <v>32</v>
      </c>
      <c r="AX27" t="s">
        <v>32</v>
      </c>
      <c r="AY27" t="s">
        <v>356</v>
      </c>
      <c r="AZ27">
        <v>1</v>
      </c>
      <c r="BA27">
        <v>721400</v>
      </c>
      <c r="BB27">
        <v>0.16</v>
      </c>
      <c r="BC27">
        <v>115500</v>
      </c>
      <c r="BD27" t="s">
        <v>142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115500</v>
      </c>
      <c r="BK27" t="s">
        <v>25</v>
      </c>
      <c r="BL27" t="s">
        <v>1064</v>
      </c>
      <c r="BM27">
        <v>1</v>
      </c>
      <c r="BN27">
        <v>721400</v>
      </c>
      <c r="BO27">
        <v>0.04</v>
      </c>
      <c r="BP27">
        <v>28900</v>
      </c>
      <c r="BQ27">
        <v>0</v>
      </c>
      <c r="BR27" t="s">
        <v>1438</v>
      </c>
      <c r="BS27">
        <v>0</v>
      </c>
      <c r="BT27" t="s">
        <v>1438</v>
      </c>
      <c r="BU27">
        <v>0</v>
      </c>
      <c r="BV27" t="s">
        <v>25</v>
      </c>
      <c r="BW27" t="s">
        <v>189</v>
      </c>
      <c r="BX27">
        <v>1</v>
      </c>
      <c r="BY27">
        <v>721400</v>
      </c>
      <c r="BZ27">
        <v>6.9599999999999995E-2</v>
      </c>
      <c r="CA27" t="s">
        <v>1439</v>
      </c>
      <c r="CB27" t="s">
        <v>227</v>
      </c>
      <c r="CC27" t="s">
        <v>1440</v>
      </c>
      <c r="CD27">
        <v>50300</v>
      </c>
      <c r="CE27">
        <v>1</v>
      </c>
      <c r="CF27" t="s">
        <v>635</v>
      </c>
      <c r="CG27">
        <v>1302414</v>
      </c>
      <c r="CH27">
        <v>0.04</v>
      </c>
      <c r="CI27">
        <v>52100</v>
      </c>
      <c r="CJ27">
        <v>1302414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 t="s">
        <v>88</v>
      </c>
      <c r="CT27" t="s">
        <v>1441</v>
      </c>
      <c r="CU27" t="s">
        <v>1442</v>
      </c>
    </row>
    <row r="28" spans="1:99">
      <c r="A28" t="s">
        <v>1431</v>
      </c>
      <c r="B28" t="s">
        <v>34</v>
      </c>
      <c r="C28" t="s">
        <v>1520</v>
      </c>
      <c r="D28" t="s">
        <v>1521</v>
      </c>
      <c r="E28" t="s">
        <v>1522</v>
      </c>
      <c r="F28" t="s">
        <v>1507</v>
      </c>
      <c r="G28" t="s">
        <v>1523</v>
      </c>
      <c r="H28" t="s">
        <v>1474</v>
      </c>
      <c r="I28" t="s">
        <v>682</v>
      </c>
      <c r="J28" t="s">
        <v>484</v>
      </c>
      <c r="K28" t="s">
        <v>29</v>
      </c>
      <c r="L28" t="s">
        <v>30</v>
      </c>
      <c r="M28">
        <v>205</v>
      </c>
      <c r="N28" t="s">
        <v>32</v>
      </c>
      <c r="O28" t="s">
        <v>32</v>
      </c>
      <c r="Q28" t="s">
        <v>32</v>
      </c>
      <c r="S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AA28" t="s">
        <v>88</v>
      </c>
      <c r="AB28" t="s">
        <v>32</v>
      </c>
      <c r="AE28" t="s">
        <v>32</v>
      </c>
      <c r="AH28" t="s">
        <v>32</v>
      </c>
      <c r="AK28" t="s">
        <v>32</v>
      </c>
      <c r="AN28" t="s">
        <v>32</v>
      </c>
      <c r="AO28" t="s">
        <v>32</v>
      </c>
      <c r="AR28">
        <v>0</v>
      </c>
      <c r="AU28" t="s">
        <v>32</v>
      </c>
      <c r="AV28">
        <v>1785595</v>
      </c>
      <c r="AW28" t="s">
        <v>32</v>
      </c>
      <c r="AX28" t="s">
        <v>32</v>
      </c>
      <c r="AY28" t="s">
        <v>317</v>
      </c>
      <c r="AZ28">
        <v>30</v>
      </c>
      <c r="BA28">
        <v>2110655</v>
      </c>
      <c r="BB28">
        <v>0.16</v>
      </c>
      <c r="BC28">
        <v>337800</v>
      </c>
      <c r="BD28" t="s">
        <v>142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337800</v>
      </c>
      <c r="BK28" t="s">
        <v>25</v>
      </c>
      <c r="BL28" t="s">
        <v>1010</v>
      </c>
      <c r="BM28">
        <v>30</v>
      </c>
      <c r="BN28">
        <v>2110655</v>
      </c>
      <c r="BO28">
        <v>0.04</v>
      </c>
      <c r="BP28">
        <v>84500</v>
      </c>
      <c r="BQ28">
        <v>0</v>
      </c>
      <c r="BR28" t="s">
        <v>1438</v>
      </c>
      <c r="BS28">
        <v>0</v>
      </c>
      <c r="BT28" t="s">
        <v>1438</v>
      </c>
      <c r="BU28">
        <v>0</v>
      </c>
      <c r="BV28" t="s">
        <v>25</v>
      </c>
      <c r="BW28" t="s">
        <v>189</v>
      </c>
      <c r="BX28">
        <v>30</v>
      </c>
      <c r="BY28">
        <v>2110655</v>
      </c>
      <c r="BZ28">
        <v>6.9599999999999995E-2</v>
      </c>
      <c r="CA28" t="s">
        <v>1439</v>
      </c>
      <c r="CB28" t="s">
        <v>312</v>
      </c>
      <c r="CC28" t="s">
        <v>1440</v>
      </c>
      <c r="CD28">
        <v>147000</v>
      </c>
      <c r="CE28">
        <v>30</v>
      </c>
      <c r="CF28" t="s">
        <v>466</v>
      </c>
      <c r="CG28">
        <v>2110655</v>
      </c>
      <c r="CH28">
        <v>0.04</v>
      </c>
      <c r="CI28">
        <v>84500</v>
      </c>
      <c r="CJ28">
        <v>2110655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 t="s">
        <v>88</v>
      </c>
      <c r="CT28" t="s">
        <v>1441</v>
      </c>
      <c r="CU28" t="s">
        <v>1442</v>
      </c>
    </row>
    <row r="29" spans="1:99">
      <c r="A29" t="s">
        <v>1431</v>
      </c>
      <c r="B29" t="s">
        <v>34</v>
      </c>
      <c r="C29" t="s">
        <v>1524</v>
      </c>
      <c r="D29" t="s">
        <v>1525</v>
      </c>
      <c r="E29" t="s">
        <v>1526</v>
      </c>
      <c r="F29" t="s">
        <v>916</v>
      </c>
      <c r="G29" t="s">
        <v>1527</v>
      </c>
      <c r="H29" t="s">
        <v>1489</v>
      </c>
      <c r="I29" t="s">
        <v>682</v>
      </c>
      <c r="J29" t="s">
        <v>484</v>
      </c>
      <c r="K29" t="s">
        <v>29</v>
      </c>
      <c r="L29" t="s">
        <v>30</v>
      </c>
      <c r="M29">
        <v>0</v>
      </c>
      <c r="N29" t="s">
        <v>32</v>
      </c>
      <c r="O29" t="s">
        <v>32</v>
      </c>
      <c r="Q29" t="s">
        <v>32</v>
      </c>
      <c r="S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AA29" t="s">
        <v>32</v>
      </c>
      <c r="AB29" t="s">
        <v>32</v>
      </c>
      <c r="AE29" t="s">
        <v>1492</v>
      </c>
      <c r="AF29">
        <v>46055</v>
      </c>
      <c r="AG29">
        <v>46056</v>
      </c>
      <c r="AH29" t="s">
        <v>32</v>
      </c>
      <c r="AK29" t="s">
        <v>32</v>
      </c>
      <c r="AN29" t="s">
        <v>32</v>
      </c>
      <c r="AO29" t="s">
        <v>32</v>
      </c>
      <c r="AR29">
        <v>0</v>
      </c>
      <c r="AU29" t="s">
        <v>32</v>
      </c>
      <c r="AV29">
        <v>2074908</v>
      </c>
      <c r="AW29" t="s">
        <v>32</v>
      </c>
      <c r="AX29" t="s">
        <v>32</v>
      </c>
      <c r="AY29" t="s">
        <v>317</v>
      </c>
      <c r="AZ29">
        <v>2</v>
      </c>
      <c r="BA29">
        <v>162980</v>
      </c>
      <c r="BB29">
        <v>0.16</v>
      </c>
      <c r="BC29">
        <v>26100</v>
      </c>
      <c r="BD29" t="s">
        <v>142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26100</v>
      </c>
      <c r="BK29" t="s">
        <v>25</v>
      </c>
      <c r="BL29" t="s">
        <v>1010</v>
      </c>
      <c r="BM29">
        <v>2</v>
      </c>
      <c r="BN29">
        <v>162980</v>
      </c>
      <c r="BO29">
        <v>0.04</v>
      </c>
      <c r="BP29">
        <v>6600</v>
      </c>
      <c r="BQ29">
        <v>0</v>
      </c>
      <c r="BR29" t="s">
        <v>1438</v>
      </c>
      <c r="BS29">
        <v>0</v>
      </c>
      <c r="BT29" t="s">
        <v>1438</v>
      </c>
      <c r="BU29">
        <v>0</v>
      </c>
      <c r="BV29" t="s">
        <v>25</v>
      </c>
      <c r="BW29" t="s">
        <v>189</v>
      </c>
      <c r="BX29">
        <v>2</v>
      </c>
      <c r="BY29">
        <v>162980</v>
      </c>
      <c r="BZ29">
        <v>0</v>
      </c>
      <c r="CA29" t="s">
        <v>1439</v>
      </c>
      <c r="CB29" t="s">
        <v>312</v>
      </c>
      <c r="CC29" t="s">
        <v>1440</v>
      </c>
      <c r="CD29">
        <v>0</v>
      </c>
      <c r="CE29">
        <v>2</v>
      </c>
      <c r="CF29" t="s">
        <v>466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 t="s">
        <v>88</v>
      </c>
      <c r="CT29" t="s">
        <v>1441</v>
      </c>
      <c r="CU29" t="s">
        <v>1442</v>
      </c>
    </row>
    <row r="30" spans="1:99">
      <c r="A30" t="s">
        <v>1431</v>
      </c>
      <c r="B30" t="s">
        <v>34</v>
      </c>
      <c r="C30" t="s">
        <v>1524</v>
      </c>
      <c r="D30" t="s">
        <v>1525</v>
      </c>
      <c r="E30" t="s">
        <v>1526</v>
      </c>
      <c r="F30" t="s">
        <v>916</v>
      </c>
      <c r="G30" t="s">
        <v>1527</v>
      </c>
      <c r="H30" t="s">
        <v>1489</v>
      </c>
      <c r="I30" t="s">
        <v>682</v>
      </c>
      <c r="J30" t="s">
        <v>484</v>
      </c>
      <c r="K30" t="s">
        <v>29</v>
      </c>
      <c r="L30" t="s">
        <v>30</v>
      </c>
      <c r="M30">
        <v>184</v>
      </c>
      <c r="N30" t="s">
        <v>32</v>
      </c>
      <c r="O30" t="s">
        <v>32</v>
      </c>
      <c r="Q30" t="s">
        <v>32</v>
      </c>
      <c r="S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AA30" t="s">
        <v>88</v>
      </c>
      <c r="AB30" t="s">
        <v>32</v>
      </c>
      <c r="AE30" t="s">
        <v>32</v>
      </c>
      <c r="AH30" t="s">
        <v>32</v>
      </c>
      <c r="AK30" t="s">
        <v>32</v>
      </c>
      <c r="AN30" t="s">
        <v>32</v>
      </c>
      <c r="AO30" t="s">
        <v>32</v>
      </c>
      <c r="AR30">
        <v>0</v>
      </c>
      <c r="AU30" t="s">
        <v>32</v>
      </c>
      <c r="AV30">
        <v>2074908</v>
      </c>
      <c r="AW30" t="s">
        <v>32</v>
      </c>
      <c r="AX30" t="s">
        <v>32</v>
      </c>
      <c r="AY30" t="s">
        <v>317</v>
      </c>
      <c r="AZ30">
        <v>28</v>
      </c>
      <c r="BA30">
        <v>2237443</v>
      </c>
      <c r="BB30">
        <v>0.16</v>
      </c>
      <c r="BC30">
        <v>358000</v>
      </c>
      <c r="BD30" t="s">
        <v>142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358000</v>
      </c>
      <c r="BK30" t="s">
        <v>25</v>
      </c>
      <c r="BL30" t="s">
        <v>1010</v>
      </c>
      <c r="BM30">
        <v>28</v>
      </c>
      <c r="BN30">
        <v>2237443</v>
      </c>
      <c r="BO30">
        <v>0.04</v>
      </c>
      <c r="BP30">
        <v>89500</v>
      </c>
      <c r="BQ30">
        <v>0</v>
      </c>
      <c r="BR30" t="s">
        <v>1438</v>
      </c>
      <c r="BS30">
        <v>0</v>
      </c>
      <c r="BT30" t="s">
        <v>1438</v>
      </c>
      <c r="BU30">
        <v>0</v>
      </c>
      <c r="BV30" t="s">
        <v>25</v>
      </c>
      <c r="BW30" t="s">
        <v>189</v>
      </c>
      <c r="BX30">
        <v>28</v>
      </c>
      <c r="BY30">
        <v>2237443</v>
      </c>
      <c r="BZ30">
        <v>6.9599999999999995E-2</v>
      </c>
      <c r="CA30" t="s">
        <v>1439</v>
      </c>
      <c r="CB30" t="s">
        <v>312</v>
      </c>
      <c r="CC30" t="s">
        <v>1440</v>
      </c>
      <c r="CD30">
        <v>155800</v>
      </c>
      <c r="CE30">
        <v>28</v>
      </c>
      <c r="CF30" t="s">
        <v>466</v>
      </c>
      <c r="CG30">
        <v>2237443</v>
      </c>
      <c r="CH30">
        <v>0.04</v>
      </c>
      <c r="CI30">
        <v>89500</v>
      </c>
      <c r="CJ30">
        <v>2237443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 t="s">
        <v>88</v>
      </c>
      <c r="CT30" t="s">
        <v>1441</v>
      </c>
      <c r="CU30" t="s">
        <v>1442</v>
      </c>
    </row>
    <row r="31" spans="1:99">
      <c r="A31" t="s">
        <v>1431</v>
      </c>
      <c r="B31" t="s">
        <v>34</v>
      </c>
      <c r="C31" t="s">
        <v>1528</v>
      </c>
      <c r="D31" t="s">
        <v>1529</v>
      </c>
      <c r="E31" t="s">
        <v>1530</v>
      </c>
      <c r="F31" t="s">
        <v>1530</v>
      </c>
      <c r="G31" t="s">
        <v>1531</v>
      </c>
      <c r="H31" t="s">
        <v>1532</v>
      </c>
      <c r="I31" t="s">
        <v>682</v>
      </c>
      <c r="J31" t="s">
        <v>484</v>
      </c>
      <c r="K31" t="s">
        <v>29</v>
      </c>
      <c r="L31" t="s">
        <v>30</v>
      </c>
      <c r="M31">
        <v>205</v>
      </c>
      <c r="N31" t="s">
        <v>32</v>
      </c>
      <c r="O31" t="s">
        <v>32</v>
      </c>
      <c r="Q31" t="s">
        <v>32</v>
      </c>
      <c r="S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AA31" t="s">
        <v>88</v>
      </c>
      <c r="AB31" t="s">
        <v>32</v>
      </c>
      <c r="AE31" t="s">
        <v>32</v>
      </c>
      <c r="AH31" t="s">
        <v>32</v>
      </c>
      <c r="AK31" t="s">
        <v>32</v>
      </c>
      <c r="AN31" t="s">
        <v>32</v>
      </c>
      <c r="AO31" t="s">
        <v>32</v>
      </c>
      <c r="AR31">
        <v>0</v>
      </c>
      <c r="AU31" t="s">
        <v>32</v>
      </c>
      <c r="AV31">
        <v>1750905</v>
      </c>
      <c r="AW31" t="s">
        <v>32</v>
      </c>
      <c r="AX31" t="s">
        <v>32</v>
      </c>
      <c r="AY31" t="s">
        <v>317</v>
      </c>
      <c r="AZ31">
        <v>30</v>
      </c>
      <c r="BA31">
        <v>2069651</v>
      </c>
      <c r="BB31">
        <v>0.16</v>
      </c>
      <c r="BC31">
        <v>331200</v>
      </c>
      <c r="BD31" t="s">
        <v>142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331200</v>
      </c>
      <c r="BK31" t="s">
        <v>25</v>
      </c>
      <c r="BL31" t="s">
        <v>1010</v>
      </c>
      <c r="BM31">
        <v>30</v>
      </c>
      <c r="BN31">
        <v>2069651</v>
      </c>
      <c r="BO31">
        <v>0.04</v>
      </c>
      <c r="BP31">
        <v>82800</v>
      </c>
      <c r="BQ31">
        <v>0</v>
      </c>
      <c r="BR31" t="s">
        <v>1438</v>
      </c>
      <c r="BS31">
        <v>0</v>
      </c>
      <c r="BT31" t="s">
        <v>1438</v>
      </c>
      <c r="BU31">
        <v>0</v>
      </c>
      <c r="BV31" t="s">
        <v>25</v>
      </c>
      <c r="BW31" t="s">
        <v>189</v>
      </c>
      <c r="BX31">
        <v>30</v>
      </c>
      <c r="BY31">
        <v>2069651</v>
      </c>
      <c r="BZ31">
        <v>6.9599999999999995E-2</v>
      </c>
      <c r="CA31" t="s">
        <v>1439</v>
      </c>
      <c r="CB31" t="s">
        <v>312</v>
      </c>
      <c r="CC31" t="s">
        <v>1440</v>
      </c>
      <c r="CD31">
        <v>144100</v>
      </c>
      <c r="CE31">
        <v>30</v>
      </c>
      <c r="CF31" t="s">
        <v>466</v>
      </c>
      <c r="CG31">
        <v>2069651</v>
      </c>
      <c r="CH31">
        <v>0.04</v>
      </c>
      <c r="CI31">
        <v>82800</v>
      </c>
      <c r="CJ31">
        <v>2069651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 t="s">
        <v>88</v>
      </c>
      <c r="CT31" t="s">
        <v>1441</v>
      </c>
      <c r="CU31" t="s">
        <v>1442</v>
      </c>
    </row>
    <row r="32" spans="1:99">
      <c r="A32" t="s">
        <v>1431</v>
      </c>
      <c r="B32" t="s">
        <v>34</v>
      </c>
      <c r="C32" t="s">
        <v>1533</v>
      </c>
      <c r="D32" t="s">
        <v>1534</v>
      </c>
      <c r="E32" t="s">
        <v>1535</v>
      </c>
      <c r="F32" t="s">
        <v>1536</v>
      </c>
      <c r="G32" t="s">
        <v>1537</v>
      </c>
      <c r="H32" t="s">
        <v>1468</v>
      </c>
      <c r="I32" t="s">
        <v>682</v>
      </c>
      <c r="J32" t="s">
        <v>484</v>
      </c>
      <c r="K32" t="s">
        <v>29</v>
      </c>
      <c r="L32" t="s">
        <v>30</v>
      </c>
      <c r="M32">
        <v>0</v>
      </c>
      <c r="N32" t="s">
        <v>32</v>
      </c>
      <c r="O32" t="s">
        <v>32</v>
      </c>
      <c r="Q32" t="s">
        <v>32</v>
      </c>
      <c r="S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AA32" t="s">
        <v>32</v>
      </c>
      <c r="AB32" t="s">
        <v>37</v>
      </c>
      <c r="AC32">
        <v>46054</v>
      </c>
      <c r="AD32">
        <v>46054</v>
      </c>
      <c r="AE32" t="s">
        <v>32</v>
      </c>
      <c r="AH32" t="s">
        <v>32</v>
      </c>
      <c r="AK32" t="s">
        <v>32</v>
      </c>
      <c r="AN32" t="s">
        <v>32</v>
      </c>
      <c r="AO32" t="s">
        <v>32</v>
      </c>
      <c r="AR32">
        <v>0</v>
      </c>
      <c r="AU32" t="s">
        <v>32</v>
      </c>
      <c r="AV32">
        <v>1750905</v>
      </c>
      <c r="AW32" t="s">
        <v>32</v>
      </c>
      <c r="AX32" t="s">
        <v>32</v>
      </c>
      <c r="AY32" t="s">
        <v>356</v>
      </c>
      <c r="AZ32">
        <v>1</v>
      </c>
      <c r="BA32">
        <v>58364</v>
      </c>
      <c r="BB32">
        <v>0.16</v>
      </c>
      <c r="BC32">
        <v>9400</v>
      </c>
      <c r="BD32" t="s">
        <v>142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9400</v>
      </c>
      <c r="BK32" t="s">
        <v>25</v>
      </c>
      <c r="BL32" t="s">
        <v>1071</v>
      </c>
      <c r="BM32">
        <v>1</v>
      </c>
      <c r="BN32">
        <v>58364</v>
      </c>
      <c r="BO32">
        <v>0</v>
      </c>
      <c r="BP32">
        <v>0</v>
      </c>
      <c r="BQ32">
        <v>0</v>
      </c>
      <c r="BR32" t="s">
        <v>1438</v>
      </c>
      <c r="BS32">
        <v>0</v>
      </c>
      <c r="BT32" t="s">
        <v>1438</v>
      </c>
      <c r="BU32">
        <v>0</v>
      </c>
      <c r="BV32" t="s">
        <v>25</v>
      </c>
      <c r="BW32" t="s">
        <v>189</v>
      </c>
      <c r="BX32">
        <v>1</v>
      </c>
      <c r="BY32">
        <v>58364</v>
      </c>
      <c r="BZ32">
        <v>0</v>
      </c>
      <c r="CA32" t="s">
        <v>1439</v>
      </c>
      <c r="CB32" t="s">
        <v>312</v>
      </c>
      <c r="CC32" t="s">
        <v>1440</v>
      </c>
      <c r="CD32">
        <v>0</v>
      </c>
      <c r="CE32">
        <v>1</v>
      </c>
      <c r="CF32" t="s">
        <v>466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 t="s">
        <v>88</v>
      </c>
      <c r="CT32" t="s">
        <v>1441</v>
      </c>
      <c r="CU32" t="s">
        <v>1442</v>
      </c>
    </row>
    <row r="33" spans="1:99">
      <c r="A33" t="s">
        <v>1431</v>
      </c>
      <c r="B33" t="s">
        <v>34</v>
      </c>
      <c r="C33" t="s">
        <v>1533</v>
      </c>
      <c r="D33" t="s">
        <v>1534</v>
      </c>
      <c r="E33" t="s">
        <v>1535</v>
      </c>
      <c r="F33" t="s">
        <v>1536</v>
      </c>
      <c r="G33" t="s">
        <v>1537</v>
      </c>
      <c r="H33" t="s">
        <v>1468</v>
      </c>
      <c r="I33" t="s">
        <v>682</v>
      </c>
      <c r="J33" t="s">
        <v>484</v>
      </c>
      <c r="K33" t="s">
        <v>29</v>
      </c>
      <c r="L33" t="s">
        <v>30</v>
      </c>
      <c r="M33">
        <v>0</v>
      </c>
      <c r="N33" t="s">
        <v>32</v>
      </c>
      <c r="O33" t="s">
        <v>32</v>
      </c>
      <c r="Q33" t="s">
        <v>32</v>
      </c>
      <c r="S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AA33" t="s">
        <v>32</v>
      </c>
      <c r="AB33" t="s">
        <v>37</v>
      </c>
      <c r="AC33">
        <v>46069</v>
      </c>
      <c r="AD33">
        <v>46070</v>
      </c>
      <c r="AE33" t="s">
        <v>32</v>
      </c>
      <c r="AH33" t="s">
        <v>32</v>
      </c>
      <c r="AK33" t="s">
        <v>32</v>
      </c>
      <c r="AN33" t="s">
        <v>32</v>
      </c>
      <c r="AO33" t="s">
        <v>32</v>
      </c>
      <c r="AR33">
        <v>0</v>
      </c>
      <c r="AU33" t="s">
        <v>32</v>
      </c>
      <c r="AV33">
        <v>1750905</v>
      </c>
      <c r="AW33" t="s">
        <v>32</v>
      </c>
      <c r="AX33" t="s">
        <v>32</v>
      </c>
      <c r="AY33" t="s">
        <v>356</v>
      </c>
      <c r="AZ33">
        <v>2</v>
      </c>
      <c r="BA33">
        <v>116727</v>
      </c>
      <c r="BB33">
        <v>0.16</v>
      </c>
      <c r="BC33">
        <v>18700</v>
      </c>
      <c r="BD33" t="s">
        <v>142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18700</v>
      </c>
      <c r="BK33" t="s">
        <v>25</v>
      </c>
      <c r="BL33" t="s">
        <v>1071</v>
      </c>
      <c r="BM33">
        <v>2</v>
      </c>
      <c r="BN33">
        <v>116727</v>
      </c>
      <c r="BO33">
        <v>0</v>
      </c>
      <c r="BP33">
        <v>0</v>
      </c>
      <c r="BQ33">
        <v>0</v>
      </c>
      <c r="BR33" t="s">
        <v>1438</v>
      </c>
      <c r="BS33">
        <v>0</v>
      </c>
      <c r="BT33" t="s">
        <v>1438</v>
      </c>
      <c r="BU33">
        <v>0</v>
      </c>
      <c r="BV33" t="s">
        <v>25</v>
      </c>
      <c r="BW33" t="s">
        <v>189</v>
      </c>
      <c r="BX33">
        <v>2</v>
      </c>
      <c r="BY33">
        <v>116727</v>
      </c>
      <c r="BZ33">
        <v>0</v>
      </c>
      <c r="CA33" t="s">
        <v>1439</v>
      </c>
      <c r="CB33" t="s">
        <v>312</v>
      </c>
      <c r="CC33" t="s">
        <v>1440</v>
      </c>
      <c r="CD33">
        <v>0</v>
      </c>
      <c r="CE33">
        <v>2</v>
      </c>
      <c r="CF33" t="s">
        <v>466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 t="s">
        <v>88</v>
      </c>
      <c r="CT33" t="s">
        <v>1441</v>
      </c>
      <c r="CU33" t="s">
        <v>1442</v>
      </c>
    </row>
    <row r="34" spans="1:99">
      <c r="A34" t="s">
        <v>1431</v>
      </c>
      <c r="B34" t="s">
        <v>34</v>
      </c>
      <c r="C34" t="s">
        <v>1533</v>
      </c>
      <c r="D34" t="s">
        <v>1534</v>
      </c>
      <c r="E34" t="s">
        <v>1535</v>
      </c>
      <c r="F34" t="s">
        <v>1536</v>
      </c>
      <c r="G34" t="s">
        <v>1537</v>
      </c>
      <c r="H34" t="s">
        <v>1468</v>
      </c>
      <c r="I34" t="s">
        <v>682</v>
      </c>
      <c r="J34" t="s">
        <v>484</v>
      </c>
      <c r="K34" t="s">
        <v>29</v>
      </c>
      <c r="L34" t="s">
        <v>30</v>
      </c>
      <c r="M34">
        <v>187</v>
      </c>
      <c r="N34" t="s">
        <v>32</v>
      </c>
      <c r="O34" t="s">
        <v>32</v>
      </c>
      <c r="Q34" t="s">
        <v>32</v>
      </c>
      <c r="S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AA34" t="s">
        <v>88</v>
      </c>
      <c r="AB34" t="s">
        <v>32</v>
      </c>
      <c r="AE34" t="s">
        <v>32</v>
      </c>
      <c r="AH34" t="s">
        <v>32</v>
      </c>
      <c r="AK34" t="s">
        <v>32</v>
      </c>
      <c r="AN34" t="s">
        <v>32</v>
      </c>
      <c r="AO34" t="s">
        <v>32</v>
      </c>
      <c r="AR34">
        <v>0</v>
      </c>
      <c r="AU34" t="s">
        <v>32</v>
      </c>
      <c r="AV34">
        <v>1750905</v>
      </c>
      <c r="AW34" t="s">
        <v>32</v>
      </c>
      <c r="AX34" t="s">
        <v>32</v>
      </c>
      <c r="AY34" t="s">
        <v>356</v>
      </c>
      <c r="AZ34">
        <v>27</v>
      </c>
      <c r="BA34">
        <v>1859541</v>
      </c>
      <c r="BB34">
        <v>0.16</v>
      </c>
      <c r="BC34">
        <v>297600</v>
      </c>
      <c r="BD34" t="s">
        <v>142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297600</v>
      </c>
      <c r="BK34" t="s">
        <v>25</v>
      </c>
      <c r="BL34" t="s">
        <v>1071</v>
      </c>
      <c r="BM34">
        <v>27</v>
      </c>
      <c r="BN34">
        <v>1859541</v>
      </c>
      <c r="BO34">
        <v>0.04</v>
      </c>
      <c r="BP34">
        <v>74400</v>
      </c>
      <c r="BQ34">
        <v>0</v>
      </c>
      <c r="BR34" t="s">
        <v>1438</v>
      </c>
      <c r="BS34">
        <v>0</v>
      </c>
      <c r="BT34" t="s">
        <v>1438</v>
      </c>
      <c r="BU34">
        <v>0</v>
      </c>
      <c r="BV34" t="s">
        <v>25</v>
      </c>
      <c r="BW34" t="s">
        <v>189</v>
      </c>
      <c r="BX34">
        <v>27</v>
      </c>
      <c r="BY34">
        <v>1859541</v>
      </c>
      <c r="BZ34">
        <v>6.9599999999999995E-2</v>
      </c>
      <c r="CA34" t="s">
        <v>1439</v>
      </c>
      <c r="CB34" t="s">
        <v>312</v>
      </c>
      <c r="CC34" t="s">
        <v>1440</v>
      </c>
      <c r="CD34">
        <v>129500</v>
      </c>
      <c r="CE34">
        <v>27</v>
      </c>
      <c r="CF34" t="s">
        <v>466</v>
      </c>
      <c r="CG34">
        <v>1859541</v>
      </c>
      <c r="CH34">
        <v>0.04</v>
      </c>
      <c r="CI34">
        <v>74400</v>
      </c>
      <c r="CJ34">
        <v>1859541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 t="s">
        <v>88</v>
      </c>
      <c r="CT34" t="s">
        <v>1441</v>
      </c>
      <c r="CU34" t="s">
        <v>1442</v>
      </c>
    </row>
    <row r="35" spans="1:99">
      <c r="A35" t="s">
        <v>1431</v>
      </c>
      <c r="B35" t="s">
        <v>34</v>
      </c>
      <c r="C35" t="s">
        <v>1538</v>
      </c>
      <c r="D35" t="s">
        <v>1539</v>
      </c>
      <c r="E35" t="s">
        <v>1540</v>
      </c>
      <c r="F35" t="s">
        <v>1541</v>
      </c>
      <c r="G35" t="s">
        <v>1542</v>
      </c>
      <c r="H35" t="s">
        <v>1543</v>
      </c>
      <c r="I35" t="s">
        <v>682</v>
      </c>
      <c r="J35" t="s">
        <v>484</v>
      </c>
      <c r="K35" t="s">
        <v>29</v>
      </c>
      <c r="L35" t="s">
        <v>30</v>
      </c>
      <c r="M35">
        <v>0</v>
      </c>
      <c r="N35" t="s">
        <v>32</v>
      </c>
      <c r="O35" t="s">
        <v>32</v>
      </c>
      <c r="Q35" t="s">
        <v>32</v>
      </c>
      <c r="S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AA35" t="s">
        <v>32</v>
      </c>
      <c r="AB35" t="s">
        <v>37</v>
      </c>
      <c r="AC35">
        <v>46054</v>
      </c>
      <c r="AD35">
        <v>46054</v>
      </c>
      <c r="AE35" t="s">
        <v>32</v>
      </c>
      <c r="AH35" t="s">
        <v>32</v>
      </c>
      <c r="AK35" t="s">
        <v>32</v>
      </c>
      <c r="AN35" t="s">
        <v>32</v>
      </c>
      <c r="AO35" t="s">
        <v>32</v>
      </c>
      <c r="AR35">
        <v>0</v>
      </c>
      <c r="AU35" t="s">
        <v>32</v>
      </c>
      <c r="AV35">
        <v>1750905</v>
      </c>
      <c r="AW35" t="s">
        <v>32</v>
      </c>
      <c r="AX35" t="s">
        <v>32</v>
      </c>
      <c r="AY35" t="s">
        <v>356</v>
      </c>
      <c r="AZ35">
        <v>1</v>
      </c>
      <c r="BA35">
        <v>58364</v>
      </c>
      <c r="BB35">
        <v>0.16</v>
      </c>
      <c r="BC35">
        <v>9400</v>
      </c>
      <c r="BD35" t="s">
        <v>142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9400</v>
      </c>
      <c r="BK35" t="s">
        <v>25</v>
      </c>
      <c r="BL35" t="s">
        <v>1010</v>
      </c>
      <c r="BM35">
        <v>1</v>
      </c>
      <c r="BN35">
        <v>58364</v>
      </c>
      <c r="BO35">
        <v>0</v>
      </c>
      <c r="BP35">
        <v>0</v>
      </c>
      <c r="BQ35">
        <v>0</v>
      </c>
      <c r="BR35" t="s">
        <v>1438</v>
      </c>
      <c r="BS35">
        <v>0</v>
      </c>
      <c r="BT35" t="s">
        <v>1438</v>
      </c>
      <c r="BU35">
        <v>0</v>
      </c>
      <c r="BV35" t="s">
        <v>25</v>
      </c>
      <c r="BW35" t="s">
        <v>189</v>
      </c>
      <c r="BX35">
        <v>1</v>
      </c>
      <c r="BY35">
        <v>58364</v>
      </c>
      <c r="BZ35">
        <v>0</v>
      </c>
      <c r="CA35" t="s">
        <v>1439</v>
      </c>
      <c r="CB35" t="s">
        <v>312</v>
      </c>
      <c r="CC35" t="s">
        <v>1440</v>
      </c>
      <c r="CD35">
        <v>0</v>
      </c>
      <c r="CE35">
        <v>1</v>
      </c>
      <c r="CF35" t="s">
        <v>466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 t="s">
        <v>88</v>
      </c>
      <c r="CT35" t="s">
        <v>1441</v>
      </c>
      <c r="CU35" t="s">
        <v>1442</v>
      </c>
    </row>
    <row r="36" spans="1:99">
      <c r="A36" t="s">
        <v>1431</v>
      </c>
      <c r="B36" t="s">
        <v>34</v>
      </c>
      <c r="C36" t="s">
        <v>1538</v>
      </c>
      <c r="D36" t="s">
        <v>1539</v>
      </c>
      <c r="E36" t="s">
        <v>1540</v>
      </c>
      <c r="F36" t="s">
        <v>1541</v>
      </c>
      <c r="G36" t="s">
        <v>1542</v>
      </c>
      <c r="H36" t="s">
        <v>1543</v>
      </c>
      <c r="I36" t="s">
        <v>682</v>
      </c>
      <c r="J36" t="s">
        <v>484</v>
      </c>
      <c r="K36" t="s">
        <v>29</v>
      </c>
      <c r="L36" t="s">
        <v>30</v>
      </c>
      <c r="M36">
        <v>211</v>
      </c>
      <c r="N36" t="s">
        <v>32</v>
      </c>
      <c r="O36" t="s">
        <v>32</v>
      </c>
      <c r="Q36" t="s">
        <v>32</v>
      </c>
      <c r="S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AA36" t="s">
        <v>88</v>
      </c>
      <c r="AB36" t="s">
        <v>32</v>
      </c>
      <c r="AE36" t="s">
        <v>32</v>
      </c>
      <c r="AH36" t="s">
        <v>32</v>
      </c>
      <c r="AK36" t="s">
        <v>32</v>
      </c>
      <c r="AN36" t="s">
        <v>32</v>
      </c>
      <c r="AO36" t="s">
        <v>32</v>
      </c>
      <c r="AR36">
        <v>0</v>
      </c>
      <c r="AU36" t="s">
        <v>32</v>
      </c>
      <c r="AV36">
        <v>1750905</v>
      </c>
      <c r="AW36" t="s">
        <v>32</v>
      </c>
      <c r="AX36" t="s">
        <v>32</v>
      </c>
      <c r="AY36" t="s">
        <v>356</v>
      </c>
      <c r="AZ36">
        <v>29</v>
      </c>
      <c r="BA36">
        <v>2035959</v>
      </c>
      <c r="BB36">
        <v>0.16</v>
      </c>
      <c r="BC36">
        <v>325800</v>
      </c>
      <c r="BD36" t="s">
        <v>142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325800</v>
      </c>
      <c r="BK36" t="s">
        <v>25</v>
      </c>
      <c r="BL36" t="s">
        <v>1010</v>
      </c>
      <c r="BM36">
        <v>29</v>
      </c>
      <c r="BN36">
        <v>2035959</v>
      </c>
      <c r="BO36">
        <v>0.04</v>
      </c>
      <c r="BP36">
        <v>81500</v>
      </c>
      <c r="BQ36">
        <v>0</v>
      </c>
      <c r="BR36" t="s">
        <v>1438</v>
      </c>
      <c r="BS36">
        <v>0</v>
      </c>
      <c r="BT36" t="s">
        <v>1438</v>
      </c>
      <c r="BU36">
        <v>0</v>
      </c>
      <c r="BV36" t="s">
        <v>25</v>
      </c>
      <c r="BW36" t="s">
        <v>189</v>
      </c>
      <c r="BX36">
        <v>29</v>
      </c>
      <c r="BY36">
        <v>2035959</v>
      </c>
      <c r="BZ36">
        <v>6.9599999999999995E-2</v>
      </c>
      <c r="CA36" t="s">
        <v>1439</v>
      </c>
      <c r="CB36" t="s">
        <v>312</v>
      </c>
      <c r="CC36" t="s">
        <v>1440</v>
      </c>
      <c r="CD36">
        <v>141800</v>
      </c>
      <c r="CE36">
        <v>29</v>
      </c>
      <c r="CF36" t="s">
        <v>466</v>
      </c>
      <c r="CG36">
        <v>2035959</v>
      </c>
      <c r="CH36">
        <v>0.04</v>
      </c>
      <c r="CI36">
        <v>81500</v>
      </c>
      <c r="CJ36">
        <v>2035959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 t="s">
        <v>88</v>
      </c>
      <c r="CT36" t="s">
        <v>1441</v>
      </c>
      <c r="CU36" t="s">
        <v>1442</v>
      </c>
    </row>
    <row r="37" spans="1:99">
      <c r="A37" t="s">
        <v>1431</v>
      </c>
      <c r="B37" t="s">
        <v>34</v>
      </c>
      <c r="C37" t="s">
        <v>1544</v>
      </c>
      <c r="D37" t="s">
        <v>1545</v>
      </c>
      <c r="E37" t="s">
        <v>1546</v>
      </c>
      <c r="F37" t="s">
        <v>1547</v>
      </c>
      <c r="G37" t="s">
        <v>1498</v>
      </c>
      <c r="H37" t="s">
        <v>1548</v>
      </c>
      <c r="I37" t="s">
        <v>682</v>
      </c>
      <c r="J37" t="s">
        <v>484</v>
      </c>
      <c r="K37" t="s">
        <v>29</v>
      </c>
      <c r="L37" t="s">
        <v>30</v>
      </c>
      <c r="M37">
        <v>0</v>
      </c>
      <c r="N37" t="s">
        <v>32</v>
      </c>
      <c r="O37" t="s">
        <v>32</v>
      </c>
      <c r="Q37" t="s">
        <v>32</v>
      </c>
      <c r="S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AA37" t="s">
        <v>32</v>
      </c>
      <c r="AB37" t="s">
        <v>37</v>
      </c>
      <c r="AC37">
        <v>46054</v>
      </c>
      <c r="AD37">
        <v>46055</v>
      </c>
      <c r="AE37" t="s">
        <v>32</v>
      </c>
      <c r="AH37" t="s">
        <v>32</v>
      </c>
      <c r="AK37" t="s">
        <v>32</v>
      </c>
      <c r="AN37" t="s">
        <v>32</v>
      </c>
      <c r="AO37" t="s">
        <v>32</v>
      </c>
      <c r="AR37">
        <v>0</v>
      </c>
      <c r="AU37" t="s">
        <v>32</v>
      </c>
      <c r="AV37">
        <v>1750905</v>
      </c>
      <c r="AW37" t="s">
        <v>32</v>
      </c>
      <c r="AX37" t="s">
        <v>32</v>
      </c>
      <c r="AY37" t="s">
        <v>185</v>
      </c>
      <c r="AZ37">
        <v>2</v>
      </c>
      <c r="BA37">
        <v>116727</v>
      </c>
      <c r="BB37">
        <v>0.16</v>
      </c>
      <c r="BC37">
        <v>18700</v>
      </c>
      <c r="BD37" t="s">
        <v>142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18700</v>
      </c>
      <c r="BK37" t="s">
        <v>25</v>
      </c>
      <c r="BL37" t="s">
        <v>748</v>
      </c>
      <c r="BM37">
        <v>2</v>
      </c>
      <c r="BN37">
        <v>116727</v>
      </c>
      <c r="BO37">
        <v>0</v>
      </c>
      <c r="BP37">
        <v>0</v>
      </c>
      <c r="BQ37">
        <v>0</v>
      </c>
      <c r="BR37" t="s">
        <v>1438</v>
      </c>
      <c r="BS37">
        <v>0</v>
      </c>
      <c r="BT37" t="s">
        <v>1438</v>
      </c>
      <c r="BU37">
        <v>0</v>
      </c>
      <c r="BV37" t="s">
        <v>25</v>
      </c>
      <c r="BW37" t="s">
        <v>189</v>
      </c>
      <c r="BX37">
        <v>2</v>
      </c>
      <c r="BY37">
        <v>116727</v>
      </c>
      <c r="BZ37">
        <v>0</v>
      </c>
      <c r="CA37" t="s">
        <v>1439</v>
      </c>
      <c r="CB37" t="s">
        <v>312</v>
      </c>
      <c r="CC37" t="s">
        <v>1440</v>
      </c>
      <c r="CD37">
        <v>0</v>
      </c>
      <c r="CE37">
        <v>2</v>
      </c>
      <c r="CF37" t="s">
        <v>466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 t="s">
        <v>88</v>
      </c>
      <c r="CT37" t="s">
        <v>1441</v>
      </c>
      <c r="CU37" t="s">
        <v>1442</v>
      </c>
    </row>
    <row r="38" spans="1:99">
      <c r="A38" t="s">
        <v>1431</v>
      </c>
      <c r="B38" t="s">
        <v>34</v>
      </c>
      <c r="C38" t="s">
        <v>1544</v>
      </c>
      <c r="D38" t="s">
        <v>1545</v>
      </c>
      <c r="E38" t="s">
        <v>1546</v>
      </c>
      <c r="F38" t="s">
        <v>1547</v>
      </c>
      <c r="G38" t="s">
        <v>1498</v>
      </c>
      <c r="H38" t="s">
        <v>1548</v>
      </c>
      <c r="I38" t="s">
        <v>682</v>
      </c>
      <c r="J38" t="s">
        <v>484</v>
      </c>
      <c r="K38" t="s">
        <v>29</v>
      </c>
      <c r="L38" t="s">
        <v>30</v>
      </c>
      <c r="M38">
        <v>199</v>
      </c>
      <c r="N38" t="s">
        <v>32</v>
      </c>
      <c r="O38" t="s">
        <v>32</v>
      </c>
      <c r="Q38" t="s">
        <v>32</v>
      </c>
      <c r="S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AA38" t="s">
        <v>88</v>
      </c>
      <c r="AB38" t="s">
        <v>32</v>
      </c>
      <c r="AE38" t="s">
        <v>32</v>
      </c>
      <c r="AH38" t="s">
        <v>32</v>
      </c>
      <c r="AK38" t="s">
        <v>32</v>
      </c>
      <c r="AN38" t="s">
        <v>32</v>
      </c>
      <c r="AO38" t="s">
        <v>32</v>
      </c>
      <c r="AR38">
        <v>0</v>
      </c>
      <c r="AU38" t="s">
        <v>32</v>
      </c>
      <c r="AV38">
        <v>1750905</v>
      </c>
      <c r="AW38" t="s">
        <v>32</v>
      </c>
      <c r="AX38" t="s">
        <v>32</v>
      </c>
      <c r="AY38" t="s">
        <v>185</v>
      </c>
      <c r="AZ38">
        <v>28</v>
      </c>
      <c r="BA38">
        <v>1982769</v>
      </c>
      <c r="BB38">
        <v>0.16</v>
      </c>
      <c r="BC38">
        <v>317300</v>
      </c>
      <c r="BD38" t="s">
        <v>142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317300</v>
      </c>
      <c r="BK38" t="s">
        <v>25</v>
      </c>
      <c r="BL38" t="s">
        <v>748</v>
      </c>
      <c r="BM38">
        <v>28</v>
      </c>
      <c r="BN38">
        <v>1982769</v>
      </c>
      <c r="BO38">
        <v>0.04</v>
      </c>
      <c r="BP38">
        <v>79400</v>
      </c>
      <c r="BQ38">
        <v>0</v>
      </c>
      <c r="BR38" t="s">
        <v>1438</v>
      </c>
      <c r="BS38">
        <v>0</v>
      </c>
      <c r="BT38" t="s">
        <v>1438</v>
      </c>
      <c r="BU38">
        <v>0</v>
      </c>
      <c r="BV38" t="s">
        <v>25</v>
      </c>
      <c r="BW38" t="s">
        <v>189</v>
      </c>
      <c r="BX38">
        <v>28</v>
      </c>
      <c r="BY38">
        <v>1982769</v>
      </c>
      <c r="BZ38">
        <v>6.9599999999999995E-2</v>
      </c>
      <c r="CA38" t="s">
        <v>1439</v>
      </c>
      <c r="CB38" t="s">
        <v>312</v>
      </c>
      <c r="CC38" t="s">
        <v>1440</v>
      </c>
      <c r="CD38">
        <v>138100</v>
      </c>
      <c r="CE38">
        <v>28</v>
      </c>
      <c r="CF38" t="s">
        <v>466</v>
      </c>
      <c r="CG38">
        <v>1982769</v>
      </c>
      <c r="CH38">
        <v>0.04</v>
      </c>
      <c r="CI38">
        <v>79400</v>
      </c>
      <c r="CJ38">
        <v>1982769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 t="s">
        <v>88</v>
      </c>
      <c r="CT38" t="s">
        <v>1441</v>
      </c>
      <c r="CU38" t="s">
        <v>1442</v>
      </c>
    </row>
    <row r="39" spans="1:99">
      <c r="A39" t="s">
        <v>1431</v>
      </c>
      <c r="B39" t="s">
        <v>34</v>
      </c>
      <c r="C39" t="s">
        <v>1549</v>
      </c>
      <c r="D39" t="s">
        <v>1550</v>
      </c>
      <c r="E39" t="s">
        <v>1551</v>
      </c>
      <c r="F39" t="s">
        <v>667</v>
      </c>
      <c r="G39" t="s">
        <v>1552</v>
      </c>
      <c r="H39" t="s">
        <v>1479</v>
      </c>
      <c r="I39" t="s">
        <v>682</v>
      </c>
      <c r="J39" t="s">
        <v>484</v>
      </c>
      <c r="K39" t="s">
        <v>29</v>
      </c>
      <c r="L39" t="s">
        <v>30</v>
      </c>
      <c r="M39">
        <v>204</v>
      </c>
      <c r="N39" t="s">
        <v>32</v>
      </c>
      <c r="O39" t="s">
        <v>32</v>
      </c>
      <c r="Q39" t="s">
        <v>32</v>
      </c>
      <c r="S39" t="s">
        <v>40</v>
      </c>
      <c r="T39">
        <v>46076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AA39" t="s">
        <v>88</v>
      </c>
      <c r="AB39" t="s">
        <v>32</v>
      </c>
      <c r="AE39" t="s">
        <v>32</v>
      </c>
      <c r="AH39" t="s">
        <v>32</v>
      </c>
      <c r="AK39" t="s">
        <v>32</v>
      </c>
      <c r="AN39" t="s">
        <v>32</v>
      </c>
      <c r="AO39" t="s">
        <v>32</v>
      </c>
      <c r="AR39">
        <v>0</v>
      </c>
      <c r="AU39" t="s">
        <v>32</v>
      </c>
      <c r="AV39">
        <v>1750905</v>
      </c>
      <c r="AW39" t="s">
        <v>32</v>
      </c>
      <c r="AX39" t="s">
        <v>32</v>
      </c>
      <c r="AY39" t="s">
        <v>317</v>
      </c>
      <c r="AZ39">
        <v>23</v>
      </c>
      <c r="BA39">
        <v>2062991</v>
      </c>
      <c r="BB39">
        <v>0.16</v>
      </c>
      <c r="BC39">
        <v>330100</v>
      </c>
      <c r="BD39" t="s">
        <v>142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330100</v>
      </c>
      <c r="BK39" t="s">
        <v>25</v>
      </c>
      <c r="BL39" t="s">
        <v>1010</v>
      </c>
      <c r="BM39">
        <v>23</v>
      </c>
      <c r="BN39">
        <v>2062991</v>
      </c>
      <c r="BO39">
        <v>0.04</v>
      </c>
      <c r="BP39">
        <v>82600</v>
      </c>
      <c r="BQ39">
        <v>0</v>
      </c>
      <c r="BR39" t="s">
        <v>1438</v>
      </c>
      <c r="BS39">
        <v>0</v>
      </c>
      <c r="BT39" t="s">
        <v>1438</v>
      </c>
      <c r="BU39">
        <v>0</v>
      </c>
      <c r="BV39" t="s">
        <v>25</v>
      </c>
      <c r="BW39" t="s">
        <v>189</v>
      </c>
      <c r="BX39">
        <v>23</v>
      </c>
      <c r="BY39">
        <v>2062991</v>
      </c>
      <c r="BZ39">
        <v>6.9599999999999995E-2</v>
      </c>
      <c r="CA39" t="s">
        <v>1439</v>
      </c>
      <c r="CB39" t="s">
        <v>312</v>
      </c>
      <c r="CC39" t="s">
        <v>1440</v>
      </c>
      <c r="CD39">
        <v>143600</v>
      </c>
      <c r="CE39">
        <v>23</v>
      </c>
      <c r="CF39" t="s">
        <v>466</v>
      </c>
      <c r="CG39">
        <v>2780760</v>
      </c>
      <c r="CH39">
        <v>0.04</v>
      </c>
      <c r="CI39">
        <v>111300</v>
      </c>
      <c r="CJ39">
        <v>2780760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 t="s">
        <v>88</v>
      </c>
      <c r="CT39" t="s">
        <v>1441</v>
      </c>
      <c r="CU39" t="s">
        <v>1442</v>
      </c>
    </row>
    <row r="40" spans="1:99">
      <c r="A40" t="s">
        <v>1431</v>
      </c>
      <c r="B40" t="s">
        <v>34</v>
      </c>
      <c r="C40" t="s">
        <v>1553</v>
      </c>
      <c r="D40" t="s">
        <v>1554</v>
      </c>
      <c r="E40" t="s">
        <v>1555</v>
      </c>
      <c r="F40" t="s">
        <v>1556</v>
      </c>
      <c r="G40" t="s">
        <v>1557</v>
      </c>
      <c r="H40" t="s">
        <v>1558</v>
      </c>
      <c r="I40" t="s">
        <v>240</v>
      </c>
      <c r="J40" t="s">
        <v>46</v>
      </c>
      <c r="K40" t="s">
        <v>29</v>
      </c>
      <c r="L40" t="s">
        <v>30</v>
      </c>
      <c r="M40">
        <v>225</v>
      </c>
      <c r="N40" t="s">
        <v>32</v>
      </c>
      <c r="O40" t="s">
        <v>32</v>
      </c>
      <c r="Q40" t="s">
        <v>32</v>
      </c>
      <c r="S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AA40" t="s">
        <v>88</v>
      </c>
      <c r="AB40" t="s">
        <v>32</v>
      </c>
      <c r="AE40" t="s">
        <v>32</v>
      </c>
      <c r="AH40" t="s">
        <v>32</v>
      </c>
      <c r="AK40" t="s">
        <v>32</v>
      </c>
      <c r="AN40" t="s">
        <v>32</v>
      </c>
      <c r="AO40" t="s">
        <v>32</v>
      </c>
      <c r="AR40">
        <v>0</v>
      </c>
      <c r="AU40" t="s">
        <v>32</v>
      </c>
      <c r="AV40">
        <v>2074908</v>
      </c>
      <c r="AW40" t="s">
        <v>32</v>
      </c>
      <c r="AX40" t="s">
        <v>32</v>
      </c>
      <c r="AY40" t="s">
        <v>317</v>
      </c>
      <c r="AZ40">
        <v>30</v>
      </c>
      <c r="BA40">
        <v>3157161</v>
      </c>
      <c r="BB40">
        <v>0.16</v>
      </c>
      <c r="BC40">
        <v>505200</v>
      </c>
      <c r="BD40" t="s">
        <v>142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505200</v>
      </c>
      <c r="BK40" t="s">
        <v>25</v>
      </c>
      <c r="BL40" t="s">
        <v>1064</v>
      </c>
      <c r="BM40">
        <v>30</v>
      </c>
      <c r="BN40">
        <v>3157161</v>
      </c>
      <c r="BO40">
        <v>0.04</v>
      </c>
      <c r="BP40">
        <v>126300</v>
      </c>
      <c r="BQ40">
        <v>0</v>
      </c>
      <c r="BR40" t="s">
        <v>1438</v>
      </c>
      <c r="BS40">
        <v>0</v>
      </c>
      <c r="BT40" t="s">
        <v>1438</v>
      </c>
      <c r="BU40">
        <v>0</v>
      </c>
      <c r="BV40" t="s">
        <v>25</v>
      </c>
      <c r="BW40" t="s">
        <v>189</v>
      </c>
      <c r="BX40">
        <v>30</v>
      </c>
      <c r="BY40">
        <v>3157161</v>
      </c>
      <c r="BZ40">
        <v>6.9599999999999995E-2</v>
      </c>
      <c r="CA40" t="s">
        <v>1439</v>
      </c>
      <c r="CB40" t="s">
        <v>227</v>
      </c>
      <c r="CC40" t="s">
        <v>1440</v>
      </c>
      <c r="CD40">
        <v>219800</v>
      </c>
      <c r="CE40">
        <v>30</v>
      </c>
      <c r="CF40" t="s">
        <v>635</v>
      </c>
      <c r="CG40">
        <v>3157161</v>
      </c>
      <c r="CH40">
        <v>0.04</v>
      </c>
      <c r="CI40">
        <v>126300</v>
      </c>
      <c r="CJ40">
        <v>3157161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 t="s">
        <v>88</v>
      </c>
      <c r="CT40" t="s">
        <v>1441</v>
      </c>
      <c r="CU40" t="s">
        <v>1442</v>
      </c>
    </row>
    <row r="41" spans="1:99">
      <c r="A41" t="s">
        <v>1431</v>
      </c>
      <c r="B41" t="s">
        <v>34</v>
      </c>
      <c r="C41" t="s">
        <v>1559</v>
      </c>
      <c r="D41" t="s">
        <v>1560</v>
      </c>
      <c r="E41" t="s">
        <v>1561</v>
      </c>
      <c r="F41" t="s">
        <v>1562</v>
      </c>
      <c r="G41" t="s">
        <v>1563</v>
      </c>
      <c r="H41" t="s">
        <v>1489</v>
      </c>
      <c r="I41" t="s">
        <v>682</v>
      </c>
      <c r="J41" t="s">
        <v>484</v>
      </c>
      <c r="K41" t="s">
        <v>29</v>
      </c>
      <c r="L41" t="s">
        <v>30</v>
      </c>
      <c r="M41">
        <v>0</v>
      </c>
      <c r="N41" t="s">
        <v>32</v>
      </c>
      <c r="O41" t="s">
        <v>32</v>
      </c>
      <c r="Q41" t="s">
        <v>32</v>
      </c>
      <c r="S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AA41" t="s">
        <v>32</v>
      </c>
      <c r="AB41" t="s">
        <v>37</v>
      </c>
      <c r="AC41">
        <v>46069</v>
      </c>
      <c r="AD41">
        <v>46069</v>
      </c>
      <c r="AE41" t="s">
        <v>32</v>
      </c>
      <c r="AH41" t="s">
        <v>32</v>
      </c>
      <c r="AK41" t="s">
        <v>32</v>
      </c>
      <c r="AN41" t="s">
        <v>32</v>
      </c>
      <c r="AO41" t="s">
        <v>32</v>
      </c>
      <c r="AR41">
        <v>0</v>
      </c>
      <c r="AU41" t="s">
        <v>32</v>
      </c>
      <c r="AV41">
        <v>1785595</v>
      </c>
      <c r="AW41" t="s">
        <v>32</v>
      </c>
      <c r="AX41" t="s">
        <v>32</v>
      </c>
      <c r="AY41" t="s">
        <v>356</v>
      </c>
      <c r="AZ41">
        <v>1</v>
      </c>
      <c r="BA41">
        <v>59520</v>
      </c>
      <c r="BB41">
        <v>0.16</v>
      </c>
      <c r="BC41">
        <v>9600</v>
      </c>
      <c r="BD41" t="s">
        <v>142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9600</v>
      </c>
      <c r="BK41" t="s">
        <v>25</v>
      </c>
      <c r="BL41" t="s">
        <v>1071</v>
      </c>
      <c r="BM41">
        <v>1</v>
      </c>
      <c r="BN41">
        <v>59520</v>
      </c>
      <c r="BO41">
        <v>0</v>
      </c>
      <c r="BP41">
        <v>0</v>
      </c>
      <c r="BQ41">
        <v>0</v>
      </c>
      <c r="BR41" t="s">
        <v>1438</v>
      </c>
      <c r="BS41">
        <v>0</v>
      </c>
      <c r="BT41" t="s">
        <v>1438</v>
      </c>
      <c r="BU41">
        <v>0</v>
      </c>
      <c r="BV41" t="s">
        <v>25</v>
      </c>
      <c r="BW41" t="s">
        <v>189</v>
      </c>
      <c r="BX41">
        <v>1</v>
      </c>
      <c r="BY41">
        <v>59520</v>
      </c>
      <c r="BZ41">
        <v>0</v>
      </c>
      <c r="CA41" t="s">
        <v>1439</v>
      </c>
      <c r="CB41" t="s">
        <v>312</v>
      </c>
      <c r="CC41" t="s">
        <v>1440</v>
      </c>
      <c r="CD41">
        <v>0</v>
      </c>
      <c r="CE41">
        <v>1</v>
      </c>
      <c r="CF41" t="s">
        <v>466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 t="s">
        <v>88</v>
      </c>
      <c r="CT41" t="s">
        <v>1441</v>
      </c>
      <c r="CU41" t="s">
        <v>1442</v>
      </c>
    </row>
    <row r="42" spans="1:99">
      <c r="A42" t="s">
        <v>1431</v>
      </c>
      <c r="B42" t="s">
        <v>34</v>
      </c>
      <c r="C42" t="s">
        <v>1559</v>
      </c>
      <c r="D42" t="s">
        <v>1560</v>
      </c>
      <c r="E42" t="s">
        <v>1561</v>
      </c>
      <c r="F42" t="s">
        <v>1562</v>
      </c>
      <c r="G42" t="s">
        <v>1563</v>
      </c>
      <c r="H42" t="s">
        <v>1489</v>
      </c>
      <c r="I42" t="s">
        <v>682</v>
      </c>
      <c r="J42" t="s">
        <v>484</v>
      </c>
      <c r="K42" t="s">
        <v>29</v>
      </c>
      <c r="L42" t="s">
        <v>30</v>
      </c>
      <c r="M42">
        <v>162</v>
      </c>
      <c r="N42" t="s">
        <v>32</v>
      </c>
      <c r="O42" t="s">
        <v>32</v>
      </c>
      <c r="Q42" t="s">
        <v>32</v>
      </c>
      <c r="S42" t="s">
        <v>40</v>
      </c>
      <c r="T42">
        <v>46076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AA42" t="s">
        <v>88</v>
      </c>
      <c r="AB42" t="s">
        <v>32</v>
      </c>
      <c r="AE42" t="s">
        <v>32</v>
      </c>
      <c r="AH42" t="s">
        <v>32</v>
      </c>
      <c r="AK42" t="s">
        <v>32</v>
      </c>
      <c r="AN42" t="s">
        <v>32</v>
      </c>
      <c r="AO42" t="s">
        <v>32</v>
      </c>
      <c r="AR42">
        <v>0</v>
      </c>
      <c r="AU42" t="s">
        <v>32</v>
      </c>
      <c r="AV42">
        <v>1785595</v>
      </c>
      <c r="AW42" t="s">
        <v>32</v>
      </c>
      <c r="AX42" t="s">
        <v>32</v>
      </c>
      <c r="AY42" t="s">
        <v>356</v>
      </c>
      <c r="AZ42">
        <v>22</v>
      </c>
      <c r="BA42">
        <v>1682166</v>
      </c>
      <c r="BB42">
        <v>0.16</v>
      </c>
      <c r="BC42">
        <v>269200</v>
      </c>
      <c r="BD42" t="s">
        <v>142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269200</v>
      </c>
      <c r="BK42" t="s">
        <v>25</v>
      </c>
      <c r="BL42" t="s">
        <v>1071</v>
      </c>
      <c r="BM42">
        <v>22</v>
      </c>
      <c r="BN42">
        <v>1682166</v>
      </c>
      <c r="BO42">
        <v>0.04</v>
      </c>
      <c r="BP42">
        <v>67300</v>
      </c>
      <c r="BQ42">
        <v>0</v>
      </c>
      <c r="BR42" t="s">
        <v>1438</v>
      </c>
      <c r="BS42">
        <v>0</v>
      </c>
      <c r="BT42" t="s">
        <v>1438</v>
      </c>
      <c r="BU42">
        <v>0</v>
      </c>
      <c r="BV42" t="s">
        <v>25</v>
      </c>
      <c r="BW42" t="s">
        <v>189</v>
      </c>
      <c r="BX42">
        <v>22</v>
      </c>
      <c r="BY42">
        <v>1682166</v>
      </c>
      <c r="BZ42">
        <v>6.9599999999999995E-2</v>
      </c>
      <c r="CA42" t="s">
        <v>1439</v>
      </c>
      <c r="CB42" t="s">
        <v>312</v>
      </c>
      <c r="CC42" t="s">
        <v>1440</v>
      </c>
      <c r="CD42">
        <v>117100</v>
      </c>
      <c r="CE42">
        <v>22</v>
      </c>
      <c r="CF42" t="s">
        <v>466</v>
      </c>
      <c r="CG42">
        <v>2503076</v>
      </c>
      <c r="CH42">
        <v>0.04</v>
      </c>
      <c r="CI42">
        <v>100200</v>
      </c>
      <c r="CJ42">
        <v>2503076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 t="s">
        <v>88</v>
      </c>
      <c r="CT42" t="s">
        <v>1441</v>
      </c>
      <c r="CU42" t="s">
        <v>1442</v>
      </c>
    </row>
    <row r="43" spans="1:99">
      <c r="A43" t="s">
        <v>1431</v>
      </c>
      <c r="B43" t="s">
        <v>34</v>
      </c>
      <c r="C43" t="s">
        <v>1564</v>
      </c>
      <c r="D43" t="s">
        <v>1565</v>
      </c>
      <c r="E43" t="s">
        <v>1562</v>
      </c>
      <c r="F43" t="s">
        <v>1566</v>
      </c>
      <c r="G43" t="s">
        <v>1478</v>
      </c>
      <c r="H43" t="s">
        <v>1519</v>
      </c>
      <c r="I43" t="s">
        <v>682</v>
      </c>
      <c r="J43" t="s">
        <v>484</v>
      </c>
      <c r="K43" t="s">
        <v>29</v>
      </c>
      <c r="L43" t="s">
        <v>30</v>
      </c>
      <c r="M43">
        <v>205</v>
      </c>
      <c r="N43" t="s">
        <v>32</v>
      </c>
      <c r="O43" t="s">
        <v>32</v>
      </c>
      <c r="Q43" t="s">
        <v>32</v>
      </c>
      <c r="S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AA43" t="s">
        <v>88</v>
      </c>
      <c r="AB43" t="s">
        <v>32</v>
      </c>
      <c r="AE43" t="s">
        <v>32</v>
      </c>
      <c r="AH43" t="s">
        <v>32</v>
      </c>
      <c r="AK43" t="s">
        <v>32</v>
      </c>
      <c r="AN43" t="s">
        <v>32</v>
      </c>
      <c r="AO43" t="s">
        <v>32</v>
      </c>
      <c r="AR43">
        <v>0</v>
      </c>
      <c r="AU43" t="s">
        <v>32</v>
      </c>
      <c r="AV43">
        <v>2074908</v>
      </c>
      <c r="AW43" t="s">
        <v>32</v>
      </c>
      <c r="AX43" t="s">
        <v>32</v>
      </c>
      <c r="AY43" t="s">
        <v>317</v>
      </c>
      <c r="AZ43">
        <v>30</v>
      </c>
      <c r="BA43">
        <v>2452635</v>
      </c>
      <c r="BB43">
        <v>0.16</v>
      </c>
      <c r="BC43">
        <v>392500</v>
      </c>
      <c r="BD43" t="s">
        <v>142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392500</v>
      </c>
      <c r="BK43" t="s">
        <v>25</v>
      </c>
      <c r="BL43" t="s">
        <v>1010</v>
      </c>
      <c r="BM43">
        <v>30</v>
      </c>
      <c r="BN43">
        <v>2452635</v>
      </c>
      <c r="BO43">
        <v>0.04</v>
      </c>
      <c r="BP43">
        <v>98200</v>
      </c>
      <c r="BQ43">
        <v>0</v>
      </c>
      <c r="BR43" t="s">
        <v>1438</v>
      </c>
      <c r="BS43">
        <v>0</v>
      </c>
      <c r="BT43" t="s">
        <v>1438</v>
      </c>
      <c r="BU43">
        <v>0</v>
      </c>
      <c r="BV43" t="s">
        <v>25</v>
      </c>
      <c r="BW43" t="s">
        <v>189</v>
      </c>
      <c r="BX43">
        <v>30</v>
      </c>
      <c r="BY43">
        <v>2452635</v>
      </c>
      <c r="BZ43">
        <v>6.9599999999999995E-2</v>
      </c>
      <c r="CA43" t="s">
        <v>1439</v>
      </c>
      <c r="CB43" t="s">
        <v>312</v>
      </c>
      <c r="CC43" t="s">
        <v>1440</v>
      </c>
      <c r="CD43">
        <v>170800</v>
      </c>
      <c r="CE43">
        <v>30</v>
      </c>
      <c r="CF43" t="s">
        <v>466</v>
      </c>
      <c r="CG43">
        <v>2452635</v>
      </c>
      <c r="CH43">
        <v>0.04</v>
      </c>
      <c r="CI43">
        <v>98200</v>
      </c>
      <c r="CJ43">
        <v>2452635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 t="s">
        <v>88</v>
      </c>
      <c r="CT43" t="s">
        <v>1441</v>
      </c>
      <c r="CU43" t="s">
        <v>1442</v>
      </c>
    </row>
    <row r="44" spans="1:99">
      <c r="A44" t="s">
        <v>1431</v>
      </c>
      <c r="B44" t="s">
        <v>90</v>
      </c>
      <c r="C44" t="s">
        <v>1567</v>
      </c>
      <c r="D44" t="s">
        <v>1568</v>
      </c>
      <c r="E44" t="s">
        <v>1569</v>
      </c>
      <c r="F44" t="s">
        <v>1555</v>
      </c>
      <c r="G44" t="s">
        <v>1570</v>
      </c>
      <c r="H44" t="s">
        <v>1571</v>
      </c>
      <c r="I44" t="s">
        <v>921</v>
      </c>
      <c r="J44" t="s">
        <v>425</v>
      </c>
      <c r="K44" t="s">
        <v>29</v>
      </c>
      <c r="L44" t="s">
        <v>30</v>
      </c>
      <c r="M44">
        <v>0</v>
      </c>
      <c r="N44" t="s">
        <v>32</v>
      </c>
      <c r="O44" t="s">
        <v>32</v>
      </c>
      <c r="Q44" t="s">
        <v>32</v>
      </c>
      <c r="S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AA44" t="s">
        <v>32</v>
      </c>
      <c r="AB44" t="s">
        <v>32</v>
      </c>
      <c r="AE44" t="s">
        <v>32</v>
      </c>
      <c r="AH44" t="s">
        <v>32</v>
      </c>
      <c r="AK44" t="s">
        <v>128</v>
      </c>
      <c r="AL44">
        <v>46069</v>
      </c>
      <c r="AM44">
        <v>46075</v>
      </c>
      <c r="AN44" t="s">
        <v>32</v>
      </c>
      <c r="AO44" t="s">
        <v>32</v>
      </c>
      <c r="AR44">
        <v>0</v>
      </c>
      <c r="AU44" t="s">
        <v>32</v>
      </c>
      <c r="AV44">
        <v>7656636</v>
      </c>
      <c r="AW44" t="s">
        <v>32</v>
      </c>
      <c r="AX44" t="s">
        <v>32</v>
      </c>
      <c r="AY44" t="s">
        <v>393</v>
      </c>
      <c r="AZ44">
        <v>7</v>
      </c>
      <c r="BA44">
        <v>1786549</v>
      </c>
      <c r="BB44">
        <v>0.16</v>
      </c>
      <c r="BC44">
        <v>285900</v>
      </c>
      <c r="BD44" t="s">
        <v>142</v>
      </c>
      <c r="BE44">
        <v>0</v>
      </c>
      <c r="BF44">
        <v>0</v>
      </c>
      <c r="BG44">
        <v>9000</v>
      </c>
      <c r="BH44">
        <v>9000</v>
      </c>
      <c r="BI44">
        <v>0</v>
      </c>
      <c r="BJ44">
        <v>303900</v>
      </c>
      <c r="BK44" t="s">
        <v>25</v>
      </c>
      <c r="BL44" t="s">
        <v>1071</v>
      </c>
      <c r="BM44">
        <v>7</v>
      </c>
      <c r="BN44">
        <v>1786549</v>
      </c>
      <c r="BO44">
        <v>0.04</v>
      </c>
      <c r="BP44">
        <v>71500</v>
      </c>
      <c r="BQ44">
        <v>0</v>
      </c>
      <c r="BR44" t="s">
        <v>1438</v>
      </c>
      <c r="BS44">
        <v>0</v>
      </c>
      <c r="BT44" t="s">
        <v>1438</v>
      </c>
      <c r="BU44">
        <v>0</v>
      </c>
      <c r="BV44" t="s">
        <v>25</v>
      </c>
      <c r="BW44" t="s">
        <v>189</v>
      </c>
      <c r="BX44">
        <v>7</v>
      </c>
      <c r="BY44">
        <v>1786549</v>
      </c>
      <c r="BZ44">
        <v>0</v>
      </c>
      <c r="CA44" t="s">
        <v>1439</v>
      </c>
      <c r="CB44" t="s">
        <v>1572</v>
      </c>
      <c r="CC44" t="s">
        <v>1440</v>
      </c>
      <c r="CD44">
        <v>0</v>
      </c>
      <c r="CE44">
        <v>7</v>
      </c>
      <c r="CF44" t="s">
        <v>585</v>
      </c>
      <c r="CG44">
        <v>1786549</v>
      </c>
      <c r="CH44">
        <v>0.04</v>
      </c>
      <c r="CI44">
        <v>71500</v>
      </c>
      <c r="CJ44">
        <v>1786549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 t="s">
        <v>88</v>
      </c>
      <c r="CT44" t="s">
        <v>1441</v>
      </c>
      <c r="CU44" t="s">
        <v>1442</v>
      </c>
    </row>
    <row r="45" spans="1:99">
      <c r="A45" t="s">
        <v>1431</v>
      </c>
      <c r="B45" t="s">
        <v>90</v>
      </c>
      <c r="C45" t="s">
        <v>1567</v>
      </c>
      <c r="D45" t="s">
        <v>1568</v>
      </c>
      <c r="E45" t="s">
        <v>1569</v>
      </c>
      <c r="F45" t="s">
        <v>1555</v>
      </c>
      <c r="G45" t="s">
        <v>1570</v>
      </c>
      <c r="H45" t="s">
        <v>1571</v>
      </c>
      <c r="I45" t="s">
        <v>921</v>
      </c>
      <c r="J45" t="s">
        <v>425</v>
      </c>
      <c r="K45" t="s">
        <v>29</v>
      </c>
      <c r="L45" t="s">
        <v>30</v>
      </c>
      <c r="M45">
        <v>135</v>
      </c>
      <c r="N45" t="s">
        <v>32</v>
      </c>
      <c r="O45" t="s">
        <v>32</v>
      </c>
      <c r="Q45" t="s">
        <v>32</v>
      </c>
      <c r="S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88</v>
      </c>
      <c r="Z45">
        <v>46054</v>
      </c>
      <c r="AA45" t="s">
        <v>32</v>
      </c>
      <c r="AB45" t="s">
        <v>32</v>
      </c>
      <c r="AE45" t="s">
        <v>32</v>
      </c>
      <c r="AH45" t="s">
        <v>32</v>
      </c>
      <c r="AK45" t="s">
        <v>32</v>
      </c>
      <c r="AN45" t="s">
        <v>32</v>
      </c>
      <c r="AO45" t="s">
        <v>32</v>
      </c>
      <c r="AR45">
        <v>0</v>
      </c>
      <c r="AU45" t="s">
        <v>32</v>
      </c>
      <c r="AV45">
        <v>7656636</v>
      </c>
      <c r="AW45" t="s">
        <v>32</v>
      </c>
      <c r="AX45" t="s">
        <v>32</v>
      </c>
      <c r="AY45" t="s">
        <v>393</v>
      </c>
      <c r="AZ45">
        <v>23</v>
      </c>
      <c r="BA45">
        <v>5870088</v>
      </c>
      <c r="BB45">
        <v>0.16</v>
      </c>
      <c r="BC45">
        <v>939300</v>
      </c>
      <c r="BD45" t="s">
        <v>142</v>
      </c>
      <c r="BE45">
        <v>0</v>
      </c>
      <c r="BF45">
        <v>0</v>
      </c>
      <c r="BG45">
        <v>29400</v>
      </c>
      <c r="BH45">
        <v>29400</v>
      </c>
      <c r="BI45">
        <v>0</v>
      </c>
      <c r="BJ45">
        <v>998100</v>
      </c>
      <c r="BK45" t="s">
        <v>25</v>
      </c>
      <c r="BL45" t="s">
        <v>1071</v>
      </c>
      <c r="BM45">
        <v>23</v>
      </c>
      <c r="BN45">
        <v>5870088</v>
      </c>
      <c r="BO45">
        <v>0.04</v>
      </c>
      <c r="BP45">
        <v>234900</v>
      </c>
      <c r="BQ45">
        <v>0</v>
      </c>
      <c r="BR45" t="s">
        <v>1438</v>
      </c>
      <c r="BS45">
        <v>0</v>
      </c>
      <c r="BT45" t="s">
        <v>1438</v>
      </c>
      <c r="BU45">
        <v>0</v>
      </c>
      <c r="BV45" t="s">
        <v>25</v>
      </c>
      <c r="BW45" t="s">
        <v>189</v>
      </c>
      <c r="BX45">
        <v>23</v>
      </c>
      <c r="BY45">
        <v>5870088</v>
      </c>
      <c r="BZ45">
        <v>6.9599999999999995E-2</v>
      </c>
      <c r="CA45" t="s">
        <v>1439</v>
      </c>
      <c r="CB45" t="s">
        <v>1572</v>
      </c>
      <c r="CC45" t="s">
        <v>1440</v>
      </c>
      <c r="CD45">
        <v>408600</v>
      </c>
      <c r="CE45">
        <v>23</v>
      </c>
      <c r="CF45" t="s">
        <v>585</v>
      </c>
      <c r="CG45">
        <v>5870088</v>
      </c>
      <c r="CH45">
        <v>0.04</v>
      </c>
      <c r="CI45">
        <v>234900</v>
      </c>
      <c r="CJ45">
        <v>5870088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 t="s">
        <v>88</v>
      </c>
      <c r="CT45" t="s">
        <v>1441</v>
      </c>
      <c r="CU45" t="s">
        <v>1442</v>
      </c>
    </row>
    <row r="46" spans="1:99">
      <c r="A46" t="s">
        <v>1431</v>
      </c>
      <c r="B46" t="s">
        <v>34</v>
      </c>
      <c r="C46" t="s">
        <v>1573</v>
      </c>
      <c r="D46" t="s">
        <v>1574</v>
      </c>
      <c r="E46" t="s">
        <v>1472</v>
      </c>
      <c r="F46" t="s">
        <v>1575</v>
      </c>
      <c r="G46" t="s">
        <v>1478</v>
      </c>
      <c r="H46" t="s">
        <v>1548</v>
      </c>
      <c r="I46" t="s">
        <v>240</v>
      </c>
      <c r="J46" t="s">
        <v>46</v>
      </c>
      <c r="K46" t="s">
        <v>29</v>
      </c>
      <c r="L46" t="s">
        <v>30</v>
      </c>
      <c r="M46">
        <v>74</v>
      </c>
      <c r="N46" t="s">
        <v>32</v>
      </c>
      <c r="O46" t="s">
        <v>32</v>
      </c>
      <c r="Q46" t="s">
        <v>40</v>
      </c>
      <c r="R46">
        <v>46071</v>
      </c>
      <c r="S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AA46" t="s">
        <v>88</v>
      </c>
      <c r="AB46" t="s">
        <v>32</v>
      </c>
      <c r="AE46" t="s">
        <v>32</v>
      </c>
      <c r="AH46" t="s">
        <v>32</v>
      </c>
      <c r="AK46" t="s">
        <v>32</v>
      </c>
      <c r="AN46" t="s">
        <v>32</v>
      </c>
      <c r="AO46" t="s">
        <v>32</v>
      </c>
      <c r="AR46">
        <v>0</v>
      </c>
      <c r="AU46" t="s">
        <v>32</v>
      </c>
      <c r="AV46">
        <v>2074908</v>
      </c>
      <c r="AW46" t="s">
        <v>32</v>
      </c>
      <c r="AX46" t="s">
        <v>32</v>
      </c>
      <c r="AY46" t="s">
        <v>356</v>
      </c>
      <c r="AZ46">
        <v>13</v>
      </c>
      <c r="BA46">
        <v>922706</v>
      </c>
      <c r="BB46">
        <v>0.16</v>
      </c>
      <c r="BC46">
        <v>147700</v>
      </c>
      <c r="BD46" t="s">
        <v>142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147700</v>
      </c>
      <c r="BK46" t="s">
        <v>25</v>
      </c>
      <c r="BL46" t="s">
        <v>635</v>
      </c>
      <c r="BM46">
        <v>13</v>
      </c>
      <c r="BN46">
        <v>922706</v>
      </c>
      <c r="BO46">
        <v>0.04</v>
      </c>
      <c r="BP46">
        <v>37000</v>
      </c>
      <c r="BQ46">
        <v>0</v>
      </c>
      <c r="BR46" t="s">
        <v>1438</v>
      </c>
      <c r="BS46">
        <v>0</v>
      </c>
      <c r="BT46" t="s">
        <v>1438</v>
      </c>
      <c r="BU46">
        <v>0</v>
      </c>
      <c r="BV46" t="s">
        <v>25</v>
      </c>
      <c r="BW46" t="s">
        <v>189</v>
      </c>
      <c r="BX46">
        <v>13</v>
      </c>
      <c r="BY46">
        <v>922706</v>
      </c>
      <c r="BZ46">
        <v>6.9599999999999995E-2</v>
      </c>
      <c r="CA46" t="s">
        <v>1439</v>
      </c>
      <c r="CB46" t="s">
        <v>227</v>
      </c>
      <c r="CC46" t="s">
        <v>1440</v>
      </c>
      <c r="CD46">
        <v>64300</v>
      </c>
      <c r="CE46">
        <v>13</v>
      </c>
      <c r="CF46" t="s">
        <v>635</v>
      </c>
      <c r="CG46">
        <v>922706</v>
      </c>
      <c r="CH46">
        <v>0.04</v>
      </c>
      <c r="CI46">
        <v>37000</v>
      </c>
      <c r="CJ46">
        <v>922706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 t="s">
        <v>88</v>
      </c>
      <c r="CT46" t="s">
        <v>1441</v>
      </c>
      <c r="CU46" t="s">
        <v>1442</v>
      </c>
    </row>
    <row r="47" spans="1:99">
      <c r="A47" t="s">
        <v>1431</v>
      </c>
      <c r="B47" t="s">
        <v>34</v>
      </c>
      <c r="C47" t="s">
        <v>1576</v>
      </c>
      <c r="D47" t="s">
        <v>1577</v>
      </c>
      <c r="E47" t="s">
        <v>1488</v>
      </c>
      <c r="F47" t="s">
        <v>1471</v>
      </c>
      <c r="G47" t="s">
        <v>1578</v>
      </c>
      <c r="H47" t="s">
        <v>1579</v>
      </c>
      <c r="I47" t="s">
        <v>240</v>
      </c>
      <c r="J47" t="s">
        <v>46</v>
      </c>
      <c r="K47" t="s">
        <v>29</v>
      </c>
      <c r="L47" t="s">
        <v>30</v>
      </c>
      <c r="M47">
        <v>74</v>
      </c>
      <c r="N47" t="s">
        <v>32</v>
      </c>
      <c r="O47" t="s">
        <v>32</v>
      </c>
      <c r="Q47" t="s">
        <v>40</v>
      </c>
      <c r="R47">
        <v>46071</v>
      </c>
      <c r="S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AA47" t="s">
        <v>88</v>
      </c>
      <c r="AB47" t="s">
        <v>32</v>
      </c>
      <c r="AE47" t="s">
        <v>32</v>
      </c>
      <c r="AH47" t="s">
        <v>32</v>
      </c>
      <c r="AK47" t="s">
        <v>32</v>
      </c>
      <c r="AN47" t="s">
        <v>32</v>
      </c>
      <c r="AO47" t="s">
        <v>32</v>
      </c>
      <c r="AR47">
        <v>0</v>
      </c>
      <c r="AU47" t="s">
        <v>32</v>
      </c>
      <c r="AV47">
        <v>1785595</v>
      </c>
      <c r="AW47" t="s">
        <v>32</v>
      </c>
      <c r="AX47" t="s">
        <v>32</v>
      </c>
      <c r="AY47" t="s">
        <v>185</v>
      </c>
      <c r="AZ47">
        <v>13</v>
      </c>
      <c r="BA47">
        <v>794049</v>
      </c>
      <c r="BB47">
        <v>0.16</v>
      </c>
      <c r="BC47">
        <v>127100</v>
      </c>
      <c r="BD47" t="s">
        <v>142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127100</v>
      </c>
      <c r="BK47" t="s">
        <v>25</v>
      </c>
      <c r="BL47" t="s">
        <v>1010</v>
      </c>
      <c r="BM47">
        <v>13</v>
      </c>
      <c r="BN47">
        <v>794049</v>
      </c>
      <c r="BO47">
        <v>0.04</v>
      </c>
      <c r="BP47">
        <v>31800</v>
      </c>
      <c r="BQ47">
        <v>0</v>
      </c>
      <c r="BR47" t="s">
        <v>1438</v>
      </c>
      <c r="BS47">
        <v>0</v>
      </c>
      <c r="BT47" t="s">
        <v>1438</v>
      </c>
      <c r="BU47">
        <v>0</v>
      </c>
      <c r="BV47" t="s">
        <v>25</v>
      </c>
      <c r="BW47" t="s">
        <v>189</v>
      </c>
      <c r="BX47">
        <v>13</v>
      </c>
      <c r="BY47">
        <v>794049</v>
      </c>
      <c r="BZ47">
        <v>6.9599999999999995E-2</v>
      </c>
      <c r="CA47" t="s">
        <v>1439</v>
      </c>
      <c r="CB47" t="s">
        <v>227</v>
      </c>
      <c r="CC47" t="s">
        <v>1440</v>
      </c>
      <c r="CD47">
        <v>55300</v>
      </c>
      <c r="CE47">
        <v>13</v>
      </c>
      <c r="CF47" t="s">
        <v>635</v>
      </c>
      <c r="CG47">
        <v>794049</v>
      </c>
      <c r="CH47">
        <v>0.04</v>
      </c>
      <c r="CI47">
        <v>31800</v>
      </c>
      <c r="CJ47">
        <v>794049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 t="s">
        <v>88</v>
      </c>
      <c r="CT47" t="s">
        <v>1441</v>
      </c>
      <c r="CU47" t="s">
        <v>1442</v>
      </c>
    </row>
    <row r="48" spans="1:99">
      <c r="A48" t="s">
        <v>1431</v>
      </c>
      <c r="B48" t="s">
        <v>34</v>
      </c>
      <c r="C48" t="s">
        <v>1580</v>
      </c>
      <c r="D48" t="s">
        <v>1581</v>
      </c>
      <c r="E48" t="s">
        <v>1102</v>
      </c>
      <c r="F48" t="s">
        <v>1582</v>
      </c>
      <c r="G48" t="s">
        <v>1583</v>
      </c>
      <c r="H48" t="s">
        <v>1584</v>
      </c>
      <c r="I48" t="s">
        <v>240</v>
      </c>
      <c r="J48" t="s">
        <v>46</v>
      </c>
      <c r="K48" t="s">
        <v>29</v>
      </c>
      <c r="L48" t="s">
        <v>30</v>
      </c>
      <c r="M48">
        <v>0</v>
      </c>
      <c r="N48" t="s">
        <v>32</v>
      </c>
      <c r="O48" t="s">
        <v>32</v>
      </c>
      <c r="Q48" t="s">
        <v>32</v>
      </c>
      <c r="S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AA48" t="s">
        <v>32</v>
      </c>
      <c r="AB48" t="s">
        <v>32</v>
      </c>
      <c r="AE48" t="s">
        <v>32</v>
      </c>
      <c r="AH48" t="s">
        <v>32</v>
      </c>
      <c r="AK48" t="s">
        <v>128</v>
      </c>
      <c r="AL48">
        <v>46054</v>
      </c>
      <c r="AM48">
        <v>46054</v>
      </c>
      <c r="AN48" t="s">
        <v>32</v>
      </c>
      <c r="AO48" t="s">
        <v>32</v>
      </c>
      <c r="AR48">
        <v>0</v>
      </c>
      <c r="AU48" t="s">
        <v>32</v>
      </c>
      <c r="AV48">
        <v>8150490</v>
      </c>
      <c r="AW48" t="s">
        <v>32</v>
      </c>
      <c r="AX48" t="s">
        <v>32</v>
      </c>
      <c r="AY48" t="s">
        <v>356</v>
      </c>
      <c r="AZ48">
        <v>1</v>
      </c>
      <c r="BA48">
        <v>271683</v>
      </c>
      <c r="BB48">
        <v>0.16</v>
      </c>
      <c r="BC48">
        <v>43500</v>
      </c>
      <c r="BD48" t="s">
        <v>142</v>
      </c>
      <c r="BE48">
        <v>0</v>
      </c>
      <c r="BF48">
        <v>0</v>
      </c>
      <c r="BG48">
        <v>1400</v>
      </c>
      <c r="BH48">
        <v>1400</v>
      </c>
      <c r="BI48">
        <v>0</v>
      </c>
      <c r="BJ48">
        <v>46300</v>
      </c>
      <c r="BK48" t="s">
        <v>25</v>
      </c>
      <c r="BL48" t="s">
        <v>870</v>
      </c>
      <c r="BM48">
        <v>1</v>
      </c>
      <c r="BN48">
        <v>271683</v>
      </c>
      <c r="BO48">
        <v>0.04</v>
      </c>
      <c r="BP48">
        <v>10900</v>
      </c>
      <c r="BQ48">
        <v>0</v>
      </c>
      <c r="BR48" t="s">
        <v>1438</v>
      </c>
      <c r="BS48">
        <v>0</v>
      </c>
      <c r="BT48" t="s">
        <v>1438</v>
      </c>
      <c r="BU48">
        <v>0</v>
      </c>
      <c r="BV48" t="s">
        <v>25</v>
      </c>
      <c r="BW48" t="s">
        <v>189</v>
      </c>
      <c r="BX48">
        <v>1</v>
      </c>
      <c r="BY48">
        <v>271683</v>
      </c>
      <c r="BZ48">
        <v>0</v>
      </c>
      <c r="CA48" t="s">
        <v>1439</v>
      </c>
      <c r="CB48" t="s">
        <v>227</v>
      </c>
      <c r="CC48" t="s">
        <v>1440</v>
      </c>
      <c r="CD48">
        <v>0</v>
      </c>
      <c r="CE48">
        <v>1</v>
      </c>
      <c r="CF48" t="s">
        <v>635</v>
      </c>
      <c r="CG48">
        <v>271683</v>
      </c>
      <c r="CH48">
        <v>0.04</v>
      </c>
      <c r="CI48">
        <v>10900</v>
      </c>
      <c r="CJ48">
        <v>271683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 t="s">
        <v>88</v>
      </c>
      <c r="CT48" t="s">
        <v>1441</v>
      </c>
      <c r="CU48" t="s">
        <v>1442</v>
      </c>
    </row>
    <row r="49" spans="1:99">
      <c r="A49" t="s">
        <v>1431</v>
      </c>
      <c r="B49" t="s">
        <v>34</v>
      </c>
      <c r="C49" t="s">
        <v>1580</v>
      </c>
      <c r="D49" t="s">
        <v>1581</v>
      </c>
      <c r="E49" t="s">
        <v>1102</v>
      </c>
      <c r="F49" t="s">
        <v>1582</v>
      </c>
      <c r="G49" t="s">
        <v>1583</v>
      </c>
      <c r="H49" t="s">
        <v>1584</v>
      </c>
      <c r="I49" t="s">
        <v>240</v>
      </c>
      <c r="J49" t="s">
        <v>46</v>
      </c>
      <c r="K49" t="s">
        <v>29</v>
      </c>
      <c r="L49" t="s">
        <v>30</v>
      </c>
      <c r="M49">
        <v>0</v>
      </c>
      <c r="N49" t="s">
        <v>32</v>
      </c>
      <c r="O49" t="s">
        <v>32</v>
      </c>
      <c r="Q49" t="s">
        <v>32</v>
      </c>
      <c r="S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AA49" t="s">
        <v>32</v>
      </c>
      <c r="AB49" t="s">
        <v>32</v>
      </c>
      <c r="AE49" t="s">
        <v>32</v>
      </c>
      <c r="AH49" t="s">
        <v>32</v>
      </c>
      <c r="AK49" t="s">
        <v>128</v>
      </c>
      <c r="AL49">
        <v>46069</v>
      </c>
      <c r="AM49">
        <v>46069</v>
      </c>
      <c r="AN49" t="s">
        <v>32</v>
      </c>
      <c r="AO49" t="s">
        <v>32</v>
      </c>
      <c r="AR49">
        <v>0</v>
      </c>
      <c r="AU49" t="s">
        <v>32</v>
      </c>
      <c r="AV49">
        <v>8150490</v>
      </c>
      <c r="AW49" t="s">
        <v>32</v>
      </c>
      <c r="AX49" t="s">
        <v>32</v>
      </c>
      <c r="AY49" t="s">
        <v>356</v>
      </c>
      <c r="AZ49">
        <v>1</v>
      </c>
      <c r="BA49">
        <v>271683</v>
      </c>
      <c r="BB49">
        <v>0.16</v>
      </c>
      <c r="BC49">
        <v>43500</v>
      </c>
      <c r="BD49" t="s">
        <v>142</v>
      </c>
      <c r="BE49">
        <v>0</v>
      </c>
      <c r="BF49">
        <v>0</v>
      </c>
      <c r="BG49">
        <v>1400</v>
      </c>
      <c r="BH49">
        <v>1400</v>
      </c>
      <c r="BI49">
        <v>0</v>
      </c>
      <c r="BJ49">
        <v>46300</v>
      </c>
      <c r="BK49" t="s">
        <v>25</v>
      </c>
      <c r="BL49" t="s">
        <v>870</v>
      </c>
      <c r="BM49">
        <v>1</v>
      </c>
      <c r="BN49">
        <v>271683</v>
      </c>
      <c r="BO49">
        <v>0.04</v>
      </c>
      <c r="BP49">
        <v>10900</v>
      </c>
      <c r="BQ49">
        <v>0</v>
      </c>
      <c r="BR49" t="s">
        <v>1438</v>
      </c>
      <c r="BS49">
        <v>0</v>
      </c>
      <c r="BT49" t="s">
        <v>1438</v>
      </c>
      <c r="BU49">
        <v>0</v>
      </c>
      <c r="BV49" t="s">
        <v>25</v>
      </c>
      <c r="BW49" t="s">
        <v>189</v>
      </c>
      <c r="BX49">
        <v>1</v>
      </c>
      <c r="BY49">
        <v>271683</v>
      </c>
      <c r="BZ49">
        <v>0</v>
      </c>
      <c r="CA49" t="s">
        <v>1439</v>
      </c>
      <c r="CB49" t="s">
        <v>227</v>
      </c>
      <c r="CC49" t="s">
        <v>1440</v>
      </c>
      <c r="CD49">
        <v>0</v>
      </c>
      <c r="CE49">
        <v>1</v>
      </c>
      <c r="CF49" t="s">
        <v>635</v>
      </c>
      <c r="CG49">
        <v>271683</v>
      </c>
      <c r="CH49">
        <v>0.04</v>
      </c>
      <c r="CI49">
        <v>10900</v>
      </c>
      <c r="CJ49">
        <v>271683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 t="s">
        <v>88</v>
      </c>
      <c r="CT49" t="s">
        <v>1441</v>
      </c>
      <c r="CU49" t="s">
        <v>1442</v>
      </c>
    </row>
    <row r="50" spans="1:99">
      <c r="A50" t="s">
        <v>1431</v>
      </c>
      <c r="B50" t="s">
        <v>34</v>
      </c>
      <c r="C50" t="s">
        <v>1580</v>
      </c>
      <c r="D50" t="s">
        <v>1581</v>
      </c>
      <c r="E50" t="s">
        <v>1102</v>
      </c>
      <c r="F50" t="s">
        <v>1582</v>
      </c>
      <c r="G50" t="s">
        <v>1583</v>
      </c>
      <c r="H50" t="s">
        <v>1584</v>
      </c>
      <c r="I50" t="s">
        <v>240</v>
      </c>
      <c r="J50" t="s">
        <v>46</v>
      </c>
      <c r="K50" t="s">
        <v>29</v>
      </c>
      <c r="L50" t="s">
        <v>30</v>
      </c>
      <c r="M50">
        <v>171</v>
      </c>
      <c r="N50" t="s">
        <v>32</v>
      </c>
      <c r="O50" t="s">
        <v>32</v>
      </c>
      <c r="Q50" t="s">
        <v>32</v>
      </c>
      <c r="S50" t="s">
        <v>32</v>
      </c>
      <c r="U50" t="s">
        <v>32</v>
      </c>
      <c r="V50" t="s">
        <v>32</v>
      </c>
      <c r="W50" t="s">
        <v>32</v>
      </c>
      <c r="X50" t="s">
        <v>32</v>
      </c>
      <c r="Y50" t="s">
        <v>88</v>
      </c>
      <c r="Z50">
        <v>46054</v>
      </c>
      <c r="AA50" t="s">
        <v>88</v>
      </c>
      <c r="AB50" t="s">
        <v>32</v>
      </c>
      <c r="AE50" t="s">
        <v>32</v>
      </c>
      <c r="AH50" t="s">
        <v>32</v>
      </c>
      <c r="AK50" t="s">
        <v>32</v>
      </c>
      <c r="AN50" t="s">
        <v>32</v>
      </c>
      <c r="AO50" t="s">
        <v>32</v>
      </c>
      <c r="AR50">
        <v>0</v>
      </c>
      <c r="AU50" t="s">
        <v>32</v>
      </c>
      <c r="AV50">
        <v>8150490</v>
      </c>
      <c r="AW50" t="s">
        <v>32</v>
      </c>
      <c r="AX50" t="s">
        <v>32</v>
      </c>
      <c r="AY50" t="s">
        <v>356</v>
      </c>
      <c r="AZ50">
        <v>28</v>
      </c>
      <c r="BA50">
        <v>7844229</v>
      </c>
      <c r="BB50">
        <v>0.16</v>
      </c>
      <c r="BC50">
        <v>1255100</v>
      </c>
      <c r="BD50" t="s">
        <v>142</v>
      </c>
      <c r="BE50">
        <v>0</v>
      </c>
      <c r="BF50">
        <v>0</v>
      </c>
      <c r="BG50">
        <v>39300</v>
      </c>
      <c r="BH50">
        <v>39300</v>
      </c>
      <c r="BI50">
        <v>0</v>
      </c>
      <c r="BJ50">
        <v>1333700</v>
      </c>
      <c r="BK50" t="s">
        <v>25</v>
      </c>
      <c r="BL50" t="s">
        <v>870</v>
      </c>
      <c r="BM50">
        <v>28</v>
      </c>
      <c r="BN50">
        <v>7844229</v>
      </c>
      <c r="BO50">
        <v>0.04</v>
      </c>
      <c r="BP50">
        <v>313800</v>
      </c>
      <c r="BQ50">
        <v>0</v>
      </c>
      <c r="BR50" t="s">
        <v>1438</v>
      </c>
      <c r="BS50">
        <v>0</v>
      </c>
      <c r="BT50" t="s">
        <v>1438</v>
      </c>
      <c r="BU50">
        <v>0</v>
      </c>
      <c r="BV50" t="s">
        <v>25</v>
      </c>
      <c r="BW50" t="s">
        <v>189</v>
      </c>
      <c r="BX50">
        <v>28</v>
      </c>
      <c r="BY50">
        <v>7844229</v>
      </c>
      <c r="BZ50">
        <v>6.9599999999999995E-2</v>
      </c>
      <c r="CA50" t="s">
        <v>1439</v>
      </c>
      <c r="CB50" t="s">
        <v>227</v>
      </c>
      <c r="CC50" t="s">
        <v>1440</v>
      </c>
      <c r="CD50">
        <v>546000</v>
      </c>
      <c r="CE50">
        <v>28</v>
      </c>
      <c r="CF50" t="s">
        <v>635</v>
      </c>
      <c r="CG50">
        <v>7844229</v>
      </c>
      <c r="CH50">
        <v>0.04</v>
      </c>
      <c r="CI50">
        <v>313800</v>
      </c>
      <c r="CJ50">
        <v>7844229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 t="s">
        <v>88</v>
      </c>
      <c r="CT50" t="s">
        <v>1441</v>
      </c>
      <c r="CU50" t="s">
        <v>1442</v>
      </c>
    </row>
    <row r="51" spans="1:99">
      <c r="A51" t="s">
        <v>1431</v>
      </c>
      <c r="B51" t="s">
        <v>34</v>
      </c>
      <c r="C51" t="s">
        <v>1585</v>
      </c>
      <c r="D51" t="s">
        <v>1586</v>
      </c>
      <c r="E51" t="s">
        <v>1587</v>
      </c>
      <c r="F51" t="s">
        <v>1536</v>
      </c>
      <c r="G51" t="s">
        <v>1532</v>
      </c>
      <c r="H51" t="s">
        <v>1468</v>
      </c>
      <c r="I51" t="s">
        <v>240</v>
      </c>
      <c r="J51" t="s">
        <v>46</v>
      </c>
      <c r="K51" t="s">
        <v>29</v>
      </c>
      <c r="L51" t="s">
        <v>30</v>
      </c>
      <c r="M51">
        <v>180</v>
      </c>
      <c r="N51" t="s">
        <v>32</v>
      </c>
      <c r="O51" t="s">
        <v>32</v>
      </c>
      <c r="Q51" t="s">
        <v>32</v>
      </c>
      <c r="S51" t="s">
        <v>32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AA51" t="s">
        <v>88</v>
      </c>
      <c r="AB51" t="s">
        <v>32</v>
      </c>
      <c r="AE51" t="s">
        <v>32</v>
      </c>
      <c r="AH51" t="s">
        <v>32</v>
      </c>
      <c r="AK51" t="s">
        <v>32</v>
      </c>
      <c r="AN51" t="s">
        <v>32</v>
      </c>
      <c r="AO51" t="s">
        <v>32</v>
      </c>
      <c r="AR51">
        <v>0</v>
      </c>
      <c r="AU51" t="s">
        <v>32</v>
      </c>
      <c r="AV51">
        <v>3637686</v>
      </c>
      <c r="AW51" t="s">
        <v>32</v>
      </c>
      <c r="AX51" t="s">
        <v>32</v>
      </c>
      <c r="AY51" t="s">
        <v>356</v>
      </c>
      <c r="AZ51">
        <v>30</v>
      </c>
      <c r="BA51">
        <v>3822877</v>
      </c>
      <c r="BB51">
        <v>0.16</v>
      </c>
      <c r="BC51">
        <v>611700</v>
      </c>
      <c r="BD51" t="s">
        <v>142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611700</v>
      </c>
      <c r="BK51" t="s">
        <v>25</v>
      </c>
      <c r="BL51" t="s">
        <v>885</v>
      </c>
      <c r="BM51">
        <v>30</v>
      </c>
      <c r="BN51">
        <v>3822877</v>
      </c>
      <c r="BO51">
        <v>0.04</v>
      </c>
      <c r="BP51">
        <v>153000</v>
      </c>
      <c r="BQ51">
        <v>0</v>
      </c>
      <c r="BR51" t="s">
        <v>1438</v>
      </c>
      <c r="BS51">
        <v>0</v>
      </c>
      <c r="BT51" t="s">
        <v>1438</v>
      </c>
      <c r="BU51">
        <v>0</v>
      </c>
      <c r="BV51" t="s">
        <v>25</v>
      </c>
      <c r="BW51" t="s">
        <v>189</v>
      </c>
      <c r="BX51">
        <v>30</v>
      </c>
      <c r="BY51">
        <v>3822877</v>
      </c>
      <c r="BZ51">
        <v>6.9599999999999995E-2</v>
      </c>
      <c r="CA51" t="s">
        <v>1439</v>
      </c>
      <c r="CB51" t="s">
        <v>227</v>
      </c>
      <c r="CC51" t="s">
        <v>1440</v>
      </c>
      <c r="CD51">
        <v>266100</v>
      </c>
      <c r="CE51">
        <v>30</v>
      </c>
      <c r="CF51" t="s">
        <v>635</v>
      </c>
      <c r="CG51">
        <v>3822877</v>
      </c>
      <c r="CH51">
        <v>0.04</v>
      </c>
      <c r="CI51">
        <v>153000</v>
      </c>
      <c r="CJ51">
        <v>3822877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 t="s">
        <v>88</v>
      </c>
      <c r="CT51" t="s">
        <v>1441</v>
      </c>
      <c r="CU51" t="s">
        <v>1442</v>
      </c>
    </row>
    <row r="52" spans="1:99">
      <c r="A52" t="s">
        <v>1431</v>
      </c>
      <c r="B52" t="s">
        <v>34</v>
      </c>
      <c r="C52" t="s">
        <v>1588</v>
      </c>
      <c r="D52" t="s">
        <v>1589</v>
      </c>
      <c r="E52" t="s">
        <v>1507</v>
      </c>
      <c r="F52" t="s">
        <v>667</v>
      </c>
      <c r="G52" t="s">
        <v>1590</v>
      </c>
      <c r="H52" t="s">
        <v>1591</v>
      </c>
      <c r="I52" t="s">
        <v>240</v>
      </c>
      <c r="J52" t="s">
        <v>46</v>
      </c>
      <c r="K52" t="s">
        <v>29</v>
      </c>
      <c r="L52" t="s">
        <v>30</v>
      </c>
      <c r="M52">
        <v>188</v>
      </c>
      <c r="N52" t="s">
        <v>32</v>
      </c>
      <c r="O52" t="s">
        <v>32</v>
      </c>
      <c r="Q52" t="s">
        <v>32</v>
      </c>
      <c r="S52" t="s">
        <v>32</v>
      </c>
      <c r="U52" t="s">
        <v>32</v>
      </c>
      <c r="V52" t="s">
        <v>32</v>
      </c>
      <c r="W52" t="s">
        <v>32</v>
      </c>
      <c r="X52" t="s">
        <v>32</v>
      </c>
      <c r="Y52" t="s">
        <v>88</v>
      </c>
      <c r="Z52">
        <v>46054</v>
      </c>
      <c r="AA52" t="s">
        <v>32</v>
      </c>
      <c r="AB52" t="s">
        <v>32</v>
      </c>
      <c r="AE52" t="s">
        <v>32</v>
      </c>
      <c r="AH52" t="s">
        <v>32</v>
      </c>
      <c r="AK52" t="s">
        <v>32</v>
      </c>
      <c r="AN52" t="s">
        <v>32</v>
      </c>
      <c r="AO52" t="s">
        <v>32</v>
      </c>
      <c r="AR52">
        <v>0</v>
      </c>
      <c r="AU52" t="s">
        <v>32</v>
      </c>
      <c r="AV52">
        <v>2859404</v>
      </c>
      <c r="AW52" t="s">
        <v>32</v>
      </c>
      <c r="AX52" t="s">
        <v>32</v>
      </c>
      <c r="AY52" t="s">
        <v>356</v>
      </c>
      <c r="AZ52">
        <v>30</v>
      </c>
      <c r="BA52">
        <v>2859404</v>
      </c>
      <c r="BB52">
        <v>0.16</v>
      </c>
      <c r="BC52">
        <v>457600</v>
      </c>
      <c r="BD52" t="s">
        <v>142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457600</v>
      </c>
      <c r="BK52" t="s">
        <v>25</v>
      </c>
      <c r="BL52" t="s">
        <v>1071</v>
      </c>
      <c r="BM52">
        <v>30</v>
      </c>
      <c r="BN52">
        <v>2859404</v>
      </c>
      <c r="BO52">
        <v>0.04</v>
      </c>
      <c r="BP52">
        <v>114400</v>
      </c>
      <c r="BQ52">
        <v>0</v>
      </c>
      <c r="BR52" t="s">
        <v>1438</v>
      </c>
      <c r="BS52">
        <v>0</v>
      </c>
      <c r="BT52" t="s">
        <v>1438</v>
      </c>
      <c r="BU52">
        <v>0</v>
      </c>
      <c r="BV52" t="s">
        <v>25</v>
      </c>
      <c r="BW52" t="s">
        <v>189</v>
      </c>
      <c r="BX52">
        <v>30</v>
      </c>
      <c r="BY52">
        <v>2859404</v>
      </c>
      <c r="BZ52">
        <v>5.2199999999999998E-3</v>
      </c>
      <c r="CA52" t="s">
        <v>1592</v>
      </c>
      <c r="CB52" t="s">
        <v>227</v>
      </c>
      <c r="CC52" t="s">
        <v>1593</v>
      </c>
      <c r="CD52">
        <v>15000</v>
      </c>
      <c r="CE52">
        <v>30</v>
      </c>
      <c r="CF52" t="s">
        <v>635</v>
      </c>
      <c r="CG52">
        <v>2859404</v>
      </c>
      <c r="CH52">
        <v>0.04</v>
      </c>
      <c r="CI52">
        <v>114400</v>
      </c>
      <c r="CJ52">
        <v>2859404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 t="s">
        <v>88</v>
      </c>
      <c r="CT52" t="s">
        <v>1441</v>
      </c>
      <c r="CU52" t="s">
        <v>1442</v>
      </c>
    </row>
    <row r="53" spans="1:99">
      <c r="A53" t="s">
        <v>1431</v>
      </c>
      <c r="B53" t="s">
        <v>34</v>
      </c>
      <c r="C53" t="s">
        <v>1594</v>
      </c>
      <c r="D53" t="s">
        <v>1595</v>
      </c>
      <c r="E53" t="s">
        <v>1596</v>
      </c>
      <c r="F53" t="s">
        <v>1597</v>
      </c>
      <c r="G53" t="s">
        <v>1513</v>
      </c>
      <c r="H53" t="s">
        <v>1598</v>
      </c>
      <c r="I53" t="s">
        <v>240</v>
      </c>
      <c r="J53" t="s">
        <v>46</v>
      </c>
      <c r="K53" t="s">
        <v>29</v>
      </c>
      <c r="L53" t="s">
        <v>30</v>
      </c>
      <c r="M53">
        <v>188</v>
      </c>
      <c r="N53" t="s">
        <v>32</v>
      </c>
      <c r="O53" t="s">
        <v>32</v>
      </c>
      <c r="Q53" t="s">
        <v>32</v>
      </c>
      <c r="S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AA53" t="s">
        <v>88</v>
      </c>
      <c r="AB53" t="s">
        <v>32</v>
      </c>
      <c r="AE53" t="s">
        <v>32</v>
      </c>
      <c r="AH53" t="s">
        <v>32</v>
      </c>
      <c r="AK53" t="s">
        <v>32</v>
      </c>
      <c r="AN53" t="s">
        <v>32</v>
      </c>
      <c r="AO53" t="s">
        <v>32</v>
      </c>
      <c r="AR53">
        <v>0</v>
      </c>
      <c r="AU53" t="s">
        <v>32</v>
      </c>
      <c r="AV53">
        <v>8150490</v>
      </c>
      <c r="AW53" t="s">
        <v>32</v>
      </c>
      <c r="AX53" t="s">
        <v>32</v>
      </c>
      <c r="AY53" t="s">
        <v>317</v>
      </c>
      <c r="AZ53">
        <v>30</v>
      </c>
      <c r="BA53">
        <v>11436796</v>
      </c>
      <c r="BB53">
        <v>0.16</v>
      </c>
      <c r="BC53">
        <v>1829900</v>
      </c>
      <c r="BD53" t="s">
        <v>142</v>
      </c>
      <c r="BE53">
        <v>0</v>
      </c>
      <c r="BF53">
        <v>0</v>
      </c>
      <c r="BG53">
        <v>57200</v>
      </c>
      <c r="BH53">
        <v>57200</v>
      </c>
      <c r="BI53">
        <v>0</v>
      </c>
      <c r="BJ53">
        <v>1944300</v>
      </c>
      <c r="BK53" t="s">
        <v>25</v>
      </c>
      <c r="BL53" t="s">
        <v>635</v>
      </c>
      <c r="BM53">
        <v>30</v>
      </c>
      <c r="BN53">
        <v>11436796</v>
      </c>
      <c r="BO53">
        <v>0.04</v>
      </c>
      <c r="BP53">
        <v>457500</v>
      </c>
      <c r="BQ53">
        <v>0</v>
      </c>
      <c r="BR53" t="s">
        <v>1438</v>
      </c>
      <c r="BS53">
        <v>0</v>
      </c>
      <c r="BT53" t="s">
        <v>1438</v>
      </c>
      <c r="BU53">
        <v>0</v>
      </c>
      <c r="BV53" t="s">
        <v>25</v>
      </c>
      <c r="BW53" t="s">
        <v>189</v>
      </c>
      <c r="BX53">
        <v>30</v>
      </c>
      <c r="BY53">
        <v>11436796</v>
      </c>
      <c r="BZ53">
        <v>6.9599999999999995E-2</v>
      </c>
      <c r="CA53" t="s">
        <v>1439</v>
      </c>
      <c r="CB53" t="s">
        <v>227</v>
      </c>
      <c r="CC53" t="s">
        <v>1440</v>
      </c>
      <c r="CD53">
        <v>796100</v>
      </c>
      <c r="CE53">
        <v>30</v>
      </c>
      <c r="CF53" t="s">
        <v>635</v>
      </c>
      <c r="CG53">
        <v>11436796</v>
      </c>
      <c r="CH53">
        <v>0.04</v>
      </c>
      <c r="CI53">
        <v>457500</v>
      </c>
      <c r="CJ53">
        <v>11436796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 t="s">
        <v>88</v>
      </c>
      <c r="CT53" t="s">
        <v>1441</v>
      </c>
      <c r="CU53" t="s">
        <v>1442</v>
      </c>
    </row>
    <row r="54" spans="1:99">
      <c r="A54" t="s">
        <v>1431</v>
      </c>
      <c r="B54" t="s">
        <v>34</v>
      </c>
      <c r="C54" t="s">
        <v>1599</v>
      </c>
      <c r="D54" t="s">
        <v>1600</v>
      </c>
      <c r="E54" t="s">
        <v>1601</v>
      </c>
      <c r="F54" t="s">
        <v>1602</v>
      </c>
      <c r="G54" t="s">
        <v>1603</v>
      </c>
      <c r="H54" t="s">
        <v>1558</v>
      </c>
      <c r="I54" t="s">
        <v>240</v>
      </c>
      <c r="J54" t="s">
        <v>46</v>
      </c>
      <c r="K54" t="s">
        <v>29</v>
      </c>
      <c r="L54" t="s">
        <v>30</v>
      </c>
      <c r="M54">
        <v>180</v>
      </c>
      <c r="N54" t="s">
        <v>32</v>
      </c>
      <c r="O54" t="s">
        <v>32</v>
      </c>
      <c r="Q54" t="s">
        <v>32</v>
      </c>
      <c r="S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88</v>
      </c>
      <c r="Z54">
        <v>46054</v>
      </c>
      <c r="AA54" t="s">
        <v>32</v>
      </c>
      <c r="AB54" t="s">
        <v>32</v>
      </c>
      <c r="AE54" t="s">
        <v>32</v>
      </c>
      <c r="AH54" t="s">
        <v>32</v>
      </c>
      <c r="AK54" t="s">
        <v>32</v>
      </c>
      <c r="AN54" t="s">
        <v>32</v>
      </c>
      <c r="AO54" t="s">
        <v>32</v>
      </c>
      <c r="AR54">
        <v>0</v>
      </c>
      <c r="AU54" t="s">
        <v>32</v>
      </c>
      <c r="AV54">
        <v>3660341</v>
      </c>
      <c r="AW54" t="s">
        <v>32</v>
      </c>
      <c r="AX54" t="s">
        <v>32</v>
      </c>
      <c r="AY54" t="s">
        <v>356</v>
      </c>
      <c r="AZ54">
        <v>30</v>
      </c>
      <c r="BA54">
        <v>3660341</v>
      </c>
      <c r="BB54">
        <v>0.16</v>
      </c>
      <c r="BC54">
        <v>585700</v>
      </c>
      <c r="BD54" t="s">
        <v>142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585700</v>
      </c>
      <c r="BK54" t="s">
        <v>25</v>
      </c>
      <c r="BL54" t="s">
        <v>1071</v>
      </c>
      <c r="BM54">
        <v>30</v>
      </c>
      <c r="BN54">
        <v>3660341</v>
      </c>
      <c r="BO54">
        <v>0.04</v>
      </c>
      <c r="BP54">
        <v>146500</v>
      </c>
      <c r="BQ54">
        <v>0</v>
      </c>
      <c r="BR54" t="s">
        <v>1438</v>
      </c>
      <c r="BS54">
        <v>0</v>
      </c>
      <c r="BT54" t="s">
        <v>1438</v>
      </c>
      <c r="BU54">
        <v>0</v>
      </c>
      <c r="BV54" t="s">
        <v>25</v>
      </c>
      <c r="BW54" t="s">
        <v>189</v>
      </c>
      <c r="BX54">
        <v>30</v>
      </c>
      <c r="BY54">
        <v>3660341</v>
      </c>
      <c r="BZ54">
        <v>6.9599999999999995E-2</v>
      </c>
      <c r="CA54" t="s">
        <v>1439</v>
      </c>
      <c r="CB54" t="s">
        <v>227</v>
      </c>
      <c r="CC54" t="s">
        <v>1440</v>
      </c>
      <c r="CD54">
        <v>254800</v>
      </c>
      <c r="CE54">
        <v>30</v>
      </c>
      <c r="CF54" t="s">
        <v>635</v>
      </c>
      <c r="CG54">
        <v>3660341</v>
      </c>
      <c r="CH54">
        <v>0.04</v>
      </c>
      <c r="CI54">
        <v>146500</v>
      </c>
      <c r="CJ54">
        <v>3660341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 t="s">
        <v>88</v>
      </c>
      <c r="CT54" t="s">
        <v>1441</v>
      </c>
      <c r="CU54" t="s">
        <v>1442</v>
      </c>
    </row>
    <row r="55" spans="1:99">
      <c r="A55" t="s">
        <v>1431</v>
      </c>
      <c r="B55" t="s">
        <v>34</v>
      </c>
      <c r="C55" t="s">
        <v>1604</v>
      </c>
      <c r="D55" t="s">
        <v>1605</v>
      </c>
      <c r="E55" t="s">
        <v>1606</v>
      </c>
      <c r="F55" t="s">
        <v>1472</v>
      </c>
      <c r="G55" t="s">
        <v>1607</v>
      </c>
      <c r="H55" t="s">
        <v>1608</v>
      </c>
      <c r="I55" t="s">
        <v>240</v>
      </c>
      <c r="J55" t="s">
        <v>46</v>
      </c>
      <c r="K55" t="s">
        <v>29</v>
      </c>
      <c r="L55" t="s">
        <v>30</v>
      </c>
      <c r="M55">
        <v>188</v>
      </c>
      <c r="N55" t="s">
        <v>32</v>
      </c>
      <c r="O55" t="s">
        <v>32</v>
      </c>
      <c r="Q55" t="s">
        <v>32</v>
      </c>
      <c r="S55" t="s">
        <v>32</v>
      </c>
      <c r="U55" t="s">
        <v>32</v>
      </c>
      <c r="V55" t="s">
        <v>32</v>
      </c>
      <c r="W55" t="s">
        <v>32</v>
      </c>
      <c r="X55" t="s">
        <v>32</v>
      </c>
      <c r="Y55" t="s">
        <v>88</v>
      </c>
      <c r="Z55">
        <v>46054</v>
      </c>
      <c r="AA55" t="s">
        <v>32</v>
      </c>
      <c r="AB55" t="s">
        <v>32</v>
      </c>
      <c r="AE55" t="s">
        <v>32</v>
      </c>
      <c r="AH55" t="s">
        <v>32</v>
      </c>
      <c r="AK55" t="s">
        <v>32</v>
      </c>
      <c r="AN55" t="s">
        <v>32</v>
      </c>
      <c r="AO55" t="s">
        <v>32</v>
      </c>
      <c r="AR55">
        <v>0</v>
      </c>
      <c r="AU55" t="s">
        <v>32</v>
      </c>
      <c r="AV55">
        <v>5676577</v>
      </c>
      <c r="AW55" t="s">
        <v>32</v>
      </c>
      <c r="AX55" t="s">
        <v>32</v>
      </c>
      <c r="AY55" t="s">
        <v>317</v>
      </c>
      <c r="AZ55">
        <v>30</v>
      </c>
      <c r="BA55">
        <v>5676577</v>
      </c>
      <c r="BB55">
        <v>0.16</v>
      </c>
      <c r="BC55">
        <v>908300</v>
      </c>
      <c r="BD55" t="s">
        <v>142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908300</v>
      </c>
      <c r="BK55" t="s">
        <v>25</v>
      </c>
      <c r="BL55" t="s">
        <v>635</v>
      </c>
      <c r="BM55">
        <v>30</v>
      </c>
      <c r="BN55">
        <v>5676577</v>
      </c>
      <c r="BO55">
        <v>0.04</v>
      </c>
      <c r="BP55">
        <v>227100</v>
      </c>
      <c r="BQ55">
        <v>0</v>
      </c>
      <c r="BR55" t="s">
        <v>1438</v>
      </c>
      <c r="BS55">
        <v>0</v>
      </c>
      <c r="BT55" t="s">
        <v>1438</v>
      </c>
      <c r="BU55">
        <v>0</v>
      </c>
      <c r="BV55" t="s">
        <v>25</v>
      </c>
      <c r="BW55" t="s">
        <v>189</v>
      </c>
      <c r="BX55">
        <v>30</v>
      </c>
      <c r="BY55">
        <v>5676577</v>
      </c>
      <c r="BZ55">
        <v>6.9599999999999995E-2</v>
      </c>
      <c r="CA55" t="s">
        <v>1439</v>
      </c>
      <c r="CB55" t="s">
        <v>227</v>
      </c>
      <c r="CC55" t="s">
        <v>1440</v>
      </c>
      <c r="CD55">
        <v>395100</v>
      </c>
      <c r="CE55">
        <v>30</v>
      </c>
      <c r="CF55" t="s">
        <v>635</v>
      </c>
      <c r="CG55">
        <v>5676577</v>
      </c>
      <c r="CH55">
        <v>0.04</v>
      </c>
      <c r="CI55">
        <v>227100</v>
      </c>
      <c r="CJ55">
        <v>5676577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 t="s">
        <v>88</v>
      </c>
      <c r="CT55" t="s">
        <v>1441</v>
      </c>
      <c r="CU55" t="s">
        <v>1442</v>
      </c>
    </row>
    <row r="56" spans="1:99">
      <c r="A56" t="s">
        <v>1431</v>
      </c>
      <c r="B56" t="s">
        <v>34</v>
      </c>
      <c r="C56" t="s">
        <v>1609</v>
      </c>
      <c r="D56" t="s">
        <v>1610</v>
      </c>
      <c r="E56" t="s">
        <v>1611</v>
      </c>
      <c r="F56" t="s">
        <v>1612</v>
      </c>
      <c r="G56" t="s">
        <v>1498</v>
      </c>
      <c r="H56" t="s">
        <v>1613</v>
      </c>
      <c r="I56" t="s">
        <v>240</v>
      </c>
      <c r="J56" t="s">
        <v>46</v>
      </c>
      <c r="K56" t="s">
        <v>29</v>
      </c>
      <c r="L56" t="s">
        <v>30</v>
      </c>
      <c r="M56">
        <v>188</v>
      </c>
      <c r="N56" t="s">
        <v>32</v>
      </c>
      <c r="O56" t="s">
        <v>32</v>
      </c>
      <c r="Q56" t="s">
        <v>32</v>
      </c>
      <c r="S56" t="s">
        <v>32</v>
      </c>
      <c r="U56" t="s">
        <v>32</v>
      </c>
      <c r="V56" t="s">
        <v>32</v>
      </c>
      <c r="W56" t="s">
        <v>32</v>
      </c>
      <c r="X56" t="s">
        <v>32</v>
      </c>
      <c r="Y56" t="s">
        <v>88</v>
      </c>
      <c r="Z56">
        <v>46054</v>
      </c>
      <c r="AA56" t="s">
        <v>32</v>
      </c>
      <c r="AB56" t="s">
        <v>32</v>
      </c>
      <c r="AE56" t="s">
        <v>32</v>
      </c>
      <c r="AH56" t="s">
        <v>32</v>
      </c>
      <c r="AK56" t="s">
        <v>32</v>
      </c>
      <c r="AN56" t="s">
        <v>32</v>
      </c>
      <c r="AO56" t="s">
        <v>32</v>
      </c>
      <c r="AR56">
        <v>0</v>
      </c>
      <c r="AU56" t="s">
        <v>32</v>
      </c>
      <c r="AV56">
        <v>4798033</v>
      </c>
      <c r="AW56" t="s">
        <v>32</v>
      </c>
      <c r="AX56" t="s">
        <v>32</v>
      </c>
      <c r="AY56" t="s">
        <v>317</v>
      </c>
      <c r="AZ56">
        <v>30</v>
      </c>
      <c r="BA56">
        <v>4798033</v>
      </c>
      <c r="BB56">
        <v>0.16</v>
      </c>
      <c r="BC56">
        <v>767700</v>
      </c>
      <c r="BD56" t="s">
        <v>142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767700</v>
      </c>
      <c r="BK56" t="s">
        <v>25</v>
      </c>
      <c r="BL56" t="s">
        <v>635</v>
      </c>
      <c r="BM56">
        <v>30</v>
      </c>
      <c r="BN56">
        <v>4798033</v>
      </c>
      <c r="BO56">
        <v>0.04</v>
      </c>
      <c r="BP56">
        <v>192000</v>
      </c>
      <c r="BQ56">
        <v>0</v>
      </c>
      <c r="BR56" t="s">
        <v>1438</v>
      </c>
      <c r="BS56">
        <v>0</v>
      </c>
      <c r="BT56" t="s">
        <v>1438</v>
      </c>
      <c r="BU56">
        <v>0</v>
      </c>
      <c r="BV56" t="s">
        <v>25</v>
      </c>
      <c r="BW56" t="s">
        <v>189</v>
      </c>
      <c r="BX56">
        <v>30</v>
      </c>
      <c r="BY56">
        <v>4798033</v>
      </c>
      <c r="BZ56">
        <v>5.2199999999999998E-3</v>
      </c>
      <c r="CA56" t="s">
        <v>1592</v>
      </c>
      <c r="CB56" t="s">
        <v>227</v>
      </c>
      <c r="CC56" t="s">
        <v>1593</v>
      </c>
      <c r="CD56">
        <v>25100</v>
      </c>
      <c r="CE56">
        <v>30</v>
      </c>
      <c r="CF56" t="s">
        <v>635</v>
      </c>
      <c r="CG56">
        <v>4798033</v>
      </c>
      <c r="CH56">
        <v>0.04</v>
      </c>
      <c r="CI56">
        <v>192000</v>
      </c>
      <c r="CJ56">
        <v>4798033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 t="s">
        <v>88</v>
      </c>
      <c r="CT56" t="s">
        <v>1441</v>
      </c>
      <c r="CU56" t="s">
        <v>1442</v>
      </c>
    </row>
    <row r="57" spans="1:99">
      <c r="A57" t="s">
        <v>1431</v>
      </c>
      <c r="B57" t="s">
        <v>34</v>
      </c>
      <c r="C57" t="s">
        <v>1614</v>
      </c>
      <c r="D57" t="s">
        <v>1615</v>
      </c>
      <c r="E57" t="s">
        <v>1616</v>
      </c>
      <c r="F57" t="s">
        <v>455</v>
      </c>
      <c r="G57" t="s">
        <v>1617</v>
      </c>
      <c r="H57" t="s">
        <v>1558</v>
      </c>
      <c r="I57" t="s">
        <v>240</v>
      </c>
      <c r="J57" t="s">
        <v>46</v>
      </c>
      <c r="K57" t="s">
        <v>29</v>
      </c>
      <c r="L57" t="s">
        <v>30</v>
      </c>
      <c r="M57">
        <v>180</v>
      </c>
      <c r="N57" t="s">
        <v>32</v>
      </c>
      <c r="O57" t="s">
        <v>32</v>
      </c>
      <c r="Q57" t="s">
        <v>32</v>
      </c>
      <c r="S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88</v>
      </c>
      <c r="Z57">
        <v>46054</v>
      </c>
      <c r="AA57" t="s">
        <v>32</v>
      </c>
      <c r="AB57" t="s">
        <v>32</v>
      </c>
      <c r="AE57" t="s">
        <v>32</v>
      </c>
      <c r="AH57" t="s">
        <v>32</v>
      </c>
      <c r="AK57" t="s">
        <v>32</v>
      </c>
      <c r="AN57" t="s">
        <v>32</v>
      </c>
      <c r="AO57" t="s">
        <v>32</v>
      </c>
      <c r="AR57">
        <v>0</v>
      </c>
      <c r="AU57" t="s">
        <v>32</v>
      </c>
      <c r="AV57">
        <v>5209465</v>
      </c>
      <c r="AW57" t="s">
        <v>32</v>
      </c>
      <c r="AX57" t="s">
        <v>32</v>
      </c>
      <c r="AY57" t="s">
        <v>317</v>
      </c>
      <c r="AZ57">
        <v>30</v>
      </c>
      <c r="BA57">
        <v>5209465</v>
      </c>
      <c r="BB57">
        <v>0.16</v>
      </c>
      <c r="BC57">
        <v>833600</v>
      </c>
      <c r="BD57" t="s">
        <v>142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833600</v>
      </c>
      <c r="BK57" t="s">
        <v>25</v>
      </c>
      <c r="BL57" t="s">
        <v>1071</v>
      </c>
      <c r="BM57">
        <v>30</v>
      </c>
      <c r="BN57">
        <v>5209465</v>
      </c>
      <c r="BO57">
        <v>0.04</v>
      </c>
      <c r="BP57">
        <v>208400</v>
      </c>
      <c r="BQ57">
        <v>0</v>
      </c>
      <c r="BR57" t="s">
        <v>1438</v>
      </c>
      <c r="BS57">
        <v>0</v>
      </c>
      <c r="BT57" t="s">
        <v>1438</v>
      </c>
      <c r="BU57">
        <v>0</v>
      </c>
      <c r="BV57" t="s">
        <v>25</v>
      </c>
      <c r="BW57" t="s">
        <v>189</v>
      </c>
      <c r="BX57">
        <v>30</v>
      </c>
      <c r="BY57">
        <v>5209465</v>
      </c>
      <c r="BZ57">
        <v>5.2199999999999998E-3</v>
      </c>
      <c r="CA57" t="s">
        <v>1592</v>
      </c>
      <c r="CB57" t="s">
        <v>227</v>
      </c>
      <c r="CC57" t="s">
        <v>1593</v>
      </c>
      <c r="CD57">
        <v>27200</v>
      </c>
      <c r="CE57">
        <v>30</v>
      </c>
      <c r="CF57" t="s">
        <v>635</v>
      </c>
      <c r="CG57">
        <v>5209465</v>
      </c>
      <c r="CH57">
        <v>0.04</v>
      </c>
      <c r="CI57">
        <v>208400</v>
      </c>
      <c r="CJ57">
        <v>5209465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 t="s">
        <v>88</v>
      </c>
      <c r="CT57" t="s">
        <v>1441</v>
      </c>
      <c r="CU57" t="s">
        <v>1442</v>
      </c>
    </row>
    <row r="58" spans="1:99">
      <c r="A58" t="s">
        <v>1431</v>
      </c>
      <c r="B58" t="s">
        <v>34</v>
      </c>
      <c r="C58" t="s">
        <v>1618</v>
      </c>
      <c r="D58" t="s">
        <v>1619</v>
      </c>
      <c r="E58" t="s">
        <v>1620</v>
      </c>
      <c r="F58" t="s">
        <v>1621</v>
      </c>
      <c r="G58" t="s">
        <v>1498</v>
      </c>
      <c r="H58" t="s">
        <v>1558</v>
      </c>
      <c r="I58" t="s">
        <v>240</v>
      </c>
      <c r="J58" t="s">
        <v>46</v>
      </c>
      <c r="K58" t="s">
        <v>29</v>
      </c>
      <c r="L58" t="s">
        <v>30</v>
      </c>
      <c r="M58">
        <v>206</v>
      </c>
      <c r="N58" t="s">
        <v>32</v>
      </c>
      <c r="O58" t="s">
        <v>32</v>
      </c>
      <c r="Q58" t="s">
        <v>32</v>
      </c>
      <c r="S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AA58" t="s">
        <v>88</v>
      </c>
      <c r="AB58" t="s">
        <v>32</v>
      </c>
      <c r="AE58" t="s">
        <v>32</v>
      </c>
      <c r="AH58" t="s">
        <v>32</v>
      </c>
      <c r="AK58" t="s">
        <v>32</v>
      </c>
      <c r="AN58" t="s">
        <v>32</v>
      </c>
      <c r="AO58" t="s">
        <v>32</v>
      </c>
      <c r="AR58">
        <v>0</v>
      </c>
      <c r="AU58" t="s">
        <v>32</v>
      </c>
      <c r="AV58">
        <v>1785595</v>
      </c>
      <c r="AW58" t="s">
        <v>32</v>
      </c>
      <c r="AX58" t="s">
        <v>32</v>
      </c>
      <c r="AY58" t="s">
        <v>317</v>
      </c>
      <c r="AZ58">
        <v>30</v>
      </c>
      <c r="BA58">
        <v>2056817</v>
      </c>
      <c r="BB58">
        <v>0.16</v>
      </c>
      <c r="BC58">
        <v>329100</v>
      </c>
      <c r="BD58" t="s">
        <v>142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329100</v>
      </c>
      <c r="BK58" t="s">
        <v>25</v>
      </c>
      <c r="BL58" t="s">
        <v>1064</v>
      </c>
      <c r="BM58">
        <v>30</v>
      </c>
      <c r="BN58">
        <v>2056817</v>
      </c>
      <c r="BO58">
        <v>0.04</v>
      </c>
      <c r="BP58">
        <v>82300</v>
      </c>
      <c r="BQ58">
        <v>0</v>
      </c>
      <c r="BR58" t="s">
        <v>1438</v>
      </c>
      <c r="BS58">
        <v>0</v>
      </c>
      <c r="BT58" t="s">
        <v>1438</v>
      </c>
      <c r="BU58">
        <v>0</v>
      </c>
      <c r="BV58" t="s">
        <v>25</v>
      </c>
      <c r="BW58" t="s">
        <v>189</v>
      </c>
      <c r="BX58">
        <v>30</v>
      </c>
      <c r="BY58">
        <v>2056817</v>
      </c>
      <c r="BZ58">
        <v>6.9599999999999995E-2</v>
      </c>
      <c r="CA58" t="s">
        <v>1439</v>
      </c>
      <c r="CB58" t="s">
        <v>227</v>
      </c>
      <c r="CC58" t="s">
        <v>1440</v>
      </c>
      <c r="CD58">
        <v>143200</v>
      </c>
      <c r="CE58">
        <v>30</v>
      </c>
      <c r="CF58" t="s">
        <v>635</v>
      </c>
      <c r="CG58">
        <v>2056817</v>
      </c>
      <c r="CH58">
        <v>0.04</v>
      </c>
      <c r="CI58">
        <v>82300</v>
      </c>
      <c r="CJ58">
        <v>2056817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 t="s">
        <v>88</v>
      </c>
      <c r="CT58" t="s">
        <v>1441</v>
      </c>
      <c r="CU58" t="s">
        <v>1442</v>
      </c>
    </row>
    <row r="59" spans="1:99">
      <c r="A59" t="s">
        <v>1431</v>
      </c>
      <c r="B59" t="s">
        <v>34</v>
      </c>
      <c r="C59" t="s">
        <v>1622</v>
      </c>
      <c r="D59" t="s">
        <v>1623</v>
      </c>
      <c r="E59" t="s">
        <v>1601</v>
      </c>
      <c r="F59" t="s">
        <v>1624</v>
      </c>
      <c r="G59" t="s">
        <v>1532</v>
      </c>
      <c r="H59" t="s">
        <v>1625</v>
      </c>
      <c r="I59" t="s">
        <v>240</v>
      </c>
      <c r="J59" t="s">
        <v>46</v>
      </c>
      <c r="K59" t="s">
        <v>29</v>
      </c>
      <c r="L59" t="s">
        <v>30</v>
      </c>
      <c r="M59">
        <v>238</v>
      </c>
      <c r="N59" t="s">
        <v>32</v>
      </c>
      <c r="O59" t="s">
        <v>32</v>
      </c>
      <c r="Q59" t="s">
        <v>32</v>
      </c>
      <c r="S59" t="s">
        <v>32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AA59" t="s">
        <v>88</v>
      </c>
      <c r="AB59" t="s">
        <v>32</v>
      </c>
      <c r="AE59" t="s">
        <v>32</v>
      </c>
      <c r="AH59" t="s">
        <v>32</v>
      </c>
      <c r="AK59" t="s">
        <v>32</v>
      </c>
      <c r="AN59" t="s">
        <v>32</v>
      </c>
      <c r="AO59" t="s">
        <v>32</v>
      </c>
      <c r="AR59">
        <v>0</v>
      </c>
      <c r="AU59" t="s">
        <v>32</v>
      </c>
      <c r="AV59">
        <v>2074908</v>
      </c>
      <c r="AW59" t="s">
        <v>32</v>
      </c>
      <c r="AX59" t="s">
        <v>32</v>
      </c>
      <c r="AY59" t="s">
        <v>317</v>
      </c>
      <c r="AZ59">
        <v>30</v>
      </c>
      <c r="BA59">
        <v>3179561</v>
      </c>
      <c r="BB59">
        <v>0.16</v>
      </c>
      <c r="BC59">
        <v>508800</v>
      </c>
      <c r="BD59" t="s">
        <v>142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508800</v>
      </c>
      <c r="BK59" t="s">
        <v>25</v>
      </c>
      <c r="BL59" t="s">
        <v>1010</v>
      </c>
      <c r="BM59">
        <v>30</v>
      </c>
      <c r="BN59">
        <v>3179561</v>
      </c>
      <c r="BO59">
        <v>0.04</v>
      </c>
      <c r="BP59">
        <v>127200</v>
      </c>
      <c r="BQ59">
        <v>0</v>
      </c>
      <c r="BR59" t="s">
        <v>1438</v>
      </c>
      <c r="BS59">
        <v>0</v>
      </c>
      <c r="BT59" t="s">
        <v>1438</v>
      </c>
      <c r="BU59">
        <v>0</v>
      </c>
      <c r="BV59" t="s">
        <v>25</v>
      </c>
      <c r="BW59" t="s">
        <v>189</v>
      </c>
      <c r="BX59">
        <v>30</v>
      </c>
      <c r="BY59">
        <v>3179561</v>
      </c>
      <c r="BZ59">
        <v>6.9599999999999995E-2</v>
      </c>
      <c r="CA59" t="s">
        <v>1439</v>
      </c>
      <c r="CB59" t="s">
        <v>227</v>
      </c>
      <c r="CC59" t="s">
        <v>1440</v>
      </c>
      <c r="CD59">
        <v>221300</v>
      </c>
      <c r="CE59">
        <v>30</v>
      </c>
      <c r="CF59" t="s">
        <v>635</v>
      </c>
      <c r="CG59">
        <v>3179561</v>
      </c>
      <c r="CH59">
        <v>0.04</v>
      </c>
      <c r="CI59">
        <v>127200</v>
      </c>
      <c r="CJ59">
        <v>3179561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 t="s">
        <v>88</v>
      </c>
      <c r="CT59" t="s">
        <v>1441</v>
      </c>
      <c r="CU59" t="s">
        <v>1442</v>
      </c>
    </row>
    <row r="60" spans="1:99">
      <c r="A60" t="s">
        <v>1431</v>
      </c>
      <c r="B60" t="s">
        <v>34</v>
      </c>
      <c r="C60" t="s">
        <v>1626</v>
      </c>
      <c r="D60" t="s">
        <v>1627</v>
      </c>
      <c r="E60" t="s">
        <v>1628</v>
      </c>
      <c r="F60" t="s">
        <v>1629</v>
      </c>
      <c r="G60" t="s">
        <v>1630</v>
      </c>
      <c r="H60" t="s">
        <v>1631</v>
      </c>
      <c r="I60" t="s">
        <v>240</v>
      </c>
      <c r="J60" t="s">
        <v>46</v>
      </c>
      <c r="K60" t="s">
        <v>29</v>
      </c>
      <c r="L60" t="s">
        <v>30</v>
      </c>
      <c r="M60">
        <v>9</v>
      </c>
      <c r="N60" t="s">
        <v>32</v>
      </c>
      <c r="O60" t="s">
        <v>32</v>
      </c>
      <c r="Q60" t="s">
        <v>40</v>
      </c>
      <c r="R60">
        <v>46080</v>
      </c>
      <c r="S60" t="s">
        <v>32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AA60" t="s">
        <v>32</v>
      </c>
      <c r="AB60" t="s">
        <v>32</v>
      </c>
      <c r="AE60" t="s">
        <v>32</v>
      </c>
      <c r="AH60" t="s">
        <v>32</v>
      </c>
      <c r="AK60" t="s">
        <v>32</v>
      </c>
      <c r="AN60" t="s">
        <v>32</v>
      </c>
      <c r="AO60" t="s">
        <v>32</v>
      </c>
      <c r="AR60">
        <v>0</v>
      </c>
      <c r="AU60" t="s">
        <v>32</v>
      </c>
      <c r="AV60">
        <v>2223339</v>
      </c>
      <c r="AW60" t="s">
        <v>32</v>
      </c>
      <c r="AX60" t="s">
        <v>32</v>
      </c>
      <c r="AY60" t="s">
        <v>356</v>
      </c>
      <c r="AZ60">
        <v>4</v>
      </c>
      <c r="BA60">
        <v>296446</v>
      </c>
      <c r="BB60">
        <v>0.16</v>
      </c>
      <c r="BC60">
        <v>47500</v>
      </c>
      <c r="BD60" t="s">
        <v>142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47500</v>
      </c>
      <c r="BK60" t="s">
        <v>25</v>
      </c>
      <c r="BL60" t="s">
        <v>1010</v>
      </c>
      <c r="BM60">
        <v>4</v>
      </c>
      <c r="BN60">
        <v>296446</v>
      </c>
      <c r="BO60">
        <v>0.04</v>
      </c>
      <c r="BP60">
        <v>11900</v>
      </c>
      <c r="BQ60">
        <v>0</v>
      </c>
      <c r="BR60" t="s">
        <v>1438</v>
      </c>
      <c r="BS60">
        <v>0</v>
      </c>
      <c r="BT60" t="s">
        <v>1438</v>
      </c>
      <c r="BU60">
        <v>0</v>
      </c>
      <c r="BV60" t="s">
        <v>25</v>
      </c>
      <c r="BW60" t="s">
        <v>189</v>
      </c>
      <c r="BX60">
        <v>4</v>
      </c>
      <c r="BY60">
        <v>296446</v>
      </c>
      <c r="BZ60">
        <v>6.9599999999999995E-2</v>
      </c>
      <c r="CA60" t="s">
        <v>1439</v>
      </c>
      <c r="CB60" t="s">
        <v>227</v>
      </c>
      <c r="CC60" t="s">
        <v>1440</v>
      </c>
      <c r="CD60">
        <v>20700</v>
      </c>
      <c r="CE60">
        <v>4</v>
      </c>
      <c r="CF60" t="s">
        <v>635</v>
      </c>
      <c r="CG60">
        <v>296446</v>
      </c>
      <c r="CH60">
        <v>0.04</v>
      </c>
      <c r="CI60">
        <v>11900</v>
      </c>
      <c r="CJ60">
        <v>296446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 t="s">
        <v>88</v>
      </c>
      <c r="CT60" t="s">
        <v>1441</v>
      </c>
      <c r="CU60" t="s">
        <v>1442</v>
      </c>
    </row>
    <row r="61" spans="1:99">
      <c r="A61" t="s">
        <v>1431</v>
      </c>
      <c r="B61" t="s">
        <v>34</v>
      </c>
      <c r="C61" t="s">
        <v>1632</v>
      </c>
      <c r="D61" t="s">
        <v>1633</v>
      </c>
      <c r="E61" t="s">
        <v>1634</v>
      </c>
      <c r="F61" t="s">
        <v>1635</v>
      </c>
      <c r="G61" t="s">
        <v>1613</v>
      </c>
      <c r="H61" t="s">
        <v>1468</v>
      </c>
      <c r="I61" t="s">
        <v>240</v>
      </c>
      <c r="J61" t="s">
        <v>46</v>
      </c>
      <c r="K61" t="s">
        <v>29</v>
      </c>
      <c r="L61" t="s">
        <v>30</v>
      </c>
      <c r="M61">
        <v>180</v>
      </c>
      <c r="N61" t="s">
        <v>32</v>
      </c>
      <c r="O61" t="s">
        <v>32</v>
      </c>
      <c r="Q61" t="s">
        <v>32</v>
      </c>
      <c r="S61" t="s">
        <v>32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AA61" t="s">
        <v>32</v>
      </c>
      <c r="AB61" t="s">
        <v>32</v>
      </c>
      <c r="AE61" t="s">
        <v>32</v>
      </c>
      <c r="AH61" t="s">
        <v>32</v>
      </c>
      <c r="AK61" t="s">
        <v>32</v>
      </c>
      <c r="AN61" t="s">
        <v>32</v>
      </c>
      <c r="AO61" t="s">
        <v>32</v>
      </c>
      <c r="AR61">
        <v>0</v>
      </c>
      <c r="AU61" t="s">
        <v>32</v>
      </c>
      <c r="AV61">
        <v>11650406</v>
      </c>
      <c r="AW61" t="s">
        <v>32</v>
      </c>
      <c r="AX61" t="s">
        <v>88</v>
      </c>
      <c r="AY61" t="s">
        <v>317</v>
      </c>
      <c r="AZ61">
        <v>30</v>
      </c>
      <c r="BA61">
        <v>11650406</v>
      </c>
      <c r="BB61">
        <v>0.16</v>
      </c>
      <c r="BC61">
        <v>1864100</v>
      </c>
      <c r="BD61" t="s">
        <v>142</v>
      </c>
      <c r="BE61">
        <v>0</v>
      </c>
      <c r="BF61">
        <v>0</v>
      </c>
      <c r="BG61">
        <v>58300</v>
      </c>
      <c r="BH61">
        <v>58300</v>
      </c>
      <c r="BI61">
        <v>0</v>
      </c>
      <c r="BJ61">
        <v>1980700</v>
      </c>
      <c r="BK61" t="s">
        <v>25</v>
      </c>
      <c r="BL61" t="s">
        <v>870</v>
      </c>
      <c r="BM61">
        <v>30</v>
      </c>
      <c r="BN61">
        <v>11650406</v>
      </c>
      <c r="BO61">
        <v>0.125</v>
      </c>
      <c r="BP61">
        <v>466100</v>
      </c>
      <c r="BQ61">
        <v>0</v>
      </c>
      <c r="BR61" t="s">
        <v>1438</v>
      </c>
      <c r="BS61">
        <v>0</v>
      </c>
      <c r="BT61" t="s">
        <v>1438</v>
      </c>
      <c r="BU61">
        <v>0</v>
      </c>
      <c r="BV61" t="s">
        <v>25</v>
      </c>
      <c r="BW61" t="s">
        <v>189</v>
      </c>
      <c r="BX61">
        <v>30</v>
      </c>
      <c r="BY61">
        <v>11650406</v>
      </c>
      <c r="BZ61">
        <v>6.9599999999999995E-2</v>
      </c>
      <c r="CA61" t="s">
        <v>1439</v>
      </c>
      <c r="CB61" t="s">
        <v>227</v>
      </c>
      <c r="CC61" t="s">
        <v>1440</v>
      </c>
      <c r="CD61">
        <v>810900</v>
      </c>
      <c r="CE61">
        <v>30</v>
      </c>
      <c r="CF61" t="s">
        <v>635</v>
      </c>
      <c r="CG61">
        <v>10485365</v>
      </c>
      <c r="CH61">
        <v>0.04</v>
      </c>
      <c r="CI61">
        <v>419500</v>
      </c>
      <c r="CJ61">
        <v>10485365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 t="s">
        <v>88</v>
      </c>
      <c r="CT61" t="s">
        <v>1441</v>
      </c>
      <c r="CU61" t="s">
        <v>1442</v>
      </c>
    </row>
    <row r="62" spans="1:99">
      <c r="A62" t="s">
        <v>1431</v>
      </c>
      <c r="B62" t="s">
        <v>34</v>
      </c>
      <c r="C62" t="s">
        <v>1636</v>
      </c>
      <c r="D62" t="s">
        <v>1637</v>
      </c>
      <c r="E62" t="s">
        <v>1638</v>
      </c>
      <c r="F62" t="s">
        <v>1639</v>
      </c>
      <c r="G62" t="s">
        <v>1640</v>
      </c>
      <c r="H62" t="s">
        <v>1446</v>
      </c>
      <c r="I62" t="s">
        <v>240</v>
      </c>
      <c r="J62" t="s">
        <v>46</v>
      </c>
      <c r="K62" t="s">
        <v>29</v>
      </c>
      <c r="L62" t="s">
        <v>30</v>
      </c>
      <c r="M62">
        <v>207</v>
      </c>
      <c r="N62" t="s">
        <v>32</v>
      </c>
      <c r="O62" t="s">
        <v>32</v>
      </c>
      <c r="Q62" t="s">
        <v>32</v>
      </c>
      <c r="S62" t="s">
        <v>32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AA62" t="s">
        <v>88</v>
      </c>
      <c r="AB62" t="s">
        <v>32</v>
      </c>
      <c r="AE62" t="s">
        <v>32</v>
      </c>
      <c r="AH62" t="s">
        <v>32</v>
      </c>
      <c r="AK62" t="s">
        <v>32</v>
      </c>
      <c r="AN62" t="s">
        <v>32</v>
      </c>
      <c r="AO62" t="s">
        <v>32</v>
      </c>
      <c r="AR62">
        <v>0</v>
      </c>
      <c r="AU62" t="s">
        <v>32</v>
      </c>
      <c r="AV62">
        <v>2620709</v>
      </c>
      <c r="AW62" t="s">
        <v>32</v>
      </c>
      <c r="AX62" t="s">
        <v>32</v>
      </c>
      <c r="AY62" t="s">
        <v>317</v>
      </c>
      <c r="AZ62">
        <v>30</v>
      </c>
      <c r="BA62">
        <v>2911072</v>
      </c>
      <c r="BB62">
        <v>0.16</v>
      </c>
      <c r="BC62">
        <v>465800</v>
      </c>
      <c r="BD62" t="s">
        <v>142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465800</v>
      </c>
      <c r="BK62" t="s">
        <v>25</v>
      </c>
      <c r="BL62" t="s">
        <v>885</v>
      </c>
      <c r="BM62">
        <v>30</v>
      </c>
      <c r="BN62">
        <v>2911072</v>
      </c>
      <c r="BO62">
        <v>0.04</v>
      </c>
      <c r="BP62">
        <v>116500</v>
      </c>
      <c r="BQ62">
        <v>0</v>
      </c>
      <c r="BR62" t="s">
        <v>1438</v>
      </c>
      <c r="BS62">
        <v>0</v>
      </c>
      <c r="BT62" t="s">
        <v>1438</v>
      </c>
      <c r="BU62">
        <v>0</v>
      </c>
      <c r="BV62" t="s">
        <v>25</v>
      </c>
      <c r="BW62" t="s">
        <v>189</v>
      </c>
      <c r="BX62">
        <v>30</v>
      </c>
      <c r="BY62">
        <v>2911072</v>
      </c>
      <c r="BZ62">
        <v>6.9599999999999995E-2</v>
      </c>
      <c r="CA62" t="s">
        <v>1439</v>
      </c>
      <c r="CB62" t="s">
        <v>227</v>
      </c>
      <c r="CC62" t="s">
        <v>1440</v>
      </c>
      <c r="CD62">
        <v>202700</v>
      </c>
      <c r="CE62">
        <v>30</v>
      </c>
      <c r="CF62" t="s">
        <v>635</v>
      </c>
      <c r="CG62">
        <v>2911072</v>
      </c>
      <c r="CH62">
        <v>0.04</v>
      </c>
      <c r="CI62">
        <v>116500</v>
      </c>
      <c r="CJ62">
        <v>2911072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 t="s">
        <v>88</v>
      </c>
      <c r="CT62" t="s">
        <v>1441</v>
      </c>
      <c r="CU62" t="s">
        <v>1442</v>
      </c>
    </row>
    <row r="63" spans="1:99">
      <c r="A63" t="s">
        <v>1431</v>
      </c>
      <c r="B63" t="s">
        <v>34</v>
      </c>
      <c r="C63" t="s">
        <v>1641</v>
      </c>
      <c r="D63" t="s">
        <v>1642</v>
      </c>
      <c r="E63" t="s">
        <v>1643</v>
      </c>
      <c r="F63" t="s">
        <v>1644</v>
      </c>
      <c r="G63" t="s">
        <v>1537</v>
      </c>
      <c r="H63" t="s">
        <v>1498</v>
      </c>
      <c r="I63" t="s">
        <v>682</v>
      </c>
      <c r="J63" t="s">
        <v>484</v>
      </c>
      <c r="K63" t="s">
        <v>29</v>
      </c>
      <c r="L63" t="s">
        <v>30</v>
      </c>
      <c r="M63">
        <v>180</v>
      </c>
      <c r="N63" t="s">
        <v>32</v>
      </c>
      <c r="O63" t="s">
        <v>32</v>
      </c>
      <c r="Q63" t="s">
        <v>32</v>
      </c>
      <c r="S63" t="s">
        <v>32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AA63" t="s">
        <v>32</v>
      </c>
      <c r="AB63" t="s">
        <v>32</v>
      </c>
      <c r="AE63" t="s">
        <v>32</v>
      </c>
      <c r="AH63" t="s">
        <v>32</v>
      </c>
      <c r="AK63" t="s">
        <v>32</v>
      </c>
      <c r="AN63" t="s">
        <v>32</v>
      </c>
      <c r="AO63" t="s">
        <v>32</v>
      </c>
      <c r="AR63">
        <v>0</v>
      </c>
      <c r="AU63" t="s">
        <v>32</v>
      </c>
      <c r="AV63">
        <v>5676577</v>
      </c>
      <c r="AW63" t="s">
        <v>32</v>
      </c>
      <c r="AX63" t="s">
        <v>32</v>
      </c>
      <c r="AY63" t="s">
        <v>356</v>
      </c>
      <c r="AZ63">
        <v>30</v>
      </c>
      <c r="BA63">
        <v>5676577</v>
      </c>
      <c r="BB63">
        <v>0.16</v>
      </c>
      <c r="BC63">
        <v>908300</v>
      </c>
      <c r="BD63" t="s">
        <v>142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908300</v>
      </c>
      <c r="BK63" t="s">
        <v>25</v>
      </c>
      <c r="BL63" t="s">
        <v>635</v>
      </c>
      <c r="BM63">
        <v>30</v>
      </c>
      <c r="BN63">
        <v>5676577</v>
      </c>
      <c r="BO63">
        <v>0.04</v>
      </c>
      <c r="BP63">
        <v>227100</v>
      </c>
      <c r="BQ63">
        <v>0</v>
      </c>
      <c r="BR63" t="s">
        <v>1438</v>
      </c>
      <c r="BS63">
        <v>0</v>
      </c>
      <c r="BT63" t="s">
        <v>1438</v>
      </c>
      <c r="BU63">
        <v>0</v>
      </c>
      <c r="BV63" t="s">
        <v>25</v>
      </c>
      <c r="BW63" t="s">
        <v>189</v>
      </c>
      <c r="BX63">
        <v>30</v>
      </c>
      <c r="BY63">
        <v>5676577</v>
      </c>
      <c r="BZ63">
        <v>6.9599999999999995E-2</v>
      </c>
      <c r="CA63" t="s">
        <v>1439</v>
      </c>
      <c r="CB63" t="s">
        <v>312</v>
      </c>
      <c r="CC63" t="s">
        <v>1440</v>
      </c>
      <c r="CD63">
        <v>395100</v>
      </c>
      <c r="CE63">
        <v>30</v>
      </c>
      <c r="CF63" t="s">
        <v>466</v>
      </c>
      <c r="CG63">
        <v>5676577</v>
      </c>
      <c r="CH63">
        <v>0.04</v>
      </c>
      <c r="CI63">
        <v>227100</v>
      </c>
      <c r="CJ63">
        <v>5676577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 t="s">
        <v>88</v>
      </c>
      <c r="CT63" t="s">
        <v>1441</v>
      </c>
      <c r="CU63" t="s">
        <v>1442</v>
      </c>
    </row>
    <row r="64" spans="1:99">
      <c r="A64" t="s">
        <v>1431</v>
      </c>
      <c r="B64" t="s">
        <v>34</v>
      </c>
      <c r="C64" t="s">
        <v>1645</v>
      </c>
      <c r="D64" t="s">
        <v>1646</v>
      </c>
      <c r="E64" t="s">
        <v>1647</v>
      </c>
      <c r="F64" t="s">
        <v>1648</v>
      </c>
      <c r="G64" t="s">
        <v>1649</v>
      </c>
      <c r="H64" t="s">
        <v>1650</v>
      </c>
      <c r="I64" t="s">
        <v>240</v>
      </c>
      <c r="J64" t="s">
        <v>46</v>
      </c>
      <c r="K64" t="s">
        <v>29</v>
      </c>
      <c r="L64" t="s">
        <v>30</v>
      </c>
      <c r="M64">
        <v>180</v>
      </c>
      <c r="N64" t="s">
        <v>32</v>
      </c>
      <c r="O64" t="s">
        <v>32</v>
      </c>
      <c r="Q64" t="s">
        <v>32</v>
      </c>
      <c r="S64" t="s">
        <v>32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AA64" t="s">
        <v>32</v>
      </c>
      <c r="AB64" t="s">
        <v>32</v>
      </c>
      <c r="AE64" t="s">
        <v>32</v>
      </c>
      <c r="AH64" t="s">
        <v>32</v>
      </c>
      <c r="AK64" t="s">
        <v>32</v>
      </c>
      <c r="AN64" t="s">
        <v>32</v>
      </c>
      <c r="AO64" t="s">
        <v>32</v>
      </c>
      <c r="AR64">
        <v>0</v>
      </c>
      <c r="AU64" t="s">
        <v>32</v>
      </c>
      <c r="AV64">
        <v>11650406</v>
      </c>
      <c r="AW64" t="s">
        <v>32</v>
      </c>
      <c r="AX64" t="s">
        <v>88</v>
      </c>
      <c r="AY64" t="s">
        <v>317</v>
      </c>
      <c r="AZ64">
        <v>30</v>
      </c>
      <c r="BA64">
        <v>11650406</v>
      </c>
      <c r="BB64">
        <v>0.16</v>
      </c>
      <c r="BC64">
        <v>1864100</v>
      </c>
      <c r="BD64" t="s">
        <v>142</v>
      </c>
      <c r="BE64">
        <v>0</v>
      </c>
      <c r="BF64">
        <v>0</v>
      </c>
      <c r="BG64">
        <v>58300</v>
      </c>
      <c r="BH64">
        <v>58300</v>
      </c>
      <c r="BI64">
        <v>0</v>
      </c>
      <c r="BJ64">
        <v>1980700</v>
      </c>
      <c r="BK64" t="s">
        <v>25</v>
      </c>
      <c r="BL64" t="s">
        <v>635</v>
      </c>
      <c r="BM64">
        <v>30</v>
      </c>
      <c r="BN64">
        <v>11650406</v>
      </c>
      <c r="BO64">
        <v>0.125</v>
      </c>
      <c r="BP64">
        <v>1456400</v>
      </c>
      <c r="BQ64">
        <v>0</v>
      </c>
      <c r="BR64" t="s">
        <v>1438</v>
      </c>
      <c r="BS64">
        <v>0</v>
      </c>
      <c r="BT64" t="s">
        <v>1438</v>
      </c>
      <c r="BU64">
        <v>0</v>
      </c>
      <c r="BV64" t="s">
        <v>25</v>
      </c>
      <c r="BW64" t="s">
        <v>189</v>
      </c>
      <c r="BX64">
        <v>30</v>
      </c>
      <c r="BY64">
        <v>11650406</v>
      </c>
      <c r="BZ64">
        <v>6.9599999999999995E-2</v>
      </c>
      <c r="CA64" t="s">
        <v>1439</v>
      </c>
      <c r="CB64" t="s">
        <v>227</v>
      </c>
      <c r="CC64" t="s">
        <v>1440</v>
      </c>
      <c r="CD64">
        <v>810900</v>
      </c>
      <c r="CE64">
        <v>30</v>
      </c>
      <c r="CF64" t="s">
        <v>635</v>
      </c>
      <c r="CG64">
        <v>11650406</v>
      </c>
      <c r="CH64">
        <v>0.04</v>
      </c>
      <c r="CI64">
        <v>466100</v>
      </c>
      <c r="CJ64">
        <v>11650406</v>
      </c>
      <c r="CK64">
        <v>0.02</v>
      </c>
      <c r="CL64">
        <v>233100</v>
      </c>
      <c r="CM64">
        <v>0.03</v>
      </c>
      <c r="CN64">
        <v>349600</v>
      </c>
      <c r="CO64">
        <v>0</v>
      </c>
      <c r="CP64">
        <v>0</v>
      </c>
      <c r="CQ64">
        <v>0</v>
      </c>
      <c r="CR64">
        <v>0</v>
      </c>
      <c r="CS64" t="s">
        <v>88</v>
      </c>
      <c r="CT64" t="s">
        <v>1441</v>
      </c>
      <c r="CU64" t="s">
        <v>1442</v>
      </c>
    </row>
    <row r="65" spans="1:100">
      <c r="A65" t="s">
        <v>1431</v>
      </c>
      <c r="B65" t="s">
        <v>34</v>
      </c>
      <c r="C65" t="s">
        <v>1651</v>
      </c>
      <c r="D65" t="s">
        <v>1652</v>
      </c>
      <c r="E65" t="s">
        <v>1060</v>
      </c>
      <c r="F65" t="s">
        <v>1653</v>
      </c>
      <c r="G65" t="s">
        <v>1654</v>
      </c>
      <c r="H65" t="s">
        <v>1558</v>
      </c>
      <c r="I65" t="s">
        <v>240</v>
      </c>
      <c r="J65" t="s">
        <v>46</v>
      </c>
      <c r="K65" t="s">
        <v>29</v>
      </c>
      <c r="L65" t="s">
        <v>30</v>
      </c>
      <c r="M65">
        <v>0</v>
      </c>
      <c r="N65" t="s">
        <v>32</v>
      </c>
      <c r="O65" t="s">
        <v>32</v>
      </c>
      <c r="Q65" t="s">
        <v>32</v>
      </c>
      <c r="S65" t="s">
        <v>32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AA65" t="s">
        <v>32</v>
      </c>
      <c r="AB65" t="s">
        <v>32</v>
      </c>
      <c r="AE65" t="s">
        <v>32</v>
      </c>
      <c r="AH65" t="s">
        <v>32</v>
      </c>
      <c r="AK65" t="s">
        <v>128</v>
      </c>
      <c r="AL65">
        <v>46069</v>
      </c>
      <c r="AM65">
        <v>46069</v>
      </c>
      <c r="AN65" t="s">
        <v>32</v>
      </c>
      <c r="AO65" t="s">
        <v>32</v>
      </c>
      <c r="AR65">
        <v>0</v>
      </c>
      <c r="AU65" t="s">
        <v>32</v>
      </c>
      <c r="AV65">
        <v>5209465</v>
      </c>
      <c r="AW65" t="s">
        <v>32</v>
      </c>
      <c r="AX65" t="s">
        <v>32</v>
      </c>
      <c r="AY65" t="s">
        <v>137</v>
      </c>
      <c r="AZ65">
        <v>1</v>
      </c>
      <c r="BA65">
        <v>173649</v>
      </c>
      <c r="BB65">
        <v>0.16</v>
      </c>
      <c r="BC65">
        <v>27800</v>
      </c>
      <c r="BD65" t="s">
        <v>142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27800</v>
      </c>
      <c r="BK65" t="s">
        <v>25</v>
      </c>
      <c r="BL65" t="s">
        <v>635</v>
      </c>
      <c r="BM65">
        <v>1</v>
      </c>
      <c r="BN65">
        <v>173649</v>
      </c>
      <c r="BO65">
        <v>0.04</v>
      </c>
      <c r="BP65">
        <v>7000</v>
      </c>
      <c r="BQ65">
        <v>0</v>
      </c>
      <c r="BR65" t="s">
        <v>1438</v>
      </c>
      <c r="BS65">
        <v>0</v>
      </c>
      <c r="BT65" t="s">
        <v>1438</v>
      </c>
      <c r="BU65">
        <v>0</v>
      </c>
      <c r="BV65" t="s">
        <v>25</v>
      </c>
      <c r="BW65" t="s">
        <v>189</v>
      </c>
      <c r="BX65">
        <v>1</v>
      </c>
      <c r="BY65">
        <v>173649</v>
      </c>
      <c r="BZ65">
        <v>0</v>
      </c>
      <c r="CA65" t="s">
        <v>1439</v>
      </c>
      <c r="CB65" t="s">
        <v>227</v>
      </c>
      <c r="CC65" t="s">
        <v>1440</v>
      </c>
      <c r="CD65">
        <v>0</v>
      </c>
      <c r="CE65">
        <v>1</v>
      </c>
      <c r="CF65" t="s">
        <v>635</v>
      </c>
      <c r="CG65">
        <v>173649</v>
      </c>
      <c r="CH65">
        <v>0.04</v>
      </c>
      <c r="CI65">
        <v>7000</v>
      </c>
      <c r="CJ65">
        <v>173649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 t="s">
        <v>88</v>
      </c>
      <c r="CT65" t="s">
        <v>1441</v>
      </c>
      <c r="CU65" t="s">
        <v>1442</v>
      </c>
    </row>
    <row r="66" spans="1:100">
      <c r="A66" t="s">
        <v>1431</v>
      </c>
      <c r="B66" t="s">
        <v>34</v>
      </c>
      <c r="C66" t="s">
        <v>1651</v>
      </c>
      <c r="D66" t="s">
        <v>1652</v>
      </c>
      <c r="E66" t="s">
        <v>1060</v>
      </c>
      <c r="F66" t="s">
        <v>1653</v>
      </c>
      <c r="G66" t="s">
        <v>1654</v>
      </c>
      <c r="H66" t="s">
        <v>1558</v>
      </c>
      <c r="I66" t="s">
        <v>240</v>
      </c>
      <c r="J66" t="s">
        <v>46</v>
      </c>
      <c r="K66" t="s">
        <v>29</v>
      </c>
      <c r="L66" t="s">
        <v>30</v>
      </c>
      <c r="M66">
        <v>171</v>
      </c>
      <c r="N66" t="s">
        <v>32</v>
      </c>
      <c r="O66" t="s">
        <v>32</v>
      </c>
      <c r="Q66" t="s">
        <v>32</v>
      </c>
      <c r="S66" t="s">
        <v>32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AA66" t="s">
        <v>32</v>
      </c>
      <c r="AB66" t="s">
        <v>32</v>
      </c>
      <c r="AE66" t="s">
        <v>32</v>
      </c>
      <c r="AH66" t="s">
        <v>32</v>
      </c>
      <c r="AK66" t="s">
        <v>32</v>
      </c>
      <c r="AN66" t="s">
        <v>32</v>
      </c>
      <c r="AO66" t="s">
        <v>32</v>
      </c>
      <c r="AR66">
        <v>0</v>
      </c>
      <c r="AU66" t="s">
        <v>32</v>
      </c>
      <c r="AV66">
        <v>5209465</v>
      </c>
      <c r="AW66" t="s">
        <v>32</v>
      </c>
      <c r="AX66" t="s">
        <v>32</v>
      </c>
      <c r="AY66" t="s">
        <v>137</v>
      </c>
      <c r="AZ66">
        <v>29</v>
      </c>
      <c r="BA66">
        <v>5035817</v>
      </c>
      <c r="BB66">
        <v>0.16</v>
      </c>
      <c r="BC66">
        <v>805800</v>
      </c>
      <c r="BD66" t="s">
        <v>142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805800</v>
      </c>
      <c r="BK66" t="s">
        <v>25</v>
      </c>
      <c r="BL66" t="s">
        <v>635</v>
      </c>
      <c r="BM66">
        <v>29</v>
      </c>
      <c r="BN66">
        <v>5035817</v>
      </c>
      <c r="BO66">
        <v>0.04</v>
      </c>
      <c r="BP66">
        <v>201500</v>
      </c>
      <c r="BQ66">
        <v>0</v>
      </c>
      <c r="BR66" t="s">
        <v>1438</v>
      </c>
      <c r="BS66">
        <v>0</v>
      </c>
      <c r="BT66" t="s">
        <v>1438</v>
      </c>
      <c r="BU66">
        <v>0</v>
      </c>
      <c r="BV66" t="s">
        <v>25</v>
      </c>
      <c r="BW66" t="s">
        <v>189</v>
      </c>
      <c r="BX66">
        <v>29</v>
      </c>
      <c r="BY66">
        <v>5035817</v>
      </c>
      <c r="BZ66">
        <v>6.9599999999999995E-2</v>
      </c>
      <c r="CA66" t="s">
        <v>1439</v>
      </c>
      <c r="CB66" t="s">
        <v>227</v>
      </c>
      <c r="CC66" t="s">
        <v>1440</v>
      </c>
      <c r="CD66">
        <v>350500</v>
      </c>
      <c r="CE66">
        <v>29</v>
      </c>
      <c r="CF66" t="s">
        <v>635</v>
      </c>
      <c r="CG66">
        <v>5035817</v>
      </c>
      <c r="CH66">
        <v>0.04</v>
      </c>
      <c r="CI66">
        <v>201500</v>
      </c>
      <c r="CJ66">
        <v>5035817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 t="s">
        <v>88</v>
      </c>
      <c r="CT66" t="s">
        <v>1441</v>
      </c>
      <c r="CU66" t="s">
        <v>1442</v>
      </c>
      <c r="CV66" t="s">
        <v>1442</v>
      </c>
    </row>
    <row r="67" spans="1:100">
      <c r="A67" t="s">
        <v>1431</v>
      </c>
      <c r="B67" t="s">
        <v>34</v>
      </c>
      <c r="C67" t="s">
        <v>1655</v>
      </c>
      <c r="D67" t="s">
        <v>1656</v>
      </c>
      <c r="E67" t="s">
        <v>1657</v>
      </c>
      <c r="F67" t="s">
        <v>1658</v>
      </c>
      <c r="G67" t="s">
        <v>1590</v>
      </c>
      <c r="H67" t="s">
        <v>1659</v>
      </c>
      <c r="I67" t="s">
        <v>240</v>
      </c>
      <c r="J67" t="s">
        <v>46</v>
      </c>
      <c r="K67" t="s">
        <v>29</v>
      </c>
      <c r="L67" t="s">
        <v>30</v>
      </c>
      <c r="M67">
        <v>188</v>
      </c>
      <c r="N67" t="s">
        <v>32</v>
      </c>
      <c r="O67" t="s">
        <v>32</v>
      </c>
      <c r="Q67" t="s">
        <v>32</v>
      </c>
      <c r="S67" t="s">
        <v>32</v>
      </c>
      <c r="U67" t="s">
        <v>32</v>
      </c>
      <c r="V67" t="s">
        <v>32</v>
      </c>
      <c r="W67" t="s">
        <v>32</v>
      </c>
      <c r="X67" t="s">
        <v>32</v>
      </c>
      <c r="Y67" t="s">
        <v>88</v>
      </c>
      <c r="Z67">
        <v>46054</v>
      </c>
      <c r="AA67" t="s">
        <v>32</v>
      </c>
      <c r="AB67" t="s">
        <v>32</v>
      </c>
      <c r="AE67" t="s">
        <v>32</v>
      </c>
      <c r="AH67" t="s">
        <v>32</v>
      </c>
      <c r="AK67" t="s">
        <v>32</v>
      </c>
      <c r="AN67" t="s">
        <v>32</v>
      </c>
      <c r="AO67" t="s">
        <v>32</v>
      </c>
      <c r="AR67">
        <v>0</v>
      </c>
      <c r="AU67" t="s">
        <v>32</v>
      </c>
      <c r="AV67">
        <v>4024292</v>
      </c>
      <c r="AW67" t="s">
        <v>32</v>
      </c>
      <c r="AX67" t="s">
        <v>32</v>
      </c>
      <c r="AY67" t="s">
        <v>393</v>
      </c>
      <c r="AZ67">
        <v>30</v>
      </c>
      <c r="BA67">
        <v>7086256</v>
      </c>
      <c r="BB67">
        <v>0.16</v>
      </c>
      <c r="BC67">
        <v>1133900</v>
      </c>
      <c r="BD67" t="s">
        <v>142</v>
      </c>
      <c r="BE67">
        <v>0</v>
      </c>
      <c r="BF67">
        <v>0</v>
      </c>
      <c r="BG67">
        <v>35500</v>
      </c>
      <c r="BH67">
        <v>35500</v>
      </c>
      <c r="BI67">
        <v>0</v>
      </c>
      <c r="BJ67">
        <v>1204900</v>
      </c>
      <c r="BK67" t="s">
        <v>25</v>
      </c>
      <c r="BL67" t="s">
        <v>1071</v>
      </c>
      <c r="BM67">
        <v>30</v>
      </c>
      <c r="BN67">
        <v>7086256</v>
      </c>
      <c r="BO67">
        <v>0.04</v>
      </c>
      <c r="BP67">
        <v>283500</v>
      </c>
      <c r="BQ67">
        <v>0</v>
      </c>
      <c r="BR67" t="s">
        <v>1438</v>
      </c>
      <c r="BS67">
        <v>0</v>
      </c>
      <c r="BT67" t="s">
        <v>1438</v>
      </c>
      <c r="BU67">
        <v>0</v>
      </c>
      <c r="BV67" t="s">
        <v>25</v>
      </c>
      <c r="BW67" t="s">
        <v>189</v>
      </c>
      <c r="BX67">
        <v>30</v>
      </c>
      <c r="BY67">
        <v>7086256</v>
      </c>
      <c r="BZ67">
        <v>5.2199999999999998E-3</v>
      </c>
      <c r="CA67" t="s">
        <v>1592</v>
      </c>
      <c r="CB67" t="s">
        <v>227</v>
      </c>
      <c r="CC67" t="s">
        <v>1593</v>
      </c>
      <c r="CD67">
        <v>37000</v>
      </c>
      <c r="CE67">
        <v>30</v>
      </c>
      <c r="CF67" t="s">
        <v>635</v>
      </c>
      <c r="CG67">
        <v>4024292</v>
      </c>
      <c r="CH67">
        <v>0.04</v>
      </c>
      <c r="CI67">
        <v>161000</v>
      </c>
      <c r="CJ67">
        <v>4024292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 t="s">
        <v>88</v>
      </c>
      <c r="CT67" t="s">
        <v>1441</v>
      </c>
      <c r="CU67" t="s">
        <v>1442</v>
      </c>
      <c r="CV67" t="s">
        <v>1442</v>
      </c>
    </row>
    <row r="68" spans="1:100">
      <c r="A68" t="s">
        <v>1431</v>
      </c>
      <c r="B68" t="s">
        <v>34</v>
      </c>
      <c r="C68" t="s">
        <v>1660</v>
      </c>
      <c r="D68" t="s">
        <v>1661</v>
      </c>
      <c r="E68" t="s">
        <v>1495</v>
      </c>
      <c r="F68" t="s">
        <v>1535</v>
      </c>
      <c r="G68" t="s">
        <v>1662</v>
      </c>
      <c r="H68" t="s">
        <v>1584</v>
      </c>
      <c r="I68" t="s">
        <v>240</v>
      </c>
      <c r="J68" t="s">
        <v>46</v>
      </c>
      <c r="K68" t="s">
        <v>29</v>
      </c>
      <c r="L68" t="s">
        <v>30</v>
      </c>
      <c r="M68">
        <v>0</v>
      </c>
      <c r="N68" t="s">
        <v>32</v>
      </c>
      <c r="O68" t="s">
        <v>32</v>
      </c>
      <c r="Q68" t="s">
        <v>32</v>
      </c>
      <c r="S68" t="s">
        <v>32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AA68" t="s">
        <v>32</v>
      </c>
      <c r="AB68" t="s">
        <v>32</v>
      </c>
      <c r="AE68" t="s">
        <v>32</v>
      </c>
      <c r="AH68" t="s">
        <v>32</v>
      </c>
      <c r="AK68" t="s">
        <v>128</v>
      </c>
      <c r="AL68">
        <v>46069</v>
      </c>
      <c r="AM68">
        <v>46069</v>
      </c>
      <c r="AN68" t="s">
        <v>32</v>
      </c>
      <c r="AO68" t="s">
        <v>32</v>
      </c>
      <c r="AR68">
        <v>0</v>
      </c>
      <c r="AU68" t="s">
        <v>32</v>
      </c>
      <c r="AV68">
        <v>2223339</v>
      </c>
      <c r="AW68" t="s">
        <v>32</v>
      </c>
      <c r="AX68" t="s">
        <v>32</v>
      </c>
      <c r="AY68" t="s">
        <v>356</v>
      </c>
      <c r="AZ68">
        <v>1</v>
      </c>
      <c r="BA68">
        <v>74112</v>
      </c>
      <c r="BB68">
        <v>0.16</v>
      </c>
      <c r="BC68">
        <v>11900</v>
      </c>
      <c r="BD68" t="s">
        <v>142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11900</v>
      </c>
      <c r="BK68" t="s">
        <v>25</v>
      </c>
      <c r="BL68" t="s">
        <v>1064</v>
      </c>
      <c r="BM68">
        <v>1</v>
      </c>
      <c r="BN68">
        <v>74112</v>
      </c>
      <c r="BO68">
        <v>0.04</v>
      </c>
      <c r="BP68">
        <v>3000</v>
      </c>
      <c r="BQ68">
        <v>0</v>
      </c>
      <c r="BR68" t="s">
        <v>1438</v>
      </c>
      <c r="BS68">
        <v>0</v>
      </c>
      <c r="BT68" t="s">
        <v>1438</v>
      </c>
      <c r="BU68">
        <v>0</v>
      </c>
      <c r="BV68" t="s">
        <v>25</v>
      </c>
      <c r="BW68" t="s">
        <v>189</v>
      </c>
      <c r="BX68">
        <v>1</v>
      </c>
      <c r="BY68">
        <v>74112</v>
      </c>
      <c r="BZ68">
        <v>0</v>
      </c>
      <c r="CA68" t="s">
        <v>1439</v>
      </c>
      <c r="CB68" t="s">
        <v>227</v>
      </c>
      <c r="CC68" t="s">
        <v>1440</v>
      </c>
      <c r="CD68">
        <v>0</v>
      </c>
      <c r="CE68">
        <v>1</v>
      </c>
      <c r="CF68" t="s">
        <v>635</v>
      </c>
      <c r="CG68">
        <v>74112</v>
      </c>
      <c r="CH68">
        <v>0.04</v>
      </c>
      <c r="CI68">
        <v>3000</v>
      </c>
      <c r="CJ68">
        <v>74112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 t="s">
        <v>88</v>
      </c>
      <c r="CT68" t="s">
        <v>1441</v>
      </c>
      <c r="CU68" t="s">
        <v>1442</v>
      </c>
      <c r="CV68" t="s">
        <v>1442</v>
      </c>
    </row>
    <row r="69" spans="1:100">
      <c r="A69" t="s">
        <v>1431</v>
      </c>
      <c r="B69" t="s">
        <v>34</v>
      </c>
      <c r="C69" t="s">
        <v>1660</v>
      </c>
      <c r="D69" t="s">
        <v>1661</v>
      </c>
      <c r="E69" t="s">
        <v>1495</v>
      </c>
      <c r="F69" t="s">
        <v>1535</v>
      </c>
      <c r="G69" t="s">
        <v>1662</v>
      </c>
      <c r="H69" t="s">
        <v>1584</v>
      </c>
      <c r="I69" t="s">
        <v>240</v>
      </c>
      <c r="J69" t="s">
        <v>46</v>
      </c>
      <c r="K69" t="s">
        <v>29</v>
      </c>
      <c r="L69" t="s">
        <v>30</v>
      </c>
      <c r="M69">
        <v>0</v>
      </c>
      <c r="N69" t="s">
        <v>32</v>
      </c>
      <c r="O69" t="s">
        <v>32</v>
      </c>
      <c r="Q69" t="s">
        <v>32</v>
      </c>
      <c r="S69" t="s">
        <v>32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AA69" t="s">
        <v>32</v>
      </c>
      <c r="AB69" t="s">
        <v>32</v>
      </c>
      <c r="AE69" t="s">
        <v>1492</v>
      </c>
      <c r="AF69">
        <v>46077</v>
      </c>
      <c r="AG69">
        <v>46078</v>
      </c>
      <c r="AH69" t="s">
        <v>32</v>
      </c>
      <c r="AK69" t="s">
        <v>32</v>
      </c>
      <c r="AN69" t="s">
        <v>32</v>
      </c>
      <c r="AO69" t="s">
        <v>32</v>
      </c>
      <c r="AR69">
        <v>0</v>
      </c>
      <c r="AU69" t="s">
        <v>32</v>
      </c>
      <c r="AV69">
        <v>2223339</v>
      </c>
      <c r="AW69" t="s">
        <v>32</v>
      </c>
      <c r="AX69" t="s">
        <v>32</v>
      </c>
      <c r="AY69" t="s">
        <v>356</v>
      </c>
      <c r="AZ69">
        <v>2</v>
      </c>
      <c r="BA69">
        <v>217110</v>
      </c>
      <c r="BB69">
        <v>0.16</v>
      </c>
      <c r="BC69">
        <v>34800</v>
      </c>
      <c r="BD69" t="s">
        <v>142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34800</v>
      </c>
      <c r="BK69" t="s">
        <v>25</v>
      </c>
      <c r="BL69" t="s">
        <v>1064</v>
      </c>
      <c r="BM69">
        <v>2</v>
      </c>
      <c r="BN69">
        <v>217110</v>
      </c>
      <c r="BO69">
        <v>0.04</v>
      </c>
      <c r="BP69">
        <v>8700</v>
      </c>
      <c r="BQ69">
        <v>0</v>
      </c>
      <c r="BR69" t="s">
        <v>1438</v>
      </c>
      <c r="BS69">
        <v>0</v>
      </c>
      <c r="BT69" t="s">
        <v>1438</v>
      </c>
      <c r="BU69">
        <v>0</v>
      </c>
      <c r="BV69" t="s">
        <v>25</v>
      </c>
      <c r="BW69" t="s">
        <v>189</v>
      </c>
      <c r="BX69">
        <v>2</v>
      </c>
      <c r="BY69">
        <v>217110</v>
      </c>
      <c r="BZ69">
        <v>0</v>
      </c>
      <c r="CA69" t="s">
        <v>1439</v>
      </c>
      <c r="CB69" t="s">
        <v>227</v>
      </c>
      <c r="CC69" t="s">
        <v>1440</v>
      </c>
      <c r="CD69">
        <v>0</v>
      </c>
      <c r="CE69">
        <v>2</v>
      </c>
      <c r="CF69" t="s">
        <v>635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 t="s">
        <v>88</v>
      </c>
      <c r="CT69" t="s">
        <v>1441</v>
      </c>
      <c r="CU69" t="s">
        <v>1442</v>
      </c>
      <c r="CV69" t="s">
        <v>1442</v>
      </c>
    </row>
    <row r="70" spans="1:100">
      <c r="A70" t="s">
        <v>1431</v>
      </c>
      <c r="B70" t="s">
        <v>34</v>
      </c>
      <c r="C70" t="s">
        <v>1660</v>
      </c>
      <c r="D70" t="s">
        <v>1661</v>
      </c>
      <c r="E70" t="s">
        <v>1495</v>
      </c>
      <c r="F70" t="s">
        <v>1535</v>
      </c>
      <c r="G70" t="s">
        <v>1662</v>
      </c>
      <c r="H70" t="s">
        <v>1584</v>
      </c>
      <c r="I70" t="s">
        <v>240</v>
      </c>
      <c r="J70" t="s">
        <v>46</v>
      </c>
      <c r="K70" t="s">
        <v>29</v>
      </c>
      <c r="L70" t="s">
        <v>30</v>
      </c>
      <c r="M70">
        <v>199</v>
      </c>
      <c r="N70" t="s">
        <v>32</v>
      </c>
      <c r="O70" t="s">
        <v>32</v>
      </c>
      <c r="Q70" t="s">
        <v>32</v>
      </c>
      <c r="S70" t="s">
        <v>40</v>
      </c>
      <c r="T70">
        <v>46081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AA70" t="s">
        <v>88</v>
      </c>
      <c r="AB70" t="s">
        <v>32</v>
      </c>
      <c r="AE70" t="s">
        <v>32</v>
      </c>
      <c r="AH70" t="s">
        <v>32</v>
      </c>
      <c r="AK70" t="s">
        <v>32</v>
      </c>
      <c r="AN70" t="s">
        <v>32</v>
      </c>
      <c r="AO70" t="s">
        <v>32</v>
      </c>
      <c r="AR70">
        <v>0</v>
      </c>
      <c r="AU70" t="s">
        <v>32</v>
      </c>
      <c r="AV70">
        <v>2223339</v>
      </c>
      <c r="AW70" t="s">
        <v>32</v>
      </c>
      <c r="AX70" t="s">
        <v>32</v>
      </c>
      <c r="AY70" t="s">
        <v>356</v>
      </c>
      <c r="AZ70">
        <v>27</v>
      </c>
      <c r="BA70">
        <v>3088757</v>
      </c>
      <c r="BB70">
        <v>0.16</v>
      </c>
      <c r="BC70">
        <v>494300</v>
      </c>
      <c r="BD70" t="s">
        <v>142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494300</v>
      </c>
      <c r="BK70" t="s">
        <v>25</v>
      </c>
      <c r="BL70" t="s">
        <v>1064</v>
      </c>
      <c r="BM70">
        <v>27</v>
      </c>
      <c r="BN70">
        <v>3088757</v>
      </c>
      <c r="BO70">
        <v>0.04</v>
      </c>
      <c r="BP70">
        <v>123600</v>
      </c>
      <c r="BQ70">
        <v>0</v>
      </c>
      <c r="BR70" t="s">
        <v>1438</v>
      </c>
      <c r="BS70">
        <v>0</v>
      </c>
      <c r="BT70" t="s">
        <v>1438</v>
      </c>
      <c r="BU70">
        <v>0</v>
      </c>
      <c r="BV70" t="s">
        <v>25</v>
      </c>
      <c r="BW70" t="s">
        <v>189</v>
      </c>
      <c r="BX70">
        <v>27</v>
      </c>
      <c r="BY70">
        <v>3088757</v>
      </c>
      <c r="BZ70">
        <v>6.9599999999999995E-2</v>
      </c>
      <c r="CA70" t="s">
        <v>1439</v>
      </c>
      <c r="CB70" t="s">
        <v>227</v>
      </c>
      <c r="CC70" t="s">
        <v>1440</v>
      </c>
      <c r="CD70">
        <v>215000</v>
      </c>
      <c r="CE70">
        <v>27</v>
      </c>
      <c r="CF70" t="s">
        <v>635</v>
      </c>
      <c r="CG70">
        <v>3490022</v>
      </c>
      <c r="CH70">
        <v>0.04</v>
      </c>
      <c r="CI70">
        <v>139700</v>
      </c>
      <c r="CJ70">
        <v>3490022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 t="s">
        <v>88</v>
      </c>
      <c r="CT70" t="s">
        <v>1441</v>
      </c>
      <c r="CU70" t="s">
        <v>1442</v>
      </c>
      <c r="CV70" t="s">
        <v>1442</v>
      </c>
    </row>
    <row r="71" spans="1:100">
      <c r="A71" t="s">
        <v>1431</v>
      </c>
      <c r="B71" t="s">
        <v>34</v>
      </c>
      <c r="C71" t="s">
        <v>1663</v>
      </c>
      <c r="D71" t="s">
        <v>1664</v>
      </c>
      <c r="E71" t="s">
        <v>1587</v>
      </c>
      <c r="F71" t="s">
        <v>1471</v>
      </c>
      <c r="G71" t="s">
        <v>1665</v>
      </c>
      <c r="H71" t="s">
        <v>1666</v>
      </c>
      <c r="I71" t="s">
        <v>240</v>
      </c>
      <c r="J71" t="s">
        <v>46</v>
      </c>
      <c r="K71" t="s">
        <v>29</v>
      </c>
      <c r="L71" t="s">
        <v>30</v>
      </c>
      <c r="M71">
        <v>0</v>
      </c>
      <c r="N71" t="s">
        <v>32</v>
      </c>
      <c r="O71" t="s">
        <v>32</v>
      </c>
      <c r="Q71" t="s">
        <v>32</v>
      </c>
      <c r="S71" t="s">
        <v>32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AA71" t="s">
        <v>32</v>
      </c>
      <c r="AB71" t="s">
        <v>32</v>
      </c>
      <c r="AE71" t="s">
        <v>32</v>
      </c>
      <c r="AH71" t="s">
        <v>32</v>
      </c>
      <c r="AK71" t="s">
        <v>128</v>
      </c>
      <c r="AL71">
        <v>46069</v>
      </c>
      <c r="AM71">
        <v>46069</v>
      </c>
      <c r="AN71" t="s">
        <v>32</v>
      </c>
      <c r="AO71" t="s">
        <v>32</v>
      </c>
      <c r="AR71">
        <v>0</v>
      </c>
      <c r="AU71" t="s">
        <v>32</v>
      </c>
      <c r="AV71">
        <v>4024292</v>
      </c>
      <c r="AW71" t="s">
        <v>32</v>
      </c>
      <c r="AX71" t="s">
        <v>32</v>
      </c>
      <c r="AY71" t="s">
        <v>317</v>
      </c>
      <c r="AZ71">
        <v>1</v>
      </c>
      <c r="BA71">
        <v>134144</v>
      </c>
      <c r="BB71">
        <v>0.16</v>
      </c>
      <c r="BC71">
        <v>21500</v>
      </c>
      <c r="BD71" t="s">
        <v>142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21500</v>
      </c>
      <c r="BK71" t="s">
        <v>25</v>
      </c>
      <c r="BL71" t="s">
        <v>1071</v>
      </c>
      <c r="BM71">
        <v>1</v>
      </c>
      <c r="BN71">
        <v>134144</v>
      </c>
      <c r="BO71">
        <v>0.04</v>
      </c>
      <c r="BP71">
        <v>5400</v>
      </c>
      <c r="BQ71">
        <v>0</v>
      </c>
      <c r="BR71" t="s">
        <v>1438</v>
      </c>
      <c r="BS71">
        <v>0</v>
      </c>
      <c r="BT71" t="s">
        <v>1438</v>
      </c>
      <c r="BU71">
        <v>0</v>
      </c>
      <c r="BV71" t="s">
        <v>25</v>
      </c>
      <c r="BW71" t="s">
        <v>189</v>
      </c>
      <c r="BX71">
        <v>1</v>
      </c>
      <c r="BY71">
        <v>134144</v>
      </c>
      <c r="BZ71">
        <v>0</v>
      </c>
      <c r="CA71" t="s">
        <v>1439</v>
      </c>
      <c r="CB71" t="s">
        <v>227</v>
      </c>
      <c r="CC71" t="s">
        <v>1440</v>
      </c>
      <c r="CD71">
        <v>0</v>
      </c>
      <c r="CE71">
        <v>1</v>
      </c>
      <c r="CF71" t="s">
        <v>635</v>
      </c>
      <c r="CG71">
        <v>134144</v>
      </c>
      <c r="CH71">
        <v>0.04</v>
      </c>
      <c r="CI71">
        <v>5400</v>
      </c>
      <c r="CJ71">
        <v>134144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 t="s">
        <v>88</v>
      </c>
      <c r="CT71" t="s">
        <v>1441</v>
      </c>
      <c r="CU71" t="s">
        <v>1442</v>
      </c>
      <c r="CV71" t="s">
        <v>1442</v>
      </c>
    </row>
    <row r="72" spans="1:100">
      <c r="A72" t="s">
        <v>1431</v>
      </c>
      <c r="B72" t="s">
        <v>34</v>
      </c>
      <c r="C72" t="s">
        <v>1663</v>
      </c>
      <c r="D72" t="s">
        <v>1664</v>
      </c>
      <c r="E72" t="s">
        <v>1587</v>
      </c>
      <c r="F72" t="s">
        <v>1471</v>
      </c>
      <c r="G72" t="s">
        <v>1665</v>
      </c>
      <c r="H72" t="s">
        <v>1666</v>
      </c>
      <c r="I72" t="s">
        <v>240</v>
      </c>
      <c r="J72" t="s">
        <v>46</v>
      </c>
      <c r="K72" t="s">
        <v>29</v>
      </c>
      <c r="L72" t="s">
        <v>30</v>
      </c>
      <c r="M72">
        <v>171</v>
      </c>
      <c r="N72" t="s">
        <v>32</v>
      </c>
      <c r="O72" t="s">
        <v>32</v>
      </c>
      <c r="Q72" t="s">
        <v>32</v>
      </c>
      <c r="S72" t="s">
        <v>32</v>
      </c>
      <c r="U72" t="s">
        <v>32</v>
      </c>
      <c r="V72" t="s">
        <v>32</v>
      </c>
      <c r="W72" t="s">
        <v>32</v>
      </c>
      <c r="X72" t="s">
        <v>32</v>
      </c>
      <c r="Y72" t="s">
        <v>88</v>
      </c>
      <c r="Z72">
        <v>46054</v>
      </c>
      <c r="AA72" t="s">
        <v>32</v>
      </c>
      <c r="AB72" t="s">
        <v>32</v>
      </c>
      <c r="AE72" t="s">
        <v>32</v>
      </c>
      <c r="AH72" t="s">
        <v>32</v>
      </c>
      <c r="AK72" t="s">
        <v>32</v>
      </c>
      <c r="AN72" t="s">
        <v>32</v>
      </c>
      <c r="AO72" t="s">
        <v>32</v>
      </c>
      <c r="AR72">
        <v>0</v>
      </c>
      <c r="AU72" t="s">
        <v>32</v>
      </c>
      <c r="AV72">
        <v>4024292</v>
      </c>
      <c r="AW72" t="s">
        <v>32</v>
      </c>
      <c r="AX72" t="s">
        <v>32</v>
      </c>
      <c r="AY72" t="s">
        <v>317</v>
      </c>
      <c r="AZ72">
        <v>29</v>
      </c>
      <c r="BA72">
        <v>3890149</v>
      </c>
      <c r="BB72">
        <v>0.16</v>
      </c>
      <c r="BC72">
        <v>622500</v>
      </c>
      <c r="BD72" t="s">
        <v>142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622500</v>
      </c>
      <c r="BK72" t="s">
        <v>25</v>
      </c>
      <c r="BL72" t="s">
        <v>1071</v>
      </c>
      <c r="BM72">
        <v>29</v>
      </c>
      <c r="BN72">
        <v>3890149</v>
      </c>
      <c r="BO72">
        <v>0.04</v>
      </c>
      <c r="BP72">
        <v>155700</v>
      </c>
      <c r="BQ72">
        <v>0</v>
      </c>
      <c r="BR72" t="s">
        <v>1438</v>
      </c>
      <c r="BS72">
        <v>0</v>
      </c>
      <c r="BT72" t="s">
        <v>1438</v>
      </c>
      <c r="BU72">
        <v>0</v>
      </c>
      <c r="BV72" t="s">
        <v>25</v>
      </c>
      <c r="BW72" t="s">
        <v>189</v>
      </c>
      <c r="BX72">
        <v>29</v>
      </c>
      <c r="BY72">
        <v>3890149</v>
      </c>
      <c r="BZ72">
        <v>6.9599999999999995E-2</v>
      </c>
      <c r="CA72" t="s">
        <v>1439</v>
      </c>
      <c r="CB72" t="s">
        <v>227</v>
      </c>
      <c r="CC72" t="s">
        <v>1440</v>
      </c>
      <c r="CD72">
        <v>270800</v>
      </c>
      <c r="CE72">
        <v>29</v>
      </c>
      <c r="CF72" t="s">
        <v>635</v>
      </c>
      <c r="CG72">
        <v>3890149</v>
      </c>
      <c r="CH72">
        <v>0.04</v>
      </c>
      <c r="CI72">
        <v>155700</v>
      </c>
      <c r="CJ72">
        <v>3890149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 t="s">
        <v>88</v>
      </c>
      <c r="CT72" t="s">
        <v>1441</v>
      </c>
      <c r="CU72" t="s">
        <v>1442</v>
      </c>
      <c r="CV72" t="s">
        <v>1442</v>
      </c>
    </row>
    <row r="73" spans="1:100">
      <c r="A73" t="s">
        <v>1431</v>
      </c>
      <c r="B73" t="s">
        <v>34</v>
      </c>
      <c r="C73" t="s">
        <v>1667</v>
      </c>
      <c r="D73" t="s">
        <v>1668</v>
      </c>
      <c r="E73" t="s">
        <v>1669</v>
      </c>
      <c r="F73" t="s">
        <v>982</v>
      </c>
      <c r="G73" t="s">
        <v>1670</v>
      </c>
      <c r="H73" t="s">
        <v>1558</v>
      </c>
      <c r="I73" t="s">
        <v>240</v>
      </c>
      <c r="J73" t="s">
        <v>46</v>
      </c>
      <c r="K73" t="s">
        <v>29</v>
      </c>
      <c r="L73" t="s">
        <v>30</v>
      </c>
      <c r="M73">
        <v>188</v>
      </c>
      <c r="N73" t="s">
        <v>32</v>
      </c>
      <c r="O73" t="s">
        <v>32</v>
      </c>
      <c r="Q73" t="s">
        <v>32</v>
      </c>
      <c r="S73" t="s">
        <v>32</v>
      </c>
      <c r="U73" t="s">
        <v>32</v>
      </c>
      <c r="V73" t="s">
        <v>32</v>
      </c>
      <c r="W73" t="s">
        <v>32</v>
      </c>
      <c r="X73" t="s">
        <v>32</v>
      </c>
      <c r="Y73" t="s">
        <v>88</v>
      </c>
      <c r="Z73">
        <v>46054</v>
      </c>
      <c r="AA73" t="s">
        <v>32</v>
      </c>
      <c r="AB73" t="s">
        <v>32</v>
      </c>
      <c r="AE73" t="s">
        <v>32</v>
      </c>
      <c r="AH73" t="s">
        <v>32</v>
      </c>
      <c r="AK73" t="s">
        <v>32</v>
      </c>
      <c r="AN73" t="s">
        <v>32</v>
      </c>
      <c r="AO73" t="s">
        <v>32</v>
      </c>
      <c r="AR73">
        <v>0</v>
      </c>
      <c r="AU73" t="s">
        <v>32</v>
      </c>
      <c r="AV73">
        <v>9740088</v>
      </c>
      <c r="AW73" t="s">
        <v>32</v>
      </c>
      <c r="AX73" t="s">
        <v>88</v>
      </c>
      <c r="AY73" t="s">
        <v>137</v>
      </c>
      <c r="AZ73">
        <v>30</v>
      </c>
      <c r="BA73">
        <v>9740088</v>
      </c>
      <c r="BB73">
        <v>0.16</v>
      </c>
      <c r="BC73">
        <v>1558500</v>
      </c>
      <c r="BD73" t="s">
        <v>142</v>
      </c>
      <c r="BE73">
        <v>0</v>
      </c>
      <c r="BF73">
        <v>0</v>
      </c>
      <c r="BG73">
        <v>48800</v>
      </c>
      <c r="BH73">
        <v>48800</v>
      </c>
      <c r="BI73">
        <v>0</v>
      </c>
      <c r="BJ73">
        <v>1656100</v>
      </c>
      <c r="BK73" t="s">
        <v>25</v>
      </c>
      <c r="BL73" t="s">
        <v>635</v>
      </c>
      <c r="BM73">
        <v>30</v>
      </c>
      <c r="BN73">
        <v>9740088</v>
      </c>
      <c r="BO73">
        <v>0.04</v>
      </c>
      <c r="BP73">
        <v>389700</v>
      </c>
      <c r="BQ73">
        <v>0</v>
      </c>
      <c r="BR73" t="s">
        <v>1438</v>
      </c>
      <c r="BS73">
        <v>0</v>
      </c>
      <c r="BT73" t="s">
        <v>1438</v>
      </c>
      <c r="BU73">
        <v>0</v>
      </c>
      <c r="BV73" t="s">
        <v>25</v>
      </c>
      <c r="BW73" t="s">
        <v>189</v>
      </c>
      <c r="BX73">
        <v>30</v>
      </c>
      <c r="BY73">
        <v>9740088</v>
      </c>
      <c r="BZ73">
        <v>6.9599999999999995E-2</v>
      </c>
      <c r="CA73" t="s">
        <v>1439</v>
      </c>
      <c r="CB73" t="s">
        <v>227</v>
      </c>
      <c r="CC73" t="s">
        <v>1440</v>
      </c>
      <c r="CD73">
        <v>678000</v>
      </c>
      <c r="CE73">
        <v>30</v>
      </c>
      <c r="CF73" t="s">
        <v>635</v>
      </c>
      <c r="CG73">
        <v>9740088</v>
      </c>
      <c r="CH73">
        <v>0.04</v>
      </c>
      <c r="CI73">
        <v>389700</v>
      </c>
      <c r="CJ73">
        <v>9740088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 t="s">
        <v>88</v>
      </c>
      <c r="CT73" t="s">
        <v>1441</v>
      </c>
      <c r="CU73" t="s">
        <v>1442</v>
      </c>
      <c r="CV73" t="s">
        <v>1442</v>
      </c>
    </row>
    <row r="74" spans="1:100">
      <c r="A74" t="s">
        <v>1431</v>
      </c>
      <c r="B74" t="s">
        <v>34</v>
      </c>
      <c r="C74" t="s">
        <v>1671</v>
      </c>
      <c r="D74" t="s">
        <v>1672</v>
      </c>
      <c r="E74" t="s">
        <v>1535</v>
      </c>
      <c r="F74" t="s">
        <v>563</v>
      </c>
      <c r="G74" t="s">
        <v>1673</v>
      </c>
      <c r="H74" t="s">
        <v>1674</v>
      </c>
      <c r="I74" t="s">
        <v>240</v>
      </c>
      <c r="J74" t="s">
        <v>46</v>
      </c>
      <c r="K74" t="s">
        <v>29</v>
      </c>
      <c r="L74" t="s">
        <v>30</v>
      </c>
      <c r="M74">
        <v>180</v>
      </c>
      <c r="N74" t="s">
        <v>32</v>
      </c>
      <c r="O74" t="s">
        <v>32</v>
      </c>
      <c r="Q74" t="s">
        <v>32</v>
      </c>
      <c r="S74" t="s">
        <v>32</v>
      </c>
      <c r="U74" t="s">
        <v>32</v>
      </c>
      <c r="V74" t="s">
        <v>32</v>
      </c>
      <c r="W74" t="s">
        <v>32</v>
      </c>
      <c r="X74" t="s">
        <v>32</v>
      </c>
      <c r="Y74" t="s">
        <v>88</v>
      </c>
      <c r="Z74">
        <v>46054</v>
      </c>
      <c r="AA74" t="s">
        <v>32</v>
      </c>
      <c r="AB74" t="s">
        <v>32</v>
      </c>
      <c r="AE74" t="s">
        <v>32</v>
      </c>
      <c r="AH74" t="s">
        <v>32</v>
      </c>
      <c r="AK74" t="s">
        <v>32</v>
      </c>
      <c r="AN74" t="s">
        <v>32</v>
      </c>
      <c r="AO74" t="s">
        <v>32</v>
      </c>
      <c r="AR74">
        <v>0</v>
      </c>
      <c r="AU74" t="s">
        <v>32</v>
      </c>
      <c r="AV74">
        <v>8812118</v>
      </c>
      <c r="AW74" t="s">
        <v>32</v>
      </c>
      <c r="AX74" t="s">
        <v>32</v>
      </c>
      <c r="AY74" t="s">
        <v>137</v>
      </c>
      <c r="AZ74">
        <v>30</v>
      </c>
      <c r="BA74">
        <v>8812118</v>
      </c>
      <c r="BB74">
        <v>0.16</v>
      </c>
      <c r="BC74">
        <v>1410000</v>
      </c>
      <c r="BD74" t="s">
        <v>142</v>
      </c>
      <c r="BE74">
        <v>0</v>
      </c>
      <c r="BF74">
        <v>0</v>
      </c>
      <c r="BG74">
        <v>44100</v>
      </c>
      <c r="BH74">
        <v>44100</v>
      </c>
      <c r="BI74">
        <v>0</v>
      </c>
      <c r="BJ74">
        <v>1498200</v>
      </c>
      <c r="BK74" t="s">
        <v>25</v>
      </c>
      <c r="BL74" t="s">
        <v>635</v>
      </c>
      <c r="BM74">
        <v>30</v>
      </c>
      <c r="BN74">
        <v>8812118</v>
      </c>
      <c r="BO74">
        <v>0.04</v>
      </c>
      <c r="BP74">
        <v>352500</v>
      </c>
      <c r="BQ74">
        <v>0</v>
      </c>
      <c r="BR74" t="s">
        <v>1438</v>
      </c>
      <c r="BS74">
        <v>0</v>
      </c>
      <c r="BT74" t="s">
        <v>1438</v>
      </c>
      <c r="BU74">
        <v>0</v>
      </c>
      <c r="BV74" t="s">
        <v>25</v>
      </c>
      <c r="BW74" t="s">
        <v>189</v>
      </c>
      <c r="BX74">
        <v>30</v>
      </c>
      <c r="BY74">
        <v>8812118</v>
      </c>
      <c r="BZ74">
        <v>6.9599999999999995E-2</v>
      </c>
      <c r="CA74" t="s">
        <v>1439</v>
      </c>
      <c r="CB74" t="s">
        <v>227</v>
      </c>
      <c r="CC74" t="s">
        <v>1440</v>
      </c>
      <c r="CD74">
        <v>613400</v>
      </c>
      <c r="CE74">
        <v>30</v>
      </c>
      <c r="CF74" t="s">
        <v>635</v>
      </c>
      <c r="CG74">
        <v>8812118</v>
      </c>
      <c r="CH74">
        <v>0.04</v>
      </c>
      <c r="CI74">
        <v>352500</v>
      </c>
      <c r="CJ74">
        <v>8812118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 t="s">
        <v>88</v>
      </c>
      <c r="CT74" t="s">
        <v>1441</v>
      </c>
      <c r="CU74" t="s">
        <v>1442</v>
      </c>
      <c r="CV74" t="s">
        <v>1442</v>
      </c>
    </row>
    <row r="75" spans="1:100">
      <c r="A75" t="s">
        <v>1431</v>
      </c>
      <c r="B75" t="s">
        <v>34</v>
      </c>
      <c r="C75" t="s">
        <v>1675</v>
      </c>
      <c r="D75" t="s">
        <v>1676</v>
      </c>
      <c r="E75" t="s">
        <v>1677</v>
      </c>
      <c r="F75" t="s">
        <v>1678</v>
      </c>
      <c r="G75" t="s">
        <v>1679</v>
      </c>
      <c r="H75" t="s">
        <v>1680</v>
      </c>
      <c r="I75" t="s">
        <v>240</v>
      </c>
      <c r="J75" t="s">
        <v>46</v>
      </c>
      <c r="K75" t="s">
        <v>29</v>
      </c>
      <c r="L75" t="s">
        <v>30</v>
      </c>
      <c r="M75">
        <v>0</v>
      </c>
      <c r="N75" t="s">
        <v>32</v>
      </c>
      <c r="O75" t="s">
        <v>32</v>
      </c>
      <c r="Q75" t="s">
        <v>32</v>
      </c>
      <c r="S75" t="s">
        <v>32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AA75" t="s">
        <v>32</v>
      </c>
      <c r="AB75" t="s">
        <v>32</v>
      </c>
      <c r="AE75" t="s">
        <v>32</v>
      </c>
      <c r="AH75" t="s">
        <v>32</v>
      </c>
      <c r="AK75" t="s">
        <v>128</v>
      </c>
      <c r="AL75">
        <v>46054</v>
      </c>
      <c r="AM75">
        <v>46054</v>
      </c>
      <c r="AN75" t="s">
        <v>32</v>
      </c>
      <c r="AO75" t="s">
        <v>32</v>
      </c>
      <c r="AR75">
        <v>0</v>
      </c>
      <c r="AU75" t="s">
        <v>32</v>
      </c>
      <c r="AV75">
        <v>3639331</v>
      </c>
      <c r="AW75" t="s">
        <v>32</v>
      </c>
      <c r="AX75" t="s">
        <v>32</v>
      </c>
      <c r="AY75" t="s">
        <v>356</v>
      </c>
      <c r="AZ75">
        <v>1</v>
      </c>
      <c r="BA75">
        <v>121312</v>
      </c>
      <c r="BB75">
        <v>0.16</v>
      </c>
      <c r="BC75">
        <v>19500</v>
      </c>
      <c r="BD75" t="s">
        <v>142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19500</v>
      </c>
      <c r="BK75" t="s">
        <v>25</v>
      </c>
      <c r="BL75" t="s">
        <v>1064</v>
      </c>
      <c r="BM75">
        <v>1</v>
      </c>
      <c r="BN75">
        <v>121312</v>
      </c>
      <c r="BO75">
        <v>0.04</v>
      </c>
      <c r="BP75">
        <v>4900</v>
      </c>
      <c r="BQ75">
        <v>0</v>
      </c>
      <c r="BR75" t="s">
        <v>1438</v>
      </c>
      <c r="BS75">
        <v>0</v>
      </c>
      <c r="BT75" t="s">
        <v>1438</v>
      </c>
      <c r="BU75">
        <v>0</v>
      </c>
      <c r="BV75" t="s">
        <v>25</v>
      </c>
      <c r="BW75" t="s">
        <v>189</v>
      </c>
      <c r="BX75">
        <v>1</v>
      </c>
      <c r="BY75">
        <v>121312</v>
      </c>
      <c r="BZ75">
        <v>0</v>
      </c>
      <c r="CA75" t="s">
        <v>1439</v>
      </c>
      <c r="CB75" t="s">
        <v>227</v>
      </c>
      <c r="CC75" t="s">
        <v>1440</v>
      </c>
      <c r="CD75">
        <v>0</v>
      </c>
      <c r="CE75">
        <v>1</v>
      </c>
      <c r="CF75" t="s">
        <v>635</v>
      </c>
      <c r="CG75">
        <v>121312</v>
      </c>
      <c r="CH75">
        <v>0.04</v>
      </c>
      <c r="CI75">
        <v>4900</v>
      </c>
      <c r="CJ75">
        <v>121312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 t="s">
        <v>88</v>
      </c>
      <c r="CT75" t="s">
        <v>1441</v>
      </c>
      <c r="CU75" t="s">
        <v>1442</v>
      </c>
      <c r="CV75" t="s">
        <v>1442</v>
      </c>
    </row>
    <row r="76" spans="1:100">
      <c r="A76" t="s">
        <v>1431</v>
      </c>
      <c r="B76" t="s">
        <v>34</v>
      </c>
      <c r="C76" t="s">
        <v>1675</v>
      </c>
      <c r="D76" t="s">
        <v>1676</v>
      </c>
      <c r="E76" t="s">
        <v>1677</v>
      </c>
      <c r="F76" t="s">
        <v>1678</v>
      </c>
      <c r="G76" t="s">
        <v>1679</v>
      </c>
      <c r="H76" t="s">
        <v>1680</v>
      </c>
      <c r="I76" t="s">
        <v>240</v>
      </c>
      <c r="J76" t="s">
        <v>46</v>
      </c>
      <c r="K76" t="s">
        <v>29</v>
      </c>
      <c r="L76" t="s">
        <v>30</v>
      </c>
      <c r="M76">
        <v>180</v>
      </c>
      <c r="N76" t="s">
        <v>32</v>
      </c>
      <c r="O76" t="s">
        <v>32</v>
      </c>
      <c r="Q76" t="s">
        <v>32</v>
      </c>
      <c r="S76" t="s">
        <v>32</v>
      </c>
      <c r="U76" t="s">
        <v>32</v>
      </c>
      <c r="V76" t="s">
        <v>32</v>
      </c>
      <c r="W76" t="s">
        <v>32</v>
      </c>
      <c r="X76" t="s">
        <v>32</v>
      </c>
      <c r="Y76" t="s">
        <v>88</v>
      </c>
      <c r="Z76">
        <v>46054</v>
      </c>
      <c r="AA76" t="s">
        <v>88</v>
      </c>
      <c r="AB76" t="s">
        <v>32</v>
      </c>
      <c r="AE76" t="s">
        <v>32</v>
      </c>
      <c r="AH76" t="s">
        <v>32</v>
      </c>
      <c r="AK76" t="s">
        <v>32</v>
      </c>
      <c r="AN76" t="s">
        <v>32</v>
      </c>
      <c r="AO76" t="s">
        <v>32</v>
      </c>
      <c r="AR76">
        <v>0</v>
      </c>
      <c r="AU76" t="s">
        <v>32</v>
      </c>
      <c r="AV76">
        <v>3639331</v>
      </c>
      <c r="AW76" t="s">
        <v>32</v>
      </c>
      <c r="AX76" t="s">
        <v>32</v>
      </c>
      <c r="AY76" t="s">
        <v>356</v>
      </c>
      <c r="AZ76">
        <v>29</v>
      </c>
      <c r="BA76">
        <v>3710740</v>
      </c>
      <c r="BB76">
        <v>0.16</v>
      </c>
      <c r="BC76">
        <v>593800</v>
      </c>
      <c r="BD76" t="s">
        <v>142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593800</v>
      </c>
      <c r="BK76" t="s">
        <v>25</v>
      </c>
      <c r="BL76" t="s">
        <v>1064</v>
      </c>
      <c r="BM76">
        <v>29</v>
      </c>
      <c r="BN76">
        <v>3710740</v>
      </c>
      <c r="BO76">
        <v>0.04</v>
      </c>
      <c r="BP76">
        <v>148500</v>
      </c>
      <c r="BQ76">
        <v>0</v>
      </c>
      <c r="BR76" t="s">
        <v>1438</v>
      </c>
      <c r="BS76">
        <v>0</v>
      </c>
      <c r="BT76" t="s">
        <v>1438</v>
      </c>
      <c r="BU76">
        <v>0</v>
      </c>
      <c r="BV76" t="s">
        <v>25</v>
      </c>
      <c r="BW76" t="s">
        <v>189</v>
      </c>
      <c r="BX76">
        <v>29</v>
      </c>
      <c r="BY76">
        <v>3710740</v>
      </c>
      <c r="BZ76">
        <v>6.9599999999999995E-2</v>
      </c>
      <c r="CA76" t="s">
        <v>1439</v>
      </c>
      <c r="CB76" t="s">
        <v>227</v>
      </c>
      <c r="CC76" t="s">
        <v>1440</v>
      </c>
      <c r="CD76">
        <v>258300</v>
      </c>
      <c r="CE76">
        <v>29</v>
      </c>
      <c r="CF76" t="s">
        <v>635</v>
      </c>
      <c r="CG76">
        <v>3710740</v>
      </c>
      <c r="CH76">
        <v>0.04</v>
      </c>
      <c r="CI76">
        <v>148500</v>
      </c>
      <c r="CJ76">
        <v>3710740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 t="s">
        <v>88</v>
      </c>
      <c r="CT76" t="s">
        <v>1441</v>
      </c>
      <c r="CU76" t="s">
        <v>1442</v>
      </c>
      <c r="CV76" t="s">
        <v>1442</v>
      </c>
    </row>
    <row r="77" spans="1:100">
      <c r="A77" t="s">
        <v>1431</v>
      </c>
      <c r="B77" t="s">
        <v>34</v>
      </c>
      <c r="C77" t="s">
        <v>1681</v>
      </c>
      <c r="D77" t="s">
        <v>1682</v>
      </c>
      <c r="E77" t="s">
        <v>1218</v>
      </c>
      <c r="F77" t="s">
        <v>1683</v>
      </c>
      <c r="G77" t="s">
        <v>1684</v>
      </c>
      <c r="H77" t="s">
        <v>1685</v>
      </c>
      <c r="I77" t="s">
        <v>240</v>
      </c>
      <c r="J77" t="s">
        <v>46</v>
      </c>
      <c r="K77" t="s">
        <v>29</v>
      </c>
      <c r="L77" t="s">
        <v>30</v>
      </c>
      <c r="M77">
        <v>188</v>
      </c>
      <c r="N77" t="s">
        <v>32</v>
      </c>
      <c r="O77" t="s">
        <v>32</v>
      </c>
      <c r="Q77" t="s">
        <v>32</v>
      </c>
      <c r="S77" t="s">
        <v>32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AA77" t="s">
        <v>32</v>
      </c>
      <c r="AB77" t="s">
        <v>32</v>
      </c>
      <c r="AE77" t="s">
        <v>32</v>
      </c>
      <c r="AH77" t="s">
        <v>32</v>
      </c>
      <c r="AK77" t="s">
        <v>32</v>
      </c>
      <c r="AN77" t="s">
        <v>32</v>
      </c>
      <c r="AO77" t="s">
        <v>32</v>
      </c>
      <c r="AR77">
        <v>0</v>
      </c>
      <c r="AU77" t="s">
        <v>32</v>
      </c>
      <c r="AV77">
        <v>1750905</v>
      </c>
      <c r="AW77" t="s">
        <v>32</v>
      </c>
      <c r="AX77" t="s">
        <v>32</v>
      </c>
      <c r="AY77" t="s">
        <v>356</v>
      </c>
      <c r="AZ77">
        <v>30</v>
      </c>
      <c r="BA77">
        <v>1750905</v>
      </c>
      <c r="BB77">
        <v>0.16</v>
      </c>
      <c r="BC77">
        <v>280200</v>
      </c>
      <c r="BD77" t="s">
        <v>142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280200</v>
      </c>
      <c r="BK77" t="s">
        <v>25</v>
      </c>
      <c r="BL77" t="s">
        <v>1071</v>
      </c>
      <c r="BM77">
        <v>30</v>
      </c>
      <c r="BN77">
        <v>1750905</v>
      </c>
      <c r="BO77">
        <v>0.04</v>
      </c>
      <c r="BP77">
        <v>70100</v>
      </c>
      <c r="BQ77">
        <v>0</v>
      </c>
      <c r="BR77" t="s">
        <v>1438</v>
      </c>
      <c r="BS77">
        <v>0</v>
      </c>
      <c r="BT77" t="s">
        <v>1438</v>
      </c>
      <c r="BU77">
        <v>0</v>
      </c>
      <c r="BV77" t="s">
        <v>25</v>
      </c>
      <c r="BW77" t="s">
        <v>189</v>
      </c>
      <c r="BX77">
        <v>30</v>
      </c>
      <c r="BY77">
        <v>1750905</v>
      </c>
      <c r="BZ77">
        <v>5.2199999999999998E-3</v>
      </c>
      <c r="CA77" t="s">
        <v>1592</v>
      </c>
      <c r="CB77" t="s">
        <v>227</v>
      </c>
      <c r="CC77" t="s">
        <v>1593</v>
      </c>
      <c r="CD77">
        <v>9200</v>
      </c>
      <c r="CE77">
        <v>30</v>
      </c>
      <c r="CF77" t="s">
        <v>635</v>
      </c>
      <c r="CG77">
        <v>1750905</v>
      </c>
      <c r="CH77">
        <v>0.04</v>
      </c>
      <c r="CI77">
        <v>70100</v>
      </c>
      <c r="CJ77">
        <v>1750905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 t="s">
        <v>88</v>
      </c>
      <c r="CT77" t="s">
        <v>1441</v>
      </c>
      <c r="CU77" t="s">
        <v>1442</v>
      </c>
      <c r="CV77" t="s">
        <v>1442</v>
      </c>
    </row>
    <row r="78" spans="1:100">
      <c r="A78" t="s">
        <v>1431</v>
      </c>
      <c r="B78" t="s">
        <v>34</v>
      </c>
      <c r="C78" t="s">
        <v>1686</v>
      </c>
      <c r="D78" t="s">
        <v>1687</v>
      </c>
      <c r="E78" t="s">
        <v>1688</v>
      </c>
      <c r="F78" t="s">
        <v>1689</v>
      </c>
      <c r="G78" t="s">
        <v>1455</v>
      </c>
      <c r="H78" t="s">
        <v>1613</v>
      </c>
      <c r="I78" t="s">
        <v>240</v>
      </c>
      <c r="J78" t="s">
        <v>46</v>
      </c>
      <c r="K78" t="s">
        <v>29</v>
      </c>
      <c r="L78" t="s">
        <v>30</v>
      </c>
      <c r="M78">
        <v>0</v>
      </c>
      <c r="N78" t="s">
        <v>32</v>
      </c>
      <c r="O78" t="s">
        <v>32</v>
      </c>
      <c r="Q78" t="s">
        <v>32</v>
      </c>
      <c r="S78" t="s">
        <v>32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AA78" t="s">
        <v>32</v>
      </c>
      <c r="AB78" t="s">
        <v>32</v>
      </c>
      <c r="AE78" t="s">
        <v>32</v>
      </c>
      <c r="AH78" t="s">
        <v>32</v>
      </c>
      <c r="AK78" t="s">
        <v>128</v>
      </c>
      <c r="AL78">
        <v>46056</v>
      </c>
      <c r="AM78">
        <v>46056</v>
      </c>
      <c r="AN78" t="s">
        <v>32</v>
      </c>
      <c r="AO78" t="s">
        <v>32</v>
      </c>
      <c r="AR78">
        <v>0</v>
      </c>
      <c r="AU78" t="s">
        <v>32</v>
      </c>
      <c r="AV78">
        <v>2074908</v>
      </c>
      <c r="AW78" t="s">
        <v>32</v>
      </c>
      <c r="AX78" t="s">
        <v>32</v>
      </c>
      <c r="AY78" t="s">
        <v>137</v>
      </c>
      <c r="AZ78">
        <v>1</v>
      </c>
      <c r="BA78">
        <v>69164</v>
      </c>
      <c r="BB78">
        <v>0.16</v>
      </c>
      <c r="BC78">
        <v>11100</v>
      </c>
      <c r="BD78" t="s">
        <v>142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11100</v>
      </c>
      <c r="BK78" t="s">
        <v>25</v>
      </c>
      <c r="BL78" t="s">
        <v>885</v>
      </c>
      <c r="BM78">
        <v>1</v>
      </c>
      <c r="BN78">
        <v>69164</v>
      </c>
      <c r="BO78">
        <v>0.04</v>
      </c>
      <c r="BP78">
        <v>2800</v>
      </c>
      <c r="BQ78">
        <v>0</v>
      </c>
      <c r="BR78" t="s">
        <v>1438</v>
      </c>
      <c r="BS78">
        <v>0</v>
      </c>
      <c r="BT78" t="s">
        <v>1438</v>
      </c>
      <c r="BU78">
        <v>0</v>
      </c>
      <c r="BV78" t="s">
        <v>25</v>
      </c>
      <c r="BW78" t="s">
        <v>189</v>
      </c>
      <c r="BX78">
        <v>1</v>
      </c>
      <c r="BY78">
        <v>69164</v>
      </c>
      <c r="BZ78">
        <v>0</v>
      </c>
      <c r="CA78" t="s">
        <v>1439</v>
      </c>
      <c r="CB78" t="s">
        <v>227</v>
      </c>
      <c r="CC78" t="s">
        <v>1440</v>
      </c>
      <c r="CD78">
        <v>0</v>
      </c>
      <c r="CE78">
        <v>1</v>
      </c>
      <c r="CF78" t="s">
        <v>635</v>
      </c>
      <c r="CG78">
        <v>69164</v>
      </c>
      <c r="CH78">
        <v>0.04</v>
      </c>
      <c r="CI78">
        <v>2800</v>
      </c>
      <c r="CJ78">
        <v>69164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 t="s">
        <v>88</v>
      </c>
      <c r="CT78" t="s">
        <v>1441</v>
      </c>
      <c r="CU78" t="s">
        <v>1442</v>
      </c>
      <c r="CV78" t="s">
        <v>1442</v>
      </c>
    </row>
    <row r="79" spans="1:100">
      <c r="A79" t="s">
        <v>1431</v>
      </c>
      <c r="B79" t="s">
        <v>34</v>
      </c>
      <c r="C79" t="s">
        <v>1686</v>
      </c>
      <c r="D79" t="s">
        <v>1687</v>
      </c>
      <c r="E79" t="s">
        <v>1688</v>
      </c>
      <c r="F79" t="s">
        <v>1689</v>
      </c>
      <c r="G79" t="s">
        <v>1455</v>
      </c>
      <c r="H79" t="s">
        <v>1613</v>
      </c>
      <c r="I79" t="s">
        <v>240</v>
      </c>
      <c r="J79" t="s">
        <v>46</v>
      </c>
      <c r="K79" t="s">
        <v>29</v>
      </c>
      <c r="L79" t="s">
        <v>30</v>
      </c>
      <c r="M79">
        <v>0</v>
      </c>
      <c r="N79" t="s">
        <v>32</v>
      </c>
      <c r="O79" t="s">
        <v>32</v>
      </c>
      <c r="Q79" t="s">
        <v>32</v>
      </c>
      <c r="S79" t="s">
        <v>32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AA79" t="s">
        <v>32</v>
      </c>
      <c r="AB79" t="s">
        <v>32</v>
      </c>
      <c r="AE79" t="s">
        <v>1492</v>
      </c>
      <c r="AF79">
        <v>46057</v>
      </c>
      <c r="AG79">
        <v>46058</v>
      </c>
      <c r="AH79" t="s">
        <v>32</v>
      </c>
      <c r="AK79" t="s">
        <v>32</v>
      </c>
      <c r="AN79" t="s">
        <v>32</v>
      </c>
      <c r="AO79" t="s">
        <v>32</v>
      </c>
      <c r="AR79">
        <v>0</v>
      </c>
      <c r="AU79" t="s">
        <v>32</v>
      </c>
      <c r="AV79">
        <v>2074908</v>
      </c>
      <c r="AW79" t="s">
        <v>32</v>
      </c>
      <c r="AX79" t="s">
        <v>32</v>
      </c>
      <c r="AY79" t="s">
        <v>137</v>
      </c>
      <c r="AZ79">
        <v>2</v>
      </c>
      <c r="BA79">
        <v>200102</v>
      </c>
      <c r="BB79">
        <v>0.16</v>
      </c>
      <c r="BC79">
        <v>32100</v>
      </c>
      <c r="BD79" t="s">
        <v>142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32100</v>
      </c>
      <c r="BK79" t="s">
        <v>25</v>
      </c>
      <c r="BL79" t="s">
        <v>885</v>
      </c>
      <c r="BM79">
        <v>2</v>
      </c>
      <c r="BN79">
        <v>200102</v>
      </c>
      <c r="BO79">
        <v>0.04</v>
      </c>
      <c r="BP79">
        <v>8100</v>
      </c>
      <c r="BQ79">
        <v>0</v>
      </c>
      <c r="BR79" t="s">
        <v>1438</v>
      </c>
      <c r="BS79">
        <v>0</v>
      </c>
      <c r="BT79" t="s">
        <v>1438</v>
      </c>
      <c r="BU79">
        <v>0</v>
      </c>
      <c r="BV79" t="s">
        <v>25</v>
      </c>
      <c r="BW79" t="s">
        <v>189</v>
      </c>
      <c r="BX79">
        <v>2</v>
      </c>
      <c r="BY79">
        <v>200102</v>
      </c>
      <c r="BZ79">
        <v>0</v>
      </c>
      <c r="CA79" t="s">
        <v>1439</v>
      </c>
      <c r="CB79" t="s">
        <v>227</v>
      </c>
      <c r="CC79" t="s">
        <v>1440</v>
      </c>
      <c r="CD79">
        <v>0</v>
      </c>
      <c r="CE79">
        <v>2</v>
      </c>
      <c r="CF79" t="s">
        <v>635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 t="s">
        <v>88</v>
      </c>
      <c r="CT79" t="s">
        <v>1441</v>
      </c>
      <c r="CU79" t="s">
        <v>1442</v>
      </c>
      <c r="CV79" t="s">
        <v>1442</v>
      </c>
    </row>
    <row r="80" spans="1:100">
      <c r="A80" t="s">
        <v>1431</v>
      </c>
      <c r="B80" t="s">
        <v>34</v>
      </c>
      <c r="C80" t="s">
        <v>1686</v>
      </c>
      <c r="D80" t="s">
        <v>1687</v>
      </c>
      <c r="E80" t="s">
        <v>1688</v>
      </c>
      <c r="F80" t="s">
        <v>1689</v>
      </c>
      <c r="G80" t="s">
        <v>1455</v>
      </c>
      <c r="H80" t="s">
        <v>1613</v>
      </c>
      <c r="I80" t="s">
        <v>240</v>
      </c>
      <c r="J80" t="s">
        <v>46</v>
      </c>
      <c r="K80" t="s">
        <v>29</v>
      </c>
      <c r="L80" t="s">
        <v>30</v>
      </c>
      <c r="M80">
        <v>188</v>
      </c>
      <c r="N80" t="s">
        <v>32</v>
      </c>
      <c r="O80" t="s">
        <v>32</v>
      </c>
      <c r="Q80" t="s">
        <v>32</v>
      </c>
      <c r="S80" t="s">
        <v>32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AA80" t="s">
        <v>88</v>
      </c>
      <c r="AB80" t="s">
        <v>32</v>
      </c>
      <c r="AE80" t="s">
        <v>32</v>
      </c>
      <c r="AH80" t="s">
        <v>32</v>
      </c>
      <c r="AK80" t="s">
        <v>32</v>
      </c>
      <c r="AN80" t="s">
        <v>32</v>
      </c>
      <c r="AO80" t="s">
        <v>32</v>
      </c>
      <c r="AR80">
        <v>0</v>
      </c>
      <c r="AU80" t="s">
        <v>32</v>
      </c>
      <c r="AV80">
        <v>2074908</v>
      </c>
      <c r="AW80" t="s">
        <v>32</v>
      </c>
      <c r="AX80" t="s">
        <v>32</v>
      </c>
      <c r="AY80" t="s">
        <v>137</v>
      </c>
      <c r="AZ80">
        <v>27</v>
      </c>
      <c r="BA80">
        <v>2700948</v>
      </c>
      <c r="BB80">
        <v>0.16</v>
      </c>
      <c r="BC80">
        <v>432200</v>
      </c>
      <c r="BD80" t="s">
        <v>142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432200</v>
      </c>
      <c r="BK80" t="s">
        <v>25</v>
      </c>
      <c r="BL80" t="s">
        <v>885</v>
      </c>
      <c r="BM80">
        <v>27</v>
      </c>
      <c r="BN80">
        <v>2700948</v>
      </c>
      <c r="BO80">
        <v>0.04</v>
      </c>
      <c r="BP80">
        <v>108100</v>
      </c>
      <c r="BQ80">
        <v>0</v>
      </c>
      <c r="BR80" t="s">
        <v>1438</v>
      </c>
      <c r="BS80">
        <v>0</v>
      </c>
      <c r="BT80" t="s">
        <v>1438</v>
      </c>
      <c r="BU80">
        <v>0</v>
      </c>
      <c r="BV80" t="s">
        <v>25</v>
      </c>
      <c r="BW80" t="s">
        <v>189</v>
      </c>
      <c r="BX80">
        <v>27</v>
      </c>
      <c r="BY80">
        <v>2700948</v>
      </c>
      <c r="BZ80">
        <v>6.9599999999999995E-2</v>
      </c>
      <c r="CA80" t="s">
        <v>1439</v>
      </c>
      <c r="CB80" t="s">
        <v>227</v>
      </c>
      <c r="CC80" t="s">
        <v>1440</v>
      </c>
      <c r="CD80">
        <v>188000</v>
      </c>
      <c r="CE80">
        <v>27</v>
      </c>
      <c r="CF80" t="s">
        <v>635</v>
      </c>
      <c r="CG80">
        <v>2700948</v>
      </c>
      <c r="CH80">
        <v>0.04</v>
      </c>
      <c r="CI80">
        <v>108100</v>
      </c>
      <c r="CJ80">
        <v>2700948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 t="s">
        <v>88</v>
      </c>
      <c r="CT80" t="s">
        <v>1441</v>
      </c>
      <c r="CU80" t="s">
        <v>1442</v>
      </c>
      <c r="CV80" t="s">
        <v>1442</v>
      </c>
    </row>
    <row r="81" spans="1:100">
      <c r="A81" t="s">
        <v>1431</v>
      </c>
      <c r="B81" t="s">
        <v>34</v>
      </c>
      <c r="C81" t="s">
        <v>1690</v>
      </c>
      <c r="D81" t="s">
        <v>1691</v>
      </c>
      <c r="E81" t="s">
        <v>1535</v>
      </c>
      <c r="F81" t="s">
        <v>1692</v>
      </c>
      <c r="G81" t="s">
        <v>1693</v>
      </c>
      <c r="H81" t="s">
        <v>1694</v>
      </c>
      <c r="I81" t="s">
        <v>240</v>
      </c>
      <c r="J81" t="s">
        <v>46</v>
      </c>
      <c r="K81" t="s">
        <v>29</v>
      </c>
      <c r="L81" t="s">
        <v>30</v>
      </c>
      <c r="M81">
        <v>0</v>
      </c>
      <c r="N81" t="s">
        <v>32</v>
      </c>
      <c r="O81" t="s">
        <v>32</v>
      </c>
      <c r="Q81" t="s">
        <v>32</v>
      </c>
      <c r="S81" t="s">
        <v>32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AA81" t="s">
        <v>32</v>
      </c>
      <c r="AB81" t="s">
        <v>37</v>
      </c>
      <c r="AC81">
        <v>46054</v>
      </c>
      <c r="AD81">
        <v>46056</v>
      </c>
      <c r="AE81" t="s">
        <v>32</v>
      </c>
      <c r="AH81" t="s">
        <v>32</v>
      </c>
      <c r="AK81" t="s">
        <v>32</v>
      </c>
      <c r="AN81" t="s">
        <v>32</v>
      </c>
      <c r="AO81" t="s">
        <v>32</v>
      </c>
      <c r="AR81">
        <v>0</v>
      </c>
      <c r="AU81" t="s">
        <v>32</v>
      </c>
      <c r="AV81">
        <v>1785595</v>
      </c>
      <c r="AW81" t="s">
        <v>32</v>
      </c>
      <c r="AX81" t="s">
        <v>32</v>
      </c>
      <c r="AY81" t="s">
        <v>317</v>
      </c>
      <c r="AZ81">
        <v>3</v>
      </c>
      <c r="BA81">
        <v>178560</v>
      </c>
      <c r="BB81">
        <v>0.16</v>
      </c>
      <c r="BC81">
        <v>28600</v>
      </c>
      <c r="BD81" t="s">
        <v>142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28600</v>
      </c>
      <c r="BK81" t="s">
        <v>25</v>
      </c>
      <c r="BL81" t="s">
        <v>1071</v>
      </c>
      <c r="BM81">
        <v>3</v>
      </c>
      <c r="BN81">
        <v>178560</v>
      </c>
      <c r="BO81">
        <v>0</v>
      </c>
      <c r="BP81">
        <v>0</v>
      </c>
      <c r="BQ81">
        <v>0</v>
      </c>
      <c r="BR81" t="s">
        <v>1438</v>
      </c>
      <c r="BS81">
        <v>0</v>
      </c>
      <c r="BT81" t="s">
        <v>1438</v>
      </c>
      <c r="BU81">
        <v>0</v>
      </c>
      <c r="BV81" t="s">
        <v>25</v>
      </c>
      <c r="BW81" t="s">
        <v>189</v>
      </c>
      <c r="BX81">
        <v>3</v>
      </c>
      <c r="BY81">
        <v>178560</v>
      </c>
      <c r="BZ81">
        <v>0</v>
      </c>
      <c r="CA81" t="s">
        <v>1439</v>
      </c>
      <c r="CB81" t="s">
        <v>227</v>
      </c>
      <c r="CC81" t="s">
        <v>1440</v>
      </c>
      <c r="CD81">
        <v>0</v>
      </c>
      <c r="CE81">
        <v>3</v>
      </c>
      <c r="CF81" t="s">
        <v>635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 t="s">
        <v>88</v>
      </c>
      <c r="CT81" t="s">
        <v>1441</v>
      </c>
      <c r="CU81" t="s">
        <v>1442</v>
      </c>
      <c r="CV81" t="s">
        <v>1442</v>
      </c>
    </row>
    <row r="82" spans="1:100">
      <c r="A82" t="s">
        <v>1431</v>
      </c>
      <c r="B82" t="s">
        <v>34</v>
      </c>
      <c r="C82" t="s">
        <v>1690</v>
      </c>
      <c r="D82" t="s">
        <v>1691</v>
      </c>
      <c r="E82" t="s">
        <v>1535</v>
      </c>
      <c r="F82" t="s">
        <v>1692</v>
      </c>
      <c r="G82" t="s">
        <v>1693</v>
      </c>
      <c r="H82" t="s">
        <v>1694</v>
      </c>
      <c r="I82" t="s">
        <v>240</v>
      </c>
      <c r="J82" t="s">
        <v>46</v>
      </c>
      <c r="K82" t="s">
        <v>29</v>
      </c>
      <c r="L82" t="s">
        <v>30</v>
      </c>
      <c r="M82">
        <v>0</v>
      </c>
      <c r="N82" t="s">
        <v>32</v>
      </c>
      <c r="O82" t="s">
        <v>32</v>
      </c>
      <c r="Q82" t="s">
        <v>32</v>
      </c>
      <c r="S82" t="s">
        <v>32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AA82" t="s">
        <v>32</v>
      </c>
      <c r="AB82" t="s">
        <v>32</v>
      </c>
      <c r="AE82" t="s">
        <v>1492</v>
      </c>
      <c r="AF82">
        <v>46055</v>
      </c>
      <c r="AG82">
        <v>46056</v>
      </c>
      <c r="AH82" t="s">
        <v>32</v>
      </c>
      <c r="AK82" t="s">
        <v>32</v>
      </c>
      <c r="AN82" t="s">
        <v>32</v>
      </c>
      <c r="AO82" t="s">
        <v>32</v>
      </c>
      <c r="AR82">
        <v>0</v>
      </c>
      <c r="AU82" t="s">
        <v>32</v>
      </c>
      <c r="AV82">
        <v>1785595</v>
      </c>
      <c r="AW82" t="s">
        <v>32</v>
      </c>
      <c r="AX82" t="s">
        <v>32</v>
      </c>
      <c r="AY82" t="s">
        <v>317</v>
      </c>
      <c r="AZ82">
        <v>2</v>
      </c>
      <c r="BA82">
        <v>119040</v>
      </c>
      <c r="BB82">
        <v>0.16</v>
      </c>
      <c r="BC82">
        <v>19100</v>
      </c>
      <c r="BD82" t="s">
        <v>142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19100</v>
      </c>
      <c r="BK82" t="s">
        <v>25</v>
      </c>
      <c r="BL82" t="s">
        <v>1071</v>
      </c>
      <c r="BM82">
        <v>2</v>
      </c>
      <c r="BN82">
        <v>119040</v>
      </c>
      <c r="BO82">
        <v>0.04</v>
      </c>
      <c r="BP82">
        <v>4800</v>
      </c>
      <c r="BQ82">
        <v>0</v>
      </c>
      <c r="BR82" t="s">
        <v>1438</v>
      </c>
      <c r="BS82">
        <v>0</v>
      </c>
      <c r="BT82" t="s">
        <v>1438</v>
      </c>
      <c r="BU82">
        <v>0</v>
      </c>
      <c r="BV82" t="s">
        <v>25</v>
      </c>
      <c r="BW82" t="s">
        <v>189</v>
      </c>
      <c r="BX82">
        <v>2</v>
      </c>
      <c r="BY82">
        <v>119040</v>
      </c>
      <c r="BZ82">
        <v>0</v>
      </c>
      <c r="CA82" t="s">
        <v>1439</v>
      </c>
      <c r="CB82" t="s">
        <v>227</v>
      </c>
      <c r="CC82" t="s">
        <v>1440</v>
      </c>
      <c r="CD82">
        <v>0</v>
      </c>
      <c r="CE82">
        <v>2</v>
      </c>
      <c r="CF82" t="s">
        <v>635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 t="s">
        <v>88</v>
      </c>
      <c r="CT82" t="s">
        <v>1441</v>
      </c>
      <c r="CU82" t="s">
        <v>1442</v>
      </c>
      <c r="CV82" t="s">
        <v>1442</v>
      </c>
    </row>
    <row r="83" spans="1:100">
      <c r="A83" t="s">
        <v>1431</v>
      </c>
      <c r="B83" t="s">
        <v>34</v>
      </c>
      <c r="C83" t="s">
        <v>1690</v>
      </c>
      <c r="D83" t="s">
        <v>1691</v>
      </c>
      <c r="E83" t="s">
        <v>1535</v>
      </c>
      <c r="F83" t="s">
        <v>1692</v>
      </c>
      <c r="G83" t="s">
        <v>1693</v>
      </c>
      <c r="H83" t="s">
        <v>1694</v>
      </c>
      <c r="I83" t="s">
        <v>240</v>
      </c>
      <c r="J83" t="s">
        <v>46</v>
      </c>
      <c r="K83" t="s">
        <v>29</v>
      </c>
      <c r="L83" t="s">
        <v>30</v>
      </c>
      <c r="M83">
        <v>0</v>
      </c>
      <c r="N83" t="s">
        <v>32</v>
      </c>
      <c r="O83" t="s">
        <v>32</v>
      </c>
      <c r="Q83" t="s">
        <v>32</v>
      </c>
      <c r="S83" t="s">
        <v>32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AA83" t="s">
        <v>32</v>
      </c>
      <c r="AB83" t="s">
        <v>37</v>
      </c>
      <c r="AC83">
        <v>46069</v>
      </c>
      <c r="AD83">
        <v>46075</v>
      </c>
      <c r="AE83" t="s">
        <v>32</v>
      </c>
      <c r="AH83" t="s">
        <v>32</v>
      </c>
      <c r="AK83" t="s">
        <v>32</v>
      </c>
      <c r="AN83" t="s">
        <v>32</v>
      </c>
      <c r="AO83" t="s">
        <v>32</v>
      </c>
      <c r="AR83">
        <v>0</v>
      </c>
      <c r="AU83" t="s">
        <v>32</v>
      </c>
      <c r="AV83">
        <v>1785595</v>
      </c>
      <c r="AW83" t="s">
        <v>32</v>
      </c>
      <c r="AX83" t="s">
        <v>32</v>
      </c>
      <c r="AY83" t="s">
        <v>317</v>
      </c>
      <c r="AZ83">
        <v>7</v>
      </c>
      <c r="BA83">
        <v>416639</v>
      </c>
      <c r="BB83">
        <v>0.16</v>
      </c>
      <c r="BC83">
        <v>66700</v>
      </c>
      <c r="BD83" t="s">
        <v>142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66700</v>
      </c>
      <c r="BK83" t="s">
        <v>25</v>
      </c>
      <c r="BL83" t="s">
        <v>1071</v>
      </c>
      <c r="BM83">
        <v>7</v>
      </c>
      <c r="BN83">
        <v>416639</v>
      </c>
      <c r="BO83">
        <v>0</v>
      </c>
      <c r="BP83">
        <v>0</v>
      </c>
      <c r="BQ83">
        <v>0</v>
      </c>
      <c r="BR83" t="s">
        <v>1438</v>
      </c>
      <c r="BS83">
        <v>0</v>
      </c>
      <c r="BT83" t="s">
        <v>1438</v>
      </c>
      <c r="BU83">
        <v>0</v>
      </c>
      <c r="BV83" t="s">
        <v>25</v>
      </c>
      <c r="BW83" t="s">
        <v>189</v>
      </c>
      <c r="BX83">
        <v>7</v>
      </c>
      <c r="BY83">
        <v>416639</v>
      </c>
      <c r="BZ83">
        <v>0</v>
      </c>
      <c r="CA83" t="s">
        <v>1439</v>
      </c>
      <c r="CB83" t="s">
        <v>227</v>
      </c>
      <c r="CC83" t="s">
        <v>1440</v>
      </c>
      <c r="CD83">
        <v>0</v>
      </c>
      <c r="CE83">
        <v>7</v>
      </c>
      <c r="CF83" t="s">
        <v>635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 t="s">
        <v>88</v>
      </c>
      <c r="CT83" t="s">
        <v>1441</v>
      </c>
      <c r="CU83" t="s">
        <v>1442</v>
      </c>
      <c r="CV83" t="s">
        <v>1442</v>
      </c>
    </row>
    <row r="84" spans="1:100">
      <c r="A84" t="s">
        <v>1431</v>
      </c>
      <c r="B84" t="s">
        <v>34</v>
      </c>
      <c r="C84" t="s">
        <v>1690</v>
      </c>
      <c r="D84" t="s">
        <v>1691</v>
      </c>
      <c r="E84" t="s">
        <v>1535</v>
      </c>
      <c r="F84" t="s">
        <v>1692</v>
      </c>
      <c r="G84" t="s">
        <v>1693</v>
      </c>
      <c r="H84" t="s">
        <v>1694</v>
      </c>
      <c r="I84" t="s">
        <v>240</v>
      </c>
      <c r="J84" t="s">
        <v>46</v>
      </c>
      <c r="K84" t="s">
        <v>29</v>
      </c>
      <c r="L84" t="s">
        <v>30</v>
      </c>
      <c r="M84">
        <v>107</v>
      </c>
      <c r="N84" t="s">
        <v>32</v>
      </c>
      <c r="O84" t="s">
        <v>32</v>
      </c>
      <c r="Q84" t="s">
        <v>32</v>
      </c>
      <c r="S84" t="s">
        <v>32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AA84" t="s">
        <v>88</v>
      </c>
      <c r="AB84" t="s">
        <v>32</v>
      </c>
      <c r="AE84" t="s">
        <v>32</v>
      </c>
      <c r="AH84" t="s">
        <v>32</v>
      </c>
      <c r="AK84" t="s">
        <v>32</v>
      </c>
      <c r="AN84" t="s">
        <v>32</v>
      </c>
      <c r="AO84" t="s">
        <v>32</v>
      </c>
      <c r="AR84">
        <v>0</v>
      </c>
      <c r="AU84" t="s">
        <v>32</v>
      </c>
      <c r="AV84">
        <v>1785595</v>
      </c>
      <c r="AW84" t="s">
        <v>32</v>
      </c>
      <c r="AX84" t="s">
        <v>32</v>
      </c>
      <c r="AY84" t="s">
        <v>317</v>
      </c>
      <c r="AZ84">
        <v>18</v>
      </c>
      <c r="BA84">
        <v>1257763</v>
      </c>
      <c r="BB84">
        <v>0.16</v>
      </c>
      <c r="BC84">
        <v>201300</v>
      </c>
      <c r="BD84" t="s">
        <v>142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201300</v>
      </c>
      <c r="BK84" t="s">
        <v>25</v>
      </c>
      <c r="BL84" t="s">
        <v>1071</v>
      </c>
      <c r="BM84">
        <v>18</v>
      </c>
      <c r="BN84">
        <v>1257763</v>
      </c>
      <c r="BO84">
        <v>0.04</v>
      </c>
      <c r="BP84">
        <v>50400</v>
      </c>
      <c r="BQ84">
        <v>0</v>
      </c>
      <c r="BR84" t="s">
        <v>1438</v>
      </c>
      <c r="BS84">
        <v>0</v>
      </c>
      <c r="BT84" t="s">
        <v>1438</v>
      </c>
      <c r="BU84">
        <v>0</v>
      </c>
      <c r="BV84" t="s">
        <v>25</v>
      </c>
      <c r="BW84" t="s">
        <v>189</v>
      </c>
      <c r="BX84">
        <v>18</v>
      </c>
      <c r="BY84">
        <v>1257763</v>
      </c>
      <c r="BZ84">
        <v>6.9599999999999995E-2</v>
      </c>
      <c r="CA84" t="s">
        <v>1439</v>
      </c>
      <c r="CB84" t="s">
        <v>227</v>
      </c>
      <c r="CC84" t="s">
        <v>1440</v>
      </c>
      <c r="CD84">
        <v>87600</v>
      </c>
      <c r="CE84">
        <v>18</v>
      </c>
      <c r="CF84" t="s">
        <v>635</v>
      </c>
      <c r="CG84">
        <v>1257763</v>
      </c>
      <c r="CH84">
        <v>0.04</v>
      </c>
      <c r="CI84">
        <v>50400</v>
      </c>
      <c r="CJ84">
        <v>1257763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 t="s">
        <v>88</v>
      </c>
      <c r="CT84" t="s">
        <v>1441</v>
      </c>
      <c r="CU84" t="s">
        <v>1442</v>
      </c>
      <c r="CV84" t="s">
        <v>1442</v>
      </c>
    </row>
    <row r="85" spans="1:100">
      <c r="A85" t="s">
        <v>1431</v>
      </c>
      <c r="B85" t="s">
        <v>34</v>
      </c>
      <c r="C85" t="s">
        <v>1695</v>
      </c>
      <c r="D85" t="s">
        <v>1696</v>
      </c>
      <c r="E85" t="s">
        <v>1471</v>
      </c>
      <c r="F85" t="s">
        <v>1697</v>
      </c>
      <c r="G85" t="s">
        <v>1698</v>
      </c>
      <c r="H85" t="s">
        <v>1519</v>
      </c>
      <c r="I85" t="s">
        <v>240</v>
      </c>
      <c r="J85" t="s">
        <v>46</v>
      </c>
      <c r="K85" t="s">
        <v>29</v>
      </c>
      <c r="L85" t="s">
        <v>30</v>
      </c>
      <c r="M85">
        <v>74</v>
      </c>
      <c r="N85" t="s">
        <v>32</v>
      </c>
      <c r="O85" t="s">
        <v>32</v>
      </c>
      <c r="Q85" t="s">
        <v>40</v>
      </c>
      <c r="R85">
        <v>46071</v>
      </c>
      <c r="S85" t="s">
        <v>32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AA85" t="s">
        <v>88</v>
      </c>
      <c r="AB85" t="s">
        <v>32</v>
      </c>
      <c r="AE85" t="s">
        <v>32</v>
      </c>
      <c r="AH85" t="s">
        <v>32</v>
      </c>
      <c r="AK85" t="s">
        <v>32</v>
      </c>
      <c r="AN85" t="s">
        <v>32</v>
      </c>
      <c r="AO85" t="s">
        <v>32</v>
      </c>
      <c r="AR85">
        <v>0</v>
      </c>
      <c r="AU85" t="s">
        <v>32</v>
      </c>
      <c r="AV85">
        <v>2223339</v>
      </c>
      <c r="AW85" t="s">
        <v>32</v>
      </c>
      <c r="AX85" t="s">
        <v>32</v>
      </c>
      <c r="AY85" t="s">
        <v>356</v>
      </c>
      <c r="AZ85">
        <v>13</v>
      </c>
      <c r="BA85">
        <v>988712</v>
      </c>
      <c r="BB85">
        <v>0.16</v>
      </c>
      <c r="BC85">
        <v>158200</v>
      </c>
      <c r="BD85" t="s">
        <v>142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158200</v>
      </c>
      <c r="BK85" t="s">
        <v>25</v>
      </c>
      <c r="BL85" t="s">
        <v>1071</v>
      </c>
      <c r="BM85">
        <v>13</v>
      </c>
      <c r="BN85">
        <v>988712</v>
      </c>
      <c r="BO85">
        <v>0.04</v>
      </c>
      <c r="BP85">
        <v>39600</v>
      </c>
      <c r="BQ85">
        <v>0</v>
      </c>
      <c r="BR85" t="s">
        <v>1438</v>
      </c>
      <c r="BS85">
        <v>0</v>
      </c>
      <c r="BT85" t="s">
        <v>1438</v>
      </c>
      <c r="BU85">
        <v>0</v>
      </c>
      <c r="BV85" t="s">
        <v>25</v>
      </c>
      <c r="BW85" t="s">
        <v>189</v>
      </c>
      <c r="BX85">
        <v>13</v>
      </c>
      <c r="BY85">
        <v>988712</v>
      </c>
      <c r="BZ85">
        <v>6.9599999999999995E-2</v>
      </c>
      <c r="CA85" t="s">
        <v>1439</v>
      </c>
      <c r="CB85" t="s">
        <v>227</v>
      </c>
      <c r="CC85" t="s">
        <v>1440</v>
      </c>
      <c r="CD85">
        <v>68900</v>
      </c>
      <c r="CE85">
        <v>13</v>
      </c>
      <c r="CF85" t="s">
        <v>635</v>
      </c>
      <c r="CG85">
        <v>988712</v>
      </c>
      <c r="CH85">
        <v>0.04</v>
      </c>
      <c r="CI85">
        <v>39600</v>
      </c>
      <c r="CJ85">
        <v>988712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 t="s">
        <v>88</v>
      </c>
      <c r="CT85" t="s">
        <v>1441</v>
      </c>
      <c r="CU85" t="s">
        <v>1442</v>
      </c>
      <c r="CV85" t="s">
        <v>1442</v>
      </c>
    </row>
    <row r="86" spans="1:100">
      <c r="A86" t="s">
        <v>1431</v>
      </c>
      <c r="B86" t="s">
        <v>34</v>
      </c>
      <c r="C86" t="s">
        <v>1699</v>
      </c>
      <c r="D86" t="s">
        <v>1700</v>
      </c>
      <c r="E86" t="s">
        <v>1701</v>
      </c>
      <c r="F86" t="s">
        <v>1620</v>
      </c>
      <c r="G86" t="s">
        <v>1649</v>
      </c>
      <c r="H86" t="s">
        <v>1702</v>
      </c>
      <c r="I86" t="s">
        <v>240</v>
      </c>
      <c r="J86" t="s">
        <v>46</v>
      </c>
      <c r="K86" t="s">
        <v>29</v>
      </c>
      <c r="L86" t="s">
        <v>30</v>
      </c>
      <c r="M86">
        <v>0</v>
      </c>
      <c r="N86" t="s">
        <v>32</v>
      </c>
      <c r="O86" t="s">
        <v>32</v>
      </c>
      <c r="Q86" t="s">
        <v>32</v>
      </c>
      <c r="S86" t="s">
        <v>32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AA86" t="s">
        <v>32</v>
      </c>
      <c r="AB86" t="s">
        <v>37</v>
      </c>
      <c r="AC86">
        <v>46069</v>
      </c>
      <c r="AD86">
        <v>46070</v>
      </c>
      <c r="AE86" t="s">
        <v>32</v>
      </c>
      <c r="AH86" t="s">
        <v>32</v>
      </c>
      <c r="AK86" t="s">
        <v>32</v>
      </c>
      <c r="AN86" t="s">
        <v>32</v>
      </c>
      <c r="AO86" t="s">
        <v>32</v>
      </c>
      <c r="AR86">
        <v>0</v>
      </c>
      <c r="AU86" t="s">
        <v>32</v>
      </c>
      <c r="AV86">
        <v>2223339</v>
      </c>
      <c r="AW86" t="s">
        <v>32</v>
      </c>
      <c r="AX86" t="s">
        <v>32</v>
      </c>
      <c r="AY86" t="s">
        <v>185</v>
      </c>
      <c r="AZ86">
        <v>2</v>
      </c>
      <c r="BA86">
        <v>148223</v>
      </c>
      <c r="BB86">
        <v>0.16</v>
      </c>
      <c r="BC86">
        <v>23800</v>
      </c>
      <c r="BD86" t="s">
        <v>142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23800</v>
      </c>
      <c r="BK86" t="s">
        <v>25</v>
      </c>
      <c r="BL86" t="s">
        <v>870</v>
      </c>
      <c r="BM86">
        <v>2</v>
      </c>
      <c r="BN86">
        <v>148223</v>
      </c>
      <c r="BO86">
        <v>0</v>
      </c>
      <c r="BP86">
        <v>0</v>
      </c>
      <c r="BQ86">
        <v>0</v>
      </c>
      <c r="BR86" t="s">
        <v>1438</v>
      </c>
      <c r="BS86">
        <v>0</v>
      </c>
      <c r="BT86" t="s">
        <v>1438</v>
      </c>
      <c r="BU86">
        <v>0</v>
      </c>
      <c r="BV86" t="s">
        <v>25</v>
      </c>
      <c r="BW86" t="s">
        <v>189</v>
      </c>
      <c r="BX86">
        <v>2</v>
      </c>
      <c r="BY86">
        <v>148223</v>
      </c>
      <c r="BZ86">
        <v>0</v>
      </c>
      <c r="CA86" t="s">
        <v>1439</v>
      </c>
      <c r="CB86" t="s">
        <v>227</v>
      </c>
      <c r="CC86" t="s">
        <v>1440</v>
      </c>
      <c r="CD86">
        <v>0</v>
      </c>
      <c r="CE86">
        <v>2</v>
      </c>
      <c r="CF86" t="s">
        <v>635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 t="s">
        <v>88</v>
      </c>
      <c r="CT86" t="s">
        <v>1441</v>
      </c>
      <c r="CU86" t="s">
        <v>1442</v>
      </c>
    </row>
    <row r="87" spans="1:100">
      <c r="A87" t="s">
        <v>1431</v>
      </c>
      <c r="B87" t="s">
        <v>34</v>
      </c>
      <c r="C87" t="s">
        <v>1699</v>
      </c>
      <c r="D87" t="s">
        <v>1700</v>
      </c>
      <c r="E87" t="s">
        <v>1701</v>
      </c>
      <c r="F87" t="s">
        <v>1620</v>
      </c>
      <c r="G87" t="s">
        <v>1649</v>
      </c>
      <c r="H87" t="s">
        <v>1702</v>
      </c>
      <c r="I87" t="s">
        <v>240</v>
      </c>
      <c r="J87" t="s">
        <v>46</v>
      </c>
      <c r="K87" t="s">
        <v>29</v>
      </c>
      <c r="L87" t="s">
        <v>30</v>
      </c>
      <c r="M87">
        <v>157</v>
      </c>
      <c r="N87" t="s">
        <v>32</v>
      </c>
      <c r="O87" t="s">
        <v>32</v>
      </c>
      <c r="Q87" t="s">
        <v>32</v>
      </c>
      <c r="S87" t="s">
        <v>40</v>
      </c>
      <c r="T87">
        <v>46074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AA87" t="s">
        <v>88</v>
      </c>
      <c r="AB87" t="s">
        <v>32</v>
      </c>
      <c r="AE87" t="s">
        <v>32</v>
      </c>
      <c r="AH87" t="s">
        <v>32</v>
      </c>
      <c r="AK87" t="s">
        <v>32</v>
      </c>
      <c r="AN87" t="s">
        <v>32</v>
      </c>
      <c r="AO87" t="s">
        <v>32</v>
      </c>
      <c r="AR87">
        <v>0</v>
      </c>
      <c r="AU87" t="s">
        <v>32</v>
      </c>
      <c r="AV87">
        <v>2223339</v>
      </c>
      <c r="AW87" t="s">
        <v>32</v>
      </c>
      <c r="AX87" t="s">
        <v>32</v>
      </c>
      <c r="AY87" t="s">
        <v>185</v>
      </c>
      <c r="AZ87">
        <v>19</v>
      </c>
      <c r="BA87">
        <v>2820641</v>
      </c>
      <c r="BB87">
        <v>0.16</v>
      </c>
      <c r="BC87">
        <v>451400</v>
      </c>
      <c r="BD87" t="s">
        <v>142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451400</v>
      </c>
      <c r="BK87" t="s">
        <v>25</v>
      </c>
      <c r="BL87" t="s">
        <v>870</v>
      </c>
      <c r="BM87">
        <v>19</v>
      </c>
      <c r="BN87">
        <v>2820641</v>
      </c>
      <c r="BO87">
        <v>0.04</v>
      </c>
      <c r="BP87">
        <v>112900</v>
      </c>
      <c r="BQ87">
        <v>0</v>
      </c>
      <c r="BR87" t="s">
        <v>1438</v>
      </c>
      <c r="BS87">
        <v>0</v>
      </c>
      <c r="BT87" t="s">
        <v>1438</v>
      </c>
      <c r="BU87">
        <v>0</v>
      </c>
      <c r="BV87" t="s">
        <v>25</v>
      </c>
      <c r="BW87" t="s">
        <v>189</v>
      </c>
      <c r="BX87">
        <v>19</v>
      </c>
      <c r="BY87">
        <v>2820641</v>
      </c>
      <c r="BZ87">
        <v>6.9599999999999995E-2</v>
      </c>
      <c r="CA87" t="s">
        <v>1439</v>
      </c>
      <c r="CB87" t="s">
        <v>227</v>
      </c>
      <c r="CC87" t="s">
        <v>1440</v>
      </c>
      <c r="CD87">
        <v>196400</v>
      </c>
      <c r="CE87">
        <v>19</v>
      </c>
      <c r="CF87" t="s">
        <v>635</v>
      </c>
      <c r="CG87">
        <v>3254353</v>
      </c>
      <c r="CH87">
        <v>0.04</v>
      </c>
      <c r="CI87">
        <v>130200</v>
      </c>
      <c r="CJ87">
        <v>3254353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 t="s">
        <v>88</v>
      </c>
      <c r="CT87" t="s">
        <v>1441</v>
      </c>
      <c r="CU87" t="s">
        <v>1442</v>
      </c>
    </row>
    <row r="88" spans="1:100">
      <c r="A88" t="s">
        <v>1431</v>
      </c>
      <c r="B88" t="s">
        <v>34</v>
      </c>
      <c r="C88" t="s">
        <v>1703</v>
      </c>
      <c r="D88" t="s">
        <v>1704</v>
      </c>
      <c r="E88" t="s">
        <v>1705</v>
      </c>
      <c r="F88" t="s">
        <v>1644</v>
      </c>
      <c r="G88" t="s">
        <v>1519</v>
      </c>
      <c r="H88" t="s">
        <v>1706</v>
      </c>
      <c r="I88" t="s">
        <v>240</v>
      </c>
      <c r="J88" t="s">
        <v>46</v>
      </c>
      <c r="K88" t="s">
        <v>29</v>
      </c>
      <c r="L88" t="s">
        <v>30</v>
      </c>
      <c r="M88">
        <v>0</v>
      </c>
      <c r="N88" t="s">
        <v>32</v>
      </c>
      <c r="O88" t="s">
        <v>32</v>
      </c>
      <c r="Q88" t="s">
        <v>32</v>
      </c>
      <c r="S88" t="s">
        <v>32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AA88" t="s">
        <v>32</v>
      </c>
      <c r="AB88" t="s">
        <v>37</v>
      </c>
      <c r="AC88">
        <v>46054</v>
      </c>
      <c r="AD88">
        <v>46054</v>
      </c>
      <c r="AE88" t="s">
        <v>32</v>
      </c>
      <c r="AH88" t="s">
        <v>32</v>
      </c>
      <c r="AK88" t="s">
        <v>32</v>
      </c>
      <c r="AN88" t="s">
        <v>32</v>
      </c>
      <c r="AO88" t="s">
        <v>32</v>
      </c>
      <c r="AR88">
        <v>0</v>
      </c>
      <c r="AU88" t="s">
        <v>32</v>
      </c>
      <c r="AV88">
        <v>1956650</v>
      </c>
      <c r="AW88" t="s">
        <v>32</v>
      </c>
      <c r="AX88" t="s">
        <v>32</v>
      </c>
      <c r="AY88" t="s">
        <v>356</v>
      </c>
      <c r="AZ88">
        <v>1</v>
      </c>
      <c r="BA88">
        <v>65222</v>
      </c>
      <c r="BB88">
        <v>0.16</v>
      </c>
      <c r="BC88">
        <v>10500</v>
      </c>
      <c r="BD88" t="s">
        <v>142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10500</v>
      </c>
      <c r="BK88" t="s">
        <v>25</v>
      </c>
      <c r="BL88" t="s">
        <v>1010</v>
      </c>
      <c r="BM88">
        <v>1</v>
      </c>
      <c r="BN88">
        <v>65222</v>
      </c>
      <c r="BO88">
        <v>0</v>
      </c>
      <c r="BP88">
        <v>0</v>
      </c>
      <c r="BQ88">
        <v>0</v>
      </c>
      <c r="BR88" t="s">
        <v>1438</v>
      </c>
      <c r="BS88">
        <v>0</v>
      </c>
      <c r="BT88" t="s">
        <v>1438</v>
      </c>
      <c r="BU88">
        <v>0</v>
      </c>
      <c r="BV88" t="s">
        <v>25</v>
      </c>
      <c r="BW88" t="s">
        <v>189</v>
      </c>
      <c r="BX88">
        <v>1</v>
      </c>
      <c r="BY88">
        <v>65222</v>
      </c>
      <c r="BZ88">
        <v>0</v>
      </c>
      <c r="CA88" t="s">
        <v>1439</v>
      </c>
      <c r="CB88" t="s">
        <v>227</v>
      </c>
      <c r="CC88" t="s">
        <v>1440</v>
      </c>
      <c r="CD88">
        <v>0</v>
      </c>
      <c r="CE88">
        <v>1</v>
      </c>
      <c r="CF88" t="s">
        <v>635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 t="s">
        <v>88</v>
      </c>
      <c r="CT88" t="s">
        <v>1441</v>
      </c>
      <c r="CU88" t="s">
        <v>1442</v>
      </c>
    </row>
    <row r="89" spans="1:100">
      <c r="A89" t="s">
        <v>1431</v>
      </c>
      <c r="B89" t="s">
        <v>34</v>
      </c>
      <c r="C89" t="s">
        <v>1703</v>
      </c>
      <c r="D89" t="s">
        <v>1704</v>
      </c>
      <c r="E89" t="s">
        <v>1705</v>
      </c>
      <c r="F89" t="s">
        <v>1644</v>
      </c>
      <c r="G89" t="s">
        <v>1519</v>
      </c>
      <c r="H89" t="s">
        <v>1706</v>
      </c>
      <c r="I89" t="s">
        <v>240</v>
      </c>
      <c r="J89" t="s">
        <v>46</v>
      </c>
      <c r="K89" t="s">
        <v>29</v>
      </c>
      <c r="L89" t="s">
        <v>30</v>
      </c>
      <c r="M89">
        <v>208</v>
      </c>
      <c r="N89" t="s">
        <v>32</v>
      </c>
      <c r="O89" t="s">
        <v>32</v>
      </c>
      <c r="Q89" t="s">
        <v>32</v>
      </c>
      <c r="S89" t="s">
        <v>32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AA89" t="s">
        <v>88</v>
      </c>
      <c r="AB89" t="s">
        <v>32</v>
      </c>
      <c r="AE89" t="s">
        <v>32</v>
      </c>
      <c r="AH89" t="s">
        <v>32</v>
      </c>
      <c r="AK89" t="s">
        <v>32</v>
      </c>
      <c r="AN89" t="s">
        <v>32</v>
      </c>
      <c r="AO89" t="s">
        <v>32</v>
      </c>
      <c r="AR89">
        <v>0</v>
      </c>
      <c r="AU89" t="s">
        <v>32</v>
      </c>
      <c r="AV89">
        <v>1956650</v>
      </c>
      <c r="AW89" t="s">
        <v>32</v>
      </c>
      <c r="AX89" t="s">
        <v>32</v>
      </c>
      <c r="AY89" t="s">
        <v>356</v>
      </c>
      <c r="AZ89">
        <v>29</v>
      </c>
      <c r="BA89">
        <v>2207398</v>
      </c>
      <c r="BB89">
        <v>0.16</v>
      </c>
      <c r="BC89">
        <v>353200</v>
      </c>
      <c r="BD89" t="s">
        <v>142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353200</v>
      </c>
      <c r="BK89" t="s">
        <v>25</v>
      </c>
      <c r="BL89" t="s">
        <v>1010</v>
      </c>
      <c r="BM89">
        <v>29</v>
      </c>
      <c r="BN89">
        <v>2207398</v>
      </c>
      <c r="BO89">
        <v>0.04</v>
      </c>
      <c r="BP89">
        <v>88300</v>
      </c>
      <c r="BQ89">
        <v>0</v>
      </c>
      <c r="BR89" t="s">
        <v>1438</v>
      </c>
      <c r="BS89">
        <v>0</v>
      </c>
      <c r="BT89" t="s">
        <v>1438</v>
      </c>
      <c r="BU89">
        <v>0</v>
      </c>
      <c r="BV89" t="s">
        <v>25</v>
      </c>
      <c r="BW89" t="s">
        <v>189</v>
      </c>
      <c r="BX89">
        <v>29</v>
      </c>
      <c r="BY89">
        <v>2207398</v>
      </c>
      <c r="BZ89">
        <v>6.9599999999999995E-2</v>
      </c>
      <c r="CA89" t="s">
        <v>1439</v>
      </c>
      <c r="CB89" t="s">
        <v>227</v>
      </c>
      <c r="CC89" t="s">
        <v>1440</v>
      </c>
      <c r="CD89">
        <v>153700</v>
      </c>
      <c r="CE89">
        <v>29</v>
      </c>
      <c r="CF89" t="s">
        <v>635</v>
      </c>
      <c r="CG89">
        <v>2207398</v>
      </c>
      <c r="CH89">
        <v>0.04</v>
      </c>
      <c r="CI89">
        <v>88300</v>
      </c>
      <c r="CJ89">
        <v>2207398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 t="s">
        <v>88</v>
      </c>
      <c r="CT89" t="s">
        <v>1441</v>
      </c>
      <c r="CU89" t="s">
        <v>1442</v>
      </c>
    </row>
    <row r="90" spans="1:100">
      <c r="A90" t="s">
        <v>1431</v>
      </c>
      <c r="B90" t="s">
        <v>34</v>
      </c>
      <c r="C90" t="s">
        <v>1707</v>
      </c>
      <c r="D90" t="s">
        <v>1708</v>
      </c>
      <c r="E90" t="s">
        <v>1471</v>
      </c>
      <c r="F90" t="s">
        <v>992</v>
      </c>
      <c r="G90" t="s">
        <v>1709</v>
      </c>
      <c r="H90" t="s">
        <v>1489</v>
      </c>
      <c r="I90" t="s">
        <v>240</v>
      </c>
      <c r="J90" t="s">
        <v>46</v>
      </c>
      <c r="K90" t="s">
        <v>29</v>
      </c>
      <c r="L90" t="s">
        <v>30</v>
      </c>
      <c r="M90">
        <v>90</v>
      </c>
      <c r="N90" t="s">
        <v>32</v>
      </c>
      <c r="O90" t="s">
        <v>32</v>
      </c>
      <c r="Q90" t="s">
        <v>40</v>
      </c>
      <c r="R90">
        <v>46069</v>
      </c>
      <c r="S90" t="s">
        <v>32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AA90" t="s">
        <v>32</v>
      </c>
      <c r="AB90" t="s">
        <v>32</v>
      </c>
      <c r="AE90" t="s">
        <v>32</v>
      </c>
      <c r="AH90" t="s">
        <v>32</v>
      </c>
      <c r="AK90" t="s">
        <v>32</v>
      </c>
      <c r="AN90" t="s">
        <v>32</v>
      </c>
      <c r="AO90" t="s">
        <v>32</v>
      </c>
      <c r="AR90">
        <v>0</v>
      </c>
      <c r="AU90" t="s">
        <v>32</v>
      </c>
      <c r="AV90">
        <v>3534205</v>
      </c>
      <c r="AW90" t="s">
        <v>32</v>
      </c>
      <c r="AX90" t="s">
        <v>32</v>
      </c>
      <c r="AY90" t="s">
        <v>317</v>
      </c>
      <c r="AZ90">
        <v>15</v>
      </c>
      <c r="BA90">
        <v>1767103</v>
      </c>
      <c r="BB90">
        <v>0.16</v>
      </c>
      <c r="BC90">
        <v>282800</v>
      </c>
      <c r="BD90" t="s">
        <v>142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282800</v>
      </c>
      <c r="BK90" t="s">
        <v>25</v>
      </c>
      <c r="BL90" t="s">
        <v>870</v>
      </c>
      <c r="BM90">
        <v>15</v>
      </c>
      <c r="BN90">
        <v>1767103</v>
      </c>
      <c r="BO90">
        <v>0.04</v>
      </c>
      <c r="BP90">
        <v>70700</v>
      </c>
      <c r="BQ90">
        <v>0</v>
      </c>
      <c r="BR90" t="s">
        <v>1438</v>
      </c>
      <c r="BS90">
        <v>0</v>
      </c>
      <c r="BT90" t="s">
        <v>1438</v>
      </c>
      <c r="BU90">
        <v>0</v>
      </c>
      <c r="BV90" t="s">
        <v>25</v>
      </c>
      <c r="BW90" t="s">
        <v>189</v>
      </c>
      <c r="BX90">
        <v>15</v>
      </c>
      <c r="BY90">
        <v>1767103</v>
      </c>
      <c r="BZ90">
        <v>6.9599999999999995E-2</v>
      </c>
      <c r="CA90" t="s">
        <v>1439</v>
      </c>
      <c r="CB90" t="s">
        <v>227</v>
      </c>
      <c r="CC90" t="s">
        <v>1440</v>
      </c>
      <c r="CD90">
        <v>123000</v>
      </c>
      <c r="CE90">
        <v>15</v>
      </c>
      <c r="CF90" t="s">
        <v>635</v>
      </c>
      <c r="CG90">
        <v>1767103</v>
      </c>
      <c r="CH90">
        <v>0.04</v>
      </c>
      <c r="CI90">
        <v>70700</v>
      </c>
      <c r="CJ90">
        <v>1767103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 t="s">
        <v>88</v>
      </c>
      <c r="CT90" t="s">
        <v>1441</v>
      </c>
      <c r="CU90" t="s">
        <v>1442</v>
      </c>
    </row>
    <row r="91" spans="1:100">
      <c r="A91" t="s">
        <v>1431</v>
      </c>
      <c r="B91" t="s">
        <v>34</v>
      </c>
      <c r="C91" t="s">
        <v>1710</v>
      </c>
      <c r="D91" t="s">
        <v>1711</v>
      </c>
      <c r="E91" t="s">
        <v>1712</v>
      </c>
      <c r="F91" t="s">
        <v>1713</v>
      </c>
      <c r="G91" t="s">
        <v>1479</v>
      </c>
      <c r="H91" t="s">
        <v>1498</v>
      </c>
      <c r="I91" t="s">
        <v>240</v>
      </c>
      <c r="J91" t="s">
        <v>46</v>
      </c>
      <c r="K91" t="s">
        <v>29</v>
      </c>
      <c r="L91" t="s">
        <v>30</v>
      </c>
      <c r="M91">
        <v>126</v>
      </c>
      <c r="N91" t="s">
        <v>32</v>
      </c>
      <c r="O91" t="s">
        <v>32</v>
      </c>
      <c r="Q91" t="s">
        <v>40</v>
      </c>
      <c r="R91">
        <v>46063</v>
      </c>
      <c r="S91" t="s">
        <v>32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AA91" t="s">
        <v>32</v>
      </c>
      <c r="AB91" t="s">
        <v>32</v>
      </c>
      <c r="AE91" t="s">
        <v>32</v>
      </c>
      <c r="AH91" t="s">
        <v>32</v>
      </c>
      <c r="AK91" t="s">
        <v>32</v>
      </c>
      <c r="AN91" t="s">
        <v>32</v>
      </c>
      <c r="AO91" t="s">
        <v>32</v>
      </c>
      <c r="AR91">
        <v>0</v>
      </c>
      <c r="AU91" t="s">
        <v>32</v>
      </c>
      <c r="AV91">
        <v>5149192</v>
      </c>
      <c r="AW91" t="s">
        <v>32</v>
      </c>
      <c r="AX91" t="s">
        <v>32</v>
      </c>
      <c r="AY91" t="s">
        <v>185</v>
      </c>
      <c r="AZ91">
        <v>21</v>
      </c>
      <c r="BA91">
        <v>3604435</v>
      </c>
      <c r="BB91">
        <v>0.16</v>
      </c>
      <c r="BC91">
        <v>576800</v>
      </c>
      <c r="BD91" t="s">
        <v>142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576800</v>
      </c>
      <c r="BK91" t="s">
        <v>25</v>
      </c>
      <c r="BL91" t="s">
        <v>635</v>
      </c>
      <c r="BM91">
        <v>21</v>
      </c>
      <c r="BN91">
        <v>3604435</v>
      </c>
      <c r="BO91">
        <v>0.04</v>
      </c>
      <c r="BP91">
        <v>144200</v>
      </c>
      <c r="BQ91">
        <v>0</v>
      </c>
      <c r="BR91" t="s">
        <v>1438</v>
      </c>
      <c r="BS91">
        <v>0</v>
      </c>
      <c r="BT91" t="s">
        <v>1438</v>
      </c>
      <c r="BU91">
        <v>0</v>
      </c>
      <c r="BV91" t="s">
        <v>25</v>
      </c>
      <c r="BW91" t="s">
        <v>189</v>
      </c>
      <c r="BX91">
        <v>21</v>
      </c>
      <c r="BY91">
        <v>3604435</v>
      </c>
      <c r="BZ91">
        <v>6.9599999999999995E-2</v>
      </c>
      <c r="CA91" t="s">
        <v>1439</v>
      </c>
      <c r="CB91" t="s">
        <v>227</v>
      </c>
      <c r="CC91" t="s">
        <v>1440</v>
      </c>
      <c r="CD91">
        <v>250900</v>
      </c>
      <c r="CE91">
        <v>21</v>
      </c>
      <c r="CF91" t="s">
        <v>635</v>
      </c>
      <c r="CG91">
        <v>3604435</v>
      </c>
      <c r="CH91">
        <v>0.04</v>
      </c>
      <c r="CI91">
        <v>144200</v>
      </c>
      <c r="CJ91">
        <v>3604435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 t="s">
        <v>88</v>
      </c>
      <c r="CT91" t="s">
        <v>1441</v>
      </c>
      <c r="CU91" t="s">
        <v>1442</v>
      </c>
    </row>
    <row r="92" spans="1:100">
      <c r="A92" t="s">
        <v>1431</v>
      </c>
      <c r="B92" t="s">
        <v>34</v>
      </c>
      <c r="C92" t="s">
        <v>1714</v>
      </c>
      <c r="D92" t="s">
        <v>1715</v>
      </c>
      <c r="E92" t="s">
        <v>842</v>
      </c>
      <c r="F92" t="s">
        <v>1526</v>
      </c>
      <c r="G92" t="s">
        <v>1693</v>
      </c>
      <c r="H92" t="s">
        <v>1716</v>
      </c>
      <c r="I92" t="s">
        <v>240</v>
      </c>
      <c r="J92" t="s">
        <v>46</v>
      </c>
      <c r="K92" t="s">
        <v>29</v>
      </c>
      <c r="L92" t="s">
        <v>30</v>
      </c>
      <c r="M92">
        <v>180</v>
      </c>
      <c r="N92" t="s">
        <v>32</v>
      </c>
      <c r="O92" t="s">
        <v>32</v>
      </c>
      <c r="Q92" t="s">
        <v>32</v>
      </c>
      <c r="S92" t="s">
        <v>32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AA92" t="s">
        <v>32</v>
      </c>
      <c r="AB92" t="s">
        <v>32</v>
      </c>
      <c r="AE92" t="s">
        <v>32</v>
      </c>
      <c r="AH92" t="s">
        <v>32</v>
      </c>
      <c r="AK92" t="s">
        <v>32</v>
      </c>
      <c r="AN92" t="s">
        <v>32</v>
      </c>
      <c r="AO92" t="s">
        <v>32</v>
      </c>
      <c r="AR92">
        <v>0</v>
      </c>
      <c r="AU92" t="s">
        <v>32</v>
      </c>
      <c r="AV92">
        <v>5209465</v>
      </c>
      <c r="AW92" t="s">
        <v>32</v>
      </c>
      <c r="AX92" t="s">
        <v>32</v>
      </c>
      <c r="AY92" t="s">
        <v>137</v>
      </c>
      <c r="AZ92">
        <v>30</v>
      </c>
      <c r="BA92">
        <v>6819901</v>
      </c>
      <c r="BB92">
        <v>0.16</v>
      </c>
      <c r="BC92">
        <v>1091200</v>
      </c>
      <c r="BD92" t="s">
        <v>142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1091200</v>
      </c>
      <c r="BK92" t="s">
        <v>25</v>
      </c>
      <c r="BL92" t="s">
        <v>1071</v>
      </c>
      <c r="BM92">
        <v>30</v>
      </c>
      <c r="BN92">
        <v>6819901</v>
      </c>
      <c r="BO92">
        <v>0.04</v>
      </c>
      <c r="BP92">
        <v>272800</v>
      </c>
      <c r="BQ92">
        <v>0</v>
      </c>
      <c r="BR92" t="s">
        <v>1438</v>
      </c>
      <c r="BS92">
        <v>0</v>
      </c>
      <c r="BT92" t="s">
        <v>1438</v>
      </c>
      <c r="BU92">
        <v>0</v>
      </c>
      <c r="BV92" t="s">
        <v>25</v>
      </c>
      <c r="BW92" t="s">
        <v>189</v>
      </c>
      <c r="BX92">
        <v>30</v>
      </c>
      <c r="BY92">
        <v>6819901</v>
      </c>
      <c r="BZ92">
        <v>6.9599999999999995E-2</v>
      </c>
      <c r="CA92" t="s">
        <v>1439</v>
      </c>
      <c r="CB92" t="s">
        <v>227</v>
      </c>
      <c r="CC92" t="s">
        <v>1440</v>
      </c>
      <c r="CD92">
        <v>474700</v>
      </c>
      <c r="CE92">
        <v>30</v>
      </c>
      <c r="CF92" t="s">
        <v>635</v>
      </c>
      <c r="CG92">
        <v>5209465</v>
      </c>
      <c r="CH92">
        <v>0.04</v>
      </c>
      <c r="CI92">
        <v>208400</v>
      </c>
      <c r="CJ92">
        <v>5209465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 t="s">
        <v>88</v>
      </c>
      <c r="CT92" t="s">
        <v>1441</v>
      </c>
      <c r="CU92" t="s">
        <v>1442</v>
      </c>
    </row>
    <row r="93" spans="1:100">
      <c r="A93" t="s">
        <v>1431</v>
      </c>
      <c r="B93" t="s">
        <v>34</v>
      </c>
      <c r="C93" t="s">
        <v>1717</v>
      </c>
      <c r="D93" t="s">
        <v>1718</v>
      </c>
      <c r="E93" t="s">
        <v>667</v>
      </c>
      <c r="F93" t="s">
        <v>1719</v>
      </c>
      <c r="G93" t="s">
        <v>1436</v>
      </c>
      <c r="H93" t="s">
        <v>1584</v>
      </c>
      <c r="I93" t="s">
        <v>240</v>
      </c>
      <c r="J93" t="s">
        <v>46</v>
      </c>
      <c r="K93" t="s">
        <v>29</v>
      </c>
      <c r="L93" t="s">
        <v>30</v>
      </c>
      <c r="M93">
        <v>188</v>
      </c>
      <c r="N93" t="s">
        <v>32</v>
      </c>
      <c r="O93" t="s">
        <v>32</v>
      </c>
      <c r="Q93" t="s">
        <v>32</v>
      </c>
      <c r="S93" t="s">
        <v>32</v>
      </c>
      <c r="U93" t="s">
        <v>32</v>
      </c>
      <c r="V93" t="s">
        <v>32</v>
      </c>
      <c r="W93" t="s">
        <v>32</v>
      </c>
      <c r="X93" t="s">
        <v>32</v>
      </c>
      <c r="Y93" t="s">
        <v>88</v>
      </c>
      <c r="Z93">
        <v>46054</v>
      </c>
      <c r="AA93" t="s">
        <v>32</v>
      </c>
      <c r="AB93" t="s">
        <v>32</v>
      </c>
      <c r="AE93" t="s">
        <v>32</v>
      </c>
      <c r="AH93" t="s">
        <v>32</v>
      </c>
      <c r="AK93" t="s">
        <v>32</v>
      </c>
      <c r="AN93" t="s">
        <v>32</v>
      </c>
      <c r="AO93" t="s">
        <v>32</v>
      </c>
      <c r="AR93">
        <v>0</v>
      </c>
      <c r="AU93" t="s">
        <v>32</v>
      </c>
      <c r="AV93">
        <v>2859408</v>
      </c>
      <c r="AW93" t="s">
        <v>32</v>
      </c>
      <c r="AX93" t="s">
        <v>32</v>
      </c>
      <c r="AY93" t="s">
        <v>317</v>
      </c>
      <c r="AZ93">
        <v>30</v>
      </c>
      <c r="BA93">
        <v>2859408</v>
      </c>
      <c r="BB93">
        <v>0.16</v>
      </c>
      <c r="BC93">
        <v>457600</v>
      </c>
      <c r="BD93" t="s">
        <v>142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457600</v>
      </c>
      <c r="BK93" t="s">
        <v>25</v>
      </c>
      <c r="BL93" t="s">
        <v>1064</v>
      </c>
      <c r="BM93">
        <v>30</v>
      </c>
      <c r="BN93">
        <v>2859408</v>
      </c>
      <c r="BO93">
        <v>0.04</v>
      </c>
      <c r="BP93">
        <v>114400</v>
      </c>
      <c r="BQ93">
        <v>0</v>
      </c>
      <c r="BR93" t="s">
        <v>1438</v>
      </c>
      <c r="BS93">
        <v>0</v>
      </c>
      <c r="BT93" t="s">
        <v>1438</v>
      </c>
      <c r="BU93">
        <v>0</v>
      </c>
      <c r="BV93" t="s">
        <v>25</v>
      </c>
      <c r="BW93" t="s">
        <v>189</v>
      </c>
      <c r="BX93">
        <v>30</v>
      </c>
      <c r="BY93">
        <v>2859408</v>
      </c>
      <c r="BZ93">
        <v>5.2199999999999998E-3</v>
      </c>
      <c r="CA93" t="s">
        <v>1592</v>
      </c>
      <c r="CB93" t="s">
        <v>227</v>
      </c>
      <c r="CC93" t="s">
        <v>1593</v>
      </c>
      <c r="CD93">
        <v>15000</v>
      </c>
      <c r="CE93">
        <v>30</v>
      </c>
      <c r="CF93" t="s">
        <v>635</v>
      </c>
      <c r="CG93">
        <v>2859408</v>
      </c>
      <c r="CH93">
        <v>0.04</v>
      </c>
      <c r="CI93">
        <v>114400</v>
      </c>
      <c r="CJ93">
        <v>2859408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 t="s">
        <v>88</v>
      </c>
      <c r="CT93" t="s">
        <v>1441</v>
      </c>
      <c r="CU93" t="s">
        <v>1442</v>
      </c>
    </row>
    <row r="94" spans="1:100">
      <c r="A94" t="s">
        <v>1431</v>
      </c>
      <c r="B94" t="s">
        <v>34</v>
      </c>
      <c r="C94" t="s">
        <v>1720</v>
      </c>
      <c r="D94" t="s">
        <v>1721</v>
      </c>
      <c r="E94" t="s">
        <v>1722</v>
      </c>
      <c r="F94" t="s">
        <v>1723</v>
      </c>
      <c r="G94" t="s">
        <v>1724</v>
      </c>
      <c r="H94" t="s">
        <v>1725</v>
      </c>
      <c r="I94" t="s">
        <v>240</v>
      </c>
      <c r="J94" t="s">
        <v>46</v>
      </c>
      <c r="K94" t="s">
        <v>29</v>
      </c>
      <c r="L94" t="s">
        <v>30</v>
      </c>
      <c r="M94">
        <v>0</v>
      </c>
      <c r="N94" t="s">
        <v>32</v>
      </c>
      <c r="O94" t="s">
        <v>32</v>
      </c>
      <c r="Q94" t="s">
        <v>32</v>
      </c>
      <c r="S94" t="s">
        <v>32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AA94" t="s">
        <v>32</v>
      </c>
      <c r="AB94" t="s">
        <v>32</v>
      </c>
      <c r="AE94" t="s">
        <v>1492</v>
      </c>
      <c r="AF94">
        <v>46069</v>
      </c>
      <c r="AG94">
        <v>46070</v>
      </c>
      <c r="AH94" t="s">
        <v>32</v>
      </c>
      <c r="AK94" t="s">
        <v>32</v>
      </c>
      <c r="AN94" t="s">
        <v>32</v>
      </c>
      <c r="AO94" t="s">
        <v>32</v>
      </c>
      <c r="AR94">
        <v>0</v>
      </c>
      <c r="AU94" t="s">
        <v>32</v>
      </c>
      <c r="AV94">
        <v>1750905</v>
      </c>
      <c r="AW94" t="s">
        <v>32</v>
      </c>
      <c r="AX94" t="s">
        <v>32</v>
      </c>
      <c r="AY94" t="s">
        <v>185</v>
      </c>
      <c r="AZ94">
        <v>2</v>
      </c>
      <c r="BA94">
        <v>128936</v>
      </c>
      <c r="BB94">
        <v>0.16</v>
      </c>
      <c r="BC94">
        <v>20700</v>
      </c>
      <c r="BD94" t="s">
        <v>142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20700</v>
      </c>
      <c r="BK94" t="s">
        <v>25</v>
      </c>
      <c r="BL94" t="s">
        <v>357</v>
      </c>
      <c r="BM94">
        <v>2</v>
      </c>
      <c r="BN94">
        <v>128936</v>
      </c>
      <c r="BO94">
        <v>0.04</v>
      </c>
      <c r="BP94">
        <v>5200</v>
      </c>
      <c r="BQ94">
        <v>0</v>
      </c>
      <c r="BR94" t="s">
        <v>1438</v>
      </c>
      <c r="BS94">
        <v>0</v>
      </c>
      <c r="BT94" t="s">
        <v>1438</v>
      </c>
      <c r="BU94">
        <v>0</v>
      </c>
      <c r="BV94" t="s">
        <v>25</v>
      </c>
      <c r="BW94" t="s">
        <v>189</v>
      </c>
      <c r="BX94">
        <v>2</v>
      </c>
      <c r="BY94">
        <v>128936</v>
      </c>
      <c r="BZ94">
        <v>0</v>
      </c>
      <c r="CA94" t="s">
        <v>1439</v>
      </c>
      <c r="CB94" t="s">
        <v>227</v>
      </c>
      <c r="CC94" t="s">
        <v>1440</v>
      </c>
      <c r="CD94">
        <v>0</v>
      </c>
      <c r="CE94">
        <v>2</v>
      </c>
      <c r="CF94" t="s">
        <v>635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 t="s">
        <v>88</v>
      </c>
      <c r="CT94" t="s">
        <v>1441</v>
      </c>
      <c r="CU94" t="s">
        <v>1442</v>
      </c>
    </row>
    <row r="95" spans="1:100">
      <c r="A95" t="s">
        <v>1431</v>
      </c>
      <c r="B95" t="s">
        <v>34</v>
      </c>
      <c r="C95" t="s">
        <v>1720</v>
      </c>
      <c r="D95" t="s">
        <v>1721</v>
      </c>
      <c r="E95" t="s">
        <v>1722</v>
      </c>
      <c r="F95" t="s">
        <v>1723</v>
      </c>
      <c r="G95" t="s">
        <v>1724</v>
      </c>
      <c r="H95" t="s">
        <v>1725</v>
      </c>
      <c r="I95" t="s">
        <v>240</v>
      </c>
      <c r="J95" t="s">
        <v>46</v>
      </c>
      <c r="K95" t="s">
        <v>29</v>
      </c>
      <c r="L95" t="s">
        <v>30</v>
      </c>
      <c r="M95">
        <v>177</v>
      </c>
      <c r="N95" t="s">
        <v>32</v>
      </c>
      <c r="O95" t="s">
        <v>32</v>
      </c>
      <c r="Q95" t="s">
        <v>32</v>
      </c>
      <c r="S95" t="s">
        <v>32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AA95" t="s">
        <v>88</v>
      </c>
      <c r="AB95" t="s">
        <v>32</v>
      </c>
      <c r="AE95" t="s">
        <v>32</v>
      </c>
      <c r="AH95" t="s">
        <v>32</v>
      </c>
      <c r="AK95" t="s">
        <v>32</v>
      </c>
      <c r="AN95" t="s">
        <v>32</v>
      </c>
      <c r="AO95" t="s">
        <v>32</v>
      </c>
      <c r="AR95">
        <v>0</v>
      </c>
      <c r="AU95" t="s">
        <v>32</v>
      </c>
      <c r="AV95">
        <v>1750905</v>
      </c>
      <c r="AW95" t="s">
        <v>32</v>
      </c>
      <c r="AX95" t="s">
        <v>32</v>
      </c>
      <c r="AY95" t="s">
        <v>185</v>
      </c>
      <c r="AZ95">
        <v>28</v>
      </c>
      <c r="BA95">
        <v>1878311</v>
      </c>
      <c r="BB95">
        <v>0.16</v>
      </c>
      <c r="BC95">
        <v>300600</v>
      </c>
      <c r="BD95" t="s">
        <v>142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300600</v>
      </c>
      <c r="BK95" t="s">
        <v>25</v>
      </c>
      <c r="BL95" t="s">
        <v>357</v>
      </c>
      <c r="BM95">
        <v>28</v>
      </c>
      <c r="BN95">
        <v>1878311</v>
      </c>
      <c r="BO95">
        <v>0.04</v>
      </c>
      <c r="BP95">
        <v>75200</v>
      </c>
      <c r="BQ95">
        <v>0</v>
      </c>
      <c r="BR95" t="s">
        <v>1438</v>
      </c>
      <c r="BS95">
        <v>0</v>
      </c>
      <c r="BT95" t="s">
        <v>1438</v>
      </c>
      <c r="BU95">
        <v>0</v>
      </c>
      <c r="BV95" t="s">
        <v>25</v>
      </c>
      <c r="BW95" t="s">
        <v>189</v>
      </c>
      <c r="BX95">
        <v>28</v>
      </c>
      <c r="BY95">
        <v>1878311</v>
      </c>
      <c r="BZ95">
        <v>6.9599999999999995E-2</v>
      </c>
      <c r="CA95" t="s">
        <v>1439</v>
      </c>
      <c r="CB95" t="s">
        <v>227</v>
      </c>
      <c r="CC95" t="s">
        <v>1440</v>
      </c>
      <c r="CD95">
        <v>130800</v>
      </c>
      <c r="CE95">
        <v>28</v>
      </c>
      <c r="CF95" t="s">
        <v>635</v>
      </c>
      <c r="CG95">
        <v>1878311</v>
      </c>
      <c r="CH95">
        <v>0.04</v>
      </c>
      <c r="CI95">
        <v>75200</v>
      </c>
      <c r="CJ95">
        <v>1878311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 t="s">
        <v>88</v>
      </c>
      <c r="CT95" t="s">
        <v>1441</v>
      </c>
      <c r="CU95" t="s">
        <v>1442</v>
      </c>
    </row>
    <row r="96" spans="1:100">
      <c r="A96" t="s">
        <v>1431</v>
      </c>
      <c r="B96" t="s">
        <v>34</v>
      </c>
      <c r="C96" t="s">
        <v>1726</v>
      </c>
      <c r="D96" t="s">
        <v>1727</v>
      </c>
      <c r="E96" t="s">
        <v>1728</v>
      </c>
      <c r="F96" t="s">
        <v>1729</v>
      </c>
      <c r="G96" t="s">
        <v>1730</v>
      </c>
      <c r="H96" t="s">
        <v>1654</v>
      </c>
      <c r="I96" t="s">
        <v>240</v>
      </c>
      <c r="J96" t="s">
        <v>46</v>
      </c>
      <c r="K96" t="s">
        <v>29</v>
      </c>
      <c r="L96" t="s">
        <v>30</v>
      </c>
      <c r="M96">
        <v>180</v>
      </c>
      <c r="N96" t="s">
        <v>32</v>
      </c>
      <c r="O96" t="s">
        <v>32</v>
      </c>
      <c r="Q96" t="s">
        <v>32</v>
      </c>
      <c r="S96" t="s">
        <v>32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AA96" t="s">
        <v>32</v>
      </c>
      <c r="AB96" t="s">
        <v>32</v>
      </c>
      <c r="AE96" t="s">
        <v>32</v>
      </c>
      <c r="AH96" t="s">
        <v>32</v>
      </c>
      <c r="AK96" t="s">
        <v>32</v>
      </c>
      <c r="AN96" t="s">
        <v>32</v>
      </c>
      <c r="AO96" t="s">
        <v>32</v>
      </c>
      <c r="AR96">
        <v>0</v>
      </c>
      <c r="AU96" t="s">
        <v>32</v>
      </c>
      <c r="AV96">
        <v>4891516</v>
      </c>
      <c r="AW96" t="s">
        <v>32</v>
      </c>
      <c r="AX96" t="s">
        <v>32</v>
      </c>
      <c r="AY96" t="s">
        <v>137</v>
      </c>
      <c r="AZ96">
        <v>30</v>
      </c>
      <c r="BA96">
        <v>4891516</v>
      </c>
      <c r="BB96">
        <v>0.16</v>
      </c>
      <c r="BC96">
        <v>782700</v>
      </c>
      <c r="BD96" t="s">
        <v>142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782700</v>
      </c>
      <c r="BK96" t="s">
        <v>25</v>
      </c>
      <c r="BL96" t="s">
        <v>1071</v>
      </c>
      <c r="BM96">
        <v>30</v>
      </c>
      <c r="BN96">
        <v>4891516</v>
      </c>
      <c r="BO96">
        <v>0.04</v>
      </c>
      <c r="BP96">
        <v>195700</v>
      </c>
      <c r="BQ96">
        <v>0</v>
      </c>
      <c r="BR96" t="s">
        <v>1438</v>
      </c>
      <c r="BS96">
        <v>0</v>
      </c>
      <c r="BT96" t="s">
        <v>1438</v>
      </c>
      <c r="BU96">
        <v>0</v>
      </c>
      <c r="BV96" t="s">
        <v>25</v>
      </c>
      <c r="BW96" t="s">
        <v>189</v>
      </c>
      <c r="BX96">
        <v>30</v>
      </c>
      <c r="BY96">
        <v>4891516</v>
      </c>
      <c r="BZ96">
        <v>6.9599999999999995E-2</v>
      </c>
      <c r="CA96" t="s">
        <v>1439</v>
      </c>
      <c r="CB96" t="s">
        <v>227</v>
      </c>
      <c r="CC96" t="s">
        <v>1440</v>
      </c>
      <c r="CD96">
        <v>340500</v>
      </c>
      <c r="CE96">
        <v>30</v>
      </c>
      <c r="CF96" t="s">
        <v>635</v>
      </c>
      <c r="CG96">
        <v>4891516</v>
      </c>
      <c r="CH96">
        <v>0.04</v>
      </c>
      <c r="CI96">
        <v>195700</v>
      </c>
      <c r="CJ96">
        <v>4891516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 t="s">
        <v>88</v>
      </c>
      <c r="CT96" t="s">
        <v>1441</v>
      </c>
      <c r="CU96" t="s">
        <v>1442</v>
      </c>
    </row>
    <row r="97" spans="1:99">
      <c r="A97" t="s">
        <v>1431</v>
      </c>
      <c r="B97" t="s">
        <v>34</v>
      </c>
      <c r="C97" t="s">
        <v>1731</v>
      </c>
      <c r="D97" t="s">
        <v>1732</v>
      </c>
      <c r="E97" t="s">
        <v>1733</v>
      </c>
      <c r="F97" t="s">
        <v>1506</v>
      </c>
      <c r="G97" t="s">
        <v>1478</v>
      </c>
      <c r="H97" t="s">
        <v>1734</v>
      </c>
      <c r="I97" t="s">
        <v>240</v>
      </c>
      <c r="J97" t="s">
        <v>46</v>
      </c>
      <c r="K97" t="s">
        <v>29</v>
      </c>
      <c r="L97" t="s">
        <v>30</v>
      </c>
      <c r="M97">
        <v>0</v>
      </c>
      <c r="N97" t="s">
        <v>32</v>
      </c>
      <c r="O97" t="s">
        <v>32</v>
      </c>
      <c r="Q97" t="s">
        <v>32</v>
      </c>
      <c r="S97" t="s">
        <v>32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AA97" t="s">
        <v>32</v>
      </c>
      <c r="AB97" t="s">
        <v>32</v>
      </c>
      <c r="AE97" t="s">
        <v>32</v>
      </c>
      <c r="AH97" t="s">
        <v>32</v>
      </c>
      <c r="AK97" t="s">
        <v>128</v>
      </c>
      <c r="AL97">
        <v>46054</v>
      </c>
      <c r="AM97">
        <v>46054</v>
      </c>
      <c r="AN97" t="s">
        <v>32</v>
      </c>
      <c r="AO97" t="s">
        <v>32</v>
      </c>
      <c r="AR97">
        <v>0</v>
      </c>
      <c r="AU97" t="s">
        <v>32</v>
      </c>
      <c r="AV97">
        <v>5209465</v>
      </c>
      <c r="AW97" t="s">
        <v>32</v>
      </c>
      <c r="AX97" t="s">
        <v>32</v>
      </c>
      <c r="AY97" t="s">
        <v>185</v>
      </c>
      <c r="AZ97">
        <v>1</v>
      </c>
      <c r="BA97">
        <v>173649</v>
      </c>
      <c r="BB97">
        <v>0.16</v>
      </c>
      <c r="BC97">
        <v>27800</v>
      </c>
      <c r="BD97" t="s">
        <v>142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27800</v>
      </c>
      <c r="BK97" t="s">
        <v>25</v>
      </c>
      <c r="BL97" t="s">
        <v>1064</v>
      </c>
      <c r="BM97">
        <v>1</v>
      </c>
      <c r="BN97">
        <v>173649</v>
      </c>
      <c r="BO97">
        <v>0.04</v>
      </c>
      <c r="BP97">
        <v>7000</v>
      </c>
      <c r="BQ97">
        <v>0</v>
      </c>
      <c r="BR97" t="s">
        <v>1438</v>
      </c>
      <c r="BS97">
        <v>0</v>
      </c>
      <c r="BT97" t="s">
        <v>1438</v>
      </c>
      <c r="BU97">
        <v>0</v>
      </c>
      <c r="BV97" t="s">
        <v>25</v>
      </c>
      <c r="BW97" t="s">
        <v>189</v>
      </c>
      <c r="BX97">
        <v>1</v>
      </c>
      <c r="BY97">
        <v>173649</v>
      </c>
      <c r="BZ97">
        <v>0</v>
      </c>
      <c r="CA97" t="s">
        <v>1439</v>
      </c>
      <c r="CB97" t="s">
        <v>227</v>
      </c>
      <c r="CC97" t="s">
        <v>1440</v>
      </c>
      <c r="CD97">
        <v>0</v>
      </c>
      <c r="CE97">
        <v>1</v>
      </c>
      <c r="CF97" t="s">
        <v>635</v>
      </c>
      <c r="CG97">
        <v>173649</v>
      </c>
      <c r="CH97">
        <v>0.04</v>
      </c>
      <c r="CI97">
        <v>7000</v>
      </c>
      <c r="CJ97">
        <v>173649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 t="s">
        <v>88</v>
      </c>
      <c r="CT97" t="s">
        <v>1441</v>
      </c>
      <c r="CU97" t="s">
        <v>1442</v>
      </c>
    </row>
    <row r="98" spans="1:99">
      <c r="A98" t="s">
        <v>1431</v>
      </c>
      <c r="B98" t="s">
        <v>34</v>
      </c>
      <c r="C98" t="s">
        <v>1731</v>
      </c>
      <c r="D98" t="s">
        <v>1732</v>
      </c>
      <c r="E98" t="s">
        <v>1733</v>
      </c>
      <c r="F98" t="s">
        <v>1506</v>
      </c>
      <c r="G98" t="s">
        <v>1478</v>
      </c>
      <c r="H98" t="s">
        <v>1734</v>
      </c>
      <c r="I98" t="s">
        <v>240</v>
      </c>
      <c r="J98" t="s">
        <v>46</v>
      </c>
      <c r="K98" t="s">
        <v>29</v>
      </c>
      <c r="L98" t="s">
        <v>30</v>
      </c>
      <c r="M98">
        <v>180</v>
      </c>
      <c r="N98" t="s">
        <v>32</v>
      </c>
      <c r="O98" t="s">
        <v>32</v>
      </c>
      <c r="Q98" t="s">
        <v>32</v>
      </c>
      <c r="S98" t="s">
        <v>32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AA98" t="s">
        <v>32</v>
      </c>
      <c r="AB98" t="s">
        <v>32</v>
      </c>
      <c r="AE98" t="s">
        <v>32</v>
      </c>
      <c r="AH98" t="s">
        <v>32</v>
      </c>
      <c r="AK98" t="s">
        <v>32</v>
      </c>
      <c r="AN98" t="s">
        <v>32</v>
      </c>
      <c r="AO98" t="s">
        <v>32</v>
      </c>
      <c r="AR98">
        <v>0</v>
      </c>
      <c r="AU98" t="s">
        <v>32</v>
      </c>
      <c r="AV98">
        <v>5209465</v>
      </c>
      <c r="AW98" t="s">
        <v>32</v>
      </c>
      <c r="AX98" t="s">
        <v>32</v>
      </c>
      <c r="AY98" t="s">
        <v>185</v>
      </c>
      <c r="AZ98">
        <v>29</v>
      </c>
      <c r="BA98">
        <v>5035817</v>
      </c>
      <c r="BB98">
        <v>0.16</v>
      </c>
      <c r="BC98">
        <v>805800</v>
      </c>
      <c r="BD98" t="s">
        <v>142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805800</v>
      </c>
      <c r="BK98" t="s">
        <v>25</v>
      </c>
      <c r="BL98" t="s">
        <v>1064</v>
      </c>
      <c r="BM98">
        <v>29</v>
      </c>
      <c r="BN98">
        <v>5035817</v>
      </c>
      <c r="BO98">
        <v>0.04</v>
      </c>
      <c r="BP98">
        <v>201500</v>
      </c>
      <c r="BQ98">
        <v>0</v>
      </c>
      <c r="BR98" t="s">
        <v>1438</v>
      </c>
      <c r="BS98">
        <v>0</v>
      </c>
      <c r="BT98" t="s">
        <v>1438</v>
      </c>
      <c r="BU98">
        <v>0</v>
      </c>
      <c r="BV98" t="s">
        <v>25</v>
      </c>
      <c r="BW98" t="s">
        <v>189</v>
      </c>
      <c r="BX98">
        <v>29</v>
      </c>
      <c r="BY98">
        <v>5035817</v>
      </c>
      <c r="BZ98">
        <v>6.9599999999999995E-2</v>
      </c>
      <c r="CA98" t="s">
        <v>1439</v>
      </c>
      <c r="CB98" t="s">
        <v>227</v>
      </c>
      <c r="CC98" t="s">
        <v>1440</v>
      </c>
      <c r="CD98">
        <v>350500</v>
      </c>
      <c r="CE98">
        <v>29</v>
      </c>
      <c r="CF98" t="s">
        <v>635</v>
      </c>
      <c r="CG98">
        <v>5035817</v>
      </c>
      <c r="CH98">
        <v>0.04</v>
      </c>
      <c r="CI98">
        <v>201500</v>
      </c>
      <c r="CJ98">
        <v>5035817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 t="s">
        <v>88</v>
      </c>
      <c r="CT98" t="s">
        <v>1441</v>
      </c>
      <c r="CU98" t="s">
        <v>1442</v>
      </c>
    </row>
    <row r="99" spans="1:99">
      <c r="A99" t="s">
        <v>1431</v>
      </c>
      <c r="B99" t="s">
        <v>34</v>
      </c>
      <c r="C99" t="s">
        <v>1735</v>
      </c>
      <c r="D99" t="s">
        <v>1736</v>
      </c>
      <c r="E99" t="s">
        <v>1551</v>
      </c>
      <c r="F99" t="s">
        <v>1737</v>
      </c>
      <c r="G99" t="s">
        <v>1738</v>
      </c>
      <c r="H99" t="s">
        <v>1474</v>
      </c>
      <c r="I99" t="s">
        <v>240</v>
      </c>
      <c r="J99" t="s">
        <v>46</v>
      </c>
      <c r="K99" t="s">
        <v>29</v>
      </c>
      <c r="L99" t="s">
        <v>30</v>
      </c>
      <c r="M99">
        <v>27</v>
      </c>
      <c r="N99" t="s">
        <v>32</v>
      </c>
      <c r="O99" t="s">
        <v>32</v>
      </c>
      <c r="Q99" t="s">
        <v>40</v>
      </c>
      <c r="R99">
        <v>46058</v>
      </c>
      <c r="S99" t="s">
        <v>40</v>
      </c>
      <c r="T99">
        <v>46062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AA99" t="s">
        <v>32</v>
      </c>
      <c r="AB99" t="s">
        <v>32</v>
      </c>
      <c r="AE99" t="s">
        <v>32</v>
      </c>
      <c r="AH99" t="s">
        <v>32</v>
      </c>
      <c r="AK99" t="s">
        <v>32</v>
      </c>
      <c r="AN99" t="s">
        <v>32</v>
      </c>
      <c r="AO99" t="s">
        <v>32</v>
      </c>
      <c r="AR99">
        <v>0</v>
      </c>
      <c r="AU99" t="s">
        <v>32</v>
      </c>
      <c r="AV99">
        <v>2223339</v>
      </c>
      <c r="AW99" t="s">
        <v>32</v>
      </c>
      <c r="AX99" t="s">
        <v>32</v>
      </c>
      <c r="AY99" t="s">
        <v>317</v>
      </c>
      <c r="AZ99">
        <v>5</v>
      </c>
      <c r="BA99">
        <v>291818</v>
      </c>
      <c r="BB99">
        <v>0.16</v>
      </c>
      <c r="BC99">
        <v>46700</v>
      </c>
      <c r="BD99" t="s">
        <v>142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46700</v>
      </c>
      <c r="BK99" t="s">
        <v>25</v>
      </c>
      <c r="BL99" t="s">
        <v>1071</v>
      </c>
      <c r="BM99">
        <v>5</v>
      </c>
      <c r="BN99">
        <v>291818</v>
      </c>
      <c r="BO99">
        <v>0.04</v>
      </c>
      <c r="BP99">
        <v>11700</v>
      </c>
      <c r="BQ99">
        <v>0</v>
      </c>
      <c r="BR99" t="s">
        <v>1438</v>
      </c>
      <c r="BS99">
        <v>0</v>
      </c>
      <c r="BT99" t="s">
        <v>1438</v>
      </c>
      <c r="BU99">
        <v>0</v>
      </c>
      <c r="BV99" t="s">
        <v>25</v>
      </c>
      <c r="BW99" t="s">
        <v>189</v>
      </c>
      <c r="BX99">
        <v>5</v>
      </c>
      <c r="BY99">
        <v>291818</v>
      </c>
      <c r="BZ99">
        <v>6.9599999999999995E-2</v>
      </c>
      <c r="CA99" t="s">
        <v>1439</v>
      </c>
      <c r="CB99" t="s">
        <v>227</v>
      </c>
      <c r="CC99" t="s">
        <v>1440</v>
      </c>
      <c r="CD99">
        <v>20400</v>
      </c>
      <c r="CE99">
        <v>5</v>
      </c>
      <c r="CF99" t="s">
        <v>635</v>
      </c>
      <c r="CG99">
        <v>237897</v>
      </c>
      <c r="CH99">
        <v>0.04</v>
      </c>
      <c r="CI99">
        <v>9600</v>
      </c>
      <c r="CJ99">
        <v>237897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 t="s">
        <v>88</v>
      </c>
      <c r="CT99" t="s">
        <v>1441</v>
      </c>
      <c r="CU99" t="s">
        <v>1442</v>
      </c>
    </row>
    <row r="100" spans="1:99">
      <c r="A100" t="s">
        <v>1431</v>
      </c>
      <c r="B100" t="s">
        <v>34</v>
      </c>
      <c r="C100" t="s">
        <v>1739</v>
      </c>
      <c r="D100" t="s">
        <v>1740</v>
      </c>
      <c r="E100" t="s">
        <v>1741</v>
      </c>
      <c r="F100" t="s">
        <v>778</v>
      </c>
      <c r="G100" t="s">
        <v>1742</v>
      </c>
      <c r="H100" t="s">
        <v>1743</v>
      </c>
      <c r="I100" t="s">
        <v>240</v>
      </c>
      <c r="J100" t="s">
        <v>46</v>
      </c>
      <c r="K100" t="s">
        <v>29</v>
      </c>
      <c r="L100" t="s">
        <v>30</v>
      </c>
      <c r="M100">
        <v>94</v>
      </c>
      <c r="N100" t="s">
        <v>32</v>
      </c>
      <c r="O100" t="s">
        <v>32</v>
      </c>
      <c r="Q100" t="s">
        <v>40</v>
      </c>
      <c r="R100">
        <v>46069</v>
      </c>
      <c r="S100" t="s">
        <v>32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AA100" t="s">
        <v>32</v>
      </c>
      <c r="AB100" t="s">
        <v>32</v>
      </c>
      <c r="AE100" t="s">
        <v>32</v>
      </c>
      <c r="AH100" t="s">
        <v>32</v>
      </c>
      <c r="AK100" t="s">
        <v>32</v>
      </c>
      <c r="AN100" t="s">
        <v>32</v>
      </c>
      <c r="AO100" t="s">
        <v>32</v>
      </c>
      <c r="AR100">
        <v>0</v>
      </c>
      <c r="AU100" t="s">
        <v>32</v>
      </c>
      <c r="AV100">
        <v>5676577</v>
      </c>
      <c r="AW100" t="s">
        <v>32</v>
      </c>
      <c r="AX100" t="s">
        <v>88</v>
      </c>
      <c r="AY100" t="s">
        <v>393</v>
      </c>
      <c r="AZ100">
        <v>15</v>
      </c>
      <c r="BA100">
        <v>2838289</v>
      </c>
      <c r="BB100">
        <v>0.16</v>
      </c>
      <c r="BC100">
        <v>454200</v>
      </c>
      <c r="BD100" t="s">
        <v>142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454200</v>
      </c>
      <c r="BK100" t="s">
        <v>25</v>
      </c>
      <c r="BL100" t="s">
        <v>885</v>
      </c>
      <c r="BM100">
        <v>15</v>
      </c>
      <c r="BN100">
        <v>2838289</v>
      </c>
      <c r="BO100">
        <v>0.04</v>
      </c>
      <c r="BP100">
        <v>113600</v>
      </c>
      <c r="BQ100">
        <v>0</v>
      </c>
      <c r="BR100" t="s">
        <v>1438</v>
      </c>
      <c r="BS100">
        <v>0</v>
      </c>
      <c r="BT100" t="s">
        <v>1438</v>
      </c>
      <c r="BU100">
        <v>0</v>
      </c>
      <c r="BV100" t="s">
        <v>25</v>
      </c>
      <c r="BW100" t="s">
        <v>189</v>
      </c>
      <c r="BX100">
        <v>15</v>
      </c>
      <c r="BY100">
        <v>2838289</v>
      </c>
      <c r="BZ100">
        <v>6.9599999999999995E-2</v>
      </c>
      <c r="CA100" t="s">
        <v>1439</v>
      </c>
      <c r="CB100" t="s">
        <v>227</v>
      </c>
      <c r="CC100" t="s">
        <v>1440</v>
      </c>
      <c r="CD100">
        <v>197600</v>
      </c>
      <c r="CE100">
        <v>15</v>
      </c>
      <c r="CF100" t="s">
        <v>635</v>
      </c>
      <c r="CG100">
        <v>2838289</v>
      </c>
      <c r="CH100">
        <v>0.04</v>
      </c>
      <c r="CI100">
        <v>113600</v>
      </c>
      <c r="CJ100">
        <v>2838289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 t="s">
        <v>88</v>
      </c>
      <c r="CT100" t="s">
        <v>1441</v>
      </c>
      <c r="CU100" t="s">
        <v>1442</v>
      </c>
    </row>
    <row r="101" spans="1:99">
      <c r="A101" t="s">
        <v>1431</v>
      </c>
      <c r="B101" t="s">
        <v>34</v>
      </c>
      <c r="C101" t="s">
        <v>1744</v>
      </c>
      <c r="D101" t="s">
        <v>1745</v>
      </c>
      <c r="E101" t="s">
        <v>1102</v>
      </c>
      <c r="F101" t="s">
        <v>763</v>
      </c>
      <c r="G101" t="s">
        <v>1578</v>
      </c>
      <c r="H101" t="s">
        <v>1579</v>
      </c>
      <c r="I101" t="s">
        <v>240</v>
      </c>
      <c r="J101" t="s">
        <v>46</v>
      </c>
      <c r="K101" t="s">
        <v>29</v>
      </c>
      <c r="L101" t="s">
        <v>30</v>
      </c>
      <c r="M101">
        <v>188</v>
      </c>
      <c r="N101" t="s">
        <v>32</v>
      </c>
      <c r="O101" t="s">
        <v>32</v>
      </c>
      <c r="Q101" t="s">
        <v>32</v>
      </c>
      <c r="S101" t="s">
        <v>32</v>
      </c>
      <c r="U101" t="s">
        <v>32</v>
      </c>
      <c r="V101" t="s">
        <v>32</v>
      </c>
      <c r="W101" t="s">
        <v>32</v>
      </c>
      <c r="X101" t="s">
        <v>32</v>
      </c>
      <c r="Y101" t="s">
        <v>88</v>
      </c>
      <c r="Z101">
        <v>46054</v>
      </c>
      <c r="AA101" t="s">
        <v>32</v>
      </c>
      <c r="AB101" t="s">
        <v>32</v>
      </c>
      <c r="AE101" t="s">
        <v>32</v>
      </c>
      <c r="AH101" t="s">
        <v>32</v>
      </c>
      <c r="AK101" t="s">
        <v>32</v>
      </c>
      <c r="AN101" t="s">
        <v>32</v>
      </c>
      <c r="AO101" t="s">
        <v>32</v>
      </c>
      <c r="AR101">
        <v>0</v>
      </c>
      <c r="AU101" t="s">
        <v>32</v>
      </c>
      <c r="AV101">
        <v>2219704</v>
      </c>
      <c r="AW101" t="s">
        <v>32</v>
      </c>
      <c r="AX101" t="s">
        <v>32</v>
      </c>
      <c r="AY101" t="s">
        <v>185</v>
      </c>
      <c r="AZ101">
        <v>30</v>
      </c>
      <c r="BA101">
        <v>2219704</v>
      </c>
      <c r="BB101">
        <v>0.16</v>
      </c>
      <c r="BC101">
        <v>355200</v>
      </c>
      <c r="BD101" t="s">
        <v>142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355200</v>
      </c>
      <c r="BK101" t="s">
        <v>25</v>
      </c>
      <c r="BL101" t="s">
        <v>1071</v>
      </c>
      <c r="BM101">
        <v>30</v>
      </c>
      <c r="BN101">
        <v>2219704</v>
      </c>
      <c r="BO101">
        <v>0.04</v>
      </c>
      <c r="BP101">
        <v>88800</v>
      </c>
      <c r="BQ101">
        <v>0</v>
      </c>
      <c r="BR101" t="s">
        <v>1438</v>
      </c>
      <c r="BS101">
        <v>0</v>
      </c>
      <c r="BT101" t="s">
        <v>1438</v>
      </c>
      <c r="BU101">
        <v>0</v>
      </c>
      <c r="BV101" t="s">
        <v>25</v>
      </c>
      <c r="BW101" t="s">
        <v>189</v>
      </c>
      <c r="BX101">
        <v>30</v>
      </c>
      <c r="BY101">
        <v>2219704</v>
      </c>
      <c r="BZ101">
        <v>5.2199999999999998E-3</v>
      </c>
      <c r="CA101" t="s">
        <v>1592</v>
      </c>
      <c r="CB101" t="s">
        <v>227</v>
      </c>
      <c r="CC101" t="s">
        <v>1593</v>
      </c>
      <c r="CD101">
        <v>11600</v>
      </c>
      <c r="CE101">
        <v>30</v>
      </c>
      <c r="CF101" t="s">
        <v>635</v>
      </c>
      <c r="CG101">
        <v>2219704</v>
      </c>
      <c r="CH101">
        <v>0.04</v>
      </c>
      <c r="CI101">
        <v>88800</v>
      </c>
      <c r="CJ101">
        <v>2219704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 t="s">
        <v>88</v>
      </c>
      <c r="CT101" t="s">
        <v>1441</v>
      </c>
      <c r="CU101" t="s">
        <v>1442</v>
      </c>
    </row>
    <row r="102" spans="1:99">
      <c r="A102" t="s">
        <v>1431</v>
      </c>
      <c r="B102" t="s">
        <v>34</v>
      </c>
      <c r="C102" t="s">
        <v>1746</v>
      </c>
      <c r="D102" t="s">
        <v>1747</v>
      </c>
      <c r="E102" t="s">
        <v>1748</v>
      </c>
      <c r="F102" t="s">
        <v>1749</v>
      </c>
      <c r="G102" t="s">
        <v>1693</v>
      </c>
      <c r="H102" t="s">
        <v>1750</v>
      </c>
      <c r="I102" t="s">
        <v>240</v>
      </c>
      <c r="J102" t="s">
        <v>46</v>
      </c>
      <c r="K102" t="s">
        <v>29</v>
      </c>
      <c r="L102" t="s">
        <v>30</v>
      </c>
      <c r="M102">
        <v>94</v>
      </c>
      <c r="N102" t="s">
        <v>32</v>
      </c>
      <c r="O102" t="s">
        <v>32</v>
      </c>
      <c r="Q102" t="s">
        <v>32</v>
      </c>
      <c r="S102" t="s">
        <v>32</v>
      </c>
      <c r="U102" t="s">
        <v>32</v>
      </c>
      <c r="V102" t="s">
        <v>32</v>
      </c>
      <c r="W102" t="s">
        <v>32</v>
      </c>
      <c r="X102" t="s">
        <v>32</v>
      </c>
      <c r="Y102" t="s">
        <v>88</v>
      </c>
      <c r="Z102">
        <v>46054</v>
      </c>
      <c r="AA102" t="s">
        <v>32</v>
      </c>
      <c r="AB102" t="s">
        <v>32</v>
      </c>
      <c r="AE102" t="s">
        <v>32</v>
      </c>
      <c r="AH102" t="s">
        <v>32</v>
      </c>
      <c r="AK102" t="s">
        <v>32</v>
      </c>
      <c r="AN102" t="s">
        <v>32</v>
      </c>
      <c r="AO102" t="s">
        <v>32</v>
      </c>
      <c r="AR102">
        <v>0</v>
      </c>
      <c r="AU102" t="s">
        <v>32</v>
      </c>
      <c r="AV102">
        <v>3660341</v>
      </c>
      <c r="AW102" t="s">
        <v>32</v>
      </c>
      <c r="AX102" t="s">
        <v>32</v>
      </c>
      <c r="AY102" t="s">
        <v>317</v>
      </c>
      <c r="AZ102">
        <v>15</v>
      </c>
      <c r="BA102">
        <v>1601269</v>
      </c>
      <c r="BB102">
        <v>0.16</v>
      </c>
      <c r="BC102">
        <v>256300</v>
      </c>
      <c r="BD102" t="s">
        <v>142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256300</v>
      </c>
      <c r="BK102" t="s">
        <v>25</v>
      </c>
      <c r="BL102" t="s">
        <v>635</v>
      </c>
      <c r="BM102">
        <v>15</v>
      </c>
      <c r="BN102">
        <v>1601269</v>
      </c>
      <c r="BO102">
        <v>0.04</v>
      </c>
      <c r="BP102">
        <v>64100</v>
      </c>
      <c r="BQ102">
        <v>0</v>
      </c>
      <c r="BR102" t="s">
        <v>1438</v>
      </c>
      <c r="BS102">
        <v>0</v>
      </c>
      <c r="BT102" t="s">
        <v>1438</v>
      </c>
      <c r="BU102">
        <v>0</v>
      </c>
      <c r="BV102" t="s">
        <v>25</v>
      </c>
      <c r="BW102" t="s">
        <v>189</v>
      </c>
      <c r="BX102">
        <v>15</v>
      </c>
      <c r="BY102">
        <v>1601269</v>
      </c>
      <c r="BZ102">
        <v>5.2199999999999998E-3</v>
      </c>
      <c r="CA102" t="s">
        <v>1592</v>
      </c>
      <c r="CB102" t="s">
        <v>227</v>
      </c>
      <c r="CC102" t="s">
        <v>1593</v>
      </c>
      <c r="CD102">
        <v>8400</v>
      </c>
      <c r="CE102">
        <v>15</v>
      </c>
      <c r="CF102" t="s">
        <v>635</v>
      </c>
      <c r="CG102">
        <v>1601269</v>
      </c>
      <c r="CH102">
        <v>0.04</v>
      </c>
      <c r="CI102">
        <v>64100</v>
      </c>
      <c r="CJ102">
        <v>1601269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 t="s">
        <v>88</v>
      </c>
      <c r="CT102" t="s">
        <v>1441</v>
      </c>
      <c r="CU102" t="s">
        <v>1442</v>
      </c>
    </row>
    <row r="103" spans="1:99">
      <c r="A103" t="s">
        <v>1431</v>
      </c>
      <c r="B103" t="s">
        <v>34</v>
      </c>
      <c r="C103" t="s">
        <v>1746</v>
      </c>
      <c r="D103" t="s">
        <v>1747</v>
      </c>
      <c r="E103" t="s">
        <v>1748</v>
      </c>
      <c r="F103" t="s">
        <v>1749</v>
      </c>
      <c r="G103" t="s">
        <v>1693</v>
      </c>
      <c r="H103" t="s">
        <v>1750</v>
      </c>
      <c r="I103" t="s">
        <v>240</v>
      </c>
      <c r="J103" t="s">
        <v>46</v>
      </c>
      <c r="K103" t="s">
        <v>29</v>
      </c>
      <c r="L103" t="s">
        <v>30</v>
      </c>
      <c r="M103">
        <v>94</v>
      </c>
      <c r="N103" t="s">
        <v>32</v>
      </c>
      <c r="O103" t="s">
        <v>32</v>
      </c>
      <c r="Q103" t="s">
        <v>32</v>
      </c>
      <c r="S103" t="s">
        <v>32</v>
      </c>
      <c r="U103" t="s">
        <v>32</v>
      </c>
      <c r="V103" t="s">
        <v>32</v>
      </c>
      <c r="W103" t="s">
        <v>32</v>
      </c>
      <c r="X103" t="s">
        <v>32</v>
      </c>
      <c r="Y103" t="s">
        <v>88</v>
      </c>
      <c r="Z103">
        <v>46054</v>
      </c>
      <c r="AA103" t="s">
        <v>88</v>
      </c>
      <c r="AB103" t="s">
        <v>32</v>
      </c>
      <c r="AE103" t="s">
        <v>32</v>
      </c>
      <c r="AH103" t="s">
        <v>32</v>
      </c>
      <c r="AK103" t="s">
        <v>32</v>
      </c>
      <c r="AN103" t="s">
        <v>32</v>
      </c>
      <c r="AO103" t="s">
        <v>32</v>
      </c>
      <c r="AR103">
        <v>0</v>
      </c>
      <c r="AU103" t="s">
        <v>32</v>
      </c>
      <c r="AV103">
        <v>3660341</v>
      </c>
      <c r="AW103" t="s">
        <v>32</v>
      </c>
      <c r="AX103" t="s">
        <v>32</v>
      </c>
      <c r="AY103" t="s">
        <v>317</v>
      </c>
      <c r="AZ103">
        <v>15</v>
      </c>
      <c r="BA103">
        <v>4614376</v>
      </c>
      <c r="BB103">
        <v>0.16</v>
      </c>
      <c r="BC103">
        <v>738400</v>
      </c>
      <c r="BD103" t="s">
        <v>142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738400</v>
      </c>
      <c r="BK103" t="s">
        <v>25</v>
      </c>
      <c r="BL103" t="s">
        <v>635</v>
      </c>
      <c r="BM103">
        <v>15</v>
      </c>
      <c r="BN103">
        <v>4614376</v>
      </c>
      <c r="BO103">
        <v>0.04</v>
      </c>
      <c r="BP103">
        <v>184600</v>
      </c>
      <c r="BQ103">
        <v>0</v>
      </c>
      <c r="BR103" t="s">
        <v>1438</v>
      </c>
      <c r="BS103">
        <v>0</v>
      </c>
      <c r="BT103" t="s">
        <v>1438</v>
      </c>
      <c r="BU103">
        <v>0</v>
      </c>
      <c r="BV103" t="s">
        <v>25</v>
      </c>
      <c r="BW103" t="s">
        <v>189</v>
      </c>
      <c r="BX103">
        <v>15</v>
      </c>
      <c r="BY103">
        <v>4614376</v>
      </c>
      <c r="BZ103">
        <v>5.2199999999999998E-3</v>
      </c>
      <c r="CA103" t="s">
        <v>1592</v>
      </c>
      <c r="CB103" t="s">
        <v>227</v>
      </c>
      <c r="CC103" t="s">
        <v>1593</v>
      </c>
      <c r="CD103">
        <v>24100</v>
      </c>
      <c r="CE103">
        <v>15</v>
      </c>
      <c r="CF103" t="s">
        <v>635</v>
      </c>
      <c r="CG103">
        <v>2059073</v>
      </c>
      <c r="CH103">
        <v>0.04</v>
      </c>
      <c r="CI103">
        <v>82400</v>
      </c>
      <c r="CJ103">
        <v>2059073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 t="s">
        <v>88</v>
      </c>
      <c r="CT103" t="s">
        <v>1441</v>
      </c>
      <c r="CU103" t="s">
        <v>1442</v>
      </c>
    </row>
    <row r="104" spans="1:99">
      <c r="A104" t="s">
        <v>1431</v>
      </c>
      <c r="B104" t="s">
        <v>34</v>
      </c>
      <c r="C104" t="s">
        <v>1751</v>
      </c>
      <c r="D104" t="s">
        <v>1752</v>
      </c>
      <c r="E104" t="s">
        <v>734</v>
      </c>
      <c r="F104" t="s">
        <v>1753</v>
      </c>
      <c r="G104" t="s">
        <v>1590</v>
      </c>
      <c r="H104" t="s">
        <v>1579</v>
      </c>
      <c r="I104" t="s">
        <v>240</v>
      </c>
      <c r="J104" t="s">
        <v>46</v>
      </c>
      <c r="K104" t="s">
        <v>29</v>
      </c>
      <c r="L104" t="s">
        <v>30</v>
      </c>
      <c r="M104">
        <v>0</v>
      </c>
      <c r="N104" t="s">
        <v>32</v>
      </c>
      <c r="O104" t="s">
        <v>32</v>
      </c>
      <c r="Q104" t="s">
        <v>32</v>
      </c>
      <c r="S104" t="s">
        <v>32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AA104" t="s">
        <v>32</v>
      </c>
      <c r="AB104" t="s">
        <v>32</v>
      </c>
      <c r="AE104" t="s">
        <v>32</v>
      </c>
      <c r="AH104" t="s">
        <v>32</v>
      </c>
      <c r="AK104" t="s">
        <v>74</v>
      </c>
      <c r="AL104">
        <v>46058</v>
      </c>
      <c r="AM104">
        <v>46061</v>
      </c>
      <c r="AN104" t="s">
        <v>32</v>
      </c>
      <c r="AO104" t="s">
        <v>32</v>
      </c>
      <c r="AR104">
        <v>0</v>
      </c>
      <c r="AU104" t="s">
        <v>32</v>
      </c>
      <c r="AV104">
        <v>3660341</v>
      </c>
      <c r="AW104" t="s">
        <v>32</v>
      </c>
      <c r="AX104" t="s">
        <v>32</v>
      </c>
      <c r="AY104" t="s">
        <v>185</v>
      </c>
      <c r="AZ104">
        <v>4</v>
      </c>
      <c r="BA104">
        <v>448036</v>
      </c>
      <c r="BB104">
        <v>0.16</v>
      </c>
      <c r="BC104">
        <v>71700</v>
      </c>
      <c r="BD104" t="s">
        <v>142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71700</v>
      </c>
      <c r="BK104" t="s">
        <v>25</v>
      </c>
      <c r="BL104" t="s">
        <v>1071</v>
      </c>
      <c r="BM104">
        <v>4</v>
      </c>
      <c r="BN104">
        <v>448036</v>
      </c>
      <c r="BO104">
        <v>0.04</v>
      </c>
      <c r="BP104">
        <v>18000</v>
      </c>
      <c r="BQ104">
        <v>0</v>
      </c>
      <c r="BR104" t="s">
        <v>1438</v>
      </c>
      <c r="BS104">
        <v>0</v>
      </c>
      <c r="BT104" t="s">
        <v>1438</v>
      </c>
      <c r="BU104">
        <v>0</v>
      </c>
      <c r="BV104" t="s">
        <v>25</v>
      </c>
      <c r="BW104" t="s">
        <v>189</v>
      </c>
      <c r="BX104">
        <v>4</v>
      </c>
      <c r="BY104">
        <v>448036</v>
      </c>
      <c r="BZ104">
        <v>0</v>
      </c>
      <c r="CA104" t="s">
        <v>1592</v>
      </c>
      <c r="CB104" t="s">
        <v>227</v>
      </c>
      <c r="CC104" t="s">
        <v>1593</v>
      </c>
      <c r="CD104">
        <v>0</v>
      </c>
      <c r="CE104">
        <v>4</v>
      </c>
      <c r="CF104" t="s">
        <v>635</v>
      </c>
      <c r="CG104">
        <v>448036</v>
      </c>
      <c r="CH104">
        <v>0.04</v>
      </c>
      <c r="CI104">
        <v>18000</v>
      </c>
      <c r="CJ104">
        <v>448036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 t="s">
        <v>88</v>
      </c>
      <c r="CT104" t="s">
        <v>1441</v>
      </c>
      <c r="CU104" t="s">
        <v>1442</v>
      </c>
    </row>
    <row r="105" spans="1:99">
      <c r="A105" t="s">
        <v>1431</v>
      </c>
      <c r="B105" t="s">
        <v>34</v>
      </c>
      <c r="C105" t="s">
        <v>1751</v>
      </c>
      <c r="D105" t="s">
        <v>1752</v>
      </c>
      <c r="E105" t="s">
        <v>734</v>
      </c>
      <c r="F105" t="s">
        <v>1753</v>
      </c>
      <c r="G105" t="s">
        <v>1590</v>
      </c>
      <c r="H105" t="s">
        <v>1579</v>
      </c>
      <c r="I105" t="s">
        <v>240</v>
      </c>
      <c r="J105" t="s">
        <v>46</v>
      </c>
      <c r="K105" t="s">
        <v>29</v>
      </c>
      <c r="L105" t="s">
        <v>30</v>
      </c>
      <c r="M105">
        <v>70</v>
      </c>
      <c r="N105" t="s">
        <v>32</v>
      </c>
      <c r="O105" t="s">
        <v>32</v>
      </c>
      <c r="Q105" t="s">
        <v>32</v>
      </c>
      <c r="S105" t="s">
        <v>32</v>
      </c>
      <c r="U105" t="s">
        <v>32</v>
      </c>
      <c r="V105" t="s">
        <v>32</v>
      </c>
      <c r="W105" t="s">
        <v>32</v>
      </c>
      <c r="X105" t="s">
        <v>32</v>
      </c>
      <c r="Y105" t="s">
        <v>88</v>
      </c>
      <c r="Z105">
        <v>46054</v>
      </c>
      <c r="AA105" t="s">
        <v>32</v>
      </c>
      <c r="AB105" t="s">
        <v>32</v>
      </c>
      <c r="AE105" t="s">
        <v>32</v>
      </c>
      <c r="AH105" t="s">
        <v>32</v>
      </c>
      <c r="AK105" t="s">
        <v>32</v>
      </c>
      <c r="AN105" t="s">
        <v>32</v>
      </c>
      <c r="AO105" t="s">
        <v>32</v>
      </c>
      <c r="AR105">
        <v>0</v>
      </c>
      <c r="AU105" t="s">
        <v>32</v>
      </c>
      <c r="AV105">
        <v>3660341</v>
      </c>
      <c r="AW105" t="s">
        <v>32</v>
      </c>
      <c r="AX105" t="s">
        <v>32</v>
      </c>
      <c r="AY105" t="s">
        <v>185</v>
      </c>
      <c r="AZ105">
        <v>11</v>
      </c>
      <c r="BA105">
        <v>1232098</v>
      </c>
      <c r="BB105">
        <v>0.16</v>
      </c>
      <c r="BC105">
        <v>197200</v>
      </c>
      <c r="BD105" t="s">
        <v>142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197200</v>
      </c>
      <c r="BK105" t="s">
        <v>25</v>
      </c>
      <c r="BL105" t="s">
        <v>1071</v>
      </c>
      <c r="BM105">
        <v>11</v>
      </c>
      <c r="BN105">
        <v>1232098</v>
      </c>
      <c r="BO105">
        <v>0.04</v>
      </c>
      <c r="BP105">
        <v>49300</v>
      </c>
      <c r="BQ105">
        <v>0</v>
      </c>
      <c r="BR105" t="s">
        <v>1438</v>
      </c>
      <c r="BS105">
        <v>0</v>
      </c>
      <c r="BT105" t="s">
        <v>1438</v>
      </c>
      <c r="BU105">
        <v>0</v>
      </c>
      <c r="BV105" t="s">
        <v>25</v>
      </c>
      <c r="BW105" t="s">
        <v>189</v>
      </c>
      <c r="BX105">
        <v>11</v>
      </c>
      <c r="BY105">
        <v>1232098</v>
      </c>
      <c r="BZ105">
        <v>5.2199999999999998E-3</v>
      </c>
      <c r="CA105" t="s">
        <v>1592</v>
      </c>
      <c r="CB105" t="s">
        <v>227</v>
      </c>
      <c r="CC105" t="s">
        <v>1593</v>
      </c>
      <c r="CD105">
        <v>6500</v>
      </c>
      <c r="CE105">
        <v>11</v>
      </c>
      <c r="CF105" t="s">
        <v>635</v>
      </c>
      <c r="CG105">
        <v>1232098</v>
      </c>
      <c r="CH105">
        <v>0.04</v>
      </c>
      <c r="CI105">
        <v>49300</v>
      </c>
      <c r="CJ105">
        <v>1232098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 t="s">
        <v>88</v>
      </c>
      <c r="CT105" t="s">
        <v>1441</v>
      </c>
      <c r="CU105" t="s">
        <v>1442</v>
      </c>
    </row>
    <row r="106" spans="1:99">
      <c r="A106" t="s">
        <v>1431</v>
      </c>
      <c r="B106" t="s">
        <v>34</v>
      </c>
      <c r="C106" t="s">
        <v>1751</v>
      </c>
      <c r="D106" t="s">
        <v>1752</v>
      </c>
      <c r="E106" t="s">
        <v>734</v>
      </c>
      <c r="F106" t="s">
        <v>1753</v>
      </c>
      <c r="G106" t="s">
        <v>1590</v>
      </c>
      <c r="H106" t="s">
        <v>1579</v>
      </c>
      <c r="I106" t="s">
        <v>240</v>
      </c>
      <c r="J106" t="s">
        <v>46</v>
      </c>
      <c r="K106" t="s">
        <v>29</v>
      </c>
      <c r="L106" t="s">
        <v>30</v>
      </c>
      <c r="M106">
        <v>94</v>
      </c>
      <c r="N106" t="s">
        <v>32</v>
      </c>
      <c r="O106" t="s">
        <v>32</v>
      </c>
      <c r="Q106" t="s">
        <v>32</v>
      </c>
      <c r="S106" t="s">
        <v>32</v>
      </c>
      <c r="U106" t="s">
        <v>32</v>
      </c>
      <c r="V106" t="s">
        <v>32</v>
      </c>
      <c r="W106" t="s">
        <v>32</v>
      </c>
      <c r="X106" t="s">
        <v>32</v>
      </c>
      <c r="Y106" t="s">
        <v>88</v>
      </c>
      <c r="Z106">
        <v>46054</v>
      </c>
      <c r="AA106" t="s">
        <v>88</v>
      </c>
      <c r="AB106" t="s">
        <v>32</v>
      </c>
      <c r="AE106" t="s">
        <v>32</v>
      </c>
      <c r="AH106" t="s">
        <v>32</v>
      </c>
      <c r="AK106" t="s">
        <v>32</v>
      </c>
      <c r="AN106" t="s">
        <v>32</v>
      </c>
      <c r="AO106" t="s">
        <v>32</v>
      </c>
      <c r="AR106">
        <v>0</v>
      </c>
      <c r="AU106" t="s">
        <v>32</v>
      </c>
      <c r="AV106">
        <v>3660341</v>
      </c>
      <c r="AW106" t="s">
        <v>32</v>
      </c>
      <c r="AX106" t="s">
        <v>32</v>
      </c>
      <c r="AY106" t="s">
        <v>185</v>
      </c>
      <c r="AZ106">
        <v>15</v>
      </c>
      <c r="BA106">
        <v>1940198</v>
      </c>
      <c r="BB106">
        <v>0.16</v>
      </c>
      <c r="BC106">
        <v>310500</v>
      </c>
      <c r="BD106" t="s">
        <v>142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310500</v>
      </c>
      <c r="BK106" t="s">
        <v>25</v>
      </c>
      <c r="BL106" t="s">
        <v>1071</v>
      </c>
      <c r="BM106">
        <v>15</v>
      </c>
      <c r="BN106">
        <v>1940198</v>
      </c>
      <c r="BO106">
        <v>0.04</v>
      </c>
      <c r="BP106">
        <v>77700</v>
      </c>
      <c r="BQ106">
        <v>0</v>
      </c>
      <c r="BR106" t="s">
        <v>1438</v>
      </c>
      <c r="BS106">
        <v>0</v>
      </c>
      <c r="BT106" t="s">
        <v>1438</v>
      </c>
      <c r="BU106">
        <v>0</v>
      </c>
      <c r="BV106" t="s">
        <v>25</v>
      </c>
      <c r="BW106" t="s">
        <v>189</v>
      </c>
      <c r="BX106">
        <v>15</v>
      </c>
      <c r="BY106">
        <v>1940198</v>
      </c>
      <c r="BZ106">
        <v>5.2199999999999998E-3</v>
      </c>
      <c r="CA106" t="s">
        <v>1592</v>
      </c>
      <c r="CB106" t="s">
        <v>227</v>
      </c>
      <c r="CC106" t="s">
        <v>1593</v>
      </c>
      <c r="CD106">
        <v>10200</v>
      </c>
      <c r="CE106">
        <v>15</v>
      </c>
      <c r="CF106" t="s">
        <v>635</v>
      </c>
      <c r="CG106">
        <v>1940198</v>
      </c>
      <c r="CH106">
        <v>0.04</v>
      </c>
      <c r="CI106">
        <v>77700</v>
      </c>
      <c r="CJ106">
        <v>1940198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 t="s">
        <v>88</v>
      </c>
      <c r="CT106" t="s">
        <v>1441</v>
      </c>
      <c r="CU106" t="s">
        <v>1442</v>
      </c>
    </row>
    <row r="107" spans="1:99">
      <c r="A107" t="s">
        <v>1431</v>
      </c>
      <c r="B107" t="s">
        <v>34</v>
      </c>
      <c r="C107" t="s">
        <v>1754</v>
      </c>
      <c r="D107" t="s">
        <v>1755</v>
      </c>
      <c r="E107" t="s">
        <v>992</v>
      </c>
      <c r="F107" t="s">
        <v>263</v>
      </c>
      <c r="G107" t="s">
        <v>1756</v>
      </c>
      <c r="H107" t="s">
        <v>1757</v>
      </c>
      <c r="I107" t="s">
        <v>240</v>
      </c>
      <c r="J107" t="s">
        <v>46</v>
      </c>
      <c r="K107" t="s">
        <v>29</v>
      </c>
      <c r="L107" t="s">
        <v>30</v>
      </c>
      <c r="M107">
        <v>90</v>
      </c>
      <c r="N107" t="s">
        <v>32</v>
      </c>
      <c r="O107" t="s">
        <v>32</v>
      </c>
      <c r="Q107" t="s">
        <v>40</v>
      </c>
      <c r="R107">
        <v>46069</v>
      </c>
      <c r="S107" t="s">
        <v>32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AA107" t="s">
        <v>32</v>
      </c>
      <c r="AB107" t="s">
        <v>32</v>
      </c>
      <c r="AE107" t="s">
        <v>32</v>
      </c>
      <c r="AH107" t="s">
        <v>32</v>
      </c>
      <c r="AK107" t="s">
        <v>32</v>
      </c>
      <c r="AN107" t="s">
        <v>32</v>
      </c>
      <c r="AO107" t="s">
        <v>32</v>
      </c>
      <c r="AR107">
        <v>0</v>
      </c>
      <c r="AU107" t="s">
        <v>32</v>
      </c>
      <c r="AV107">
        <v>2102789</v>
      </c>
      <c r="AW107" t="s">
        <v>32</v>
      </c>
      <c r="AX107" t="s">
        <v>32</v>
      </c>
      <c r="AY107" t="s">
        <v>317</v>
      </c>
      <c r="AZ107">
        <v>15</v>
      </c>
      <c r="BA107">
        <v>1547463</v>
      </c>
      <c r="BB107">
        <v>0.16</v>
      </c>
      <c r="BC107">
        <v>247600</v>
      </c>
      <c r="BD107" t="s">
        <v>142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247600</v>
      </c>
      <c r="BK107" t="s">
        <v>25</v>
      </c>
      <c r="BL107" t="s">
        <v>1010</v>
      </c>
      <c r="BM107">
        <v>15</v>
      </c>
      <c r="BN107">
        <v>1547463</v>
      </c>
      <c r="BO107">
        <v>0.04</v>
      </c>
      <c r="BP107">
        <v>61900</v>
      </c>
      <c r="BQ107">
        <v>0</v>
      </c>
      <c r="BR107" t="s">
        <v>1438</v>
      </c>
      <c r="BS107">
        <v>0</v>
      </c>
      <c r="BT107" t="s">
        <v>1438</v>
      </c>
      <c r="BU107">
        <v>0</v>
      </c>
      <c r="BV107" t="s">
        <v>25</v>
      </c>
      <c r="BW107" t="s">
        <v>189</v>
      </c>
      <c r="BX107">
        <v>15</v>
      </c>
      <c r="BY107">
        <v>1547463</v>
      </c>
      <c r="BZ107">
        <v>6.9599999999999995E-2</v>
      </c>
      <c r="CA107" t="s">
        <v>1439</v>
      </c>
      <c r="CB107" t="s">
        <v>227</v>
      </c>
      <c r="CC107" t="s">
        <v>1440</v>
      </c>
      <c r="CD107">
        <v>107800</v>
      </c>
      <c r="CE107">
        <v>15</v>
      </c>
      <c r="CF107" t="s">
        <v>635</v>
      </c>
      <c r="CG107">
        <v>1051395</v>
      </c>
      <c r="CH107">
        <v>0.04</v>
      </c>
      <c r="CI107">
        <v>42100</v>
      </c>
      <c r="CJ107">
        <v>1051395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 t="s">
        <v>88</v>
      </c>
      <c r="CT107" t="s">
        <v>1441</v>
      </c>
      <c r="CU107" t="s">
        <v>1442</v>
      </c>
    </row>
    <row r="108" spans="1:99">
      <c r="A108" t="s">
        <v>1431</v>
      </c>
      <c r="B108" t="s">
        <v>34</v>
      </c>
      <c r="C108" t="s">
        <v>1758</v>
      </c>
      <c r="D108" t="s">
        <v>1759</v>
      </c>
      <c r="E108" t="s">
        <v>1566</v>
      </c>
      <c r="F108" t="s">
        <v>1760</v>
      </c>
      <c r="G108" t="s">
        <v>1761</v>
      </c>
      <c r="H108" t="s">
        <v>1558</v>
      </c>
      <c r="I108" t="s">
        <v>240</v>
      </c>
      <c r="J108" t="s">
        <v>46</v>
      </c>
      <c r="K108" t="s">
        <v>29</v>
      </c>
      <c r="L108" t="s">
        <v>30</v>
      </c>
      <c r="M108">
        <v>0</v>
      </c>
      <c r="N108" t="s">
        <v>32</v>
      </c>
      <c r="O108" t="s">
        <v>32</v>
      </c>
      <c r="Q108" t="s">
        <v>32</v>
      </c>
      <c r="S108" t="s">
        <v>32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AA108" t="s">
        <v>32</v>
      </c>
      <c r="AB108" t="s">
        <v>37</v>
      </c>
      <c r="AC108">
        <v>46054</v>
      </c>
      <c r="AD108">
        <v>46056</v>
      </c>
      <c r="AE108" t="s">
        <v>32</v>
      </c>
      <c r="AH108" t="s">
        <v>32</v>
      </c>
      <c r="AK108" t="s">
        <v>32</v>
      </c>
      <c r="AN108" t="s">
        <v>32</v>
      </c>
      <c r="AO108" t="s">
        <v>32</v>
      </c>
      <c r="AR108">
        <v>0</v>
      </c>
      <c r="AU108" t="s">
        <v>32</v>
      </c>
      <c r="AV108">
        <v>1750905</v>
      </c>
      <c r="AW108" t="s">
        <v>32</v>
      </c>
      <c r="AX108" t="s">
        <v>32</v>
      </c>
      <c r="AY108" t="s">
        <v>317</v>
      </c>
      <c r="AZ108">
        <v>3</v>
      </c>
      <c r="BA108">
        <v>175091</v>
      </c>
      <c r="BB108">
        <v>0.16</v>
      </c>
      <c r="BC108">
        <v>28100</v>
      </c>
      <c r="BD108" t="s">
        <v>142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28100</v>
      </c>
      <c r="BK108" t="s">
        <v>25</v>
      </c>
      <c r="BL108" t="s">
        <v>885</v>
      </c>
      <c r="BM108">
        <v>3</v>
      </c>
      <c r="BN108">
        <v>175091</v>
      </c>
      <c r="BO108">
        <v>0</v>
      </c>
      <c r="BP108">
        <v>0</v>
      </c>
      <c r="BQ108">
        <v>0</v>
      </c>
      <c r="BR108" t="s">
        <v>1438</v>
      </c>
      <c r="BS108">
        <v>0</v>
      </c>
      <c r="BT108" t="s">
        <v>1438</v>
      </c>
      <c r="BU108">
        <v>0</v>
      </c>
      <c r="BV108" t="s">
        <v>25</v>
      </c>
      <c r="BW108" t="s">
        <v>189</v>
      </c>
      <c r="BX108">
        <v>3</v>
      </c>
      <c r="BY108">
        <v>175091</v>
      </c>
      <c r="BZ108">
        <v>0</v>
      </c>
      <c r="CA108" t="s">
        <v>1439</v>
      </c>
      <c r="CB108" t="s">
        <v>227</v>
      </c>
      <c r="CC108" t="s">
        <v>1440</v>
      </c>
      <c r="CD108">
        <v>0</v>
      </c>
      <c r="CE108">
        <v>3</v>
      </c>
      <c r="CF108" t="s">
        <v>635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 t="s">
        <v>88</v>
      </c>
      <c r="CT108" t="s">
        <v>1441</v>
      </c>
      <c r="CU108" t="s">
        <v>1442</v>
      </c>
    </row>
    <row r="109" spans="1:99">
      <c r="A109" t="s">
        <v>1431</v>
      </c>
      <c r="B109" t="s">
        <v>34</v>
      </c>
      <c r="C109" t="s">
        <v>1758</v>
      </c>
      <c r="D109" t="s">
        <v>1759</v>
      </c>
      <c r="E109" t="s">
        <v>1566</v>
      </c>
      <c r="F109" t="s">
        <v>1760</v>
      </c>
      <c r="G109" t="s">
        <v>1761</v>
      </c>
      <c r="H109" t="s">
        <v>1558</v>
      </c>
      <c r="I109" t="s">
        <v>240</v>
      </c>
      <c r="J109" t="s">
        <v>46</v>
      </c>
      <c r="K109" t="s">
        <v>29</v>
      </c>
      <c r="L109" t="s">
        <v>30</v>
      </c>
      <c r="M109">
        <v>6</v>
      </c>
      <c r="N109" t="s">
        <v>32</v>
      </c>
      <c r="O109" t="s">
        <v>32</v>
      </c>
      <c r="Q109" t="s">
        <v>32</v>
      </c>
      <c r="S109" t="s">
        <v>40</v>
      </c>
      <c r="T109">
        <v>46056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AA109" t="s">
        <v>88</v>
      </c>
      <c r="AB109" t="s">
        <v>32</v>
      </c>
      <c r="AE109" t="s">
        <v>32</v>
      </c>
      <c r="AH109" t="s">
        <v>32</v>
      </c>
      <c r="AK109" t="s">
        <v>32</v>
      </c>
      <c r="AN109" t="s">
        <v>32</v>
      </c>
      <c r="AO109" t="s">
        <v>32</v>
      </c>
      <c r="AR109">
        <v>0</v>
      </c>
      <c r="AU109" t="s">
        <v>32</v>
      </c>
      <c r="AV109">
        <v>1750905</v>
      </c>
      <c r="AW109" t="s">
        <v>32</v>
      </c>
      <c r="AX109" t="s">
        <v>32</v>
      </c>
      <c r="AY109" t="s">
        <v>317</v>
      </c>
      <c r="AZ109">
        <v>0</v>
      </c>
      <c r="BA109">
        <v>346838</v>
      </c>
      <c r="BB109">
        <v>0.16</v>
      </c>
      <c r="BC109">
        <v>55500</v>
      </c>
      <c r="BD109" t="s">
        <v>142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55500</v>
      </c>
      <c r="BK109" t="s">
        <v>25</v>
      </c>
      <c r="BL109" t="s">
        <v>885</v>
      </c>
      <c r="BM109">
        <v>0</v>
      </c>
      <c r="BN109">
        <v>346838</v>
      </c>
      <c r="BO109">
        <v>0.04</v>
      </c>
      <c r="BP109">
        <v>13900</v>
      </c>
      <c r="BQ109">
        <v>0</v>
      </c>
      <c r="BR109" t="s">
        <v>1438</v>
      </c>
      <c r="BS109">
        <v>0</v>
      </c>
      <c r="BT109" t="s">
        <v>1438</v>
      </c>
      <c r="BU109">
        <v>0</v>
      </c>
      <c r="BV109" t="s">
        <v>25</v>
      </c>
      <c r="BW109" t="s">
        <v>189</v>
      </c>
      <c r="BX109">
        <v>0</v>
      </c>
      <c r="BY109">
        <v>346838</v>
      </c>
      <c r="BZ109">
        <v>6.9599999999999995E-2</v>
      </c>
      <c r="CA109" t="s">
        <v>1439</v>
      </c>
      <c r="CB109" t="s">
        <v>227</v>
      </c>
      <c r="CC109" t="s">
        <v>1440</v>
      </c>
      <c r="CD109">
        <v>24200</v>
      </c>
      <c r="CE109">
        <v>0</v>
      </c>
      <c r="CF109" t="s">
        <v>635</v>
      </c>
      <c r="CG109">
        <v>753174</v>
      </c>
      <c r="CH109">
        <v>0.04</v>
      </c>
      <c r="CI109">
        <v>30200</v>
      </c>
      <c r="CJ109">
        <v>753174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 t="s">
        <v>88</v>
      </c>
      <c r="CT109" t="s">
        <v>1441</v>
      </c>
      <c r="CU109" t="s">
        <v>1442</v>
      </c>
    </row>
    <row r="110" spans="1:99">
      <c r="A110" t="s">
        <v>1431</v>
      </c>
      <c r="B110" t="s">
        <v>34</v>
      </c>
      <c r="C110" t="s">
        <v>1762</v>
      </c>
      <c r="D110" t="s">
        <v>1763</v>
      </c>
      <c r="E110" t="s">
        <v>1483</v>
      </c>
      <c r="F110" t="s">
        <v>1764</v>
      </c>
      <c r="G110" t="s">
        <v>1765</v>
      </c>
      <c r="H110" t="s">
        <v>1766</v>
      </c>
      <c r="I110" t="s">
        <v>240</v>
      </c>
      <c r="J110" t="s">
        <v>46</v>
      </c>
      <c r="K110" t="s">
        <v>29</v>
      </c>
      <c r="L110" t="s">
        <v>30</v>
      </c>
      <c r="M110">
        <v>216</v>
      </c>
      <c r="N110" t="s">
        <v>32</v>
      </c>
      <c r="O110" t="s">
        <v>32</v>
      </c>
      <c r="Q110" t="s">
        <v>32</v>
      </c>
      <c r="S110" t="s">
        <v>32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AA110" t="s">
        <v>88</v>
      </c>
      <c r="AB110" t="s">
        <v>32</v>
      </c>
      <c r="AE110" t="s">
        <v>32</v>
      </c>
      <c r="AH110" t="s">
        <v>32</v>
      </c>
      <c r="AK110" t="s">
        <v>32</v>
      </c>
      <c r="AN110" t="s">
        <v>32</v>
      </c>
      <c r="AO110" t="s">
        <v>32</v>
      </c>
      <c r="AR110">
        <v>0</v>
      </c>
      <c r="AU110" t="s">
        <v>32</v>
      </c>
      <c r="AV110">
        <v>1750905</v>
      </c>
      <c r="AW110" t="s">
        <v>32</v>
      </c>
      <c r="AX110" t="s">
        <v>32</v>
      </c>
      <c r="AY110" t="s">
        <v>317</v>
      </c>
      <c r="AZ110">
        <v>30</v>
      </c>
      <c r="BA110">
        <v>2237314</v>
      </c>
      <c r="BB110">
        <v>0.16</v>
      </c>
      <c r="BC110">
        <v>358000</v>
      </c>
      <c r="BD110" t="s">
        <v>142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358000</v>
      </c>
      <c r="BK110" t="s">
        <v>25</v>
      </c>
      <c r="BL110" t="s">
        <v>1064</v>
      </c>
      <c r="BM110">
        <v>30</v>
      </c>
      <c r="BN110">
        <v>2237314</v>
      </c>
      <c r="BO110">
        <v>0.04</v>
      </c>
      <c r="BP110">
        <v>89500</v>
      </c>
      <c r="BQ110">
        <v>0</v>
      </c>
      <c r="BR110" t="s">
        <v>1438</v>
      </c>
      <c r="BS110">
        <v>0</v>
      </c>
      <c r="BT110" t="s">
        <v>1438</v>
      </c>
      <c r="BU110">
        <v>0</v>
      </c>
      <c r="BV110" t="s">
        <v>25</v>
      </c>
      <c r="BW110" t="s">
        <v>189</v>
      </c>
      <c r="BX110">
        <v>30</v>
      </c>
      <c r="BY110">
        <v>2237314</v>
      </c>
      <c r="BZ110">
        <v>6.9599999999999995E-2</v>
      </c>
      <c r="CA110" t="s">
        <v>1439</v>
      </c>
      <c r="CB110" t="s">
        <v>227</v>
      </c>
      <c r="CC110" t="s">
        <v>1440</v>
      </c>
      <c r="CD110">
        <v>155800</v>
      </c>
      <c r="CE110">
        <v>30</v>
      </c>
      <c r="CF110" t="s">
        <v>635</v>
      </c>
      <c r="CG110">
        <v>2237314</v>
      </c>
      <c r="CH110">
        <v>0.04</v>
      </c>
      <c r="CI110">
        <v>89500</v>
      </c>
      <c r="CJ110">
        <v>2237314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 t="s">
        <v>88</v>
      </c>
      <c r="CT110" t="s">
        <v>1441</v>
      </c>
      <c r="CU110" t="s">
        <v>1442</v>
      </c>
    </row>
    <row r="111" spans="1:99">
      <c r="A111" t="s">
        <v>1431</v>
      </c>
      <c r="B111" t="s">
        <v>34</v>
      </c>
      <c r="C111" t="s">
        <v>1767</v>
      </c>
      <c r="D111" t="s">
        <v>1768</v>
      </c>
      <c r="E111" t="s">
        <v>1769</v>
      </c>
      <c r="F111" t="s">
        <v>1770</v>
      </c>
      <c r="G111" t="s">
        <v>1771</v>
      </c>
      <c r="H111" t="s">
        <v>1489</v>
      </c>
      <c r="I111" t="s">
        <v>240</v>
      </c>
      <c r="J111" t="s">
        <v>46</v>
      </c>
      <c r="K111" t="s">
        <v>29</v>
      </c>
      <c r="L111" t="s">
        <v>30</v>
      </c>
      <c r="M111">
        <v>0</v>
      </c>
      <c r="N111" t="s">
        <v>32</v>
      </c>
      <c r="O111" t="s">
        <v>32</v>
      </c>
      <c r="Q111" t="s">
        <v>32</v>
      </c>
      <c r="S111" t="s">
        <v>32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AA111" t="s">
        <v>32</v>
      </c>
      <c r="AB111" t="s">
        <v>32</v>
      </c>
      <c r="AE111" t="s">
        <v>32</v>
      </c>
      <c r="AH111" t="s">
        <v>32</v>
      </c>
      <c r="AK111" t="s">
        <v>74</v>
      </c>
      <c r="AL111">
        <v>46054</v>
      </c>
      <c r="AM111">
        <v>46058</v>
      </c>
      <c r="AN111" t="s">
        <v>32</v>
      </c>
      <c r="AO111" t="s">
        <v>32</v>
      </c>
      <c r="AR111">
        <v>0</v>
      </c>
      <c r="AU111" t="s">
        <v>32</v>
      </c>
      <c r="AV111">
        <v>1889179</v>
      </c>
      <c r="AW111" t="s">
        <v>32</v>
      </c>
      <c r="AX111" t="s">
        <v>32</v>
      </c>
      <c r="AY111" t="s">
        <v>356</v>
      </c>
      <c r="AZ111">
        <v>5</v>
      </c>
      <c r="BA111">
        <v>314864</v>
      </c>
      <c r="BB111">
        <v>0.16</v>
      </c>
      <c r="BC111">
        <v>50400</v>
      </c>
      <c r="BD111" t="s">
        <v>142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50400</v>
      </c>
      <c r="BK111" t="s">
        <v>25</v>
      </c>
      <c r="BL111" t="s">
        <v>885</v>
      </c>
      <c r="BM111">
        <v>5</v>
      </c>
      <c r="BN111">
        <v>314864</v>
      </c>
      <c r="BO111">
        <v>0.04</v>
      </c>
      <c r="BP111">
        <v>12600</v>
      </c>
      <c r="BQ111">
        <v>0</v>
      </c>
      <c r="BR111" t="s">
        <v>1438</v>
      </c>
      <c r="BS111">
        <v>0</v>
      </c>
      <c r="BT111" t="s">
        <v>1438</v>
      </c>
      <c r="BU111">
        <v>0</v>
      </c>
      <c r="BV111" t="s">
        <v>25</v>
      </c>
      <c r="BW111" t="s">
        <v>189</v>
      </c>
      <c r="BX111">
        <v>5</v>
      </c>
      <c r="BY111">
        <v>314864</v>
      </c>
      <c r="BZ111">
        <v>0</v>
      </c>
      <c r="CA111" t="s">
        <v>1772</v>
      </c>
      <c r="CB111" t="s">
        <v>227</v>
      </c>
      <c r="CC111" t="s">
        <v>1773</v>
      </c>
      <c r="CD111">
        <v>0</v>
      </c>
      <c r="CE111">
        <v>5</v>
      </c>
      <c r="CF111" t="s">
        <v>635</v>
      </c>
      <c r="CG111">
        <v>314864</v>
      </c>
      <c r="CH111">
        <v>0.04</v>
      </c>
      <c r="CI111">
        <v>12600</v>
      </c>
      <c r="CJ111">
        <v>314864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 t="s">
        <v>88</v>
      </c>
      <c r="CT111" t="s">
        <v>1441</v>
      </c>
      <c r="CU111" t="s">
        <v>1442</v>
      </c>
    </row>
    <row r="112" spans="1:99">
      <c r="A112" t="s">
        <v>1431</v>
      </c>
      <c r="B112" t="s">
        <v>34</v>
      </c>
      <c r="C112" t="s">
        <v>1767</v>
      </c>
      <c r="D112" t="s">
        <v>1768</v>
      </c>
      <c r="E112" t="s">
        <v>1769</v>
      </c>
      <c r="F112" t="s">
        <v>1770</v>
      </c>
      <c r="G112" t="s">
        <v>1771</v>
      </c>
      <c r="H112" t="s">
        <v>1489</v>
      </c>
      <c r="I112" t="s">
        <v>240</v>
      </c>
      <c r="J112" t="s">
        <v>46</v>
      </c>
      <c r="K112" t="s">
        <v>29</v>
      </c>
      <c r="L112" t="s">
        <v>30</v>
      </c>
      <c r="M112">
        <v>144</v>
      </c>
      <c r="N112" t="s">
        <v>32</v>
      </c>
      <c r="O112" t="s">
        <v>32</v>
      </c>
      <c r="Q112" t="s">
        <v>32</v>
      </c>
      <c r="S112" t="s">
        <v>32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AA112" t="s">
        <v>32</v>
      </c>
      <c r="AB112" t="s">
        <v>32</v>
      </c>
      <c r="AE112" t="s">
        <v>32</v>
      </c>
      <c r="AH112" t="s">
        <v>32</v>
      </c>
      <c r="AK112" t="s">
        <v>32</v>
      </c>
      <c r="AN112" t="s">
        <v>32</v>
      </c>
      <c r="AO112" t="s">
        <v>32</v>
      </c>
      <c r="AR112">
        <v>0</v>
      </c>
      <c r="AU112" t="s">
        <v>32</v>
      </c>
      <c r="AV112">
        <v>1889179</v>
      </c>
      <c r="AW112" t="s">
        <v>32</v>
      </c>
      <c r="AX112" t="s">
        <v>32</v>
      </c>
      <c r="AY112" t="s">
        <v>356</v>
      </c>
      <c r="AZ112">
        <v>25</v>
      </c>
      <c r="BA112">
        <v>1574316</v>
      </c>
      <c r="BB112">
        <v>0.16</v>
      </c>
      <c r="BC112">
        <v>251900</v>
      </c>
      <c r="BD112" t="s">
        <v>142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251900</v>
      </c>
      <c r="BK112" t="s">
        <v>25</v>
      </c>
      <c r="BL112" t="s">
        <v>885</v>
      </c>
      <c r="BM112">
        <v>25</v>
      </c>
      <c r="BN112">
        <v>1574316</v>
      </c>
      <c r="BO112">
        <v>0.04</v>
      </c>
      <c r="BP112">
        <v>63000</v>
      </c>
      <c r="BQ112">
        <v>0</v>
      </c>
      <c r="BR112" t="s">
        <v>1438</v>
      </c>
      <c r="BS112">
        <v>0</v>
      </c>
      <c r="BT112" t="s">
        <v>1438</v>
      </c>
      <c r="BU112">
        <v>0</v>
      </c>
      <c r="BV112" t="s">
        <v>25</v>
      </c>
      <c r="BW112" t="s">
        <v>189</v>
      </c>
      <c r="BX112">
        <v>25</v>
      </c>
      <c r="BY112">
        <v>1574316</v>
      </c>
      <c r="BZ112">
        <v>2.436E-2</v>
      </c>
      <c r="CA112" t="s">
        <v>1772</v>
      </c>
      <c r="CB112" t="s">
        <v>227</v>
      </c>
      <c r="CC112" t="s">
        <v>1773</v>
      </c>
      <c r="CD112">
        <v>38400</v>
      </c>
      <c r="CE112">
        <v>25</v>
      </c>
      <c r="CF112" t="s">
        <v>635</v>
      </c>
      <c r="CG112">
        <v>1574316</v>
      </c>
      <c r="CH112">
        <v>0.04</v>
      </c>
      <c r="CI112">
        <v>63000</v>
      </c>
      <c r="CJ112">
        <v>1574316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 t="s">
        <v>88</v>
      </c>
      <c r="CT112" t="s">
        <v>1441</v>
      </c>
      <c r="CU112" t="s">
        <v>1442</v>
      </c>
    </row>
    <row r="113" spans="1:99">
      <c r="A113" t="s">
        <v>1431</v>
      </c>
      <c r="B113" t="s">
        <v>34</v>
      </c>
      <c r="C113" t="s">
        <v>1774</v>
      </c>
      <c r="D113" t="s">
        <v>1775</v>
      </c>
      <c r="E113" t="s">
        <v>1776</v>
      </c>
      <c r="F113" t="s">
        <v>1506</v>
      </c>
      <c r="G113" t="s">
        <v>1777</v>
      </c>
      <c r="H113" t="s">
        <v>1479</v>
      </c>
      <c r="I113" t="s">
        <v>682</v>
      </c>
      <c r="J113" t="s">
        <v>484</v>
      </c>
      <c r="K113" t="s">
        <v>29</v>
      </c>
      <c r="L113" t="s">
        <v>30</v>
      </c>
      <c r="M113">
        <v>202</v>
      </c>
      <c r="N113" t="s">
        <v>32</v>
      </c>
      <c r="O113" t="s">
        <v>32</v>
      </c>
      <c r="Q113" t="s">
        <v>32</v>
      </c>
      <c r="S113" t="s">
        <v>32</v>
      </c>
      <c r="U113" t="s">
        <v>32</v>
      </c>
      <c r="V113" t="s">
        <v>32</v>
      </c>
      <c r="W113" t="s">
        <v>32</v>
      </c>
      <c r="X113" t="s">
        <v>32</v>
      </c>
      <c r="Y113" t="s">
        <v>88</v>
      </c>
      <c r="Z113">
        <v>46054</v>
      </c>
      <c r="AA113" t="s">
        <v>88</v>
      </c>
      <c r="AB113" t="s">
        <v>32</v>
      </c>
      <c r="AE113" t="s">
        <v>32</v>
      </c>
      <c r="AH113" t="s">
        <v>32</v>
      </c>
      <c r="AK113" t="s">
        <v>32</v>
      </c>
      <c r="AN113" t="s">
        <v>32</v>
      </c>
      <c r="AO113" t="s">
        <v>32</v>
      </c>
      <c r="AR113">
        <v>0</v>
      </c>
      <c r="AU113" t="s">
        <v>32</v>
      </c>
      <c r="AV113">
        <v>1889179</v>
      </c>
      <c r="AW113" t="s">
        <v>32</v>
      </c>
      <c r="AX113" t="s">
        <v>32</v>
      </c>
      <c r="AY113" t="s">
        <v>317</v>
      </c>
      <c r="AZ113">
        <v>30</v>
      </c>
      <c r="BA113">
        <v>2285022</v>
      </c>
      <c r="BB113">
        <v>0.16</v>
      </c>
      <c r="BC113">
        <v>365700</v>
      </c>
      <c r="BD113" t="s">
        <v>142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365700</v>
      </c>
      <c r="BK113" t="s">
        <v>25</v>
      </c>
      <c r="BL113" t="s">
        <v>1071</v>
      </c>
      <c r="BM113">
        <v>30</v>
      </c>
      <c r="BN113">
        <v>2285022</v>
      </c>
      <c r="BO113">
        <v>0.04</v>
      </c>
      <c r="BP113">
        <v>91500</v>
      </c>
      <c r="BQ113">
        <v>0</v>
      </c>
      <c r="BR113" t="s">
        <v>1438</v>
      </c>
      <c r="BS113">
        <v>0</v>
      </c>
      <c r="BT113" t="s">
        <v>1438</v>
      </c>
      <c r="BU113">
        <v>0</v>
      </c>
      <c r="BV113" t="s">
        <v>25</v>
      </c>
      <c r="BW113" t="s">
        <v>189</v>
      </c>
      <c r="BX113">
        <v>30</v>
      </c>
      <c r="BY113">
        <v>2285022</v>
      </c>
      <c r="BZ113">
        <v>6.9599999999999995E-2</v>
      </c>
      <c r="CA113" t="s">
        <v>1439</v>
      </c>
      <c r="CB113" t="s">
        <v>312</v>
      </c>
      <c r="CC113" t="s">
        <v>1440</v>
      </c>
      <c r="CD113">
        <v>159100</v>
      </c>
      <c r="CE113">
        <v>30</v>
      </c>
      <c r="CF113" t="s">
        <v>466</v>
      </c>
      <c r="CG113">
        <v>2285022</v>
      </c>
      <c r="CH113">
        <v>0.04</v>
      </c>
      <c r="CI113">
        <v>91500</v>
      </c>
      <c r="CJ113">
        <v>2285022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 t="s">
        <v>88</v>
      </c>
      <c r="CT113" t="s">
        <v>1441</v>
      </c>
      <c r="CU113" t="s">
        <v>1442</v>
      </c>
    </row>
    <row r="114" spans="1:99">
      <c r="A114" t="s">
        <v>1431</v>
      </c>
      <c r="B114" t="s">
        <v>34</v>
      </c>
      <c r="C114" t="s">
        <v>1778</v>
      </c>
      <c r="D114" t="s">
        <v>1779</v>
      </c>
      <c r="E114" t="s">
        <v>1551</v>
      </c>
      <c r="F114" t="s">
        <v>1780</v>
      </c>
      <c r="G114" t="s">
        <v>1781</v>
      </c>
      <c r="H114" t="s">
        <v>1489</v>
      </c>
      <c r="I114" t="s">
        <v>682</v>
      </c>
      <c r="J114" t="s">
        <v>484</v>
      </c>
      <c r="K114" t="s">
        <v>29</v>
      </c>
      <c r="L114" t="s">
        <v>30</v>
      </c>
      <c r="M114">
        <v>0</v>
      </c>
      <c r="N114" t="s">
        <v>32</v>
      </c>
      <c r="O114" t="s">
        <v>32</v>
      </c>
      <c r="Q114" t="s">
        <v>32</v>
      </c>
      <c r="S114" t="s">
        <v>32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AA114" t="s">
        <v>32</v>
      </c>
      <c r="AB114" t="s">
        <v>37</v>
      </c>
      <c r="AC114">
        <v>46054</v>
      </c>
      <c r="AD114">
        <v>46054</v>
      </c>
      <c r="AE114" t="s">
        <v>32</v>
      </c>
      <c r="AH114" t="s">
        <v>32</v>
      </c>
      <c r="AK114" t="s">
        <v>32</v>
      </c>
      <c r="AN114" t="s">
        <v>32</v>
      </c>
      <c r="AO114" t="s">
        <v>32</v>
      </c>
      <c r="AR114">
        <v>0</v>
      </c>
      <c r="AU114" t="s">
        <v>32</v>
      </c>
      <c r="AV114">
        <v>1785595</v>
      </c>
      <c r="AW114" t="s">
        <v>32</v>
      </c>
      <c r="AX114" t="s">
        <v>32</v>
      </c>
      <c r="AY114" t="s">
        <v>317</v>
      </c>
      <c r="AZ114">
        <v>1</v>
      </c>
      <c r="BA114">
        <v>59520</v>
      </c>
      <c r="BB114">
        <v>0.16</v>
      </c>
      <c r="BC114">
        <v>9600</v>
      </c>
      <c r="BD114" t="s">
        <v>142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9600</v>
      </c>
      <c r="BK114" t="s">
        <v>25</v>
      </c>
      <c r="BL114" t="s">
        <v>1071</v>
      </c>
      <c r="BM114">
        <v>1</v>
      </c>
      <c r="BN114">
        <v>59520</v>
      </c>
      <c r="BO114">
        <v>0</v>
      </c>
      <c r="BP114">
        <v>0</v>
      </c>
      <c r="BQ114">
        <v>0</v>
      </c>
      <c r="BR114" t="s">
        <v>1438</v>
      </c>
      <c r="BS114">
        <v>0</v>
      </c>
      <c r="BT114" t="s">
        <v>1438</v>
      </c>
      <c r="BU114">
        <v>0</v>
      </c>
      <c r="BV114" t="s">
        <v>25</v>
      </c>
      <c r="BW114" t="s">
        <v>189</v>
      </c>
      <c r="BX114">
        <v>1</v>
      </c>
      <c r="BY114">
        <v>59520</v>
      </c>
      <c r="BZ114">
        <v>0</v>
      </c>
      <c r="CA114" t="s">
        <v>1439</v>
      </c>
      <c r="CB114" t="s">
        <v>312</v>
      </c>
      <c r="CC114" t="s">
        <v>1440</v>
      </c>
      <c r="CD114">
        <v>0</v>
      </c>
      <c r="CE114">
        <v>1</v>
      </c>
      <c r="CF114" t="s">
        <v>466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 t="s">
        <v>88</v>
      </c>
      <c r="CT114" t="s">
        <v>1441</v>
      </c>
      <c r="CU114" t="s">
        <v>1442</v>
      </c>
    </row>
    <row r="115" spans="1:99">
      <c r="A115" t="s">
        <v>1431</v>
      </c>
      <c r="B115" t="s">
        <v>34</v>
      </c>
      <c r="C115" t="s">
        <v>1778</v>
      </c>
      <c r="D115" t="s">
        <v>1779</v>
      </c>
      <c r="E115" t="s">
        <v>1551</v>
      </c>
      <c r="F115" t="s">
        <v>1780</v>
      </c>
      <c r="G115" t="s">
        <v>1781</v>
      </c>
      <c r="H115" t="s">
        <v>1489</v>
      </c>
      <c r="I115" t="s">
        <v>682</v>
      </c>
      <c r="J115" t="s">
        <v>484</v>
      </c>
      <c r="K115" t="s">
        <v>29</v>
      </c>
      <c r="L115" t="s">
        <v>30</v>
      </c>
      <c r="M115">
        <v>201</v>
      </c>
      <c r="N115" t="s">
        <v>32</v>
      </c>
      <c r="O115" t="s">
        <v>32</v>
      </c>
      <c r="Q115" t="s">
        <v>32</v>
      </c>
      <c r="S115" t="s">
        <v>40</v>
      </c>
      <c r="T115">
        <v>46079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AA115" t="s">
        <v>88</v>
      </c>
      <c r="AB115" t="s">
        <v>32</v>
      </c>
      <c r="AE115" t="s">
        <v>32</v>
      </c>
      <c r="AH115" t="s">
        <v>32</v>
      </c>
      <c r="AK115" t="s">
        <v>32</v>
      </c>
      <c r="AN115" t="s">
        <v>32</v>
      </c>
      <c r="AO115" t="s">
        <v>32</v>
      </c>
      <c r="AR115">
        <v>0</v>
      </c>
      <c r="AU115" t="s">
        <v>32</v>
      </c>
      <c r="AV115">
        <v>1785595</v>
      </c>
      <c r="AW115" t="s">
        <v>32</v>
      </c>
      <c r="AX115" t="s">
        <v>32</v>
      </c>
      <c r="AY115" t="s">
        <v>317</v>
      </c>
      <c r="AZ115">
        <v>25</v>
      </c>
      <c r="BA115">
        <v>1950683</v>
      </c>
      <c r="BB115">
        <v>0.16</v>
      </c>
      <c r="BC115">
        <v>312200</v>
      </c>
      <c r="BD115" t="s">
        <v>142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312200</v>
      </c>
      <c r="BK115" t="s">
        <v>25</v>
      </c>
      <c r="BL115" t="s">
        <v>1071</v>
      </c>
      <c r="BM115">
        <v>25</v>
      </c>
      <c r="BN115">
        <v>1950683</v>
      </c>
      <c r="BO115">
        <v>0.04</v>
      </c>
      <c r="BP115">
        <v>78100</v>
      </c>
      <c r="BQ115">
        <v>0</v>
      </c>
      <c r="BR115" t="s">
        <v>1438</v>
      </c>
      <c r="BS115">
        <v>0</v>
      </c>
      <c r="BT115" t="s">
        <v>1438</v>
      </c>
      <c r="BU115">
        <v>0</v>
      </c>
      <c r="BV115" t="s">
        <v>25</v>
      </c>
      <c r="BW115" t="s">
        <v>189</v>
      </c>
      <c r="BX115">
        <v>25</v>
      </c>
      <c r="BY115">
        <v>1950683</v>
      </c>
      <c r="BZ115">
        <v>6.9599999999999995E-2</v>
      </c>
      <c r="CA115" t="s">
        <v>1439</v>
      </c>
      <c r="CB115" t="s">
        <v>312</v>
      </c>
      <c r="CC115" t="s">
        <v>1440</v>
      </c>
      <c r="CD115">
        <v>135800</v>
      </c>
      <c r="CE115">
        <v>25</v>
      </c>
      <c r="CF115" t="s">
        <v>466</v>
      </c>
      <c r="CG115">
        <v>2058337</v>
      </c>
      <c r="CH115">
        <v>0.04</v>
      </c>
      <c r="CI115">
        <v>82400</v>
      </c>
      <c r="CJ115">
        <v>2058337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 t="s">
        <v>88</v>
      </c>
      <c r="CT115" t="s">
        <v>1441</v>
      </c>
      <c r="CU115" t="s">
        <v>1442</v>
      </c>
    </row>
    <row r="116" spans="1:99">
      <c r="A116" t="s">
        <v>1431</v>
      </c>
      <c r="B116" t="s">
        <v>34</v>
      </c>
      <c r="C116" t="s">
        <v>1782</v>
      </c>
      <c r="D116" t="s">
        <v>1783</v>
      </c>
      <c r="E116" t="s">
        <v>1784</v>
      </c>
      <c r="F116" t="s">
        <v>1785</v>
      </c>
      <c r="G116" t="s">
        <v>1786</v>
      </c>
      <c r="H116" t="s">
        <v>1503</v>
      </c>
      <c r="I116" t="s">
        <v>240</v>
      </c>
      <c r="J116" t="s">
        <v>46</v>
      </c>
      <c r="K116" t="s">
        <v>29</v>
      </c>
      <c r="L116" t="s">
        <v>30</v>
      </c>
      <c r="M116">
        <v>0</v>
      </c>
      <c r="N116" t="s">
        <v>32</v>
      </c>
      <c r="O116" t="s">
        <v>32</v>
      </c>
      <c r="Q116" t="s">
        <v>32</v>
      </c>
      <c r="S116" t="s">
        <v>32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AA116" t="s">
        <v>32</v>
      </c>
      <c r="AB116" t="s">
        <v>37</v>
      </c>
      <c r="AC116">
        <v>46054</v>
      </c>
      <c r="AD116">
        <v>46055</v>
      </c>
      <c r="AE116" t="s">
        <v>32</v>
      </c>
      <c r="AH116" t="s">
        <v>32</v>
      </c>
      <c r="AK116" t="s">
        <v>32</v>
      </c>
      <c r="AN116" t="s">
        <v>32</v>
      </c>
      <c r="AO116" t="s">
        <v>32</v>
      </c>
      <c r="AR116">
        <v>0</v>
      </c>
      <c r="AU116" t="s">
        <v>32</v>
      </c>
      <c r="AV116">
        <v>2665550</v>
      </c>
      <c r="AW116" t="s">
        <v>32</v>
      </c>
      <c r="AX116" t="s">
        <v>32</v>
      </c>
      <c r="AY116" t="s">
        <v>356</v>
      </c>
      <c r="AZ116">
        <v>2</v>
      </c>
      <c r="BA116">
        <v>177704</v>
      </c>
      <c r="BB116">
        <v>0.16</v>
      </c>
      <c r="BC116">
        <v>28500</v>
      </c>
      <c r="BD116" t="s">
        <v>142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28500</v>
      </c>
      <c r="BK116" t="s">
        <v>25</v>
      </c>
      <c r="BL116" t="s">
        <v>1000</v>
      </c>
      <c r="BM116">
        <v>2</v>
      </c>
      <c r="BN116">
        <v>177704</v>
      </c>
      <c r="BO116">
        <v>0</v>
      </c>
      <c r="BP116">
        <v>0</v>
      </c>
      <c r="BQ116">
        <v>0</v>
      </c>
      <c r="BR116" t="s">
        <v>1438</v>
      </c>
      <c r="BS116">
        <v>0</v>
      </c>
      <c r="BT116" t="s">
        <v>1438</v>
      </c>
      <c r="BU116">
        <v>0</v>
      </c>
      <c r="BV116" t="s">
        <v>25</v>
      </c>
      <c r="BW116" t="s">
        <v>189</v>
      </c>
      <c r="BX116">
        <v>2</v>
      </c>
      <c r="BY116">
        <v>177704</v>
      </c>
      <c r="BZ116">
        <v>0</v>
      </c>
      <c r="CA116" t="s">
        <v>1439</v>
      </c>
      <c r="CB116" t="s">
        <v>227</v>
      </c>
      <c r="CC116" t="s">
        <v>1440</v>
      </c>
      <c r="CD116">
        <v>0</v>
      </c>
      <c r="CE116">
        <v>2</v>
      </c>
      <c r="CF116" t="s">
        <v>635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 t="s">
        <v>88</v>
      </c>
      <c r="CT116" t="s">
        <v>1441</v>
      </c>
      <c r="CU116" t="s">
        <v>1442</v>
      </c>
    </row>
    <row r="117" spans="1:99">
      <c r="A117" t="s">
        <v>1431</v>
      </c>
      <c r="B117" t="s">
        <v>34</v>
      </c>
      <c r="C117" t="s">
        <v>1782</v>
      </c>
      <c r="D117" t="s">
        <v>1783</v>
      </c>
      <c r="E117" t="s">
        <v>1784</v>
      </c>
      <c r="F117" t="s">
        <v>1785</v>
      </c>
      <c r="G117" t="s">
        <v>1786</v>
      </c>
      <c r="H117" t="s">
        <v>1503</v>
      </c>
      <c r="I117" t="s">
        <v>240</v>
      </c>
      <c r="J117" t="s">
        <v>46</v>
      </c>
      <c r="K117" t="s">
        <v>29</v>
      </c>
      <c r="L117" t="s">
        <v>30</v>
      </c>
      <c r="M117">
        <v>23</v>
      </c>
      <c r="N117" t="s">
        <v>32</v>
      </c>
      <c r="O117" t="s">
        <v>32</v>
      </c>
      <c r="Q117" t="s">
        <v>32</v>
      </c>
      <c r="S117" t="s">
        <v>40</v>
      </c>
      <c r="T117">
        <v>46056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AA117" t="s">
        <v>88</v>
      </c>
      <c r="AB117" t="s">
        <v>32</v>
      </c>
      <c r="AE117" t="s">
        <v>32</v>
      </c>
      <c r="AH117" t="s">
        <v>32</v>
      </c>
      <c r="AK117" t="s">
        <v>32</v>
      </c>
      <c r="AN117" t="s">
        <v>32</v>
      </c>
      <c r="AO117" t="s">
        <v>32</v>
      </c>
      <c r="AR117">
        <v>0</v>
      </c>
      <c r="AU117" t="s">
        <v>32</v>
      </c>
      <c r="AV117">
        <v>2665550</v>
      </c>
      <c r="AW117" t="s">
        <v>32</v>
      </c>
      <c r="AX117" t="s">
        <v>32</v>
      </c>
      <c r="AY117" t="s">
        <v>356</v>
      </c>
      <c r="AZ117">
        <v>1</v>
      </c>
      <c r="BA117">
        <v>1063865</v>
      </c>
      <c r="BB117">
        <v>0.16</v>
      </c>
      <c r="BC117">
        <v>170300</v>
      </c>
      <c r="BD117" t="s">
        <v>142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170300</v>
      </c>
      <c r="BK117" t="s">
        <v>25</v>
      </c>
      <c r="BL117" t="s">
        <v>1000</v>
      </c>
      <c r="BM117">
        <v>1</v>
      </c>
      <c r="BN117">
        <v>1063865</v>
      </c>
      <c r="BO117">
        <v>0.125</v>
      </c>
      <c r="BP117">
        <v>133000</v>
      </c>
      <c r="BQ117">
        <v>0</v>
      </c>
      <c r="BR117" t="s">
        <v>1438</v>
      </c>
      <c r="BS117">
        <v>0</v>
      </c>
      <c r="BT117" t="s">
        <v>1438</v>
      </c>
      <c r="BU117">
        <v>0</v>
      </c>
      <c r="BV117" t="s">
        <v>25</v>
      </c>
      <c r="BW117" t="s">
        <v>189</v>
      </c>
      <c r="BX117">
        <v>1</v>
      </c>
      <c r="BY117">
        <v>1063865</v>
      </c>
      <c r="BZ117">
        <v>6.9599999999999995E-2</v>
      </c>
      <c r="CA117" t="s">
        <v>1439</v>
      </c>
      <c r="CB117" t="s">
        <v>227</v>
      </c>
      <c r="CC117" t="s">
        <v>1440</v>
      </c>
      <c r="CD117">
        <v>74100</v>
      </c>
      <c r="CE117">
        <v>1</v>
      </c>
      <c r="CF117" t="s">
        <v>635</v>
      </c>
      <c r="CG117">
        <v>1788796</v>
      </c>
      <c r="CH117">
        <v>0.04</v>
      </c>
      <c r="CI117">
        <v>71600</v>
      </c>
      <c r="CJ117">
        <v>1788796</v>
      </c>
      <c r="CK117">
        <v>0.02</v>
      </c>
      <c r="CL117">
        <v>35800</v>
      </c>
      <c r="CM117">
        <v>0.03</v>
      </c>
      <c r="CN117">
        <v>53700</v>
      </c>
      <c r="CO117">
        <v>0</v>
      </c>
      <c r="CP117">
        <v>0</v>
      </c>
      <c r="CQ117">
        <v>0</v>
      </c>
      <c r="CR117">
        <v>0</v>
      </c>
      <c r="CS117" t="s">
        <v>88</v>
      </c>
      <c r="CT117" t="s">
        <v>1441</v>
      </c>
      <c r="CU117" t="s">
        <v>1442</v>
      </c>
    </row>
    <row r="118" spans="1:99">
      <c r="A118" t="s">
        <v>1431</v>
      </c>
      <c r="B118" t="s">
        <v>34</v>
      </c>
      <c r="C118" t="s">
        <v>1787</v>
      </c>
      <c r="D118" t="s">
        <v>1788</v>
      </c>
      <c r="E118" t="s">
        <v>756</v>
      </c>
      <c r="F118" t="s">
        <v>1789</v>
      </c>
      <c r="G118" t="s">
        <v>1790</v>
      </c>
      <c r="H118" t="s">
        <v>1558</v>
      </c>
      <c r="I118" t="s">
        <v>240</v>
      </c>
      <c r="J118" t="s">
        <v>46</v>
      </c>
      <c r="K118" t="s">
        <v>29</v>
      </c>
      <c r="L118" t="s">
        <v>30</v>
      </c>
      <c r="M118">
        <v>161</v>
      </c>
      <c r="N118" t="s">
        <v>32</v>
      </c>
      <c r="O118" t="s">
        <v>32</v>
      </c>
      <c r="Q118" t="s">
        <v>32</v>
      </c>
      <c r="S118" t="s">
        <v>40</v>
      </c>
      <c r="T118">
        <v>46074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AA118" t="s">
        <v>88</v>
      </c>
      <c r="AB118" t="s">
        <v>32</v>
      </c>
      <c r="AE118" t="s">
        <v>32</v>
      </c>
      <c r="AH118" t="s">
        <v>32</v>
      </c>
      <c r="AK118" t="s">
        <v>32</v>
      </c>
      <c r="AN118" t="s">
        <v>32</v>
      </c>
      <c r="AO118" t="s">
        <v>32</v>
      </c>
      <c r="AR118">
        <v>0</v>
      </c>
      <c r="AU118" t="s">
        <v>32</v>
      </c>
      <c r="AV118">
        <v>2223339</v>
      </c>
      <c r="AW118" t="s">
        <v>32</v>
      </c>
      <c r="AX118" t="s">
        <v>32</v>
      </c>
      <c r="AY118" t="s">
        <v>317</v>
      </c>
      <c r="AZ118">
        <v>21</v>
      </c>
      <c r="BA118">
        <v>2630642</v>
      </c>
      <c r="BB118">
        <v>0.16</v>
      </c>
      <c r="BC118">
        <v>421000</v>
      </c>
      <c r="BD118" t="s">
        <v>142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421000</v>
      </c>
      <c r="BK118" t="s">
        <v>25</v>
      </c>
      <c r="BL118" t="s">
        <v>1000</v>
      </c>
      <c r="BM118">
        <v>21</v>
      </c>
      <c r="BN118">
        <v>2630642</v>
      </c>
      <c r="BO118">
        <v>0.04</v>
      </c>
      <c r="BP118">
        <v>105300</v>
      </c>
      <c r="BQ118">
        <v>0</v>
      </c>
      <c r="BR118" t="s">
        <v>1438</v>
      </c>
      <c r="BS118">
        <v>0</v>
      </c>
      <c r="BT118" t="s">
        <v>1438</v>
      </c>
      <c r="BU118">
        <v>0</v>
      </c>
      <c r="BV118" t="s">
        <v>25</v>
      </c>
      <c r="BW118" t="s">
        <v>189</v>
      </c>
      <c r="BX118">
        <v>21</v>
      </c>
      <c r="BY118">
        <v>2630642</v>
      </c>
      <c r="BZ118">
        <v>6.9599999999999995E-2</v>
      </c>
      <c r="CA118" t="s">
        <v>1439</v>
      </c>
      <c r="CB118" t="s">
        <v>227</v>
      </c>
      <c r="CC118" t="s">
        <v>1440</v>
      </c>
      <c r="CD118">
        <v>183100</v>
      </c>
      <c r="CE118">
        <v>21</v>
      </c>
      <c r="CF118" t="s">
        <v>635</v>
      </c>
      <c r="CG118">
        <v>2476588</v>
      </c>
      <c r="CH118">
        <v>0.04</v>
      </c>
      <c r="CI118">
        <v>99100</v>
      </c>
      <c r="CJ118">
        <v>2476588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 t="s">
        <v>88</v>
      </c>
      <c r="CT118" t="s">
        <v>1441</v>
      </c>
      <c r="CU118" t="s">
        <v>1442</v>
      </c>
    </row>
    <row r="119" spans="1:99">
      <c r="A119" t="s">
        <v>1431</v>
      </c>
      <c r="B119" t="s">
        <v>34</v>
      </c>
      <c r="C119" t="s">
        <v>1791</v>
      </c>
      <c r="D119" t="s">
        <v>1792</v>
      </c>
      <c r="E119" t="s">
        <v>1526</v>
      </c>
      <c r="F119" t="s">
        <v>1562</v>
      </c>
      <c r="G119" t="s">
        <v>1793</v>
      </c>
      <c r="H119" t="s">
        <v>1558</v>
      </c>
      <c r="I119" t="s">
        <v>682</v>
      </c>
      <c r="J119" t="s">
        <v>484</v>
      </c>
      <c r="K119" t="s">
        <v>29</v>
      </c>
      <c r="L119" t="s">
        <v>30</v>
      </c>
      <c r="M119">
        <v>0</v>
      </c>
      <c r="N119" t="s">
        <v>32</v>
      </c>
      <c r="O119" t="s">
        <v>32</v>
      </c>
      <c r="Q119" t="s">
        <v>32</v>
      </c>
      <c r="S119" t="s">
        <v>32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AA119" t="s">
        <v>32</v>
      </c>
      <c r="AB119" t="s">
        <v>37</v>
      </c>
      <c r="AC119">
        <v>46054</v>
      </c>
      <c r="AD119">
        <v>46054</v>
      </c>
      <c r="AE119" t="s">
        <v>32</v>
      </c>
      <c r="AH119" t="s">
        <v>32</v>
      </c>
      <c r="AK119" t="s">
        <v>32</v>
      </c>
      <c r="AN119" t="s">
        <v>32</v>
      </c>
      <c r="AO119" t="s">
        <v>32</v>
      </c>
      <c r="AR119">
        <v>0</v>
      </c>
      <c r="AU119" t="s">
        <v>32</v>
      </c>
      <c r="AV119">
        <v>2223339</v>
      </c>
      <c r="AW119" t="s">
        <v>32</v>
      </c>
      <c r="AX119" t="s">
        <v>32</v>
      </c>
      <c r="AY119" t="s">
        <v>137</v>
      </c>
      <c r="AZ119">
        <v>1</v>
      </c>
      <c r="BA119">
        <v>74112</v>
      </c>
      <c r="BB119">
        <v>0.16</v>
      </c>
      <c r="BC119">
        <v>11900</v>
      </c>
      <c r="BD119" t="s">
        <v>142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11900</v>
      </c>
      <c r="BK119" t="s">
        <v>25</v>
      </c>
      <c r="BL119" t="s">
        <v>1000</v>
      </c>
      <c r="BM119">
        <v>1</v>
      </c>
      <c r="BN119">
        <v>74112</v>
      </c>
      <c r="BO119">
        <v>0</v>
      </c>
      <c r="BP119">
        <v>0</v>
      </c>
      <c r="BQ119">
        <v>0</v>
      </c>
      <c r="BR119" t="s">
        <v>1438</v>
      </c>
      <c r="BS119">
        <v>0</v>
      </c>
      <c r="BT119" t="s">
        <v>1438</v>
      </c>
      <c r="BU119">
        <v>0</v>
      </c>
      <c r="BV119" t="s">
        <v>25</v>
      </c>
      <c r="BW119" t="s">
        <v>189</v>
      </c>
      <c r="BX119">
        <v>1</v>
      </c>
      <c r="BY119">
        <v>74112</v>
      </c>
      <c r="BZ119">
        <v>0</v>
      </c>
      <c r="CA119" t="s">
        <v>1439</v>
      </c>
      <c r="CB119" t="s">
        <v>312</v>
      </c>
      <c r="CC119" t="s">
        <v>1440</v>
      </c>
      <c r="CD119">
        <v>0</v>
      </c>
      <c r="CE119">
        <v>1</v>
      </c>
      <c r="CF119" t="s">
        <v>466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 t="s">
        <v>88</v>
      </c>
      <c r="CT119" t="s">
        <v>1441</v>
      </c>
      <c r="CU119" t="s">
        <v>1442</v>
      </c>
    </row>
    <row r="120" spans="1:99">
      <c r="A120" t="s">
        <v>1431</v>
      </c>
      <c r="B120" t="s">
        <v>34</v>
      </c>
      <c r="C120" t="s">
        <v>1791</v>
      </c>
      <c r="D120" t="s">
        <v>1792</v>
      </c>
      <c r="E120" t="s">
        <v>1526</v>
      </c>
      <c r="F120" t="s">
        <v>1562</v>
      </c>
      <c r="G120" t="s">
        <v>1793</v>
      </c>
      <c r="H120" t="s">
        <v>1558</v>
      </c>
      <c r="I120" t="s">
        <v>682</v>
      </c>
      <c r="J120" t="s">
        <v>484</v>
      </c>
      <c r="K120" t="s">
        <v>29</v>
      </c>
      <c r="L120" t="s">
        <v>30</v>
      </c>
      <c r="M120">
        <v>0</v>
      </c>
      <c r="N120" t="s">
        <v>32</v>
      </c>
      <c r="O120" t="s">
        <v>32</v>
      </c>
      <c r="Q120" t="s">
        <v>32</v>
      </c>
      <c r="S120" t="s">
        <v>32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AA120" t="s">
        <v>32</v>
      </c>
      <c r="AB120" t="s">
        <v>32</v>
      </c>
      <c r="AE120" t="s">
        <v>32</v>
      </c>
      <c r="AH120" t="s">
        <v>32</v>
      </c>
      <c r="AK120" t="s">
        <v>128</v>
      </c>
      <c r="AL120">
        <v>46055</v>
      </c>
      <c r="AM120">
        <v>46059</v>
      </c>
      <c r="AN120" t="s">
        <v>32</v>
      </c>
      <c r="AO120" t="s">
        <v>32</v>
      </c>
      <c r="AR120">
        <v>0</v>
      </c>
      <c r="AU120" t="s">
        <v>32</v>
      </c>
      <c r="AV120">
        <v>2223339</v>
      </c>
      <c r="AW120" t="s">
        <v>32</v>
      </c>
      <c r="AX120" t="s">
        <v>32</v>
      </c>
      <c r="AY120" t="s">
        <v>137</v>
      </c>
      <c r="AZ120">
        <v>5</v>
      </c>
      <c r="BA120">
        <v>370557</v>
      </c>
      <c r="BB120">
        <v>0.16</v>
      </c>
      <c r="BC120">
        <v>59300</v>
      </c>
      <c r="BD120" t="s">
        <v>142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59300</v>
      </c>
      <c r="BK120" t="s">
        <v>25</v>
      </c>
      <c r="BL120" t="s">
        <v>1000</v>
      </c>
      <c r="BM120">
        <v>5</v>
      </c>
      <c r="BN120">
        <v>370557</v>
      </c>
      <c r="BO120">
        <v>0.04</v>
      </c>
      <c r="BP120">
        <v>14900</v>
      </c>
      <c r="BQ120">
        <v>0</v>
      </c>
      <c r="BR120" t="s">
        <v>1438</v>
      </c>
      <c r="BS120">
        <v>0</v>
      </c>
      <c r="BT120" t="s">
        <v>1438</v>
      </c>
      <c r="BU120">
        <v>0</v>
      </c>
      <c r="BV120" t="s">
        <v>25</v>
      </c>
      <c r="BW120" t="s">
        <v>189</v>
      </c>
      <c r="BX120">
        <v>5</v>
      </c>
      <c r="BY120">
        <v>370557</v>
      </c>
      <c r="BZ120">
        <v>0</v>
      </c>
      <c r="CA120" t="s">
        <v>1439</v>
      </c>
      <c r="CB120" t="s">
        <v>312</v>
      </c>
      <c r="CC120" t="s">
        <v>1440</v>
      </c>
      <c r="CD120">
        <v>0</v>
      </c>
      <c r="CE120">
        <v>5</v>
      </c>
      <c r="CF120" t="s">
        <v>466</v>
      </c>
      <c r="CG120">
        <v>370557</v>
      </c>
      <c r="CH120">
        <v>0.04</v>
      </c>
      <c r="CI120">
        <v>14900</v>
      </c>
      <c r="CJ120">
        <v>370557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 t="s">
        <v>88</v>
      </c>
      <c r="CT120" t="s">
        <v>1441</v>
      </c>
      <c r="CU120" t="s">
        <v>1442</v>
      </c>
    </row>
    <row r="121" spans="1:99">
      <c r="A121" t="s">
        <v>1431</v>
      </c>
      <c r="B121" t="s">
        <v>34</v>
      </c>
      <c r="C121" t="s">
        <v>1791</v>
      </c>
      <c r="D121" t="s">
        <v>1792</v>
      </c>
      <c r="E121" t="s">
        <v>1526</v>
      </c>
      <c r="F121" t="s">
        <v>1562</v>
      </c>
      <c r="G121" t="s">
        <v>1793</v>
      </c>
      <c r="H121" t="s">
        <v>1558</v>
      </c>
      <c r="I121" t="s">
        <v>682</v>
      </c>
      <c r="J121" t="s">
        <v>484</v>
      </c>
      <c r="K121" t="s">
        <v>29</v>
      </c>
      <c r="L121" t="s">
        <v>30</v>
      </c>
      <c r="M121">
        <v>150</v>
      </c>
      <c r="N121" t="s">
        <v>32</v>
      </c>
      <c r="O121" t="s">
        <v>32</v>
      </c>
      <c r="Q121" t="s">
        <v>32</v>
      </c>
      <c r="S121" t="s">
        <v>32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AA121" t="s">
        <v>88</v>
      </c>
      <c r="AB121" t="s">
        <v>32</v>
      </c>
      <c r="AE121" t="s">
        <v>32</v>
      </c>
      <c r="AH121" t="s">
        <v>32</v>
      </c>
      <c r="AK121" t="s">
        <v>32</v>
      </c>
      <c r="AN121" t="s">
        <v>32</v>
      </c>
      <c r="AO121" t="s">
        <v>32</v>
      </c>
      <c r="AR121">
        <v>0</v>
      </c>
      <c r="AU121" t="s">
        <v>32</v>
      </c>
      <c r="AV121">
        <v>2223339</v>
      </c>
      <c r="AW121" t="s">
        <v>32</v>
      </c>
      <c r="AX121" t="s">
        <v>32</v>
      </c>
      <c r="AY121" t="s">
        <v>137</v>
      </c>
      <c r="AZ121">
        <v>24</v>
      </c>
      <c r="BA121">
        <v>2289733</v>
      </c>
      <c r="BB121">
        <v>0.16</v>
      </c>
      <c r="BC121">
        <v>366400</v>
      </c>
      <c r="BD121" t="s">
        <v>142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366400</v>
      </c>
      <c r="BK121" t="s">
        <v>25</v>
      </c>
      <c r="BL121" t="s">
        <v>1000</v>
      </c>
      <c r="BM121">
        <v>24</v>
      </c>
      <c r="BN121">
        <v>2289733</v>
      </c>
      <c r="BO121">
        <v>0.04</v>
      </c>
      <c r="BP121">
        <v>91600</v>
      </c>
      <c r="BQ121">
        <v>0</v>
      </c>
      <c r="BR121" t="s">
        <v>1438</v>
      </c>
      <c r="BS121">
        <v>0</v>
      </c>
      <c r="BT121" t="s">
        <v>1438</v>
      </c>
      <c r="BU121">
        <v>0</v>
      </c>
      <c r="BV121" t="s">
        <v>25</v>
      </c>
      <c r="BW121" t="s">
        <v>189</v>
      </c>
      <c r="BX121">
        <v>24</v>
      </c>
      <c r="BY121">
        <v>2289733</v>
      </c>
      <c r="BZ121">
        <v>6.9599999999999995E-2</v>
      </c>
      <c r="CA121" t="s">
        <v>1439</v>
      </c>
      <c r="CB121" t="s">
        <v>312</v>
      </c>
      <c r="CC121" t="s">
        <v>1440</v>
      </c>
      <c r="CD121">
        <v>159400</v>
      </c>
      <c r="CE121">
        <v>24</v>
      </c>
      <c r="CF121" t="s">
        <v>466</v>
      </c>
      <c r="CG121">
        <v>2057095</v>
      </c>
      <c r="CH121">
        <v>0.04</v>
      </c>
      <c r="CI121">
        <v>82300</v>
      </c>
      <c r="CJ121">
        <v>2057095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 t="s">
        <v>88</v>
      </c>
      <c r="CT121" t="s">
        <v>1441</v>
      </c>
      <c r="CU121" t="s">
        <v>1442</v>
      </c>
    </row>
    <row r="122" spans="1:99">
      <c r="A122" t="s">
        <v>1431</v>
      </c>
      <c r="B122" t="s">
        <v>34</v>
      </c>
      <c r="C122" t="s">
        <v>1794</v>
      </c>
      <c r="D122" t="s">
        <v>1795</v>
      </c>
      <c r="E122" t="s">
        <v>1796</v>
      </c>
      <c r="F122" t="s">
        <v>1797</v>
      </c>
      <c r="G122" t="s">
        <v>1798</v>
      </c>
      <c r="H122" t="s">
        <v>1489</v>
      </c>
      <c r="I122" t="s">
        <v>240</v>
      </c>
      <c r="J122" t="s">
        <v>46</v>
      </c>
      <c r="K122" t="s">
        <v>29</v>
      </c>
      <c r="L122" t="s">
        <v>30</v>
      </c>
      <c r="M122">
        <v>180</v>
      </c>
      <c r="N122" t="s">
        <v>32</v>
      </c>
      <c r="O122" t="s">
        <v>32</v>
      </c>
      <c r="Q122" t="s">
        <v>32</v>
      </c>
      <c r="S122" t="s">
        <v>32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AA122" t="s">
        <v>32</v>
      </c>
      <c r="AB122" t="s">
        <v>32</v>
      </c>
      <c r="AE122" t="s">
        <v>32</v>
      </c>
      <c r="AH122" t="s">
        <v>32</v>
      </c>
      <c r="AK122" t="s">
        <v>32</v>
      </c>
      <c r="AN122" t="s">
        <v>32</v>
      </c>
      <c r="AO122" t="s">
        <v>32</v>
      </c>
      <c r="AR122">
        <v>0</v>
      </c>
      <c r="AU122" t="s">
        <v>32</v>
      </c>
      <c r="AV122">
        <v>2286374</v>
      </c>
      <c r="AW122" t="s">
        <v>32</v>
      </c>
      <c r="AX122" t="s">
        <v>32</v>
      </c>
      <c r="AY122" t="s">
        <v>356</v>
      </c>
      <c r="AZ122">
        <v>30</v>
      </c>
      <c r="BA122">
        <v>2286374</v>
      </c>
      <c r="BB122">
        <v>0.16</v>
      </c>
      <c r="BC122">
        <v>365900</v>
      </c>
      <c r="BD122" t="s">
        <v>142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365900</v>
      </c>
      <c r="BK122" t="s">
        <v>25</v>
      </c>
      <c r="BL122" t="s">
        <v>1064</v>
      </c>
      <c r="BM122">
        <v>30</v>
      </c>
      <c r="BN122">
        <v>2286374</v>
      </c>
      <c r="BO122">
        <v>0.04</v>
      </c>
      <c r="BP122">
        <v>91500</v>
      </c>
      <c r="BQ122">
        <v>0</v>
      </c>
      <c r="BR122" t="s">
        <v>1438</v>
      </c>
      <c r="BS122">
        <v>0</v>
      </c>
      <c r="BT122" t="s">
        <v>1438</v>
      </c>
      <c r="BU122">
        <v>0</v>
      </c>
      <c r="BV122" t="s">
        <v>25</v>
      </c>
      <c r="BW122" t="s">
        <v>189</v>
      </c>
      <c r="BX122">
        <v>30</v>
      </c>
      <c r="BY122">
        <v>2286374</v>
      </c>
      <c r="BZ122">
        <v>6.9599999999999995E-2</v>
      </c>
      <c r="CA122" t="s">
        <v>1439</v>
      </c>
      <c r="CB122" t="s">
        <v>227</v>
      </c>
      <c r="CC122" t="s">
        <v>1440</v>
      </c>
      <c r="CD122">
        <v>159200</v>
      </c>
      <c r="CE122">
        <v>30</v>
      </c>
      <c r="CF122" t="s">
        <v>635</v>
      </c>
      <c r="CG122">
        <v>2286374</v>
      </c>
      <c r="CH122">
        <v>0.04</v>
      </c>
      <c r="CI122">
        <v>91500</v>
      </c>
      <c r="CJ122">
        <v>2286374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 t="s">
        <v>88</v>
      </c>
      <c r="CT122" t="s">
        <v>1441</v>
      </c>
      <c r="CU122" t="s">
        <v>1442</v>
      </c>
    </row>
    <row r="123" spans="1:99">
      <c r="A123" t="s">
        <v>1431</v>
      </c>
      <c r="B123" t="s">
        <v>34</v>
      </c>
      <c r="C123" t="s">
        <v>1799</v>
      </c>
      <c r="D123" t="s">
        <v>1800</v>
      </c>
      <c r="E123" t="s">
        <v>1801</v>
      </c>
      <c r="F123" t="s">
        <v>1802</v>
      </c>
      <c r="G123" t="s">
        <v>1803</v>
      </c>
      <c r="H123" t="s">
        <v>1489</v>
      </c>
      <c r="I123" t="s">
        <v>240</v>
      </c>
      <c r="J123" t="s">
        <v>46</v>
      </c>
      <c r="K123" t="s">
        <v>29</v>
      </c>
      <c r="L123" t="s">
        <v>30</v>
      </c>
      <c r="M123">
        <v>9</v>
      </c>
      <c r="N123" t="s">
        <v>32</v>
      </c>
      <c r="O123" t="s">
        <v>32</v>
      </c>
      <c r="Q123" t="s">
        <v>40</v>
      </c>
      <c r="R123">
        <v>46080</v>
      </c>
      <c r="S123" t="s">
        <v>32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AA123" t="s">
        <v>32</v>
      </c>
      <c r="AB123" t="s">
        <v>32</v>
      </c>
      <c r="AE123" t="s">
        <v>32</v>
      </c>
      <c r="AH123" t="s">
        <v>32</v>
      </c>
      <c r="AK123" t="s">
        <v>32</v>
      </c>
      <c r="AN123" t="s">
        <v>32</v>
      </c>
      <c r="AO123" t="s">
        <v>32</v>
      </c>
      <c r="AR123">
        <v>0</v>
      </c>
      <c r="AU123" t="s">
        <v>32</v>
      </c>
      <c r="AV123">
        <v>1956650</v>
      </c>
      <c r="AW123" t="s">
        <v>32</v>
      </c>
      <c r="AX123" t="s">
        <v>32</v>
      </c>
      <c r="AY123" t="s">
        <v>317</v>
      </c>
      <c r="AZ123">
        <v>4</v>
      </c>
      <c r="BA123">
        <v>260887</v>
      </c>
      <c r="BB123">
        <v>0.16</v>
      </c>
      <c r="BC123">
        <v>41800</v>
      </c>
      <c r="BD123" t="s">
        <v>142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41800</v>
      </c>
      <c r="BK123" t="s">
        <v>25</v>
      </c>
      <c r="BL123" t="s">
        <v>1064</v>
      </c>
      <c r="BM123">
        <v>4</v>
      </c>
      <c r="BN123">
        <v>260887</v>
      </c>
      <c r="BO123">
        <v>0.04</v>
      </c>
      <c r="BP123">
        <v>10500</v>
      </c>
      <c r="BQ123">
        <v>0</v>
      </c>
      <c r="BR123" t="s">
        <v>1438</v>
      </c>
      <c r="BS123">
        <v>0</v>
      </c>
      <c r="BT123" t="s">
        <v>1438</v>
      </c>
      <c r="BU123">
        <v>0</v>
      </c>
      <c r="BV123" t="s">
        <v>25</v>
      </c>
      <c r="BW123" t="s">
        <v>189</v>
      </c>
      <c r="BX123">
        <v>4</v>
      </c>
      <c r="BY123">
        <v>260887</v>
      </c>
      <c r="BZ123">
        <v>6.9599999999999995E-2</v>
      </c>
      <c r="CA123" t="s">
        <v>1439</v>
      </c>
      <c r="CB123" t="s">
        <v>227</v>
      </c>
      <c r="CC123" t="s">
        <v>1440</v>
      </c>
      <c r="CD123">
        <v>18200</v>
      </c>
      <c r="CE123">
        <v>4</v>
      </c>
      <c r="CF123" t="s">
        <v>635</v>
      </c>
      <c r="CG123">
        <v>260887</v>
      </c>
      <c r="CH123">
        <v>0.04</v>
      </c>
      <c r="CI123">
        <v>10500</v>
      </c>
      <c r="CJ123">
        <v>260887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 t="s">
        <v>88</v>
      </c>
      <c r="CT123" t="s">
        <v>1441</v>
      </c>
      <c r="CU123" t="s">
        <v>1442</v>
      </c>
    </row>
    <row r="124" spans="1:99">
      <c r="A124" t="s">
        <v>1431</v>
      </c>
      <c r="B124" t="s">
        <v>34</v>
      </c>
      <c r="C124" t="s">
        <v>1804</v>
      </c>
      <c r="D124" t="s">
        <v>1805</v>
      </c>
      <c r="E124" t="s">
        <v>992</v>
      </c>
      <c r="F124" t="s">
        <v>1555</v>
      </c>
      <c r="G124" t="s">
        <v>1806</v>
      </c>
      <c r="H124" t="s">
        <v>1598</v>
      </c>
      <c r="I124" t="s">
        <v>240</v>
      </c>
      <c r="J124" t="s">
        <v>46</v>
      </c>
      <c r="K124" t="s">
        <v>29</v>
      </c>
      <c r="L124" t="s">
        <v>30</v>
      </c>
      <c r="M124">
        <v>180</v>
      </c>
      <c r="N124" t="s">
        <v>32</v>
      </c>
      <c r="O124" t="s">
        <v>32</v>
      </c>
      <c r="Q124" t="s">
        <v>32</v>
      </c>
      <c r="S124" t="s">
        <v>32</v>
      </c>
      <c r="U124" t="s">
        <v>32</v>
      </c>
      <c r="V124" t="s">
        <v>32</v>
      </c>
      <c r="W124" t="s">
        <v>32</v>
      </c>
      <c r="X124" t="s">
        <v>32</v>
      </c>
      <c r="Y124" t="s">
        <v>88</v>
      </c>
      <c r="Z124">
        <v>46054</v>
      </c>
      <c r="AA124" t="s">
        <v>32</v>
      </c>
      <c r="AB124" t="s">
        <v>32</v>
      </c>
      <c r="AE124" t="s">
        <v>32</v>
      </c>
      <c r="AH124" t="s">
        <v>32</v>
      </c>
      <c r="AK124" t="s">
        <v>32</v>
      </c>
      <c r="AN124" t="s">
        <v>32</v>
      </c>
      <c r="AO124" t="s">
        <v>32</v>
      </c>
      <c r="AR124">
        <v>0</v>
      </c>
      <c r="AU124" t="s">
        <v>32</v>
      </c>
      <c r="AV124">
        <v>5676577</v>
      </c>
      <c r="AW124" t="s">
        <v>32</v>
      </c>
      <c r="AX124" t="s">
        <v>32</v>
      </c>
      <c r="AY124" t="s">
        <v>185</v>
      </c>
      <c r="AZ124">
        <v>30</v>
      </c>
      <c r="BA124">
        <v>5676577</v>
      </c>
      <c r="BB124">
        <v>0.16</v>
      </c>
      <c r="BC124">
        <v>908300</v>
      </c>
      <c r="BD124" t="s">
        <v>142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908300</v>
      </c>
      <c r="BK124" t="s">
        <v>25</v>
      </c>
      <c r="BL124" t="s">
        <v>1010</v>
      </c>
      <c r="BM124">
        <v>30</v>
      </c>
      <c r="BN124">
        <v>5676577</v>
      </c>
      <c r="BO124">
        <v>0.04</v>
      </c>
      <c r="BP124">
        <v>227100</v>
      </c>
      <c r="BQ124">
        <v>0</v>
      </c>
      <c r="BR124" t="s">
        <v>1438</v>
      </c>
      <c r="BS124">
        <v>0</v>
      </c>
      <c r="BT124" t="s">
        <v>1438</v>
      </c>
      <c r="BU124">
        <v>0</v>
      </c>
      <c r="BV124" t="s">
        <v>25</v>
      </c>
      <c r="BW124" t="s">
        <v>189</v>
      </c>
      <c r="BX124">
        <v>30</v>
      </c>
      <c r="BY124">
        <v>5676577</v>
      </c>
      <c r="BZ124">
        <v>6.9599999999999995E-2</v>
      </c>
      <c r="CA124" t="s">
        <v>1439</v>
      </c>
      <c r="CB124" t="s">
        <v>227</v>
      </c>
      <c r="CC124" t="s">
        <v>1440</v>
      </c>
      <c r="CD124">
        <v>395100</v>
      </c>
      <c r="CE124">
        <v>30</v>
      </c>
      <c r="CF124" t="s">
        <v>635</v>
      </c>
      <c r="CG124">
        <v>5676577</v>
      </c>
      <c r="CH124">
        <v>0.04</v>
      </c>
      <c r="CI124">
        <v>227100</v>
      </c>
      <c r="CJ124">
        <v>5676577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 t="s">
        <v>88</v>
      </c>
      <c r="CT124" t="s">
        <v>1441</v>
      </c>
      <c r="CU124" t="s">
        <v>1442</v>
      </c>
    </row>
    <row r="125" spans="1:99">
      <c r="A125" t="s">
        <v>1431</v>
      </c>
      <c r="B125" t="s">
        <v>34</v>
      </c>
      <c r="C125" t="s">
        <v>1807</v>
      </c>
      <c r="D125" t="s">
        <v>1808</v>
      </c>
      <c r="E125" t="s">
        <v>1809</v>
      </c>
      <c r="F125" t="s">
        <v>1648</v>
      </c>
      <c r="G125" t="s">
        <v>1513</v>
      </c>
      <c r="H125" t="s">
        <v>1781</v>
      </c>
      <c r="I125" t="s">
        <v>240</v>
      </c>
      <c r="J125" t="s">
        <v>46</v>
      </c>
      <c r="K125" t="s">
        <v>29</v>
      </c>
      <c r="L125" t="s">
        <v>30</v>
      </c>
      <c r="M125">
        <v>117</v>
      </c>
      <c r="N125" t="s">
        <v>32</v>
      </c>
      <c r="O125" t="s">
        <v>32</v>
      </c>
      <c r="Q125" t="s">
        <v>40</v>
      </c>
      <c r="R125">
        <v>46064</v>
      </c>
      <c r="S125" t="s">
        <v>32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AA125" t="s">
        <v>32</v>
      </c>
      <c r="AB125" t="s">
        <v>32</v>
      </c>
      <c r="AE125" t="s">
        <v>32</v>
      </c>
      <c r="AH125" t="s">
        <v>32</v>
      </c>
      <c r="AK125" t="s">
        <v>32</v>
      </c>
      <c r="AN125" t="s">
        <v>32</v>
      </c>
      <c r="AO125" t="s">
        <v>32</v>
      </c>
      <c r="AR125">
        <v>0</v>
      </c>
      <c r="AU125" t="s">
        <v>32</v>
      </c>
      <c r="AV125">
        <v>3415855</v>
      </c>
      <c r="AW125" t="s">
        <v>32</v>
      </c>
      <c r="AX125" t="s">
        <v>32</v>
      </c>
      <c r="AY125" t="s">
        <v>356</v>
      </c>
      <c r="AZ125">
        <v>20</v>
      </c>
      <c r="BA125">
        <v>2364739</v>
      </c>
      <c r="BB125">
        <v>0.16</v>
      </c>
      <c r="BC125">
        <v>378400</v>
      </c>
      <c r="BD125" t="s">
        <v>142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378400</v>
      </c>
      <c r="BK125" t="s">
        <v>25</v>
      </c>
      <c r="BL125" t="s">
        <v>1010</v>
      </c>
      <c r="BM125">
        <v>20</v>
      </c>
      <c r="BN125">
        <v>2364739</v>
      </c>
      <c r="BO125">
        <v>0.04</v>
      </c>
      <c r="BP125">
        <v>94600</v>
      </c>
      <c r="BQ125">
        <v>0</v>
      </c>
      <c r="BR125" t="s">
        <v>1438</v>
      </c>
      <c r="BS125">
        <v>0</v>
      </c>
      <c r="BT125" t="s">
        <v>1438</v>
      </c>
      <c r="BU125">
        <v>0</v>
      </c>
      <c r="BV125" t="s">
        <v>25</v>
      </c>
      <c r="BW125" t="s">
        <v>189</v>
      </c>
      <c r="BX125">
        <v>20</v>
      </c>
      <c r="BY125">
        <v>2364739</v>
      </c>
      <c r="BZ125">
        <v>6.9599999999999995E-2</v>
      </c>
      <c r="CA125" t="s">
        <v>1439</v>
      </c>
      <c r="CB125" t="s">
        <v>227</v>
      </c>
      <c r="CC125" t="s">
        <v>1440</v>
      </c>
      <c r="CD125">
        <v>164600</v>
      </c>
      <c r="CE125">
        <v>20</v>
      </c>
      <c r="CF125" t="s">
        <v>635</v>
      </c>
      <c r="CG125">
        <v>2277237</v>
      </c>
      <c r="CH125">
        <v>0.04</v>
      </c>
      <c r="CI125">
        <v>91100</v>
      </c>
      <c r="CJ125">
        <v>2277237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 t="s">
        <v>88</v>
      </c>
      <c r="CT125" t="s">
        <v>1441</v>
      </c>
      <c r="CU125" t="s">
        <v>1442</v>
      </c>
    </row>
    <row r="126" spans="1:99">
      <c r="A126" t="s">
        <v>1431</v>
      </c>
      <c r="B126" t="s">
        <v>34</v>
      </c>
      <c r="C126" t="s">
        <v>1810</v>
      </c>
      <c r="D126" t="s">
        <v>1811</v>
      </c>
      <c r="E126" t="s">
        <v>1812</v>
      </c>
      <c r="F126" t="s">
        <v>1813</v>
      </c>
      <c r="G126" t="s">
        <v>1814</v>
      </c>
      <c r="H126" t="s">
        <v>1584</v>
      </c>
      <c r="I126" t="s">
        <v>240</v>
      </c>
      <c r="J126" t="s">
        <v>46</v>
      </c>
      <c r="K126" t="s">
        <v>29</v>
      </c>
      <c r="L126" t="s">
        <v>30</v>
      </c>
      <c r="M126">
        <v>219</v>
      </c>
      <c r="N126" t="s">
        <v>32</v>
      </c>
      <c r="O126" t="s">
        <v>32</v>
      </c>
      <c r="Q126" t="s">
        <v>32</v>
      </c>
      <c r="S126" t="s">
        <v>32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AA126" t="s">
        <v>88</v>
      </c>
      <c r="AB126" t="s">
        <v>32</v>
      </c>
      <c r="AE126" t="s">
        <v>32</v>
      </c>
      <c r="AH126" t="s">
        <v>32</v>
      </c>
      <c r="AK126" t="s">
        <v>32</v>
      </c>
      <c r="AN126" t="s">
        <v>32</v>
      </c>
      <c r="AO126" t="s">
        <v>32</v>
      </c>
      <c r="AR126">
        <v>0</v>
      </c>
      <c r="AU126" t="s">
        <v>32</v>
      </c>
      <c r="AV126">
        <v>2313068</v>
      </c>
      <c r="AW126" t="s">
        <v>32</v>
      </c>
      <c r="AX126" t="s">
        <v>32</v>
      </c>
      <c r="AY126" t="s">
        <v>356</v>
      </c>
      <c r="AZ126">
        <v>30</v>
      </c>
      <c r="BA126">
        <v>2749922</v>
      </c>
      <c r="BB126">
        <v>0.16</v>
      </c>
      <c r="BC126">
        <v>440000</v>
      </c>
      <c r="BD126" t="s">
        <v>142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440000</v>
      </c>
      <c r="BK126" t="s">
        <v>25</v>
      </c>
      <c r="BL126" t="s">
        <v>1010</v>
      </c>
      <c r="BM126">
        <v>30</v>
      </c>
      <c r="BN126">
        <v>2749922</v>
      </c>
      <c r="BO126">
        <v>0.04</v>
      </c>
      <c r="BP126">
        <v>110000</v>
      </c>
      <c r="BQ126">
        <v>0</v>
      </c>
      <c r="BR126" t="s">
        <v>1438</v>
      </c>
      <c r="BS126">
        <v>0</v>
      </c>
      <c r="BT126" t="s">
        <v>1438</v>
      </c>
      <c r="BU126">
        <v>0</v>
      </c>
      <c r="BV126" t="s">
        <v>25</v>
      </c>
      <c r="BW126" t="s">
        <v>189</v>
      </c>
      <c r="BX126">
        <v>30</v>
      </c>
      <c r="BY126">
        <v>2749922</v>
      </c>
      <c r="BZ126">
        <v>6.9599999999999995E-2</v>
      </c>
      <c r="CA126" t="s">
        <v>1439</v>
      </c>
      <c r="CB126" t="s">
        <v>227</v>
      </c>
      <c r="CC126" t="s">
        <v>1440</v>
      </c>
      <c r="CD126">
        <v>191400</v>
      </c>
      <c r="CE126">
        <v>30</v>
      </c>
      <c r="CF126" t="s">
        <v>635</v>
      </c>
      <c r="CG126">
        <v>2749922</v>
      </c>
      <c r="CH126">
        <v>0.04</v>
      </c>
      <c r="CI126">
        <v>110000</v>
      </c>
      <c r="CJ126">
        <v>2749922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 t="s">
        <v>88</v>
      </c>
      <c r="CT126" t="s">
        <v>1441</v>
      </c>
      <c r="CU126" t="s">
        <v>1442</v>
      </c>
    </row>
    <row r="127" spans="1:99">
      <c r="A127" t="s">
        <v>1431</v>
      </c>
      <c r="B127" t="s">
        <v>34</v>
      </c>
      <c r="C127" t="s">
        <v>1815</v>
      </c>
      <c r="D127" t="s">
        <v>1816</v>
      </c>
      <c r="E127" t="s">
        <v>1817</v>
      </c>
      <c r="F127" t="s">
        <v>1818</v>
      </c>
      <c r="G127" t="s">
        <v>1819</v>
      </c>
      <c r="H127" t="s">
        <v>1558</v>
      </c>
      <c r="I127" t="s">
        <v>240</v>
      </c>
      <c r="J127" t="s">
        <v>46</v>
      </c>
      <c r="K127" t="s">
        <v>29</v>
      </c>
      <c r="L127" t="s">
        <v>30</v>
      </c>
      <c r="M127">
        <v>211</v>
      </c>
      <c r="N127" t="s">
        <v>32</v>
      </c>
      <c r="O127" t="s">
        <v>32</v>
      </c>
      <c r="Q127" t="s">
        <v>32</v>
      </c>
      <c r="S127" t="s">
        <v>32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AA127" t="s">
        <v>88</v>
      </c>
      <c r="AB127" t="s">
        <v>32</v>
      </c>
      <c r="AE127" t="s">
        <v>32</v>
      </c>
      <c r="AH127" t="s">
        <v>32</v>
      </c>
      <c r="AK127" t="s">
        <v>32</v>
      </c>
      <c r="AN127" t="s">
        <v>32</v>
      </c>
      <c r="AO127" t="s">
        <v>32</v>
      </c>
      <c r="AR127">
        <v>0</v>
      </c>
      <c r="AU127" t="s">
        <v>32</v>
      </c>
      <c r="AV127">
        <v>1785595</v>
      </c>
      <c r="AW127" t="s">
        <v>32</v>
      </c>
      <c r="AX127" t="s">
        <v>32</v>
      </c>
      <c r="AY127" t="s">
        <v>317</v>
      </c>
      <c r="AZ127">
        <v>30</v>
      </c>
      <c r="BA127">
        <v>2215154</v>
      </c>
      <c r="BB127">
        <v>0.16</v>
      </c>
      <c r="BC127">
        <v>354500</v>
      </c>
      <c r="BD127" t="s">
        <v>142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354500</v>
      </c>
      <c r="BK127" t="s">
        <v>25</v>
      </c>
      <c r="BL127" t="s">
        <v>1010</v>
      </c>
      <c r="BM127">
        <v>30</v>
      </c>
      <c r="BN127">
        <v>2215154</v>
      </c>
      <c r="BO127">
        <v>0.04</v>
      </c>
      <c r="BP127">
        <v>88700</v>
      </c>
      <c r="BQ127">
        <v>0</v>
      </c>
      <c r="BR127" t="s">
        <v>1438</v>
      </c>
      <c r="BS127">
        <v>0</v>
      </c>
      <c r="BT127" t="s">
        <v>1438</v>
      </c>
      <c r="BU127">
        <v>0</v>
      </c>
      <c r="BV127" t="s">
        <v>25</v>
      </c>
      <c r="BW127" t="s">
        <v>189</v>
      </c>
      <c r="BX127">
        <v>30</v>
      </c>
      <c r="BY127">
        <v>2215154</v>
      </c>
      <c r="BZ127">
        <v>6.9599999999999995E-2</v>
      </c>
      <c r="CA127" t="s">
        <v>1439</v>
      </c>
      <c r="CB127" t="s">
        <v>227</v>
      </c>
      <c r="CC127" t="s">
        <v>1440</v>
      </c>
      <c r="CD127">
        <v>154200</v>
      </c>
      <c r="CE127">
        <v>30</v>
      </c>
      <c r="CF127" t="s">
        <v>635</v>
      </c>
      <c r="CG127">
        <v>2215154</v>
      </c>
      <c r="CH127">
        <v>0.04</v>
      </c>
      <c r="CI127">
        <v>88700</v>
      </c>
      <c r="CJ127">
        <v>2215154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 t="s">
        <v>88</v>
      </c>
      <c r="CT127" t="s">
        <v>1441</v>
      </c>
      <c r="CU127" t="s">
        <v>1442</v>
      </c>
    </row>
    <row r="128" spans="1:99">
      <c r="A128" t="s">
        <v>1431</v>
      </c>
      <c r="B128" t="s">
        <v>34</v>
      </c>
      <c r="C128" t="s">
        <v>1820</v>
      </c>
      <c r="D128" t="s">
        <v>1821</v>
      </c>
      <c r="E128" t="s">
        <v>1822</v>
      </c>
      <c r="F128" t="s">
        <v>1823</v>
      </c>
      <c r="G128" t="s">
        <v>1824</v>
      </c>
      <c r="H128" t="s">
        <v>1558</v>
      </c>
      <c r="I128" t="s">
        <v>682</v>
      </c>
      <c r="J128" t="s">
        <v>484</v>
      </c>
      <c r="K128" t="s">
        <v>29</v>
      </c>
      <c r="L128" t="s">
        <v>30</v>
      </c>
      <c r="M128">
        <v>212</v>
      </c>
      <c r="N128" t="s">
        <v>32</v>
      </c>
      <c r="O128" t="s">
        <v>32</v>
      </c>
      <c r="Q128" t="s">
        <v>32</v>
      </c>
      <c r="S128" t="s">
        <v>32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AA128" t="s">
        <v>88</v>
      </c>
      <c r="AB128" t="s">
        <v>32</v>
      </c>
      <c r="AE128" t="s">
        <v>32</v>
      </c>
      <c r="AH128" t="s">
        <v>32</v>
      </c>
      <c r="AK128" t="s">
        <v>32</v>
      </c>
      <c r="AN128" t="s">
        <v>32</v>
      </c>
      <c r="AO128" t="s">
        <v>32</v>
      </c>
      <c r="AR128">
        <v>0</v>
      </c>
      <c r="AU128" t="s">
        <v>32</v>
      </c>
      <c r="AV128">
        <v>2970185</v>
      </c>
      <c r="AW128" t="s">
        <v>32</v>
      </c>
      <c r="AX128" t="s">
        <v>32</v>
      </c>
      <c r="AY128" t="s">
        <v>185</v>
      </c>
      <c r="AZ128">
        <v>30</v>
      </c>
      <c r="BA128">
        <v>3620588</v>
      </c>
      <c r="BB128">
        <v>0.16</v>
      </c>
      <c r="BC128">
        <v>579300</v>
      </c>
      <c r="BD128" t="s">
        <v>142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579300</v>
      </c>
      <c r="BK128" t="s">
        <v>25</v>
      </c>
      <c r="BL128" t="s">
        <v>1010</v>
      </c>
      <c r="BM128">
        <v>30</v>
      </c>
      <c r="BN128">
        <v>3620588</v>
      </c>
      <c r="BO128">
        <v>0.04</v>
      </c>
      <c r="BP128">
        <v>144900</v>
      </c>
      <c r="BQ128">
        <v>0</v>
      </c>
      <c r="BR128" t="s">
        <v>1438</v>
      </c>
      <c r="BS128">
        <v>0</v>
      </c>
      <c r="BT128" t="s">
        <v>1438</v>
      </c>
      <c r="BU128">
        <v>0</v>
      </c>
      <c r="BV128" t="s">
        <v>25</v>
      </c>
      <c r="BW128" t="s">
        <v>189</v>
      </c>
      <c r="BX128">
        <v>30</v>
      </c>
      <c r="BY128">
        <v>3620588</v>
      </c>
      <c r="BZ128">
        <v>6.9599999999999995E-2</v>
      </c>
      <c r="CA128" t="s">
        <v>1439</v>
      </c>
      <c r="CB128" t="s">
        <v>312</v>
      </c>
      <c r="CC128" t="s">
        <v>1440</v>
      </c>
      <c r="CD128">
        <v>252000</v>
      </c>
      <c r="CE128">
        <v>30</v>
      </c>
      <c r="CF128" t="s">
        <v>466</v>
      </c>
      <c r="CG128">
        <v>3620588</v>
      </c>
      <c r="CH128">
        <v>0.04</v>
      </c>
      <c r="CI128">
        <v>144900</v>
      </c>
      <c r="CJ128">
        <v>3620588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 t="s">
        <v>88</v>
      </c>
      <c r="CT128" t="s">
        <v>1441</v>
      </c>
      <c r="CU128" t="s">
        <v>1442</v>
      </c>
    </row>
    <row r="129" spans="1:99">
      <c r="A129" t="s">
        <v>1431</v>
      </c>
      <c r="B129" t="s">
        <v>34</v>
      </c>
      <c r="C129" t="s">
        <v>1825</v>
      </c>
      <c r="D129" t="s">
        <v>1826</v>
      </c>
      <c r="E129" t="s">
        <v>1827</v>
      </c>
      <c r="F129" t="s">
        <v>1487</v>
      </c>
      <c r="G129" t="s">
        <v>1436</v>
      </c>
      <c r="H129" t="s">
        <v>1558</v>
      </c>
      <c r="I129" t="s">
        <v>682</v>
      </c>
      <c r="J129" t="s">
        <v>484</v>
      </c>
      <c r="K129" t="s">
        <v>29</v>
      </c>
      <c r="L129" t="s">
        <v>30</v>
      </c>
      <c r="M129">
        <v>205</v>
      </c>
      <c r="N129" t="s">
        <v>32</v>
      </c>
      <c r="O129" t="s">
        <v>32</v>
      </c>
      <c r="Q129" t="s">
        <v>32</v>
      </c>
      <c r="S129" t="s">
        <v>32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AA129" t="s">
        <v>88</v>
      </c>
      <c r="AB129" t="s">
        <v>32</v>
      </c>
      <c r="AE129" t="s">
        <v>32</v>
      </c>
      <c r="AH129" t="s">
        <v>32</v>
      </c>
      <c r="AK129" t="s">
        <v>32</v>
      </c>
      <c r="AN129" t="s">
        <v>32</v>
      </c>
      <c r="AO129" t="s">
        <v>32</v>
      </c>
      <c r="AR129">
        <v>0</v>
      </c>
      <c r="AU129" t="s">
        <v>32</v>
      </c>
      <c r="AV129">
        <v>2539029</v>
      </c>
      <c r="AW129" t="s">
        <v>32</v>
      </c>
      <c r="AX129" t="s">
        <v>32</v>
      </c>
      <c r="AY129" t="s">
        <v>317</v>
      </c>
      <c r="AZ129">
        <v>30</v>
      </c>
      <c r="BA129">
        <v>2977551</v>
      </c>
      <c r="BB129">
        <v>0.16</v>
      </c>
      <c r="BC129">
        <v>476500</v>
      </c>
      <c r="BD129" t="s">
        <v>142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476500</v>
      </c>
      <c r="BK129" t="s">
        <v>25</v>
      </c>
      <c r="BL129" t="s">
        <v>1071</v>
      </c>
      <c r="BM129">
        <v>30</v>
      </c>
      <c r="BN129">
        <v>2977551</v>
      </c>
      <c r="BO129">
        <v>0.04</v>
      </c>
      <c r="BP129">
        <v>119200</v>
      </c>
      <c r="BQ129">
        <v>0</v>
      </c>
      <c r="BR129" t="s">
        <v>1438</v>
      </c>
      <c r="BS129">
        <v>0</v>
      </c>
      <c r="BT129" t="s">
        <v>1438</v>
      </c>
      <c r="BU129">
        <v>0</v>
      </c>
      <c r="BV129" t="s">
        <v>25</v>
      </c>
      <c r="BW129" t="s">
        <v>189</v>
      </c>
      <c r="BX129">
        <v>30</v>
      </c>
      <c r="BY129">
        <v>2977551</v>
      </c>
      <c r="BZ129">
        <v>6.9599999999999995E-2</v>
      </c>
      <c r="CA129" t="s">
        <v>1439</v>
      </c>
      <c r="CB129" t="s">
        <v>312</v>
      </c>
      <c r="CC129" t="s">
        <v>1440</v>
      </c>
      <c r="CD129">
        <v>207300</v>
      </c>
      <c r="CE129">
        <v>30</v>
      </c>
      <c r="CF129" t="s">
        <v>466</v>
      </c>
      <c r="CG129">
        <v>2977551</v>
      </c>
      <c r="CH129">
        <v>0.04</v>
      </c>
      <c r="CI129">
        <v>119200</v>
      </c>
      <c r="CJ129">
        <v>2977551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 t="s">
        <v>88</v>
      </c>
      <c r="CT129" t="s">
        <v>1441</v>
      </c>
      <c r="CU129" t="s">
        <v>1442</v>
      </c>
    </row>
    <row r="130" spans="1:99">
      <c r="A130" t="s">
        <v>1431</v>
      </c>
      <c r="B130" t="s">
        <v>34</v>
      </c>
      <c r="C130" t="s">
        <v>1828</v>
      </c>
      <c r="D130" t="s">
        <v>1829</v>
      </c>
      <c r="E130" t="s">
        <v>1705</v>
      </c>
      <c r="F130" t="s">
        <v>889</v>
      </c>
      <c r="G130" t="s">
        <v>1830</v>
      </c>
      <c r="H130" t="s">
        <v>1543</v>
      </c>
      <c r="I130" t="s">
        <v>682</v>
      </c>
      <c r="J130" t="s">
        <v>484</v>
      </c>
      <c r="K130" t="s">
        <v>29</v>
      </c>
      <c r="L130" t="s">
        <v>30</v>
      </c>
      <c r="M130">
        <v>63</v>
      </c>
      <c r="N130" t="s">
        <v>32</v>
      </c>
      <c r="O130" t="s">
        <v>32</v>
      </c>
      <c r="Q130" t="s">
        <v>40</v>
      </c>
      <c r="R130">
        <v>46072</v>
      </c>
      <c r="S130" t="s">
        <v>32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AA130" t="s">
        <v>32</v>
      </c>
      <c r="AB130" t="s">
        <v>32</v>
      </c>
      <c r="AE130" t="s">
        <v>32</v>
      </c>
      <c r="AH130" t="s">
        <v>32</v>
      </c>
      <c r="AK130" t="s">
        <v>32</v>
      </c>
      <c r="AN130" t="s">
        <v>32</v>
      </c>
      <c r="AO130" t="s">
        <v>32</v>
      </c>
      <c r="AR130">
        <v>0</v>
      </c>
      <c r="AU130" t="s">
        <v>32</v>
      </c>
      <c r="AV130">
        <v>2056650</v>
      </c>
      <c r="AW130" t="s">
        <v>32</v>
      </c>
      <c r="AX130" t="s">
        <v>32</v>
      </c>
      <c r="AY130" t="s">
        <v>317</v>
      </c>
      <c r="AZ130">
        <v>12</v>
      </c>
      <c r="BA130">
        <v>822660</v>
      </c>
      <c r="BB130">
        <v>0.16</v>
      </c>
      <c r="BC130">
        <v>131700</v>
      </c>
      <c r="BD130" t="s">
        <v>142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131700</v>
      </c>
      <c r="BK130" t="s">
        <v>25</v>
      </c>
      <c r="BL130" t="s">
        <v>1071</v>
      </c>
      <c r="BM130">
        <v>12</v>
      </c>
      <c r="BN130">
        <v>822660</v>
      </c>
      <c r="BO130">
        <v>0.04</v>
      </c>
      <c r="BP130">
        <v>33000</v>
      </c>
      <c r="BQ130">
        <v>0</v>
      </c>
      <c r="BR130" t="s">
        <v>1438</v>
      </c>
      <c r="BS130">
        <v>0</v>
      </c>
      <c r="BT130" t="s">
        <v>1438</v>
      </c>
      <c r="BU130">
        <v>0</v>
      </c>
      <c r="BV130" t="s">
        <v>25</v>
      </c>
      <c r="BW130" t="s">
        <v>189</v>
      </c>
      <c r="BX130">
        <v>12</v>
      </c>
      <c r="BY130">
        <v>822660</v>
      </c>
      <c r="BZ130">
        <v>6.9599999999999995E-2</v>
      </c>
      <c r="CA130" t="s">
        <v>1439</v>
      </c>
      <c r="CB130" t="s">
        <v>312</v>
      </c>
      <c r="CC130" t="s">
        <v>1440</v>
      </c>
      <c r="CD130">
        <v>57300</v>
      </c>
      <c r="CE130">
        <v>12</v>
      </c>
      <c r="CF130" t="s">
        <v>466</v>
      </c>
      <c r="CG130">
        <v>822660</v>
      </c>
      <c r="CH130">
        <v>0.04</v>
      </c>
      <c r="CI130">
        <v>33000</v>
      </c>
      <c r="CJ130">
        <v>822660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 t="s">
        <v>88</v>
      </c>
      <c r="CT130" t="s">
        <v>1441</v>
      </c>
      <c r="CU130" t="s">
        <v>1442</v>
      </c>
    </row>
    <row r="131" spans="1:99">
      <c r="A131" t="s">
        <v>1431</v>
      </c>
      <c r="B131" t="s">
        <v>34</v>
      </c>
      <c r="C131" t="s">
        <v>1831</v>
      </c>
      <c r="D131" t="s">
        <v>1832</v>
      </c>
      <c r="E131" t="s">
        <v>1833</v>
      </c>
      <c r="F131" t="s">
        <v>1833</v>
      </c>
      <c r="G131" t="s">
        <v>1489</v>
      </c>
      <c r="H131" t="s">
        <v>1834</v>
      </c>
      <c r="I131" t="s">
        <v>682</v>
      </c>
      <c r="J131" t="s">
        <v>484</v>
      </c>
      <c r="K131" t="s">
        <v>29</v>
      </c>
      <c r="L131" t="s">
        <v>30</v>
      </c>
      <c r="M131">
        <v>222</v>
      </c>
      <c r="N131" t="s">
        <v>32</v>
      </c>
      <c r="O131" t="s">
        <v>32</v>
      </c>
      <c r="Q131" t="s">
        <v>32</v>
      </c>
      <c r="S131" t="s">
        <v>32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AA131" t="s">
        <v>88</v>
      </c>
      <c r="AB131" t="s">
        <v>32</v>
      </c>
      <c r="AE131" t="s">
        <v>32</v>
      </c>
      <c r="AH131" t="s">
        <v>32</v>
      </c>
      <c r="AK131" t="s">
        <v>32</v>
      </c>
      <c r="AN131" t="s">
        <v>32</v>
      </c>
      <c r="AO131" t="s">
        <v>32</v>
      </c>
      <c r="AR131">
        <v>0</v>
      </c>
      <c r="AU131" t="s">
        <v>32</v>
      </c>
      <c r="AV131">
        <v>2970185</v>
      </c>
      <c r="AW131" t="s">
        <v>32</v>
      </c>
      <c r="AX131" t="s">
        <v>32</v>
      </c>
      <c r="AY131" t="s">
        <v>317</v>
      </c>
      <c r="AZ131">
        <v>30</v>
      </c>
      <c r="BA131">
        <v>3789349</v>
      </c>
      <c r="BB131">
        <v>0.16</v>
      </c>
      <c r="BC131">
        <v>606300</v>
      </c>
      <c r="BD131" t="s">
        <v>142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606300</v>
      </c>
      <c r="BK131" t="s">
        <v>25</v>
      </c>
      <c r="BL131" t="s">
        <v>1010</v>
      </c>
      <c r="BM131">
        <v>30</v>
      </c>
      <c r="BN131">
        <v>3789349</v>
      </c>
      <c r="BO131">
        <v>0.04</v>
      </c>
      <c r="BP131">
        <v>151600</v>
      </c>
      <c r="BQ131">
        <v>0</v>
      </c>
      <c r="BR131" t="s">
        <v>1438</v>
      </c>
      <c r="BS131">
        <v>0</v>
      </c>
      <c r="BT131" t="s">
        <v>1438</v>
      </c>
      <c r="BU131">
        <v>0</v>
      </c>
      <c r="BV131" t="s">
        <v>25</v>
      </c>
      <c r="BW131" t="s">
        <v>189</v>
      </c>
      <c r="BX131">
        <v>30</v>
      </c>
      <c r="BY131">
        <v>3789349</v>
      </c>
      <c r="BZ131">
        <v>6.9599999999999995E-2</v>
      </c>
      <c r="CA131" t="s">
        <v>1439</v>
      </c>
      <c r="CB131" t="s">
        <v>312</v>
      </c>
      <c r="CC131" t="s">
        <v>1440</v>
      </c>
      <c r="CD131">
        <v>263800</v>
      </c>
      <c r="CE131">
        <v>30</v>
      </c>
      <c r="CF131" t="s">
        <v>466</v>
      </c>
      <c r="CG131">
        <v>3789349</v>
      </c>
      <c r="CH131">
        <v>0.04</v>
      </c>
      <c r="CI131">
        <v>151600</v>
      </c>
      <c r="CJ131">
        <v>3789349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 t="s">
        <v>88</v>
      </c>
      <c r="CT131" t="s">
        <v>1441</v>
      </c>
      <c r="CU131" t="s">
        <v>1442</v>
      </c>
    </row>
    <row r="132" spans="1:99">
      <c r="A132" t="s">
        <v>1431</v>
      </c>
      <c r="B132" t="s">
        <v>34</v>
      </c>
      <c r="C132" t="s">
        <v>1835</v>
      </c>
      <c r="D132" t="s">
        <v>1836</v>
      </c>
      <c r="E132" t="s">
        <v>1487</v>
      </c>
      <c r="F132" t="s">
        <v>1749</v>
      </c>
      <c r="G132" t="s">
        <v>1790</v>
      </c>
      <c r="H132" t="s">
        <v>1837</v>
      </c>
      <c r="I132" t="s">
        <v>240</v>
      </c>
      <c r="J132" t="s">
        <v>46</v>
      </c>
      <c r="K132" t="s">
        <v>29</v>
      </c>
      <c r="L132" t="s">
        <v>30</v>
      </c>
      <c r="M132">
        <v>179</v>
      </c>
      <c r="N132" t="s">
        <v>32</v>
      </c>
      <c r="O132" t="s">
        <v>32</v>
      </c>
      <c r="Q132" t="s">
        <v>40</v>
      </c>
      <c r="R132">
        <v>46056</v>
      </c>
      <c r="S132" t="s">
        <v>32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AA132" t="s">
        <v>88</v>
      </c>
      <c r="AB132" t="s">
        <v>32</v>
      </c>
      <c r="AE132" t="s">
        <v>32</v>
      </c>
      <c r="AH132" t="s">
        <v>32</v>
      </c>
      <c r="AK132" t="s">
        <v>32</v>
      </c>
      <c r="AN132" t="s">
        <v>32</v>
      </c>
      <c r="AO132" t="s">
        <v>32</v>
      </c>
      <c r="AR132">
        <v>0</v>
      </c>
      <c r="AU132" t="s">
        <v>32</v>
      </c>
      <c r="AV132">
        <v>2113182</v>
      </c>
      <c r="AW132" t="s">
        <v>32</v>
      </c>
      <c r="AX132" t="s">
        <v>32</v>
      </c>
      <c r="AY132" t="s">
        <v>356</v>
      </c>
      <c r="AZ132">
        <v>28</v>
      </c>
      <c r="BA132">
        <v>2151492</v>
      </c>
      <c r="BB132">
        <v>0.16</v>
      </c>
      <c r="BC132">
        <v>344300</v>
      </c>
      <c r="BD132" t="s">
        <v>142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344300</v>
      </c>
      <c r="BK132" t="s">
        <v>25</v>
      </c>
      <c r="BL132" t="s">
        <v>1010</v>
      </c>
      <c r="BM132">
        <v>28</v>
      </c>
      <c r="BN132">
        <v>2151492</v>
      </c>
      <c r="BO132">
        <v>0.04</v>
      </c>
      <c r="BP132">
        <v>86100</v>
      </c>
      <c r="BQ132">
        <v>0</v>
      </c>
      <c r="BR132" t="s">
        <v>1438</v>
      </c>
      <c r="BS132">
        <v>0</v>
      </c>
      <c r="BT132" t="s">
        <v>1438</v>
      </c>
      <c r="BU132">
        <v>0</v>
      </c>
      <c r="BV132" t="s">
        <v>25</v>
      </c>
      <c r="BW132" t="s">
        <v>189</v>
      </c>
      <c r="BX132">
        <v>28</v>
      </c>
      <c r="BY132">
        <v>2151492</v>
      </c>
      <c r="BZ132">
        <v>6.9599999999999995E-2</v>
      </c>
      <c r="CA132" t="s">
        <v>1439</v>
      </c>
      <c r="CB132" t="s">
        <v>227</v>
      </c>
      <c r="CC132" t="s">
        <v>1440</v>
      </c>
      <c r="CD132">
        <v>149800</v>
      </c>
      <c r="CE132">
        <v>28</v>
      </c>
      <c r="CF132" t="s">
        <v>635</v>
      </c>
      <c r="CG132">
        <v>2068357</v>
      </c>
      <c r="CH132">
        <v>0.04</v>
      </c>
      <c r="CI132">
        <v>82800</v>
      </c>
      <c r="CJ132">
        <v>2068357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 t="s">
        <v>88</v>
      </c>
      <c r="CT132" t="s">
        <v>1441</v>
      </c>
      <c r="CU132" t="s">
        <v>1442</v>
      </c>
    </row>
    <row r="133" spans="1:99">
      <c r="A133" t="s">
        <v>1431</v>
      </c>
      <c r="B133" t="s">
        <v>34</v>
      </c>
      <c r="C133" t="s">
        <v>1838</v>
      </c>
      <c r="D133" t="s">
        <v>1839</v>
      </c>
      <c r="E133" t="s">
        <v>1587</v>
      </c>
      <c r="F133" t="s">
        <v>1536</v>
      </c>
      <c r="G133" t="s">
        <v>1698</v>
      </c>
      <c r="H133" t="s">
        <v>1840</v>
      </c>
      <c r="I133" t="s">
        <v>240</v>
      </c>
      <c r="J133" t="s">
        <v>46</v>
      </c>
      <c r="K133" t="s">
        <v>29</v>
      </c>
      <c r="L133" t="s">
        <v>30</v>
      </c>
      <c r="M133">
        <v>184</v>
      </c>
      <c r="N133" t="s">
        <v>32</v>
      </c>
      <c r="O133" t="s">
        <v>32</v>
      </c>
      <c r="Q133" t="s">
        <v>40</v>
      </c>
      <c r="R133">
        <v>46057</v>
      </c>
      <c r="S133" t="s">
        <v>32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AA133" t="s">
        <v>88</v>
      </c>
      <c r="AB133" t="s">
        <v>32</v>
      </c>
      <c r="AE133" t="s">
        <v>32</v>
      </c>
      <c r="AH133" t="s">
        <v>32</v>
      </c>
      <c r="AK133" t="s">
        <v>32</v>
      </c>
      <c r="AN133" t="s">
        <v>32</v>
      </c>
      <c r="AO133" t="s">
        <v>32</v>
      </c>
      <c r="AR133">
        <v>0</v>
      </c>
      <c r="AU133" t="s">
        <v>32</v>
      </c>
      <c r="AV133">
        <v>1956650</v>
      </c>
      <c r="AW133" t="s">
        <v>32</v>
      </c>
      <c r="AX133" t="s">
        <v>32</v>
      </c>
      <c r="AY133" t="s">
        <v>317</v>
      </c>
      <c r="AZ133">
        <v>27</v>
      </c>
      <c r="BA133">
        <v>2117629</v>
      </c>
      <c r="BB133">
        <v>0.16</v>
      </c>
      <c r="BC133">
        <v>338900</v>
      </c>
      <c r="BD133" t="s">
        <v>142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338900</v>
      </c>
      <c r="BK133" t="s">
        <v>25</v>
      </c>
      <c r="BL133" t="s">
        <v>1010</v>
      </c>
      <c r="BM133">
        <v>27</v>
      </c>
      <c r="BN133">
        <v>2117629</v>
      </c>
      <c r="BO133">
        <v>0.04</v>
      </c>
      <c r="BP133">
        <v>84800</v>
      </c>
      <c r="BQ133">
        <v>0</v>
      </c>
      <c r="BR133" t="s">
        <v>1438</v>
      </c>
      <c r="BS133">
        <v>0</v>
      </c>
      <c r="BT133" t="s">
        <v>1438</v>
      </c>
      <c r="BU133">
        <v>0</v>
      </c>
      <c r="BV133" t="s">
        <v>25</v>
      </c>
      <c r="BW133" t="s">
        <v>189</v>
      </c>
      <c r="BX133">
        <v>27</v>
      </c>
      <c r="BY133">
        <v>2117629</v>
      </c>
      <c r="BZ133">
        <v>6.9599999999999995E-2</v>
      </c>
      <c r="CA133" t="s">
        <v>1439</v>
      </c>
      <c r="CB133" t="s">
        <v>227</v>
      </c>
      <c r="CC133" t="s">
        <v>1440</v>
      </c>
      <c r="CD133">
        <v>147400</v>
      </c>
      <c r="CE133">
        <v>27</v>
      </c>
      <c r="CF133" t="s">
        <v>635</v>
      </c>
      <c r="CG133">
        <v>2117629</v>
      </c>
      <c r="CH133">
        <v>0.04</v>
      </c>
      <c r="CI133">
        <v>84800</v>
      </c>
      <c r="CJ133">
        <v>2117629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 t="s">
        <v>88</v>
      </c>
      <c r="CT133" t="s">
        <v>1441</v>
      </c>
      <c r="CU133" t="s">
        <v>1442</v>
      </c>
    </row>
    <row r="134" spans="1:99">
      <c r="A134" t="s">
        <v>1431</v>
      </c>
      <c r="B134" t="s">
        <v>34</v>
      </c>
      <c r="C134" t="s">
        <v>1841</v>
      </c>
      <c r="D134" t="s">
        <v>1842</v>
      </c>
      <c r="E134" t="s">
        <v>1843</v>
      </c>
      <c r="F134" t="s">
        <v>1506</v>
      </c>
      <c r="G134" t="s">
        <v>1844</v>
      </c>
      <c r="H134" t="s">
        <v>1845</v>
      </c>
      <c r="I134" t="s">
        <v>682</v>
      </c>
      <c r="J134" t="s">
        <v>484</v>
      </c>
      <c r="K134" t="s">
        <v>29</v>
      </c>
      <c r="L134" t="s">
        <v>30</v>
      </c>
      <c r="M134">
        <v>0</v>
      </c>
      <c r="N134" t="s">
        <v>32</v>
      </c>
      <c r="O134" t="s">
        <v>32</v>
      </c>
      <c r="Q134" t="s">
        <v>32</v>
      </c>
      <c r="S134" t="s">
        <v>32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AA134" t="s">
        <v>32</v>
      </c>
      <c r="AB134" t="s">
        <v>32</v>
      </c>
      <c r="AE134" t="s">
        <v>32</v>
      </c>
      <c r="AH134" t="s">
        <v>32</v>
      </c>
      <c r="AK134" t="s">
        <v>128</v>
      </c>
      <c r="AL134">
        <v>46069</v>
      </c>
      <c r="AM134">
        <v>46073</v>
      </c>
      <c r="AN134" t="s">
        <v>32</v>
      </c>
      <c r="AO134" t="s">
        <v>32</v>
      </c>
      <c r="AR134">
        <v>0</v>
      </c>
      <c r="AU134" t="s">
        <v>32</v>
      </c>
      <c r="AV134">
        <v>2056650</v>
      </c>
      <c r="AW134" t="s">
        <v>32</v>
      </c>
      <c r="AX134" t="s">
        <v>32</v>
      </c>
      <c r="AY134" t="s">
        <v>185</v>
      </c>
      <c r="AZ134">
        <v>5</v>
      </c>
      <c r="BA134">
        <v>342775</v>
      </c>
      <c r="BB134">
        <v>0.16</v>
      </c>
      <c r="BC134">
        <v>54900</v>
      </c>
      <c r="BD134" t="s">
        <v>142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54900</v>
      </c>
      <c r="BK134" t="s">
        <v>25</v>
      </c>
      <c r="BL134" t="s">
        <v>1010</v>
      </c>
      <c r="BM134">
        <v>5</v>
      </c>
      <c r="BN134">
        <v>342775</v>
      </c>
      <c r="BO134">
        <v>0.04</v>
      </c>
      <c r="BP134">
        <v>13800</v>
      </c>
      <c r="BQ134">
        <v>0</v>
      </c>
      <c r="BR134" t="s">
        <v>1438</v>
      </c>
      <c r="BS134">
        <v>0</v>
      </c>
      <c r="BT134" t="s">
        <v>1438</v>
      </c>
      <c r="BU134">
        <v>0</v>
      </c>
      <c r="BV134" t="s">
        <v>25</v>
      </c>
      <c r="BW134" t="s">
        <v>189</v>
      </c>
      <c r="BX134">
        <v>5</v>
      </c>
      <c r="BY134">
        <v>342775</v>
      </c>
      <c r="BZ134">
        <v>0</v>
      </c>
      <c r="CA134" t="s">
        <v>1439</v>
      </c>
      <c r="CB134" t="s">
        <v>312</v>
      </c>
      <c r="CC134" t="s">
        <v>1440</v>
      </c>
      <c r="CD134">
        <v>0</v>
      </c>
      <c r="CE134">
        <v>5</v>
      </c>
      <c r="CF134" t="s">
        <v>466</v>
      </c>
      <c r="CG134">
        <v>342775</v>
      </c>
      <c r="CH134">
        <v>0.04</v>
      </c>
      <c r="CI134">
        <v>13800</v>
      </c>
      <c r="CJ134">
        <v>342775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 t="s">
        <v>88</v>
      </c>
      <c r="CT134" t="s">
        <v>1441</v>
      </c>
      <c r="CU134" t="s">
        <v>1442</v>
      </c>
    </row>
    <row r="135" spans="1:99">
      <c r="A135" t="s">
        <v>1431</v>
      </c>
      <c r="B135" t="s">
        <v>34</v>
      </c>
      <c r="C135" t="s">
        <v>1841</v>
      </c>
      <c r="D135" t="s">
        <v>1842</v>
      </c>
      <c r="E135" t="s">
        <v>1843</v>
      </c>
      <c r="F135" t="s">
        <v>1506</v>
      </c>
      <c r="G135" t="s">
        <v>1844</v>
      </c>
      <c r="H135" t="s">
        <v>1845</v>
      </c>
      <c r="I135" t="s">
        <v>682</v>
      </c>
      <c r="J135" t="s">
        <v>484</v>
      </c>
      <c r="K135" t="s">
        <v>29</v>
      </c>
      <c r="L135" t="s">
        <v>30</v>
      </c>
      <c r="M135">
        <v>166</v>
      </c>
      <c r="N135" t="s">
        <v>32</v>
      </c>
      <c r="O135" t="s">
        <v>32</v>
      </c>
      <c r="Q135" t="s">
        <v>32</v>
      </c>
      <c r="S135" t="s">
        <v>32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AA135" t="s">
        <v>88</v>
      </c>
      <c r="AB135" t="s">
        <v>32</v>
      </c>
      <c r="AE135" t="s">
        <v>32</v>
      </c>
      <c r="AH135" t="s">
        <v>32</v>
      </c>
      <c r="AK135" t="s">
        <v>32</v>
      </c>
      <c r="AN135" t="s">
        <v>32</v>
      </c>
      <c r="AO135" t="s">
        <v>32</v>
      </c>
      <c r="AR135">
        <v>0</v>
      </c>
      <c r="AU135" t="s">
        <v>32</v>
      </c>
      <c r="AV135">
        <v>2056650</v>
      </c>
      <c r="AW135" t="s">
        <v>32</v>
      </c>
      <c r="AX135" t="s">
        <v>32</v>
      </c>
      <c r="AY135" t="s">
        <v>185</v>
      </c>
      <c r="AZ135">
        <v>25</v>
      </c>
      <c r="BA135">
        <v>2240098</v>
      </c>
      <c r="BB135">
        <v>0.16</v>
      </c>
      <c r="BC135">
        <v>358500</v>
      </c>
      <c r="BD135" t="s">
        <v>142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358500</v>
      </c>
      <c r="BK135" t="s">
        <v>25</v>
      </c>
      <c r="BL135" t="s">
        <v>1010</v>
      </c>
      <c r="BM135">
        <v>25</v>
      </c>
      <c r="BN135">
        <v>2240098</v>
      </c>
      <c r="BO135">
        <v>0.04</v>
      </c>
      <c r="BP135">
        <v>89700</v>
      </c>
      <c r="BQ135">
        <v>0</v>
      </c>
      <c r="BR135" t="s">
        <v>1438</v>
      </c>
      <c r="BS135">
        <v>0</v>
      </c>
      <c r="BT135" t="s">
        <v>1438</v>
      </c>
      <c r="BU135">
        <v>0</v>
      </c>
      <c r="BV135" t="s">
        <v>25</v>
      </c>
      <c r="BW135" t="s">
        <v>189</v>
      </c>
      <c r="BX135">
        <v>25</v>
      </c>
      <c r="BY135">
        <v>2240098</v>
      </c>
      <c r="BZ135">
        <v>6.9599999999999995E-2</v>
      </c>
      <c r="CA135" t="s">
        <v>1439</v>
      </c>
      <c r="CB135" t="s">
        <v>312</v>
      </c>
      <c r="CC135" t="s">
        <v>1440</v>
      </c>
      <c r="CD135">
        <v>156000</v>
      </c>
      <c r="CE135">
        <v>25</v>
      </c>
      <c r="CF135" t="s">
        <v>466</v>
      </c>
      <c r="CG135">
        <v>2158392</v>
      </c>
      <c r="CH135">
        <v>0.04</v>
      </c>
      <c r="CI135">
        <v>86400</v>
      </c>
      <c r="CJ135">
        <v>2158392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 t="s">
        <v>88</v>
      </c>
      <c r="CT135" t="s">
        <v>1441</v>
      </c>
      <c r="CU135" t="s">
        <v>1442</v>
      </c>
    </row>
    <row r="136" spans="1:99">
      <c r="A136" t="s">
        <v>1431</v>
      </c>
      <c r="B136" t="s">
        <v>34</v>
      </c>
      <c r="C136" t="s">
        <v>1846</v>
      </c>
      <c r="D136" t="s">
        <v>1847</v>
      </c>
      <c r="E136" t="s">
        <v>1848</v>
      </c>
      <c r="F136" t="s">
        <v>1849</v>
      </c>
      <c r="G136" t="s">
        <v>1479</v>
      </c>
      <c r="H136" t="s">
        <v>1850</v>
      </c>
      <c r="I136" t="s">
        <v>682</v>
      </c>
      <c r="J136" t="s">
        <v>484</v>
      </c>
      <c r="K136" t="s">
        <v>29</v>
      </c>
      <c r="L136" t="s">
        <v>30</v>
      </c>
      <c r="M136">
        <v>0</v>
      </c>
      <c r="N136" t="s">
        <v>32</v>
      </c>
      <c r="O136" t="s">
        <v>32</v>
      </c>
      <c r="Q136" t="s">
        <v>32</v>
      </c>
      <c r="S136" t="s">
        <v>32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AA136" t="s">
        <v>32</v>
      </c>
      <c r="AB136" t="s">
        <v>37</v>
      </c>
      <c r="AC136">
        <v>46069</v>
      </c>
      <c r="AD136">
        <v>46069</v>
      </c>
      <c r="AE136" t="s">
        <v>32</v>
      </c>
      <c r="AH136" t="s">
        <v>32</v>
      </c>
      <c r="AK136" t="s">
        <v>32</v>
      </c>
      <c r="AN136" t="s">
        <v>32</v>
      </c>
      <c r="AO136" t="s">
        <v>32</v>
      </c>
      <c r="AR136">
        <v>0</v>
      </c>
      <c r="AU136" t="s">
        <v>32</v>
      </c>
      <c r="AV136">
        <v>2056650</v>
      </c>
      <c r="AW136" t="s">
        <v>32</v>
      </c>
      <c r="AX136" t="s">
        <v>32</v>
      </c>
      <c r="AY136" t="s">
        <v>356</v>
      </c>
      <c r="AZ136">
        <v>1</v>
      </c>
      <c r="BA136">
        <v>68555</v>
      </c>
      <c r="BB136">
        <v>0.16</v>
      </c>
      <c r="BC136">
        <v>11000</v>
      </c>
      <c r="BD136" t="s">
        <v>142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11000</v>
      </c>
      <c r="BK136" t="s">
        <v>25</v>
      </c>
      <c r="BL136" t="s">
        <v>1000</v>
      </c>
      <c r="BM136">
        <v>1</v>
      </c>
      <c r="BN136">
        <v>68555</v>
      </c>
      <c r="BO136">
        <v>0</v>
      </c>
      <c r="BP136">
        <v>0</v>
      </c>
      <c r="BQ136">
        <v>0</v>
      </c>
      <c r="BR136" t="s">
        <v>1438</v>
      </c>
      <c r="BS136">
        <v>0</v>
      </c>
      <c r="BT136" t="s">
        <v>1438</v>
      </c>
      <c r="BU136">
        <v>0</v>
      </c>
      <c r="BV136" t="s">
        <v>25</v>
      </c>
      <c r="BW136" t="s">
        <v>189</v>
      </c>
      <c r="BX136">
        <v>1</v>
      </c>
      <c r="BY136">
        <v>68555</v>
      </c>
      <c r="BZ136">
        <v>0</v>
      </c>
      <c r="CA136" t="s">
        <v>1439</v>
      </c>
      <c r="CB136" t="s">
        <v>312</v>
      </c>
      <c r="CC136" t="s">
        <v>1440</v>
      </c>
      <c r="CD136">
        <v>0</v>
      </c>
      <c r="CE136">
        <v>1</v>
      </c>
      <c r="CF136" t="s">
        <v>466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 t="s">
        <v>88</v>
      </c>
      <c r="CT136" t="s">
        <v>1441</v>
      </c>
      <c r="CU136" t="s">
        <v>1442</v>
      </c>
    </row>
    <row r="137" spans="1:99">
      <c r="A137" t="s">
        <v>1431</v>
      </c>
      <c r="B137" t="s">
        <v>34</v>
      </c>
      <c r="C137" t="s">
        <v>1846</v>
      </c>
      <c r="D137" t="s">
        <v>1847</v>
      </c>
      <c r="E137" t="s">
        <v>1848</v>
      </c>
      <c r="F137" t="s">
        <v>1849</v>
      </c>
      <c r="G137" t="s">
        <v>1479</v>
      </c>
      <c r="H137" t="s">
        <v>1850</v>
      </c>
      <c r="I137" t="s">
        <v>682</v>
      </c>
      <c r="J137" t="s">
        <v>484</v>
      </c>
      <c r="K137" t="s">
        <v>29</v>
      </c>
      <c r="L137" t="s">
        <v>30</v>
      </c>
      <c r="M137">
        <v>0</v>
      </c>
      <c r="N137" t="s">
        <v>32</v>
      </c>
      <c r="O137" t="s">
        <v>32</v>
      </c>
      <c r="Q137" t="s">
        <v>32</v>
      </c>
      <c r="S137" t="s">
        <v>32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AA137" t="s">
        <v>32</v>
      </c>
      <c r="AB137" t="s">
        <v>32</v>
      </c>
      <c r="AE137" t="s">
        <v>32</v>
      </c>
      <c r="AH137" t="s">
        <v>32</v>
      </c>
      <c r="AK137" t="s">
        <v>128</v>
      </c>
      <c r="AL137">
        <v>46076</v>
      </c>
      <c r="AM137">
        <v>46080</v>
      </c>
      <c r="AN137" t="s">
        <v>32</v>
      </c>
      <c r="AO137" t="s">
        <v>32</v>
      </c>
      <c r="AR137">
        <v>0</v>
      </c>
      <c r="AU137" t="s">
        <v>32</v>
      </c>
      <c r="AV137">
        <v>2056650</v>
      </c>
      <c r="AW137" t="s">
        <v>32</v>
      </c>
      <c r="AX137" t="s">
        <v>32</v>
      </c>
      <c r="AY137" t="s">
        <v>356</v>
      </c>
      <c r="AZ137">
        <v>5</v>
      </c>
      <c r="BA137">
        <v>342775</v>
      </c>
      <c r="BB137">
        <v>0.16</v>
      </c>
      <c r="BC137">
        <v>54900</v>
      </c>
      <c r="BD137" t="s">
        <v>142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54900</v>
      </c>
      <c r="BK137" t="s">
        <v>25</v>
      </c>
      <c r="BL137" t="s">
        <v>1000</v>
      </c>
      <c r="BM137">
        <v>5</v>
      </c>
      <c r="BN137">
        <v>342775</v>
      </c>
      <c r="BO137">
        <v>0.04</v>
      </c>
      <c r="BP137">
        <v>13800</v>
      </c>
      <c r="BQ137">
        <v>0</v>
      </c>
      <c r="BR137" t="s">
        <v>1438</v>
      </c>
      <c r="BS137">
        <v>0</v>
      </c>
      <c r="BT137" t="s">
        <v>1438</v>
      </c>
      <c r="BU137">
        <v>0</v>
      </c>
      <c r="BV137" t="s">
        <v>25</v>
      </c>
      <c r="BW137" t="s">
        <v>189</v>
      </c>
      <c r="BX137">
        <v>5</v>
      </c>
      <c r="BY137">
        <v>342775</v>
      </c>
      <c r="BZ137">
        <v>0</v>
      </c>
      <c r="CA137" t="s">
        <v>1439</v>
      </c>
      <c r="CB137" t="s">
        <v>312</v>
      </c>
      <c r="CC137" t="s">
        <v>1440</v>
      </c>
      <c r="CD137">
        <v>0</v>
      </c>
      <c r="CE137">
        <v>5</v>
      </c>
      <c r="CF137" t="s">
        <v>466</v>
      </c>
      <c r="CG137">
        <v>342775</v>
      </c>
      <c r="CH137">
        <v>0.04</v>
      </c>
      <c r="CI137">
        <v>13800</v>
      </c>
      <c r="CJ137">
        <v>342775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 t="s">
        <v>88</v>
      </c>
      <c r="CT137" t="s">
        <v>1441</v>
      </c>
      <c r="CU137" t="s">
        <v>1442</v>
      </c>
    </row>
    <row r="138" spans="1:99">
      <c r="A138" t="s">
        <v>1431</v>
      </c>
      <c r="B138" t="s">
        <v>34</v>
      </c>
      <c r="C138" t="s">
        <v>1846</v>
      </c>
      <c r="D138" t="s">
        <v>1847</v>
      </c>
      <c r="E138" t="s">
        <v>1848</v>
      </c>
      <c r="F138" t="s">
        <v>1849</v>
      </c>
      <c r="G138" t="s">
        <v>1479</v>
      </c>
      <c r="H138" t="s">
        <v>1850</v>
      </c>
      <c r="I138" t="s">
        <v>682</v>
      </c>
      <c r="J138" t="s">
        <v>484</v>
      </c>
      <c r="K138" t="s">
        <v>29</v>
      </c>
      <c r="L138" t="s">
        <v>30</v>
      </c>
      <c r="M138">
        <v>159</v>
      </c>
      <c r="N138" t="s">
        <v>32</v>
      </c>
      <c r="O138" t="s">
        <v>32</v>
      </c>
      <c r="Q138" t="s">
        <v>32</v>
      </c>
      <c r="S138" t="s">
        <v>40</v>
      </c>
      <c r="T138">
        <v>46081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AA138" t="s">
        <v>88</v>
      </c>
      <c r="AB138" t="s">
        <v>32</v>
      </c>
      <c r="AE138" t="s">
        <v>32</v>
      </c>
      <c r="AH138" t="s">
        <v>32</v>
      </c>
      <c r="AK138" t="s">
        <v>32</v>
      </c>
      <c r="AN138" t="s">
        <v>32</v>
      </c>
      <c r="AO138" t="s">
        <v>32</v>
      </c>
      <c r="AR138">
        <v>0</v>
      </c>
      <c r="AU138" t="s">
        <v>32</v>
      </c>
      <c r="AV138">
        <v>2056650</v>
      </c>
      <c r="AW138" t="s">
        <v>32</v>
      </c>
      <c r="AX138" t="s">
        <v>32</v>
      </c>
      <c r="AY138" t="s">
        <v>356</v>
      </c>
      <c r="AZ138">
        <v>24</v>
      </c>
      <c r="BA138">
        <v>3004423</v>
      </c>
      <c r="BB138">
        <v>0.16</v>
      </c>
      <c r="BC138">
        <v>480800</v>
      </c>
      <c r="BD138" t="s">
        <v>142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480800</v>
      </c>
      <c r="BK138" t="s">
        <v>25</v>
      </c>
      <c r="BL138" t="s">
        <v>1000</v>
      </c>
      <c r="BM138">
        <v>24</v>
      </c>
      <c r="BN138">
        <v>3004423</v>
      </c>
      <c r="BO138">
        <v>0.04</v>
      </c>
      <c r="BP138">
        <v>120200</v>
      </c>
      <c r="BQ138">
        <v>0</v>
      </c>
      <c r="BR138" t="s">
        <v>1438</v>
      </c>
      <c r="BS138">
        <v>0</v>
      </c>
      <c r="BT138" t="s">
        <v>1438</v>
      </c>
      <c r="BU138">
        <v>0</v>
      </c>
      <c r="BV138" t="s">
        <v>25</v>
      </c>
      <c r="BW138" t="s">
        <v>189</v>
      </c>
      <c r="BX138">
        <v>24</v>
      </c>
      <c r="BY138">
        <v>3004423</v>
      </c>
      <c r="BZ138">
        <v>6.9599999999999995E-2</v>
      </c>
      <c r="CA138" t="s">
        <v>1439</v>
      </c>
      <c r="CB138" t="s">
        <v>312</v>
      </c>
      <c r="CC138" t="s">
        <v>1440</v>
      </c>
      <c r="CD138">
        <v>209200</v>
      </c>
      <c r="CE138">
        <v>24</v>
      </c>
      <c r="CF138" t="s">
        <v>466</v>
      </c>
      <c r="CG138">
        <v>3921214</v>
      </c>
      <c r="CH138">
        <v>0.04</v>
      </c>
      <c r="CI138">
        <v>156900</v>
      </c>
      <c r="CJ138">
        <v>3921214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 t="s">
        <v>88</v>
      </c>
      <c r="CT138" t="s">
        <v>1441</v>
      </c>
      <c r="CU138" t="s">
        <v>1442</v>
      </c>
    </row>
    <row r="139" spans="1:99">
      <c r="A139" t="s">
        <v>1431</v>
      </c>
      <c r="B139" t="s">
        <v>34</v>
      </c>
      <c r="C139" t="s">
        <v>1851</v>
      </c>
      <c r="D139" t="s">
        <v>1852</v>
      </c>
      <c r="E139" t="s">
        <v>1506</v>
      </c>
      <c r="F139" t="s">
        <v>1853</v>
      </c>
      <c r="G139" t="s">
        <v>1489</v>
      </c>
      <c r="H139" t="s">
        <v>1854</v>
      </c>
      <c r="I139" t="s">
        <v>240</v>
      </c>
      <c r="J139" t="s">
        <v>46</v>
      </c>
      <c r="K139" t="s">
        <v>29</v>
      </c>
      <c r="L139" t="s">
        <v>30</v>
      </c>
      <c r="M139">
        <v>0</v>
      </c>
      <c r="N139" t="s">
        <v>32</v>
      </c>
      <c r="O139" t="s">
        <v>32</v>
      </c>
      <c r="Q139" t="s">
        <v>32</v>
      </c>
      <c r="S139" t="s">
        <v>32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AA139" t="s">
        <v>32</v>
      </c>
      <c r="AB139" t="s">
        <v>32</v>
      </c>
      <c r="AE139" t="s">
        <v>32</v>
      </c>
      <c r="AH139" t="s">
        <v>32</v>
      </c>
      <c r="AK139" t="s">
        <v>128</v>
      </c>
      <c r="AL139">
        <v>46058</v>
      </c>
      <c r="AM139">
        <v>46058</v>
      </c>
      <c r="AN139" t="s">
        <v>32</v>
      </c>
      <c r="AO139" t="s">
        <v>32</v>
      </c>
      <c r="AR139">
        <v>0</v>
      </c>
      <c r="AU139" t="s">
        <v>32</v>
      </c>
      <c r="AV139">
        <v>2223339</v>
      </c>
      <c r="AW139" t="s">
        <v>32</v>
      </c>
      <c r="AX139" t="s">
        <v>32</v>
      </c>
      <c r="AY139" t="s">
        <v>317</v>
      </c>
      <c r="AZ139">
        <v>1</v>
      </c>
      <c r="BA139">
        <v>74112</v>
      </c>
      <c r="BB139">
        <v>0.16</v>
      </c>
      <c r="BC139">
        <v>11900</v>
      </c>
      <c r="BD139" t="s">
        <v>142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11900</v>
      </c>
      <c r="BK139" t="s">
        <v>25</v>
      </c>
      <c r="BL139" t="s">
        <v>1064</v>
      </c>
      <c r="BM139">
        <v>1</v>
      </c>
      <c r="BN139">
        <v>74112</v>
      </c>
      <c r="BO139">
        <v>0.04</v>
      </c>
      <c r="BP139">
        <v>3000</v>
      </c>
      <c r="BQ139">
        <v>0</v>
      </c>
      <c r="BR139" t="s">
        <v>1438</v>
      </c>
      <c r="BS139">
        <v>0</v>
      </c>
      <c r="BT139" t="s">
        <v>1438</v>
      </c>
      <c r="BU139">
        <v>0</v>
      </c>
      <c r="BV139" t="s">
        <v>25</v>
      </c>
      <c r="BW139" t="s">
        <v>189</v>
      </c>
      <c r="BX139">
        <v>1</v>
      </c>
      <c r="BY139">
        <v>74112</v>
      </c>
      <c r="BZ139">
        <v>0</v>
      </c>
      <c r="CA139" t="s">
        <v>1439</v>
      </c>
      <c r="CB139" t="s">
        <v>227</v>
      </c>
      <c r="CC139" t="s">
        <v>1440</v>
      </c>
      <c r="CD139">
        <v>0</v>
      </c>
      <c r="CE139">
        <v>1</v>
      </c>
      <c r="CF139" t="s">
        <v>635</v>
      </c>
      <c r="CG139">
        <v>74112</v>
      </c>
      <c r="CH139">
        <v>0.04</v>
      </c>
      <c r="CI139">
        <v>3000</v>
      </c>
      <c r="CJ139">
        <v>74112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 t="s">
        <v>88</v>
      </c>
      <c r="CT139" t="s">
        <v>1441</v>
      </c>
      <c r="CU139" t="s">
        <v>1442</v>
      </c>
    </row>
    <row r="140" spans="1:99">
      <c r="A140" t="s">
        <v>1431</v>
      </c>
      <c r="B140" t="s">
        <v>34</v>
      </c>
      <c r="C140" t="s">
        <v>1851</v>
      </c>
      <c r="D140" t="s">
        <v>1852</v>
      </c>
      <c r="E140" t="s">
        <v>1506</v>
      </c>
      <c r="F140" t="s">
        <v>1853</v>
      </c>
      <c r="G140" t="s">
        <v>1489</v>
      </c>
      <c r="H140" t="s">
        <v>1854</v>
      </c>
      <c r="I140" t="s">
        <v>240</v>
      </c>
      <c r="J140" t="s">
        <v>46</v>
      </c>
      <c r="K140" t="s">
        <v>29</v>
      </c>
      <c r="L140" t="s">
        <v>30</v>
      </c>
      <c r="M140">
        <v>204</v>
      </c>
      <c r="N140" t="s">
        <v>32</v>
      </c>
      <c r="O140" t="s">
        <v>32</v>
      </c>
      <c r="Q140" t="s">
        <v>32</v>
      </c>
      <c r="S140" t="s">
        <v>32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AA140" t="s">
        <v>88</v>
      </c>
      <c r="AB140" t="s">
        <v>32</v>
      </c>
      <c r="AE140" t="s">
        <v>32</v>
      </c>
      <c r="AH140" t="s">
        <v>32</v>
      </c>
      <c r="AK140" t="s">
        <v>32</v>
      </c>
      <c r="AN140" t="s">
        <v>32</v>
      </c>
      <c r="AO140" t="s">
        <v>32</v>
      </c>
      <c r="AR140">
        <v>0</v>
      </c>
      <c r="AU140" t="s">
        <v>32</v>
      </c>
      <c r="AV140">
        <v>2223339</v>
      </c>
      <c r="AW140" t="s">
        <v>32</v>
      </c>
      <c r="AX140" t="s">
        <v>32</v>
      </c>
      <c r="AY140" t="s">
        <v>317</v>
      </c>
      <c r="AZ140">
        <v>29</v>
      </c>
      <c r="BA140">
        <v>2871596</v>
      </c>
      <c r="BB140">
        <v>0.16</v>
      </c>
      <c r="BC140">
        <v>459500</v>
      </c>
      <c r="BD140" t="s">
        <v>142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459500</v>
      </c>
      <c r="BK140" t="s">
        <v>25</v>
      </c>
      <c r="BL140" t="s">
        <v>1064</v>
      </c>
      <c r="BM140">
        <v>29</v>
      </c>
      <c r="BN140">
        <v>2871596</v>
      </c>
      <c r="BO140">
        <v>0.04</v>
      </c>
      <c r="BP140">
        <v>114900</v>
      </c>
      <c r="BQ140">
        <v>0</v>
      </c>
      <c r="BR140" t="s">
        <v>1438</v>
      </c>
      <c r="BS140">
        <v>0</v>
      </c>
      <c r="BT140" t="s">
        <v>1438</v>
      </c>
      <c r="BU140">
        <v>0</v>
      </c>
      <c r="BV140" t="s">
        <v>25</v>
      </c>
      <c r="BW140" t="s">
        <v>189</v>
      </c>
      <c r="BX140">
        <v>29</v>
      </c>
      <c r="BY140">
        <v>2871596</v>
      </c>
      <c r="BZ140">
        <v>6.9599999999999995E-2</v>
      </c>
      <c r="CA140" t="s">
        <v>1439</v>
      </c>
      <c r="CB140" t="s">
        <v>227</v>
      </c>
      <c r="CC140" t="s">
        <v>1440</v>
      </c>
      <c r="CD140">
        <v>199900</v>
      </c>
      <c r="CE140">
        <v>29</v>
      </c>
      <c r="CF140" t="s">
        <v>635</v>
      </c>
      <c r="CG140">
        <v>2871596</v>
      </c>
      <c r="CH140">
        <v>0.04</v>
      </c>
      <c r="CI140">
        <v>114900</v>
      </c>
      <c r="CJ140">
        <v>2871596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 t="s">
        <v>88</v>
      </c>
      <c r="CT140" t="s">
        <v>1441</v>
      </c>
      <c r="CU140" t="s">
        <v>1442</v>
      </c>
    </row>
    <row r="141" spans="1:99">
      <c r="A141" t="s">
        <v>1431</v>
      </c>
      <c r="B141" t="s">
        <v>34</v>
      </c>
      <c r="C141" t="s">
        <v>1855</v>
      </c>
      <c r="D141" t="s">
        <v>1856</v>
      </c>
      <c r="E141" t="s">
        <v>1857</v>
      </c>
      <c r="F141" t="s">
        <v>1858</v>
      </c>
      <c r="G141" t="s">
        <v>1859</v>
      </c>
      <c r="H141" t="s">
        <v>1489</v>
      </c>
      <c r="I141" t="s">
        <v>240</v>
      </c>
      <c r="J141" t="s">
        <v>46</v>
      </c>
      <c r="K141" t="s">
        <v>29</v>
      </c>
      <c r="L141" t="s">
        <v>30</v>
      </c>
      <c r="M141">
        <v>204</v>
      </c>
      <c r="N141" t="s">
        <v>32</v>
      </c>
      <c r="O141" t="s">
        <v>32</v>
      </c>
      <c r="Q141" t="s">
        <v>32</v>
      </c>
      <c r="S141" t="s">
        <v>32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AA141" t="s">
        <v>88</v>
      </c>
      <c r="AB141" t="s">
        <v>32</v>
      </c>
      <c r="AE141" t="s">
        <v>32</v>
      </c>
      <c r="AH141" t="s">
        <v>32</v>
      </c>
      <c r="AK141" t="s">
        <v>32</v>
      </c>
      <c r="AN141" t="s">
        <v>32</v>
      </c>
      <c r="AO141" t="s">
        <v>32</v>
      </c>
      <c r="AR141">
        <v>0</v>
      </c>
      <c r="AU141" t="s">
        <v>32</v>
      </c>
      <c r="AV141">
        <v>1785595</v>
      </c>
      <c r="AW141" t="s">
        <v>32</v>
      </c>
      <c r="AX141" t="s">
        <v>32</v>
      </c>
      <c r="AY141" t="s">
        <v>317</v>
      </c>
      <c r="AZ141">
        <v>30</v>
      </c>
      <c r="BA141">
        <v>2278258</v>
      </c>
      <c r="BB141">
        <v>0.16</v>
      </c>
      <c r="BC141">
        <v>364600</v>
      </c>
      <c r="BD141" t="s">
        <v>142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364600</v>
      </c>
      <c r="BK141" t="s">
        <v>25</v>
      </c>
      <c r="BL141" t="s">
        <v>1010</v>
      </c>
      <c r="BM141">
        <v>30</v>
      </c>
      <c r="BN141">
        <v>2278258</v>
      </c>
      <c r="BO141">
        <v>0.04</v>
      </c>
      <c r="BP141">
        <v>91200</v>
      </c>
      <c r="BQ141">
        <v>0</v>
      </c>
      <c r="BR141" t="s">
        <v>1438</v>
      </c>
      <c r="BS141">
        <v>0</v>
      </c>
      <c r="BT141" t="s">
        <v>1438</v>
      </c>
      <c r="BU141">
        <v>0</v>
      </c>
      <c r="BV141" t="s">
        <v>25</v>
      </c>
      <c r="BW141" t="s">
        <v>189</v>
      </c>
      <c r="BX141">
        <v>30</v>
      </c>
      <c r="BY141">
        <v>2278258</v>
      </c>
      <c r="BZ141">
        <v>6.9599999999999995E-2</v>
      </c>
      <c r="CA141" t="s">
        <v>1439</v>
      </c>
      <c r="CB141" t="s">
        <v>227</v>
      </c>
      <c r="CC141" t="s">
        <v>1440</v>
      </c>
      <c r="CD141">
        <v>158600</v>
      </c>
      <c r="CE141">
        <v>30</v>
      </c>
      <c r="CF141" t="s">
        <v>635</v>
      </c>
      <c r="CG141">
        <v>2278258</v>
      </c>
      <c r="CH141">
        <v>0.04</v>
      </c>
      <c r="CI141">
        <v>91200</v>
      </c>
      <c r="CJ141">
        <v>2278258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 t="s">
        <v>88</v>
      </c>
      <c r="CT141" t="s">
        <v>1441</v>
      </c>
      <c r="CU141" t="s">
        <v>1442</v>
      </c>
    </row>
    <row r="142" spans="1:99">
      <c r="A142" t="s">
        <v>1431</v>
      </c>
      <c r="B142" t="s">
        <v>34</v>
      </c>
      <c r="C142" t="s">
        <v>1860</v>
      </c>
      <c r="D142" t="s">
        <v>1861</v>
      </c>
      <c r="E142" t="s">
        <v>1857</v>
      </c>
      <c r="F142" t="s">
        <v>1858</v>
      </c>
      <c r="G142" t="s">
        <v>1489</v>
      </c>
      <c r="H142" t="s">
        <v>1513</v>
      </c>
      <c r="I142" t="s">
        <v>240</v>
      </c>
      <c r="J142" t="s">
        <v>46</v>
      </c>
      <c r="K142" t="s">
        <v>29</v>
      </c>
      <c r="L142" t="s">
        <v>30</v>
      </c>
      <c r="M142">
        <v>212</v>
      </c>
      <c r="N142" t="s">
        <v>32</v>
      </c>
      <c r="O142" t="s">
        <v>32</v>
      </c>
      <c r="Q142" t="s">
        <v>32</v>
      </c>
      <c r="S142" t="s">
        <v>32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AA142" t="s">
        <v>88</v>
      </c>
      <c r="AB142" t="s">
        <v>32</v>
      </c>
      <c r="AE142" t="s">
        <v>32</v>
      </c>
      <c r="AH142" t="s">
        <v>32</v>
      </c>
      <c r="AK142" t="s">
        <v>32</v>
      </c>
      <c r="AN142" t="s">
        <v>32</v>
      </c>
      <c r="AO142" t="s">
        <v>32</v>
      </c>
      <c r="AR142">
        <v>0</v>
      </c>
      <c r="AU142" t="s">
        <v>32</v>
      </c>
      <c r="AV142">
        <v>1785595</v>
      </c>
      <c r="AW142" t="s">
        <v>32</v>
      </c>
      <c r="AX142" t="s">
        <v>32</v>
      </c>
      <c r="AY142" t="s">
        <v>356</v>
      </c>
      <c r="AZ142">
        <v>30</v>
      </c>
      <c r="BA142">
        <v>2359421</v>
      </c>
      <c r="BB142">
        <v>0.16</v>
      </c>
      <c r="BC142">
        <v>377600</v>
      </c>
      <c r="BD142" t="s">
        <v>142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377600</v>
      </c>
      <c r="BK142" t="s">
        <v>25</v>
      </c>
      <c r="BL142" t="s">
        <v>1010</v>
      </c>
      <c r="BM142">
        <v>30</v>
      </c>
      <c r="BN142">
        <v>2359421</v>
      </c>
      <c r="BO142">
        <v>0.04</v>
      </c>
      <c r="BP142">
        <v>94400</v>
      </c>
      <c r="BQ142">
        <v>0</v>
      </c>
      <c r="BR142" t="s">
        <v>1438</v>
      </c>
      <c r="BS142">
        <v>0</v>
      </c>
      <c r="BT142" t="s">
        <v>1438</v>
      </c>
      <c r="BU142">
        <v>0</v>
      </c>
      <c r="BV142" t="s">
        <v>25</v>
      </c>
      <c r="BW142" t="s">
        <v>189</v>
      </c>
      <c r="BX142">
        <v>30</v>
      </c>
      <c r="BY142">
        <v>2359421</v>
      </c>
      <c r="BZ142">
        <v>6.9599999999999995E-2</v>
      </c>
      <c r="CA142" t="s">
        <v>1439</v>
      </c>
      <c r="CB142" t="s">
        <v>227</v>
      </c>
      <c r="CC142" t="s">
        <v>1440</v>
      </c>
      <c r="CD142">
        <v>164300</v>
      </c>
      <c r="CE142">
        <v>30</v>
      </c>
      <c r="CF142" t="s">
        <v>635</v>
      </c>
      <c r="CG142">
        <v>2359421</v>
      </c>
      <c r="CH142">
        <v>0.04</v>
      </c>
      <c r="CI142">
        <v>94400</v>
      </c>
      <c r="CJ142">
        <v>2359421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 t="s">
        <v>88</v>
      </c>
      <c r="CT142" t="s">
        <v>1441</v>
      </c>
      <c r="CU142" t="s">
        <v>1442</v>
      </c>
    </row>
    <row r="143" spans="1:99">
      <c r="A143" t="s">
        <v>1431</v>
      </c>
      <c r="B143" t="s">
        <v>34</v>
      </c>
      <c r="C143" t="s">
        <v>1862</v>
      </c>
      <c r="D143" t="s">
        <v>1863</v>
      </c>
      <c r="E143" t="s">
        <v>1857</v>
      </c>
      <c r="F143" t="s">
        <v>1864</v>
      </c>
      <c r="G143" t="s">
        <v>1598</v>
      </c>
      <c r="H143" t="s">
        <v>1558</v>
      </c>
      <c r="I143" t="s">
        <v>240</v>
      </c>
      <c r="J143" t="s">
        <v>46</v>
      </c>
      <c r="K143" t="s">
        <v>29</v>
      </c>
      <c r="L143" t="s">
        <v>30</v>
      </c>
      <c r="M143">
        <v>175</v>
      </c>
      <c r="N143" t="s">
        <v>32</v>
      </c>
      <c r="O143" t="s">
        <v>32</v>
      </c>
      <c r="Q143" t="s">
        <v>32</v>
      </c>
      <c r="S143" t="s">
        <v>40</v>
      </c>
      <c r="T143">
        <v>46074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AA143" t="s">
        <v>88</v>
      </c>
      <c r="AB143" t="s">
        <v>32</v>
      </c>
      <c r="AE143" t="s">
        <v>32</v>
      </c>
      <c r="AH143" t="s">
        <v>32</v>
      </c>
      <c r="AK143" t="s">
        <v>32</v>
      </c>
      <c r="AN143" t="s">
        <v>32</v>
      </c>
      <c r="AO143" t="s">
        <v>32</v>
      </c>
      <c r="AR143">
        <v>0</v>
      </c>
      <c r="AU143" t="s">
        <v>32</v>
      </c>
      <c r="AV143">
        <v>1785595</v>
      </c>
      <c r="AW143" t="s">
        <v>32</v>
      </c>
      <c r="AX143" t="s">
        <v>32</v>
      </c>
      <c r="AY143" t="s">
        <v>356</v>
      </c>
      <c r="AZ143">
        <v>21</v>
      </c>
      <c r="BA143">
        <v>2201696</v>
      </c>
      <c r="BB143">
        <v>0.16</v>
      </c>
      <c r="BC143">
        <v>352300</v>
      </c>
      <c r="BD143" t="s">
        <v>142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352300</v>
      </c>
      <c r="BK143" t="s">
        <v>25</v>
      </c>
      <c r="BL143" t="s">
        <v>1010</v>
      </c>
      <c r="BM143">
        <v>21</v>
      </c>
      <c r="BN143">
        <v>2201696</v>
      </c>
      <c r="BO143">
        <v>0.04</v>
      </c>
      <c r="BP143">
        <v>88100</v>
      </c>
      <c r="BQ143">
        <v>0</v>
      </c>
      <c r="BR143" t="s">
        <v>1438</v>
      </c>
      <c r="BS143">
        <v>0</v>
      </c>
      <c r="BT143" t="s">
        <v>1438</v>
      </c>
      <c r="BU143">
        <v>0</v>
      </c>
      <c r="BV143" t="s">
        <v>25</v>
      </c>
      <c r="BW143" t="s">
        <v>189</v>
      </c>
      <c r="BX143">
        <v>21</v>
      </c>
      <c r="BY143">
        <v>2201696</v>
      </c>
      <c r="BZ143">
        <v>6.9599999999999995E-2</v>
      </c>
      <c r="CA143" t="s">
        <v>1439</v>
      </c>
      <c r="CB143" t="s">
        <v>227</v>
      </c>
      <c r="CC143" t="s">
        <v>1440</v>
      </c>
      <c r="CD143">
        <v>153300</v>
      </c>
      <c r="CE143">
        <v>21</v>
      </c>
      <c r="CF143" t="s">
        <v>635</v>
      </c>
      <c r="CG143">
        <v>2518713</v>
      </c>
      <c r="CH143">
        <v>0.04</v>
      </c>
      <c r="CI143">
        <v>100800</v>
      </c>
      <c r="CJ143">
        <v>2518713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 t="s">
        <v>88</v>
      </c>
      <c r="CT143" t="s">
        <v>1441</v>
      </c>
      <c r="CU143" t="s">
        <v>1442</v>
      </c>
    </row>
    <row r="144" spans="1:99">
      <c r="A144" t="s">
        <v>1431</v>
      </c>
      <c r="B144" t="s">
        <v>34</v>
      </c>
      <c r="C144" t="s">
        <v>1865</v>
      </c>
      <c r="D144" t="s">
        <v>1866</v>
      </c>
      <c r="E144" t="s">
        <v>1867</v>
      </c>
      <c r="F144" t="s">
        <v>1868</v>
      </c>
      <c r="G144" t="s">
        <v>1869</v>
      </c>
      <c r="H144" t="s">
        <v>1436</v>
      </c>
      <c r="I144" t="s">
        <v>240</v>
      </c>
      <c r="J144" t="s">
        <v>46</v>
      </c>
      <c r="K144" t="s">
        <v>29</v>
      </c>
      <c r="L144" t="s">
        <v>30</v>
      </c>
      <c r="M144">
        <v>0</v>
      </c>
      <c r="N144" t="s">
        <v>32</v>
      </c>
      <c r="O144" t="s">
        <v>32</v>
      </c>
      <c r="Q144" t="s">
        <v>32</v>
      </c>
      <c r="S144" t="s">
        <v>32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AA144" t="s">
        <v>32</v>
      </c>
      <c r="AB144" t="s">
        <v>32</v>
      </c>
      <c r="AE144" t="s">
        <v>32</v>
      </c>
      <c r="AH144" t="s">
        <v>32</v>
      </c>
      <c r="AK144" t="s">
        <v>128</v>
      </c>
      <c r="AL144">
        <v>46054</v>
      </c>
      <c r="AM144">
        <v>46054</v>
      </c>
      <c r="AN144" t="s">
        <v>32</v>
      </c>
      <c r="AO144" t="s">
        <v>32</v>
      </c>
      <c r="AR144">
        <v>0</v>
      </c>
      <c r="AU144" t="s">
        <v>32</v>
      </c>
      <c r="AV144">
        <v>2074908</v>
      </c>
      <c r="AW144" t="s">
        <v>32</v>
      </c>
      <c r="AX144" t="s">
        <v>32</v>
      </c>
      <c r="AY144" t="s">
        <v>317</v>
      </c>
      <c r="AZ144">
        <v>1</v>
      </c>
      <c r="BA144">
        <v>69164</v>
      </c>
      <c r="BB144">
        <v>0.16</v>
      </c>
      <c r="BC144">
        <v>11100</v>
      </c>
      <c r="BD144" t="s">
        <v>142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11100</v>
      </c>
      <c r="BK144" t="s">
        <v>25</v>
      </c>
      <c r="BL144" t="s">
        <v>1010</v>
      </c>
      <c r="BM144">
        <v>1</v>
      </c>
      <c r="BN144">
        <v>69164</v>
      </c>
      <c r="BO144">
        <v>0.04</v>
      </c>
      <c r="BP144">
        <v>2800</v>
      </c>
      <c r="BQ144">
        <v>0</v>
      </c>
      <c r="BR144" t="s">
        <v>1438</v>
      </c>
      <c r="BS144">
        <v>0</v>
      </c>
      <c r="BT144" t="s">
        <v>1438</v>
      </c>
      <c r="BU144">
        <v>0</v>
      </c>
      <c r="BV144" t="s">
        <v>25</v>
      </c>
      <c r="BW144" t="s">
        <v>189</v>
      </c>
      <c r="BX144">
        <v>1</v>
      </c>
      <c r="BY144">
        <v>69164</v>
      </c>
      <c r="BZ144">
        <v>0</v>
      </c>
      <c r="CA144" t="s">
        <v>1439</v>
      </c>
      <c r="CB144" t="s">
        <v>227</v>
      </c>
      <c r="CC144" t="s">
        <v>1440</v>
      </c>
      <c r="CD144">
        <v>0</v>
      </c>
      <c r="CE144">
        <v>1</v>
      </c>
      <c r="CF144" t="s">
        <v>635</v>
      </c>
      <c r="CG144">
        <v>69164</v>
      </c>
      <c r="CH144">
        <v>0.04</v>
      </c>
      <c r="CI144">
        <v>2800</v>
      </c>
      <c r="CJ144">
        <v>69164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 t="s">
        <v>88</v>
      </c>
      <c r="CT144" t="s">
        <v>1441</v>
      </c>
      <c r="CU144" t="s">
        <v>1442</v>
      </c>
    </row>
    <row r="145" spans="1:99">
      <c r="A145" t="s">
        <v>1431</v>
      </c>
      <c r="B145" t="s">
        <v>34</v>
      </c>
      <c r="C145" t="s">
        <v>1865</v>
      </c>
      <c r="D145" t="s">
        <v>1866</v>
      </c>
      <c r="E145" t="s">
        <v>1867</v>
      </c>
      <c r="F145" t="s">
        <v>1868</v>
      </c>
      <c r="G145" t="s">
        <v>1869</v>
      </c>
      <c r="H145" t="s">
        <v>1436</v>
      </c>
      <c r="I145" t="s">
        <v>240</v>
      </c>
      <c r="J145" t="s">
        <v>46</v>
      </c>
      <c r="K145" t="s">
        <v>29</v>
      </c>
      <c r="L145" t="s">
        <v>30</v>
      </c>
      <c r="M145">
        <v>219</v>
      </c>
      <c r="N145" t="s">
        <v>32</v>
      </c>
      <c r="O145" t="s">
        <v>32</v>
      </c>
      <c r="Q145" t="s">
        <v>32</v>
      </c>
      <c r="S145" t="s">
        <v>32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AA145" t="s">
        <v>88</v>
      </c>
      <c r="AB145" t="s">
        <v>32</v>
      </c>
      <c r="AE145" t="s">
        <v>32</v>
      </c>
      <c r="AH145" t="s">
        <v>32</v>
      </c>
      <c r="AK145" t="s">
        <v>32</v>
      </c>
      <c r="AN145" t="s">
        <v>32</v>
      </c>
      <c r="AO145" t="s">
        <v>32</v>
      </c>
      <c r="AR145">
        <v>0</v>
      </c>
      <c r="AU145" t="s">
        <v>32</v>
      </c>
      <c r="AV145">
        <v>2074908</v>
      </c>
      <c r="AW145" t="s">
        <v>32</v>
      </c>
      <c r="AX145" t="s">
        <v>32</v>
      </c>
      <c r="AY145" t="s">
        <v>317</v>
      </c>
      <c r="AZ145">
        <v>29</v>
      </c>
      <c r="BA145">
        <v>2905028</v>
      </c>
      <c r="BB145">
        <v>0.16</v>
      </c>
      <c r="BC145">
        <v>464900</v>
      </c>
      <c r="BD145" t="s">
        <v>142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464900</v>
      </c>
      <c r="BK145" t="s">
        <v>25</v>
      </c>
      <c r="BL145" t="s">
        <v>1010</v>
      </c>
      <c r="BM145">
        <v>29</v>
      </c>
      <c r="BN145">
        <v>2905028</v>
      </c>
      <c r="BO145">
        <v>0.04</v>
      </c>
      <c r="BP145">
        <v>116300</v>
      </c>
      <c r="BQ145">
        <v>0</v>
      </c>
      <c r="BR145" t="s">
        <v>1438</v>
      </c>
      <c r="BS145">
        <v>0</v>
      </c>
      <c r="BT145" t="s">
        <v>1438</v>
      </c>
      <c r="BU145">
        <v>0</v>
      </c>
      <c r="BV145" t="s">
        <v>25</v>
      </c>
      <c r="BW145" t="s">
        <v>189</v>
      </c>
      <c r="BX145">
        <v>29</v>
      </c>
      <c r="BY145">
        <v>2905028</v>
      </c>
      <c r="BZ145">
        <v>6.9599999999999995E-2</v>
      </c>
      <c r="CA145" t="s">
        <v>1439</v>
      </c>
      <c r="CB145" t="s">
        <v>227</v>
      </c>
      <c r="CC145" t="s">
        <v>1440</v>
      </c>
      <c r="CD145">
        <v>202200</v>
      </c>
      <c r="CE145">
        <v>29</v>
      </c>
      <c r="CF145" t="s">
        <v>635</v>
      </c>
      <c r="CG145">
        <v>2905028</v>
      </c>
      <c r="CH145">
        <v>0.04</v>
      </c>
      <c r="CI145">
        <v>116300</v>
      </c>
      <c r="CJ145">
        <v>2905028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 t="s">
        <v>88</v>
      </c>
      <c r="CT145" t="s">
        <v>1441</v>
      </c>
      <c r="CU145" t="s">
        <v>1442</v>
      </c>
    </row>
    <row r="146" spans="1:99">
      <c r="A146" t="s">
        <v>1431</v>
      </c>
      <c r="B146" t="s">
        <v>34</v>
      </c>
      <c r="C146" t="s">
        <v>1870</v>
      </c>
      <c r="D146" t="s">
        <v>1871</v>
      </c>
      <c r="E146" t="s">
        <v>1867</v>
      </c>
      <c r="F146" t="s">
        <v>1868</v>
      </c>
      <c r="G146" t="s">
        <v>1872</v>
      </c>
      <c r="H146" t="s">
        <v>1873</v>
      </c>
      <c r="I146" t="s">
        <v>240</v>
      </c>
      <c r="J146" t="s">
        <v>46</v>
      </c>
      <c r="K146" t="s">
        <v>29</v>
      </c>
      <c r="L146" t="s">
        <v>30</v>
      </c>
      <c r="M146">
        <v>219</v>
      </c>
      <c r="N146" t="s">
        <v>32</v>
      </c>
      <c r="O146" t="s">
        <v>32</v>
      </c>
      <c r="Q146" t="s">
        <v>32</v>
      </c>
      <c r="S146" t="s">
        <v>32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AA146" t="s">
        <v>88</v>
      </c>
      <c r="AB146" t="s">
        <v>32</v>
      </c>
      <c r="AE146" t="s">
        <v>32</v>
      </c>
      <c r="AH146" t="s">
        <v>32</v>
      </c>
      <c r="AK146" t="s">
        <v>32</v>
      </c>
      <c r="AN146" t="s">
        <v>32</v>
      </c>
      <c r="AO146" t="s">
        <v>32</v>
      </c>
      <c r="AR146">
        <v>0</v>
      </c>
      <c r="AU146" t="s">
        <v>32</v>
      </c>
      <c r="AV146">
        <v>1750905</v>
      </c>
      <c r="AW146" t="s">
        <v>32</v>
      </c>
      <c r="AX146" t="s">
        <v>32</v>
      </c>
      <c r="AY146" t="s">
        <v>185</v>
      </c>
      <c r="AZ146">
        <v>30</v>
      </c>
      <c r="BA146">
        <v>2368167</v>
      </c>
      <c r="BB146">
        <v>0.16</v>
      </c>
      <c r="BC146">
        <v>379000</v>
      </c>
      <c r="BD146" t="s">
        <v>142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379000</v>
      </c>
      <c r="BK146" t="s">
        <v>25</v>
      </c>
      <c r="BL146" t="s">
        <v>1010</v>
      </c>
      <c r="BM146">
        <v>30</v>
      </c>
      <c r="BN146">
        <v>2368167</v>
      </c>
      <c r="BO146">
        <v>0.04</v>
      </c>
      <c r="BP146">
        <v>94800</v>
      </c>
      <c r="BQ146">
        <v>0</v>
      </c>
      <c r="BR146" t="s">
        <v>1438</v>
      </c>
      <c r="BS146">
        <v>0</v>
      </c>
      <c r="BT146" t="s">
        <v>1438</v>
      </c>
      <c r="BU146">
        <v>0</v>
      </c>
      <c r="BV146" t="s">
        <v>25</v>
      </c>
      <c r="BW146" t="s">
        <v>189</v>
      </c>
      <c r="BX146">
        <v>30</v>
      </c>
      <c r="BY146">
        <v>2368167</v>
      </c>
      <c r="BZ146">
        <v>6.9599999999999995E-2</v>
      </c>
      <c r="CA146" t="s">
        <v>1439</v>
      </c>
      <c r="CB146" t="s">
        <v>227</v>
      </c>
      <c r="CC146" t="s">
        <v>1440</v>
      </c>
      <c r="CD146">
        <v>164900</v>
      </c>
      <c r="CE146">
        <v>30</v>
      </c>
      <c r="CF146" t="s">
        <v>635</v>
      </c>
      <c r="CG146">
        <v>2368167</v>
      </c>
      <c r="CH146">
        <v>0.04</v>
      </c>
      <c r="CI146">
        <v>94800</v>
      </c>
      <c r="CJ146">
        <v>2368167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 t="s">
        <v>88</v>
      </c>
      <c r="CT146" t="s">
        <v>1441</v>
      </c>
      <c r="CU146" t="s">
        <v>1442</v>
      </c>
    </row>
    <row r="147" spans="1:99">
      <c r="A147" t="s">
        <v>1431</v>
      </c>
      <c r="B147" t="s">
        <v>34</v>
      </c>
      <c r="C147" t="s">
        <v>1874</v>
      </c>
      <c r="D147" t="s">
        <v>1875</v>
      </c>
      <c r="E147" t="s">
        <v>1648</v>
      </c>
      <c r="F147" t="s">
        <v>1535</v>
      </c>
      <c r="G147" t="s">
        <v>1730</v>
      </c>
      <c r="H147" t="s">
        <v>1876</v>
      </c>
      <c r="I147" t="s">
        <v>240</v>
      </c>
      <c r="J147" t="s">
        <v>46</v>
      </c>
      <c r="K147" t="s">
        <v>29</v>
      </c>
      <c r="L147" t="s">
        <v>30</v>
      </c>
      <c r="M147">
        <v>0</v>
      </c>
      <c r="N147" t="s">
        <v>32</v>
      </c>
      <c r="O147" t="s">
        <v>32</v>
      </c>
      <c r="Q147" t="s">
        <v>32</v>
      </c>
      <c r="S147" t="s">
        <v>32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AA147" t="s">
        <v>32</v>
      </c>
      <c r="AB147" t="s">
        <v>32</v>
      </c>
      <c r="AE147" t="s">
        <v>32</v>
      </c>
      <c r="AH147" t="s">
        <v>32</v>
      </c>
      <c r="AK147" t="s">
        <v>128</v>
      </c>
      <c r="AL147">
        <v>46058</v>
      </c>
      <c r="AM147">
        <v>46064</v>
      </c>
      <c r="AN147" t="s">
        <v>32</v>
      </c>
      <c r="AO147" t="s">
        <v>32</v>
      </c>
      <c r="AR147">
        <v>0</v>
      </c>
      <c r="AU147" t="s">
        <v>32</v>
      </c>
      <c r="AV147">
        <v>4613967</v>
      </c>
      <c r="AW147" t="s">
        <v>32</v>
      </c>
      <c r="AX147" t="s">
        <v>32</v>
      </c>
      <c r="AY147" t="s">
        <v>185</v>
      </c>
      <c r="AZ147">
        <v>7</v>
      </c>
      <c r="BA147">
        <v>1076593</v>
      </c>
      <c r="BB147">
        <v>0.16</v>
      </c>
      <c r="BC147">
        <v>172300</v>
      </c>
      <c r="BD147" t="s">
        <v>142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172300</v>
      </c>
      <c r="BK147" t="s">
        <v>25</v>
      </c>
      <c r="BL147" t="s">
        <v>885</v>
      </c>
      <c r="BM147">
        <v>7</v>
      </c>
      <c r="BN147">
        <v>1076593</v>
      </c>
      <c r="BO147">
        <v>0.04</v>
      </c>
      <c r="BP147">
        <v>43100</v>
      </c>
      <c r="BQ147">
        <v>0</v>
      </c>
      <c r="BR147" t="s">
        <v>1438</v>
      </c>
      <c r="BS147">
        <v>0</v>
      </c>
      <c r="BT147" t="s">
        <v>1438</v>
      </c>
      <c r="BU147">
        <v>0</v>
      </c>
      <c r="BV147" t="s">
        <v>25</v>
      </c>
      <c r="BW147" t="s">
        <v>189</v>
      </c>
      <c r="BX147">
        <v>7</v>
      </c>
      <c r="BY147">
        <v>1076593</v>
      </c>
      <c r="BZ147">
        <v>0</v>
      </c>
      <c r="CA147" t="s">
        <v>1439</v>
      </c>
      <c r="CB147" t="s">
        <v>227</v>
      </c>
      <c r="CC147" t="s">
        <v>1440</v>
      </c>
      <c r="CD147">
        <v>0</v>
      </c>
      <c r="CE147">
        <v>7</v>
      </c>
      <c r="CF147" t="s">
        <v>635</v>
      </c>
      <c r="CG147">
        <v>1076593</v>
      </c>
      <c r="CH147">
        <v>0.04</v>
      </c>
      <c r="CI147">
        <v>43100</v>
      </c>
      <c r="CJ147">
        <v>1076593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 t="s">
        <v>88</v>
      </c>
      <c r="CT147" t="s">
        <v>1441</v>
      </c>
      <c r="CU147" t="s">
        <v>1442</v>
      </c>
    </row>
    <row r="148" spans="1:99">
      <c r="A148" t="s">
        <v>1431</v>
      </c>
      <c r="B148" t="s">
        <v>34</v>
      </c>
      <c r="C148" t="s">
        <v>1874</v>
      </c>
      <c r="D148" t="s">
        <v>1875</v>
      </c>
      <c r="E148" t="s">
        <v>1648</v>
      </c>
      <c r="F148" t="s">
        <v>1535</v>
      </c>
      <c r="G148" t="s">
        <v>1730</v>
      </c>
      <c r="H148" t="s">
        <v>1876</v>
      </c>
      <c r="I148" t="s">
        <v>240</v>
      </c>
      <c r="J148" t="s">
        <v>46</v>
      </c>
      <c r="K148" t="s">
        <v>29</v>
      </c>
      <c r="L148" t="s">
        <v>30</v>
      </c>
      <c r="M148">
        <v>135</v>
      </c>
      <c r="N148" t="s">
        <v>32</v>
      </c>
      <c r="O148" t="s">
        <v>32</v>
      </c>
      <c r="Q148" t="s">
        <v>32</v>
      </c>
      <c r="S148" t="s">
        <v>32</v>
      </c>
      <c r="U148" t="s">
        <v>32</v>
      </c>
      <c r="V148" t="s">
        <v>32</v>
      </c>
      <c r="W148" t="s">
        <v>32</v>
      </c>
      <c r="X148" t="s">
        <v>32</v>
      </c>
      <c r="Y148" t="s">
        <v>88</v>
      </c>
      <c r="Z148">
        <v>46054</v>
      </c>
      <c r="AA148" t="s">
        <v>32</v>
      </c>
      <c r="AB148" t="s">
        <v>32</v>
      </c>
      <c r="AE148" t="s">
        <v>32</v>
      </c>
      <c r="AH148" t="s">
        <v>32</v>
      </c>
      <c r="AK148" t="s">
        <v>32</v>
      </c>
      <c r="AN148" t="s">
        <v>32</v>
      </c>
      <c r="AO148" t="s">
        <v>32</v>
      </c>
      <c r="AR148">
        <v>0</v>
      </c>
      <c r="AU148" t="s">
        <v>32</v>
      </c>
      <c r="AV148">
        <v>4613967</v>
      </c>
      <c r="AW148" t="s">
        <v>32</v>
      </c>
      <c r="AX148" t="s">
        <v>32</v>
      </c>
      <c r="AY148" t="s">
        <v>185</v>
      </c>
      <c r="AZ148">
        <v>23</v>
      </c>
      <c r="BA148">
        <v>3537375</v>
      </c>
      <c r="BB148">
        <v>0.16</v>
      </c>
      <c r="BC148">
        <v>566000</v>
      </c>
      <c r="BD148" t="s">
        <v>142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566000</v>
      </c>
      <c r="BK148" t="s">
        <v>25</v>
      </c>
      <c r="BL148" t="s">
        <v>885</v>
      </c>
      <c r="BM148">
        <v>23</v>
      </c>
      <c r="BN148">
        <v>3537375</v>
      </c>
      <c r="BO148">
        <v>0.04</v>
      </c>
      <c r="BP148">
        <v>141500</v>
      </c>
      <c r="BQ148">
        <v>0</v>
      </c>
      <c r="BR148" t="s">
        <v>1438</v>
      </c>
      <c r="BS148">
        <v>0</v>
      </c>
      <c r="BT148" t="s">
        <v>1438</v>
      </c>
      <c r="BU148">
        <v>0</v>
      </c>
      <c r="BV148" t="s">
        <v>25</v>
      </c>
      <c r="BW148" t="s">
        <v>189</v>
      </c>
      <c r="BX148">
        <v>23</v>
      </c>
      <c r="BY148">
        <v>3537375</v>
      </c>
      <c r="BZ148">
        <v>6.9599999999999995E-2</v>
      </c>
      <c r="CA148" t="s">
        <v>1439</v>
      </c>
      <c r="CB148" t="s">
        <v>227</v>
      </c>
      <c r="CC148" t="s">
        <v>1440</v>
      </c>
      <c r="CD148">
        <v>246300</v>
      </c>
      <c r="CE148">
        <v>23</v>
      </c>
      <c r="CF148" t="s">
        <v>635</v>
      </c>
      <c r="CG148">
        <v>3537375</v>
      </c>
      <c r="CH148">
        <v>0.04</v>
      </c>
      <c r="CI148">
        <v>141500</v>
      </c>
      <c r="CJ148">
        <v>3537375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 t="s">
        <v>88</v>
      </c>
      <c r="CT148" t="s">
        <v>1441</v>
      </c>
      <c r="CU148" t="s">
        <v>1442</v>
      </c>
    </row>
    <row r="149" spans="1:99">
      <c r="A149" t="s">
        <v>1431</v>
      </c>
      <c r="B149" t="s">
        <v>34</v>
      </c>
      <c r="C149" t="s">
        <v>1877</v>
      </c>
      <c r="D149" t="s">
        <v>1878</v>
      </c>
      <c r="E149" t="s">
        <v>1879</v>
      </c>
      <c r="F149" t="s">
        <v>1598</v>
      </c>
      <c r="G149" t="s">
        <v>1725</v>
      </c>
      <c r="H149" t="s">
        <v>1489</v>
      </c>
      <c r="I149" t="s">
        <v>240</v>
      </c>
      <c r="J149" t="s">
        <v>46</v>
      </c>
      <c r="K149" t="s">
        <v>29</v>
      </c>
      <c r="L149" t="s">
        <v>30</v>
      </c>
      <c r="M149">
        <v>0</v>
      </c>
      <c r="N149" t="s">
        <v>32</v>
      </c>
      <c r="O149" t="s">
        <v>32</v>
      </c>
      <c r="Q149" t="s">
        <v>32</v>
      </c>
      <c r="S149" t="s">
        <v>32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AA149" t="s">
        <v>32</v>
      </c>
      <c r="AB149" t="s">
        <v>37</v>
      </c>
      <c r="AC149">
        <v>46056</v>
      </c>
      <c r="AD149">
        <v>46057</v>
      </c>
      <c r="AE149" t="s">
        <v>32</v>
      </c>
      <c r="AH149" t="s">
        <v>32</v>
      </c>
      <c r="AK149" t="s">
        <v>32</v>
      </c>
      <c r="AN149" t="s">
        <v>32</v>
      </c>
      <c r="AO149" t="s">
        <v>32</v>
      </c>
      <c r="AR149">
        <v>0</v>
      </c>
      <c r="AU149" t="s">
        <v>32</v>
      </c>
      <c r="AV149">
        <v>1750905</v>
      </c>
      <c r="AW149" t="s">
        <v>32</v>
      </c>
      <c r="AX149" t="s">
        <v>32</v>
      </c>
      <c r="AY149" t="s">
        <v>317</v>
      </c>
      <c r="AZ149">
        <v>2</v>
      </c>
      <c r="BA149">
        <v>116727</v>
      </c>
      <c r="BB149">
        <v>0.16</v>
      </c>
      <c r="BC149">
        <v>18700</v>
      </c>
      <c r="BD149" t="s">
        <v>142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18700</v>
      </c>
      <c r="BK149" t="s">
        <v>25</v>
      </c>
      <c r="BL149" t="s">
        <v>1000</v>
      </c>
      <c r="BM149">
        <v>2</v>
      </c>
      <c r="BN149">
        <v>116727</v>
      </c>
      <c r="BO149">
        <v>0</v>
      </c>
      <c r="BP149">
        <v>0</v>
      </c>
      <c r="BQ149">
        <v>0</v>
      </c>
      <c r="BR149" t="s">
        <v>1438</v>
      </c>
      <c r="BS149">
        <v>0</v>
      </c>
      <c r="BT149" t="s">
        <v>1438</v>
      </c>
      <c r="BU149">
        <v>0</v>
      </c>
      <c r="BV149" t="s">
        <v>25</v>
      </c>
      <c r="BW149" t="s">
        <v>189</v>
      </c>
      <c r="BX149">
        <v>2</v>
      </c>
      <c r="BY149">
        <v>116727</v>
      </c>
      <c r="BZ149">
        <v>0</v>
      </c>
      <c r="CA149" t="s">
        <v>1439</v>
      </c>
      <c r="CB149" t="s">
        <v>227</v>
      </c>
      <c r="CC149" t="s">
        <v>1440</v>
      </c>
      <c r="CD149">
        <v>0</v>
      </c>
      <c r="CE149">
        <v>2</v>
      </c>
      <c r="CF149" t="s">
        <v>635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 t="s">
        <v>88</v>
      </c>
      <c r="CT149" t="s">
        <v>1441</v>
      </c>
      <c r="CU149" t="s">
        <v>1442</v>
      </c>
    </row>
    <row r="150" spans="1:99">
      <c r="A150" t="s">
        <v>1431</v>
      </c>
      <c r="B150" t="s">
        <v>34</v>
      </c>
      <c r="C150" t="s">
        <v>1877</v>
      </c>
      <c r="D150" t="s">
        <v>1878</v>
      </c>
      <c r="E150" t="s">
        <v>1879</v>
      </c>
      <c r="F150" t="s">
        <v>1598</v>
      </c>
      <c r="G150" t="s">
        <v>1725</v>
      </c>
      <c r="H150" t="s">
        <v>1489</v>
      </c>
      <c r="I150" t="s">
        <v>240</v>
      </c>
      <c r="J150" t="s">
        <v>46</v>
      </c>
      <c r="K150" t="s">
        <v>29</v>
      </c>
      <c r="L150" t="s">
        <v>30</v>
      </c>
      <c r="M150">
        <v>0</v>
      </c>
      <c r="N150" t="s">
        <v>32</v>
      </c>
      <c r="O150" t="s">
        <v>32</v>
      </c>
      <c r="Q150" t="s">
        <v>32</v>
      </c>
      <c r="S150" t="s">
        <v>32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AA150" t="s">
        <v>32</v>
      </c>
      <c r="AB150" t="s">
        <v>37</v>
      </c>
      <c r="AC150">
        <v>46062</v>
      </c>
      <c r="AD150">
        <v>46063</v>
      </c>
      <c r="AE150" t="s">
        <v>32</v>
      </c>
      <c r="AH150" t="s">
        <v>32</v>
      </c>
      <c r="AK150" t="s">
        <v>32</v>
      </c>
      <c r="AN150" t="s">
        <v>32</v>
      </c>
      <c r="AO150" t="s">
        <v>32</v>
      </c>
      <c r="AR150">
        <v>0</v>
      </c>
      <c r="AU150" t="s">
        <v>32</v>
      </c>
      <c r="AV150">
        <v>1750905</v>
      </c>
      <c r="AW150" t="s">
        <v>32</v>
      </c>
      <c r="AX150" t="s">
        <v>32</v>
      </c>
      <c r="AY150" t="s">
        <v>317</v>
      </c>
      <c r="AZ150">
        <v>2</v>
      </c>
      <c r="BA150">
        <v>116727</v>
      </c>
      <c r="BB150">
        <v>0.16</v>
      </c>
      <c r="BC150">
        <v>18700</v>
      </c>
      <c r="BD150" t="s">
        <v>142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18700</v>
      </c>
      <c r="BK150" t="s">
        <v>25</v>
      </c>
      <c r="BL150" t="s">
        <v>1000</v>
      </c>
      <c r="BM150">
        <v>2</v>
      </c>
      <c r="BN150">
        <v>116727</v>
      </c>
      <c r="BO150">
        <v>0</v>
      </c>
      <c r="BP150">
        <v>0</v>
      </c>
      <c r="BQ150">
        <v>0</v>
      </c>
      <c r="BR150" t="s">
        <v>1438</v>
      </c>
      <c r="BS150">
        <v>0</v>
      </c>
      <c r="BT150" t="s">
        <v>1438</v>
      </c>
      <c r="BU150">
        <v>0</v>
      </c>
      <c r="BV150" t="s">
        <v>25</v>
      </c>
      <c r="BW150" t="s">
        <v>189</v>
      </c>
      <c r="BX150">
        <v>2</v>
      </c>
      <c r="BY150">
        <v>116727</v>
      </c>
      <c r="BZ150">
        <v>0</v>
      </c>
      <c r="CA150" t="s">
        <v>1439</v>
      </c>
      <c r="CB150" t="s">
        <v>227</v>
      </c>
      <c r="CC150" t="s">
        <v>1440</v>
      </c>
      <c r="CD150">
        <v>0</v>
      </c>
      <c r="CE150">
        <v>2</v>
      </c>
      <c r="CF150" t="s">
        <v>635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 t="s">
        <v>88</v>
      </c>
      <c r="CT150" t="s">
        <v>1441</v>
      </c>
      <c r="CU150" t="s">
        <v>1442</v>
      </c>
    </row>
    <row r="151" spans="1:99">
      <c r="A151" t="s">
        <v>1431</v>
      </c>
      <c r="B151" t="s">
        <v>34</v>
      </c>
      <c r="C151" t="s">
        <v>1877</v>
      </c>
      <c r="D151" t="s">
        <v>1878</v>
      </c>
      <c r="E151" t="s">
        <v>1879</v>
      </c>
      <c r="F151" t="s">
        <v>1598</v>
      </c>
      <c r="G151" t="s">
        <v>1725</v>
      </c>
      <c r="H151" t="s">
        <v>1489</v>
      </c>
      <c r="I151" t="s">
        <v>240</v>
      </c>
      <c r="J151" t="s">
        <v>46</v>
      </c>
      <c r="K151" t="s">
        <v>29</v>
      </c>
      <c r="L151" t="s">
        <v>30</v>
      </c>
      <c r="M151">
        <v>180</v>
      </c>
      <c r="N151" t="s">
        <v>32</v>
      </c>
      <c r="O151" t="s">
        <v>32</v>
      </c>
      <c r="Q151" t="s">
        <v>32</v>
      </c>
      <c r="S151" t="s">
        <v>32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AA151" t="s">
        <v>88</v>
      </c>
      <c r="AB151" t="s">
        <v>32</v>
      </c>
      <c r="AE151" t="s">
        <v>32</v>
      </c>
      <c r="AH151" t="s">
        <v>32</v>
      </c>
      <c r="AK151" t="s">
        <v>32</v>
      </c>
      <c r="AN151" t="s">
        <v>32</v>
      </c>
      <c r="AO151" t="s">
        <v>32</v>
      </c>
      <c r="AR151">
        <v>0</v>
      </c>
      <c r="AU151" t="s">
        <v>32</v>
      </c>
      <c r="AV151">
        <v>1750905</v>
      </c>
      <c r="AW151" t="s">
        <v>32</v>
      </c>
      <c r="AX151" t="s">
        <v>32</v>
      </c>
      <c r="AY151" t="s">
        <v>317</v>
      </c>
      <c r="AZ151">
        <v>26</v>
      </c>
      <c r="BA151">
        <v>1885806</v>
      </c>
      <c r="BB151">
        <v>0.16</v>
      </c>
      <c r="BC151">
        <v>301800</v>
      </c>
      <c r="BD151" t="s">
        <v>142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301800</v>
      </c>
      <c r="BK151" t="s">
        <v>25</v>
      </c>
      <c r="BL151" t="s">
        <v>1000</v>
      </c>
      <c r="BM151">
        <v>26</v>
      </c>
      <c r="BN151">
        <v>1885806</v>
      </c>
      <c r="BO151">
        <v>0.04</v>
      </c>
      <c r="BP151">
        <v>75500</v>
      </c>
      <c r="BQ151">
        <v>0</v>
      </c>
      <c r="BR151" t="s">
        <v>1438</v>
      </c>
      <c r="BS151">
        <v>0</v>
      </c>
      <c r="BT151" t="s">
        <v>1438</v>
      </c>
      <c r="BU151">
        <v>0</v>
      </c>
      <c r="BV151" t="s">
        <v>25</v>
      </c>
      <c r="BW151" t="s">
        <v>189</v>
      </c>
      <c r="BX151">
        <v>26</v>
      </c>
      <c r="BY151">
        <v>1885806</v>
      </c>
      <c r="BZ151">
        <v>6.9599999999999995E-2</v>
      </c>
      <c r="CA151" t="s">
        <v>1439</v>
      </c>
      <c r="CB151" t="s">
        <v>227</v>
      </c>
      <c r="CC151" t="s">
        <v>1440</v>
      </c>
      <c r="CD151">
        <v>131300</v>
      </c>
      <c r="CE151">
        <v>26</v>
      </c>
      <c r="CF151" t="s">
        <v>635</v>
      </c>
      <c r="CG151">
        <v>1885806</v>
      </c>
      <c r="CH151">
        <v>0.04</v>
      </c>
      <c r="CI151">
        <v>75500</v>
      </c>
      <c r="CJ151">
        <v>1885806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 t="s">
        <v>88</v>
      </c>
      <c r="CT151" t="s">
        <v>1441</v>
      </c>
      <c r="CU151" t="s">
        <v>1442</v>
      </c>
    </row>
    <row r="152" spans="1:99">
      <c r="A152" t="s">
        <v>1431</v>
      </c>
      <c r="B152" t="s">
        <v>34</v>
      </c>
      <c r="C152" t="s">
        <v>1880</v>
      </c>
      <c r="D152" t="s">
        <v>1881</v>
      </c>
      <c r="E152" t="s">
        <v>1882</v>
      </c>
      <c r="F152" t="s">
        <v>778</v>
      </c>
      <c r="G152" t="s">
        <v>1513</v>
      </c>
      <c r="H152" t="s">
        <v>1883</v>
      </c>
      <c r="I152" t="s">
        <v>240</v>
      </c>
      <c r="J152" t="s">
        <v>46</v>
      </c>
      <c r="K152" t="s">
        <v>29</v>
      </c>
      <c r="L152" t="s">
        <v>30</v>
      </c>
      <c r="M152">
        <v>200</v>
      </c>
      <c r="N152" t="s">
        <v>32</v>
      </c>
      <c r="O152" t="s">
        <v>32</v>
      </c>
      <c r="Q152" t="s">
        <v>32</v>
      </c>
      <c r="S152" t="s">
        <v>32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AA152" t="s">
        <v>88</v>
      </c>
      <c r="AB152" t="s">
        <v>32</v>
      </c>
      <c r="AE152" t="s">
        <v>32</v>
      </c>
      <c r="AH152" t="s">
        <v>32</v>
      </c>
      <c r="AK152" t="s">
        <v>32</v>
      </c>
      <c r="AN152" t="s">
        <v>32</v>
      </c>
      <c r="AO152" t="s">
        <v>32</v>
      </c>
      <c r="AR152">
        <v>0</v>
      </c>
      <c r="AU152" t="s">
        <v>32</v>
      </c>
      <c r="AV152">
        <v>1750905</v>
      </c>
      <c r="AW152" t="s">
        <v>32</v>
      </c>
      <c r="AX152" t="s">
        <v>32</v>
      </c>
      <c r="AY152" t="s">
        <v>317</v>
      </c>
      <c r="AZ152">
        <v>30</v>
      </c>
      <c r="BA152">
        <v>2028398</v>
      </c>
      <c r="BB152">
        <v>0.16</v>
      </c>
      <c r="BC152">
        <v>324600</v>
      </c>
      <c r="BD152" t="s">
        <v>142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324600</v>
      </c>
      <c r="BK152" t="s">
        <v>25</v>
      </c>
      <c r="BL152" t="s">
        <v>1010</v>
      </c>
      <c r="BM152">
        <v>30</v>
      </c>
      <c r="BN152">
        <v>2028398</v>
      </c>
      <c r="BO152">
        <v>0.04</v>
      </c>
      <c r="BP152">
        <v>81200</v>
      </c>
      <c r="BQ152">
        <v>0</v>
      </c>
      <c r="BR152" t="s">
        <v>1438</v>
      </c>
      <c r="BS152">
        <v>0</v>
      </c>
      <c r="BT152" t="s">
        <v>1438</v>
      </c>
      <c r="BU152">
        <v>0</v>
      </c>
      <c r="BV152" t="s">
        <v>25</v>
      </c>
      <c r="BW152" t="s">
        <v>189</v>
      </c>
      <c r="BX152">
        <v>30</v>
      </c>
      <c r="BY152">
        <v>2028398</v>
      </c>
      <c r="BZ152">
        <v>6.9599999999999995E-2</v>
      </c>
      <c r="CA152" t="s">
        <v>1439</v>
      </c>
      <c r="CB152" t="s">
        <v>227</v>
      </c>
      <c r="CC152" t="s">
        <v>1440</v>
      </c>
      <c r="CD152">
        <v>141200</v>
      </c>
      <c r="CE152">
        <v>30</v>
      </c>
      <c r="CF152" t="s">
        <v>635</v>
      </c>
      <c r="CG152">
        <v>2028398</v>
      </c>
      <c r="CH152">
        <v>0.04</v>
      </c>
      <c r="CI152">
        <v>81200</v>
      </c>
      <c r="CJ152">
        <v>2028398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 t="s">
        <v>88</v>
      </c>
      <c r="CT152" t="s">
        <v>1441</v>
      </c>
      <c r="CU152" t="s">
        <v>1442</v>
      </c>
    </row>
    <row r="153" spans="1:99">
      <c r="A153" t="s">
        <v>1431</v>
      </c>
      <c r="B153" t="s">
        <v>34</v>
      </c>
      <c r="C153" t="s">
        <v>1884</v>
      </c>
      <c r="D153" t="s">
        <v>1885</v>
      </c>
      <c r="E153" t="s">
        <v>1886</v>
      </c>
      <c r="F153" t="s">
        <v>1551</v>
      </c>
      <c r="G153" t="s">
        <v>1887</v>
      </c>
      <c r="H153" t="s">
        <v>1888</v>
      </c>
      <c r="I153" t="s">
        <v>240</v>
      </c>
      <c r="J153" t="s">
        <v>46</v>
      </c>
      <c r="K153" t="s">
        <v>29</v>
      </c>
      <c r="L153" t="s">
        <v>30</v>
      </c>
      <c r="M153">
        <v>0</v>
      </c>
      <c r="N153" t="s">
        <v>32</v>
      </c>
      <c r="O153" t="s">
        <v>32</v>
      </c>
      <c r="Q153" t="s">
        <v>32</v>
      </c>
      <c r="S153" t="s">
        <v>32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AA153" t="s">
        <v>32</v>
      </c>
      <c r="AB153" t="s">
        <v>32</v>
      </c>
      <c r="AE153" t="s">
        <v>32</v>
      </c>
      <c r="AH153" t="s">
        <v>32</v>
      </c>
      <c r="AK153" t="s">
        <v>128</v>
      </c>
      <c r="AL153">
        <v>46061</v>
      </c>
      <c r="AM153">
        <v>46067</v>
      </c>
      <c r="AN153" t="s">
        <v>32</v>
      </c>
      <c r="AO153" t="s">
        <v>32</v>
      </c>
      <c r="AR153">
        <v>0</v>
      </c>
      <c r="AU153" t="s">
        <v>32</v>
      </c>
      <c r="AV153">
        <v>4024292</v>
      </c>
      <c r="AW153" t="s">
        <v>32</v>
      </c>
      <c r="AX153" t="s">
        <v>32</v>
      </c>
      <c r="AY153" t="s">
        <v>317</v>
      </c>
      <c r="AZ153">
        <v>7</v>
      </c>
      <c r="BA153">
        <v>939002</v>
      </c>
      <c r="BB153">
        <v>0.16</v>
      </c>
      <c r="BC153">
        <v>150300</v>
      </c>
      <c r="BD153" t="s">
        <v>142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150300</v>
      </c>
      <c r="BK153" t="s">
        <v>25</v>
      </c>
      <c r="BL153" t="s">
        <v>1071</v>
      </c>
      <c r="BM153">
        <v>7</v>
      </c>
      <c r="BN153">
        <v>939002</v>
      </c>
      <c r="BO153">
        <v>0.04</v>
      </c>
      <c r="BP153">
        <v>37600</v>
      </c>
      <c r="BQ153">
        <v>0</v>
      </c>
      <c r="BR153" t="s">
        <v>1438</v>
      </c>
      <c r="BS153">
        <v>0</v>
      </c>
      <c r="BT153" t="s">
        <v>1438</v>
      </c>
      <c r="BU153">
        <v>0</v>
      </c>
      <c r="BV153" t="s">
        <v>25</v>
      </c>
      <c r="BW153" t="s">
        <v>189</v>
      </c>
      <c r="BX153">
        <v>7</v>
      </c>
      <c r="BY153">
        <v>939002</v>
      </c>
      <c r="BZ153">
        <v>0</v>
      </c>
      <c r="CA153" t="s">
        <v>1439</v>
      </c>
      <c r="CB153" t="s">
        <v>227</v>
      </c>
      <c r="CC153" t="s">
        <v>1440</v>
      </c>
      <c r="CD153">
        <v>0</v>
      </c>
      <c r="CE153">
        <v>7</v>
      </c>
      <c r="CF153" t="s">
        <v>635</v>
      </c>
      <c r="CG153">
        <v>939002</v>
      </c>
      <c r="CH153">
        <v>0.04</v>
      </c>
      <c r="CI153">
        <v>37600</v>
      </c>
      <c r="CJ153">
        <v>939002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 t="s">
        <v>88</v>
      </c>
      <c r="CT153" t="s">
        <v>1441</v>
      </c>
      <c r="CU153" t="s">
        <v>1442</v>
      </c>
    </row>
    <row r="154" spans="1:99">
      <c r="A154" t="s">
        <v>1431</v>
      </c>
      <c r="B154" t="s">
        <v>34</v>
      </c>
      <c r="C154" t="s">
        <v>1884</v>
      </c>
      <c r="D154" t="s">
        <v>1885</v>
      </c>
      <c r="E154" t="s">
        <v>1886</v>
      </c>
      <c r="F154" t="s">
        <v>1551</v>
      </c>
      <c r="G154" t="s">
        <v>1887</v>
      </c>
      <c r="H154" t="s">
        <v>1888</v>
      </c>
      <c r="I154" t="s">
        <v>240</v>
      </c>
      <c r="J154" t="s">
        <v>46</v>
      </c>
      <c r="K154" t="s">
        <v>29</v>
      </c>
      <c r="L154" t="s">
        <v>30</v>
      </c>
      <c r="M154">
        <v>135</v>
      </c>
      <c r="N154" t="s">
        <v>32</v>
      </c>
      <c r="O154" t="s">
        <v>32</v>
      </c>
      <c r="Q154" t="s">
        <v>32</v>
      </c>
      <c r="S154" t="s">
        <v>32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AA154" t="s">
        <v>32</v>
      </c>
      <c r="AB154" t="s">
        <v>32</v>
      </c>
      <c r="AE154" t="s">
        <v>32</v>
      </c>
      <c r="AH154" t="s">
        <v>32</v>
      </c>
      <c r="AK154" t="s">
        <v>32</v>
      </c>
      <c r="AN154" t="s">
        <v>32</v>
      </c>
      <c r="AO154" t="s">
        <v>32</v>
      </c>
      <c r="AR154">
        <v>0</v>
      </c>
      <c r="AU154" t="s">
        <v>32</v>
      </c>
      <c r="AV154">
        <v>4024292</v>
      </c>
      <c r="AW154" t="s">
        <v>32</v>
      </c>
      <c r="AX154" t="s">
        <v>32</v>
      </c>
      <c r="AY154" t="s">
        <v>317</v>
      </c>
      <c r="AZ154">
        <v>23</v>
      </c>
      <c r="BA154">
        <v>3854080</v>
      </c>
      <c r="BB154">
        <v>0.16</v>
      </c>
      <c r="BC154">
        <v>616700</v>
      </c>
      <c r="BD154" t="s">
        <v>142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616700</v>
      </c>
      <c r="BK154" t="s">
        <v>25</v>
      </c>
      <c r="BL154" t="s">
        <v>1071</v>
      </c>
      <c r="BM154">
        <v>23</v>
      </c>
      <c r="BN154">
        <v>3854080</v>
      </c>
      <c r="BO154">
        <v>0.04</v>
      </c>
      <c r="BP154">
        <v>154200</v>
      </c>
      <c r="BQ154">
        <v>0</v>
      </c>
      <c r="BR154" t="s">
        <v>1438</v>
      </c>
      <c r="BS154">
        <v>0</v>
      </c>
      <c r="BT154" t="s">
        <v>1438</v>
      </c>
      <c r="BU154">
        <v>0</v>
      </c>
      <c r="BV154" t="s">
        <v>25</v>
      </c>
      <c r="BW154" t="s">
        <v>189</v>
      </c>
      <c r="BX154">
        <v>23</v>
      </c>
      <c r="BY154">
        <v>3854080</v>
      </c>
      <c r="BZ154">
        <v>6.9599999999999995E-2</v>
      </c>
      <c r="CA154" t="s">
        <v>1439</v>
      </c>
      <c r="CB154" t="s">
        <v>227</v>
      </c>
      <c r="CC154" t="s">
        <v>1440</v>
      </c>
      <c r="CD154">
        <v>268300</v>
      </c>
      <c r="CE154">
        <v>23</v>
      </c>
      <c r="CF154" t="s">
        <v>635</v>
      </c>
      <c r="CG154">
        <v>3085291</v>
      </c>
      <c r="CH154">
        <v>0.04</v>
      </c>
      <c r="CI154">
        <v>123500</v>
      </c>
      <c r="CJ154">
        <v>3085291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 t="s">
        <v>88</v>
      </c>
      <c r="CT154" t="s">
        <v>1441</v>
      </c>
      <c r="CU154" t="s">
        <v>1442</v>
      </c>
    </row>
    <row r="155" spans="1:99">
      <c r="A155" t="s">
        <v>1431</v>
      </c>
      <c r="B155" t="s">
        <v>34</v>
      </c>
      <c r="C155" t="s">
        <v>1889</v>
      </c>
      <c r="D155" t="s">
        <v>1890</v>
      </c>
      <c r="E155" t="s">
        <v>1891</v>
      </c>
      <c r="F155" t="s">
        <v>1892</v>
      </c>
      <c r="G155" t="s">
        <v>1484</v>
      </c>
      <c r="H155" t="s">
        <v>1893</v>
      </c>
      <c r="I155" t="s">
        <v>682</v>
      </c>
      <c r="J155" t="s">
        <v>484</v>
      </c>
      <c r="K155" t="s">
        <v>29</v>
      </c>
      <c r="L155" t="s">
        <v>30</v>
      </c>
      <c r="M155">
        <v>0</v>
      </c>
      <c r="N155" t="s">
        <v>32</v>
      </c>
      <c r="O155" t="s">
        <v>32</v>
      </c>
      <c r="Q155" t="s">
        <v>32</v>
      </c>
      <c r="S155" t="s">
        <v>32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AA155" t="s">
        <v>32</v>
      </c>
      <c r="AB155" t="s">
        <v>32</v>
      </c>
      <c r="AE155" t="s">
        <v>32</v>
      </c>
      <c r="AH155" t="s">
        <v>32</v>
      </c>
      <c r="AK155" t="s">
        <v>128</v>
      </c>
      <c r="AL155">
        <v>46054</v>
      </c>
      <c r="AM155">
        <v>46061</v>
      </c>
      <c r="AN155" t="s">
        <v>32</v>
      </c>
      <c r="AO155" t="s">
        <v>32</v>
      </c>
      <c r="AR155">
        <v>0</v>
      </c>
      <c r="AU155" t="s">
        <v>32</v>
      </c>
      <c r="AV155">
        <v>4152090</v>
      </c>
      <c r="AW155" t="s">
        <v>32</v>
      </c>
      <c r="AX155" t="s">
        <v>32</v>
      </c>
      <c r="AY155" t="s">
        <v>356</v>
      </c>
      <c r="AZ155">
        <v>8</v>
      </c>
      <c r="BA155">
        <v>1107224</v>
      </c>
      <c r="BB155">
        <v>0.16</v>
      </c>
      <c r="BC155">
        <v>177200</v>
      </c>
      <c r="BD155" t="s">
        <v>142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177200</v>
      </c>
      <c r="BK155" t="s">
        <v>25</v>
      </c>
      <c r="BL155" t="s">
        <v>1010</v>
      </c>
      <c r="BM155">
        <v>8</v>
      </c>
      <c r="BN155">
        <v>1107224</v>
      </c>
      <c r="BO155">
        <v>0.04</v>
      </c>
      <c r="BP155">
        <v>44300</v>
      </c>
      <c r="BQ155">
        <v>0</v>
      </c>
      <c r="BR155" t="s">
        <v>1438</v>
      </c>
      <c r="BS155">
        <v>0</v>
      </c>
      <c r="BT155" t="s">
        <v>1438</v>
      </c>
      <c r="BU155">
        <v>0</v>
      </c>
      <c r="BV155" t="s">
        <v>25</v>
      </c>
      <c r="BW155" t="s">
        <v>189</v>
      </c>
      <c r="BX155">
        <v>8</v>
      </c>
      <c r="BY155">
        <v>1107224</v>
      </c>
      <c r="BZ155">
        <v>0</v>
      </c>
      <c r="CA155" t="s">
        <v>1439</v>
      </c>
      <c r="CB155" t="s">
        <v>312</v>
      </c>
      <c r="CC155" t="s">
        <v>1440</v>
      </c>
      <c r="CD155">
        <v>0</v>
      </c>
      <c r="CE155">
        <v>8</v>
      </c>
      <c r="CF155" t="s">
        <v>466</v>
      </c>
      <c r="CG155">
        <v>1107224</v>
      </c>
      <c r="CH155">
        <v>0.04</v>
      </c>
      <c r="CI155">
        <v>44300</v>
      </c>
      <c r="CJ155">
        <v>1107224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 t="s">
        <v>88</v>
      </c>
      <c r="CT155" t="s">
        <v>1441</v>
      </c>
      <c r="CU155" t="s">
        <v>1442</v>
      </c>
    </row>
    <row r="156" spans="1:99">
      <c r="A156" t="s">
        <v>1431</v>
      </c>
      <c r="B156" t="s">
        <v>34</v>
      </c>
      <c r="C156" t="s">
        <v>1889</v>
      </c>
      <c r="D156" t="s">
        <v>1890</v>
      </c>
      <c r="E156" t="s">
        <v>1891</v>
      </c>
      <c r="F156" t="s">
        <v>1892</v>
      </c>
      <c r="G156" t="s">
        <v>1484</v>
      </c>
      <c r="H156" t="s">
        <v>1893</v>
      </c>
      <c r="I156" t="s">
        <v>682</v>
      </c>
      <c r="J156" t="s">
        <v>484</v>
      </c>
      <c r="K156" t="s">
        <v>29</v>
      </c>
      <c r="L156" t="s">
        <v>30</v>
      </c>
      <c r="M156">
        <v>135</v>
      </c>
      <c r="N156" t="s">
        <v>32</v>
      </c>
      <c r="O156" t="s">
        <v>32</v>
      </c>
      <c r="Q156" t="s">
        <v>32</v>
      </c>
      <c r="S156" t="s">
        <v>32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AA156" t="s">
        <v>32</v>
      </c>
      <c r="AB156" t="s">
        <v>32</v>
      </c>
      <c r="AE156" t="s">
        <v>32</v>
      </c>
      <c r="AH156" t="s">
        <v>32</v>
      </c>
      <c r="AK156" t="s">
        <v>32</v>
      </c>
      <c r="AN156" t="s">
        <v>32</v>
      </c>
      <c r="AO156" t="s">
        <v>32</v>
      </c>
      <c r="AR156">
        <v>0</v>
      </c>
      <c r="AU156" t="s">
        <v>32</v>
      </c>
      <c r="AV156">
        <v>4152090</v>
      </c>
      <c r="AW156" t="s">
        <v>32</v>
      </c>
      <c r="AX156" t="s">
        <v>32</v>
      </c>
      <c r="AY156" t="s">
        <v>356</v>
      </c>
      <c r="AZ156">
        <v>22</v>
      </c>
      <c r="BA156">
        <v>3044866</v>
      </c>
      <c r="BB156">
        <v>0.16</v>
      </c>
      <c r="BC156">
        <v>487200</v>
      </c>
      <c r="BD156" t="s">
        <v>142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487200</v>
      </c>
      <c r="BK156" t="s">
        <v>25</v>
      </c>
      <c r="BL156" t="s">
        <v>1010</v>
      </c>
      <c r="BM156">
        <v>22</v>
      </c>
      <c r="BN156">
        <v>3044866</v>
      </c>
      <c r="BO156">
        <v>0.04</v>
      </c>
      <c r="BP156">
        <v>121800</v>
      </c>
      <c r="BQ156">
        <v>0</v>
      </c>
      <c r="BR156" t="s">
        <v>1438</v>
      </c>
      <c r="BS156">
        <v>0</v>
      </c>
      <c r="BT156" t="s">
        <v>1438</v>
      </c>
      <c r="BU156">
        <v>0</v>
      </c>
      <c r="BV156" t="s">
        <v>25</v>
      </c>
      <c r="BW156" t="s">
        <v>189</v>
      </c>
      <c r="BX156">
        <v>22</v>
      </c>
      <c r="BY156">
        <v>3044866</v>
      </c>
      <c r="BZ156">
        <v>6.9599999999999995E-2</v>
      </c>
      <c r="CA156" t="s">
        <v>1439</v>
      </c>
      <c r="CB156" t="s">
        <v>312</v>
      </c>
      <c r="CC156" t="s">
        <v>1440</v>
      </c>
      <c r="CD156">
        <v>212000</v>
      </c>
      <c r="CE156">
        <v>22</v>
      </c>
      <c r="CF156" t="s">
        <v>466</v>
      </c>
      <c r="CG156">
        <v>3044866</v>
      </c>
      <c r="CH156">
        <v>0.04</v>
      </c>
      <c r="CI156">
        <v>121800</v>
      </c>
      <c r="CJ156">
        <v>3044866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 t="s">
        <v>88</v>
      </c>
      <c r="CT156" t="s">
        <v>1441</v>
      </c>
      <c r="CU156" t="s">
        <v>1442</v>
      </c>
    </row>
    <row r="157" spans="1:99">
      <c r="A157" t="s">
        <v>1431</v>
      </c>
      <c r="B157" t="s">
        <v>34</v>
      </c>
      <c r="C157" t="s">
        <v>1894</v>
      </c>
      <c r="D157" t="s">
        <v>1895</v>
      </c>
      <c r="E157" t="s">
        <v>1896</v>
      </c>
      <c r="F157" t="s">
        <v>914</v>
      </c>
      <c r="G157" t="s">
        <v>1897</v>
      </c>
      <c r="H157" t="s">
        <v>1558</v>
      </c>
      <c r="I157" t="s">
        <v>240</v>
      </c>
      <c r="J157" t="s">
        <v>46</v>
      </c>
      <c r="K157" t="s">
        <v>29</v>
      </c>
      <c r="L157" t="s">
        <v>30</v>
      </c>
      <c r="M157">
        <v>182</v>
      </c>
      <c r="N157" t="s">
        <v>32</v>
      </c>
      <c r="O157" t="s">
        <v>32</v>
      </c>
      <c r="Q157" t="s">
        <v>40</v>
      </c>
      <c r="R157">
        <v>46057</v>
      </c>
      <c r="S157" t="s">
        <v>32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AA157" t="s">
        <v>88</v>
      </c>
      <c r="AB157" t="s">
        <v>32</v>
      </c>
      <c r="AE157" t="s">
        <v>32</v>
      </c>
      <c r="AH157" t="s">
        <v>32</v>
      </c>
      <c r="AK157" t="s">
        <v>32</v>
      </c>
      <c r="AN157" t="s">
        <v>32</v>
      </c>
      <c r="AO157" t="s">
        <v>32</v>
      </c>
      <c r="AR157">
        <v>0</v>
      </c>
      <c r="AU157" t="s">
        <v>32</v>
      </c>
      <c r="AV157">
        <v>2223339</v>
      </c>
      <c r="AW157" t="s">
        <v>32</v>
      </c>
      <c r="AX157" t="s">
        <v>32</v>
      </c>
      <c r="AY157" t="s">
        <v>185</v>
      </c>
      <c r="AZ157">
        <v>27</v>
      </c>
      <c r="BA157">
        <v>2582443</v>
      </c>
      <c r="BB157">
        <v>0.16</v>
      </c>
      <c r="BC157">
        <v>413200</v>
      </c>
      <c r="BD157" t="s">
        <v>142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413200</v>
      </c>
      <c r="BK157" t="s">
        <v>25</v>
      </c>
      <c r="BL157" t="s">
        <v>885</v>
      </c>
      <c r="BM157">
        <v>27</v>
      </c>
      <c r="BN157">
        <v>2582443</v>
      </c>
      <c r="BO157">
        <v>0.04</v>
      </c>
      <c r="BP157">
        <v>103300</v>
      </c>
      <c r="BQ157">
        <v>0</v>
      </c>
      <c r="BR157" t="s">
        <v>1438</v>
      </c>
      <c r="BS157">
        <v>0</v>
      </c>
      <c r="BT157" t="s">
        <v>1438</v>
      </c>
      <c r="BU157">
        <v>0</v>
      </c>
      <c r="BV157" t="s">
        <v>25</v>
      </c>
      <c r="BW157" t="s">
        <v>189</v>
      </c>
      <c r="BX157">
        <v>27</v>
      </c>
      <c r="BY157">
        <v>2582443</v>
      </c>
      <c r="BZ157">
        <v>6.9599999999999995E-2</v>
      </c>
      <c r="CA157" t="s">
        <v>1439</v>
      </c>
      <c r="CB157" t="s">
        <v>227</v>
      </c>
      <c r="CC157" t="s">
        <v>1440</v>
      </c>
      <c r="CD157">
        <v>179800</v>
      </c>
      <c r="CE157">
        <v>27</v>
      </c>
      <c r="CF157" t="s">
        <v>635</v>
      </c>
      <c r="CG157">
        <v>2582443</v>
      </c>
      <c r="CH157">
        <v>0.04</v>
      </c>
      <c r="CI157">
        <v>103300</v>
      </c>
      <c r="CJ157">
        <v>2582443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 t="s">
        <v>88</v>
      </c>
      <c r="CT157" t="s">
        <v>1441</v>
      </c>
      <c r="CU157" t="s">
        <v>1442</v>
      </c>
    </row>
    <row r="158" spans="1:99">
      <c r="A158" t="s">
        <v>1431</v>
      </c>
      <c r="B158" t="s">
        <v>34</v>
      </c>
      <c r="C158" t="s">
        <v>1898</v>
      </c>
      <c r="D158" t="s">
        <v>1899</v>
      </c>
      <c r="E158" t="s">
        <v>1900</v>
      </c>
      <c r="F158" t="s">
        <v>1507</v>
      </c>
      <c r="G158" t="s">
        <v>1901</v>
      </c>
      <c r="H158" t="s">
        <v>1781</v>
      </c>
      <c r="I158" t="s">
        <v>240</v>
      </c>
      <c r="J158" t="s">
        <v>46</v>
      </c>
      <c r="K158" t="s">
        <v>29</v>
      </c>
      <c r="L158" t="s">
        <v>30</v>
      </c>
      <c r="M158">
        <v>0</v>
      </c>
      <c r="N158" t="s">
        <v>32</v>
      </c>
      <c r="O158" t="s">
        <v>32</v>
      </c>
      <c r="Q158" t="s">
        <v>32</v>
      </c>
      <c r="S158" t="s">
        <v>32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AA158" t="s">
        <v>32</v>
      </c>
      <c r="AB158" t="s">
        <v>32</v>
      </c>
      <c r="AE158" t="s">
        <v>32</v>
      </c>
      <c r="AH158" t="s">
        <v>32</v>
      </c>
      <c r="AK158" t="s">
        <v>128</v>
      </c>
      <c r="AL158">
        <v>46069</v>
      </c>
      <c r="AM158">
        <v>46075</v>
      </c>
      <c r="AN158" t="s">
        <v>32</v>
      </c>
      <c r="AO158" t="s">
        <v>32</v>
      </c>
      <c r="AR158">
        <v>0</v>
      </c>
      <c r="AU158" t="s">
        <v>32</v>
      </c>
      <c r="AV158">
        <v>3415855</v>
      </c>
      <c r="AW158" t="s">
        <v>32</v>
      </c>
      <c r="AX158" t="s">
        <v>32</v>
      </c>
      <c r="AY158" t="s">
        <v>137</v>
      </c>
      <c r="AZ158">
        <v>7</v>
      </c>
      <c r="BA158">
        <v>797033</v>
      </c>
      <c r="BB158">
        <v>0.16</v>
      </c>
      <c r="BC158">
        <v>127600</v>
      </c>
      <c r="BD158" t="s">
        <v>142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127600</v>
      </c>
      <c r="BK158" t="s">
        <v>25</v>
      </c>
      <c r="BL158" t="s">
        <v>1064</v>
      </c>
      <c r="BM158">
        <v>7</v>
      </c>
      <c r="BN158">
        <v>797033</v>
      </c>
      <c r="BO158">
        <v>0.04</v>
      </c>
      <c r="BP158">
        <v>31900</v>
      </c>
      <c r="BQ158">
        <v>0</v>
      </c>
      <c r="BR158" t="s">
        <v>1438</v>
      </c>
      <c r="BS158">
        <v>0</v>
      </c>
      <c r="BT158" t="s">
        <v>1438</v>
      </c>
      <c r="BU158">
        <v>0</v>
      </c>
      <c r="BV158" t="s">
        <v>25</v>
      </c>
      <c r="BW158" t="s">
        <v>189</v>
      </c>
      <c r="BX158">
        <v>7</v>
      </c>
      <c r="BY158">
        <v>797033</v>
      </c>
      <c r="BZ158">
        <v>0</v>
      </c>
      <c r="CA158" t="s">
        <v>1439</v>
      </c>
      <c r="CB158" t="s">
        <v>227</v>
      </c>
      <c r="CC158" t="s">
        <v>1440</v>
      </c>
      <c r="CD158">
        <v>0</v>
      </c>
      <c r="CE158">
        <v>7</v>
      </c>
      <c r="CF158" t="s">
        <v>635</v>
      </c>
      <c r="CG158">
        <v>797033</v>
      </c>
      <c r="CH158">
        <v>0.04</v>
      </c>
      <c r="CI158">
        <v>31900</v>
      </c>
      <c r="CJ158">
        <v>797033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 t="s">
        <v>88</v>
      </c>
      <c r="CT158" t="s">
        <v>1441</v>
      </c>
      <c r="CU158" t="s">
        <v>1442</v>
      </c>
    </row>
    <row r="159" spans="1:99">
      <c r="A159" t="s">
        <v>1431</v>
      </c>
      <c r="B159" t="s">
        <v>34</v>
      </c>
      <c r="C159" t="s">
        <v>1898</v>
      </c>
      <c r="D159" t="s">
        <v>1899</v>
      </c>
      <c r="E159" t="s">
        <v>1900</v>
      </c>
      <c r="F159" t="s">
        <v>1507</v>
      </c>
      <c r="G159" t="s">
        <v>1901</v>
      </c>
      <c r="H159" t="s">
        <v>1781</v>
      </c>
      <c r="I159" t="s">
        <v>240</v>
      </c>
      <c r="J159" t="s">
        <v>46</v>
      </c>
      <c r="K159" t="s">
        <v>29</v>
      </c>
      <c r="L159" t="s">
        <v>30</v>
      </c>
      <c r="M159">
        <v>135</v>
      </c>
      <c r="N159" t="s">
        <v>32</v>
      </c>
      <c r="O159" t="s">
        <v>32</v>
      </c>
      <c r="Q159" t="s">
        <v>32</v>
      </c>
      <c r="S159" t="s">
        <v>32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AA159" t="s">
        <v>88</v>
      </c>
      <c r="AB159" t="s">
        <v>32</v>
      </c>
      <c r="AE159" t="s">
        <v>32</v>
      </c>
      <c r="AH159" t="s">
        <v>32</v>
      </c>
      <c r="AK159" t="s">
        <v>32</v>
      </c>
      <c r="AN159" t="s">
        <v>32</v>
      </c>
      <c r="AO159" t="s">
        <v>32</v>
      </c>
      <c r="AR159">
        <v>0</v>
      </c>
      <c r="AU159" t="s">
        <v>32</v>
      </c>
      <c r="AV159">
        <v>3415855</v>
      </c>
      <c r="AW159" t="s">
        <v>32</v>
      </c>
      <c r="AX159" t="s">
        <v>32</v>
      </c>
      <c r="AY159" t="s">
        <v>137</v>
      </c>
      <c r="AZ159">
        <v>23</v>
      </c>
      <c r="BA159">
        <v>2904759</v>
      </c>
      <c r="BB159">
        <v>0.16</v>
      </c>
      <c r="BC159">
        <v>464800</v>
      </c>
      <c r="BD159" t="s">
        <v>142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464800</v>
      </c>
      <c r="BK159" t="s">
        <v>25</v>
      </c>
      <c r="BL159" t="s">
        <v>1064</v>
      </c>
      <c r="BM159">
        <v>23</v>
      </c>
      <c r="BN159">
        <v>2904759</v>
      </c>
      <c r="BO159">
        <v>0.04</v>
      </c>
      <c r="BP159">
        <v>116200</v>
      </c>
      <c r="BQ159">
        <v>0</v>
      </c>
      <c r="BR159" t="s">
        <v>1438</v>
      </c>
      <c r="BS159">
        <v>0</v>
      </c>
      <c r="BT159" t="s">
        <v>1438</v>
      </c>
      <c r="BU159">
        <v>0</v>
      </c>
      <c r="BV159" t="s">
        <v>25</v>
      </c>
      <c r="BW159" t="s">
        <v>189</v>
      </c>
      <c r="BX159">
        <v>23</v>
      </c>
      <c r="BY159">
        <v>2904759</v>
      </c>
      <c r="BZ159">
        <v>6.9599999999999995E-2</v>
      </c>
      <c r="CA159" t="s">
        <v>1439</v>
      </c>
      <c r="CB159" t="s">
        <v>227</v>
      </c>
      <c r="CC159" t="s">
        <v>1440</v>
      </c>
      <c r="CD159">
        <v>202200</v>
      </c>
      <c r="CE159">
        <v>23</v>
      </c>
      <c r="CF159" t="s">
        <v>635</v>
      </c>
      <c r="CG159">
        <v>2841630</v>
      </c>
      <c r="CH159">
        <v>0.04</v>
      </c>
      <c r="CI159">
        <v>113700</v>
      </c>
      <c r="CJ159">
        <v>2841630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 t="s">
        <v>88</v>
      </c>
      <c r="CT159" t="s">
        <v>1441</v>
      </c>
      <c r="CU159" t="s">
        <v>1442</v>
      </c>
    </row>
    <row r="160" spans="1:99">
      <c r="A160" t="s">
        <v>1431</v>
      </c>
      <c r="B160" t="s">
        <v>34</v>
      </c>
      <c r="C160" t="s">
        <v>1902</v>
      </c>
      <c r="D160" t="s">
        <v>1903</v>
      </c>
      <c r="E160" t="s">
        <v>1904</v>
      </c>
      <c r="F160" t="s">
        <v>1905</v>
      </c>
      <c r="G160" t="s">
        <v>1906</v>
      </c>
      <c r="H160" t="s">
        <v>1558</v>
      </c>
      <c r="I160" t="s">
        <v>240</v>
      </c>
      <c r="J160" t="s">
        <v>46</v>
      </c>
      <c r="K160" t="s">
        <v>29</v>
      </c>
      <c r="L160" t="s">
        <v>30</v>
      </c>
      <c r="M160">
        <v>196</v>
      </c>
      <c r="N160" t="s">
        <v>32</v>
      </c>
      <c r="O160" t="s">
        <v>32</v>
      </c>
      <c r="Q160" t="s">
        <v>32</v>
      </c>
      <c r="S160" t="s">
        <v>32</v>
      </c>
      <c r="U160" t="s">
        <v>32</v>
      </c>
      <c r="V160" t="s">
        <v>32</v>
      </c>
      <c r="W160" t="s">
        <v>32</v>
      </c>
      <c r="X160" t="s">
        <v>32</v>
      </c>
      <c r="Y160" t="s">
        <v>88</v>
      </c>
      <c r="Z160">
        <v>46054</v>
      </c>
      <c r="AA160" t="s">
        <v>88</v>
      </c>
      <c r="AB160" t="s">
        <v>32</v>
      </c>
      <c r="AE160" t="s">
        <v>32</v>
      </c>
      <c r="AH160" t="s">
        <v>32</v>
      </c>
      <c r="AK160" t="s">
        <v>32</v>
      </c>
      <c r="AN160" t="s">
        <v>32</v>
      </c>
      <c r="AO160" t="s">
        <v>32</v>
      </c>
      <c r="AR160">
        <v>0</v>
      </c>
      <c r="AU160" t="s">
        <v>32</v>
      </c>
      <c r="AV160">
        <v>1898887</v>
      </c>
      <c r="AW160" t="s">
        <v>32</v>
      </c>
      <c r="AX160" t="s">
        <v>32</v>
      </c>
      <c r="AY160" t="s">
        <v>356</v>
      </c>
      <c r="AZ160">
        <v>30</v>
      </c>
      <c r="BA160">
        <v>1985201</v>
      </c>
      <c r="BB160">
        <v>0.16</v>
      </c>
      <c r="BC160">
        <v>317700</v>
      </c>
      <c r="BD160" t="s">
        <v>142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317700</v>
      </c>
      <c r="BK160" t="s">
        <v>25</v>
      </c>
      <c r="BL160" t="s">
        <v>885</v>
      </c>
      <c r="BM160">
        <v>30</v>
      </c>
      <c r="BN160">
        <v>1985201</v>
      </c>
      <c r="BO160">
        <v>0.04</v>
      </c>
      <c r="BP160">
        <v>79500</v>
      </c>
      <c r="BQ160">
        <v>0</v>
      </c>
      <c r="BR160" t="s">
        <v>1438</v>
      </c>
      <c r="BS160">
        <v>0</v>
      </c>
      <c r="BT160" t="s">
        <v>1438</v>
      </c>
      <c r="BU160">
        <v>0</v>
      </c>
      <c r="BV160" t="s">
        <v>25</v>
      </c>
      <c r="BW160" t="s">
        <v>189</v>
      </c>
      <c r="BX160">
        <v>30</v>
      </c>
      <c r="BY160">
        <v>1985201</v>
      </c>
      <c r="BZ160">
        <v>2.436E-2</v>
      </c>
      <c r="CA160" t="s">
        <v>1772</v>
      </c>
      <c r="CB160" t="s">
        <v>227</v>
      </c>
      <c r="CC160" t="s">
        <v>1773</v>
      </c>
      <c r="CD160">
        <v>48400</v>
      </c>
      <c r="CE160">
        <v>30</v>
      </c>
      <c r="CF160" t="s">
        <v>635</v>
      </c>
      <c r="CG160">
        <v>1985201</v>
      </c>
      <c r="CH160">
        <v>0.04</v>
      </c>
      <c r="CI160">
        <v>79500</v>
      </c>
      <c r="CJ160">
        <v>1985201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 t="s">
        <v>88</v>
      </c>
      <c r="CT160" t="s">
        <v>1441</v>
      </c>
      <c r="CU160" t="s">
        <v>1442</v>
      </c>
    </row>
    <row r="161" spans="1:99">
      <c r="A161" t="s">
        <v>1431</v>
      </c>
      <c r="B161" t="s">
        <v>34</v>
      </c>
      <c r="C161" t="s">
        <v>1907</v>
      </c>
      <c r="D161" t="s">
        <v>1908</v>
      </c>
      <c r="E161" t="s">
        <v>1909</v>
      </c>
      <c r="F161" t="s">
        <v>1789</v>
      </c>
      <c r="G161" t="s">
        <v>1910</v>
      </c>
      <c r="H161" t="s">
        <v>1558</v>
      </c>
      <c r="I161" t="s">
        <v>240</v>
      </c>
      <c r="J161" t="s">
        <v>46</v>
      </c>
      <c r="K161" t="s">
        <v>29</v>
      </c>
      <c r="L161" t="s">
        <v>30</v>
      </c>
      <c r="M161">
        <v>216</v>
      </c>
      <c r="N161" t="s">
        <v>32</v>
      </c>
      <c r="O161" t="s">
        <v>32</v>
      </c>
      <c r="Q161" t="s">
        <v>32</v>
      </c>
      <c r="S161" t="s">
        <v>32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AA161" t="s">
        <v>88</v>
      </c>
      <c r="AB161" t="s">
        <v>32</v>
      </c>
      <c r="AE161" t="s">
        <v>32</v>
      </c>
      <c r="AH161" t="s">
        <v>32</v>
      </c>
      <c r="AK161" t="s">
        <v>32</v>
      </c>
      <c r="AN161" t="s">
        <v>32</v>
      </c>
      <c r="AO161" t="s">
        <v>32</v>
      </c>
      <c r="AR161">
        <v>0</v>
      </c>
      <c r="AU161" t="s">
        <v>32</v>
      </c>
      <c r="AV161">
        <v>2891569</v>
      </c>
      <c r="AW161" t="s">
        <v>32</v>
      </c>
      <c r="AX161" t="s">
        <v>32</v>
      </c>
      <c r="AY161" t="s">
        <v>317</v>
      </c>
      <c r="AZ161">
        <v>30</v>
      </c>
      <c r="BA161">
        <v>4341006</v>
      </c>
      <c r="BB161">
        <v>0.16</v>
      </c>
      <c r="BC161">
        <v>694600</v>
      </c>
      <c r="BD161" t="s">
        <v>142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694600</v>
      </c>
      <c r="BK161" t="s">
        <v>25</v>
      </c>
      <c r="BL161" t="s">
        <v>1491</v>
      </c>
      <c r="BM161">
        <v>30</v>
      </c>
      <c r="BN161">
        <v>4341006</v>
      </c>
      <c r="BO161">
        <v>0.04</v>
      </c>
      <c r="BP161">
        <v>173700</v>
      </c>
      <c r="BQ161">
        <v>0</v>
      </c>
      <c r="BR161" t="s">
        <v>1438</v>
      </c>
      <c r="BS161">
        <v>0</v>
      </c>
      <c r="BT161" t="s">
        <v>1438</v>
      </c>
      <c r="BU161">
        <v>0</v>
      </c>
      <c r="BV161" t="s">
        <v>25</v>
      </c>
      <c r="BW161" t="s">
        <v>189</v>
      </c>
      <c r="BX161">
        <v>30</v>
      </c>
      <c r="BY161">
        <v>4341006</v>
      </c>
      <c r="BZ161">
        <v>6.9599999999999995E-2</v>
      </c>
      <c r="CA161" t="s">
        <v>1439</v>
      </c>
      <c r="CB161" t="s">
        <v>227</v>
      </c>
      <c r="CC161" t="s">
        <v>1440</v>
      </c>
      <c r="CD161">
        <v>302200</v>
      </c>
      <c r="CE161">
        <v>30</v>
      </c>
      <c r="CF161" t="s">
        <v>635</v>
      </c>
      <c r="CG161">
        <v>4113631</v>
      </c>
      <c r="CH161">
        <v>0.04</v>
      </c>
      <c r="CI161">
        <v>164600</v>
      </c>
      <c r="CJ161">
        <v>4113631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 t="s">
        <v>88</v>
      </c>
      <c r="CT161" t="s">
        <v>1441</v>
      </c>
      <c r="CU161" t="s">
        <v>1442</v>
      </c>
    </row>
    <row r="162" spans="1:99">
      <c r="A162" t="s">
        <v>1431</v>
      </c>
      <c r="B162" t="s">
        <v>34</v>
      </c>
      <c r="C162" t="s">
        <v>1911</v>
      </c>
      <c r="D162" t="s">
        <v>1912</v>
      </c>
      <c r="E162" t="s">
        <v>1913</v>
      </c>
      <c r="F162" t="s">
        <v>1914</v>
      </c>
      <c r="G162" t="s">
        <v>1915</v>
      </c>
      <c r="H162" t="s">
        <v>1916</v>
      </c>
      <c r="I162" t="s">
        <v>240</v>
      </c>
      <c r="J162" t="s">
        <v>46</v>
      </c>
      <c r="K162" t="s">
        <v>29</v>
      </c>
      <c r="L162" t="s">
        <v>30</v>
      </c>
      <c r="M162">
        <v>217</v>
      </c>
      <c r="N162" t="s">
        <v>32</v>
      </c>
      <c r="O162" t="s">
        <v>32</v>
      </c>
      <c r="Q162" t="s">
        <v>32</v>
      </c>
      <c r="S162" t="s">
        <v>32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AA162" t="s">
        <v>88</v>
      </c>
      <c r="AB162" t="s">
        <v>32</v>
      </c>
      <c r="AE162" t="s">
        <v>32</v>
      </c>
      <c r="AH162" t="s">
        <v>32</v>
      </c>
      <c r="AK162" t="s">
        <v>32</v>
      </c>
      <c r="AN162" t="s">
        <v>32</v>
      </c>
      <c r="AO162" t="s">
        <v>32</v>
      </c>
      <c r="AR162">
        <v>0</v>
      </c>
      <c r="AU162" t="s">
        <v>32</v>
      </c>
      <c r="AV162">
        <v>1785595</v>
      </c>
      <c r="AW162" t="s">
        <v>32</v>
      </c>
      <c r="AX162" t="s">
        <v>32</v>
      </c>
      <c r="AY162" t="s">
        <v>356</v>
      </c>
      <c r="AZ162">
        <v>30</v>
      </c>
      <c r="BA162">
        <v>2411393</v>
      </c>
      <c r="BB162">
        <v>0.16</v>
      </c>
      <c r="BC162">
        <v>385900</v>
      </c>
      <c r="BD162" t="s">
        <v>142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385900</v>
      </c>
      <c r="BK162" t="s">
        <v>25</v>
      </c>
      <c r="BL162" t="s">
        <v>1010</v>
      </c>
      <c r="BM162">
        <v>30</v>
      </c>
      <c r="BN162">
        <v>2411393</v>
      </c>
      <c r="BO162">
        <v>0.04</v>
      </c>
      <c r="BP162">
        <v>96500</v>
      </c>
      <c r="BQ162">
        <v>0</v>
      </c>
      <c r="BR162" t="s">
        <v>1438</v>
      </c>
      <c r="BS162">
        <v>0</v>
      </c>
      <c r="BT162" t="s">
        <v>1438</v>
      </c>
      <c r="BU162">
        <v>0</v>
      </c>
      <c r="BV162" t="s">
        <v>25</v>
      </c>
      <c r="BW162" t="s">
        <v>189</v>
      </c>
      <c r="BX162">
        <v>30</v>
      </c>
      <c r="BY162">
        <v>2411393</v>
      </c>
      <c r="BZ162">
        <v>6.9599999999999995E-2</v>
      </c>
      <c r="CA162" t="s">
        <v>1439</v>
      </c>
      <c r="CB162" t="s">
        <v>227</v>
      </c>
      <c r="CC162" t="s">
        <v>1440</v>
      </c>
      <c r="CD162">
        <v>167900</v>
      </c>
      <c r="CE162">
        <v>30</v>
      </c>
      <c r="CF162" t="s">
        <v>635</v>
      </c>
      <c r="CG162">
        <v>2411393</v>
      </c>
      <c r="CH162">
        <v>0.04</v>
      </c>
      <c r="CI162">
        <v>96500</v>
      </c>
      <c r="CJ162">
        <v>2411393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 t="s">
        <v>88</v>
      </c>
      <c r="CT162" t="s">
        <v>1441</v>
      </c>
      <c r="CU162" t="s">
        <v>1442</v>
      </c>
    </row>
    <row r="163" spans="1:99">
      <c r="A163" t="s">
        <v>1431</v>
      </c>
      <c r="B163" t="s">
        <v>34</v>
      </c>
      <c r="C163" t="s">
        <v>1917</v>
      </c>
      <c r="D163" t="s">
        <v>1918</v>
      </c>
      <c r="E163" t="s">
        <v>1919</v>
      </c>
      <c r="F163" t="s">
        <v>1920</v>
      </c>
      <c r="G163" t="s">
        <v>1706</v>
      </c>
      <c r="H163" t="s">
        <v>1498</v>
      </c>
      <c r="I163" t="s">
        <v>682</v>
      </c>
      <c r="J163" t="s">
        <v>484</v>
      </c>
      <c r="K163" t="s">
        <v>29</v>
      </c>
      <c r="L163" t="s">
        <v>30</v>
      </c>
      <c r="M163">
        <v>153</v>
      </c>
      <c r="N163" t="s">
        <v>32</v>
      </c>
      <c r="O163" t="s">
        <v>32</v>
      </c>
      <c r="Q163" t="s">
        <v>40</v>
      </c>
      <c r="R163">
        <v>46058</v>
      </c>
      <c r="S163" t="s">
        <v>40</v>
      </c>
      <c r="T163">
        <v>46081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AA163" t="s">
        <v>88</v>
      </c>
      <c r="AB163" t="s">
        <v>32</v>
      </c>
      <c r="AE163" t="s">
        <v>32</v>
      </c>
      <c r="AH163" t="s">
        <v>32</v>
      </c>
      <c r="AK163" t="s">
        <v>32</v>
      </c>
      <c r="AN163" t="s">
        <v>32</v>
      </c>
      <c r="AO163" t="s">
        <v>32</v>
      </c>
      <c r="AR163">
        <v>0</v>
      </c>
      <c r="AU163" t="s">
        <v>32</v>
      </c>
      <c r="AV163">
        <v>3235758</v>
      </c>
      <c r="AW163" t="s">
        <v>32</v>
      </c>
      <c r="AX163" t="s">
        <v>88</v>
      </c>
      <c r="AY163" t="s">
        <v>356</v>
      </c>
      <c r="AZ163">
        <v>26</v>
      </c>
      <c r="BA163">
        <v>2912183</v>
      </c>
      <c r="BB163">
        <v>0.16</v>
      </c>
      <c r="BC163">
        <v>466000</v>
      </c>
      <c r="BD163" t="s">
        <v>142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466000</v>
      </c>
      <c r="BK163" t="s">
        <v>25</v>
      </c>
      <c r="BL163" t="s">
        <v>1064</v>
      </c>
      <c r="BM163">
        <v>26</v>
      </c>
      <c r="BN163">
        <v>2912183</v>
      </c>
      <c r="BO163">
        <v>0.04</v>
      </c>
      <c r="BP163">
        <v>116500</v>
      </c>
      <c r="BQ163">
        <v>0</v>
      </c>
      <c r="BR163" t="s">
        <v>1438</v>
      </c>
      <c r="BS163">
        <v>0</v>
      </c>
      <c r="BT163" t="s">
        <v>1438</v>
      </c>
      <c r="BU163">
        <v>0</v>
      </c>
      <c r="BV163" t="s">
        <v>25</v>
      </c>
      <c r="BW163" t="s">
        <v>189</v>
      </c>
      <c r="BX163">
        <v>26</v>
      </c>
      <c r="BY163">
        <v>2912183</v>
      </c>
      <c r="BZ163">
        <v>6.9599999999999995E-2</v>
      </c>
      <c r="CA163" t="s">
        <v>1439</v>
      </c>
      <c r="CB163" t="s">
        <v>312</v>
      </c>
      <c r="CC163" t="s">
        <v>1440</v>
      </c>
      <c r="CD163">
        <v>202700</v>
      </c>
      <c r="CE163">
        <v>26</v>
      </c>
      <c r="CF163" t="s">
        <v>466</v>
      </c>
      <c r="CG163">
        <v>3018963</v>
      </c>
      <c r="CH163">
        <v>0.04</v>
      </c>
      <c r="CI163">
        <v>120800</v>
      </c>
      <c r="CJ163">
        <v>3018963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 t="s">
        <v>88</v>
      </c>
      <c r="CT163" t="s">
        <v>1441</v>
      </c>
      <c r="CU163" t="s">
        <v>1442</v>
      </c>
    </row>
    <row r="164" spans="1:99">
      <c r="A164" t="s">
        <v>1431</v>
      </c>
      <c r="B164" t="s">
        <v>34</v>
      </c>
      <c r="C164" t="s">
        <v>1921</v>
      </c>
      <c r="D164" t="s">
        <v>1922</v>
      </c>
      <c r="E164" t="s">
        <v>1923</v>
      </c>
      <c r="F164" t="s">
        <v>1924</v>
      </c>
      <c r="G164" t="s">
        <v>1925</v>
      </c>
      <c r="H164" t="s">
        <v>1489</v>
      </c>
      <c r="I164" t="s">
        <v>682</v>
      </c>
      <c r="J164" t="s">
        <v>484</v>
      </c>
      <c r="K164" t="s">
        <v>29</v>
      </c>
      <c r="L164" t="s">
        <v>30</v>
      </c>
      <c r="M164">
        <v>205</v>
      </c>
      <c r="N164" t="s">
        <v>32</v>
      </c>
      <c r="O164" t="s">
        <v>32</v>
      </c>
      <c r="Q164" t="s">
        <v>32</v>
      </c>
      <c r="S164" t="s">
        <v>32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AA164" t="s">
        <v>88</v>
      </c>
      <c r="AB164" t="s">
        <v>32</v>
      </c>
      <c r="AE164" t="s">
        <v>32</v>
      </c>
      <c r="AH164" t="s">
        <v>32</v>
      </c>
      <c r="AK164" t="s">
        <v>32</v>
      </c>
      <c r="AN164" t="s">
        <v>32</v>
      </c>
      <c r="AO164" t="s">
        <v>32</v>
      </c>
      <c r="AR164">
        <v>0</v>
      </c>
      <c r="AU164" t="s">
        <v>32</v>
      </c>
      <c r="AV164">
        <v>2056650</v>
      </c>
      <c r="AW164" t="s">
        <v>32</v>
      </c>
      <c r="AX164" t="s">
        <v>32</v>
      </c>
      <c r="AY164" t="s">
        <v>317</v>
      </c>
      <c r="AZ164">
        <v>30</v>
      </c>
      <c r="BA164">
        <v>2544653</v>
      </c>
      <c r="BB164">
        <v>0.16</v>
      </c>
      <c r="BC164">
        <v>407200</v>
      </c>
      <c r="BD164" t="s">
        <v>142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407200</v>
      </c>
      <c r="BK164" t="s">
        <v>25</v>
      </c>
      <c r="BL164" t="s">
        <v>1491</v>
      </c>
      <c r="BM164">
        <v>30</v>
      </c>
      <c r="BN164">
        <v>2544653</v>
      </c>
      <c r="BO164">
        <v>0.04</v>
      </c>
      <c r="BP164">
        <v>101800</v>
      </c>
      <c r="BQ164">
        <v>0</v>
      </c>
      <c r="BR164" t="s">
        <v>1438</v>
      </c>
      <c r="BS164">
        <v>0</v>
      </c>
      <c r="BT164" t="s">
        <v>1438</v>
      </c>
      <c r="BU164">
        <v>0</v>
      </c>
      <c r="BV164" t="s">
        <v>25</v>
      </c>
      <c r="BW164" t="s">
        <v>189</v>
      </c>
      <c r="BX164">
        <v>30</v>
      </c>
      <c r="BY164">
        <v>2544653</v>
      </c>
      <c r="BZ164">
        <v>6.9599999999999995E-2</v>
      </c>
      <c r="CA164" t="s">
        <v>1439</v>
      </c>
      <c r="CB164" t="s">
        <v>312</v>
      </c>
      <c r="CC164" t="s">
        <v>1440</v>
      </c>
      <c r="CD164">
        <v>177200</v>
      </c>
      <c r="CE164">
        <v>30</v>
      </c>
      <c r="CF164" t="s">
        <v>466</v>
      </c>
      <c r="CG164">
        <v>2373468</v>
      </c>
      <c r="CH164">
        <v>0.04</v>
      </c>
      <c r="CI164">
        <v>95000</v>
      </c>
      <c r="CJ164">
        <v>2373468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 t="s">
        <v>88</v>
      </c>
      <c r="CT164" t="s">
        <v>1441</v>
      </c>
      <c r="CU164" t="s">
        <v>1442</v>
      </c>
    </row>
    <row r="165" spans="1:99">
      <c r="A165" t="s">
        <v>1431</v>
      </c>
      <c r="B165" t="s">
        <v>34</v>
      </c>
      <c r="C165" t="s">
        <v>1926</v>
      </c>
      <c r="D165" t="s">
        <v>1927</v>
      </c>
      <c r="E165" t="s">
        <v>1506</v>
      </c>
      <c r="F165" t="s">
        <v>1507</v>
      </c>
      <c r="G165" t="s">
        <v>1513</v>
      </c>
      <c r="H165" t="s">
        <v>1928</v>
      </c>
      <c r="I165" t="s">
        <v>682</v>
      </c>
      <c r="J165" t="s">
        <v>484</v>
      </c>
      <c r="K165" t="s">
        <v>29</v>
      </c>
      <c r="L165" t="s">
        <v>30</v>
      </c>
      <c r="M165">
        <v>0</v>
      </c>
      <c r="N165" t="s">
        <v>32</v>
      </c>
      <c r="O165" t="s">
        <v>32</v>
      </c>
      <c r="Q165" t="s">
        <v>32</v>
      </c>
      <c r="S165" t="s">
        <v>32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AA165" t="s">
        <v>32</v>
      </c>
      <c r="AB165" t="s">
        <v>32</v>
      </c>
      <c r="AE165" t="s">
        <v>32</v>
      </c>
      <c r="AH165" t="s">
        <v>32</v>
      </c>
      <c r="AK165" t="s">
        <v>128</v>
      </c>
      <c r="AL165">
        <v>46076</v>
      </c>
      <c r="AM165">
        <v>46079</v>
      </c>
      <c r="AN165" t="s">
        <v>32</v>
      </c>
      <c r="AO165" t="s">
        <v>32</v>
      </c>
      <c r="AR165">
        <v>0</v>
      </c>
      <c r="AU165" t="s">
        <v>32</v>
      </c>
      <c r="AV165">
        <v>2223339</v>
      </c>
      <c r="AW165" t="s">
        <v>32</v>
      </c>
      <c r="AX165" t="s">
        <v>32</v>
      </c>
      <c r="AY165" t="s">
        <v>317</v>
      </c>
      <c r="AZ165">
        <v>4</v>
      </c>
      <c r="BA165">
        <v>296446</v>
      </c>
      <c r="BB165">
        <v>0.16</v>
      </c>
      <c r="BC165">
        <v>47500</v>
      </c>
      <c r="BD165" t="s">
        <v>142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47500</v>
      </c>
      <c r="BK165" t="s">
        <v>25</v>
      </c>
      <c r="BL165" t="s">
        <v>870</v>
      </c>
      <c r="BM165">
        <v>4</v>
      </c>
      <c r="BN165">
        <v>296446</v>
      </c>
      <c r="BO165">
        <v>0.04</v>
      </c>
      <c r="BP165">
        <v>11900</v>
      </c>
      <c r="BQ165">
        <v>0</v>
      </c>
      <c r="BR165" t="s">
        <v>1438</v>
      </c>
      <c r="BS165">
        <v>0</v>
      </c>
      <c r="BT165" t="s">
        <v>1438</v>
      </c>
      <c r="BU165">
        <v>0</v>
      </c>
      <c r="BV165" t="s">
        <v>25</v>
      </c>
      <c r="BW165" t="s">
        <v>189</v>
      </c>
      <c r="BX165">
        <v>4</v>
      </c>
      <c r="BY165">
        <v>296446</v>
      </c>
      <c r="BZ165">
        <v>0</v>
      </c>
      <c r="CA165" t="s">
        <v>1439</v>
      </c>
      <c r="CB165" t="s">
        <v>312</v>
      </c>
      <c r="CC165" t="s">
        <v>1440</v>
      </c>
      <c r="CD165">
        <v>0</v>
      </c>
      <c r="CE165">
        <v>4</v>
      </c>
      <c r="CF165" t="s">
        <v>466</v>
      </c>
      <c r="CG165">
        <v>296446</v>
      </c>
      <c r="CH165">
        <v>0.04</v>
      </c>
      <c r="CI165">
        <v>11900</v>
      </c>
      <c r="CJ165">
        <v>296446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 t="s">
        <v>88</v>
      </c>
      <c r="CT165" t="s">
        <v>1441</v>
      </c>
      <c r="CU165" t="s">
        <v>1442</v>
      </c>
    </row>
    <row r="166" spans="1:99">
      <c r="A166" t="s">
        <v>1431</v>
      </c>
      <c r="B166" t="s">
        <v>34</v>
      </c>
      <c r="C166" t="s">
        <v>1926</v>
      </c>
      <c r="D166" t="s">
        <v>1927</v>
      </c>
      <c r="E166" t="s">
        <v>1506</v>
      </c>
      <c r="F166" t="s">
        <v>1507</v>
      </c>
      <c r="G166" t="s">
        <v>1513</v>
      </c>
      <c r="H166" t="s">
        <v>1928</v>
      </c>
      <c r="I166" t="s">
        <v>682</v>
      </c>
      <c r="J166" t="s">
        <v>484</v>
      </c>
      <c r="K166" t="s">
        <v>29</v>
      </c>
      <c r="L166" t="s">
        <v>30</v>
      </c>
      <c r="M166">
        <v>162</v>
      </c>
      <c r="N166" t="s">
        <v>32</v>
      </c>
      <c r="O166" t="s">
        <v>32</v>
      </c>
      <c r="Q166" t="s">
        <v>32</v>
      </c>
      <c r="S166" t="s">
        <v>40</v>
      </c>
      <c r="T166">
        <v>46079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AA166" t="s">
        <v>88</v>
      </c>
      <c r="AB166" t="s">
        <v>32</v>
      </c>
      <c r="AE166" t="s">
        <v>32</v>
      </c>
      <c r="AH166" t="s">
        <v>32</v>
      </c>
      <c r="AK166" t="s">
        <v>32</v>
      </c>
      <c r="AN166" t="s">
        <v>32</v>
      </c>
      <c r="AO166" t="s">
        <v>32</v>
      </c>
      <c r="AR166">
        <v>0</v>
      </c>
      <c r="AU166" t="s">
        <v>32</v>
      </c>
      <c r="AV166">
        <v>2223339</v>
      </c>
      <c r="AW166" t="s">
        <v>32</v>
      </c>
      <c r="AX166" t="s">
        <v>32</v>
      </c>
      <c r="AY166" t="s">
        <v>317</v>
      </c>
      <c r="AZ166">
        <v>22</v>
      </c>
      <c r="BA166">
        <v>2371977</v>
      </c>
      <c r="BB166">
        <v>0.16</v>
      </c>
      <c r="BC166">
        <v>379600</v>
      </c>
      <c r="BD166" t="s">
        <v>142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379600</v>
      </c>
      <c r="BK166" t="s">
        <v>25</v>
      </c>
      <c r="BL166" t="s">
        <v>870</v>
      </c>
      <c r="BM166">
        <v>22</v>
      </c>
      <c r="BN166">
        <v>2371977</v>
      </c>
      <c r="BO166">
        <v>0.04</v>
      </c>
      <c r="BP166">
        <v>94900</v>
      </c>
      <c r="BQ166">
        <v>0</v>
      </c>
      <c r="BR166" t="s">
        <v>1438</v>
      </c>
      <c r="BS166">
        <v>0</v>
      </c>
      <c r="BT166" t="s">
        <v>1438</v>
      </c>
      <c r="BU166">
        <v>0</v>
      </c>
      <c r="BV166" t="s">
        <v>25</v>
      </c>
      <c r="BW166" t="s">
        <v>189</v>
      </c>
      <c r="BX166">
        <v>22</v>
      </c>
      <c r="BY166">
        <v>2371977</v>
      </c>
      <c r="BZ166">
        <v>6.9599999999999995E-2</v>
      </c>
      <c r="CA166" t="s">
        <v>1439</v>
      </c>
      <c r="CB166" t="s">
        <v>312</v>
      </c>
      <c r="CC166" t="s">
        <v>1440</v>
      </c>
      <c r="CD166">
        <v>165100</v>
      </c>
      <c r="CE166">
        <v>22</v>
      </c>
      <c r="CF166" t="s">
        <v>466</v>
      </c>
      <c r="CG166">
        <v>2453570</v>
      </c>
      <c r="CH166">
        <v>0.04</v>
      </c>
      <c r="CI166">
        <v>98200</v>
      </c>
      <c r="CJ166">
        <v>2453570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 t="s">
        <v>88</v>
      </c>
      <c r="CT166" t="s">
        <v>1441</v>
      </c>
      <c r="CU166" t="s">
        <v>1442</v>
      </c>
    </row>
    <row r="167" spans="1:99">
      <c r="A167" t="s">
        <v>1431</v>
      </c>
      <c r="B167" t="s">
        <v>34</v>
      </c>
      <c r="C167" t="s">
        <v>1929</v>
      </c>
      <c r="D167" t="s">
        <v>1930</v>
      </c>
      <c r="E167" t="s">
        <v>1931</v>
      </c>
      <c r="F167" t="s">
        <v>667</v>
      </c>
      <c r="G167" t="s">
        <v>1932</v>
      </c>
      <c r="H167" t="s">
        <v>1933</v>
      </c>
      <c r="I167" t="s">
        <v>682</v>
      </c>
      <c r="J167" t="s">
        <v>484</v>
      </c>
      <c r="K167" t="s">
        <v>29</v>
      </c>
      <c r="L167" t="s">
        <v>30</v>
      </c>
      <c r="M167">
        <v>180</v>
      </c>
      <c r="N167" t="s">
        <v>32</v>
      </c>
      <c r="O167" t="s">
        <v>32</v>
      </c>
      <c r="Q167" t="s">
        <v>32</v>
      </c>
      <c r="S167" t="s">
        <v>32</v>
      </c>
      <c r="U167" t="s">
        <v>32</v>
      </c>
      <c r="V167" t="s">
        <v>32</v>
      </c>
      <c r="W167" t="s">
        <v>32</v>
      </c>
      <c r="X167" t="s">
        <v>32</v>
      </c>
      <c r="Y167" t="s">
        <v>88</v>
      </c>
      <c r="Z167">
        <v>46054</v>
      </c>
      <c r="AA167" t="s">
        <v>32</v>
      </c>
      <c r="AB167" t="s">
        <v>32</v>
      </c>
      <c r="AE167" t="s">
        <v>32</v>
      </c>
      <c r="AH167" t="s">
        <v>32</v>
      </c>
      <c r="AK167" t="s">
        <v>32</v>
      </c>
      <c r="AN167" t="s">
        <v>32</v>
      </c>
      <c r="AO167" t="s">
        <v>32</v>
      </c>
      <c r="AR167">
        <v>0</v>
      </c>
      <c r="AU167" t="s">
        <v>32</v>
      </c>
      <c r="AV167">
        <v>3140434</v>
      </c>
      <c r="AW167" t="s">
        <v>32</v>
      </c>
      <c r="AX167" t="s">
        <v>32</v>
      </c>
      <c r="AY167" t="s">
        <v>185</v>
      </c>
      <c r="AZ167">
        <v>30</v>
      </c>
      <c r="BA167">
        <v>3140434</v>
      </c>
      <c r="BB167">
        <v>0.16</v>
      </c>
      <c r="BC167">
        <v>502500</v>
      </c>
      <c r="BD167" t="s">
        <v>142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502500</v>
      </c>
      <c r="BK167" t="s">
        <v>25</v>
      </c>
      <c r="BL167" t="s">
        <v>1071</v>
      </c>
      <c r="BM167">
        <v>30</v>
      </c>
      <c r="BN167">
        <v>3140434</v>
      </c>
      <c r="BO167">
        <v>0.04</v>
      </c>
      <c r="BP167">
        <v>125700</v>
      </c>
      <c r="BQ167">
        <v>0</v>
      </c>
      <c r="BR167" t="s">
        <v>1438</v>
      </c>
      <c r="BS167">
        <v>0</v>
      </c>
      <c r="BT167" t="s">
        <v>1438</v>
      </c>
      <c r="BU167">
        <v>0</v>
      </c>
      <c r="BV167" t="s">
        <v>25</v>
      </c>
      <c r="BW167" t="s">
        <v>189</v>
      </c>
      <c r="BX167">
        <v>30</v>
      </c>
      <c r="BY167">
        <v>3140434</v>
      </c>
      <c r="BZ167">
        <v>6.9599999999999995E-2</v>
      </c>
      <c r="CA167" t="s">
        <v>1439</v>
      </c>
      <c r="CB167" t="s">
        <v>312</v>
      </c>
      <c r="CC167" t="s">
        <v>1440</v>
      </c>
      <c r="CD167">
        <v>218600</v>
      </c>
      <c r="CE167">
        <v>30</v>
      </c>
      <c r="CF167" t="s">
        <v>466</v>
      </c>
      <c r="CG167">
        <v>3140434</v>
      </c>
      <c r="CH167">
        <v>0.04</v>
      </c>
      <c r="CI167">
        <v>125700</v>
      </c>
      <c r="CJ167">
        <v>3140434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 t="s">
        <v>88</v>
      </c>
      <c r="CT167" t="s">
        <v>1441</v>
      </c>
      <c r="CU167" t="s">
        <v>1442</v>
      </c>
    </row>
    <row r="168" spans="1:99">
      <c r="A168" t="s">
        <v>1431</v>
      </c>
      <c r="B168" t="s">
        <v>34</v>
      </c>
      <c r="C168" t="s">
        <v>1934</v>
      </c>
      <c r="D168" t="s">
        <v>1935</v>
      </c>
      <c r="E168" t="s">
        <v>1936</v>
      </c>
      <c r="F168" t="s">
        <v>1937</v>
      </c>
      <c r="G168" t="s">
        <v>1938</v>
      </c>
      <c r="H168" t="s">
        <v>1489</v>
      </c>
      <c r="I168" t="s">
        <v>682</v>
      </c>
      <c r="J168" t="s">
        <v>484</v>
      </c>
      <c r="K168" t="s">
        <v>29</v>
      </c>
      <c r="L168" t="s">
        <v>30</v>
      </c>
      <c r="M168">
        <v>180</v>
      </c>
      <c r="N168" t="s">
        <v>32</v>
      </c>
      <c r="O168" t="s">
        <v>32</v>
      </c>
      <c r="Q168" t="s">
        <v>32</v>
      </c>
      <c r="S168" t="s">
        <v>32</v>
      </c>
      <c r="U168" t="s">
        <v>32</v>
      </c>
      <c r="V168" t="s">
        <v>32</v>
      </c>
      <c r="W168" t="s">
        <v>32</v>
      </c>
      <c r="X168" t="s">
        <v>32</v>
      </c>
      <c r="Y168" t="s">
        <v>88</v>
      </c>
      <c r="Z168">
        <v>46054</v>
      </c>
      <c r="AA168" t="s">
        <v>32</v>
      </c>
      <c r="AB168" t="s">
        <v>32</v>
      </c>
      <c r="AE168" t="s">
        <v>32</v>
      </c>
      <c r="AH168" t="s">
        <v>32</v>
      </c>
      <c r="AK168" t="s">
        <v>32</v>
      </c>
      <c r="AN168" t="s">
        <v>32</v>
      </c>
      <c r="AO168" t="s">
        <v>32</v>
      </c>
      <c r="AR168">
        <v>0</v>
      </c>
      <c r="AU168" t="s">
        <v>32</v>
      </c>
      <c r="AV168">
        <v>3235758</v>
      </c>
      <c r="AW168" t="s">
        <v>32</v>
      </c>
      <c r="AX168" t="s">
        <v>32</v>
      </c>
      <c r="AY168" t="s">
        <v>317</v>
      </c>
      <c r="AZ168">
        <v>30</v>
      </c>
      <c r="BA168">
        <v>3235758</v>
      </c>
      <c r="BB168">
        <v>0.16</v>
      </c>
      <c r="BC168">
        <v>517800</v>
      </c>
      <c r="BD168" t="s">
        <v>142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517800</v>
      </c>
      <c r="BK168" t="s">
        <v>25</v>
      </c>
      <c r="BL168" t="s">
        <v>1010</v>
      </c>
      <c r="BM168">
        <v>30</v>
      </c>
      <c r="BN168">
        <v>3235758</v>
      </c>
      <c r="BO168">
        <v>0.04</v>
      </c>
      <c r="BP168">
        <v>129500</v>
      </c>
      <c r="BQ168">
        <v>0</v>
      </c>
      <c r="BR168" t="s">
        <v>1438</v>
      </c>
      <c r="BS168">
        <v>0</v>
      </c>
      <c r="BT168" t="s">
        <v>1438</v>
      </c>
      <c r="BU168">
        <v>0</v>
      </c>
      <c r="BV168" t="s">
        <v>25</v>
      </c>
      <c r="BW168" t="s">
        <v>189</v>
      </c>
      <c r="BX168">
        <v>30</v>
      </c>
      <c r="BY168">
        <v>3235758</v>
      </c>
      <c r="BZ168">
        <v>6.9599999999999995E-2</v>
      </c>
      <c r="CA168" t="s">
        <v>1439</v>
      </c>
      <c r="CB168" t="s">
        <v>312</v>
      </c>
      <c r="CC168" t="s">
        <v>1440</v>
      </c>
      <c r="CD168">
        <v>225300</v>
      </c>
      <c r="CE168">
        <v>30</v>
      </c>
      <c r="CF168" t="s">
        <v>466</v>
      </c>
      <c r="CG168">
        <v>3235758</v>
      </c>
      <c r="CH168">
        <v>0.04</v>
      </c>
      <c r="CI168">
        <v>129500</v>
      </c>
      <c r="CJ168">
        <v>3235758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 t="s">
        <v>88</v>
      </c>
      <c r="CT168" t="s">
        <v>1441</v>
      </c>
      <c r="CU168" t="s">
        <v>1442</v>
      </c>
    </row>
    <row r="169" spans="1:99">
      <c r="A169" t="s">
        <v>1431</v>
      </c>
      <c r="B169" t="s">
        <v>34</v>
      </c>
      <c r="C169" t="s">
        <v>1939</v>
      </c>
      <c r="D169" t="s">
        <v>1940</v>
      </c>
      <c r="E169" t="s">
        <v>1941</v>
      </c>
      <c r="F169" t="s">
        <v>1942</v>
      </c>
      <c r="G169" t="s">
        <v>1943</v>
      </c>
      <c r="H169" t="s">
        <v>1738</v>
      </c>
      <c r="I169" t="s">
        <v>240</v>
      </c>
      <c r="J169" t="s">
        <v>46</v>
      </c>
      <c r="K169" t="s">
        <v>29</v>
      </c>
      <c r="L169" t="s">
        <v>30</v>
      </c>
      <c r="M169">
        <v>188</v>
      </c>
      <c r="N169" t="s">
        <v>32</v>
      </c>
      <c r="O169" t="s">
        <v>32</v>
      </c>
      <c r="Q169" t="s">
        <v>32</v>
      </c>
      <c r="S169" t="s">
        <v>32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AA169" t="s">
        <v>32</v>
      </c>
      <c r="AB169" t="s">
        <v>32</v>
      </c>
      <c r="AE169" t="s">
        <v>32</v>
      </c>
      <c r="AH169" t="s">
        <v>32</v>
      </c>
      <c r="AK169" t="s">
        <v>32</v>
      </c>
      <c r="AN169" t="s">
        <v>32</v>
      </c>
      <c r="AO169" t="s">
        <v>32</v>
      </c>
      <c r="AR169">
        <v>0</v>
      </c>
      <c r="AU169" t="s">
        <v>32</v>
      </c>
      <c r="AV169">
        <v>5676577</v>
      </c>
      <c r="AW169" t="s">
        <v>32</v>
      </c>
      <c r="AX169" t="s">
        <v>32</v>
      </c>
      <c r="AY169" t="s">
        <v>317</v>
      </c>
      <c r="AZ169">
        <v>30</v>
      </c>
      <c r="BA169">
        <v>8523893</v>
      </c>
      <c r="BB169">
        <v>0.16</v>
      </c>
      <c r="BC169">
        <v>1363900</v>
      </c>
      <c r="BD169" t="s">
        <v>142</v>
      </c>
      <c r="BE169">
        <v>0</v>
      </c>
      <c r="BF169">
        <v>0</v>
      </c>
      <c r="BG169">
        <v>42700</v>
      </c>
      <c r="BH169">
        <v>42700</v>
      </c>
      <c r="BI169">
        <v>0</v>
      </c>
      <c r="BJ169">
        <v>1449300</v>
      </c>
      <c r="BK169" t="s">
        <v>25</v>
      </c>
      <c r="BL169" t="s">
        <v>1071</v>
      </c>
      <c r="BM169">
        <v>30</v>
      </c>
      <c r="BN169">
        <v>8523893</v>
      </c>
      <c r="BO169">
        <v>0.04</v>
      </c>
      <c r="BP169">
        <v>341000</v>
      </c>
      <c r="BQ169">
        <v>0</v>
      </c>
      <c r="BR169" t="s">
        <v>1438</v>
      </c>
      <c r="BS169">
        <v>0</v>
      </c>
      <c r="BT169" t="s">
        <v>1438</v>
      </c>
      <c r="BU169">
        <v>0</v>
      </c>
      <c r="BV169" t="s">
        <v>25</v>
      </c>
      <c r="BW169" t="s">
        <v>189</v>
      </c>
      <c r="BX169">
        <v>30</v>
      </c>
      <c r="BY169">
        <v>8523893</v>
      </c>
      <c r="BZ169">
        <v>5.2199999999999998E-3</v>
      </c>
      <c r="CA169" t="s">
        <v>1592</v>
      </c>
      <c r="CB169" t="s">
        <v>227</v>
      </c>
      <c r="CC169" t="s">
        <v>1593</v>
      </c>
      <c r="CD169">
        <v>44500</v>
      </c>
      <c r="CE169">
        <v>30</v>
      </c>
      <c r="CF169" t="s">
        <v>635</v>
      </c>
      <c r="CG169">
        <v>5676577</v>
      </c>
      <c r="CH169">
        <v>0.04</v>
      </c>
      <c r="CI169">
        <v>227100</v>
      </c>
      <c r="CJ169">
        <v>5676577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 t="s">
        <v>88</v>
      </c>
      <c r="CT169" t="s">
        <v>1441</v>
      </c>
      <c r="CU169" t="s">
        <v>1442</v>
      </c>
    </row>
    <row r="170" spans="1:99">
      <c r="A170" t="s">
        <v>1431</v>
      </c>
      <c r="B170" t="s">
        <v>34</v>
      </c>
      <c r="C170" t="s">
        <v>1944</v>
      </c>
      <c r="D170" t="s">
        <v>1945</v>
      </c>
      <c r="E170" t="s">
        <v>1620</v>
      </c>
      <c r="F170" t="s">
        <v>1088</v>
      </c>
      <c r="G170" t="s">
        <v>1436</v>
      </c>
      <c r="H170" t="s">
        <v>1850</v>
      </c>
      <c r="I170" t="s">
        <v>682</v>
      </c>
      <c r="J170" t="s">
        <v>484</v>
      </c>
      <c r="K170" t="s">
        <v>29</v>
      </c>
      <c r="L170" t="s">
        <v>30</v>
      </c>
      <c r="M170">
        <v>151</v>
      </c>
      <c r="N170" t="s">
        <v>32</v>
      </c>
      <c r="O170" t="s">
        <v>32</v>
      </c>
      <c r="Q170" t="s">
        <v>40</v>
      </c>
      <c r="R170">
        <v>46059</v>
      </c>
      <c r="S170" t="s">
        <v>40</v>
      </c>
      <c r="T170">
        <v>46079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AA170" t="s">
        <v>88</v>
      </c>
      <c r="AB170" t="s">
        <v>32</v>
      </c>
      <c r="AE170" t="s">
        <v>32</v>
      </c>
      <c r="AH170" t="s">
        <v>32</v>
      </c>
      <c r="AK170" t="s">
        <v>32</v>
      </c>
      <c r="AN170" t="s">
        <v>32</v>
      </c>
      <c r="AO170" t="s">
        <v>32</v>
      </c>
      <c r="AR170">
        <v>0</v>
      </c>
      <c r="AU170" t="s">
        <v>32</v>
      </c>
      <c r="AV170">
        <v>2223339</v>
      </c>
      <c r="AW170" t="s">
        <v>32</v>
      </c>
      <c r="AX170" t="s">
        <v>32</v>
      </c>
      <c r="AY170" t="s">
        <v>356</v>
      </c>
      <c r="AZ170">
        <v>21</v>
      </c>
      <c r="BA170">
        <v>2117562</v>
      </c>
      <c r="BB170">
        <v>0.16</v>
      </c>
      <c r="BC170">
        <v>338900</v>
      </c>
      <c r="BD170" t="s">
        <v>142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338900</v>
      </c>
      <c r="BK170" t="s">
        <v>25</v>
      </c>
      <c r="BL170" t="s">
        <v>1010</v>
      </c>
      <c r="BM170">
        <v>21</v>
      </c>
      <c r="BN170">
        <v>2117562</v>
      </c>
      <c r="BO170">
        <v>0.04</v>
      </c>
      <c r="BP170">
        <v>84800</v>
      </c>
      <c r="BQ170">
        <v>0</v>
      </c>
      <c r="BR170" t="s">
        <v>1438</v>
      </c>
      <c r="BS170">
        <v>0</v>
      </c>
      <c r="BT170" t="s">
        <v>1438</v>
      </c>
      <c r="BU170">
        <v>0</v>
      </c>
      <c r="BV170" t="s">
        <v>25</v>
      </c>
      <c r="BW170" t="s">
        <v>189</v>
      </c>
      <c r="BX170">
        <v>21</v>
      </c>
      <c r="BY170">
        <v>2117562</v>
      </c>
      <c r="BZ170">
        <v>6.9599999999999995E-2</v>
      </c>
      <c r="CA170" t="s">
        <v>1439</v>
      </c>
      <c r="CB170" t="s">
        <v>312</v>
      </c>
      <c r="CC170" t="s">
        <v>1440</v>
      </c>
      <c r="CD170">
        <v>147400</v>
      </c>
      <c r="CE170">
        <v>21</v>
      </c>
      <c r="CF170" t="s">
        <v>466</v>
      </c>
      <c r="CG170">
        <v>1960078</v>
      </c>
      <c r="CH170">
        <v>0.04</v>
      </c>
      <c r="CI170">
        <v>78500</v>
      </c>
      <c r="CJ170">
        <v>1960078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 t="s">
        <v>88</v>
      </c>
      <c r="CT170" t="s">
        <v>1441</v>
      </c>
      <c r="CU170" t="s">
        <v>1442</v>
      </c>
    </row>
    <row r="171" spans="1:99">
      <c r="A171" t="s">
        <v>1431</v>
      </c>
      <c r="B171" t="s">
        <v>34</v>
      </c>
      <c r="C171" t="s">
        <v>1946</v>
      </c>
      <c r="D171" t="s">
        <v>1947</v>
      </c>
      <c r="E171" t="s">
        <v>457</v>
      </c>
      <c r="F171" t="s">
        <v>1948</v>
      </c>
      <c r="G171" t="s">
        <v>1949</v>
      </c>
      <c r="H171" t="s">
        <v>1548</v>
      </c>
      <c r="I171" t="s">
        <v>682</v>
      </c>
      <c r="J171" t="s">
        <v>484</v>
      </c>
      <c r="K171" t="s">
        <v>29</v>
      </c>
      <c r="L171" t="s">
        <v>30</v>
      </c>
      <c r="M171">
        <v>218</v>
      </c>
      <c r="N171" t="s">
        <v>32</v>
      </c>
      <c r="O171" t="s">
        <v>32</v>
      </c>
      <c r="Q171" t="s">
        <v>32</v>
      </c>
      <c r="S171" t="s">
        <v>32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AA171" t="s">
        <v>88</v>
      </c>
      <c r="AB171" t="s">
        <v>32</v>
      </c>
      <c r="AE171" t="s">
        <v>32</v>
      </c>
      <c r="AH171" t="s">
        <v>32</v>
      </c>
      <c r="AK171" t="s">
        <v>32</v>
      </c>
      <c r="AN171" t="s">
        <v>32</v>
      </c>
      <c r="AO171" t="s">
        <v>32</v>
      </c>
      <c r="AR171">
        <v>0</v>
      </c>
      <c r="AU171" t="s">
        <v>32</v>
      </c>
      <c r="AV171">
        <v>2056650</v>
      </c>
      <c r="AW171" t="s">
        <v>32</v>
      </c>
      <c r="AX171" t="s">
        <v>32</v>
      </c>
      <c r="AY171" t="s">
        <v>317</v>
      </c>
      <c r="AZ171">
        <v>30</v>
      </c>
      <c r="BA171">
        <v>2666846</v>
      </c>
      <c r="BB171">
        <v>0.16</v>
      </c>
      <c r="BC171">
        <v>426700</v>
      </c>
      <c r="BD171" t="s">
        <v>142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426700</v>
      </c>
      <c r="BK171" t="s">
        <v>25</v>
      </c>
      <c r="BL171" t="s">
        <v>1010</v>
      </c>
      <c r="BM171">
        <v>30</v>
      </c>
      <c r="BN171">
        <v>2666846</v>
      </c>
      <c r="BO171">
        <v>0.04</v>
      </c>
      <c r="BP171">
        <v>106700</v>
      </c>
      <c r="BQ171">
        <v>0</v>
      </c>
      <c r="BR171" t="s">
        <v>1438</v>
      </c>
      <c r="BS171">
        <v>0</v>
      </c>
      <c r="BT171" t="s">
        <v>1438</v>
      </c>
      <c r="BU171">
        <v>0</v>
      </c>
      <c r="BV171" t="s">
        <v>25</v>
      </c>
      <c r="BW171" t="s">
        <v>189</v>
      </c>
      <c r="BX171">
        <v>30</v>
      </c>
      <c r="BY171">
        <v>2666846</v>
      </c>
      <c r="BZ171">
        <v>6.9599999999999995E-2</v>
      </c>
      <c r="CA171" t="s">
        <v>1439</v>
      </c>
      <c r="CB171" t="s">
        <v>312</v>
      </c>
      <c r="CC171" t="s">
        <v>1440</v>
      </c>
      <c r="CD171">
        <v>185700</v>
      </c>
      <c r="CE171">
        <v>30</v>
      </c>
      <c r="CF171" t="s">
        <v>466</v>
      </c>
      <c r="CG171">
        <v>2577123</v>
      </c>
      <c r="CH171">
        <v>0.04</v>
      </c>
      <c r="CI171">
        <v>103100</v>
      </c>
      <c r="CJ171">
        <v>2577123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 t="s">
        <v>88</v>
      </c>
      <c r="CT171" t="s">
        <v>1441</v>
      </c>
      <c r="CU171" t="s">
        <v>1442</v>
      </c>
    </row>
    <row r="172" spans="1:99">
      <c r="A172" t="s">
        <v>1431</v>
      </c>
      <c r="B172" t="s">
        <v>34</v>
      </c>
      <c r="C172" t="s">
        <v>1950</v>
      </c>
      <c r="D172" t="s">
        <v>1951</v>
      </c>
      <c r="E172" t="s">
        <v>1952</v>
      </c>
      <c r="F172" t="s">
        <v>1953</v>
      </c>
      <c r="G172" t="s">
        <v>1446</v>
      </c>
      <c r="H172" t="s">
        <v>1830</v>
      </c>
      <c r="I172" t="s">
        <v>240</v>
      </c>
      <c r="J172" t="s">
        <v>46</v>
      </c>
      <c r="K172" t="s">
        <v>29</v>
      </c>
      <c r="L172" t="s">
        <v>30</v>
      </c>
      <c r="M172">
        <v>74</v>
      </c>
      <c r="N172" t="s">
        <v>32</v>
      </c>
      <c r="O172" t="s">
        <v>32</v>
      </c>
      <c r="Q172" t="s">
        <v>40</v>
      </c>
      <c r="R172">
        <v>46071</v>
      </c>
      <c r="S172" t="s">
        <v>32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AA172" t="s">
        <v>88</v>
      </c>
      <c r="AB172" t="s">
        <v>32</v>
      </c>
      <c r="AE172" t="s">
        <v>32</v>
      </c>
      <c r="AH172" t="s">
        <v>32</v>
      </c>
      <c r="AK172" t="s">
        <v>32</v>
      </c>
      <c r="AN172" t="s">
        <v>32</v>
      </c>
      <c r="AO172" t="s">
        <v>32</v>
      </c>
      <c r="AR172">
        <v>0</v>
      </c>
      <c r="AU172" t="s">
        <v>32</v>
      </c>
      <c r="AV172">
        <v>2223339</v>
      </c>
      <c r="AW172" t="s">
        <v>32</v>
      </c>
      <c r="AX172" t="s">
        <v>32</v>
      </c>
      <c r="AY172" t="s">
        <v>356</v>
      </c>
      <c r="AZ172">
        <v>13</v>
      </c>
      <c r="BA172">
        <v>988712</v>
      </c>
      <c r="BB172">
        <v>0.16</v>
      </c>
      <c r="BC172">
        <v>158200</v>
      </c>
      <c r="BD172" t="s">
        <v>142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158200</v>
      </c>
      <c r="BK172" t="s">
        <v>25</v>
      </c>
      <c r="BL172" t="s">
        <v>1010</v>
      </c>
      <c r="BM172">
        <v>13</v>
      </c>
      <c r="BN172">
        <v>988712</v>
      </c>
      <c r="BO172">
        <v>0.04</v>
      </c>
      <c r="BP172">
        <v>39600</v>
      </c>
      <c r="BQ172">
        <v>0</v>
      </c>
      <c r="BR172" t="s">
        <v>1438</v>
      </c>
      <c r="BS172">
        <v>0</v>
      </c>
      <c r="BT172" t="s">
        <v>1438</v>
      </c>
      <c r="BU172">
        <v>0</v>
      </c>
      <c r="BV172" t="s">
        <v>25</v>
      </c>
      <c r="BW172" t="s">
        <v>189</v>
      </c>
      <c r="BX172">
        <v>13</v>
      </c>
      <c r="BY172">
        <v>988712</v>
      </c>
      <c r="BZ172">
        <v>6.9599999999999995E-2</v>
      </c>
      <c r="CA172" t="s">
        <v>1439</v>
      </c>
      <c r="CB172" t="s">
        <v>227</v>
      </c>
      <c r="CC172" t="s">
        <v>1440</v>
      </c>
      <c r="CD172">
        <v>68900</v>
      </c>
      <c r="CE172">
        <v>13</v>
      </c>
      <c r="CF172" t="s">
        <v>635</v>
      </c>
      <c r="CG172">
        <v>988712</v>
      </c>
      <c r="CH172">
        <v>0.04</v>
      </c>
      <c r="CI172">
        <v>39600</v>
      </c>
      <c r="CJ172">
        <v>988712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 t="s">
        <v>88</v>
      </c>
      <c r="CT172" t="s">
        <v>1441</v>
      </c>
      <c r="CU172" t="s">
        <v>1442</v>
      </c>
    </row>
    <row r="173" spans="1:99">
      <c r="A173" t="s">
        <v>1431</v>
      </c>
      <c r="B173" t="s">
        <v>34</v>
      </c>
      <c r="C173" t="s">
        <v>1954</v>
      </c>
      <c r="D173" t="s">
        <v>1955</v>
      </c>
      <c r="E173" t="s">
        <v>614</v>
      </c>
      <c r="F173" t="s">
        <v>1506</v>
      </c>
      <c r="G173" t="s">
        <v>1956</v>
      </c>
      <c r="H173" t="s">
        <v>1957</v>
      </c>
      <c r="I173" t="s">
        <v>240</v>
      </c>
      <c r="J173" t="s">
        <v>46</v>
      </c>
      <c r="K173" t="s">
        <v>29</v>
      </c>
      <c r="L173" t="s">
        <v>30</v>
      </c>
      <c r="M173">
        <v>0</v>
      </c>
      <c r="N173" t="s">
        <v>32</v>
      </c>
      <c r="O173" t="s">
        <v>32</v>
      </c>
      <c r="Q173" t="s">
        <v>32</v>
      </c>
      <c r="S173" t="s">
        <v>32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AA173" t="s">
        <v>32</v>
      </c>
      <c r="AB173" t="s">
        <v>32</v>
      </c>
      <c r="AE173" t="s">
        <v>32</v>
      </c>
      <c r="AH173" t="s">
        <v>32</v>
      </c>
      <c r="AK173" t="s">
        <v>128</v>
      </c>
      <c r="AL173">
        <v>46069</v>
      </c>
      <c r="AM173">
        <v>46069</v>
      </c>
      <c r="AN173" t="s">
        <v>32</v>
      </c>
      <c r="AO173" t="s">
        <v>32</v>
      </c>
      <c r="AR173">
        <v>0</v>
      </c>
      <c r="AU173" t="s">
        <v>32</v>
      </c>
      <c r="AV173">
        <v>6384779</v>
      </c>
      <c r="AW173" t="s">
        <v>32</v>
      </c>
      <c r="AX173" t="s">
        <v>32</v>
      </c>
      <c r="AY173" t="s">
        <v>317</v>
      </c>
      <c r="AZ173">
        <v>1</v>
      </c>
      <c r="BA173">
        <v>212826</v>
      </c>
      <c r="BB173">
        <v>0.16</v>
      </c>
      <c r="BC173">
        <v>34100</v>
      </c>
      <c r="BD173" t="s">
        <v>142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34100</v>
      </c>
      <c r="BK173" t="s">
        <v>25</v>
      </c>
      <c r="BL173" t="s">
        <v>1010</v>
      </c>
      <c r="BM173">
        <v>1</v>
      </c>
      <c r="BN173">
        <v>212826</v>
      </c>
      <c r="BO173">
        <v>0.04</v>
      </c>
      <c r="BP173">
        <v>8600</v>
      </c>
      <c r="BQ173">
        <v>0</v>
      </c>
      <c r="BR173" t="s">
        <v>1438</v>
      </c>
      <c r="BS173">
        <v>0</v>
      </c>
      <c r="BT173" t="s">
        <v>1438</v>
      </c>
      <c r="BU173">
        <v>0</v>
      </c>
      <c r="BV173" t="s">
        <v>25</v>
      </c>
      <c r="BW173" t="s">
        <v>189</v>
      </c>
      <c r="BX173">
        <v>1</v>
      </c>
      <c r="BY173">
        <v>212826</v>
      </c>
      <c r="BZ173">
        <v>0</v>
      </c>
      <c r="CA173" t="s">
        <v>1439</v>
      </c>
      <c r="CB173" t="s">
        <v>227</v>
      </c>
      <c r="CC173" t="s">
        <v>1440</v>
      </c>
      <c r="CD173">
        <v>0</v>
      </c>
      <c r="CE173">
        <v>1</v>
      </c>
      <c r="CF173" t="s">
        <v>635</v>
      </c>
      <c r="CG173">
        <v>212826</v>
      </c>
      <c r="CH173">
        <v>0.04</v>
      </c>
      <c r="CI173">
        <v>8600</v>
      </c>
      <c r="CJ173">
        <v>212826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 t="s">
        <v>88</v>
      </c>
      <c r="CT173" t="s">
        <v>1441</v>
      </c>
      <c r="CU173" t="s">
        <v>1442</v>
      </c>
    </row>
    <row r="174" spans="1:99">
      <c r="A174" t="s">
        <v>1431</v>
      </c>
      <c r="B174" t="s">
        <v>34</v>
      </c>
      <c r="C174" t="s">
        <v>1954</v>
      </c>
      <c r="D174" t="s">
        <v>1955</v>
      </c>
      <c r="E174" t="s">
        <v>614</v>
      </c>
      <c r="F174" t="s">
        <v>1506</v>
      </c>
      <c r="G174" t="s">
        <v>1956</v>
      </c>
      <c r="H174" t="s">
        <v>1957</v>
      </c>
      <c r="I174" t="s">
        <v>240</v>
      </c>
      <c r="J174" t="s">
        <v>46</v>
      </c>
      <c r="K174" t="s">
        <v>29</v>
      </c>
      <c r="L174" t="s">
        <v>30</v>
      </c>
      <c r="M174">
        <v>171</v>
      </c>
      <c r="N174" t="s">
        <v>32</v>
      </c>
      <c r="O174" t="s">
        <v>32</v>
      </c>
      <c r="Q174" t="s">
        <v>32</v>
      </c>
      <c r="S174" t="s">
        <v>32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AA174" t="s">
        <v>32</v>
      </c>
      <c r="AB174" t="s">
        <v>32</v>
      </c>
      <c r="AE174" t="s">
        <v>32</v>
      </c>
      <c r="AH174" t="s">
        <v>32</v>
      </c>
      <c r="AK174" t="s">
        <v>32</v>
      </c>
      <c r="AN174" t="s">
        <v>32</v>
      </c>
      <c r="AO174" t="s">
        <v>32</v>
      </c>
      <c r="AR174">
        <v>0</v>
      </c>
      <c r="AU174" t="s">
        <v>32</v>
      </c>
      <c r="AV174">
        <v>6384779</v>
      </c>
      <c r="AW174" t="s">
        <v>32</v>
      </c>
      <c r="AX174" t="s">
        <v>32</v>
      </c>
      <c r="AY174" t="s">
        <v>317</v>
      </c>
      <c r="AZ174">
        <v>29</v>
      </c>
      <c r="BA174">
        <v>6171954</v>
      </c>
      <c r="BB174">
        <v>0.16</v>
      </c>
      <c r="BC174">
        <v>987600</v>
      </c>
      <c r="BD174" t="s">
        <v>142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987600</v>
      </c>
      <c r="BK174" t="s">
        <v>25</v>
      </c>
      <c r="BL174" t="s">
        <v>1010</v>
      </c>
      <c r="BM174">
        <v>29</v>
      </c>
      <c r="BN174">
        <v>6171954</v>
      </c>
      <c r="BO174">
        <v>0.04</v>
      </c>
      <c r="BP174">
        <v>246900</v>
      </c>
      <c r="BQ174">
        <v>0</v>
      </c>
      <c r="BR174" t="s">
        <v>1438</v>
      </c>
      <c r="BS174">
        <v>0</v>
      </c>
      <c r="BT174" t="s">
        <v>1438</v>
      </c>
      <c r="BU174">
        <v>0</v>
      </c>
      <c r="BV174" t="s">
        <v>25</v>
      </c>
      <c r="BW174" t="s">
        <v>189</v>
      </c>
      <c r="BX174">
        <v>29</v>
      </c>
      <c r="BY174">
        <v>6171954</v>
      </c>
      <c r="BZ174">
        <v>6.9599999999999995E-2</v>
      </c>
      <c r="CA174" t="s">
        <v>1439</v>
      </c>
      <c r="CB174" t="s">
        <v>227</v>
      </c>
      <c r="CC174" t="s">
        <v>1440</v>
      </c>
      <c r="CD174">
        <v>429600</v>
      </c>
      <c r="CE174">
        <v>29</v>
      </c>
      <c r="CF174" t="s">
        <v>635</v>
      </c>
      <c r="CG174">
        <v>6171954</v>
      </c>
      <c r="CH174">
        <v>0.04</v>
      </c>
      <c r="CI174">
        <v>246900</v>
      </c>
      <c r="CJ174">
        <v>6171954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 t="s">
        <v>88</v>
      </c>
      <c r="CT174" t="s">
        <v>1441</v>
      </c>
      <c r="CU174" t="s">
        <v>1442</v>
      </c>
    </row>
    <row r="175" spans="1:99">
      <c r="A175" t="s">
        <v>1431</v>
      </c>
      <c r="B175" t="s">
        <v>34</v>
      </c>
      <c r="C175" t="s">
        <v>1958</v>
      </c>
      <c r="D175" t="s">
        <v>1959</v>
      </c>
      <c r="E175" t="s">
        <v>1960</v>
      </c>
      <c r="F175" t="s">
        <v>1961</v>
      </c>
      <c r="G175" t="s">
        <v>1478</v>
      </c>
      <c r="H175" t="s">
        <v>1548</v>
      </c>
      <c r="I175" t="s">
        <v>240</v>
      </c>
      <c r="J175" t="s">
        <v>46</v>
      </c>
      <c r="K175" t="s">
        <v>29</v>
      </c>
      <c r="L175" t="s">
        <v>30</v>
      </c>
      <c r="M175">
        <v>180</v>
      </c>
      <c r="N175" t="s">
        <v>32</v>
      </c>
      <c r="O175" t="s">
        <v>32</v>
      </c>
      <c r="Q175" t="s">
        <v>32</v>
      </c>
      <c r="S175" t="s">
        <v>32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AA175" t="s">
        <v>32</v>
      </c>
      <c r="AB175" t="s">
        <v>32</v>
      </c>
      <c r="AE175" t="s">
        <v>32</v>
      </c>
      <c r="AH175" t="s">
        <v>32</v>
      </c>
      <c r="AK175" t="s">
        <v>32</v>
      </c>
      <c r="AN175" t="s">
        <v>32</v>
      </c>
      <c r="AO175" t="s">
        <v>32</v>
      </c>
      <c r="AR175">
        <v>0</v>
      </c>
      <c r="AU175" t="s">
        <v>32</v>
      </c>
      <c r="AV175">
        <v>4152090</v>
      </c>
      <c r="AW175" t="s">
        <v>32</v>
      </c>
      <c r="AX175" t="s">
        <v>32</v>
      </c>
      <c r="AY175" t="s">
        <v>185</v>
      </c>
      <c r="AZ175">
        <v>30</v>
      </c>
      <c r="BA175">
        <v>4152090</v>
      </c>
      <c r="BB175">
        <v>0.16</v>
      </c>
      <c r="BC175">
        <v>664400</v>
      </c>
      <c r="BD175" t="s">
        <v>142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664400</v>
      </c>
      <c r="BK175" t="s">
        <v>25</v>
      </c>
      <c r="BL175" t="s">
        <v>1071</v>
      </c>
      <c r="BM175">
        <v>30</v>
      </c>
      <c r="BN175">
        <v>4152090</v>
      </c>
      <c r="BO175">
        <v>0.04</v>
      </c>
      <c r="BP175">
        <v>166100</v>
      </c>
      <c r="BQ175">
        <v>0</v>
      </c>
      <c r="BR175" t="s">
        <v>1438</v>
      </c>
      <c r="BS175">
        <v>0</v>
      </c>
      <c r="BT175" t="s">
        <v>1438</v>
      </c>
      <c r="BU175">
        <v>0</v>
      </c>
      <c r="BV175" t="s">
        <v>25</v>
      </c>
      <c r="BW175" t="s">
        <v>189</v>
      </c>
      <c r="BX175">
        <v>30</v>
      </c>
      <c r="BY175">
        <v>4152090</v>
      </c>
      <c r="BZ175">
        <v>6.9599999999999995E-2</v>
      </c>
      <c r="CA175" t="s">
        <v>1439</v>
      </c>
      <c r="CB175" t="s">
        <v>227</v>
      </c>
      <c r="CC175" t="s">
        <v>1440</v>
      </c>
      <c r="CD175">
        <v>289000</v>
      </c>
      <c r="CE175">
        <v>30</v>
      </c>
      <c r="CF175" t="s">
        <v>635</v>
      </c>
      <c r="CG175">
        <v>4152090</v>
      </c>
      <c r="CH175">
        <v>0.04</v>
      </c>
      <c r="CI175">
        <v>166100</v>
      </c>
      <c r="CJ175">
        <v>4152090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 t="s">
        <v>88</v>
      </c>
      <c r="CT175" t="s">
        <v>1441</v>
      </c>
      <c r="CU175" t="s">
        <v>1442</v>
      </c>
    </row>
    <row r="176" spans="1:99">
      <c r="A176" t="s">
        <v>1431</v>
      </c>
      <c r="B176" t="s">
        <v>34</v>
      </c>
      <c r="C176" t="s">
        <v>1962</v>
      </c>
      <c r="D176" t="s">
        <v>1963</v>
      </c>
      <c r="E176" t="s">
        <v>1471</v>
      </c>
      <c r="F176" t="s">
        <v>1964</v>
      </c>
      <c r="G176" t="s">
        <v>1965</v>
      </c>
      <c r="H176" t="s">
        <v>1468</v>
      </c>
      <c r="I176" t="s">
        <v>240</v>
      </c>
      <c r="J176" t="s">
        <v>46</v>
      </c>
      <c r="K176" t="s">
        <v>29</v>
      </c>
      <c r="L176" t="s">
        <v>30</v>
      </c>
      <c r="M176">
        <v>218</v>
      </c>
      <c r="N176" t="s">
        <v>32</v>
      </c>
      <c r="O176" t="s">
        <v>32</v>
      </c>
      <c r="Q176" t="s">
        <v>32</v>
      </c>
      <c r="S176" t="s">
        <v>32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AA176" t="s">
        <v>88</v>
      </c>
      <c r="AB176" t="s">
        <v>32</v>
      </c>
      <c r="AE176" t="s">
        <v>32</v>
      </c>
      <c r="AH176" t="s">
        <v>32</v>
      </c>
      <c r="AK176" t="s">
        <v>32</v>
      </c>
      <c r="AN176" t="s">
        <v>32</v>
      </c>
      <c r="AO176" t="s">
        <v>32</v>
      </c>
      <c r="AR176">
        <v>0</v>
      </c>
      <c r="AU176" t="s">
        <v>32</v>
      </c>
      <c r="AV176">
        <v>2223339</v>
      </c>
      <c r="AW176" t="s">
        <v>32</v>
      </c>
      <c r="AX176" t="s">
        <v>32</v>
      </c>
      <c r="AY176" t="s">
        <v>393</v>
      </c>
      <c r="AZ176">
        <v>30</v>
      </c>
      <c r="BA176">
        <v>3015186</v>
      </c>
      <c r="BB176">
        <v>0.16</v>
      </c>
      <c r="BC176">
        <v>482500</v>
      </c>
      <c r="BD176" t="s">
        <v>142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482500</v>
      </c>
      <c r="BK176" t="s">
        <v>25</v>
      </c>
      <c r="BL176" t="s">
        <v>1064</v>
      </c>
      <c r="BM176">
        <v>30</v>
      </c>
      <c r="BN176">
        <v>3015186</v>
      </c>
      <c r="BO176">
        <v>0.04</v>
      </c>
      <c r="BP176">
        <v>120700</v>
      </c>
      <c r="BQ176">
        <v>0</v>
      </c>
      <c r="BR176" t="s">
        <v>1438</v>
      </c>
      <c r="BS176">
        <v>0</v>
      </c>
      <c r="BT176" t="s">
        <v>1438</v>
      </c>
      <c r="BU176">
        <v>0</v>
      </c>
      <c r="BV176" t="s">
        <v>25</v>
      </c>
      <c r="BW176" t="s">
        <v>189</v>
      </c>
      <c r="BX176">
        <v>30</v>
      </c>
      <c r="BY176">
        <v>3015186</v>
      </c>
      <c r="BZ176">
        <v>6.9599999999999995E-2</v>
      </c>
      <c r="CA176" t="s">
        <v>1439</v>
      </c>
      <c r="CB176" t="s">
        <v>227</v>
      </c>
      <c r="CC176" t="s">
        <v>1440</v>
      </c>
      <c r="CD176">
        <v>209900</v>
      </c>
      <c r="CE176">
        <v>30</v>
      </c>
      <c r="CF176" t="s">
        <v>635</v>
      </c>
      <c r="CG176">
        <v>3015186</v>
      </c>
      <c r="CH176">
        <v>0.04</v>
      </c>
      <c r="CI176">
        <v>120700</v>
      </c>
      <c r="CJ176">
        <v>3015186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 t="s">
        <v>88</v>
      </c>
      <c r="CT176" t="s">
        <v>1441</v>
      </c>
      <c r="CU176" t="s">
        <v>1442</v>
      </c>
    </row>
    <row r="177" spans="1:99">
      <c r="A177" t="s">
        <v>1431</v>
      </c>
      <c r="B177" t="s">
        <v>34</v>
      </c>
      <c r="C177" t="s">
        <v>1966</v>
      </c>
      <c r="D177" t="s">
        <v>1967</v>
      </c>
      <c r="E177" t="s">
        <v>916</v>
      </c>
      <c r="F177" t="s">
        <v>1506</v>
      </c>
      <c r="G177" t="s">
        <v>1436</v>
      </c>
      <c r="H177" t="s">
        <v>1968</v>
      </c>
      <c r="I177" t="s">
        <v>682</v>
      </c>
      <c r="J177" t="s">
        <v>484</v>
      </c>
      <c r="K177" t="s">
        <v>29</v>
      </c>
      <c r="L177" t="s">
        <v>30</v>
      </c>
      <c r="M177">
        <v>117</v>
      </c>
      <c r="N177" t="s">
        <v>32</v>
      </c>
      <c r="O177" t="s">
        <v>32</v>
      </c>
      <c r="Q177" t="s">
        <v>32</v>
      </c>
      <c r="S177" t="s">
        <v>40</v>
      </c>
      <c r="T177">
        <v>46071</v>
      </c>
      <c r="U177" t="s">
        <v>32</v>
      </c>
      <c r="V177" t="s">
        <v>32</v>
      </c>
      <c r="W177" t="s">
        <v>32</v>
      </c>
      <c r="X177" t="s">
        <v>32</v>
      </c>
      <c r="Y177" t="s">
        <v>88</v>
      </c>
      <c r="Z177">
        <v>46054</v>
      </c>
      <c r="AA177" t="s">
        <v>32</v>
      </c>
      <c r="AB177" t="s">
        <v>32</v>
      </c>
      <c r="AE177" t="s">
        <v>32</v>
      </c>
      <c r="AH177" t="s">
        <v>32</v>
      </c>
      <c r="AK177" t="s">
        <v>32</v>
      </c>
      <c r="AN177" t="s">
        <v>32</v>
      </c>
      <c r="AO177" t="s">
        <v>32</v>
      </c>
      <c r="AR177">
        <v>0</v>
      </c>
      <c r="AU177" t="s">
        <v>32</v>
      </c>
      <c r="AV177">
        <v>4798033</v>
      </c>
      <c r="AW177" t="s">
        <v>32</v>
      </c>
      <c r="AX177" t="s">
        <v>32</v>
      </c>
      <c r="AY177" t="s">
        <v>185</v>
      </c>
      <c r="AZ177">
        <v>18</v>
      </c>
      <c r="BA177">
        <v>3360524</v>
      </c>
      <c r="BB177">
        <v>0.16</v>
      </c>
      <c r="BC177">
        <v>537700</v>
      </c>
      <c r="BD177" t="s">
        <v>142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537700</v>
      </c>
      <c r="BK177" t="s">
        <v>25</v>
      </c>
      <c r="BL177" t="s">
        <v>1071</v>
      </c>
      <c r="BM177">
        <v>18</v>
      </c>
      <c r="BN177">
        <v>3360524</v>
      </c>
      <c r="BO177">
        <v>0.04</v>
      </c>
      <c r="BP177">
        <v>134500</v>
      </c>
      <c r="BQ177">
        <v>0</v>
      </c>
      <c r="BR177" t="s">
        <v>1438</v>
      </c>
      <c r="BS177">
        <v>0</v>
      </c>
      <c r="BT177" t="s">
        <v>1438</v>
      </c>
      <c r="BU177">
        <v>0</v>
      </c>
      <c r="BV177" t="s">
        <v>25</v>
      </c>
      <c r="BW177" t="s">
        <v>189</v>
      </c>
      <c r="BX177">
        <v>18</v>
      </c>
      <c r="BY177">
        <v>3360524</v>
      </c>
      <c r="BZ177">
        <v>6.9599999999999995E-2</v>
      </c>
      <c r="CA177" t="s">
        <v>1439</v>
      </c>
      <c r="CB177" t="s">
        <v>312</v>
      </c>
      <c r="CC177" t="s">
        <v>1440</v>
      </c>
      <c r="CD177">
        <v>233900</v>
      </c>
      <c r="CE177">
        <v>18</v>
      </c>
      <c r="CF177" t="s">
        <v>466</v>
      </c>
      <c r="CG177">
        <v>6440560</v>
      </c>
      <c r="CH177">
        <v>0.04</v>
      </c>
      <c r="CI177">
        <v>257700</v>
      </c>
      <c r="CJ177">
        <v>6440560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 t="s">
        <v>88</v>
      </c>
      <c r="CT177" t="s">
        <v>1441</v>
      </c>
      <c r="CU177" t="s">
        <v>1442</v>
      </c>
    </row>
    <row r="178" spans="1:99">
      <c r="A178" t="s">
        <v>1431</v>
      </c>
      <c r="B178" t="s">
        <v>34</v>
      </c>
      <c r="C178" t="s">
        <v>1969</v>
      </c>
      <c r="D178" t="s">
        <v>1970</v>
      </c>
      <c r="E178" t="s">
        <v>1971</v>
      </c>
      <c r="F178" t="s">
        <v>1972</v>
      </c>
      <c r="G178" t="s">
        <v>1973</v>
      </c>
      <c r="H178" t="s">
        <v>1876</v>
      </c>
      <c r="I178" t="s">
        <v>240</v>
      </c>
      <c r="J178" t="s">
        <v>46</v>
      </c>
      <c r="K178" t="s">
        <v>29</v>
      </c>
      <c r="L178" t="s">
        <v>30</v>
      </c>
      <c r="M178">
        <v>196</v>
      </c>
      <c r="N178" t="s">
        <v>32</v>
      </c>
      <c r="O178" t="s">
        <v>32</v>
      </c>
      <c r="Q178" t="s">
        <v>32</v>
      </c>
      <c r="S178" t="s">
        <v>32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AA178" t="s">
        <v>88</v>
      </c>
      <c r="AB178" t="s">
        <v>32</v>
      </c>
      <c r="AE178" t="s">
        <v>32</v>
      </c>
      <c r="AH178" t="s">
        <v>32</v>
      </c>
      <c r="AK178" t="s">
        <v>32</v>
      </c>
      <c r="AN178" t="s">
        <v>32</v>
      </c>
      <c r="AO178" t="s">
        <v>32</v>
      </c>
      <c r="AR178">
        <v>0</v>
      </c>
      <c r="AU178" t="s">
        <v>32</v>
      </c>
      <c r="AV178">
        <v>1750905</v>
      </c>
      <c r="AW178" t="s">
        <v>32</v>
      </c>
      <c r="AX178" t="s">
        <v>32</v>
      </c>
      <c r="AY178" t="s">
        <v>317</v>
      </c>
      <c r="AZ178">
        <v>30</v>
      </c>
      <c r="BA178">
        <v>1830493</v>
      </c>
      <c r="BB178">
        <v>0.16</v>
      </c>
      <c r="BC178">
        <v>292900</v>
      </c>
      <c r="BD178" t="s">
        <v>142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292900</v>
      </c>
      <c r="BK178" t="s">
        <v>25</v>
      </c>
      <c r="BL178" t="s">
        <v>885</v>
      </c>
      <c r="BM178">
        <v>30</v>
      </c>
      <c r="BN178">
        <v>1830493</v>
      </c>
      <c r="BO178">
        <v>0.04</v>
      </c>
      <c r="BP178">
        <v>73300</v>
      </c>
      <c r="BQ178">
        <v>0</v>
      </c>
      <c r="BR178" t="s">
        <v>1438</v>
      </c>
      <c r="BS178">
        <v>0</v>
      </c>
      <c r="BT178" t="s">
        <v>1438</v>
      </c>
      <c r="BU178">
        <v>0</v>
      </c>
      <c r="BV178" t="s">
        <v>25</v>
      </c>
      <c r="BW178" t="s">
        <v>189</v>
      </c>
      <c r="BX178">
        <v>30</v>
      </c>
      <c r="BY178">
        <v>1830493</v>
      </c>
      <c r="BZ178">
        <v>2.436E-2</v>
      </c>
      <c r="CA178" t="s">
        <v>1772</v>
      </c>
      <c r="CB178" t="s">
        <v>227</v>
      </c>
      <c r="CC178" t="s">
        <v>1773</v>
      </c>
      <c r="CD178">
        <v>44600</v>
      </c>
      <c r="CE178">
        <v>30</v>
      </c>
      <c r="CF178" t="s">
        <v>635</v>
      </c>
      <c r="CG178">
        <v>1830493</v>
      </c>
      <c r="CH178">
        <v>0.04</v>
      </c>
      <c r="CI178">
        <v>73300</v>
      </c>
      <c r="CJ178">
        <v>1830493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 t="s">
        <v>88</v>
      </c>
      <c r="CT178" t="s">
        <v>1441</v>
      </c>
      <c r="CU178" t="s">
        <v>1442</v>
      </c>
    </row>
    <row r="179" spans="1:99">
      <c r="A179" t="s">
        <v>1431</v>
      </c>
      <c r="B179" t="s">
        <v>34</v>
      </c>
      <c r="C179" t="s">
        <v>1974</v>
      </c>
      <c r="D179" t="s">
        <v>1975</v>
      </c>
      <c r="E179" t="s">
        <v>1976</v>
      </c>
      <c r="F179" t="s">
        <v>1977</v>
      </c>
      <c r="G179" t="s">
        <v>1978</v>
      </c>
      <c r="H179" t="s">
        <v>1933</v>
      </c>
      <c r="I179" t="s">
        <v>240</v>
      </c>
      <c r="J179" t="s">
        <v>46</v>
      </c>
      <c r="K179" t="s">
        <v>29</v>
      </c>
      <c r="L179" t="s">
        <v>30</v>
      </c>
      <c r="M179">
        <v>188</v>
      </c>
      <c r="N179" t="s">
        <v>32</v>
      </c>
      <c r="O179" t="s">
        <v>32</v>
      </c>
      <c r="Q179" t="s">
        <v>32</v>
      </c>
      <c r="S179" t="s">
        <v>32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AA179" t="s">
        <v>32</v>
      </c>
      <c r="AB179" t="s">
        <v>32</v>
      </c>
      <c r="AE179" t="s">
        <v>32</v>
      </c>
      <c r="AH179" t="s">
        <v>32</v>
      </c>
      <c r="AK179" t="s">
        <v>32</v>
      </c>
      <c r="AN179" t="s">
        <v>32</v>
      </c>
      <c r="AO179" t="s">
        <v>32</v>
      </c>
      <c r="AR179">
        <v>0</v>
      </c>
      <c r="AU179" t="s">
        <v>32</v>
      </c>
      <c r="AV179">
        <v>3360265</v>
      </c>
      <c r="AW179" t="s">
        <v>32</v>
      </c>
      <c r="AX179" t="s">
        <v>32</v>
      </c>
      <c r="AY179" t="s">
        <v>317</v>
      </c>
      <c r="AZ179">
        <v>30</v>
      </c>
      <c r="BA179">
        <v>3360265</v>
      </c>
      <c r="BB179">
        <v>0.16</v>
      </c>
      <c r="BC179">
        <v>537700</v>
      </c>
      <c r="BD179" t="s">
        <v>142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537700</v>
      </c>
      <c r="BK179" t="s">
        <v>25</v>
      </c>
      <c r="BL179" t="s">
        <v>1064</v>
      </c>
      <c r="BM179">
        <v>30</v>
      </c>
      <c r="BN179">
        <v>3360265</v>
      </c>
      <c r="BO179">
        <v>0.04</v>
      </c>
      <c r="BP179">
        <v>134500</v>
      </c>
      <c r="BQ179">
        <v>0</v>
      </c>
      <c r="BR179" t="s">
        <v>1438</v>
      </c>
      <c r="BS179">
        <v>0</v>
      </c>
      <c r="BT179" t="s">
        <v>1438</v>
      </c>
      <c r="BU179">
        <v>0</v>
      </c>
      <c r="BV179" t="s">
        <v>25</v>
      </c>
      <c r="BW179" t="s">
        <v>189</v>
      </c>
      <c r="BX179">
        <v>30</v>
      </c>
      <c r="BY179">
        <v>3360265</v>
      </c>
      <c r="BZ179">
        <v>2.436E-2</v>
      </c>
      <c r="CA179" t="s">
        <v>1772</v>
      </c>
      <c r="CB179" t="s">
        <v>227</v>
      </c>
      <c r="CC179" t="s">
        <v>1773</v>
      </c>
      <c r="CD179">
        <v>81900</v>
      </c>
      <c r="CE179">
        <v>30</v>
      </c>
      <c r="CF179" t="s">
        <v>635</v>
      </c>
      <c r="CG179">
        <v>3360265</v>
      </c>
      <c r="CH179">
        <v>0.04</v>
      </c>
      <c r="CI179">
        <v>134500</v>
      </c>
      <c r="CJ179">
        <v>3360265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 t="s">
        <v>88</v>
      </c>
      <c r="CT179" t="s">
        <v>1441</v>
      </c>
      <c r="CU179" t="s">
        <v>1442</v>
      </c>
    </row>
    <row r="180" spans="1:99">
      <c r="A180" t="s">
        <v>1431</v>
      </c>
      <c r="B180" t="s">
        <v>34</v>
      </c>
      <c r="C180" t="s">
        <v>1979</v>
      </c>
      <c r="D180" t="s">
        <v>1980</v>
      </c>
      <c r="E180" t="s">
        <v>1466</v>
      </c>
      <c r="F180" t="s">
        <v>1981</v>
      </c>
      <c r="G180" t="s">
        <v>1901</v>
      </c>
      <c r="H180" t="s">
        <v>1468</v>
      </c>
      <c r="I180" t="s">
        <v>240</v>
      </c>
      <c r="J180" t="s">
        <v>46</v>
      </c>
      <c r="K180" t="s">
        <v>29</v>
      </c>
      <c r="L180" t="s">
        <v>30</v>
      </c>
      <c r="M180">
        <v>218</v>
      </c>
      <c r="N180" t="s">
        <v>32</v>
      </c>
      <c r="O180" t="s">
        <v>32</v>
      </c>
      <c r="Q180" t="s">
        <v>32</v>
      </c>
      <c r="S180" t="s">
        <v>32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AA180" t="s">
        <v>88</v>
      </c>
      <c r="AB180" t="s">
        <v>32</v>
      </c>
      <c r="AE180" t="s">
        <v>32</v>
      </c>
      <c r="AH180" t="s">
        <v>32</v>
      </c>
      <c r="AK180" t="s">
        <v>32</v>
      </c>
      <c r="AN180" t="s">
        <v>32</v>
      </c>
      <c r="AO180" t="s">
        <v>32</v>
      </c>
      <c r="AR180">
        <v>0</v>
      </c>
      <c r="AU180" t="s">
        <v>32</v>
      </c>
      <c r="AV180">
        <v>1750905</v>
      </c>
      <c r="AW180" t="s">
        <v>32</v>
      </c>
      <c r="AX180" t="s">
        <v>32</v>
      </c>
      <c r="AY180" t="s">
        <v>317</v>
      </c>
      <c r="AZ180">
        <v>30</v>
      </c>
      <c r="BA180">
        <v>2368367</v>
      </c>
      <c r="BB180">
        <v>0.16</v>
      </c>
      <c r="BC180">
        <v>379000</v>
      </c>
      <c r="BD180" t="s">
        <v>142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379000</v>
      </c>
      <c r="BK180" t="s">
        <v>25</v>
      </c>
      <c r="BL180" t="s">
        <v>870</v>
      </c>
      <c r="BM180">
        <v>30</v>
      </c>
      <c r="BN180">
        <v>2368367</v>
      </c>
      <c r="BO180">
        <v>0.04</v>
      </c>
      <c r="BP180">
        <v>94800</v>
      </c>
      <c r="BQ180">
        <v>0</v>
      </c>
      <c r="BR180" t="s">
        <v>1438</v>
      </c>
      <c r="BS180">
        <v>0</v>
      </c>
      <c r="BT180" t="s">
        <v>1438</v>
      </c>
      <c r="BU180">
        <v>0</v>
      </c>
      <c r="BV180" t="s">
        <v>25</v>
      </c>
      <c r="BW180" t="s">
        <v>189</v>
      </c>
      <c r="BX180">
        <v>30</v>
      </c>
      <c r="BY180">
        <v>2368367</v>
      </c>
      <c r="BZ180">
        <v>6.9599999999999995E-2</v>
      </c>
      <c r="CA180" t="s">
        <v>1439</v>
      </c>
      <c r="CB180" t="s">
        <v>227</v>
      </c>
      <c r="CC180" t="s">
        <v>1440</v>
      </c>
      <c r="CD180">
        <v>164900</v>
      </c>
      <c r="CE180">
        <v>30</v>
      </c>
      <c r="CF180" t="s">
        <v>635</v>
      </c>
      <c r="CG180">
        <v>2368367</v>
      </c>
      <c r="CH180">
        <v>0.04</v>
      </c>
      <c r="CI180">
        <v>94800</v>
      </c>
      <c r="CJ180">
        <v>2368367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 t="s">
        <v>88</v>
      </c>
      <c r="CT180" t="s">
        <v>1441</v>
      </c>
      <c r="CU180" t="s">
        <v>1442</v>
      </c>
    </row>
    <row r="181" spans="1:99">
      <c r="A181" t="s">
        <v>1431</v>
      </c>
      <c r="B181" t="s">
        <v>34</v>
      </c>
      <c r="C181" t="s">
        <v>1982</v>
      </c>
      <c r="D181" t="s">
        <v>1983</v>
      </c>
      <c r="E181" t="s">
        <v>1913</v>
      </c>
      <c r="F181" t="s">
        <v>1526</v>
      </c>
      <c r="G181" t="s">
        <v>1479</v>
      </c>
      <c r="H181" t="s">
        <v>1984</v>
      </c>
      <c r="I181" t="s">
        <v>240</v>
      </c>
      <c r="J181" t="s">
        <v>46</v>
      </c>
      <c r="K181" t="s">
        <v>29</v>
      </c>
      <c r="L181" t="s">
        <v>30</v>
      </c>
      <c r="M181">
        <v>199</v>
      </c>
      <c r="N181" t="s">
        <v>32</v>
      </c>
      <c r="O181" t="s">
        <v>32</v>
      </c>
      <c r="Q181" t="s">
        <v>40</v>
      </c>
      <c r="R181">
        <v>46055</v>
      </c>
      <c r="S181" t="s">
        <v>32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AA181" t="s">
        <v>88</v>
      </c>
      <c r="AB181" t="s">
        <v>32</v>
      </c>
      <c r="AE181" t="s">
        <v>32</v>
      </c>
      <c r="AH181" t="s">
        <v>32</v>
      </c>
      <c r="AK181" t="s">
        <v>32</v>
      </c>
      <c r="AN181" t="s">
        <v>32</v>
      </c>
      <c r="AO181" t="s">
        <v>32</v>
      </c>
      <c r="AR181">
        <v>0</v>
      </c>
      <c r="AU181" t="s">
        <v>32</v>
      </c>
      <c r="AV181">
        <v>2891569</v>
      </c>
      <c r="AW181" t="s">
        <v>32</v>
      </c>
      <c r="AX181" t="s">
        <v>32</v>
      </c>
      <c r="AY181" t="s">
        <v>137</v>
      </c>
      <c r="AZ181">
        <v>29</v>
      </c>
      <c r="BA181">
        <v>3107342</v>
      </c>
      <c r="BB181">
        <v>0.16</v>
      </c>
      <c r="BC181">
        <v>497200</v>
      </c>
      <c r="BD181" t="s">
        <v>142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497200</v>
      </c>
      <c r="BK181" t="s">
        <v>25</v>
      </c>
      <c r="BL181" t="s">
        <v>1064</v>
      </c>
      <c r="BM181">
        <v>29</v>
      </c>
      <c r="BN181">
        <v>3107342</v>
      </c>
      <c r="BO181">
        <v>0.04</v>
      </c>
      <c r="BP181">
        <v>124300</v>
      </c>
      <c r="BQ181">
        <v>0</v>
      </c>
      <c r="BR181" t="s">
        <v>1438</v>
      </c>
      <c r="BS181">
        <v>0</v>
      </c>
      <c r="BT181" t="s">
        <v>1438</v>
      </c>
      <c r="BU181">
        <v>0</v>
      </c>
      <c r="BV181" t="s">
        <v>25</v>
      </c>
      <c r="BW181" t="s">
        <v>189</v>
      </c>
      <c r="BX181">
        <v>29</v>
      </c>
      <c r="BY181">
        <v>3107342</v>
      </c>
      <c r="BZ181">
        <v>6.9599999999999995E-2</v>
      </c>
      <c r="CA181" t="s">
        <v>1439</v>
      </c>
      <c r="CB181" t="s">
        <v>227</v>
      </c>
      <c r="CC181" t="s">
        <v>1440</v>
      </c>
      <c r="CD181">
        <v>216300</v>
      </c>
      <c r="CE181">
        <v>29</v>
      </c>
      <c r="CF181" t="s">
        <v>635</v>
      </c>
      <c r="CG181">
        <v>3107342</v>
      </c>
      <c r="CH181">
        <v>0.04</v>
      </c>
      <c r="CI181">
        <v>124300</v>
      </c>
      <c r="CJ181">
        <v>3107342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 t="s">
        <v>88</v>
      </c>
      <c r="CT181" t="s">
        <v>1441</v>
      </c>
      <c r="CU181" t="s">
        <v>1442</v>
      </c>
    </row>
    <row r="182" spans="1:99">
      <c r="A182" t="s">
        <v>1431</v>
      </c>
      <c r="B182" t="s">
        <v>34</v>
      </c>
      <c r="C182" t="s">
        <v>1985</v>
      </c>
      <c r="D182" t="s">
        <v>1986</v>
      </c>
      <c r="E182" t="s">
        <v>1987</v>
      </c>
      <c r="F182" t="s">
        <v>1988</v>
      </c>
      <c r="G182" t="s">
        <v>1478</v>
      </c>
      <c r="H182" t="s">
        <v>1840</v>
      </c>
      <c r="I182" t="s">
        <v>240</v>
      </c>
      <c r="J182" t="s">
        <v>46</v>
      </c>
      <c r="K182" t="s">
        <v>29</v>
      </c>
      <c r="L182" t="s">
        <v>30</v>
      </c>
      <c r="M182">
        <v>188</v>
      </c>
      <c r="N182" t="s">
        <v>32</v>
      </c>
      <c r="O182" t="s">
        <v>32</v>
      </c>
      <c r="Q182" t="s">
        <v>32</v>
      </c>
      <c r="S182" t="s">
        <v>32</v>
      </c>
      <c r="U182" t="s">
        <v>32</v>
      </c>
      <c r="V182" t="s">
        <v>32</v>
      </c>
      <c r="W182" t="s">
        <v>32</v>
      </c>
      <c r="X182" t="s">
        <v>32</v>
      </c>
      <c r="Y182" t="s">
        <v>88</v>
      </c>
      <c r="Z182">
        <v>46054</v>
      </c>
      <c r="AA182" t="s">
        <v>32</v>
      </c>
      <c r="AB182" t="s">
        <v>32</v>
      </c>
      <c r="AE182" t="s">
        <v>32</v>
      </c>
      <c r="AH182" t="s">
        <v>32</v>
      </c>
      <c r="AK182" t="s">
        <v>32</v>
      </c>
      <c r="AN182" t="s">
        <v>32</v>
      </c>
      <c r="AO182" t="s">
        <v>32</v>
      </c>
      <c r="AR182">
        <v>0</v>
      </c>
      <c r="AU182" t="s">
        <v>32</v>
      </c>
      <c r="AV182">
        <v>3207525</v>
      </c>
      <c r="AW182" t="s">
        <v>32</v>
      </c>
      <c r="AX182" t="s">
        <v>32</v>
      </c>
      <c r="AY182" t="s">
        <v>317</v>
      </c>
      <c r="AZ182">
        <v>30</v>
      </c>
      <c r="BA182">
        <v>5747910</v>
      </c>
      <c r="BB182">
        <v>0.16</v>
      </c>
      <c r="BC182">
        <v>919700</v>
      </c>
      <c r="BD182" t="s">
        <v>142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919700</v>
      </c>
      <c r="BK182" t="s">
        <v>25</v>
      </c>
      <c r="BL182" t="s">
        <v>1010</v>
      </c>
      <c r="BM182">
        <v>30</v>
      </c>
      <c r="BN182">
        <v>5747910</v>
      </c>
      <c r="BO182">
        <v>0.04</v>
      </c>
      <c r="BP182">
        <v>230000</v>
      </c>
      <c r="BQ182">
        <v>0</v>
      </c>
      <c r="BR182" t="s">
        <v>1438</v>
      </c>
      <c r="BS182">
        <v>0</v>
      </c>
      <c r="BT182" t="s">
        <v>1438</v>
      </c>
      <c r="BU182">
        <v>0</v>
      </c>
      <c r="BV182" t="s">
        <v>25</v>
      </c>
      <c r="BW182" t="s">
        <v>189</v>
      </c>
      <c r="BX182">
        <v>30</v>
      </c>
      <c r="BY182">
        <v>5747910</v>
      </c>
      <c r="BZ182">
        <v>5.2199999999999998E-3</v>
      </c>
      <c r="CA182" t="s">
        <v>1592</v>
      </c>
      <c r="CB182" t="s">
        <v>227</v>
      </c>
      <c r="CC182" t="s">
        <v>1593</v>
      </c>
      <c r="CD182">
        <v>30100</v>
      </c>
      <c r="CE182">
        <v>30</v>
      </c>
      <c r="CF182" t="s">
        <v>635</v>
      </c>
      <c r="CG182">
        <v>3207525</v>
      </c>
      <c r="CH182">
        <v>0.04</v>
      </c>
      <c r="CI182">
        <v>128400</v>
      </c>
      <c r="CJ182">
        <v>3207525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 t="s">
        <v>88</v>
      </c>
      <c r="CT182" t="s">
        <v>1441</v>
      </c>
      <c r="CU182" t="s">
        <v>1442</v>
      </c>
    </row>
    <row r="183" spans="1:99">
      <c r="A183" t="s">
        <v>1431</v>
      </c>
      <c r="B183" t="s">
        <v>34</v>
      </c>
      <c r="C183" t="s">
        <v>1989</v>
      </c>
      <c r="D183" t="s">
        <v>1990</v>
      </c>
      <c r="E183" t="s">
        <v>510</v>
      </c>
      <c r="F183" t="s">
        <v>1090</v>
      </c>
      <c r="G183" t="s">
        <v>1991</v>
      </c>
      <c r="H183" t="s">
        <v>1543</v>
      </c>
      <c r="I183" t="s">
        <v>240</v>
      </c>
      <c r="J183" t="s">
        <v>46</v>
      </c>
      <c r="K183" t="s">
        <v>29</v>
      </c>
      <c r="L183" t="s">
        <v>30</v>
      </c>
      <c r="M183">
        <v>0</v>
      </c>
      <c r="N183" t="s">
        <v>32</v>
      </c>
      <c r="O183" t="s">
        <v>32</v>
      </c>
      <c r="Q183" t="s">
        <v>32</v>
      </c>
      <c r="S183" t="s">
        <v>32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AA183" t="s">
        <v>32</v>
      </c>
      <c r="AB183" t="s">
        <v>37</v>
      </c>
      <c r="AC183">
        <v>46069</v>
      </c>
      <c r="AD183">
        <v>46069</v>
      </c>
      <c r="AE183" t="s">
        <v>32</v>
      </c>
      <c r="AH183" t="s">
        <v>32</v>
      </c>
      <c r="AK183" t="s">
        <v>32</v>
      </c>
      <c r="AN183" t="s">
        <v>32</v>
      </c>
      <c r="AO183" t="s">
        <v>32</v>
      </c>
      <c r="AR183">
        <v>0</v>
      </c>
      <c r="AU183" t="s">
        <v>32</v>
      </c>
      <c r="AV183">
        <v>2223339</v>
      </c>
      <c r="AW183" t="s">
        <v>32</v>
      </c>
      <c r="AX183" t="s">
        <v>32</v>
      </c>
      <c r="AY183" t="s">
        <v>317</v>
      </c>
      <c r="AZ183">
        <v>1</v>
      </c>
      <c r="BA183">
        <v>74112</v>
      </c>
      <c r="BB183">
        <v>0.16</v>
      </c>
      <c r="BC183">
        <v>11900</v>
      </c>
      <c r="BD183" t="s">
        <v>142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11900</v>
      </c>
      <c r="BK183" t="s">
        <v>25</v>
      </c>
      <c r="BL183" t="s">
        <v>1010</v>
      </c>
      <c r="BM183">
        <v>1</v>
      </c>
      <c r="BN183">
        <v>74112</v>
      </c>
      <c r="BO183">
        <v>0</v>
      </c>
      <c r="BP183">
        <v>0</v>
      </c>
      <c r="BQ183">
        <v>0</v>
      </c>
      <c r="BR183" t="s">
        <v>1438</v>
      </c>
      <c r="BS183">
        <v>0</v>
      </c>
      <c r="BT183" t="s">
        <v>1438</v>
      </c>
      <c r="BU183">
        <v>0</v>
      </c>
      <c r="BV183" t="s">
        <v>25</v>
      </c>
      <c r="BW183" t="s">
        <v>189</v>
      </c>
      <c r="BX183">
        <v>1</v>
      </c>
      <c r="BY183">
        <v>74112</v>
      </c>
      <c r="BZ183">
        <v>0</v>
      </c>
      <c r="CA183" t="s">
        <v>1439</v>
      </c>
      <c r="CB183" t="s">
        <v>227</v>
      </c>
      <c r="CC183" t="s">
        <v>1440</v>
      </c>
      <c r="CD183">
        <v>0</v>
      </c>
      <c r="CE183">
        <v>1</v>
      </c>
      <c r="CF183" t="s">
        <v>635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 t="s">
        <v>88</v>
      </c>
      <c r="CT183" t="s">
        <v>1441</v>
      </c>
      <c r="CU183" t="s">
        <v>1442</v>
      </c>
    </row>
    <row r="184" spans="1:99">
      <c r="A184" t="s">
        <v>1431</v>
      </c>
      <c r="B184" t="s">
        <v>34</v>
      </c>
      <c r="C184" t="s">
        <v>1989</v>
      </c>
      <c r="D184" t="s">
        <v>1990</v>
      </c>
      <c r="E184" t="s">
        <v>510</v>
      </c>
      <c r="F184" t="s">
        <v>1090</v>
      </c>
      <c r="G184" t="s">
        <v>1991</v>
      </c>
      <c r="H184" t="s">
        <v>1543</v>
      </c>
      <c r="I184" t="s">
        <v>240</v>
      </c>
      <c r="J184" t="s">
        <v>46</v>
      </c>
      <c r="K184" t="s">
        <v>29</v>
      </c>
      <c r="L184" t="s">
        <v>30</v>
      </c>
      <c r="M184">
        <v>164</v>
      </c>
      <c r="N184" t="s">
        <v>32</v>
      </c>
      <c r="O184" t="s">
        <v>32</v>
      </c>
      <c r="Q184" t="s">
        <v>40</v>
      </c>
      <c r="R184">
        <v>46058</v>
      </c>
      <c r="S184" t="s">
        <v>32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AA184" t="s">
        <v>88</v>
      </c>
      <c r="AB184" t="s">
        <v>32</v>
      </c>
      <c r="AE184" t="s">
        <v>32</v>
      </c>
      <c r="AH184" t="s">
        <v>32</v>
      </c>
      <c r="AK184" t="s">
        <v>32</v>
      </c>
      <c r="AN184" t="s">
        <v>32</v>
      </c>
      <c r="AO184" t="s">
        <v>32</v>
      </c>
      <c r="AR184">
        <v>0</v>
      </c>
      <c r="AU184" t="s">
        <v>32</v>
      </c>
      <c r="AV184">
        <v>2223339</v>
      </c>
      <c r="AW184" t="s">
        <v>32</v>
      </c>
      <c r="AX184" t="s">
        <v>32</v>
      </c>
      <c r="AY184" t="s">
        <v>317</v>
      </c>
      <c r="AZ184">
        <v>25</v>
      </c>
      <c r="BA184">
        <v>2365162</v>
      </c>
      <c r="BB184">
        <v>0.16</v>
      </c>
      <c r="BC184">
        <v>378500</v>
      </c>
      <c r="BD184" t="s">
        <v>142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378500</v>
      </c>
      <c r="BK184" t="s">
        <v>25</v>
      </c>
      <c r="BL184" t="s">
        <v>1010</v>
      </c>
      <c r="BM184">
        <v>25</v>
      </c>
      <c r="BN184">
        <v>2365162</v>
      </c>
      <c r="BO184">
        <v>0.04</v>
      </c>
      <c r="BP184">
        <v>94700</v>
      </c>
      <c r="BQ184">
        <v>0</v>
      </c>
      <c r="BR184" t="s">
        <v>1438</v>
      </c>
      <c r="BS184">
        <v>0</v>
      </c>
      <c r="BT184" t="s">
        <v>1438</v>
      </c>
      <c r="BU184">
        <v>0</v>
      </c>
      <c r="BV184" t="s">
        <v>25</v>
      </c>
      <c r="BW184" t="s">
        <v>189</v>
      </c>
      <c r="BX184">
        <v>25</v>
      </c>
      <c r="BY184">
        <v>2365162</v>
      </c>
      <c r="BZ184">
        <v>6.9599999999999995E-2</v>
      </c>
      <c r="CA184" t="s">
        <v>1439</v>
      </c>
      <c r="CB184" t="s">
        <v>227</v>
      </c>
      <c r="CC184" t="s">
        <v>1440</v>
      </c>
      <c r="CD184">
        <v>164700</v>
      </c>
      <c r="CE184">
        <v>25</v>
      </c>
      <c r="CF184" t="s">
        <v>635</v>
      </c>
      <c r="CG184">
        <v>2365162</v>
      </c>
      <c r="CH184">
        <v>0.04</v>
      </c>
      <c r="CI184">
        <v>94700</v>
      </c>
      <c r="CJ184">
        <v>2365162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 t="s">
        <v>88</v>
      </c>
      <c r="CT184" t="s">
        <v>1441</v>
      </c>
      <c r="CU184" t="s">
        <v>1442</v>
      </c>
    </row>
    <row r="185" spans="1:99">
      <c r="A185" t="s">
        <v>1431</v>
      </c>
      <c r="B185" t="s">
        <v>34</v>
      </c>
      <c r="C185" t="s">
        <v>1992</v>
      </c>
      <c r="D185" t="s">
        <v>1993</v>
      </c>
      <c r="E185" t="s">
        <v>1628</v>
      </c>
      <c r="F185" t="s">
        <v>520</v>
      </c>
      <c r="G185" t="s">
        <v>1994</v>
      </c>
      <c r="H185" t="s">
        <v>1548</v>
      </c>
      <c r="I185" t="s">
        <v>240</v>
      </c>
      <c r="J185" t="s">
        <v>46</v>
      </c>
      <c r="K185" t="s">
        <v>29</v>
      </c>
      <c r="L185" t="s">
        <v>30</v>
      </c>
      <c r="M185">
        <v>9</v>
      </c>
      <c r="N185" t="s">
        <v>32</v>
      </c>
      <c r="O185" t="s">
        <v>32</v>
      </c>
      <c r="Q185" t="s">
        <v>40</v>
      </c>
      <c r="R185">
        <v>46080</v>
      </c>
      <c r="S185" t="s">
        <v>32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AA185" t="s">
        <v>32</v>
      </c>
      <c r="AB185" t="s">
        <v>32</v>
      </c>
      <c r="AE185" t="s">
        <v>32</v>
      </c>
      <c r="AH185" t="s">
        <v>32</v>
      </c>
      <c r="AK185" t="s">
        <v>32</v>
      </c>
      <c r="AN185" t="s">
        <v>32</v>
      </c>
      <c r="AO185" t="s">
        <v>32</v>
      </c>
      <c r="AR185">
        <v>0</v>
      </c>
      <c r="AU185" t="s">
        <v>32</v>
      </c>
      <c r="AV185">
        <v>1785595</v>
      </c>
      <c r="AW185" t="s">
        <v>32</v>
      </c>
      <c r="AX185" t="s">
        <v>32</v>
      </c>
      <c r="AY185" t="s">
        <v>317</v>
      </c>
      <c r="AZ185">
        <v>4</v>
      </c>
      <c r="BA185">
        <v>238080</v>
      </c>
      <c r="BB185">
        <v>0.16</v>
      </c>
      <c r="BC185">
        <v>38100</v>
      </c>
      <c r="BD185" t="s">
        <v>142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38100</v>
      </c>
      <c r="BK185" t="s">
        <v>25</v>
      </c>
      <c r="BL185" t="s">
        <v>1010</v>
      </c>
      <c r="BM185">
        <v>4</v>
      </c>
      <c r="BN185">
        <v>238080</v>
      </c>
      <c r="BO185">
        <v>0.04</v>
      </c>
      <c r="BP185">
        <v>9600</v>
      </c>
      <c r="BQ185">
        <v>0</v>
      </c>
      <c r="BR185" t="s">
        <v>1438</v>
      </c>
      <c r="BS185">
        <v>0</v>
      </c>
      <c r="BT185" t="s">
        <v>1438</v>
      </c>
      <c r="BU185">
        <v>0</v>
      </c>
      <c r="BV185" t="s">
        <v>25</v>
      </c>
      <c r="BW185" t="s">
        <v>189</v>
      </c>
      <c r="BX185">
        <v>4</v>
      </c>
      <c r="BY185">
        <v>238080</v>
      </c>
      <c r="BZ185">
        <v>6.9599999999999995E-2</v>
      </c>
      <c r="CA185" t="s">
        <v>1439</v>
      </c>
      <c r="CB185" t="s">
        <v>227</v>
      </c>
      <c r="CC185" t="s">
        <v>1440</v>
      </c>
      <c r="CD185">
        <v>16600</v>
      </c>
      <c r="CE185">
        <v>4</v>
      </c>
      <c r="CF185" t="s">
        <v>635</v>
      </c>
      <c r="CG185">
        <v>238080</v>
      </c>
      <c r="CH185">
        <v>0.04</v>
      </c>
      <c r="CI185">
        <v>9600</v>
      </c>
      <c r="CJ185">
        <v>238080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 t="s">
        <v>88</v>
      </c>
      <c r="CT185" t="s">
        <v>1441</v>
      </c>
      <c r="CU185" t="s">
        <v>1442</v>
      </c>
    </row>
    <row r="186" spans="1:99">
      <c r="A186" t="s">
        <v>1431</v>
      </c>
      <c r="B186" t="s">
        <v>34</v>
      </c>
      <c r="C186" t="s">
        <v>1995</v>
      </c>
      <c r="D186" t="s">
        <v>1996</v>
      </c>
      <c r="E186" t="s">
        <v>1634</v>
      </c>
      <c r="F186" t="s">
        <v>1688</v>
      </c>
      <c r="G186" t="s">
        <v>1436</v>
      </c>
      <c r="H186" t="s">
        <v>1543</v>
      </c>
      <c r="I186" t="s">
        <v>240</v>
      </c>
      <c r="J186" t="s">
        <v>46</v>
      </c>
      <c r="K186" t="s">
        <v>29</v>
      </c>
      <c r="L186" t="s">
        <v>30</v>
      </c>
      <c r="M186">
        <v>0</v>
      </c>
      <c r="N186" t="s">
        <v>32</v>
      </c>
      <c r="O186" t="s">
        <v>32</v>
      </c>
      <c r="Q186" t="s">
        <v>32</v>
      </c>
      <c r="S186" t="s">
        <v>32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AA186" t="s">
        <v>32</v>
      </c>
      <c r="AB186" t="s">
        <v>32</v>
      </c>
      <c r="AE186" t="s">
        <v>32</v>
      </c>
      <c r="AH186" t="s">
        <v>32</v>
      </c>
      <c r="AK186" t="s">
        <v>128</v>
      </c>
      <c r="AL186">
        <v>46054</v>
      </c>
      <c r="AM186">
        <v>46055</v>
      </c>
      <c r="AN186" t="s">
        <v>32</v>
      </c>
      <c r="AO186" t="s">
        <v>32</v>
      </c>
      <c r="AR186">
        <v>0</v>
      </c>
      <c r="AU186" t="s">
        <v>32</v>
      </c>
      <c r="AV186">
        <v>4152090</v>
      </c>
      <c r="AW186" t="s">
        <v>32</v>
      </c>
      <c r="AX186" t="s">
        <v>32</v>
      </c>
      <c r="AY186" t="s">
        <v>317</v>
      </c>
      <c r="AZ186">
        <v>2</v>
      </c>
      <c r="BA186">
        <v>276806</v>
      </c>
      <c r="BB186">
        <v>0.16</v>
      </c>
      <c r="BC186">
        <v>44300</v>
      </c>
      <c r="BD186" t="s">
        <v>142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44300</v>
      </c>
      <c r="BK186" t="s">
        <v>25</v>
      </c>
      <c r="BL186" t="s">
        <v>1071</v>
      </c>
      <c r="BM186">
        <v>2</v>
      </c>
      <c r="BN186">
        <v>276806</v>
      </c>
      <c r="BO186">
        <v>0.04</v>
      </c>
      <c r="BP186">
        <v>11100</v>
      </c>
      <c r="BQ186">
        <v>0</v>
      </c>
      <c r="BR186" t="s">
        <v>1438</v>
      </c>
      <c r="BS186">
        <v>0</v>
      </c>
      <c r="BT186" t="s">
        <v>1438</v>
      </c>
      <c r="BU186">
        <v>0</v>
      </c>
      <c r="BV186" t="s">
        <v>25</v>
      </c>
      <c r="BW186" t="s">
        <v>189</v>
      </c>
      <c r="BX186">
        <v>2</v>
      </c>
      <c r="BY186">
        <v>276806</v>
      </c>
      <c r="BZ186">
        <v>0</v>
      </c>
      <c r="CA186" t="s">
        <v>1439</v>
      </c>
      <c r="CB186" t="s">
        <v>227</v>
      </c>
      <c r="CC186" t="s">
        <v>1440</v>
      </c>
      <c r="CD186">
        <v>0</v>
      </c>
      <c r="CE186">
        <v>2</v>
      </c>
      <c r="CF186" t="s">
        <v>635</v>
      </c>
      <c r="CG186">
        <v>276806</v>
      </c>
      <c r="CH186">
        <v>0.04</v>
      </c>
      <c r="CI186">
        <v>11100</v>
      </c>
      <c r="CJ186">
        <v>276806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 t="s">
        <v>88</v>
      </c>
      <c r="CT186" t="s">
        <v>1441</v>
      </c>
      <c r="CU186" t="s">
        <v>1442</v>
      </c>
    </row>
    <row r="187" spans="1:99">
      <c r="A187" t="s">
        <v>1431</v>
      </c>
      <c r="B187" t="s">
        <v>34</v>
      </c>
      <c r="C187" t="s">
        <v>1995</v>
      </c>
      <c r="D187" t="s">
        <v>1996</v>
      </c>
      <c r="E187" t="s">
        <v>1634</v>
      </c>
      <c r="F187" t="s">
        <v>1688</v>
      </c>
      <c r="G187" t="s">
        <v>1436</v>
      </c>
      <c r="H187" t="s">
        <v>1543</v>
      </c>
      <c r="I187" t="s">
        <v>240</v>
      </c>
      <c r="J187" t="s">
        <v>46</v>
      </c>
      <c r="K187" t="s">
        <v>29</v>
      </c>
      <c r="L187" t="s">
        <v>30</v>
      </c>
      <c r="M187">
        <v>171</v>
      </c>
      <c r="N187" t="s">
        <v>32</v>
      </c>
      <c r="O187" t="s">
        <v>32</v>
      </c>
      <c r="Q187" t="s">
        <v>32</v>
      </c>
      <c r="S187" t="s">
        <v>32</v>
      </c>
      <c r="U187" t="s">
        <v>32</v>
      </c>
      <c r="V187" t="s">
        <v>32</v>
      </c>
      <c r="W187" t="s">
        <v>32</v>
      </c>
      <c r="X187" t="s">
        <v>32</v>
      </c>
      <c r="Y187" t="s">
        <v>88</v>
      </c>
      <c r="Z187">
        <v>46054</v>
      </c>
      <c r="AA187" t="s">
        <v>32</v>
      </c>
      <c r="AB187" t="s">
        <v>32</v>
      </c>
      <c r="AE187" t="s">
        <v>32</v>
      </c>
      <c r="AH187" t="s">
        <v>32</v>
      </c>
      <c r="AK187" t="s">
        <v>32</v>
      </c>
      <c r="AN187" t="s">
        <v>32</v>
      </c>
      <c r="AO187" t="s">
        <v>32</v>
      </c>
      <c r="AR187">
        <v>0</v>
      </c>
      <c r="AU187" t="s">
        <v>32</v>
      </c>
      <c r="AV187">
        <v>4152090</v>
      </c>
      <c r="AW187" t="s">
        <v>32</v>
      </c>
      <c r="AX187" t="s">
        <v>32</v>
      </c>
      <c r="AY187" t="s">
        <v>317</v>
      </c>
      <c r="AZ187">
        <v>28</v>
      </c>
      <c r="BA187">
        <v>3875284</v>
      </c>
      <c r="BB187">
        <v>0.16</v>
      </c>
      <c r="BC187">
        <v>620100</v>
      </c>
      <c r="BD187" t="s">
        <v>142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620100</v>
      </c>
      <c r="BK187" t="s">
        <v>25</v>
      </c>
      <c r="BL187" t="s">
        <v>1071</v>
      </c>
      <c r="BM187">
        <v>28</v>
      </c>
      <c r="BN187">
        <v>3875284</v>
      </c>
      <c r="BO187">
        <v>0.04</v>
      </c>
      <c r="BP187">
        <v>155100</v>
      </c>
      <c r="BQ187">
        <v>0</v>
      </c>
      <c r="BR187" t="s">
        <v>1438</v>
      </c>
      <c r="BS187">
        <v>0</v>
      </c>
      <c r="BT187" t="s">
        <v>1438</v>
      </c>
      <c r="BU187">
        <v>0</v>
      </c>
      <c r="BV187" t="s">
        <v>25</v>
      </c>
      <c r="BW187" t="s">
        <v>189</v>
      </c>
      <c r="BX187">
        <v>28</v>
      </c>
      <c r="BY187">
        <v>3875284</v>
      </c>
      <c r="BZ187">
        <v>6.9599999999999995E-2</v>
      </c>
      <c r="CA187" t="s">
        <v>1439</v>
      </c>
      <c r="CB187" t="s">
        <v>227</v>
      </c>
      <c r="CC187" t="s">
        <v>1440</v>
      </c>
      <c r="CD187">
        <v>269800</v>
      </c>
      <c r="CE187">
        <v>28</v>
      </c>
      <c r="CF187" t="s">
        <v>635</v>
      </c>
      <c r="CG187">
        <v>3875284</v>
      </c>
      <c r="CH187">
        <v>0.04</v>
      </c>
      <c r="CI187">
        <v>155100</v>
      </c>
      <c r="CJ187">
        <v>3875284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 t="s">
        <v>88</v>
      </c>
      <c r="CT187" t="s">
        <v>1441</v>
      </c>
      <c r="CU187" t="s">
        <v>1442</v>
      </c>
    </row>
    <row r="188" spans="1:99">
      <c r="A188" t="s">
        <v>1431</v>
      </c>
      <c r="B188" t="s">
        <v>34</v>
      </c>
      <c r="C188" t="s">
        <v>1997</v>
      </c>
      <c r="D188" t="s">
        <v>1998</v>
      </c>
      <c r="E188" t="s">
        <v>1999</v>
      </c>
      <c r="F188" t="s">
        <v>1620</v>
      </c>
      <c r="G188" t="s">
        <v>1498</v>
      </c>
      <c r="H188" t="s">
        <v>1840</v>
      </c>
      <c r="I188" t="s">
        <v>240</v>
      </c>
      <c r="J188" t="s">
        <v>46</v>
      </c>
      <c r="K188" t="s">
        <v>29</v>
      </c>
      <c r="L188" t="s">
        <v>30</v>
      </c>
      <c r="M188">
        <v>186</v>
      </c>
      <c r="N188" t="s">
        <v>32</v>
      </c>
      <c r="O188" t="s">
        <v>32</v>
      </c>
      <c r="Q188" t="s">
        <v>40</v>
      </c>
      <c r="R188">
        <v>46055</v>
      </c>
      <c r="S188" t="s">
        <v>32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AA188" t="s">
        <v>88</v>
      </c>
      <c r="AB188" t="s">
        <v>32</v>
      </c>
      <c r="AE188" t="s">
        <v>32</v>
      </c>
      <c r="AH188" t="s">
        <v>32</v>
      </c>
      <c r="AK188" t="s">
        <v>32</v>
      </c>
      <c r="AN188" t="s">
        <v>32</v>
      </c>
      <c r="AO188" t="s">
        <v>32</v>
      </c>
      <c r="AR188">
        <v>0</v>
      </c>
      <c r="AU188" t="s">
        <v>32</v>
      </c>
      <c r="AV188">
        <v>1785595</v>
      </c>
      <c r="AW188" t="s">
        <v>32</v>
      </c>
      <c r="AX188" t="s">
        <v>32</v>
      </c>
      <c r="AY188" t="s">
        <v>317</v>
      </c>
      <c r="AZ188">
        <v>29</v>
      </c>
      <c r="BA188">
        <v>1889215</v>
      </c>
      <c r="BB188">
        <v>0.16</v>
      </c>
      <c r="BC188">
        <v>302300</v>
      </c>
      <c r="BD188" t="s">
        <v>142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302300</v>
      </c>
      <c r="BK188" t="s">
        <v>25</v>
      </c>
      <c r="BL188" t="s">
        <v>635</v>
      </c>
      <c r="BM188">
        <v>29</v>
      </c>
      <c r="BN188">
        <v>1889215</v>
      </c>
      <c r="BO188">
        <v>0.04</v>
      </c>
      <c r="BP188">
        <v>75600</v>
      </c>
      <c r="BQ188">
        <v>0</v>
      </c>
      <c r="BR188" t="s">
        <v>1438</v>
      </c>
      <c r="BS188">
        <v>0</v>
      </c>
      <c r="BT188" t="s">
        <v>1438</v>
      </c>
      <c r="BU188">
        <v>0</v>
      </c>
      <c r="BV188" t="s">
        <v>25</v>
      </c>
      <c r="BW188" t="s">
        <v>189</v>
      </c>
      <c r="BX188">
        <v>29</v>
      </c>
      <c r="BY188">
        <v>1889215</v>
      </c>
      <c r="BZ188">
        <v>6.9599999999999995E-2</v>
      </c>
      <c r="CA188" t="s">
        <v>1439</v>
      </c>
      <c r="CB188" t="s">
        <v>227</v>
      </c>
      <c r="CC188" t="s">
        <v>1440</v>
      </c>
      <c r="CD188">
        <v>131500</v>
      </c>
      <c r="CE188">
        <v>29</v>
      </c>
      <c r="CF188" t="s">
        <v>635</v>
      </c>
      <c r="CG188">
        <v>1889215</v>
      </c>
      <c r="CH188">
        <v>0.04</v>
      </c>
      <c r="CI188">
        <v>75600</v>
      </c>
      <c r="CJ188">
        <v>1889215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 t="s">
        <v>88</v>
      </c>
      <c r="CT188" t="s">
        <v>1441</v>
      </c>
      <c r="CU188" t="s">
        <v>1442</v>
      </c>
    </row>
    <row r="189" spans="1:99">
      <c r="A189" t="s">
        <v>1431</v>
      </c>
      <c r="B189" t="s">
        <v>34</v>
      </c>
      <c r="C189" t="s">
        <v>2000</v>
      </c>
      <c r="D189" t="s">
        <v>2001</v>
      </c>
      <c r="E189" t="s">
        <v>1211</v>
      </c>
      <c r="F189" t="s">
        <v>2002</v>
      </c>
      <c r="G189" t="s">
        <v>1742</v>
      </c>
      <c r="H189" t="s">
        <v>1584</v>
      </c>
      <c r="I189" t="s">
        <v>240</v>
      </c>
      <c r="J189" t="s">
        <v>46</v>
      </c>
      <c r="K189" t="s">
        <v>29</v>
      </c>
      <c r="L189" t="s">
        <v>30</v>
      </c>
      <c r="M189">
        <v>67</v>
      </c>
      <c r="N189" t="s">
        <v>32</v>
      </c>
      <c r="O189" t="s">
        <v>32</v>
      </c>
      <c r="Q189" t="s">
        <v>32</v>
      </c>
      <c r="S189" t="s">
        <v>40</v>
      </c>
      <c r="T189">
        <v>46060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AA189" t="s">
        <v>88</v>
      </c>
      <c r="AB189" t="s">
        <v>32</v>
      </c>
      <c r="AE189" t="s">
        <v>32</v>
      </c>
      <c r="AH189" t="s">
        <v>32</v>
      </c>
      <c r="AK189" t="s">
        <v>32</v>
      </c>
      <c r="AN189" t="s">
        <v>32</v>
      </c>
      <c r="AO189" t="s">
        <v>32</v>
      </c>
      <c r="AR189">
        <v>0</v>
      </c>
      <c r="AU189" t="s">
        <v>32</v>
      </c>
      <c r="AV189">
        <v>2665550</v>
      </c>
      <c r="AW189" t="s">
        <v>32</v>
      </c>
      <c r="AX189" t="s">
        <v>32</v>
      </c>
      <c r="AY189" t="s">
        <v>137</v>
      </c>
      <c r="AZ189">
        <v>7</v>
      </c>
      <c r="BA189">
        <v>1712354</v>
      </c>
      <c r="BB189">
        <v>0.16</v>
      </c>
      <c r="BC189">
        <v>274000</v>
      </c>
      <c r="BD189" t="s">
        <v>142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274000</v>
      </c>
      <c r="BK189" t="s">
        <v>25</v>
      </c>
      <c r="BL189" t="s">
        <v>1071</v>
      </c>
      <c r="BM189">
        <v>7</v>
      </c>
      <c r="BN189">
        <v>1712354</v>
      </c>
      <c r="BO189">
        <v>0.04</v>
      </c>
      <c r="BP189">
        <v>68500</v>
      </c>
      <c r="BQ189">
        <v>0</v>
      </c>
      <c r="BR189" t="s">
        <v>1438</v>
      </c>
      <c r="BS189">
        <v>0</v>
      </c>
      <c r="BT189" t="s">
        <v>1438</v>
      </c>
      <c r="BU189">
        <v>0</v>
      </c>
      <c r="BV189" t="s">
        <v>25</v>
      </c>
      <c r="BW189" t="s">
        <v>189</v>
      </c>
      <c r="BX189">
        <v>7</v>
      </c>
      <c r="BY189">
        <v>1712354</v>
      </c>
      <c r="BZ189">
        <v>6.9599999999999995E-2</v>
      </c>
      <c r="CA189" t="s">
        <v>1439</v>
      </c>
      <c r="CB189" t="s">
        <v>227</v>
      </c>
      <c r="CC189" t="s">
        <v>1440</v>
      </c>
      <c r="CD189">
        <v>119200</v>
      </c>
      <c r="CE189">
        <v>7</v>
      </c>
      <c r="CF189" t="s">
        <v>635</v>
      </c>
      <c r="CG189">
        <v>2143706</v>
      </c>
      <c r="CH189">
        <v>0.04</v>
      </c>
      <c r="CI189">
        <v>85800</v>
      </c>
      <c r="CJ189">
        <v>2143706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 t="s">
        <v>88</v>
      </c>
      <c r="CT189" t="s">
        <v>1441</v>
      </c>
      <c r="CU189" t="s">
        <v>1442</v>
      </c>
    </row>
    <row r="190" spans="1:99">
      <c r="A190" t="s">
        <v>1431</v>
      </c>
      <c r="B190" t="s">
        <v>34</v>
      </c>
      <c r="C190" t="s">
        <v>2003</v>
      </c>
      <c r="D190" t="s">
        <v>2004</v>
      </c>
      <c r="E190" t="s">
        <v>1506</v>
      </c>
      <c r="F190" t="s">
        <v>2005</v>
      </c>
      <c r="G190" t="s">
        <v>1436</v>
      </c>
      <c r="H190" t="s">
        <v>1498</v>
      </c>
      <c r="I190" t="s">
        <v>240</v>
      </c>
      <c r="J190" t="s">
        <v>46</v>
      </c>
      <c r="K190" t="s">
        <v>29</v>
      </c>
      <c r="L190" t="s">
        <v>30</v>
      </c>
      <c r="M190">
        <v>0</v>
      </c>
      <c r="N190" t="s">
        <v>32</v>
      </c>
      <c r="O190" t="s">
        <v>32</v>
      </c>
      <c r="Q190" t="s">
        <v>32</v>
      </c>
      <c r="S190" t="s">
        <v>32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AA190" t="s">
        <v>32</v>
      </c>
      <c r="AB190" t="s">
        <v>32</v>
      </c>
      <c r="AE190" t="s">
        <v>32</v>
      </c>
      <c r="AH190" t="s">
        <v>32</v>
      </c>
      <c r="AK190" t="s">
        <v>128</v>
      </c>
      <c r="AL190">
        <v>46054</v>
      </c>
      <c r="AM190">
        <v>46054</v>
      </c>
      <c r="AN190" t="s">
        <v>32</v>
      </c>
      <c r="AO190" t="s">
        <v>32</v>
      </c>
      <c r="AR190">
        <v>0</v>
      </c>
      <c r="AU190" t="s">
        <v>32</v>
      </c>
      <c r="AV190">
        <v>2223339</v>
      </c>
      <c r="AW190" t="s">
        <v>32</v>
      </c>
      <c r="AX190" t="s">
        <v>32</v>
      </c>
      <c r="AY190" t="s">
        <v>317</v>
      </c>
      <c r="AZ190">
        <v>1</v>
      </c>
      <c r="BA190">
        <v>74112</v>
      </c>
      <c r="BB190">
        <v>0.16</v>
      </c>
      <c r="BC190">
        <v>11900</v>
      </c>
      <c r="BD190" t="s">
        <v>142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11900</v>
      </c>
      <c r="BK190" t="s">
        <v>25</v>
      </c>
      <c r="BL190" t="s">
        <v>885</v>
      </c>
      <c r="BM190">
        <v>1</v>
      </c>
      <c r="BN190">
        <v>74112</v>
      </c>
      <c r="BO190">
        <v>0.04</v>
      </c>
      <c r="BP190">
        <v>3000</v>
      </c>
      <c r="BQ190">
        <v>0</v>
      </c>
      <c r="BR190" t="s">
        <v>1438</v>
      </c>
      <c r="BS190">
        <v>0</v>
      </c>
      <c r="BT190" t="s">
        <v>1438</v>
      </c>
      <c r="BU190">
        <v>0</v>
      </c>
      <c r="BV190" t="s">
        <v>25</v>
      </c>
      <c r="BW190" t="s">
        <v>189</v>
      </c>
      <c r="BX190">
        <v>1</v>
      </c>
      <c r="BY190">
        <v>74112</v>
      </c>
      <c r="BZ190">
        <v>0</v>
      </c>
      <c r="CA190" t="s">
        <v>1439</v>
      </c>
      <c r="CB190" t="s">
        <v>227</v>
      </c>
      <c r="CC190" t="s">
        <v>1440</v>
      </c>
      <c r="CD190">
        <v>0</v>
      </c>
      <c r="CE190">
        <v>1</v>
      </c>
      <c r="CF190" t="s">
        <v>635</v>
      </c>
      <c r="CG190">
        <v>74112</v>
      </c>
      <c r="CH190">
        <v>0.04</v>
      </c>
      <c r="CI190">
        <v>3000</v>
      </c>
      <c r="CJ190">
        <v>74112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 t="s">
        <v>88</v>
      </c>
      <c r="CT190" t="s">
        <v>1441</v>
      </c>
      <c r="CU190" t="s">
        <v>1442</v>
      </c>
    </row>
    <row r="191" spans="1:99">
      <c r="A191" t="s">
        <v>1431</v>
      </c>
      <c r="B191" t="s">
        <v>34</v>
      </c>
      <c r="C191" t="s">
        <v>2003</v>
      </c>
      <c r="D191" t="s">
        <v>2004</v>
      </c>
      <c r="E191" t="s">
        <v>1506</v>
      </c>
      <c r="F191" t="s">
        <v>2005</v>
      </c>
      <c r="G191" t="s">
        <v>1436</v>
      </c>
      <c r="H191" t="s">
        <v>1498</v>
      </c>
      <c r="I191" t="s">
        <v>240</v>
      </c>
      <c r="J191" t="s">
        <v>46</v>
      </c>
      <c r="K191" t="s">
        <v>29</v>
      </c>
      <c r="L191" t="s">
        <v>30</v>
      </c>
      <c r="M191">
        <v>0</v>
      </c>
      <c r="N191" t="s">
        <v>32</v>
      </c>
      <c r="O191" t="s">
        <v>32</v>
      </c>
      <c r="Q191" t="s">
        <v>32</v>
      </c>
      <c r="S191" t="s">
        <v>32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AA191" t="s">
        <v>32</v>
      </c>
      <c r="AB191" t="s">
        <v>37</v>
      </c>
      <c r="AC191">
        <v>46055</v>
      </c>
      <c r="AD191">
        <v>46056</v>
      </c>
      <c r="AE191" t="s">
        <v>32</v>
      </c>
      <c r="AH191" t="s">
        <v>32</v>
      </c>
      <c r="AK191" t="s">
        <v>32</v>
      </c>
      <c r="AN191" t="s">
        <v>32</v>
      </c>
      <c r="AO191" t="s">
        <v>32</v>
      </c>
      <c r="AR191">
        <v>0</v>
      </c>
      <c r="AU191" t="s">
        <v>32</v>
      </c>
      <c r="AV191">
        <v>2223339</v>
      </c>
      <c r="AW191" t="s">
        <v>32</v>
      </c>
      <c r="AX191" t="s">
        <v>32</v>
      </c>
      <c r="AY191" t="s">
        <v>317</v>
      </c>
      <c r="AZ191">
        <v>2</v>
      </c>
      <c r="BA191">
        <v>148223</v>
      </c>
      <c r="BB191">
        <v>0.16</v>
      </c>
      <c r="BC191">
        <v>23800</v>
      </c>
      <c r="BD191" t="s">
        <v>142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23800</v>
      </c>
      <c r="BK191" t="s">
        <v>25</v>
      </c>
      <c r="BL191" t="s">
        <v>885</v>
      </c>
      <c r="BM191">
        <v>2</v>
      </c>
      <c r="BN191">
        <v>148223</v>
      </c>
      <c r="BO191">
        <v>0</v>
      </c>
      <c r="BP191">
        <v>0</v>
      </c>
      <c r="BQ191">
        <v>0</v>
      </c>
      <c r="BR191" t="s">
        <v>1438</v>
      </c>
      <c r="BS191">
        <v>0</v>
      </c>
      <c r="BT191" t="s">
        <v>1438</v>
      </c>
      <c r="BU191">
        <v>0</v>
      </c>
      <c r="BV191" t="s">
        <v>25</v>
      </c>
      <c r="BW191" t="s">
        <v>189</v>
      </c>
      <c r="BX191">
        <v>2</v>
      </c>
      <c r="BY191">
        <v>148223</v>
      </c>
      <c r="BZ191">
        <v>0</v>
      </c>
      <c r="CA191" t="s">
        <v>1439</v>
      </c>
      <c r="CB191" t="s">
        <v>227</v>
      </c>
      <c r="CC191" t="s">
        <v>1440</v>
      </c>
      <c r="CD191">
        <v>0</v>
      </c>
      <c r="CE191">
        <v>2</v>
      </c>
      <c r="CF191" t="s">
        <v>635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 t="s">
        <v>88</v>
      </c>
      <c r="CT191" t="s">
        <v>1441</v>
      </c>
      <c r="CU191" t="s">
        <v>1442</v>
      </c>
    </row>
    <row r="192" spans="1:99">
      <c r="A192" t="s">
        <v>1431</v>
      </c>
      <c r="B192" t="s">
        <v>34</v>
      </c>
      <c r="C192" t="s">
        <v>2003</v>
      </c>
      <c r="D192" t="s">
        <v>2004</v>
      </c>
      <c r="E192" t="s">
        <v>1506</v>
      </c>
      <c r="F192" t="s">
        <v>2005</v>
      </c>
      <c r="G192" t="s">
        <v>1436</v>
      </c>
      <c r="H192" t="s">
        <v>1498</v>
      </c>
      <c r="I192" t="s">
        <v>240</v>
      </c>
      <c r="J192" t="s">
        <v>46</v>
      </c>
      <c r="K192" t="s">
        <v>29</v>
      </c>
      <c r="L192" t="s">
        <v>30</v>
      </c>
      <c r="M192">
        <v>198</v>
      </c>
      <c r="N192" t="s">
        <v>32</v>
      </c>
      <c r="O192" t="s">
        <v>32</v>
      </c>
      <c r="Q192" t="s">
        <v>32</v>
      </c>
      <c r="S192" t="s">
        <v>32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AA192" t="s">
        <v>88</v>
      </c>
      <c r="AB192" t="s">
        <v>32</v>
      </c>
      <c r="AE192" t="s">
        <v>32</v>
      </c>
      <c r="AH192" t="s">
        <v>32</v>
      </c>
      <c r="AK192" t="s">
        <v>32</v>
      </c>
      <c r="AN192" t="s">
        <v>32</v>
      </c>
      <c r="AO192" t="s">
        <v>32</v>
      </c>
      <c r="AR192">
        <v>0</v>
      </c>
      <c r="AU192" t="s">
        <v>32</v>
      </c>
      <c r="AV192">
        <v>2223339</v>
      </c>
      <c r="AW192" t="s">
        <v>32</v>
      </c>
      <c r="AX192" t="s">
        <v>32</v>
      </c>
      <c r="AY192" t="s">
        <v>317</v>
      </c>
      <c r="AZ192">
        <v>27</v>
      </c>
      <c r="BA192">
        <v>2829839</v>
      </c>
      <c r="BB192">
        <v>0.16</v>
      </c>
      <c r="BC192">
        <v>452800</v>
      </c>
      <c r="BD192" t="s">
        <v>142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452800</v>
      </c>
      <c r="BK192" t="s">
        <v>25</v>
      </c>
      <c r="BL192" t="s">
        <v>885</v>
      </c>
      <c r="BM192">
        <v>27</v>
      </c>
      <c r="BN192">
        <v>2829839</v>
      </c>
      <c r="BO192">
        <v>0.04</v>
      </c>
      <c r="BP192">
        <v>113200</v>
      </c>
      <c r="BQ192">
        <v>0</v>
      </c>
      <c r="BR192" t="s">
        <v>1438</v>
      </c>
      <c r="BS192">
        <v>0</v>
      </c>
      <c r="BT192" t="s">
        <v>1438</v>
      </c>
      <c r="BU192">
        <v>0</v>
      </c>
      <c r="BV192" t="s">
        <v>25</v>
      </c>
      <c r="BW192" t="s">
        <v>189</v>
      </c>
      <c r="BX192">
        <v>27</v>
      </c>
      <c r="BY192">
        <v>2829839</v>
      </c>
      <c r="BZ192">
        <v>6.9599999999999995E-2</v>
      </c>
      <c r="CA192" t="s">
        <v>1439</v>
      </c>
      <c r="CB192" t="s">
        <v>227</v>
      </c>
      <c r="CC192" t="s">
        <v>1440</v>
      </c>
      <c r="CD192">
        <v>197000</v>
      </c>
      <c r="CE192">
        <v>27</v>
      </c>
      <c r="CF192" t="s">
        <v>635</v>
      </c>
      <c r="CG192">
        <v>2829840</v>
      </c>
      <c r="CH192">
        <v>0.04</v>
      </c>
      <c r="CI192">
        <v>113200</v>
      </c>
      <c r="CJ192">
        <v>2829840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 t="s">
        <v>88</v>
      </c>
      <c r="CT192" t="s">
        <v>1441</v>
      </c>
      <c r="CU192" t="s">
        <v>1442</v>
      </c>
    </row>
    <row r="193" spans="1:99">
      <c r="A193" t="s">
        <v>1431</v>
      </c>
      <c r="B193" t="s">
        <v>34</v>
      </c>
      <c r="C193" t="s">
        <v>2006</v>
      </c>
      <c r="D193" t="s">
        <v>2007</v>
      </c>
      <c r="E193" t="s">
        <v>1629</v>
      </c>
      <c r="F193" t="s">
        <v>914</v>
      </c>
      <c r="G193" t="s">
        <v>2008</v>
      </c>
      <c r="H193" t="s">
        <v>1490</v>
      </c>
      <c r="I193" t="s">
        <v>240</v>
      </c>
      <c r="J193" t="s">
        <v>46</v>
      </c>
      <c r="K193" t="s">
        <v>29</v>
      </c>
      <c r="L193" t="s">
        <v>30</v>
      </c>
      <c r="M193">
        <v>0</v>
      </c>
      <c r="N193" t="s">
        <v>32</v>
      </c>
      <c r="O193" t="s">
        <v>32</v>
      </c>
      <c r="Q193" t="s">
        <v>32</v>
      </c>
      <c r="S193" t="s">
        <v>32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AA193" t="s">
        <v>32</v>
      </c>
      <c r="AB193" t="s">
        <v>37</v>
      </c>
      <c r="AC193">
        <v>46058</v>
      </c>
      <c r="AD193">
        <v>46058</v>
      </c>
      <c r="AE193" t="s">
        <v>32</v>
      </c>
      <c r="AH193" t="s">
        <v>32</v>
      </c>
      <c r="AK193" t="s">
        <v>32</v>
      </c>
      <c r="AN193" t="s">
        <v>32</v>
      </c>
      <c r="AO193" t="s">
        <v>32</v>
      </c>
      <c r="AR193">
        <v>0</v>
      </c>
      <c r="AU193" t="s">
        <v>32</v>
      </c>
      <c r="AV193">
        <v>1785595</v>
      </c>
      <c r="AW193" t="s">
        <v>32</v>
      </c>
      <c r="AX193" t="s">
        <v>32</v>
      </c>
      <c r="AY193" t="s">
        <v>356</v>
      </c>
      <c r="AZ193">
        <v>1</v>
      </c>
      <c r="BA193">
        <v>59520</v>
      </c>
      <c r="BB193">
        <v>0.16</v>
      </c>
      <c r="BC193">
        <v>9600</v>
      </c>
      <c r="BD193" t="s">
        <v>142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9600</v>
      </c>
      <c r="BK193" t="s">
        <v>25</v>
      </c>
      <c r="BL193" t="s">
        <v>870</v>
      </c>
      <c r="BM193">
        <v>1</v>
      </c>
      <c r="BN193">
        <v>59520</v>
      </c>
      <c r="BO193">
        <v>0</v>
      </c>
      <c r="BP193">
        <v>0</v>
      </c>
      <c r="BQ193">
        <v>0</v>
      </c>
      <c r="BR193" t="s">
        <v>1438</v>
      </c>
      <c r="BS193">
        <v>0</v>
      </c>
      <c r="BT193" t="s">
        <v>1438</v>
      </c>
      <c r="BU193">
        <v>0</v>
      </c>
      <c r="BV193" t="s">
        <v>25</v>
      </c>
      <c r="BW193" t="s">
        <v>189</v>
      </c>
      <c r="BX193">
        <v>1</v>
      </c>
      <c r="BY193">
        <v>59520</v>
      </c>
      <c r="BZ193">
        <v>0</v>
      </c>
      <c r="CA193" t="s">
        <v>1439</v>
      </c>
      <c r="CB193" t="s">
        <v>227</v>
      </c>
      <c r="CC193" t="s">
        <v>1440</v>
      </c>
      <c r="CD193">
        <v>0</v>
      </c>
      <c r="CE193">
        <v>1</v>
      </c>
      <c r="CF193" t="s">
        <v>635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 t="s">
        <v>88</v>
      </c>
      <c r="CT193" t="s">
        <v>1441</v>
      </c>
      <c r="CU193" t="s">
        <v>1442</v>
      </c>
    </row>
    <row r="194" spans="1:99">
      <c r="A194" t="s">
        <v>1431</v>
      </c>
      <c r="B194" t="s">
        <v>34</v>
      </c>
      <c r="C194" t="s">
        <v>2006</v>
      </c>
      <c r="D194" t="s">
        <v>2007</v>
      </c>
      <c r="E194" t="s">
        <v>1629</v>
      </c>
      <c r="F194" t="s">
        <v>914</v>
      </c>
      <c r="G194" t="s">
        <v>2008</v>
      </c>
      <c r="H194" t="s">
        <v>1490</v>
      </c>
      <c r="I194" t="s">
        <v>240</v>
      </c>
      <c r="J194" t="s">
        <v>46</v>
      </c>
      <c r="K194" t="s">
        <v>29</v>
      </c>
      <c r="L194" t="s">
        <v>30</v>
      </c>
      <c r="M194">
        <v>0</v>
      </c>
      <c r="N194" t="s">
        <v>32</v>
      </c>
      <c r="O194" t="s">
        <v>32</v>
      </c>
      <c r="Q194" t="s">
        <v>32</v>
      </c>
      <c r="S194" t="s">
        <v>32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AA194" t="s">
        <v>32</v>
      </c>
      <c r="AB194" t="s">
        <v>37</v>
      </c>
      <c r="AC194">
        <v>46069</v>
      </c>
      <c r="AD194">
        <v>46070</v>
      </c>
      <c r="AE194" t="s">
        <v>32</v>
      </c>
      <c r="AH194" t="s">
        <v>32</v>
      </c>
      <c r="AK194" t="s">
        <v>32</v>
      </c>
      <c r="AN194" t="s">
        <v>32</v>
      </c>
      <c r="AO194" t="s">
        <v>32</v>
      </c>
      <c r="AR194">
        <v>0</v>
      </c>
      <c r="AU194" t="s">
        <v>32</v>
      </c>
      <c r="AV194">
        <v>1785595</v>
      </c>
      <c r="AW194" t="s">
        <v>32</v>
      </c>
      <c r="AX194" t="s">
        <v>32</v>
      </c>
      <c r="AY194" t="s">
        <v>356</v>
      </c>
      <c r="AZ194">
        <v>2</v>
      </c>
      <c r="BA194">
        <v>119040</v>
      </c>
      <c r="BB194">
        <v>0.16</v>
      </c>
      <c r="BC194">
        <v>19100</v>
      </c>
      <c r="BD194" t="s">
        <v>142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19100</v>
      </c>
      <c r="BK194" t="s">
        <v>25</v>
      </c>
      <c r="BL194" t="s">
        <v>870</v>
      </c>
      <c r="BM194">
        <v>2</v>
      </c>
      <c r="BN194">
        <v>119040</v>
      </c>
      <c r="BO194">
        <v>0</v>
      </c>
      <c r="BP194">
        <v>0</v>
      </c>
      <c r="BQ194">
        <v>0</v>
      </c>
      <c r="BR194" t="s">
        <v>1438</v>
      </c>
      <c r="BS194">
        <v>0</v>
      </c>
      <c r="BT194" t="s">
        <v>1438</v>
      </c>
      <c r="BU194">
        <v>0</v>
      </c>
      <c r="BV194" t="s">
        <v>25</v>
      </c>
      <c r="BW194" t="s">
        <v>189</v>
      </c>
      <c r="BX194">
        <v>2</v>
      </c>
      <c r="BY194">
        <v>119040</v>
      </c>
      <c r="BZ194">
        <v>0</v>
      </c>
      <c r="CA194" t="s">
        <v>1439</v>
      </c>
      <c r="CB194" t="s">
        <v>227</v>
      </c>
      <c r="CC194" t="s">
        <v>1440</v>
      </c>
      <c r="CD194">
        <v>0</v>
      </c>
      <c r="CE194">
        <v>2</v>
      </c>
      <c r="CF194" t="s">
        <v>635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 t="s">
        <v>88</v>
      </c>
      <c r="CT194" t="s">
        <v>1441</v>
      </c>
      <c r="CU194" t="s">
        <v>1442</v>
      </c>
    </row>
    <row r="195" spans="1:99">
      <c r="A195" t="s">
        <v>1431</v>
      </c>
      <c r="B195" t="s">
        <v>34</v>
      </c>
      <c r="C195" t="s">
        <v>2006</v>
      </c>
      <c r="D195" t="s">
        <v>2007</v>
      </c>
      <c r="E195" t="s">
        <v>1629</v>
      </c>
      <c r="F195" t="s">
        <v>914</v>
      </c>
      <c r="G195" t="s">
        <v>2008</v>
      </c>
      <c r="H195" t="s">
        <v>1490</v>
      </c>
      <c r="I195" t="s">
        <v>240</v>
      </c>
      <c r="J195" t="s">
        <v>46</v>
      </c>
      <c r="K195" t="s">
        <v>29</v>
      </c>
      <c r="L195" t="s">
        <v>30</v>
      </c>
      <c r="M195">
        <v>0</v>
      </c>
      <c r="N195" t="s">
        <v>32</v>
      </c>
      <c r="O195" t="s">
        <v>32</v>
      </c>
      <c r="Q195" t="s">
        <v>32</v>
      </c>
      <c r="S195" t="s">
        <v>32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AA195" t="s">
        <v>32</v>
      </c>
      <c r="AB195" t="s">
        <v>37</v>
      </c>
      <c r="AC195">
        <v>46070</v>
      </c>
      <c r="AD195">
        <v>46070</v>
      </c>
      <c r="AE195" t="s">
        <v>32</v>
      </c>
      <c r="AH195" t="s">
        <v>32</v>
      </c>
      <c r="AK195" t="s">
        <v>32</v>
      </c>
      <c r="AN195" t="s">
        <v>32</v>
      </c>
      <c r="AO195" t="s">
        <v>32</v>
      </c>
      <c r="AR195">
        <v>0</v>
      </c>
      <c r="AU195" t="s">
        <v>32</v>
      </c>
      <c r="AV195">
        <v>1785595</v>
      </c>
      <c r="AW195" t="s">
        <v>32</v>
      </c>
      <c r="AX195" t="s">
        <v>32</v>
      </c>
      <c r="AY195" t="s">
        <v>356</v>
      </c>
      <c r="AZ195">
        <v>1</v>
      </c>
      <c r="BA195">
        <v>59520</v>
      </c>
      <c r="BB195">
        <v>0.16</v>
      </c>
      <c r="BC195">
        <v>9600</v>
      </c>
      <c r="BD195" t="s">
        <v>142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9600</v>
      </c>
      <c r="BK195" t="s">
        <v>25</v>
      </c>
      <c r="BL195" t="s">
        <v>870</v>
      </c>
      <c r="BM195">
        <v>1</v>
      </c>
      <c r="BN195">
        <v>59520</v>
      </c>
      <c r="BO195">
        <v>0</v>
      </c>
      <c r="BP195">
        <v>0</v>
      </c>
      <c r="BQ195">
        <v>0</v>
      </c>
      <c r="BR195" t="s">
        <v>1438</v>
      </c>
      <c r="BS195">
        <v>0</v>
      </c>
      <c r="BT195" t="s">
        <v>1438</v>
      </c>
      <c r="BU195">
        <v>0</v>
      </c>
      <c r="BV195" t="s">
        <v>25</v>
      </c>
      <c r="BW195" t="s">
        <v>189</v>
      </c>
      <c r="BX195">
        <v>1</v>
      </c>
      <c r="BY195">
        <v>59520</v>
      </c>
      <c r="BZ195">
        <v>0</v>
      </c>
      <c r="CA195" t="s">
        <v>1439</v>
      </c>
      <c r="CB195" t="s">
        <v>227</v>
      </c>
      <c r="CC195" t="s">
        <v>1440</v>
      </c>
      <c r="CD195">
        <v>0</v>
      </c>
      <c r="CE195">
        <v>1</v>
      </c>
      <c r="CF195" t="s">
        <v>635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 t="s">
        <v>88</v>
      </c>
      <c r="CT195" t="s">
        <v>1441</v>
      </c>
      <c r="CU195" t="s">
        <v>1442</v>
      </c>
    </row>
    <row r="196" spans="1:99">
      <c r="A196" t="s">
        <v>1431</v>
      </c>
      <c r="B196" t="s">
        <v>34</v>
      </c>
      <c r="C196" t="s">
        <v>2006</v>
      </c>
      <c r="D196" t="s">
        <v>2007</v>
      </c>
      <c r="E196" t="s">
        <v>1629</v>
      </c>
      <c r="F196" t="s">
        <v>914</v>
      </c>
      <c r="G196" t="s">
        <v>2008</v>
      </c>
      <c r="H196" t="s">
        <v>1490</v>
      </c>
      <c r="I196" t="s">
        <v>240</v>
      </c>
      <c r="J196" t="s">
        <v>46</v>
      </c>
      <c r="K196" t="s">
        <v>29</v>
      </c>
      <c r="L196" t="s">
        <v>30</v>
      </c>
      <c r="M196">
        <v>135</v>
      </c>
      <c r="N196" t="s">
        <v>32</v>
      </c>
      <c r="O196" t="s">
        <v>32</v>
      </c>
      <c r="Q196" t="s">
        <v>32</v>
      </c>
      <c r="S196" t="s">
        <v>40</v>
      </c>
      <c r="T196">
        <v>46074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AA196" t="s">
        <v>88</v>
      </c>
      <c r="AB196" t="s">
        <v>32</v>
      </c>
      <c r="AE196" t="s">
        <v>32</v>
      </c>
      <c r="AH196" t="s">
        <v>32</v>
      </c>
      <c r="AK196" t="s">
        <v>32</v>
      </c>
      <c r="AN196" t="s">
        <v>32</v>
      </c>
      <c r="AO196" t="s">
        <v>32</v>
      </c>
      <c r="AR196">
        <v>0</v>
      </c>
      <c r="AU196" t="s">
        <v>32</v>
      </c>
      <c r="AV196">
        <v>1785595</v>
      </c>
      <c r="AW196" t="s">
        <v>32</v>
      </c>
      <c r="AX196" t="s">
        <v>32</v>
      </c>
      <c r="AY196" t="s">
        <v>356</v>
      </c>
      <c r="AZ196">
        <v>17</v>
      </c>
      <c r="BA196">
        <v>1783261</v>
      </c>
      <c r="BB196">
        <v>0.16</v>
      </c>
      <c r="BC196">
        <v>285400</v>
      </c>
      <c r="BD196" t="s">
        <v>142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285400</v>
      </c>
      <c r="BK196" t="s">
        <v>25</v>
      </c>
      <c r="BL196" t="s">
        <v>870</v>
      </c>
      <c r="BM196">
        <v>17</v>
      </c>
      <c r="BN196">
        <v>1783261</v>
      </c>
      <c r="BO196">
        <v>0.04</v>
      </c>
      <c r="BP196">
        <v>71400</v>
      </c>
      <c r="BQ196">
        <v>0</v>
      </c>
      <c r="BR196" t="s">
        <v>1438</v>
      </c>
      <c r="BS196">
        <v>0</v>
      </c>
      <c r="BT196" t="s">
        <v>1438</v>
      </c>
      <c r="BU196">
        <v>0</v>
      </c>
      <c r="BV196" t="s">
        <v>25</v>
      </c>
      <c r="BW196" t="s">
        <v>189</v>
      </c>
      <c r="BX196">
        <v>17</v>
      </c>
      <c r="BY196">
        <v>1783261</v>
      </c>
      <c r="BZ196">
        <v>6.9599999999999995E-2</v>
      </c>
      <c r="CA196" t="s">
        <v>1439</v>
      </c>
      <c r="CB196" t="s">
        <v>227</v>
      </c>
      <c r="CC196" t="s">
        <v>1440</v>
      </c>
      <c r="CD196">
        <v>124200</v>
      </c>
      <c r="CE196">
        <v>17</v>
      </c>
      <c r="CF196" t="s">
        <v>635</v>
      </c>
      <c r="CG196">
        <v>2119658</v>
      </c>
      <c r="CH196">
        <v>0.04</v>
      </c>
      <c r="CI196">
        <v>84800</v>
      </c>
      <c r="CJ196">
        <v>2119658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 t="s">
        <v>88</v>
      </c>
      <c r="CT196" t="s">
        <v>1441</v>
      </c>
      <c r="CU196" t="s">
        <v>1442</v>
      </c>
    </row>
    <row r="197" spans="1:99">
      <c r="A197" t="s">
        <v>1431</v>
      </c>
      <c r="B197" t="s">
        <v>34</v>
      </c>
      <c r="C197" t="s">
        <v>2009</v>
      </c>
      <c r="D197" t="s">
        <v>2010</v>
      </c>
      <c r="E197" t="s">
        <v>2011</v>
      </c>
      <c r="F197" t="s">
        <v>2012</v>
      </c>
      <c r="G197" t="s">
        <v>1693</v>
      </c>
      <c r="H197" t="s">
        <v>1876</v>
      </c>
      <c r="I197" t="s">
        <v>240</v>
      </c>
      <c r="J197" t="s">
        <v>46</v>
      </c>
      <c r="K197" t="s">
        <v>29</v>
      </c>
      <c r="L197" t="s">
        <v>30</v>
      </c>
      <c r="M197">
        <v>0</v>
      </c>
      <c r="N197" t="s">
        <v>32</v>
      </c>
      <c r="O197" t="s">
        <v>32</v>
      </c>
      <c r="Q197" t="s">
        <v>32</v>
      </c>
      <c r="S197" t="s">
        <v>32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AA197" t="s">
        <v>32</v>
      </c>
      <c r="AB197" t="s">
        <v>37</v>
      </c>
      <c r="AC197">
        <v>46054</v>
      </c>
      <c r="AD197">
        <v>46054</v>
      </c>
      <c r="AE197" t="s">
        <v>32</v>
      </c>
      <c r="AH197" t="s">
        <v>32</v>
      </c>
      <c r="AK197" t="s">
        <v>32</v>
      </c>
      <c r="AN197" t="s">
        <v>32</v>
      </c>
      <c r="AO197" t="s">
        <v>32</v>
      </c>
      <c r="AR197">
        <v>0</v>
      </c>
      <c r="AU197" t="s">
        <v>32</v>
      </c>
      <c r="AV197">
        <v>1750905</v>
      </c>
      <c r="AW197" t="s">
        <v>32</v>
      </c>
      <c r="AX197" t="s">
        <v>32</v>
      </c>
      <c r="AY197" t="s">
        <v>356</v>
      </c>
      <c r="AZ197">
        <v>1</v>
      </c>
      <c r="BA197">
        <v>58364</v>
      </c>
      <c r="BB197">
        <v>0.16</v>
      </c>
      <c r="BC197">
        <v>9400</v>
      </c>
      <c r="BD197" t="s">
        <v>142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9400</v>
      </c>
      <c r="BK197" t="s">
        <v>25</v>
      </c>
      <c r="BL197" t="s">
        <v>1064</v>
      </c>
      <c r="BM197">
        <v>1</v>
      </c>
      <c r="BN197">
        <v>58364</v>
      </c>
      <c r="BO197">
        <v>0</v>
      </c>
      <c r="BP197">
        <v>0</v>
      </c>
      <c r="BQ197">
        <v>0</v>
      </c>
      <c r="BR197" t="s">
        <v>1438</v>
      </c>
      <c r="BS197">
        <v>0</v>
      </c>
      <c r="BT197" t="s">
        <v>1438</v>
      </c>
      <c r="BU197">
        <v>0</v>
      </c>
      <c r="BV197" t="s">
        <v>25</v>
      </c>
      <c r="BW197" t="s">
        <v>189</v>
      </c>
      <c r="BX197">
        <v>1</v>
      </c>
      <c r="BY197">
        <v>58364</v>
      </c>
      <c r="BZ197">
        <v>0</v>
      </c>
      <c r="CA197" t="s">
        <v>1439</v>
      </c>
      <c r="CB197" t="s">
        <v>227</v>
      </c>
      <c r="CC197" t="s">
        <v>1440</v>
      </c>
      <c r="CD197">
        <v>0</v>
      </c>
      <c r="CE197">
        <v>1</v>
      </c>
      <c r="CF197" t="s">
        <v>635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 t="s">
        <v>88</v>
      </c>
      <c r="CT197" t="s">
        <v>1441</v>
      </c>
      <c r="CU197" t="s">
        <v>1442</v>
      </c>
    </row>
    <row r="198" spans="1:99">
      <c r="A198" t="s">
        <v>1431</v>
      </c>
      <c r="B198" t="s">
        <v>34</v>
      </c>
      <c r="C198" t="s">
        <v>2009</v>
      </c>
      <c r="D198" t="s">
        <v>2010</v>
      </c>
      <c r="E198" t="s">
        <v>2011</v>
      </c>
      <c r="F198" t="s">
        <v>2012</v>
      </c>
      <c r="G198" t="s">
        <v>1693</v>
      </c>
      <c r="H198" t="s">
        <v>1876</v>
      </c>
      <c r="I198" t="s">
        <v>240</v>
      </c>
      <c r="J198" t="s">
        <v>46</v>
      </c>
      <c r="K198" t="s">
        <v>29</v>
      </c>
      <c r="L198" t="s">
        <v>30</v>
      </c>
      <c r="M198">
        <v>0</v>
      </c>
      <c r="N198" t="s">
        <v>32</v>
      </c>
      <c r="O198" t="s">
        <v>32</v>
      </c>
      <c r="Q198" t="s">
        <v>32</v>
      </c>
      <c r="S198" t="s">
        <v>32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AA198" t="s">
        <v>32</v>
      </c>
      <c r="AB198" t="s">
        <v>32</v>
      </c>
      <c r="AE198" t="s">
        <v>32</v>
      </c>
      <c r="AH198" t="s">
        <v>32</v>
      </c>
      <c r="AK198" t="s">
        <v>128</v>
      </c>
      <c r="AL198">
        <v>46058</v>
      </c>
      <c r="AM198">
        <v>46058</v>
      </c>
      <c r="AN198" t="s">
        <v>32</v>
      </c>
      <c r="AO198" t="s">
        <v>32</v>
      </c>
      <c r="AR198">
        <v>0</v>
      </c>
      <c r="AU198" t="s">
        <v>32</v>
      </c>
      <c r="AV198">
        <v>1750905</v>
      </c>
      <c r="AW198" t="s">
        <v>32</v>
      </c>
      <c r="AX198" t="s">
        <v>32</v>
      </c>
      <c r="AY198" t="s">
        <v>356</v>
      </c>
      <c r="AZ198">
        <v>1</v>
      </c>
      <c r="BA198">
        <v>58364</v>
      </c>
      <c r="BB198">
        <v>0.16</v>
      </c>
      <c r="BC198">
        <v>9400</v>
      </c>
      <c r="BD198" t="s">
        <v>142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9400</v>
      </c>
      <c r="BK198" t="s">
        <v>25</v>
      </c>
      <c r="BL198" t="s">
        <v>1064</v>
      </c>
      <c r="BM198">
        <v>1</v>
      </c>
      <c r="BN198">
        <v>58364</v>
      </c>
      <c r="BO198">
        <v>0.04</v>
      </c>
      <c r="BP198">
        <v>2400</v>
      </c>
      <c r="BQ198">
        <v>0</v>
      </c>
      <c r="BR198" t="s">
        <v>1438</v>
      </c>
      <c r="BS198">
        <v>0</v>
      </c>
      <c r="BT198" t="s">
        <v>1438</v>
      </c>
      <c r="BU198">
        <v>0</v>
      </c>
      <c r="BV198" t="s">
        <v>25</v>
      </c>
      <c r="BW198" t="s">
        <v>189</v>
      </c>
      <c r="BX198">
        <v>1</v>
      </c>
      <c r="BY198">
        <v>58364</v>
      </c>
      <c r="BZ198">
        <v>0</v>
      </c>
      <c r="CA198" t="s">
        <v>1439</v>
      </c>
      <c r="CB198" t="s">
        <v>227</v>
      </c>
      <c r="CC198" t="s">
        <v>1440</v>
      </c>
      <c r="CD198">
        <v>0</v>
      </c>
      <c r="CE198">
        <v>1</v>
      </c>
      <c r="CF198" t="s">
        <v>635</v>
      </c>
      <c r="CG198">
        <v>58364</v>
      </c>
      <c r="CH198">
        <v>0.04</v>
      </c>
      <c r="CI198">
        <v>2400</v>
      </c>
      <c r="CJ198">
        <v>58364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 t="s">
        <v>88</v>
      </c>
      <c r="CT198" t="s">
        <v>1441</v>
      </c>
      <c r="CU198" t="s">
        <v>1442</v>
      </c>
    </row>
    <row r="199" spans="1:99">
      <c r="A199" t="s">
        <v>1431</v>
      </c>
      <c r="B199" t="s">
        <v>34</v>
      </c>
      <c r="C199" t="s">
        <v>2009</v>
      </c>
      <c r="D199" t="s">
        <v>2010</v>
      </c>
      <c r="E199" t="s">
        <v>2011</v>
      </c>
      <c r="F199" t="s">
        <v>2012</v>
      </c>
      <c r="G199" t="s">
        <v>1693</v>
      </c>
      <c r="H199" t="s">
        <v>1876</v>
      </c>
      <c r="I199" t="s">
        <v>240</v>
      </c>
      <c r="J199" t="s">
        <v>46</v>
      </c>
      <c r="K199" t="s">
        <v>29</v>
      </c>
      <c r="L199" t="s">
        <v>30</v>
      </c>
      <c r="M199">
        <v>205</v>
      </c>
      <c r="N199" t="s">
        <v>32</v>
      </c>
      <c r="O199" t="s">
        <v>32</v>
      </c>
      <c r="Q199" t="s">
        <v>32</v>
      </c>
      <c r="S199" t="s">
        <v>32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AA199" t="s">
        <v>88</v>
      </c>
      <c r="AB199" t="s">
        <v>32</v>
      </c>
      <c r="AE199" t="s">
        <v>32</v>
      </c>
      <c r="AH199" t="s">
        <v>32</v>
      </c>
      <c r="AK199" t="s">
        <v>32</v>
      </c>
      <c r="AN199" t="s">
        <v>32</v>
      </c>
      <c r="AO199" t="s">
        <v>32</v>
      </c>
      <c r="AR199">
        <v>0</v>
      </c>
      <c r="AU199" t="s">
        <v>32</v>
      </c>
      <c r="AV199">
        <v>1750905</v>
      </c>
      <c r="AW199" t="s">
        <v>32</v>
      </c>
      <c r="AX199" t="s">
        <v>32</v>
      </c>
      <c r="AY199" t="s">
        <v>356</v>
      </c>
      <c r="AZ199">
        <v>28</v>
      </c>
      <c r="BA199">
        <v>2092266</v>
      </c>
      <c r="BB199">
        <v>0.16</v>
      </c>
      <c r="BC199">
        <v>334800</v>
      </c>
      <c r="BD199" t="s">
        <v>142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334800</v>
      </c>
      <c r="BK199" t="s">
        <v>25</v>
      </c>
      <c r="BL199" t="s">
        <v>1064</v>
      </c>
      <c r="BM199">
        <v>28</v>
      </c>
      <c r="BN199">
        <v>2092266</v>
      </c>
      <c r="BO199">
        <v>0.04</v>
      </c>
      <c r="BP199">
        <v>83700</v>
      </c>
      <c r="BQ199">
        <v>0</v>
      </c>
      <c r="BR199" t="s">
        <v>1438</v>
      </c>
      <c r="BS199">
        <v>0</v>
      </c>
      <c r="BT199" t="s">
        <v>1438</v>
      </c>
      <c r="BU199">
        <v>0</v>
      </c>
      <c r="BV199" t="s">
        <v>25</v>
      </c>
      <c r="BW199" t="s">
        <v>189</v>
      </c>
      <c r="BX199">
        <v>28</v>
      </c>
      <c r="BY199">
        <v>2092266</v>
      </c>
      <c r="BZ199">
        <v>6.9599999999999995E-2</v>
      </c>
      <c r="CA199" t="s">
        <v>1439</v>
      </c>
      <c r="CB199" t="s">
        <v>227</v>
      </c>
      <c r="CC199" t="s">
        <v>1440</v>
      </c>
      <c r="CD199">
        <v>145700</v>
      </c>
      <c r="CE199">
        <v>28</v>
      </c>
      <c r="CF199" t="s">
        <v>635</v>
      </c>
      <c r="CG199">
        <v>2092267</v>
      </c>
      <c r="CH199">
        <v>0.04</v>
      </c>
      <c r="CI199">
        <v>83700</v>
      </c>
      <c r="CJ199">
        <v>2092267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 t="s">
        <v>88</v>
      </c>
      <c r="CT199" t="s">
        <v>1441</v>
      </c>
      <c r="CU199" t="s">
        <v>1442</v>
      </c>
    </row>
    <row r="200" spans="1:99">
      <c r="A200" t="s">
        <v>1431</v>
      </c>
      <c r="B200" t="s">
        <v>34</v>
      </c>
      <c r="C200" t="s">
        <v>2013</v>
      </c>
      <c r="D200" t="s">
        <v>2014</v>
      </c>
      <c r="E200" t="s">
        <v>1435</v>
      </c>
      <c r="F200" t="s">
        <v>1562</v>
      </c>
      <c r="G200" t="s">
        <v>2015</v>
      </c>
      <c r="H200" t="s">
        <v>2016</v>
      </c>
      <c r="I200" t="s">
        <v>240</v>
      </c>
      <c r="J200" t="s">
        <v>46</v>
      </c>
      <c r="K200" t="s">
        <v>29</v>
      </c>
      <c r="L200" t="s">
        <v>30</v>
      </c>
      <c r="M200">
        <v>67</v>
      </c>
      <c r="N200" t="s">
        <v>32</v>
      </c>
      <c r="O200" t="s">
        <v>32</v>
      </c>
      <c r="Q200" t="s">
        <v>32</v>
      </c>
      <c r="S200" t="s">
        <v>40</v>
      </c>
      <c r="T200">
        <v>46060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AA200" t="s">
        <v>88</v>
      </c>
      <c r="AB200" t="s">
        <v>32</v>
      </c>
      <c r="AE200" t="s">
        <v>32</v>
      </c>
      <c r="AH200" t="s">
        <v>32</v>
      </c>
      <c r="AK200" t="s">
        <v>32</v>
      </c>
      <c r="AN200" t="s">
        <v>32</v>
      </c>
      <c r="AO200" t="s">
        <v>32</v>
      </c>
      <c r="AR200">
        <v>0</v>
      </c>
      <c r="AU200" t="s">
        <v>32</v>
      </c>
      <c r="AV200">
        <v>1750905</v>
      </c>
      <c r="AW200" t="s">
        <v>32</v>
      </c>
      <c r="AX200" t="s">
        <v>32</v>
      </c>
      <c r="AY200" t="s">
        <v>185</v>
      </c>
      <c r="AZ200">
        <v>7</v>
      </c>
      <c r="BA200">
        <v>1056288</v>
      </c>
      <c r="BB200">
        <v>0.16</v>
      </c>
      <c r="BC200">
        <v>169100</v>
      </c>
      <c r="BD200" t="s">
        <v>142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169100</v>
      </c>
      <c r="BK200" t="s">
        <v>25</v>
      </c>
      <c r="BL200" t="s">
        <v>1064</v>
      </c>
      <c r="BM200">
        <v>7</v>
      </c>
      <c r="BN200">
        <v>1056288</v>
      </c>
      <c r="BO200">
        <v>0.04</v>
      </c>
      <c r="BP200">
        <v>42300</v>
      </c>
      <c r="BQ200">
        <v>0</v>
      </c>
      <c r="BR200" t="s">
        <v>1438</v>
      </c>
      <c r="BS200">
        <v>0</v>
      </c>
      <c r="BT200" t="s">
        <v>1438</v>
      </c>
      <c r="BU200">
        <v>0</v>
      </c>
      <c r="BV200" t="s">
        <v>25</v>
      </c>
      <c r="BW200" t="s">
        <v>189</v>
      </c>
      <c r="BX200">
        <v>7</v>
      </c>
      <c r="BY200">
        <v>1056288</v>
      </c>
      <c r="BZ200">
        <v>6.9599999999999995E-2</v>
      </c>
      <c r="CA200" t="s">
        <v>1439</v>
      </c>
      <c r="CB200" t="s">
        <v>227</v>
      </c>
      <c r="CC200" t="s">
        <v>1440</v>
      </c>
      <c r="CD200">
        <v>73600</v>
      </c>
      <c r="CE200">
        <v>7</v>
      </c>
      <c r="CF200" t="s">
        <v>635</v>
      </c>
      <c r="CG200">
        <v>1407037</v>
      </c>
      <c r="CH200">
        <v>0.04</v>
      </c>
      <c r="CI200">
        <v>56300</v>
      </c>
      <c r="CJ200">
        <v>1407037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 t="s">
        <v>88</v>
      </c>
      <c r="CT200" t="s">
        <v>1441</v>
      </c>
      <c r="CU200" t="s">
        <v>1442</v>
      </c>
    </row>
    <row r="201" spans="1:99">
      <c r="A201" t="s">
        <v>1431</v>
      </c>
      <c r="B201" t="s">
        <v>34</v>
      </c>
      <c r="C201" t="s">
        <v>2017</v>
      </c>
      <c r="D201" t="s">
        <v>2018</v>
      </c>
      <c r="E201" t="s">
        <v>2019</v>
      </c>
      <c r="F201" t="s">
        <v>2020</v>
      </c>
      <c r="G201" t="s">
        <v>2021</v>
      </c>
      <c r="H201" t="s">
        <v>1498</v>
      </c>
      <c r="I201" t="s">
        <v>240</v>
      </c>
      <c r="J201" t="s">
        <v>46</v>
      </c>
      <c r="K201" t="s">
        <v>29</v>
      </c>
      <c r="L201" t="s">
        <v>30</v>
      </c>
      <c r="M201">
        <v>24</v>
      </c>
      <c r="N201" t="s">
        <v>32</v>
      </c>
      <c r="O201" t="s">
        <v>32</v>
      </c>
      <c r="Q201" t="s">
        <v>32</v>
      </c>
      <c r="S201" t="s">
        <v>40</v>
      </c>
      <c r="T201">
        <v>46055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AA201" t="s">
        <v>88</v>
      </c>
      <c r="AB201" t="s">
        <v>32</v>
      </c>
      <c r="AE201" t="s">
        <v>32</v>
      </c>
      <c r="AH201" t="s">
        <v>32</v>
      </c>
      <c r="AK201" t="s">
        <v>32</v>
      </c>
      <c r="AN201" t="s">
        <v>32</v>
      </c>
      <c r="AO201" t="s">
        <v>32</v>
      </c>
      <c r="AR201">
        <v>0</v>
      </c>
      <c r="AU201" t="s">
        <v>32</v>
      </c>
      <c r="AV201">
        <v>1750905</v>
      </c>
      <c r="AW201" t="s">
        <v>32</v>
      </c>
      <c r="AX201" t="s">
        <v>32</v>
      </c>
      <c r="AY201" t="s">
        <v>185</v>
      </c>
      <c r="AZ201">
        <v>2</v>
      </c>
      <c r="BA201">
        <v>607074</v>
      </c>
      <c r="BB201">
        <v>0.16</v>
      </c>
      <c r="BC201">
        <v>97200</v>
      </c>
      <c r="BD201" t="s">
        <v>142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97200</v>
      </c>
      <c r="BK201" t="s">
        <v>25</v>
      </c>
      <c r="BL201" t="s">
        <v>870</v>
      </c>
      <c r="BM201">
        <v>2</v>
      </c>
      <c r="BN201">
        <v>607074</v>
      </c>
      <c r="BO201">
        <v>0.125</v>
      </c>
      <c r="BP201">
        <v>75900</v>
      </c>
      <c r="BQ201">
        <v>0</v>
      </c>
      <c r="BR201" t="s">
        <v>1438</v>
      </c>
      <c r="BS201">
        <v>0</v>
      </c>
      <c r="BT201" t="s">
        <v>1438</v>
      </c>
      <c r="BU201">
        <v>0</v>
      </c>
      <c r="BV201" t="s">
        <v>25</v>
      </c>
      <c r="BW201" t="s">
        <v>189</v>
      </c>
      <c r="BX201">
        <v>2</v>
      </c>
      <c r="BY201">
        <v>607074</v>
      </c>
      <c r="BZ201">
        <v>6.9599999999999995E-2</v>
      </c>
      <c r="CA201" t="s">
        <v>1439</v>
      </c>
      <c r="CB201" t="s">
        <v>227</v>
      </c>
      <c r="CC201" t="s">
        <v>1440</v>
      </c>
      <c r="CD201">
        <v>42300</v>
      </c>
      <c r="CE201">
        <v>2</v>
      </c>
      <c r="CF201" t="s">
        <v>635</v>
      </c>
      <c r="CG201">
        <v>1093712</v>
      </c>
      <c r="CH201">
        <v>0.04</v>
      </c>
      <c r="CI201">
        <v>43800</v>
      </c>
      <c r="CJ201">
        <v>1093712</v>
      </c>
      <c r="CK201">
        <v>0.02</v>
      </c>
      <c r="CL201">
        <v>21900</v>
      </c>
      <c r="CM201">
        <v>0.03</v>
      </c>
      <c r="CN201">
        <v>32900</v>
      </c>
      <c r="CO201">
        <v>0</v>
      </c>
      <c r="CP201">
        <v>0</v>
      </c>
      <c r="CQ201">
        <v>0</v>
      </c>
      <c r="CR201">
        <v>0</v>
      </c>
      <c r="CS201" t="s">
        <v>88</v>
      </c>
      <c r="CT201" t="s">
        <v>1441</v>
      </c>
      <c r="CU201" t="s">
        <v>1442</v>
      </c>
    </row>
    <row r="202" spans="1:99">
      <c r="A202" t="s">
        <v>1431</v>
      </c>
      <c r="B202" t="s">
        <v>34</v>
      </c>
      <c r="C202" t="s">
        <v>2022</v>
      </c>
      <c r="D202" t="s">
        <v>2023</v>
      </c>
      <c r="E202" t="s">
        <v>774</v>
      </c>
      <c r="F202" t="s">
        <v>2024</v>
      </c>
      <c r="G202" t="s">
        <v>2025</v>
      </c>
      <c r="H202" t="s">
        <v>2026</v>
      </c>
      <c r="I202" t="s">
        <v>240</v>
      </c>
      <c r="J202" t="s">
        <v>46</v>
      </c>
      <c r="K202" t="s">
        <v>29</v>
      </c>
      <c r="L202" t="s">
        <v>30</v>
      </c>
      <c r="M202">
        <v>0</v>
      </c>
      <c r="N202" t="s">
        <v>32</v>
      </c>
      <c r="O202" t="s">
        <v>32</v>
      </c>
      <c r="Q202" t="s">
        <v>32</v>
      </c>
      <c r="S202" t="s">
        <v>32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AA202" t="s">
        <v>32</v>
      </c>
      <c r="AB202" t="s">
        <v>32</v>
      </c>
      <c r="AE202" t="s">
        <v>32</v>
      </c>
      <c r="AH202" t="s">
        <v>32</v>
      </c>
      <c r="AK202" t="s">
        <v>128</v>
      </c>
      <c r="AL202">
        <v>46054</v>
      </c>
      <c r="AM202">
        <v>46054</v>
      </c>
      <c r="AN202" t="s">
        <v>32</v>
      </c>
      <c r="AO202" t="s">
        <v>32</v>
      </c>
      <c r="AR202">
        <v>0</v>
      </c>
      <c r="AU202" t="s">
        <v>32</v>
      </c>
      <c r="AV202">
        <v>1750905</v>
      </c>
      <c r="AW202" t="s">
        <v>32</v>
      </c>
      <c r="AX202" t="s">
        <v>32</v>
      </c>
      <c r="AY202" t="s">
        <v>185</v>
      </c>
      <c r="AZ202">
        <v>1</v>
      </c>
      <c r="BA202">
        <v>58364</v>
      </c>
      <c r="BB202">
        <v>0.16</v>
      </c>
      <c r="BC202">
        <v>9400</v>
      </c>
      <c r="BD202" t="s">
        <v>142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9400</v>
      </c>
      <c r="BK202" t="s">
        <v>25</v>
      </c>
      <c r="BL202" t="s">
        <v>885</v>
      </c>
      <c r="BM202">
        <v>1</v>
      </c>
      <c r="BN202">
        <v>58364</v>
      </c>
      <c r="BO202">
        <v>0.04</v>
      </c>
      <c r="BP202">
        <v>2400</v>
      </c>
      <c r="BQ202">
        <v>0</v>
      </c>
      <c r="BR202" t="s">
        <v>1438</v>
      </c>
      <c r="BS202">
        <v>0</v>
      </c>
      <c r="BT202" t="s">
        <v>1438</v>
      </c>
      <c r="BU202">
        <v>0</v>
      </c>
      <c r="BV202" t="s">
        <v>25</v>
      </c>
      <c r="BW202" t="s">
        <v>189</v>
      </c>
      <c r="BX202">
        <v>1</v>
      </c>
      <c r="BY202">
        <v>58364</v>
      </c>
      <c r="BZ202">
        <v>0</v>
      </c>
      <c r="CA202" t="s">
        <v>1439</v>
      </c>
      <c r="CB202" t="s">
        <v>227</v>
      </c>
      <c r="CC202" t="s">
        <v>1440</v>
      </c>
      <c r="CD202">
        <v>0</v>
      </c>
      <c r="CE202">
        <v>1</v>
      </c>
      <c r="CF202" t="s">
        <v>635</v>
      </c>
      <c r="CG202">
        <v>58364</v>
      </c>
      <c r="CH202">
        <v>0.04</v>
      </c>
      <c r="CI202">
        <v>2400</v>
      </c>
      <c r="CJ202">
        <v>58364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 t="s">
        <v>88</v>
      </c>
      <c r="CT202" t="s">
        <v>1441</v>
      </c>
      <c r="CU202" t="s">
        <v>1442</v>
      </c>
    </row>
    <row r="203" spans="1:99">
      <c r="A203" t="s">
        <v>1431</v>
      </c>
      <c r="B203" t="s">
        <v>34</v>
      </c>
      <c r="C203" t="s">
        <v>2022</v>
      </c>
      <c r="D203" t="s">
        <v>2023</v>
      </c>
      <c r="E203" t="s">
        <v>774</v>
      </c>
      <c r="F203" t="s">
        <v>2024</v>
      </c>
      <c r="G203" t="s">
        <v>2025</v>
      </c>
      <c r="H203" t="s">
        <v>2026</v>
      </c>
      <c r="I203" t="s">
        <v>240</v>
      </c>
      <c r="J203" t="s">
        <v>46</v>
      </c>
      <c r="K203" t="s">
        <v>29</v>
      </c>
      <c r="L203" t="s">
        <v>30</v>
      </c>
      <c r="M203">
        <v>0</v>
      </c>
      <c r="N203" t="s">
        <v>32</v>
      </c>
      <c r="O203" t="s">
        <v>32</v>
      </c>
      <c r="Q203" t="s">
        <v>32</v>
      </c>
      <c r="S203" t="s">
        <v>32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AA203" t="s">
        <v>32</v>
      </c>
      <c r="AB203" t="s">
        <v>32</v>
      </c>
      <c r="AE203" t="s">
        <v>32</v>
      </c>
      <c r="AH203" t="s">
        <v>32</v>
      </c>
      <c r="AK203" t="s">
        <v>128</v>
      </c>
      <c r="AL203">
        <v>46056</v>
      </c>
      <c r="AM203">
        <v>46056</v>
      </c>
      <c r="AN203" t="s">
        <v>32</v>
      </c>
      <c r="AO203" t="s">
        <v>32</v>
      </c>
      <c r="AR203">
        <v>0</v>
      </c>
      <c r="AU203" t="s">
        <v>32</v>
      </c>
      <c r="AV203">
        <v>1750905</v>
      </c>
      <c r="AW203" t="s">
        <v>32</v>
      </c>
      <c r="AX203" t="s">
        <v>32</v>
      </c>
      <c r="AY203" t="s">
        <v>185</v>
      </c>
      <c r="AZ203">
        <v>1</v>
      </c>
      <c r="BA203">
        <v>58364</v>
      </c>
      <c r="BB203">
        <v>0.16</v>
      </c>
      <c r="BC203">
        <v>9400</v>
      </c>
      <c r="BD203" t="s">
        <v>142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9400</v>
      </c>
      <c r="BK203" t="s">
        <v>25</v>
      </c>
      <c r="BL203" t="s">
        <v>885</v>
      </c>
      <c r="BM203">
        <v>1</v>
      </c>
      <c r="BN203">
        <v>58364</v>
      </c>
      <c r="BO203">
        <v>0.04</v>
      </c>
      <c r="BP203">
        <v>2400</v>
      </c>
      <c r="BQ203">
        <v>0</v>
      </c>
      <c r="BR203" t="s">
        <v>1438</v>
      </c>
      <c r="BS203">
        <v>0</v>
      </c>
      <c r="BT203" t="s">
        <v>1438</v>
      </c>
      <c r="BU203">
        <v>0</v>
      </c>
      <c r="BV203" t="s">
        <v>25</v>
      </c>
      <c r="BW203" t="s">
        <v>189</v>
      </c>
      <c r="BX203">
        <v>1</v>
      </c>
      <c r="BY203">
        <v>58364</v>
      </c>
      <c r="BZ203">
        <v>0</v>
      </c>
      <c r="CA203" t="s">
        <v>1439</v>
      </c>
      <c r="CB203" t="s">
        <v>227</v>
      </c>
      <c r="CC203" t="s">
        <v>1440</v>
      </c>
      <c r="CD203">
        <v>0</v>
      </c>
      <c r="CE203">
        <v>1</v>
      </c>
      <c r="CF203" t="s">
        <v>635</v>
      </c>
      <c r="CG203">
        <v>58364</v>
      </c>
      <c r="CH203">
        <v>0.04</v>
      </c>
      <c r="CI203">
        <v>2400</v>
      </c>
      <c r="CJ203">
        <v>58364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 t="s">
        <v>88</v>
      </c>
      <c r="CT203" t="s">
        <v>1441</v>
      </c>
      <c r="CU203" t="s">
        <v>1442</v>
      </c>
    </row>
    <row r="204" spans="1:99">
      <c r="A204" t="s">
        <v>1431</v>
      </c>
      <c r="B204" t="s">
        <v>34</v>
      </c>
      <c r="C204" t="s">
        <v>2022</v>
      </c>
      <c r="D204" t="s">
        <v>2023</v>
      </c>
      <c r="E204" t="s">
        <v>774</v>
      </c>
      <c r="F204" t="s">
        <v>2024</v>
      </c>
      <c r="G204" t="s">
        <v>2025</v>
      </c>
      <c r="H204" t="s">
        <v>2026</v>
      </c>
      <c r="I204" t="s">
        <v>240</v>
      </c>
      <c r="J204" t="s">
        <v>46</v>
      </c>
      <c r="K204" t="s">
        <v>29</v>
      </c>
      <c r="L204" t="s">
        <v>30</v>
      </c>
      <c r="M204">
        <v>52</v>
      </c>
      <c r="N204" t="s">
        <v>32</v>
      </c>
      <c r="O204" t="s">
        <v>32</v>
      </c>
      <c r="Q204" t="s">
        <v>32</v>
      </c>
      <c r="S204" t="s">
        <v>40</v>
      </c>
      <c r="T204">
        <v>46060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AA204" t="s">
        <v>88</v>
      </c>
      <c r="AB204" t="s">
        <v>32</v>
      </c>
      <c r="AE204" t="s">
        <v>32</v>
      </c>
      <c r="AH204" t="s">
        <v>32</v>
      </c>
      <c r="AK204" t="s">
        <v>32</v>
      </c>
      <c r="AN204" t="s">
        <v>32</v>
      </c>
      <c r="AO204" t="s">
        <v>32</v>
      </c>
      <c r="AR204">
        <v>0</v>
      </c>
      <c r="AU204" t="s">
        <v>32</v>
      </c>
      <c r="AV204">
        <v>1750905</v>
      </c>
      <c r="AW204" t="s">
        <v>32</v>
      </c>
      <c r="AX204" t="s">
        <v>32</v>
      </c>
      <c r="AY204" t="s">
        <v>185</v>
      </c>
      <c r="AZ204">
        <v>5</v>
      </c>
      <c r="BA204">
        <v>1043593</v>
      </c>
      <c r="BB204">
        <v>0.16</v>
      </c>
      <c r="BC204">
        <v>167000</v>
      </c>
      <c r="BD204" t="s">
        <v>142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167000</v>
      </c>
      <c r="BK204" t="s">
        <v>25</v>
      </c>
      <c r="BL204" t="s">
        <v>885</v>
      </c>
      <c r="BM204">
        <v>5</v>
      </c>
      <c r="BN204">
        <v>1043593</v>
      </c>
      <c r="BO204">
        <v>0.04</v>
      </c>
      <c r="BP204">
        <v>41800</v>
      </c>
      <c r="BQ204">
        <v>0</v>
      </c>
      <c r="BR204" t="s">
        <v>1438</v>
      </c>
      <c r="BS204">
        <v>0</v>
      </c>
      <c r="BT204" t="s">
        <v>1438</v>
      </c>
      <c r="BU204">
        <v>0</v>
      </c>
      <c r="BV204" t="s">
        <v>25</v>
      </c>
      <c r="BW204" t="s">
        <v>189</v>
      </c>
      <c r="BX204">
        <v>5</v>
      </c>
      <c r="BY204">
        <v>1043593</v>
      </c>
      <c r="BZ204">
        <v>6.9599999999999995E-2</v>
      </c>
      <c r="CA204" t="s">
        <v>1439</v>
      </c>
      <c r="CB204" t="s">
        <v>227</v>
      </c>
      <c r="CC204" t="s">
        <v>1440</v>
      </c>
      <c r="CD204">
        <v>72700</v>
      </c>
      <c r="CE204">
        <v>5</v>
      </c>
      <c r="CF204" t="s">
        <v>635</v>
      </c>
      <c r="CG204">
        <v>1435802</v>
      </c>
      <c r="CH204">
        <v>0.04</v>
      </c>
      <c r="CI204">
        <v>57500</v>
      </c>
      <c r="CJ204">
        <v>1435802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 t="s">
        <v>88</v>
      </c>
      <c r="CT204" t="s">
        <v>1441</v>
      </c>
      <c r="CU204" t="s">
        <v>1442</v>
      </c>
    </row>
    <row r="205" spans="1:99">
      <c r="A205" t="s">
        <v>1431</v>
      </c>
      <c r="B205" t="s">
        <v>34</v>
      </c>
      <c r="C205" t="s">
        <v>2027</v>
      </c>
      <c r="D205" t="s">
        <v>2028</v>
      </c>
      <c r="E205" t="s">
        <v>2029</v>
      </c>
      <c r="F205" t="s">
        <v>1923</v>
      </c>
      <c r="G205" t="s">
        <v>2030</v>
      </c>
      <c r="H205" t="s">
        <v>2031</v>
      </c>
      <c r="I205" t="s">
        <v>240</v>
      </c>
      <c r="J205" t="s">
        <v>46</v>
      </c>
      <c r="K205" t="s">
        <v>29</v>
      </c>
      <c r="L205" t="s">
        <v>30</v>
      </c>
      <c r="M205">
        <v>0</v>
      </c>
      <c r="N205" t="s">
        <v>32</v>
      </c>
      <c r="O205" t="s">
        <v>32</v>
      </c>
      <c r="Q205" t="s">
        <v>32</v>
      </c>
      <c r="S205" t="s">
        <v>32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AA205" t="s">
        <v>32</v>
      </c>
      <c r="AB205" t="s">
        <v>32</v>
      </c>
      <c r="AE205" t="s">
        <v>32</v>
      </c>
      <c r="AH205" t="s">
        <v>32</v>
      </c>
      <c r="AK205" t="s">
        <v>74</v>
      </c>
      <c r="AL205">
        <v>46058</v>
      </c>
      <c r="AM205">
        <v>46063</v>
      </c>
      <c r="AN205" t="s">
        <v>32</v>
      </c>
      <c r="AO205" t="s">
        <v>32</v>
      </c>
      <c r="AR205">
        <v>0</v>
      </c>
      <c r="AU205" t="s">
        <v>32</v>
      </c>
      <c r="AV205">
        <v>6384779</v>
      </c>
      <c r="AW205" t="s">
        <v>32</v>
      </c>
      <c r="AX205" t="s">
        <v>32</v>
      </c>
      <c r="AY205" t="s">
        <v>185</v>
      </c>
      <c r="AZ205">
        <v>6</v>
      </c>
      <c r="BA205">
        <v>1276956</v>
      </c>
      <c r="BB205">
        <v>0.16</v>
      </c>
      <c r="BC205">
        <v>204400</v>
      </c>
      <c r="BD205" t="s">
        <v>142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204400</v>
      </c>
      <c r="BK205" t="s">
        <v>25</v>
      </c>
      <c r="BL205" t="s">
        <v>885</v>
      </c>
      <c r="BM205">
        <v>6</v>
      </c>
      <c r="BN205">
        <v>1276956</v>
      </c>
      <c r="BO205">
        <v>0.04</v>
      </c>
      <c r="BP205">
        <v>51100</v>
      </c>
      <c r="BQ205">
        <v>0</v>
      </c>
      <c r="BR205" t="s">
        <v>1438</v>
      </c>
      <c r="BS205">
        <v>0</v>
      </c>
      <c r="BT205" t="s">
        <v>1438</v>
      </c>
      <c r="BU205">
        <v>0</v>
      </c>
      <c r="BV205" t="s">
        <v>25</v>
      </c>
      <c r="BW205" t="s">
        <v>189</v>
      </c>
      <c r="BX205">
        <v>6</v>
      </c>
      <c r="BY205">
        <v>1276956</v>
      </c>
      <c r="BZ205">
        <v>0</v>
      </c>
      <c r="CA205" t="s">
        <v>1439</v>
      </c>
      <c r="CB205" t="s">
        <v>227</v>
      </c>
      <c r="CC205" t="s">
        <v>1440</v>
      </c>
      <c r="CD205">
        <v>0</v>
      </c>
      <c r="CE205">
        <v>6</v>
      </c>
      <c r="CF205" t="s">
        <v>635</v>
      </c>
      <c r="CG205">
        <v>1276956</v>
      </c>
      <c r="CH205">
        <v>0.04</v>
      </c>
      <c r="CI205">
        <v>51100</v>
      </c>
      <c r="CJ205">
        <v>1276956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 t="s">
        <v>88</v>
      </c>
      <c r="CT205" t="s">
        <v>1441</v>
      </c>
      <c r="CU205" t="s">
        <v>1442</v>
      </c>
    </row>
    <row r="206" spans="1:99">
      <c r="A206" t="s">
        <v>1431</v>
      </c>
      <c r="B206" t="s">
        <v>34</v>
      </c>
      <c r="C206" t="s">
        <v>2027</v>
      </c>
      <c r="D206" t="s">
        <v>2028</v>
      </c>
      <c r="E206" t="s">
        <v>2029</v>
      </c>
      <c r="F206" t="s">
        <v>1923</v>
      </c>
      <c r="G206" t="s">
        <v>2030</v>
      </c>
      <c r="H206" t="s">
        <v>2031</v>
      </c>
      <c r="I206" t="s">
        <v>240</v>
      </c>
      <c r="J206" t="s">
        <v>46</v>
      </c>
      <c r="K206" t="s">
        <v>29</v>
      </c>
      <c r="L206" t="s">
        <v>30</v>
      </c>
      <c r="M206">
        <v>149</v>
      </c>
      <c r="N206" t="s">
        <v>32</v>
      </c>
      <c r="O206" t="s">
        <v>32</v>
      </c>
      <c r="Q206" t="s">
        <v>32</v>
      </c>
      <c r="S206" t="s">
        <v>32</v>
      </c>
      <c r="U206" t="s">
        <v>32</v>
      </c>
      <c r="V206" t="s">
        <v>32</v>
      </c>
      <c r="W206" t="s">
        <v>32</v>
      </c>
      <c r="X206" t="s">
        <v>32</v>
      </c>
      <c r="Y206" t="s">
        <v>88</v>
      </c>
      <c r="Z206">
        <v>46054</v>
      </c>
      <c r="AA206" t="s">
        <v>32</v>
      </c>
      <c r="AB206" t="s">
        <v>32</v>
      </c>
      <c r="AE206" t="s">
        <v>32</v>
      </c>
      <c r="AH206" t="s">
        <v>32</v>
      </c>
      <c r="AK206" t="s">
        <v>32</v>
      </c>
      <c r="AN206" t="s">
        <v>32</v>
      </c>
      <c r="AO206" t="s">
        <v>32</v>
      </c>
      <c r="AR206">
        <v>0</v>
      </c>
      <c r="AU206" t="s">
        <v>32</v>
      </c>
      <c r="AV206">
        <v>6384779</v>
      </c>
      <c r="AW206" t="s">
        <v>32</v>
      </c>
      <c r="AX206" t="s">
        <v>32</v>
      </c>
      <c r="AY206" t="s">
        <v>185</v>
      </c>
      <c r="AZ206">
        <v>24</v>
      </c>
      <c r="BA206">
        <v>5107824</v>
      </c>
      <c r="BB206">
        <v>0.16</v>
      </c>
      <c r="BC206">
        <v>817300</v>
      </c>
      <c r="BD206" t="s">
        <v>142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817300</v>
      </c>
      <c r="BK206" t="s">
        <v>25</v>
      </c>
      <c r="BL206" t="s">
        <v>885</v>
      </c>
      <c r="BM206">
        <v>24</v>
      </c>
      <c r="BN206">
        <v>5107824</v>
      </c>
      <c r="BO206">
        <v>0.04</v>
      </c>
      <c r="BP206">
        <v>204400</v>
      </c>
      <c r="BQ206">
        <v>0</v>
      </c>
      <c r="BR206" t="s">
        <v>1438</v>
      </c>
      <c r="BS206">
        <v>0</v>
      </c>
      <c r="BT206" t="s">
        <v>1438</v>
      </c>
      <c r="BU206">
        <v>0</v>
      </c>
      <c r="BV206" t="s">
        <v>25</v>
      </c>
      <c r="BW206" t="s">
        <v>189</v>
      </c>
      <c r="BX206">
        <v>24</v>
      </c>
      <c r="BY206">
        <v>5107824</v>
      </c>
      <c r="BZ206">
        <v>6.9599999999999995E-2</v>
      </c>
      <c r="CA206" t="s">
        <v>1439</v>
      </c>
      <c r="CB206" t="s">
        <v>227</v>
      </c>
      <c r="CC206" t="s">
        <v>1440</v>
      </c>
      <c r="CD206">
        <v>355600</v>
      </c>
      <c r="CE206">
        <v>24</v>
      </c>
      <c r="CF206" t="s">
        <v>635</v>
      </c>
      <c r="CG206">
        <v>5107824</v>
      </c>
      <c r="CH206">
        <v>0.04</v>
      </c>
      <c r="CI206">
        <v>204400</v>
      </c>
      <c r="CJ206">
        <v>5107824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 t="s">
        <v>88</v>
      </c>
      <c r="CT206" t="s">
        <v>1441</v>
      </c>
      <c r="CU206" t="s">
        <v>1442</v>
      </c>
    </row>
    <row r="207" spans="1:99">
      <c r="A207" t="s">
        <v>1431</v>
      </c>
      <c r="B207" t="s">
        <v>34</v>
      </c>
      <c r="C207" t="s">
        <v>2032</v>
      </c>
      <c r="D207" t="s">
        <v>2033</v>
      </c>
      <c r="E207" t="s">
        <v>2034</v>
      </c>
      <c r="F207" t="s">
        <v>2035</v>
      </c>
      <c r="G207" t="s">
        <v>2036</v>
      </c>
      <c r="H207" t="s">
        <v>2037</v>
      </c>
      <c r="I207" t="s">
        <v>240</v>
      </c>
      <c r="J207" t="s">
        <v>46</v>
      </c>
      <c r="K207" t="s">
        <v>29</v>
      </c>
      <c r="L207" t="s">
        <v>30</v>
      </c>
      <c r="M207">
        <v>166</v>
      </c>
      <c r="N207" t="s">
        <v>32</v>
      </c>
      <c r="O207" t="s">
        <v>32</v>
      </c>
      <c r="Q207" t="s">
        <v>40</v>
      </c>
      <c r="R207">
        <v>46058</v>
      </c>
      <c r="S207" t="s">
        <v>32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AA207" t="s">
        <v>88</v>
      </c>
      <c r="AB207" t="s">
        <v>32</v>
      </c>
      <c r="AE207" t="s">
        <v>32</v>
      </c>
      <c r="AH207" t="s">
        <v>32</v>
      </c>
      <c r="AK207" t="s">
        <v>32</v>
      </c>
      <c r="AN207" t="s">
        <v>32</v>
      </c>
      <c r="AO207" t="s">
        <v>32</v>
      </c>
      <c r="AR207">
        <v>0</v>
      </c>
      <c r="AU207" t="s">
        <v>32</v>
      </c>
      <c r="AV207">
        <v>2074908</v>
      </c>
      <c r="AW207" t="s">
        <v>32</v>
      </c>
      <c r="AX207" t="s">
        <v>32</v>
      </c>
      <c r="AY207" t="s">
        <v>317</v>
      </c>
      <c r="AZ207">
        <v>26</v>
      </c>
      <c r="BA207">
        <v>2228799</v>
      </c>
      <c r="BB207">
        <v>0.16</v>
      </c>
      <c r="BC207">
        <v>356700</v>
      </c>
      <c r="BD207" t="s">
        <v>142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356700</v>
      </c>
      <c r="BK207" t="s">
        <v>25</v>
      </c>
      <c r="BL207" t="s">
        <v>1071</v>
      </c>
      <c r="BM207">
        <v>26</v>
      </c>
      <c r="BN207">
        <v>2228799</v>
      </c>
      <c r="BO207">
        <v>0.04</v>
      </c>
      <c r="BP207">
        <v>89200</v>
      </c>
      <c r="BQ207">
        <v>0</v>
      </c>
      <c r="BR207" t="s">
        <v>1438</v>
      </c>
      <c r="BS207">
        <v>0</v>
      </c>
      <c r="BT207" t="s">
        <v>1438</v>
      </c>
      <c r="BU207">
        <v>0</v>
      </c>
      <c r="BV207" t="s">
        <v>25</v>
      </c>
      <c r="BW207" t="s">
        <v>189</v>
      </c>
      <c r="BX207">
        <v>26</v>
      </c>
      <c r="BY207">
        <v>2228799</v>
      </c>
      <c r="BZ207">
        <v>6.9599999999999995E-2</v>
      </c>
      <c r="CA207" t="s">
        <v>1439</v>
      </c>
      <c r="CB207" t="s">
        <v>227</v>
      </c>
      <c r="CC207" t="s">
        <v>1440</v>
      </c>
      <c r="CD207">
        <v>155200</v>
      </c>
      <c r="CE207">
        <v>26</v>
      </c>
      <c r="CF207" t="s">
        <v>635</v>
      </c>
      <c r="CG207">
        <v>2228799</v>
      </c>
      <c r="CH207">
        <v>0.04</v>
      </c>
      <c r="CI207">
        <v>89200</v>
      </c>
      <c r="CJ207">
        <v>2228799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 t="s">
        <v>88</v>
      </c>
      <c r="CT207" t="s">
        <v>1441</v>
      </c>
      <c r="CU207" t="s">
        <v>1442</v>
      </c>
    </row>
    <row r="208" spans="1:99">
      <c r="A208" t="s">
        <v>1431</v>
      </c>
      <c r="B208" t="s">
        <v>34</v>
      </c>
      <c r="C208" t="s">
        <v>2038</v>
      </c>
      <c r="D208" t="s">
        <v>2039</v>
      </c>
      <c r="E208" t="s">
        <v>2040</v>
      </c>
      <c r="F208" t="s">
        <v>2041</v>
      </c>
      <c r="G208" t="s">
        <v>2042</v>
      </c>
      <c r="H208" t="s">
        <v>1685</v>
      </c>
      <c r="I208" t="s">
        <v>240</v>
      </c>
      <c r="J208" t="s">
        <v>46</v>
      </c>
      <c r="K208" t="s">
        <v>29</v>
      </c>
      <c r="L208" t="s">
        <v>30</v>
      </c>
      <c r="M208">
        <v>173</v>
      </c>
      <c r="N208" t="s">
        <v>32</v>
      </c>
      <c r="O208" t="s">
        <v>32</v>
      </c>
      <c r="Q208" t="s">
        <v>40</v>
      </c>
      <c r="R208">
        <v>46057</v>
      </c>
      <c r="S208" t="s">
        <v>32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AA208" t="s">
        <v>88</v>
      </c>
      <c r="AB208" t="s">
        <v>32</v>
      </c>
      <c r="AE208" t="s">
        <v>32</v>
      </c>
      <c r="AH208" t="s">
        <v>32</v>
      </c>
      <c r="AK208" t="s">
        <v>32</v>
      </c>
      <c r="AN208" t="s">
        <v>32</v>
      </c>
      <c r="AO208" t="s">
        <v>32</v>
      </c>
      <c r="AR208">
        <v>0</v>
      </c>
      <c r="AU208" t="s">
        <v>32</v>
      </c>
      <c r="AV208">
        <v>1750905</v>
      </c>
      <c r="AW208" t="s">
        <v>32</v>
      </c>
      <c r="AX208" t="s">
        <v>32</v>
      </c>
      <c r="AY208" t="s">
        <v>317</v>
      </c>
      <c r="AZ208">
        <v>27</v>
      </c>
      <c r="BA208">
        <v>1961013</v>
      </c>
      <c r="BB208">
        <v>0.16</v>
      </c>
      <c r="BC208">
        <v>313800</v>
      </c>
      <c r="BD208" t="s">
        <v>142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313800</v>
      </c>
      <c r="BK208" t="s">
        <v>25</v>
      </c>
      <c r="BL208" t="s">
        <v>793</v>
      </c>
      <c r="BM208">
        <v>27</v>
      </c>
      <c r="BN208">
        <v>1961013</v>
      </c>
      <c r="BO208">
        <v>0.04</v>
      </c>
      <c r="BP208">
        <v>78500</v>
      </c>
      <c r="BQ208">
        <v>0</v>
      </c>
      <c r="BR208" t="s">
        <v>1438</v>
      </c>
      <c r="BS208">
        <v>0</v>
      </c>
      <c r="BT208" t="s">
        <v>1438</v>
      </c>
      <c r="BU208">
        <v>0</v>
      </c>
      <c r="BV208" t="s">
        <v>25</v>
      </c>
      <c r="BW208" t="s">
        <v>189</v>
      </c>
      <c r="BX208">
        <v>27</v>
      </c>
      <c r="BY208">
        <v>1961013</v>
      </c>
      <c r="BZ208">
        <v>6.9599999999999995E-2</v>
      </c>
      <c r="CA208" t="s">
        <v>1439</v>
      </c>
      <c r="CB208" t="s">
        <v>227</v>
      </c>
      <c r="CC208" t="s">
        <v>1440</v>
      </c>
      <c r="CD208">
        <v>136500</v>
      </c>
      <c r="CE208">
        <v>27</v>
      </c>
      <c r="CF208" t="s">
        <v>635</v>
      </c>
      <c r="CG208">
        <v>1961013</v>
      </c>
      <c r="CH208">
        <v>0.04</v>
      </c>
      <c r="CI208">
        <v>78500</v>
      </c>
      <c r="CJ208">
        <v>1961013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 t="s">
        <v>88</v>
      </c>
      <c r="CT208" t="s">
        <v>1441</v>
      </c>
      <c r="CU208" t="s">
        <v>1442</v>
      </c>
    </row>
    <row r="209" spans="1:99">
      <c r="A209" t="s">
        <v>1431</v>
      </c>
      <c r="B209" t="s">
        <v>34</v>
      </c>
      <c r="C209" t="s">
        <v>2043</v>
      </c>
      <c r="D209" t="s">
        <v>2044</v>
      </c>
      <c r="E209" t="s">
        <v>667</v>
      </c>
      <c r="F209" t="s">
        <v>1536</v>
      </c>
      <c r="G209" t="s">
        <v>2045</v>
      </c>
      <c r="H209" t="s">
        <v>2046</v>
      </c>
      <c r="I209" t="s">
        <v>240</v>
      </c>
      <c r="J209" t="s">
        <v>46</v>
      </c>
      <c r="K209" t="s">
        <v>29</v>
      </c>
      <c r="L209" t="s">
        <v>30</v>
      </c>
      <c r="M209">
        <v>0</v>
      </c>
      <c r="N209" t="s">
        <v>32</v>
      </c>
      <c r="O209" t="s">
        <v>32</v>
      </c>
      <c r="Q209" t="s">
        <v>32</v>
      </c>
      <c r="S209" t="s">
        <v>32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AA209" t="s">
        <v>32</v>
      </c>
      <c r="AB209" t="s">
        <v>32</v>
      </c>
      <c r="AE209" t="s">
        <v>32</v>
      </c>
      <c r="AH209" t="s">
        <v>32</v>
      </c>
      <c r="AK209" t="s">
        <v>128</v>
      </c>
      <c r="AL209">
        <v>46069</v>
      </c>
      <c r="AM209">
        <v>46069</v>
      </c>
      <c r="AN209" t="s">
        <v>32</v>
      </c>
      <c r="AO209" t="s">
        <v>32</v>
      </c>
      <c r="AR209">
        <v>0</v>
      </c>
      <c r="AU209" t="s">
        <v>32</v>
      </c>
      <c r="AV209">
        <v>3360265</v>
      </c>
      <c r="AW209" t="s">
        <v>32</v>
      </c>
      <c r="AX209" t="s">
        <v>32</v>
      </c>
      <c r="AY209" t="s">
        <v>317</v>
      </c>
      <c r="AZ209">
        <v>1</v>
      </c>
      <c r="BA209">
        <v>112009</v>
      </c>
      <c r="BB209">
        <v>0.16</v>
      </c>
      <c r="BC209">
        <v>18000</v>
      </c>
      <c r="BD209" t="s">
        <v>142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18000</v>
      </c>
      <c r="BK209" t="s">
        <v>25</v>
      </c>
      <c r="BL209" t="s">
        <v>635</v>
      </c>
      <c r="BM209">
        <v>1</v>
      </c>
      <c r="BN209">
        <v>112009</v>
      </c>
      <c r="BO209">
        <v>0.04</v>
      </c>
      <c r="BP209">
        <v>4500</v>
      </c>
      <c r="BQ209">
        <v>0</v>
      </c>
      <c r="BR209" t="s">
        <v>1438</v>
      </c>
      <c r="BS209">
        <v>0</v>
      </c>
      <c r="BT209" t="s">
        <v>1438</v>
      </c>
      <c r="BU209">
        <v>0</v>
      </c>
      <c r="BV209" t="s">
        <v>25</v>
      </c>
      <c r="BW209" t="s">
        <v>189</v>
      </c>
      <c r="BX209">
        <v>1</v>
      </c>
      <c r="BY209">
        <v>112009</v>
      </c>
      <c r="BZ209">
        <v>0</v>
      </c>
      <c r="CA209" t="s">
        <v>1439</v>
      </c>
      <c r="CB209" t="s">
        <v>227</v>
      </c>
      <c r="CC209" t="s">
        <v>1440</v>
      </c>
      <c r="CD209">
        <v>0</v>
      </c>
      <c r="CE209">
        <v>1</v>
      </c>
      <c r="CF209" t="s">
        <v>635</v>
      </c>
      <c r="CG209">
        <v>112009</v>
      </c>
      <c r="CH209">
        <v>0.04</v>
      </c>
      <c r="CI209">
        <v>4500</v>
      </c>
      <c r="CJ209">
        <v>112009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 t="s">
        <v>88</v>
      </c>
      <c r="CT209" t="s">
        <v>1441</v>
      </c>
      <c r="CU209" t="s">
        <v>1442</v>
      </c>
    </row>
    <row r="210" spans="1:99">
      <c r="A210" t="s">
        <v>1431</v>
      </c>
      <c r="B210" t="s">
        <v>34</v>
      </c>
      <c r="C210" t="s">
        <v>2043</v>
      </c>
      <c r="D210" t="s">
        <v>2044</v>
      </c>
      <c r="E210" t="s">
        <v>667</v>
      </c>
      <c r="F210" t="s">
        <v>1536</v>
      </c>
      <c r="G210" t="s">
        <v>2045</v>
      </c>
      <c r="H210" t="s">
        <v>2046</v>
      </c>
      <c r="I210" t="s">
        <v>240</v>
      </c>
      <c r="J210" t="s">
        <v>46</v>
      </c>
      <c r="K210" t="s">
        <v>29</v>
      </c>
      <c r="L210" t="s">
        <v>30</v>
      </c>
      <c r="M210">
        <v>171</v>
      </c>
      <c r="N210" t="s">
        <v>32</v>
      </c>
      <c r="O210" t="s">
        <v>32</v>
      </c>
      <c r="Q210" t="s">
        <v>32</v>
      </c>
      <c r="S210" t="s">
        <v>32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AA210" t="s">
        <v>88</v>
      </c>
      <c r="AB210" t="s">
        <v>32</v>
      </c>
      <c r="AE210" t="s">
        <v>32</v>
      </c>
      <c r="AH210" t="s">
        <v>32</v>
      </c>
      <c r="AK210" t="s">
        <v>32</v>
      </c>
      <c r="AN210" t="s">
        <v>32</v>
      </c>
      <c r="AO210" t="s">
        <v>32</v>
      </c>
      <c r="AR210">
        <v>0</v>
      </c>
      <c r="AU210" t="s">
        <v>32</v>
      </c>
      <c r="AV210">
        <v>3360265</v>
      </c>
      <c r="AW210" t="s">
        <v>32</v>
      </c>
      <c r="AX210" t="s">
        <v>32</v>
      </c>
      <c r="AY210" t="s">
        <v>317</v>
      </c>
      <c r="AZ210">
        <v>29</v>
      </c>
      <c r="BA210">
        <v>3346010</v>
      </c>
      <c r="BB210">
        <v>0.16</v>
      </c>
      <c r="BC210">
        <v>535400</v>
      </c>
      <c r="BD210" t="s">
        <v>142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535400</v>
      </c>
      <c r="BK210" t="s">
        <v>25</v>
      </c>
      <c r="BL210" t="s">
        <v>635</v>
      </c>
      <c r="BM210">
        <v>29</v>
      </c>
      <c r="BN210">
        <v>3346010</v>
      </c>
      <c r="BO210">
        <v>0.04</v>
      </c>
      <c r="BP210">
        <v>133900</v>
      </c>
      <c r="BQ210">
        <v>0</v>
      </c>
      <c r="BR210" t="s">
        <v>1438</v>
      </c>
      <c r="BS210">
        <v>0</v>
      </c>
      <c r="BT210" t="s">
        <v>1438</v>
      </c>
      <c r="BU210">
        <v>0</v>
      </c>
      <c r="BV210" t="s">
        <v>25</v>
      </c>
      <c r="BW210" t="s">
        <v>189</v>
      </c>
      <c r="BX210">
        <v>29</v>
      </c>
      <c r="BY210">
        <v>3346010</v>
      </c>
      <c r="BZ210">
        <v>6.9599999999999995E-2</v>
      </c>
      <c r="CA210" t="s">
        <v>1439</v>
      </c>
      <c r="CB210" t="s">
        <v>227</v>
      </c>
      <c r="CC210" t="s">
        <v>1440</v>
      </c>
      <c r="CD210">
        <v>232900</v>
      </c>
      <c r="CE210">
        <v>29</v>
      </c>
      <c r="CF210" t="s">
        <v>635</v>
      </c>
      <c r="CG210">
        <v>3346010</v>
      </c>
      <c r="CH210">
        <v>0.04</v>
      </c>
      <c r="CI210">
        <v>133900</v>
      </c>
      <c r="CJ210">
        <v>3346010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 t="s">
        <v>88</v>
      </c>
      <c r="CT210" t="s">
        <v>1441</v>
      </c>
      <c r="CU210" t="s">
        <v>1442</v>
      </c>
    </row>
    <row r="211" spans="1:99">
      <c r="A211" t="s">
        <v>1431</v>
      </c>
      <c r="B211" t="s">
        <v>34</v>
      </c>
      <c r="C211" t="s">
        <v>2047</v>
      </c>
      <c r="D211" t="s">
        <v>2048</v>
      </c>
      <c r="E211" t="s">
        <v>2049</v>
      </c>
      <c r="F211" t="s">
        <v>1516</v>
      </c>
      <c r="G211" t="s">
        <v>1532</v>
      </c>
      <c r="H211" t="s">
        <v>1519</v>
      </c>
      <c r="I211" t="s">
        <v>240</v>
      </c>
      <c r="J211" t="s">
        <v>46</v>
      </c>
      <c r="K211" t="s">
        <v>29</v>
      </c>
      <c r="L211" t="s">
        <v>30</v>
      </c>
      <c r="M211">
        <v>222</v>
      </c>
      <c r="N211" t="s">
        <v>32</v>
      </c>
      <c r="O211" t="s">
        <v>32</v>
      </c>
      <c r="Q211" t="s">
        <v>32</v>
      </c>
      <c r="S211" t="s">
        <v>32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AA211" t="s">
        <v>88</v>
      </c>
      <c r="AB211" t="s">
        <v>32</v>
      </c>
      <c r="AE211" t="s">
        <v>32</v>
      </c>
      <c r="AH211" t="s">
        <v>32</v>
      </c>
      <c r="AK211" t="s">
        <v>32</v>
      </c>
      <c r="AN211" t="s">
        <v>32</v>
      </c>
      <c r="AO211" t="s">
        <v>32</v>
      </c>
      <c r="AR211">
        <v>0</v>
      </c>
      <c r="AU211" t="s">
        <v>32</v>
      </c>
      <c r="AV211">
        <v>2074908</v>
      </c>
      <c r="AW211" t="s">
        <v>32</v>
      </c>
      <c r="AX211" t="s">
        <v>32</v>
      </c>
      <c r="AY211" t="s">
        <v>317</v>
      </c>
      <c r="AZ211">
        <v>30</v>
      </c>
      <c r="BA211">
        <v>2861047</v>
      </c>
      <c r="BB211">
        <v>0.16</v>
      </c>
      <c r="BC211">
        <v>457800</v>
      </c>
      <c r="BD211" t="s">
        <v>142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457800</v>
      </c>
      <c r="BK211" t="s">
        <v>25</v>
      </c>
      <c r="BL211" t="s">
        <v>1010</v>
      </c>
      <c r="BM211">
        <v>30</v>
      </c>
      <c r="BN211">
        <v>2861047</v>
      </c>
      <c r="BO211">
        <v>0.04</v>
      </c>
      <c r="BP211">
        <v>114500</v>
      </c>
      <c r="BQ211">
        <v>0</v>
      </c>
      <c r="BR211" t="s">
        <v>1438</v>
      </c>
      <c r="BS211">
        <v>0</v>
      </c>
      <c r="BT211" t="s">
        <v>1438</v>
      </c>
      <c r="BU211">
        <v>0</v>
      </c>
      <c r="BV211" t="s">
        <v>25</v>
      </c>
      <c r="BW211" t="s">
        <v>189</v>
      </c>
      <c r="BX211">
        <v>30</v>
      </c>
      <c r="BY211">
        <v>2861047</v>
      </c>
      <c r="BZ211">
        <v>6.9599999999999995E-2</v>
      </c>
      <c r="CA211" t="s">
        <v>1439</v>
      </c>
      <c r="CB211" t="s">
        <v>227</v>
      </c>
      <c r="CC211" t="s">
        <v>1440</v>
      </c>
      <c r="CD211">
        <v>199200</v>
      </c>
      <c r="CE211">
        <v>30</v>
      </c>
      <c r="CF211" t="s">
        <v>635</v>
      </c>
      <c r="CG211">
        <v>2861047</v>
      </c>
      <c r="CH211">
        <v>0.04</v>
      </c>
      <c r="CI211">
        <v>114500</v>
      </c>
      <c r="CJ211">
        <v>2861047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 t="s">
        <v>88</v>
      </c>
      <c r="CT211" t="s">
        <v>1441</v>
      </c>
      <c r="CU211" t="s">
        <v>1442</v>
      </c>
    </row>
    <row r="212" spans="1:99">
      <c r="A212" t="s">
        <v>1431</v>
      </c>
      <c r="B212" t="s">
        <v>34</v>
      </c>
      <c r="C212" t="s">
        <v>2050</v>
      </c>
      <c r="D212" t="s">
        <v>2051</v>
      </c>
      <c r="E212" t="s">
        <v>2052</v>
      </c>
      <c r="F212" t="s">
        <v>2053</v>
      </c>
      <c r="G212" t="s">
        <v>1436</v>
      </c>
      <c r="H212" t="s">
        <v>1451</v>
      </c>
      <c r="I212" t="s">
        <v>240</v>
      </c>
      <c r="J212" t="s">
        <v>46</v>
      </c>
      <c r="K212" t="s">
        <v>29</v>
      </c>
      <c r="L212" t="s">
        <v>30</v>
      </c>
      <c r="M212">
        <v>220</v>
      </c>
      <c r="N212" t="s">
        <v>32</v>
      </c>
      <c r="O212" t="s">
        <v>32</v>
      </c>
      <c r="Q212" t="s">
        <v>32</v>
      </c>
      <c r="S212" t="s">
        <v>32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AA212" t="s">
        <v>88</v>
      </c>
      <c r="AB212" t="s">
        <v>32</v>
      </c>
      <c r="AE212" t="s">
        <v>32</v>
      </c>
      <c r="AH212" t="s">
        <v>32</v>
      </c>
      <c r="AK212" t="s">
        <v>32</v>
      </c>
      <c r="AN212" t="s">
        <v>32</v>
      </c>
      <c r="AO212" t="s">
        <v>32</v>
      </c>
      <c r="AR212">
        <v>0</v>
      </c>
      <c r="AU212" t="s">
        <v>32</v>
      </c>
      <c r="AV212">
        <v>2074908</v>
      </c>
      <c r="AW212" t="s">
        <v>32</v>
      </c>
      <c r="AX212" t="s">
        <v>32</v>
      </c>
      <c r="AY212" t="s">
        <v>317</v>
      </c>
      <c r="AZ212">
        <v>30</v>
      </c>
      <c r="BA212">
        <v>3276717</v>
      </c>
      <c r="BB212">
        <v>0.16</v>
      </c>
      <c r="BC212">
        <v>524300</v>
      </c>
      <c r="BD212" t="s">
        <v>142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524300</v>
      </c>
      <c r="BK212" t="s">
        <v>25</v>
      </c>
      <c r="BL212" t="s">
        <v>1010</v>
      </c>
      <c r="BM212">
        <v>30</v>
      </c>
      <c r="BN212">
        <v>3276717</v>
      </c>
      <c r="BO212">
        <v>0.04</v>
      </c>
      <c r="BP212">
        <v>131100</v>
      </c>
      <c r="BQ212">
        <v>0</v>
      </c>
      <c r="BR212" t="s">
        <v>1438</v>
      </c>
      <c r="BS212">
        <v>0</v>
      </c>
      <c r="BT212" t="s">
        <v>1438</v>
      </c>
      <c r="BU212">
        <v>0</v>
      </c>
      <c r="BV212" t="s">
        <v>25</v>
      </c>
      <c r="BW212" t="s">
        <v>189</v>
      </c>
      <c r="BX212">
        <v>30</v>
      </c>
      <c r="BY212">
        <v>3276717</v>
      </c>
      <c r="BZ212">
        <v>6.9599999999999995E-2</v>
      </c>
      <c r="CA212" t="s">
        <v>1439</v>
      </c>
      <c r="CB212" t="s">
        <v>227</v>
      </c>
      <c r="CC212" t="s">
        <v>1440</v>
      </c>
      <c r="CD212">
        <v>228100</v>
      </c>
      <c r="CE212">
        <v>30</v>
      </c>
      <c r="CF212" t="s">
        <v>635</v>
      </c>
      <c r="CG212">
        <v>2973280</v>
      </c>
      <c r="CH212">
        <v>0.04</v>
      </c>
      <c r="CI212">
        <v>119000</v>
      </c>
      <c r="CJ212">
        <v>2973280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 t="s">
        <v>88</v>
      </c>
      <c r="CT212" t="s">
        <v>1441</v>
      </c>
      <c r="CU212" t="s">
        <v>1442</v>
      </c>
    </row>
    <row r="213" spans="1:99">
      <c r="A213" t="s">
        <v>1431</v>
      </c>
      <c r="B213" t="s">
        <v>34</v>
      </c>
      <c r="C213" t="s">
        <v>2054</v>
      </c>
      <c r="D213" t="s">
        <v>2055</v>
      </c>
      <c r="E213" t="s">
        <v>1697</v>
      </c>
      <c r="F213" t="s">
        <v>2056</v>
      </c>
      <c r="G213" t="s">
        <v>1489</v>
      </c>
      <c r="H213" t="s">
        <v>1513</v>
      </c>
      <c r="I213" t="s">
        <v>240</v>
      </c>
      <c r="J213" t="s">
        <v>46</v>
      </c>
      <c r="K213" t="s">
        <v>29</v>
      </c>
      <c r="L213" t="s">
        <v>30</v>
      </c>
      <c r="M213">
        <v>55</v>
      </c>
      <c r="N213" t="s">
        <v>32</v>
      </c>
      <c r="O213" t="s">
        <v>32</v>
      </c>
      <c r="Q213" t="s">
        <v>32</v>
      </c>
      <c r="S213" t="s">
        <v>40</v>
      </c>
      <c r="T213">
        <v>46058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AA213" t="s">
        <v>88</v>
      </c>
      <c r="AB213" t="s">
        <v>32</v>
      </c>
      <c r="AE213" t="s">
        <v>32</v>
      </c>
      <c r="AH213" t="s">
        <v>32</v>
      </c>
      <c r="AK213" t="s">
        <v>32</v>
      </c>
      <c r="AN213" t="s">
        <v>32</v>
      </c>
      <c r="AO213" t="s">
        <v>32</v>
      </c>
      <c r="AR213">
        <v>0</v>
      </c>
      <c r="AU213" t="s">
        <v>32</v>
      </c>
      <c r="AV213">
        <v>2891569</v>
      </c>
      <c r="AW213" t="s">
        <v>32</v>
      </c>
      <c r="AX213" t="s">
        <v>32</v>
      </c>
      <c r="AY213" t="s">
        <v>356</v>
      </c>
      <c r="AZ213">
        <v>5</v>
      </c>
      <c r="BA213">
        <v>1422653</v>
      </c>
      <c r="BB213">
        <v>0.16</v>
      </c>
      <c r="BC213">
        <v>227700</v>
      </c>
      <c r="BD213" t="s">
        <v>142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227700</v>
      </c>
      <c r="BK213" t="s">
        <v>25</v>
      </c>
      <c r="BL213" t="s">
        <v>1064</v>
      </c>
      <c r="BM213">
        <v>5</v>
      </c>
      <c r="BN213">
        <v>1422653</v>
      </c>
      <c r="BO213">
        <v>0.04</v>
      </c>
      <c r="BP213">
        <v>57000</v>
      </c>
      <c r="BQ213">
        <v>0</v>
      </c>
      <c r="BR213" t="s">
        <v>1438</v>
      </c>
      <c r="BS213">
        <v>0</v>
      </c>
      <c r="BT213" t="s">
        <v>1438</v>
      </c>
      <c r="BU213">
        <v>0</v>
      </c>
      <c r="BV213" t="s">
        <v>25</v>
      </c>
      <c r="BW213" t="s">
        <v>189</v>
      </c>
      <c r="BX213">
        <v>5</v>
      </c>
      <c r="BY213">
        <v>1422653</v>
      </c>
      <c r="BZ213">
        <v>6.9599999999999995E-2</v>
      </c>
      <c r="CA213" t="s">
        <v>1439</v>
      </c>
      <c r="CB213" t="s">
        <v>227</v>
      </c>
      <c r="CC213" t="s">
        <v>1440</v>
      </c>
      <c r="CD213">
        <v>99100</v>
      </c>
      <c r="CE213">
        <v>5</v>
      </c>
      <c r="CF213" t="s">
        <v>635</v>
      </c>
      <c r="CG213">
        <v>2009828</v>
      </c>
      <c r="CH213">
        <v>0.04</v>
      </c>
      <c r="CI213">
        <v>80400</v>
      </c>
      <c r="CJ213">
        <v>2009828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 t="s">
        <v>88</v>
      </c>
      <c r="CT213" t="s">
        <v>1441</v>
      </c>
      <c r="CU213" t="s">
        <v>1442</v>
      </c>
    </row>
    <row r="214" spans="1:99">
      <c r="A214" t="s">
        <v>1431</v>
      </c>
      <c r="B214" t="s">
        <v>34</v>
      </c>
      <c r="C214" t="s">
        <v>2054</v>
      </c>
      <c r="D214" t="s">
        <v>2055</v>
      </c>
      <c r="E214" t="s">
        <v>1697</v>
      </c>
      <c r="F214" t="s">
        <v>2056</v>
      </c>
      <c r="G214" t="s">
        <v>1489</v>
      </c>
      <c r="H214" t="s">
        <v>1513</v>
      </c>
      <c r="I214" t="s">
        <v>682</v>
      </c>
      <c r="J214" t="s">
        <v>484</v>
      </c>
      <c r="K214" t="s">
        <v>29</v>
      </c>
      <c r="L214" t="s">
        <v>30</v>
      </c>
      <c r="M214">
        <v>51</v>
      </c>
      <c r="N214" t="s">
        <v>32</v>
      </c>
      <c r="O214" t="s">
        <v>32</v>
      </c>
      <c r="Q214" t="s">
        <v>40</v>
      </c>
      <c r="R214">
        <v>46073</v>
      </c>
      <c r="S214" t="s">
        <v>40</v>
      </c>
      <c r="T214">
        <v>46079</v>
      </c>
      <c r="U214" t="s">
        <v>32</v>
      </c>
      <c r="V214" t="s">
        <v>32</v>
      </c>
      <c r="W214" t="s">
        <v>32</v>
      </c>
      <c r="X214" t="s">
        <v>88</v>
      </c>
      <c r="Y214" t="s">
        <v>32</v>
      </c>
      <c r="AA214" t="s">
        <v>88</v>
      </c>
      <c r="AB214" t="s">
        <v>32</v>
      </c>
      <c r="AE214" t="s">
        <v>32</v>
      </c>
      <c r="AH214" t="s">
        <v>32</v>
      </c>
      <c r="AK214" t="s">
        <v>32</v>
      </c>
      <c r="AN214" t="s">
        <v>32</v>
      </c>
      <c r="AO214" t="s">
        <v>32</v>
      </c>
      <c r="AR214">
        <v>0</v>
      </c>
      <c r="AU214" t="s">
        <v>32</v>
      </c>
      <c r="AV214">
        <v>2891569</v>
      </c>
      <c r="AW214" t="s">
        <v>32</v>
      </c>
      <c r="AX214" t="s">
        <v>32</v>
      </c>
      <c r="AY214" t="s">
        <v>317</v>
      </c>
      <c r="AZ214">
        <v>7</v>
      </c>
      <c r="BA214">
        <v>819541</v>
      </c>
      <c r="BB214">
        <v>0.16</v>
      </c>
      <c r="BC214">
        <v>131200</v>
      </c>
      <c r="BD214" t="s">
        <v>142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131200</v>
      </c>
      <c r="BK214" t="s">
        <v>356</v>
      </c>
      <c r="BL214" t="s">
        <v>1064</v>
      </c>
      <c r="BM214">
        <v>7</v>
      </c>
      <c r="BN214">
        <v>819541</v>
      </c>
      <c r="BO214">
        <v>0.04</v>
      </c>
      <c r="BP214">
        <v>32800</v>
      </c>
      <c r="BQ214">
        <v>0</v>
      </c>
      <c r="BR214" t="s">
        <v>1438</v>
      </c>
      <c r="BS214">
        <v>0</v>
      </c>
      <c r="BT214" t="s">
        <v>1438</v>
      </c>
      <c r="BU214">
        <v>0</v>
      </c>
      <c r="BV214" t="s">
        <v>25</v>
      </c>
      <c r="BW214" t="s">
        <v>189</v>
      </c>
      <c r="BX214">
        <v>7</v>
      </c>
      <c r="BY214">
        <v>819541</v>
      </c>
      <c r="BZ214">
        <v>6.9599999999999995E-2</v>
      </c>
      <c r="CA214" t="s">
        <v>1439</v>
      </c>
      <c r="CB214" t="s">
        <v>312</v>
      </c>
      <c r="CC214" t="s">
        <v>1440</v>
      </c>
      <c r="CD214">
        <v>57100</v>
      </c>
      <c r="CE214">
        <v>7</v>
      </c>
      <c r="CF214" t="s">
        <v>466</v>
      </c>
      <c r="CG214">
        <v>853493</v>
      </c>
      <c r="CH214">
        <v>0.04</v>
      </c>
      <c r="CI214">
        <v>34200</v>
      </c>
      <c r="CJ214">
        <v>853493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 t="s">
        <v>88</v>
      </c>
      <c r="CT214" t="s">
        <v>1441</v>
      </c>
      <c r="CU214" t="s">
        <v>1442</v>
      </c>
    </row>
    <row r="215" spans="1:99">
      <c r="A215" t="s">
        <v>1431</v>
      </c>
      <c r="B215" t="s">
        <v>34</v>
      </c>
      <c r="C215" t="s">
        <v>2057</v>
      </c>
      <c r="D215" t="s">
        <v>2058</v>
      </c>
      <c r="E215" t="s">
        <v>1809</v>
      </c>
      <c r="F215" t="s">
        <v>1644</v>
      </c>
      <c r="G215" t="s">
        <v>1489</v>
      </c>
      <c r="H215" t="s">
        <v>1479</v>
      </c>
      <c r="I215" t="s">
        <v>682</v>
      </c>
      <c r="J215" t="s">
        <v>484</v>
      </c>
      <c r="K215" t="s">
        <v>29</v>
      </c>
      <c r="L215" t="s">
        <v>30</v>
      </c>
      <c r="M215">
        <v>0</v>
      </c>
      <c r="N215" t="s">
        <v>32</v>
      </c>
      <c r="O215" t="s">
        <v>32</v>
      </c>
      <c r="Q215" t="s">
        <v>32</v>
      </c>
      <c r="S215" t="s">
        <v>32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AA215" t="s">
        <v>32</v>
      </c>
      <c r="AB215" t="s">
        <v>37</v>
      </c>
      <c r="AC215">
        <v>46054</v>
      </c>
      <c r="AD215">
        <v>46055</v>
      </c>
      <c r="AE215" t="s">
        <v>32</v>
      </c>
      <c r="AH215" t="s">
        <v>32</v>
      </c>
      <c r="AK215" t="s">
        <v>32</v>
      </c>
      <c r="AN215" t="s">
        <v>32</v>
      </c>
      <c r="AO215" t="s">
        <v>32</v>
      </c>
      <c r="AR215">
        <v>0</v>
      </c>
      <c r="AU215" t="s">
        <v>32</v>
      </c>
      <c r="AV215">
        <v>2665550</v>
      </c>
      <c r="AW215" t="s">
        <v>32</v>
      </c>
      <c r="AX215" t="s">
        <v>32</v>
      </c>
      <c r="AY215" t="s">
        <v>137</v>
      </c>
      <c r="AZ215">
        <v>2</v>
      </c>
      <c r="BA215">
        <v>177704</v>
      </c>
      <c r="BB215">
        <v>0.16</v>
      </c>
      <c r="BC215">
        <v>28500</v>
      </c>
      <c r="BD215" t="s">
        <v>142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28500</v>
      </c>
      <c r="BK215" t="s">
        <v>25</v>
      </c>
      <c r="BL215" t="s">
        <v>1064</v>
      </c>
      <c r="BM215">
        <v>2</v>
      </c>
      <c r="BN215">
        <v>177704</v>
      </c>
      <c r="BO215">
        <v>0</v>
      </c>
      <c r="BP215">
        <v>0</v>
      </c>
      <c r="BQ215">
        <v>0</v>
      </c>
      <c r="BR215" t="s">
        <v>1438</v>
      </c>
      <c r="BS215">
        <v>0</v>
      </c>
      <c r="BT215" t="s">
        <v>1438</v>
      </c>
      <c r="BU215">
        <v>0</v>
      </c>
      <c r="BV215" t="s">
        <v>25</v>
      </c>
      <c r="BW215" t="s">
        <v>189</v>
      </c>
      <c r="BX215">
        <v>2</v>
      </c>
      <c r="BY215">
        <v>177704</v>
      </c>
      <c r="BZ215">
        <v>0</v>
      </c>
      <c r="CA215" t="s">
        <v>1439</v>
      </c>
      <c r="CB215" t="s">
        <v>312</v>
      </c>
      <c r="CC215" t="s">
        <v>1440</v>
      </c>
      <c r="CD215">
        <v>0</v>
      </c>
      <c r="CE215">
        <v>2</v>
      </c>
      <c r="CF215" t="s">
        <v>466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 t="s">
        <v>88</v>
      </c>
      <c r="CT215" t="s">
        <v>1441</v>
      </c>
      <c r="CU215" t="s">
        <v>1442</v>
      </c>
    </row>
    <row r="216" spans="1:99">
      <c r="A216" t="s">
        <v>1431</v>
      </c>
      <c r="B216" t="s">
        <v>34</v>
      </c>
      <c r="C216" t="s">
        <v>2057</v>
      </c>
      <c r="D216" t="s">
        <v>2058</v>
      </c>
      <c r="E216" t="s">
        <v>1809</v>
      </c>
      <c r="F216" t="s">
        <v>1644</v>
      </c>
      <c r="G216" t="s">
        <v>1489</v>
      </c>
      <c r="H216" t="s">
        <v>1479</v>
      </c>
      <c r="I216" t="s">
        <v>682</v>
      </c>
      <c r="J216" t="s">
        <v>484</v>
      </c>
      <c r="K216" t="s">
        <v>29</v>
      </c>
      <c r="L216" t="s">
        <v>30</v>
      </c>
      <c r="M216">
        <v>0</v>
      </c>
      <c r="N216" t="s">
        <v>32</v>
      </c>
      <c r="O216" t="s">
        <v>32</v>
      </c>
      <c r="Q216" t="s">
        <v>32</v>
      </c>
      <c r="S216" t="s">
        <v>32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AA216" t="s">
        <v>32</v>
      </c>
      <c r="AB216" t="s">
        <v>32</v>
      </c>
      <c r="AE216" t="s">
        <v>32</v>
      </c>
      <c r="AH216" t="s">
        <v>32</v>
      </c>
      <c r="AK216" t="s">
        <v>128</v>
      </c>
      <c r="AL216">
        <v>46069</v>
      </c>
      <c r="AM216">
        <v>46073</v>
      </c>
      <c r="AN216" t="s">
        <v>32</v>
      </c>
      <c r="AO216" t="s">
        <v>32</v>
      </c>
      <c r="AR216">
        <v>0</v>
      </c>
      <c r="AU216" t="s">
        <v>32</v>
      </c>
      <c r="AV216">
        <v>2665550</v>
      </c>
      <c r="AW216" t="s">
        <v>32</v>
      </c>
      <c r="AX216" t="s">
        <v>32</v>
      </c>
      <c r="AY216" t="s">
        <v>137</v>
      </c>
      <c r="AZ216">
        <v>5</v>
      </c>
      <c r="BA216">
        <v>444259</v>
      </c>
      <c r="BB216">
        <v>0.16</v>
      </c>
      <c r="BC216">
        <v>71100</v>
      </c>
      <c r="BD216" t="s">
        <v>142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71100</v>
      </c>
      <c r="BK216" t="s">
        <v>25</v>
      </c>
      <c r="BL216" t="s">
        <v>1064</v>
      </c>
      <c r="BM216">
        <v>5</v>
      </c>
      <c r="BN216">
        <v>444259</v>
      </c>
      <c r="BO216">
        <v>0.04</v>
      </c>
      <c r="BP216">
        <v>17800</v>
      </c>
      <c r="BQ216">
        <v>0</v>
      </c>
      <c r="BR216" t="s">
        <v>1438</v>
      </c>
      <c r="BS216">
        <v>0</v>
      </c>
      <c r="BT216" t="s">
        <v>1438</v>
      </c>
      <c r="BU216">
        <v>0</v>
      </c>
      <c r="BV216" t="s">
        <v>25</v>
      </c>
      <c r="BW216" t="s">
        <v>189</v>
      </c>
      <c r="BX216">
        <v>5</v>
      </c>
      <c r="BY216">
        <v>444259</v>
      </c>
      <c r="BZ216">
        <v>0</v>
      </c>
      <c r="CA216" t="s">
        <v>1439</v>
      </c>
      <c r="CB216" t="s">
        <v>312</v>
      </c>
      <c r="CC216" t="s">
        <v>1440</v>
      </c>
      <c r="CD216">
        <v>0</v>
      </c>
      <c r="CE216">
        <v>5</v>
      </c>
      <c r="CF216" t="s">
        <v>466</v>
      </c>
      <c r="CG216">
        <v>444259</v>
      </c>
      <c r="CH216">
        <v>0.04</v>
      </c>
      <c r="CI216">
        <v>17800</v>
      </c>
      <c r="CJ216">
        <v>444259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 t="s">
        <v>88</v>
      </c>
      <c r="CT216" t="s">
        <v>1441</v>
      </c>
      <c r="CU216" t="s">
        <v>1442</v>
      </c>
    </row>
    <row r="217" spans="1:99">
      <c r="A217" t="s">
        <v>1431</v>
      </c>
      <c r="B217" t="s">
        <v>34</v>
      </c>
      <c r="C217" t="s">
        <v>2057</v>
      </c>
      <c r="D217" t="s">
        <v>2058</v>
      </c>
      <c r="E217" t="s">
        <v>1809</v>
      </c>
      <c r="F217" t="s">
        <v>1644</v>
      </c>
      <c r="G217" t="s">
        <v>1489</v>
      </c>
      <c r="H217" t="s">
        <v>1479</v>
      </c>
      <c r="I217" t="s">
        <v>682</v>
      </c>
      <c r="J217" t="s">
        <v>484</v>
      </c>
      <c r="K217" t="s">
        <v>29</v>
      </c>
      <c r="L217" t="s">
        <v>30</v>
      </c>
      <c r="M217">
        <v>142</v>
      </c>
      <c r="N217" t="s">
        <v>32</v>
      </c>
      <c r="O217" t="s">
        <v>32</v>
      </c>
      <c r="Q217" t="s">
        <v>32</v>
      </c>
      <c r="S217" t="s">
        <v>32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AA217" t="s">
        <v>88</v>
      </c>
      <c r="AB217" t="s">
        <v>32</v>
      </c>
      <c r="AE217" t="s">
        <v>32</v>
      </c>
      <c r="AH217" t="s">
        <v>32</v>
      </c>
      <c r="AK217" t="s">
        <v>32</v>
      </c>
      <c r="AN217" t="s">
        <v>32</v>
      </c>
      <c r="AO217" t="s">
        <v>32</v>
      </c>
      <c r="AR217">
        <v>0</v>
      </c>
      <c r="AU217" t="s">
        <v>32</v>
      </c>
      <c r="AV217">
        <v>2665550</v>
      </c>
      <c r="AW217" t="s">
        <v>32</v>
      </c>
      <c r="AX217" t="s">
        <v>32</v>
      </c>
      <c r="AY217" t="s">
        <v>137</v>
      </c>
      <c r="AZ217">
        <v>23</v>
      </c>
      <c r="BA217">
        <v>3085889</v>
      </c>
      <c r="BB217">
        <v>0.16</v>
      </c>
      <c r="BC217">
        <v>493800</v>
      </c>
      <c r="BD217" t="s">
        <v>142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493800</v>
      </c>
      <c r="BK217" t="s">
        <v>25</v>
      </c>
      <c r="BL217" t="s">
        <v>1064</v>
      </c>
      <c r="BM217">
        <v>23</v>
      </c>
      <c r="BN217">
        <v>3085889</v>
      </c>
      <c r="BO217">
        <v>0.04</v>
      </c>
      <c r="BP217">
        <v>123500</v>
      </c>
      <c r="BQ217">
        <v>0</v>
      </c>
      <c r="BR217" t="s">
        <v>1438</v>
      </c>
      <c r="BS217">
        <v>0</v>
      </c>
      <c r="BT217" t="s">
        <v>1438</v>
      </c>
      <c r="BU217">
        <v>0</v>
      </c>
      <c r="BV217" t="s">
        <v>25</v>
      </c>
      <c r="BW217" t="s">
        <v>189</v>
      </c>
      <c r="BX217">
        <v>23</v>
      </c>
      <c r="BY217">
        <v>3085889</v>
      </c>
      <c r="BZ217">
        <v>6.9599999999999995E-2</v>
      </c>
      <c r="CA217" t="s">
        <v>1439</v>
      </c>
      <c r="CB217" t="s">
        <v>312</v>
      </c>
      <c r="CC217" t="s">
        <v>1440</v>
      </c>
      <c r="CD217">
        <v>214800</v>
      </c>
      <c r="CE217">
        <v>23</v>
      </c>
      <c r="CF217" t="s">
        <v>466</v>
      </c>
      <c r="CG217">
        <v>3085890</v>
      </c>
      <c r="CH217">
        <v>0.04</v>
      </c>
      <c r="CI217">
        <v>123500</v>
      </c>
      <c r="CJ217">
        <v>3085890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 t="s">
        <v>88</v>
      </c>
      <c r="CT217" t="s">
        <v>1441</v>
      </c>
      <c r="CU217" t="s">
        <v>1442</v>
      </c>
    </row>
    <row r="218" spans="1:99">
      <c r="A218" t="s">
        <v>1431</v>
      </c>
      <c r="B218" t="s">
        <v>34</v>
      </c>
      <c r="C218" t="s">
        <v>2059</v>
      </c>
      <c r="D218" t="s">
        <v>2060</v>
      </c>
      <c r="E218" t="s">
        <v>1516</v>
      </c>
      <c r="F218" t="s">
        <v>1769</v>
      </c>
      <c r="G218" t="s">
        <v>2061</v>
      </c>
      <c r="H218" t="s">
        <v>1456</v>
      </c>
      <c r="I218" t="s">
        <v>682</v>
      </c>
      <c r="J218" t="s">
        <v>484</v>
      </c>
      <c r="K218" t="s">
        <v>29</v>
      </c>
      <c r="L218" t="s">
        <v>30</v>
      </c>
      <c r="M218">
        <v>154</v>
      </c>
      <c r="N218" t="s">
        <v>32</v>
      </c>
      <c r="O218" t="s">
        <v>32</v>
      </c>
      <c r="Q218" t="s">
        <v>40</v>
      </c>
      <c r="R218">
        <v>46059</v>
      </c>
      <c r="S218" t="s">
        <v>32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AA218" t="s">
        <v>88</v>
      </c>
      <c r="AB218" t="s">
        <v>32</v>
      </c>
      <c r="AE218" t="s">
        <v>32</v>
      </c>
      <c r="AH218" t="s">
        <v>32</v>
      </c>
      <c r="AK218" t="s">
        <v>32</v>
      </c>
      <c r="AN218" t="s">
        <v>32</v>
      </c>
      <c r="AO218" t="s">
        <v>32</v>
      </c>
      <c r="AR218">
        <v>0</v>
      </c>
      <c r="AU218" t="s">
        <v>32</v>
      </c>
      <c r="AV218">
        <v>2891569</v>
      </c>
      <c r="AW218" t="s">
        <v>32</v>
      </c>
      <c r="AX218" t="s">
        <v>32</v>
      </c>
      <c r="AY218" t="s">
        <v>137</v>
      </c>
      <c r="AZ218">
        <v>25</v>
      </c>
      <c r="BA218">
        <v>2573935</v>
      </c>
      <c r="BB218">
        <v>0.16</v>
      </c>
      <c r="BC218">
        <v>411900</v>
      </c>
      <c r="BD218" t="s">
        <v>142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411900</v>
      </c>
      <c r="BK218" t="s">
        <v>25</v>
      </c>
      <c r="BL218" t="s">
        <v>1071</v>
      </c>
      <c r="BM218">
        <v>25</v>
      </c>
      <c r="BN218">
        <v>2573935</v>
      </c>
      <c r="BO218">
        <v>0.04</v>
      </c>
      <c r="BP218">
        <v>103000</v>
      </c>
      <c r="BQ218">
        <v>0</v>
      </c>
      <c r="BR218" t="s">
        <v>1438</v>
      </c>
      <c r="BS218">
        <v>0</v>
      </c>
      <c r="BT218" t="s">
        <v>1438</v>
      </c>
      <c r="BU218">
        <v>0</v>
      </c>
      <c r="BV218" t="s">
        <v>25</v>
      </c>
      <c r="BW218" t="s">
        <v>189</v>
      </c>
      <c r="BX218">
        <v>25</v>
      </c>
      <c r="BY218">
        <v>2573935</v>
      </c>
      <c r="BZ218">
        <v>6.9599999999999995E-2</v>
      </c>
      <c r="CA218" t="s">
        <v>1439</v>
      </c>
      <c r="CB218" t="s">
        <v>312</v>
      </c>
      <c r="CC218" t="s">
        <v>1440</v>
      </c>
      <c r="CD218">
        <v>179200</v>
      </c>
      <c r="CE218">
        <v>25</v>
      </c>
      <c r="CF218" t="s">
        <v>466</v>
      </c>
      <c r="CG218">
        <v>2573935</v>
      </c>
      <c r="CH218">
        <v>0.04</v>
      </c>
      <c r="CI218">
        <v>103000</v>
      </c>
      <c r="CJ218">
        <v>2573935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 t="s">
        <v>88</v>
      </c>
      <c r="CT218" t="s">
        <v>1441</v>
      </c>
      <c r="CU218" t="s">
        <v>1442</v>
      </c>
    </row>
    <row r="219" spans="1:99">
      <c r="A219" t="s">
        <v>1431</v>
      </c>
      <c r="B219" t="s">
        <v>34</v>
      </c>
      <c r="C219" t="s">
        <v>2062</v>
      </c>
      <c r="D219" t="s">
        <v>2063</v>
      </c>
      <c r="E219" t="s">
        <v>2064</v>
      </c>
      <c r="F219" t="s">
        <v>2065</v>
      </c>
      <c r="G219" t="s">
        <v>2066</v>
      </c>
      <c r="H219" t="s">
        <v>1437</v>
      </c>
      <c r="I219" t="s">
        <v>682</v>
      </c>
      <c r="J219" t="s">
        <v>484</v>
      </c>
      <c r="K219" t="s">
        <v>29</v>
      </c>
      <c r="L219" t="s">
        <v>30</v>
      </c>
      <c r="M219">
        <v>0</v>
      </c>
      <c r="N219" t="s">
        <v>32</v>
      </c>
      <c r="O219" t="s">
        <v>32</v>
      </c>
      <c r="Q219" t="s">
        <v>32</v>
      </c>
      <c r="S219" t="s">
        <v>32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AA219" t="s">
        <v>32</v>
      </c>
      <c r="AB219" t="s">
        <v>32</v>
      </c>
      <c r="AE219" t="s">
        <v>32</v>
      </c>
      <c r="AH219" t="s">
        <v>32</v>
      </c>
      <c r="AK219" t="s">
        <v>128</v>
      </c>
      <c r="AL219">
        <v>46069</v>
      </c>
      <c r="AM219">
        <v>46073</v>
      </c>
      <c r="AN219" t="s">
        <v>32</v>
      </c>
      <c r="AO219" t="s">
        <v>32</v>
      </c>
      <c r="AR219">
        <v>0</v>
      </c>
      <c r="AU219" t="s">
        <v>32</v>
      </c>
      <c r="AV219">
        <v>2891569</v>
      </c>
      <c r="AW219" t="s">
        <v>32</v>
      </c>
      <c r="AX219" t="s">
        <v>32</v>
      </c>
      <c r="AY219" t="s">
        <v>317</v>
      </c>
      <c r="AZ219">
        <v>5</v>
      </c>
      <c r="BA219">
        <v>481929</v>
      </c>
      <c r="BB219">
        <v>0.16</v>
      </c>
      <c r="BC219">
        <v>77200</v>
      </c>
      <c r="BD219" t="s">
        <v>142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77200</v>
      </c>
      <c r="BK219" t="s">
        <v>25</v>
      </c>
      <c r="BL219" t="s">
        <v>1071</v>
      </c>
      <c r="BM219">
        <v>5</v>
      </c>
      <c r="BN219">
        <v>481929</v>
      </c>
      <c r="BO219">
        <v>0.04</v>
      </c>
      <c r="BP219">
        <v>19300</v>
      </c>
      <c r="BQ219">
        <v>0</v>
      </c>
      <c r="BR219" t="s">
        <v>1438</v>
      </c>
      <c r="BS219">
        <v>0</v>
      </c>
      <c r="BT219" t="s">
        <v>1438</v>
      </c>
      <c r="BU219">
        <v>0</v>
      </c>
      <c r="BV219" t="s">
        <v>25</v>
      </c>
      <c r="BW219" t="s">
        <v>189</v>
      </c>
      <c r="BX219">
        <v>5</v>
      </c>
      <c r="BY219">
        <v>481929</v>
      </c>
      <c r="BZ219">
        <v>0</v>
      </c>
      <c r="CA219" t="s">
        <v>1439</v>
      </c>
      <c r="CB219" t="s">
        <v>312</v>
      </c>
      <c r="CC219" t="s">
        <v>1440</v>
      </c>
      <c r="CD219">
        <v>0</v>
      </c>
      <c r="CE219">
        <v>5</v>
      </c>
      <c r="CF219" t="s">
        <v>466</v>
      </c>
      <c r="CG219">
        <v>481929</v>
      </c>
      <c r="CH219">
        <v>0.04</v>
      </c>
      <c r="CI219">
        <v>19300</v>
      </c>
      <c r="CJ219">
        <v>481929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 t="s">
        <v>88</v>
      </c>
      <c r="CT219" t="s">
        <v>1441</v>
      </c>
      <c r="CU219" t="s">
        <v>1442</v>
      </c>
    </row>
    <row r="220" spans="1:99">
      <c r="A220" t="s">
        <v>1431</v>
      </c>
      <c r="B220" t="s">
        <v>34</v>
      </c>
      <c r="C220" t="s">
        <v>2062</v>
      </c>
      <c r="D220" t="s">
        <v>2063</v>
      </c>
      <c r="E220" t="s">
        <v>2064</v>
      </c>
      <c r="F220" t="s">
        <v>2065</v>
      </c>
      <c r="G220" t="s">
        <v>2066</v>
      </c>
      <c r="H220" t="s">
        <v>1437</v>
      </c>
      <c r="I220" t="s">
        <v>682</v>
      </c>
      <c r="J220" t="s">
        <v>484</v>
      </c>
      <c r="K220" t="s">
        <v>29</v>
      </c>
      <c r="L220" t="s">
        <v>30</v>
      </c>
      <c r="M220">
        <v>0</v>
      </c>
      <c r="N220" t="s">
        <v>32</v>
      </c>
      <c r="O220" t="s">
        <v>32</v>
      </c>
      <c r="Q220" t="s">
        <v>32</v>
      </c>
      <c r="S220" t="s">
        <v>32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AA220" t="s">
        <v>32</v>
      </c>
      <c r="AB220" t="s">
        <v>32</v>
      </c>
      <c r="AE220" t="s">
        <v>1492</v>
      </c>
      <c r="AF220">
        <v>46075</v>
      </c>
      <c r="AG220">
        <v>46077</v>
      </c>
      <c r="AH220" t="s">
        <v>32</v>
      </c>
      <c r="AK220" t="s">
        <v>32</v>
      </c>
      <c r="AN220" t="s">
        <v>32</v>
      </c>
      <c r="AO220" t="s">
        <v>32</v>
      </c>
      <c r="AR220">
        <v>0</v>
      </c>
      <c r="AU220" t="s">
        <v>32</v>
      </c>
      <c r="AV220">
        <v>2891569</v>
      </c>
      <c r="AW220" t="s">
        <v>32</v>
      </c>
      <c r="AX220" t="s">
        <v>32</v>
      </c>
      <c r="AY220" t="s">
        <v>317</v>
      </c>
      <c r="AZ220">
        <v>3</v>
      </c>
      <c r="BA220">
        <v>351391</v>
      </c>
      <c r="BB220">
        <v>0.16</v>
      </c>
      <c r="BC220">
        <v>56300</v>
      </c>
      <c r="BD220" t="s">
        <v>142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56300</v>
      </c>
      <c r="BK220" t="s">
        <v>25</v>
      </c>
      <c r="BL220" t="s">
        <v>1071</v>
      </c>
      <c r="BM220">
        <v>3</v>
      </c>
      <c r="BN220">
        <v>351391</v>
      </c>
      <c r="BO220">
        <v>0.04</v>
      </c>
      <c r="BP220">
        <v>14100</v>
      </c>
      <c r="BQ220">
        <v>0</v>
      </c>
      <c r="BR220" t="s">
        <v>1438</v>
      </c>
      <c r="BS220">
        <v>0</v>
      </c>
      <c r="BT220" t="s">
        <v>1438</v>
      </c>
      <c r="BU220">
        <v>0</v>
      </c>
      <c r="BV220" t="s">
        <v>25</v>
      </c>
      <c r="BW220" t="s">
        <v>189</v>
      </c>
      <c r="BX220">
        <v>3</v>
      </c>
      <c r="BY220">
        <v>351391</v>
      </c>
      <c r="BZ220">
        <v>0</v>
      </c>
      <c r="CA220" t="s">
        <v>1439</v>
      </c>
      <c r="CB220" t="s">
        <v>312</v>
      </c>
      <c r="CC220" t="s">
        <v>1440</v>
      </c>
      <c r="CD220">
        <v>0</v>
      </c>
      <c r="CE220">
        <v>3</v>
      </c>
      <c r="CF220" t="s">
        <v>466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 t="s">
        <v>88</v>
      </c>
      <c r="CT220" t="s">
        <v>1441</v>
      </c>
      <c r="CU220" t="s">
        <v>1442</v>
      </c>
    </row>
    <row r="221" spans="1:99">
      <c r="A221" t="s">
        <v>1431</v>
      </c>
      <c r="B221" t="s">
        <v>34</v>
      </c>
      <c r="C221" t="s">
        <v>2062</v>
      </c>
      <c r="D221" t="s">
        <v>2063</v>
      </c>
      <c r="E221" t="s">
        <v>2064</v>
      </c>
      <c r="F221" t="s">
        <v>2065</v>
      </c>
      <c r="G221" t="s">
        <v>2066</v>
      </c>
      <c r="H221" t="s">
        <v>1437</v>
      </c>
      <c r="I221" t="s">
        <v>682</v>
      </c>
      <c r="J221" t="s">
        <v>484</v>
      </c>
      <c r="K221" t="s">
        <v>29</v>
      </c>
      <c r="L221" t="s">
        <v>30</v>
      </c>
      <c r="M221">
        <v>138</v>
      </c>
      <c r="N221" t="s">
        <v>32</v>
      </c>
      <c r="O221" t="s">
        <v>32</v>
      </c>
      <c r="Q221" t="s">
        <v>32</v>
      </c>
      <c r="S221" t="s">
        <v>32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AA221" t="s">
        <v>88</v>
      </c>
      <c r="AB221" t="s">
        <v>32</v>
      </c>
      <c r="AE221" t="s">
        <v>32</v>
      </c>
      <c r="AH221" t="s">
        <v>32</v>
      </c>
      <c r="AK221" t="s">
        <v>32</v>
      </c>
      <c r="AN221" t="s">
        <v>32</v>
      </c>
      <c r="AO221" t="s">
        <v>32</v>
      </c>
      <c r="AR221">
        <v>0</v>
      </c>
      <c r="AU221" t="s">
        <v>32</v>
      </c>
      <c r="AV221">
        <v>2891569</v>
      </c>
      <c r="AW221" t="s">
        <v>32</v>
      </c>
      <c r="AX221" t="s">
        <v>32</v>
      </c>
      <c r="AY221" t="s">
        <v>317</v>
      </c>
      <c r="AZ221">
        <v>22</v>
      </c>
      <c r="BA221">
        <v>3381165</v>
      </c>
      <c r="BB221">
        <v>0.16</v>
      </c>
      <c r="BC221">
        <v>541000</v>
      </c>
      <c r="BD221" t="s">
        <v>142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541000</v>
      </c>
      <c r="BK221" t="s">
        <v>25</v>
      </c>
      <c r="BL221" t="s">
        <v>1071</v>
      </c>
      <c r="BM221">
        <v>22</v>
      </c>
      <c r="BN221">
        <v>3381165</v>
      </c>
      <c r="BO221">
        <v>0.04</v>
      </c>
      <c r="BP221">
        <v>135300</v>
      </c>
      <c r="BQ221">
        <v>0</v>
      </c>
      <c r="BR221" t="s">
        <v>1438</v>
      </c>
      <c r="BS221">
        <v>0</v>
      </c>
      <c r="BT221" t="s">
        <v>1438</v>
      </c>
      <c r="BU221">
        <v>0</v>
      </c>
      <c r="BV221" t="s">
        <v>25</v>
      </c>
      <c r="BW221" t="s">
        <v>189</v>
      </c>
      <c r="BX221">
        <v>22</v>
      </c>
      <c r="BY221">
        <v>3381165</v>
      </c>
      <c r="BZ221">
        <v>6.9599999999999995E-2</v>
      </c>
      <c r="CA221" t="s">
        <v>1439</v>
      </c>
      <c r="CB221" t="s">
        <v>312</v>
      </c>
      <c r="CC221" t="s">
        <v>1440</v>
      </c>
      <c r="CD221">
        <v>235400</v>
      </c>
      <c r="CE221">
        <v>22</v>
      </c>
      <c r="CF221" t="s">
        <v>466</v>
      </c>
      <c r="CG221">
        <v>3381165</v>
      </c>
      <c r="CH221">
        <v>0.04</v>
      </c>
      <c r="CI221">
        <v>135300</v>
      </c>
      <c r="CJ221">
        <v>3381165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 t="s">
        <v>88</v>
      </c>
      <c r="CT221" t="s">
        <v>1441</v>
      </c>
      <c r="CU221" t="s">
        <v>1442</v>
      </c>
    </row>
    <row r="222" spans="1:99">
      <c r="A222" t="s">
        <v>1431</v>
      </c>
      <c r="B222" t="s">
        <v>34</v>
      </c>
      <c r="C222" t="s">
        <v>2067</v>
      </c>
      <c r="D222" t="s">
        <v>2068</v>
      </c>
      <c r="E222" t="s">
        <v>1459</v>
      </c>
      <c r="F222" t="s">
        <v>2069</v>
      </c>
      <c r="G222" t="s">
        <v>2070</v>
      </c>
      <c r="H222" t="s">
        <v>1542</v>
      </c>
      <c r="I222" t="s">
        <v>240</v>
      </c>
      <c r="J222" t="s">
        <v>46</v>
      </c>
      <c r="K222" t="s">
        <v>29</v>
      </c>
      <c r="L222" t="s">
        <v>30</v>
      </c>
      <c r="M222">
        <v>220</v>
      </c>
      <c r="N222" t="s">
        <v>32</v>
      </c>
      <c r="O222" t="s">
        <v>32</v>
      </c>
      <c r="Q222" t="s">
        <v>32</v>
      </c>
      <c r="S222" t="s">
        <v>32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AA222" t="s">
        <v>88</v>
      </c>
      <c r="AB222" t="s">
        <v>32</v>
      </c>
      <c r="AE222" t="s">
        <v>32</v>
      </c>
      <c r="AH222" t="s">
        <v>32</v>
      </c>
      <c r="AK222" t="s">
        <v>32</v>
      </c>
      <c r="AN222" t="s">
        <v>32</v>
      </c>
      <c r="AO222" t="s">
        <v>32</v>
      </c>
      <c r="AR222">
        <v>0</v>
      </c>
      <c r="AU222" t="s">
        <v>32</v>
      </c>
      <c r="AV222">
        <v>2223339</v>
      </c>
      <c r="AW222" t="s">
        <v>32</v>
      </c>
      <c r="AX222" t="s">
        <v>32</v>
      </c>
      <c r="AY222" t="s">
        <v>356</v>
      </c>
      <c r="AZ222">
        <v>30</v>
      </c>
      <c r="BA222">
        <v>3185978</v>
      </c>
      <c r="BB222">
        <v>0.16</v>
      </c>
      <c r="BC222">
        <v>509800</v>
      </c>
      <c r="BD222" t="s">
        <v>142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509800</v>
      </c>
      <c r="BK222" t="s">
        <v>25</v>
      </c>
      <c r="BL222" t="s">
        <v>1010</v>
      </c>
      <c r="BM222">
        <v>30</v>
      </c>
      <c r="BN222">
        <v>3185978</v>
      </c>
      <c r="BO222">
        <v>0.04</v>
      </c>
      <c r="BP222">
        <v>127500</v>
      </c>
      <c r="BQ222">
        <v>0</v>
      </c>
      <c r="BR222" t="s">
        <v>1438</v>
      </c>
      <c r="BS222">
        <v>0</v>
      </c>
      <c r="BT222" t="s">
        <v>1438</v>
      </c>
      <c r="BU222">
        <v>0</v>
      </c>
      <c r="BV222" t="s">
        <v>25</v>
      </c>
      <c r="BW222" t="s">
        <v>189</v>
      </c>
      <c r="BX222">
        <v>30</v>
      </c>
      <c r="BY222">
        <v>3185978</v>
      </c>
      <c r="BZ222">
        <v>6.9599999999999995E-2</v>
      </c>
      <c r="CA222" t="s">
        <v>1439</v>
      </c>
      <c r="CB222" t="s">
        <v>227</v>
      </c>
      <c r="CC222" t="s">
        <v>1440</v>
      </c>
      <c r="CD222">
        <v>221800</v>
      </c>
      <c r="CE222">
        <v>30</v>
      </c>
      <c r="CF222" t="s">
        <v>635</v>
      </c>
      <c r="CG222">
        <v>3185978</v>
      </c>
      <c r="CH222">
        <v>0.04</v>
      </c>
      <c r="CI222">
        <v>127500</v>
      </c>
      <c r="CJ222">
        <v>3185978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 t="s">
        <v>88</v>
      </c>
      <c r="CT222" t="s">
        <v>1441</v>
      </c>
      <c r="CU222" t="s">
        <v>1442</v>
      </c>
    </row>
    <row r="223" spans="1:99">
      <c r="A223" t="s">
        <v>1431</v>
      </c>
      <c r="B223" t="s">
        <v>34</v>
      </c>
      <c r="C223" t="s">
        <v>2071</v>
      </c>
      <c r="D223" t="s">
        <v>2072</v>
      </c>
      <c r="E223" t="s">
        <v>2073</v>
      </c>
      <c r="F223" t="s">
        <v>1535</v>
      </c>
      <c r="G223" t="s">
        <v>2074</v>
      </c>
      <c r="H223" t="s">
        <v>1468</v>
      </c>
      <c r="I223" t="s">
        <v>240</v>
      </c>
      <c r="J223" t="s">
        <v>46</v>
      </c>
      <c r="K223" t="s">
        <v>29</v>
      </c>
      <c r="L223" t="s">
        <v>30</v>
      </c>
      <c r="M223">
        <v>0</v>
      </c>
      <c r="N223" t="s">
        <v>32</v>
      </c>
      <c r="O223" t="s">
        <v>32</v>
      </c>
      <c r="Q223" t="s">
        <v>32</v>
      </c>
      <c r="S223" t="s">
        <v>32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AA223" t="s">
        <v>32</v>
      </c>
      <c r="AB223" t="s">
        <v>37</v>
      </c>
      <c r="AC223">
        <v>46054</v>
      </c>
      <c r="AD223">
        <v>46056</v>
      </c>
      <c r="AE223" t="s">
        <v>32</v>
      </c>
      <c r="AH223" t="s">
        <v>32</v>
      </c>
      <c r="AK223" t="s">
        <v>32</v>
      </c>
      <c r="AN223" t="s">
        <v>32</v>
      </c>
      <c r="AO223" t="s">
        <v>32</v>
      </c>
      <c r="AR223">
        <v>0</v>
      </c>
      <c r="AU223" t="s">
        <v>32</v>
      </c>
      <c r="AV223">
        <v>1785595</v>
      </c>
      <c r="AW223" t="s">
        <v>32</v>
      </c>
      <c r="AX223" t="s">
        <v>32</v>
      </c>
      <c r="AY223" t="s">
        <v>317</v>
      </c>
      <c r="AZ223">
        <v>3</v>
      </c>
      <c r="BA223">
        <v>178560</v>
      </c>
      <c r="BB223">
        <v>0.16</v>
      </c>
      <c r="BC223">
        <v>28600</v>
      </c>
      <c r="BD223" t="s">
        <v>142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28600</v>
      </c>
      <c r="BK223" t="s">
        <v>25</v>
      </c>
      <c r="BL223" t="s">
        <v>1491</v>
      </c>
      <c r="BM223">
        <v>3</v>
      </c>
      <c r="BN223">
        <v>178560</v>
      </c>
      <c r="BO223">
        <v>0</v>
      </c>
      <c r="BP223">
        <v>0</v>
      </c>
      <c r="BQ223">
        <v>0</v>
      </c>
      <c r="BR223" t="s">
        <v>1438</v>
      </c>
      <c r="BS223">
        <v>0</v>
      </c>
      <c r="BT223" t="s">
        <v>1438</v>
      </c>
      <c r="BU223">
        <v>0</v>
      </c>
      <c r="BV223" t="s">
        <v>25</v>
      </c>
      <c r="BW223" t="s">
        <v>189</v>
      </c>
      <c r="BX223">
        <v>3</v>
      </c>
      <c r="BY223">
        <v>178560</v>
      </c>
      <c r="BZ223">
        <v>0</v>
      </c>
      <c r="CA223" t="s">
        <v>1439</v>
      </c>
      <c r="CB223" t="s">
        <v>227</v>
      </c>
      <c r="CC223" t="s">
        <v>1440</v>
      </c>
      <c r="CD223">
        <v>0</v>
      </c>
      <c r="CE223">
        <v>3</v>
      </c>
      <c r="CF223" t="s">
        <v>635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 t="s">
        <v>88</v>
      </c>
      <c r="CT223" t="s">
        <v>1441</v>
      </c>
      <c r="CU223" t="s">
        <v>1442</v>
      </c>
    </row>
    <row r="224" spans="1:99">
      <c r="A224" t="s">
        <v>1431</v>
      </c>
      <c r="B224" t="s">
        <v>34</v>
      </c>
      <c r="C224" t="s">
        <v>2071</v>
      </c>
      <c r="D224" t="s">
        <v>2072</v>
      </c>
      <c r="E224" t="s">
        <v>2073</v>
      </c>
      <c r="F224" t="s">
        <v>1535</v>
      </c>
      <c r="G224" t="s">
        <v>2074</v>
      </c>
      <c r="H224" t="s">
        <v>1468</v>
      </c>
      <c r="I224" t="s">
        <v>240</v>
      </c>
      <c r="J224" t="s">
        <v>46</v>
      </c>
      <c r="K224" t="s">
        <v>29</v>
      </c>
      <c r="L224" t="s">
        <v>30</v>
      </c>
      <c r="M224">
        <v>0</v>
      </c>
      <c r="N224" t="s">
        <v>32</v>
      </c>
      <c r="O224" t="s">
        <v>32</v>
      </c>
      <c r="Q224" t="s">
        <v>32</v>
      </c>
      <c r="S224" t="s">
        <v>32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AA224" t="s">
        <v>32</v>
      </c>
      <c r="AB224" t="s">
        <v>37</v>
      </c>
      <c r="AC224">
        <v>46064</v>
      </c>
      <c r="AD224">
        <v>46065</v>
      </c>
      <c r="AE224" t="s">
        <v>32</v>
      </c>
      <c r="AH224" t="s">
        <v>32</v>
      </c>
      <c r="AK224" t="s">
        <v>32</v>
      </c>
      <c r="AN224" t="s">
        <v>32</v>
      </c>
      <c r="AO224" t="s">
        <v>32</v>
      </c>
      <c r="AR224">
        <v>0</v>
      </c>
      <c r="AU224" t="s">
        <v>32</v>
      </c>
      <c r="AV224">
        <v>1785595</v>
      </c>
      <c r="AW224" t="s">
        <v>32</v>
      </c>
      <c r="AX224" t="s">
        <v>32</v>
      </c>
      <c r="AY224" t="s">
        <v>317</v>
      </c>
      <c r="AZ224">
        <v>2</v>
      </c>
      <c r="BA224">
        <v>119040</v>
      </c>
      <c r="BB224">
        <v>0.16</v>
      </c>
      <c r="BC224">
        <v>19100</v>
      </c>
      <c r="BD224" t="s">
        <v>142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19100</v>
      </c>
      <c r="BK224" t="s">
        <v>25</v>
      </c>
      <c r="BL224" t="s">
        <v>1491</v>
      </c>
      <c r="BM224">
        <v>2</v>
      </c>
      <c r="BN224">
        <v>119040</v>
      </c>
      <c r="BO224">
        <v>0</v>
      </c>
      <c r="BP224">
        <v>0</v>
      </c>
      <c r="BQ224">
        <v>0</v>
      </c>
      <c r="BR224" t="s">
        <v>1438</v>
      </c>
      <c r="BS224">
        <v>0</v>
      </c>
      <c r="BT224" t="s">
        <v>1438</v>
      </c>
      <c r="BU224">
        <v>0</v>
      </c>
      <c r="BV224" t="s">
        <v>25</v>
      </c>
      <c r="BW224" t="s">
        <v>189</v>
      </c>
      <c r="BX224">
        <v>2</v>
      </c>
      <c r="BY224">
        <v>119040</v>
      </c>
      <c r="BZ224">
        <v>0</v>
      </c>
      <c r="CA224" t="s">
        <v>1439</v>
      </c>
      <c r="CB224" t="s">
        <v>227</v>
      </c>
      <c r="CC224" t="s">
        <v>1440</v>
      </c>
      <c r="CD224">
        <v>0</v>
      </c>
      <c r="CE224">
        <v>2</v>
      </c>
      <c r="CF224" t="s">
        <v>635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 t="s">
        <v>88</v>
      </c>
      <c r="CT224" t="s">
        <v>1441</v>
      </c>
      <c r="CU224" t="s">
        <v>1442</v>
      </c>
    </row>
    <row r="225" spans="1:99">
      <c r="A225" t="s">
        <v>1431</v>
      </c>
      <c r="B225" t="s">
        <v>34</v>
      </c>
      <c r="C225" t="s">
        <v>2071</v>
      </c>
      <c r="D225" t="s">
        <v>2072</v>
      </c>
      <c r="E225" t="s">
        <v>2073</v>
      </c>
      <c r="F225" t="s">
        <v>1535</v>
      </c>
      <c r="G225" t="s">
        <v>2074</v>
      </c>
      <c r="H225" t="s">
        <v>1468</v>
      </c>
      <c r="I225" t="s">
        <v>240</v>
      </c>
      <c r="J225" t="s">
        <v>46</v>
      </c>
      <c r="K225" t="s">
        <v>29</v>
      </c>
      <c r="L225" t="s">
        <v>30</v>
      </c>
      <c r="M225">
        <v>64</v>
      </c>
      <c r="N225" t="s">
        <v>32</v>
      </c>
      <c r="O225" t="s">
        <v>32</v>
      </c>
      <c r="Q225" t="s">
        <v>32</v>
      </c>
      <c r="S225" t="s">
        <v>40</v>
      </c>
      <c r="T225">
        <v>46065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AA225" t="s">
        <v>88</v>
      </c>
      <c r="AB225" t="s">
        <v>32</v>
      </c>
      <c r="AE225" t="s">
        <v>32</v>
      </c>
      <c r="AH225" t="s">
        <v>32</v>
      </c>
      <c r="AK225" t="s">
        <v>32</v>
      </c>
      <c r="AN225" t="s">
        <v>32</v>
      </c>
      <c r="AO225" t="s">
        <v>32</v>
      </c>
      <c r="AR225">
        <v>0</v>
      </c>
      <c r="AU225" t="s">
        <v>32</v>
      </c>
      <c r="AV225">
        <v>1785595</v>
      </c>
      <c r="AW225" t="s">
        <v>32</v>
      </c>
      <c r="AX225" t="s">
        <v>32</v>
      </c>
      <c r="AY225" t="s">
        <v>317</v>
      </c>
      <c r="AZ225">
        <v>7</v>
      </c>
      <c r="BA225">
        <v>1260481</v>
      </c>
      <c r="BB225">
        <v>0.16</v>
      </c>
      <c r="BC225">
        <v>201700</v>
      </c>
      <c r="BD225" t="s">
        <v>142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201700</v>
      </c>
      <c r="BK225" t="s">
        <v>25</v>
      </c>
      <c r="BL225" t="s">
        <v>1491</v>
      </c>
      <c r="BM225">
        <v>7</v>
      </c>
      <c r="BN225">
        <v>1260481</v>
      </c>
      <c r="BO225">
        <v>0.04</v>
      </c>
      <c r="BP225">
        <v>50500</v>
      </c>
      <c r="BQ225">
        <v>0</v>
      </c>
      <c r="BR225" t="s">
        <v>1438</v>
      </c>
      <c r="BS225">
        <v>0</v>
      </c>
      <c r="BT225" t="s">
        <v>1438</v>
      </c>
      <c r="BU225">
        <v>0</v>
      </c>
      <c r="BV225" t="s">
        <v>25</v>
      </c>
      <c r="BW225" t="s">
        <v>189</v>
      </c>
      <c r="BX225">
        <v>7</v>
      </c>
      <c r="BY225">
        <v>1260481</v>
      </c>
      <c r="BZ225">
        <v>6.9599999999999995E-2</v>
      </c>
      <c r="CA225" t="s">
        <v>1439</v>
      </c>
      <c r="CB225" t="s">
        <v>227</v>
      </c>
      <c r="CC225" t="s">
        <v>1440</v>
      </c>
      <c r="CD225">
        <v>87800</v>
      </c>
      <c r="CE225">
        <v>7</v>
      </c>
      <c r="CF225" t="s">
        <v>635</v>
      </c>
      <c r="CG225">
        <v>1826773</v>
      </c>
      <c r="CH225">
        <v>0.04</v>
      </c>
      <c r="CI225">
        <v>73100</v>
      </c>
      <c r="CJ225">
        <v>1826773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 t="s">
        <v>88</v>
      </c>
      <c r="CT225" t="s">
        <v>1441</v>
      </c>
      <c r="CU225" t="s">
        <v>1442</v>
      </c>
    </row>
    <row r="226" spans="1:99">
      <c r="A226" t="s">
        <v>1431</v>
      </c>
      <c r="B226" t="s">
        <v>34</v>
      </c>
      <c r="C226" t="s">
        <v>2075</v>
      </c>
      <c r="D226" t="s">
        <v>2076</v>
      </c>
      <c r="E226" t="s">
        <v>972</v>
      </c>
      <c r="F226" t="s">
        <v>2077</v>
      </c>
      <c r="G226" t="s">
        <v>2008</v>
      </c>
      <c r="H226" t="s">
        <v>1558</v>
      </c>
      <c r="I226" t="s">
        <v>240</v>
      </c>
      <c r="J226" t="s">
        <v>46</v>
      </c>
      <c r="K226" t="s">
        <v>29</v>
      </c>
      <c r="L226" t="s">
        <v>30</v>
      </c>
      <c r="M226">
        <v>0</v>
      </c>
      <c r="N226" t="s">
        <v>32</v>
      </c>
      <c r="O226" t="s">
        <v>32</v>
      </c>
      <c r="Q226" t="s">
        <v>32</v>
      </c>
      <c r="S226" t="s">
        <v>32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AA226" t="s">
        <v>32</v>
      </c>
      <c r="AB226" t="s">
        <v>32</v>
      </c>
      <c r="AE226" t="s">
        <v>32</v>
      </c>
      <c r="AH226" t="s">
        <v>32</v>
      </c>
      <c r="AK226" t="s">
        <v>128</v>
      </c>
      <c r="AL226">
        <v>46054</v>
      </c>
      <c r="AM226">
        <v>46054</v>
      </c>
      <c r="AN226" t="s">
        <v>32</v>
      </c>
      <c r="AO226" t="s">
        <v>32</v>
      </c>
      <c r="AR226">
        <v>0</v>
      </c>
      <c r="AU226" t="s">
        <v>32</v>
      </c>
      <c r="AV226">
        <v>6384779</v>
      </c>
      <c r="AW226" t="s">
        <v>32</v>
      </c>
      <c r="AX226" t="s">
        <v>32</v>
      </c>
      <c r="AY226" t="s">
        <v>185</v>
      </c>
      <c r="AZ226">
        <v>1</v>
      </c>
      <c r="BA226">
        <v>212826</v>
      </c>
      <c r="BB226">
        <v>0.16</v>
      </c>
      <c r="BC226">
        <v>34100</v>
      </c>
      <c r="BD226" t="s">
        <v>142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34100</v>
      </c>
      <c r="BK226" t="s">
        <v>25</v>
      </c>
      <c r="BL226" t="s">
        <v>1043</v>
      </c>
      <c r="BM226">
        <v>1</v>
      </c>
      <c r="BN226">
        <v>212826</v>
      </c>
      <c r="BO226">
        <v>0.04</v>
      </c>
      <c r="BP226">
        <v>8600</v>
      </c>
      <c r="BQ226">
        <v>0</v>
      </c>
      <c r="BR226" t="s">
        <v>1438</v>
      </c>
      <c r="BS226">
        <v>0</v>
      </c>
      <c r="BT226" t="s">
        <v>1438</v>
      </c>
      <c r="BU226">
        <v>0</v>
      </c>
      <c r="BV226" t="s">
        <v>25</v>
      </c>
      <c r="BW226" t="s">
        <v>189</v>
      </c>
      <c r="BX226">
        <v>1</v>
      </c>
      <c r="BY226">
        <v>212826</v>
      </c>
      <c r="BZ226">
        <v>0</v>
      </c>
      <c r="CA226" t="s">
        <v>1439</v>
      </c>
      <c r="CB226" t="s">
        <v>227</v>
      </c>
      <c r="CC226" t="s">
        <v>1440</v>
      </c>
      <c r="CD226">
        <v>0</v>
      </c>
      <c r="CE226">
        <v>1</v>
      </c>
      <c r="CF226" t="s">
        <v>635</v>
      </c>
      <c r="CG226">
        <v>212826</v>
      </c>
      <c r="CH226">
        <v>0.04</v>
      </c>
      <c r="CI226">
        <v>8600</v>
      </c>
      <c r="CJ226">
        <v>212826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 t="s">
        <v>88</v>
      </c>
      <c r="CT226" t="s">
        <v>1441</v>
      </c>
      <c r="CU226" t="s">
        <v>1442</v>
      </c>
    </row>
    <row r="227" spans="1:99">
      <c r="A227" t="s">
        <v>1431</v>
      </c>
      <c r="B227" t="s">
        <v>34</v>
      </c>
      <c r="C227" t="s">
        <v>2075</v>
      </c>
      <c r="D227" t="s">
        <v>2076</v>
      </c>
      <c r="E227" t="s">
        <v>972</v>
      </c>
      <c r="F227" t="s">
        <v>2077</v>
      </c>
      <c r="G227" t="s">
        <v>2008</v>
      </c>
      <c r="H227" t="s">
        <v>1558</v>
      </c>
      <c r="I227" t="s">
        <v>240</v>
      </c>
      <c r="J227" t="s">
        <v>46</v>
      </c>
      <c r="K227" t="s">
        <v>29</v>
      </c>
      <c r="L227" t="s">
        <v>30</v>
      </c>
      <c r="M227">
        <v>0</v>
      </c>
      <c r="N227" t="s">
        <v>32</v>
      </c>
      <c r="O227" t="s">
        <v>32</v>
      </c>
      <c r="Q227" t="s">
        <v>32</v>
      </c>
      <c r="S227" t="s">
        <v>32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AA227" t="s">
        <v>32</v>
      </c>
      <c r="AB227" t="s">
        <v>32</v>
      </c>
      <c r="AE227" t="s">
        <v>32</v>
      </c>
      <c r="AH227" t="s">
        <v>32</v>
      </c>
      <c r="AK227" t="s">
        <v>128</v>
      </c>
      <c r="AL227">
        <v>46069</v>
      </c>
      <c r="AM227">
        <v>46075</v>
      </c>
      <c r="AN227" t="s">
        <v>32</v>
      </c>
      <c r="AO227" t="s">
        <v>32</v>
      </c>
      <c r="AR227">
        <v>0</v>
      </c>
      <c r="AU227" t="s">
        <v>32</v>
      </c>
      <c r="AV227">
        <v>6384779</v>
      </c>
      <c r="AW227" t="s">
        <v>32</v>
      </c>
      <c r="AX227" t="s">
        <v>32</v>
      </c>
      <c r="AY227" t="s">
        <v>185</v>
      </c>
      <c r="AZ227">
        <v>7</v>
      </c>
      <c r="BA227">
        <v>1489782</v>
      </c>
      <c r="BB227">
        <v>0.16</v>
      </c>
      <c r="BC227">
        <v>238400</v>
      </c>
      <c r="BD227" t="s">
        <v>142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238400</v>
      </c>
      <c r="BK227" t="s">
        <v>25</v>
      </c>
      <c r="BL227" t="s">
        <v>1043</v>
      </c>
      <c r="BM227">
        <v>7</v>
      </c>
      <c r="BN227">
        <v>1489782</v>
      </c>
      <c r="BO227">
        <v>0.04</v>
      </c>
      <c r="BP227">
        <v>59600</v>
      </c>
      <c r="BQ227">
        <v>0</v>
      </c>
      <c r="BR227" t="s">
        <v>1438</v>
      </c>
      <c r="BS227">
        <v>0</v>
      </c>
      <c r="BT227" t="s">
        <v>1438</v>
      </c>
      <c r="BU227">
        <v>0</v>
      </c>
      <c r="BV227" t="s">
        <v>25</v>
      </c>
      <c r="BW227" t="s">
        <v>189</v>
      </c>
      <c r="BX227">
        <v>7</v>
      </c>
      <c r="BY227">
        <v>1489782</v>
      </c>
      <c r="BZ227">
        <v>0</v>
      </c>
      <c r="CA227" t="s">
        <v>1439</v>
      </c>
      <c r="CB227" t="s">
        <v>227</v>
      </c>
      <c r="CC227" t="s">
        <v>1440</v>
      </c>
      <c r="CD227">
        <v>0</v>
      </c>
      <c r="CE227">
        <v>7</v>
      </c>
      <c r="CF227" t="s">
        <v>635</v>
      </c>
      <c r="CG227">
        <v>1489782</v>
      </c>
      <c r="CH227">
        <v>0.04</v>
      </c>
      <c r="CI227">
        <v>59600</v>
      </c>
      <c r="CJ227">
        <v>1489782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 t="s">
        <v>88</v>
      </c>
      <c r="CT227" t="s">
        <v>1441</v>
      </c>
      <c r="CU227" t="s">
        <v>1442</v>
      </c>
    </row>
    <row r="228" spans="1:99">
      <c r="A228" t="s">
        <v>1431</v>
      </c>
      <c r="B228" t="s">
        <v>34</v>
      </c>
      <c r="C228" t="s">
        <v>2075</v>
      </c>
      <c r="D228" t="s">
        <v>2076</v>
      </c>
      <c r="E228" t="s">
        <v>972</v>
      </c>
      <c r="F228" t="s">
        <v>2077</v>
      </c>
      <c r="G228" t="s">
        <v>2008</v>
      </c>
      <c r="H228" t="s">
        <v>1558</v>
      </c>
      <c r="I228" t="s">
        <v>240</v>
      </c>
      <c r="J228" t="s">
        <v>46</v>
      </c>
      <c r="K228" t="s">
        <v>29</v>
      </c>
      <c r="L228" t="s">
        <v>30</v>
      </c>
      <c r="M228">
        <v>135</v>
      </c>
      <c r="N228" t="s">
        <v>32</v>
      </c>
      <c r="O228" t="s">
        <v>32</v>
      </c>
      <c r="Q228" t="s">
        <v>32</v>
      </c>
      <c r="S228" t="s">
        <v>32</v>
      </c>
      <c r="U228" t="s">
        <v>32</v>
      </c>
      <c r="V228" t="s">
        <v>32</v>
      </c>
      <c r="W228" t="s">
        <v>32</v>
      </c>
      <c r="X228" t="s">
        <v>32</v>
      </c>
      <c r="Y228" t="s">
        <v>88</v>
      </c>
      <c r="Z228">
        <v>46054</v>
      </c>
      <c r="AA228" t="s">
        <v>32</v>
      </c>
      <c r="AB228" t="s">
        <v>32</v>
      </c>
      <c r="AE228" t="s">
        <v>32</v>
      </c>
      <c r="AH228" t="s">
        <v>32</v>
      </c>
      <c r="AK228" t="s">
        <v>32</v>
      </c>
      <c r="AN228" t="s">
        <v>32</v>
      </c>
      <c r="AO228" t="s">
        <v>32</v>
      </c>
      <c r="AR228">
        <v>0</v>
      </c>
      <c r="AU228" t="s">
        <v>32</v>
      </c>
      <c r="AV228">
        <v>6384779</v>
      </c>
      <c r="AW228" t="s">
        <v>32</v>
      </c>
      <c r="AX228" t="s">
        <v>32</v>
      </c>
      <c r="AY228" t="s">
        <v>185</v>
      </c>
      <c r="AZ228">
        <v>22</v>
      </c>
      <c r="BA228">
        <v>4682172</v>
      </c>
      <c r="BB228">
        <v>0.16</v>
      </c>
      <c r="BC228">
        <v>749200</v>
      </c>
      <c r="BD228" t="s">
        <v>142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749200</v>
      </c>
      <c r="BK228" t="s">
        <v>25</v>
      </c>
      <c r="BL228" t="s">
        <v>1043</v>
      </c>
      <c r="BM228">
        <v>22</v>
      </c>
      <c r="BN228">
        <v>4682172</v>
      </c>
      <c r="BO228">
        <v>0.04</v>
      </c>
      <c r="BP228">
        <v>187300</v>
      </c>
      <c r="BQ228">
        <v>0</v>
      </c>
      <c r="BR228" t="s">
        <v>1438</v>
      </c>
      <c r="BS228">
        <v>0</v>
      </c>
      <c r="BT228" t="s">
        <v>1438</v>
      </c>
      <c r="BU228">
        <v>0</v>
      </c>
      <c r="BV228" t="s">
        <v>25</v>
      </c>
      <c r="BW228" t="s">
        <v>189</v>
      </c>
      <c r="BX228">
        <v>22</v>
      </c>
      <c r="BY228">
        <v>4682172</v>
      </c>
      <c r="BZ228">
        <v>6.9599999999999995E-2</v>
      </c>
      <c r="CA228" t="s">
        <v>1439</v>
      </c>
      <c r="CB228" t="s">
        <v>227</v>
      </c>
      <c r="CC228" t="s">
        <v>1440</v>
      </c>
      <c r="CD228">
        <v>325900</v>
      </c>
      <c r="CE228">
        <v>22</v>
      </c>
      <c r="CF228" t="s">
        <v>635</v>
      </c>
      <c r="CG228">
        <v>4682172</v>
      </c>
      <c r="CH228">
        <v>0.04</v>
      </c>
      <c r="CI228">
        <v>187300</v>
      </c>
      <c r="CJ228">
        <v>4682172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 t="s">
        <v>88</v>
      </c>
      <c r="CT228" t="s">
        <v>1441</v>
      </c>
      <c r="CU228" t="s">
        <v>1442</v>
      </c>
    </row>
    <row r="229" spans="1:99">
      <c r="A229" t="s">
        <v>1431</v>
      </c>
      <c r="B229" t="s">
        <v>34</v>
      </c>
      <c r="C229" t="s">
        <v>2078</v>
      </c>
      <c r="D229" t="s">
        <v>2079</v>
      </c>
      <c r="E229" t="s">
        <v>2080</v>
      </c>
      <c r="F229" t="s">
        <v>2081</v>
      </c>
      <c r="G229" t="s">
        <v>2082</v>
      </c>
      <c r="H229" t="s">
        <v>2083</v>
      </c>
      <c r="I229" t="s">
        <v>240</v>
      </c>
      <c r="J229" t="s">
        <v>46</v>
      </c>
      <c r="K229" t="s">
        <v>29</v>
      </c>
      <c r="L229" t="s">
        <v>30</v>
      </c>
      <c r="M229">
        <v>45</v>
      </c>
      <c r="N229" t="s">
        <v>32</v>
      </c>
      <c r="O229" t="s">
        <v>32</v>
      </c>
      <c r="Q229" t="s">
        <v>40</v>
      </c>
      <c r="R229">
        <v>46074</v>
      </c>
      <c r="S229" t="s">
        <v>32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AA229" t="s">
        <v>32</v>
      </c>
      <c r="AB229" t="s">
        <v>32</v>
      </c>
      <c r="AE229" t="s">
        <v>32</v>
      </c>
      <c r="AH229" t="s">
        <v>32</v>
      </c>
      <c r="AK229" t="s">
        <v>32</v>
      </c>
      <c r="AN229" t="s">
        <v>32</v>
      </c>
      <c r="AO229" t="s">
        <v>32</v>
      </c>
      <c r="AR229">
        <v>0</v>
      </c>
      <c r="AU229" t="s">
        <v>32</v>
      </c>
      <c r="AV229">
        <v>2113182</v>
      </c>
      <c r="AW229" t="s">
        <v>32</v>
      </c>
      <c r="AX229" t="s">
        <v>32</v>
      </c>
      <c r="AY229" t="s">
        <v>317</v>
      </c>
      <c r="AZ229">
        <v>10</v>
      </c>
      <c r="BA229">
        <v>704394</v>
      </c>
      <c r="BB229">
        <v>0.16</v>
      </c>
      <c r="BC229">
        <v>112800</v>
      </c>
      <c r="BD229" t="s">
        <v>142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112800</v>
      </c>
      <c r="BK229" t="s">
        <v>25</v>
      </c>
      <c r="BL229" t="s">
        <v>726</v>
      </c>
      <c r="BM229">
        <v>10</v>
      </c>
      <c r="BN229">
        <v>704394</v>
      </c>
      <c r="BO229">
        <v>0.04</v>
      </c>
      <c r="BP229">
        <v>28200</v>
      </c>
      <c r="BQ229">
        <v>0</v>
      </c>
      <c r="BR229" t="s">
        <v>1438</v>
      </c>
      <c r="BS229">
        <v>0</v>
      </c>
      <c r="BT229" t="s">
        <v>1438</v>
      </c>
      <c r="BU229">
        <v>0</v>
      </c>
      <c r="BV229" t="s">
        <v>25</v>
      </c>
      <c r="BW229" t="s">
        <v>189</v>
      </c>
      <c r="BX229">
        <v>10</v>
      </c>
      <c r="BY229">
        <v>704394</v>
      </c>
      <c r="BZ229">
        <v>6.9599999999999995E-2</v>
      </c>
      <c r="CA229" t="s">
        <v>1439</v>
      </c>
      <c r="CB229" t="s">
        <v>227</v>
      </c>
      <c r="CC229" t="s">
        <v>1440</v>
      </c>
      <c r="CD229">
        <v>49100</v>
      </c>
      <c r="CE229">
        <v>10</v>
      </c>
      <c r="CF229" t="s">
        <v>635</v>
      </c>
      <c r="CG229">
        <v>704394</v>
      </c>
      <c r="CH229">
        <v>0.04</v>
      </c>
      <c r="CI229">
        <v>28200</v>
      </c>
      <c r="CJ229">
        <v>704394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 t="s">
        <v>88</v>
      </c>
      <c r="CT229" t="s">
        <v>1441</v>
      </c>
      <c r="CU229" t="s">
        <v>1442</v>
      </c>
    </row>
    <row r="230" spans="1:99">
      <c r="A230" t="s">
        <v>1431</v>
      </c>
      <c r="B230" t="s">
        <v>34</v>
      </c>
      <c r="C230" t="s">
        <v>2084</v>
      </c>
      <c r="D230" t="s">
        <v>2085</v>
      </c>
      <c r="E230" t="s">
        <v>2086</v>
      </c>
      <c r="F230" t="s">
        <v>1886</v>
      </c>
      <c r="G230" t="s">
        <v>1984</v>
      </c>
      <c r="H230" t="s">
        <v>2087</v>
      </c>
      <c r="I230" t="s">
        <v>240</v>
      </c>
      <c r="J230" t="s">
        <v>46</v>
      </c>
      <c r="K230" t="s">
        <v>29</v>
      </c>
      <c r="L230" t="s">
        <v>30</v>
      </c>
      <c r="M230">
        <v>180</v>
      </c>
      <c r="N230" t="s">
        <v>32</v>
      </c>
      <c r="O230" t="s">
        <v>32</v>
      </c>
      <c r="Q230" t="s">
        <v>32</v>
      </c>
      <c r="S230" t="s">
        <v>32</v>
      </c>
      <c r="U230" t="s">
        <v>32</v>
      </c>
      <c r="V230" t="s">
        <v>32</v>
      </c>
      <c r="W230" t="s">
        <v>32</v>
      </c>
      <c r="X230" t="s">
        <v>32</v>
      </c>
      <c r="Y230" t="s">
        <v>88</v>
      </c>
      <c r="Z230">
        <v>46054</v>
      </c>
      <c r="AA230" t="s">
        <v>32</v>
      </c>
      <c r="AB230" t="s">
        <v>32</v>
      </c>
      <c r="AE230" t="s">
        <v>32</v>
      </c>
      <c r="AH230" t="s">
        <v>32</v>
      </c>
      <c r="AK230" t="s">
        <v>32</v>
      </c>
      <c r="AN230" t="s">
        <v>32</v>
      </c>
      <c r="AO230" t="s">
        <v>32</v>
      </c>
      <c r="AR230">
        <v>0</v>
      </c>
      <c r="AU230" t="s">
        <v>32</v>
      </c>
      <c r="AV230">
        <v>6384779</v>
      </c>
      <c r="AW230" t="s">
        <v>32</v>
      </c>
      <c r="AX230" t="s">
        <v>88</v>
      </c>
      <c r="AY230" t="s">
        <v>317</v>
      </c>
      <c r="AZ230">
        <v>30</v>
      </c>
      <c r="BA230">
        <v>6384779</v>
      </c>
      <c r="BB230">
        <v>0.16</v>
      </c>
      <c r="BC230">
        <v>1021600</v>
      </c>
      <c r="BD230" t="s">
        <v>142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1021600</v>
      </c>
      <c r="BK230" t="s">
        <v>25</v>
      </c>
      <c r="BL230" t="s">
        <v>1010</v>
      </c>
      <c r="BM230">
        <v>30</v>
      </c>
      <c r="BN230">
        <v>6384779</v>
      </c>
      <c r="BO230">
        <v>0.04</v>
      </c>
      <c r="BP230">
        <v>255400</v>
      </c>
      <c r="BQ230">
        <v>0</v>
      </c>
      <c r="BR230" t="s">
        <v>1438</v>
      </c>
      <c r="BS230">
        <v>0</v>
      </c>
      <c r="BT230" t="s">
        <v>1438</v>
      </c>
      <c r="BU230">
        <v>0</v>
      </c>
      <c r="BV230" t="s">
        <v>25</v>
      </c>
      <c r="BW230" t="s">
        <v>189</v>
      </c>
      <c r="BX230">
        <v>30</v>
      </c>
      <c r="BY230">
        <v>6384779</v>
      </c>
      <c r="BZ230">
        <v>6.9599999999999995E-2</v>
      </c>
      <c r="CA230" t="s">
        <v>1439</v>
      </c>
      <c r="CB230" t="s">
        <v>227</v>
      </c>
      <c r="CC230" t="s">
        <v>1440</v>
      </c>
      <c r="CD230">
        <v>444400</v>
      </c>
      <c r="CE230">
        <v>30</v>
      </c>
      <c r="CF230" t="s">
        <v>635</v>
      </c>
      <c r="CG230">
        <v>6384779</v>
      </c>
      <c r="CH230">
        <v>0.04</v>
      </c>
      <c r="CI230">
        <v>255400</v>
      </c>
      <c r="CJ230">
        <v>6384779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 t="s">
        <v>88</v>
      </c>
      <c r="CT230" t="s">
        <v>1441</v>
      </c>
      <c r="CU230" t="s">
        <v>1442</v>
      </c>
    </row>
    <row r="231" spans="1:99">
      <c r="A231" t="s">
        <v>1431</v>
      </c>
      <c r="B231" t="s">
        <v>34</v>
      </c>
      <c r="C231" t="s">
        <v>2088</v>
      </c>
      <c r="D231" t="s">
        <v>2089</v>
      </c>
      <c r="E231" t="s">
        <v>1628</v>
      </c>
      <c r="F231" t="s">
        <v>2090</v>
      </c>
      <c r="G231" t="s">
        <v>2091</v>
      </c>
      <c r="H231" t="s">
        <v>1558</v>
      </c>
      <c r="I231" t="s">
        <v>240</v>
      </c>
      <c r="J231" t="s">
        <v>46</v>
      </c>
      <c r="K231" t="s">
        <v>29</v>
      </c>
      <c r="L231" t="s">
        <v>30</v>
      </c>
      <c r="M231">
        <v>193</v>
      </c>
      <c r="N231" t="s">
        <v>32</v>
      </c>
      <c r="O231" t="s">
        <v>32</v>
      </c>
      <c r="Q231" t="s">
        <v>40</v>
      </c>
      <c r="R231">
        <v>46055</v>
      </c>
      <c r="S231" t="s">
        <v>32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AA231" t="s">
        <v>88</v>
      </c>
      <c r="AB231" t="s">
        <v>32</v>
      </c>
      <c r="AE231" t="s">
        <v>32</v>
      </c>
      <c r="AH231" t="s">
        <v>32</v>
      </c>
      <c r="AK231" t="s">
        <v>32</v>
      </c>
      <c r="AN231" t="s">
        <v>32</v>
      </c>
      <c r="AO231" t="s">
        <v>32</v>
      </c>
      <c r="AR231">
        <v>0</v>
      </c>
      <c r="AU231" t="s">
        <v>32</v>
      </c>
      <c r="AV231">
        <v>2970185</v>
      </c>
      <c r="AW231" t="s">
        <v>32</v>
      </c>
      <c r="AX231" t="s">
        <v>32</v>
      </c>
      <c r="AY231" t="s">
        <v>356</v>
      </c>
      <c r="AZ231">
        <v>29</v>
      </c>
      <c r="BA231">
        <v>3451039</v>
      </c>
      <c r="BB231">
        <v>0.16</v>
      </c>
      <c r="BC231">
        <v>552200</v>
      </c>
      <c r="BD231" t="s">
        <v>142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552200</v>
      </c>
      <c r="BK231" t="s">
        <v>25</v>
      </c>
      <c r="BL231" t="s">
        <v>1010</v>
      </c>
      <c r="BM231">
        <v>29</v>
      </c>
      <c r="BN231">
        <v>3451039</v>
      </c>
      <c r="BO231">
        <v>0.04</v>
      </c>
      <c r="BP231">
        <v>138100</v>
      </c>
      <c r="BQ231">
        <v>0</v>
      </c>
      <c r="BR231" t="s">
        <v>1438</v>
      </c>
      <c r="BS231">
        <v>0</v>
      </c>
      <c r="BT231" t="s">
        <v>1438</v>
      </c>
      <c r="BU231">
        <v>0</v>
      </c>
      <c r="BV231" t="s">
        <v>25</v>
      </c>
      <c r="BW231" t="s">
        <v>189</v>
      </c>
      <c r="BX231">
        <v>29</v>
      </c>
      <c r="BY231">
        <v>3451039</v>
      </c>
      <c r="BZ231">
        <v>6.9599999999999995E-2</v>
      </c>
      <c r="CA231" t="s">
        <v>1439</v>
      </c>
      <c r="CB231" t="s">
        <v>227</v>
      </c>
      <c r="CC231" t="s">
        <v>1440</v>
      </c>
      <c r="CD231">
        <v>240200</v>
      </c>
      <c r="CE231">
        <v>29</v>
      </c>
      <c r="CF231" t="s">
        <v>635</v>
      </c>
      <c r="CG231">
        <v>3451039</v>
      </c>
      <c r="CH231">
        <v>0.04</v>
      </c>
      <c r="CI231">
        <v>138100</v>
      </c>
      <c r="CJ231">
        <v>3451039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 t="s">
        <v>88</v>
      </c>
      <c r="CT231" t="s">
        <v>1441</v>
      </c>
      <c r="CU231" t="s">
        <v>1442</v>
      </c>
    </row>
    <row r="232" spans="1:99">
      <c r="A232" t="s">
        <v>1431</v>
      </c>
      <c r="B232" t="s">
        <v>34</v>
      </c>
      <c r="C232" t="s">
        <v>2092</v>
      </c>
      <c r="D232" t="s">
        <v>2093</v>
      </c>
      <c r="E232" t="s">
        <v>2081</v>
      </c>
      <c r="F232" t="s">
        <v>2094</v>
      </c>
      <c r="G232" t="s">
        <v>2095</v>
      </c>
      <c r="H232" t="s">
        <v>2096</v>
      </c>
      <c r="I232" t="s">
        <v>682</v>
      </c>
      <c r="J232" t="s">
        <v>484</v>
      </c>
      <c r="K232" t="s">
        <v>29</v>
      </c>
      <c r="L232" t="s">
        <v>30</v>
      </c>
      <c r="M232">
        <v>202</v>
      </c>
      <c r="N232" t="s">
        <v>32</v>
      </c>
      <c r="O232" t="s">
        <v>32</v>
      </c>
      <c r="Q232" t="s">
        <v>32</v>
      </c>
      <c r="S232" t="s">
        <v>40</v>
      </c>
      <c r="T232">
        <v>46079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AA232" t="s">
        <v>88</v>
      </c>
      <c r="AB232" t="s">
        <v>32</v>
      </c>
      <c r="AE232" t="s">
        <v>32</v>
      </c>
      <c r="AH232" t="s">
        <v>32</v>
      </c>
      <c r="AK232" t="s">
        <v>32</v>
      </c>
      <c r="AN232" t="s">
        <v>32</v>
      </c>
      <c r="AO232" t="s">
        <v>32</v>
      </c>
      <c r="AR232">
        <v>0</v>
      </c>
      <c r="AU232" t="s">
        <v>32</v>
      </c>
      <c r="AV232">
        <v>2223339</v>
      </c>
      <c r="AW232" t="s">
        <v>32</v>
      </c>
      <c r="AX232" t="s">
        <v>32</v>
      </c>
      <c r="AY232" t="s">
        <v>317</v>
      </c>
      <c r="AZ232">
        <v>26</v>
      </c>
      <c r="BA232">
        <v>3148977</v>
      </c>
      <c r="BB232">
        <v>0.16</v>
      </c>
      <c r="BC232">
        <v>503900</v>
      </c>
      <c r="BD232" t="s">
        <v>142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503900</v>
      </c>
      <c r="BK232" t="s">
        <v>25</v>
      </c>
      <c r="BL232" t="s">
        <v>1010</v>
      </c>
      <c r="BM232">
        <v>26</v>
      </c>
      <c r="BN232">
        <v>3148977</v>
      </c>
      <c r="BO232">
        <v>0.04</v>
      </c>
      <c r="BP232">
        <v>126000</v>
      </c>
      <c r="BQ232">
        <v>0</v>
      </c>
      <c r="BR232" t="s">
        <v>1438</v>
      </c>
      <c r="BS232">
        <v>0</v>
      </c>
      <c r="BT232" t="s">
        <v>1438</v>
      </c>
      <c r="BU232">
        <v>0</v>
      </c>
      <c r="BV232" t="s">
        <v>25</v>
      </c>
      <c r="BW232" t="s">
        <v>189</v>
      </c>
      <c r="BX232">
        <v>26</v>
      </c>
      <c r="BY232">
        <v>3148977</v>
      </c>
      <c r="BZ232">
        <v>6.9599999999999995E-2</v>
      </c>
      <c r="CA232" t="s">
        <v>1439</v>
      </c>
      <c r="CB232" t="s">
        <v>312</v>
      </c>
      <c r="CC232" t="s">
        <v>1440</v>
      </c>
      <c r="CD232">
        <v>219200</v>
      </c>
      <c r="CE232">
        <v>26</v>
      </c>
      <c r="CF232" t="s">
        <v>466</v>
      </c>
      <c r="CG232">
        <v>3559092</v>
      </c>
      <c r="CH232">
        <v>0.04</v>
      </c>
      <c r="CI232">
        <v>142400</v>
      </c>
      <c r="CJ232">
        <v>3559092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 t="s">
        <v>88</v>
      </c>
      <c r="CT232" t="s">
        <v>1441</v>
      </c>
      <c r="CU232" t="s">
        <v>1442</v>
      </c>
    </row>
    <row r="233" spans="1:99">
      <c r="A233" t="s">
        <v>1431</v>
      </c>
      <c r="B233" t="s">
        <v>34</v>
      </c>
      <c r="C233" t="s">
        <v>2097</v>
      </c>
      <c r="D233" t="s">
        <v>2098</v>
      </c>
      <c r="E233" t="s">
        <v>1657</v>
      </c>
      <c r="F233" t="s">
        <v>2099</v>
      </c>
      <c r="G233" t="s">
        <v>2070</v>
      </c>
      <c r="H233" t="s">
        <v>1498</v>
      </c>
      <c r="I233" t="s">
        <v>240</v>
      </c>
      <c r="J233" t="s">
        <v>46</v>
      </c>
      <c r="K233" t="s">
        <v>29</v>
      </c>
      <c r="L233" t="s">
        <v>30</v>
      </c>
      <c r="M233">
        <v>115</v>
      </c>
      <c r="N233" t="s">
        <v>32</v>
      </c>
      <c r="O233" t="s">
        <v>32</v>
      </c>
      <c r="Q233" t="s">
        <v>32</v>
      </c>
      <c r="S233" t="s">
        <v>40</v>
      </c>
      <c r="T233">
        <v>46066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AA233" t="s">
        <v>88</v>
      </c>
      <c r="AB233" t="s">
        <v>32</v>
      </c>
      <c r="AE233" t="s">
        <v>32</v>
      </c>
      <c r="AH233" t="s">
        <v>32</v>
      </c>
      <c r="AK233" t="s">
        <v>32</v>
      </c>
      <c r="AN233" t="s">
        <v>32</v>
      </c>
      <c r="AO233" t="s">
        <v>32</v>
      </c>
      <c r="AR233">
        <v>0</v>
      </c>
      <c r="AU233" t="s">
        <v>32</v>
      </c>
      <c r="AV233">
        <v>2308750</v>
      </c>
      <c r="AW233" t="s">
        <v>32</v>
      </c>
      <c r="AX233" t="s">
        <v>32</v>
      </c>
      <c r="AY233" t="s">
        <v>356</v>
      </c>
      <c r="AZ233">
        <v>13</v>
      </c>
      <c r="BA233">
        <v>1591541</v>
      </c>
      <c r="BB233">
        <v>0.16</v>
      </c>
      <c r="BC233">
        <v>254700</v>
      </c>
      <c r="BD233" t="s">
        <v>142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254700</v>
      </c>
      <c r="BK233" t="s">
        <v>25</v>
      </c>
      <c r="BL233" t="s">
        <v>1071</v>
      </c>
      <c r="BM233">
        <v>13</v>
      </c>
      <c r="BN233">
        <v>1591541</v>
      </c>
      <c r="BO233">
        <v>0.04</v>
      </c>
      <c r="BP233">
        <v>63700</v>
      </c>
      <c r="BQ233">
        <v>0</v>
      </c>
      <c r="BR233" t="s">
        <v>1438</v>
      </c>
      <c r="BS233">
        <v>0</v>
      </c>
      <c r="BT233" t="s">
        <v>1438</v>
      </c>
      <c r="BU233">
        <v>0</v>
      </c>
      <c r="BV233" t="s">
        <v>25</v>
      </c>
      <c r="BW233" t="s">
        <v>189</v>
      </c>
      <c r="BX233">
        <v>13</v>
      </c>
      <c r="BY233">
        <v>1591541</v>
      </c>
      <c r="BZ233">
        <v>6.9599999999999995E-2</v>
      </c>
      <c r="CA233" t="s">
        <v>1439</v>
      </c>
      <c r="CB233" t="s">
        <v>227</v>
      </c>
      <c r="CC233" t="s">
        <v>1440</v>
      </c>
      <c r="CD233">
        <v>110800</v>
      </c>
      <c r="CE233">
        <v>13</v>
      </c>
      <c r="CF233" t="s">
        <v>635</v>
      </c>
      <c r="CG233">
        <v>2179740</v>
      </c>
      <c r="CH233">
        <v>0.04</v>
      </c>
      <c r="CI233">
        <v>87200</v>
      </c>
      <c r="CJ233">
        <v>2179740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 t="s">
        <v>88</v>
      </c>
      <c r="CT233" t="s">
        <v>1441</v>
      </c>
      <c r="CU233" t="s">
        <v>1442</v>
      </c>
    </row>
    <row r="234" spans="1:99">
      <c r="A234" t="s">
        <v>1431</v>
      </c>
      <c r="B234" t="s">
        <v>34</v>
      </c>
      <c r="C234" t="s">
        <v>2100</v>
      </c>
      <c r="D234" t="s">
        <v>2101</v>
      </c>
      <c r="E234" t="s">
        <v>2102</v>
      </c>
      <c r="F234" t="s">
        <v>667</v>
      </c>
      <c r="G234" t="s">
        <v>1957</v>
      </c>
      <c r="H234" t="s">
        <v>1489</v>
      </c>
      <c r="I234" t="s">
        <v>240</v>
      </c>
      <c r="J234" t="s">
        <v>46</v>
      </c>
      <c r="K234" t="s">
        <v>29</v>
      </c>
      <c r="L234" t="s">
        <v>30</v>
      </c>
      <c r="M234">
        <v>118</v>
      </c>
      <c r="N234" t="s">
        <v>32</v>
      </c>
      <c r="O234" t="s">
        <v>32</v>
      </c>
      <c r="Q234" t="s">
        <v>32</v>
      </c>
      <c r="S234" t="s">
        <v>40</v>
      </c>
      <c r="T234">
        <v>46068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AA234" t="s">
        <v>88</v>
      </c>
      <c r="AB234" t="s">
        <v>32</v>
      </c>
      <c r="AE234" t="s">
        <v>32</v>
      </c>
      <c r="AH234" t="s">
        <v>32</v>
      </c>
      <c r="AK234" t="s">
        <v>32</v>
      </c>
      <c r="AN234" t="s">
        <v>32</v>
      </c>
      <c r="AO234" t="s">
        <v>32</v>
      </c>
      <c r="AR234">
        <v>0</v>
      </c>
      <c r="AU234" t="s">
        <v>32</v>
      </c>
      <c r="AV234">
        <v>2223339</v>
      </c>
      <c r="AW234" t="s">
        <v>32</v>
      </c>
      <c r="AX234" t="s">
        <v>32</v>
      </c>
      <c r="AY234" t="s">
        <v>356</v>
      </c>
      <c r="AZ234">
        <v>15</v>
      </c>
      <c r="BA234">
        <v>2058492</v>
      </c>
      <c r="BB234">
        <v>0.16</v>
      </c>
      <c r="BC234">
        <v>329400</v>
      </c>
      <c r="BD234" t="s">
        <v>142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329400</v>
      </c>
      <c r="BK234" t="s">
        <v>25</v>
      </c>
      <c r="BL234" t="s">
        <v>1010</v>
      </c>
      <c r="BM234">
        <v>15</v>
      </c>
      <c r="BN234">
        <v>2058492</v>
      </c>
      <c r="BO234">
        <v>0.04</v>
      </c>
      <c r="BP234">
        <v>82400</v>
      </c>
      <c r="BQ234">
        <v>0</v>
      </c>
      <c r="BR234" t="s">
        <v>1438</v>
      </c>
      <c r="BS234">
        <v>0</v>
      </c>
      <c r="BT234" t="s">
        <v>1438</v>
      </c>
      <c r="BU234">
        <v>0</v>
      </c>
      <c r="BV234" t="s">
        <v>25</v>
      </c>
      <c r="BW234" t="s">
        <v>189</v>
      </c>
      <c r="BX234">
        <v>15</v>
      </c>
      <c r="BY234">
        <v>2058492</v>
      </c>
      <c r="BZ234">
        <v>6.9599999999999995E-2</v>
      </c>
      <c r="CA234" t="s">
        <v>1439</v>
      </c>
      <c r="CB234" t="s">
        <v>227</v>
      </c>
      <c r="CC234" t="s">
        <v>1440</v>
      </c>
      <c r="CD234">
        <v>143300</v>
      </c>
      <c r="CE234">
        <v>15</v>
      </c>
      <c r="CF234" t="s">
        <v>635</v>
      </c>
      <c r="CG234">
        <v>2151588</v>
      </c>
      <c r="CH234">
        <v>0.04</v>
      </c>
      <c r="CI234">
        <v>86100</v>
      </c>
      <c r="CJ234">
        <v>2151588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 t="s">
        <v>88</v>
      </c>
      <c r="CT234" t="s">
        <v>1441</v>
      </c>
      <c r="CU234" t="s">
        <v>1442</v>
      </c>
    </row>
    <row r="235" spans="1:99">
      <c r="A235" t="s">
        <v>1431</v>
      </c>
      <c r="B235" t="s">
        <v>34</v>
      </c>
      <c r="C235" t="s">
        <v>2103</v>
      </c>
      <c r="D235" t="s">
        <v>2104</v>
      </c>
      <c r="E235" t="s">
        <v>1634</v>
      </c>
      <c r="F235" t="s">
        <v>1060</v>
      </c>
      <c r="G235" t="s">
        <v>1897</v>
      </c>
      <c r="H235" t="s">
        <v>2105</v>
      </c>
      <c r="I235" t="s">
        <v>240</v>
      </c>
      <c r="J235" t="s">
        <v>46</v>
      </c>
      <c r="K235" t="s">
        <v>29</v>
      </c>
      <c r="L235" t="s">
        <v>30</v>
      </c>
      <c r="M235">
        <v>206</v>
      </c>
      <c r="N235" t="s">
        <v>32</v>
      </c>
      <c r="O235" t="s">
        <v>32</v>
      </c>
      <c r="Q235" t="s">
        <v>32</v>
      </c>
      <c r="S235" t="s">
        <v>32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AA235" t="s">
        <v>88</v>
      </c>
      <c r="AB235" t="s">
        <v>32</v>
      </c>
      <c r="AE235" t="s">
        <v>32</v>
      </c>
      <c r="AH235" t="s">
        <v>32</v>
      </c>
      <c r="AK235" t="s">
        <v>32</v>
      </c>
      <c r="AN235" t="s">
        <v>32</v>
      </c>
      <c r="AO235" t="s">
        <v>32</v>
      </c>
      <c r="AR235">
        <v>0</v>
      </c>
      <c r="AU235" t="s">
        <v>32</v>
      </c>
      <c r="AV235">
        <v>2223339</v>
      </c>
      <c r="AW235" t="s">
        <v>32</v>
      </c>
      <c r="AX235" t="s">
        <v>32</v>
      </c>
      <c r="AY235" t="s">
        <v>356</v>
      </c>
      <c r="AZ235">
        <v>30</v>
      </c>
      <c r="BA235">
        <v>2811127</v>
      </c>
      <c r="BB235">
        <v>0.16</v>
      </c>
      <c r="BC235">
        <v>449800</v>
      </c>
      <c r="BD235" t="s">
        <v>142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449800</v>
      </c>
      <c r="BK235" t="s">
        <v>25</v>
      </c>
      <c r="BL235" t="s">
        <v>1071</v>
      </c>
      <c r="BM235">
        <v>30</v>
      </c>
      <c r="BN235">
        <v>2811127</v>
      </c>
      <c r="BO235">
        <v>0.04</v>
      </c>
      <c r="BP235">
        <v>112500</v>
      </c>
      <c r="BQ235">
        <v>0</v>
      </c>
      <c r="BR235" t="s">
        <v>1438</v>
      </c>
      <c r="BS235">
        <v>0</v>
      </c>
      <c r="BT235" t="s">
        <v>1438</v>
      </c>
      <c r="BU235">
        <v>0</v>
      </c>
      <c r="BV235" t="s">
        <v>25</v>
      </c>
      <c r="BW235" t="s">
        <v>189</v>
      </c>
      <c r="BX235">
        <v>30</v>
      </c>
      <c r="BY235">
        <v>2811127</v>
      </c>
      <c r="BZ235">
        <v>6.9599999999999995E-2</v>
      </c>
      <c r="CA235" t="s">
        <v>1439</v>
      </c>
      <c r="CB235" t="s">
        <v>227</v>
      </c>
      <c r="CC235" t="s">
        <v>1440</v>
      </c>
      <c r="CD235">
        <v>195700</v>
      </c>
      <c r="CE235">
        <v>30</v>
      </c>
      <c r="CF235" t="s">
        <v>635</v>
      </c>
      <c r="CG235">
        <v>2811127</v>
      </c>
      <c r="CH235">
        <v>0.04</v>
      </c>
      <c r="CI235">
        <v>112500</v>
      </c>
      <c r="CJ235">
        <v>2811127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 t="s">
        <v>88</v>
      </c>
      <c r="CT235" t="s">
        <v>1441</v>
      </c>
      <c r="CU235" t="s">
        <v>1442</v>
      </c>
    </row>
    <row r="236" spans="1:99">
      <c r="A236" t="s">
        <v>1431</v>
      </c>
      <c r="B236" t="s">
        <v>34</v>
      </c>
      <c r="C236" t="s">
        <v>2106</v>
      </c>
      <c r="D236" t="s">
        <v>2107</v>
      </c>
      <c r="E236" t="s">
        <v>1972</v>
      </c>
      <c r="F236" t="s">
        <v>2108</v>
      </c>
      <c r="G236" t="s">
        <v>2109</v>
      </c>
      <c r="H236" t="s">
        <v>2110</v>
      </c>
      <c r="I236" t="s">
        <v>240</v>
      </c>
      <c r="J236" t="s">
        <v>46</v>
      </c>
      <c r="K236" t="s">
        <v>29</v>
      </c>
      <c r="L236" t="s">
        <v>30</v>
      </c>
      <c r="M236">
        <v>0</v>
      </c>
      <c r="N236" t="s">
        <v>32</v>
      </c>
      <c r="O236" t="s">
        <v>32</v>
      </c>
      <c r="Q236" t="s">
        <v>32</v>
      </c>
      <c r="S236" t="s">
        <v>32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AA236" t="s">
        <v>32</v>
      </c>
      <c r="AB236" t="s">
        <v>32</v>
      </c>
      <c r="AE236" t="s">
        <v>32</v>
      </c>
      <c r="AH236" t="s">
        <v>32</v>
      </c>
      <c r="AK236" t="s">
        <v>74</v>
      </c>
      <c r="AL236">
        <v>46056</v>
      </c>
      <c r="AM236">
        <v>46061</v>
      </c>
      <c r="AN236" t="s">
        <v>32</v>
      </c>
      <c r="AO236" t="s">
        <v>32</v>
      </c>
      <c r="AR236">
        <v>0</v>
      </c>
      <c r="AU236" t="s">
        <v>32</v>
      </c>
      <c r="AV236">
        <v>8569658</v>
      </c>
      <c r="AW236" t="s">
        <v>32</v>
      </c>
      <c r="AX236" t="s">
        <v>32</v>
      </c>
      <c r="AY236" t="s">
        <v>317</v>
      </c>
      <c r="AZ236">
        <v>6</v>
      </c>
      <c r="BA236">
        <v>1713932</v>
      </c>
      <c r="BB236">
        <v>0.16</v>
      </c>
      <c r="BC236">
        <v>274300</v>
      </c>
      <c r="BD236" t="s">
        <v>142</v>
      </c>
      <c r="BE236">
        <v>0</v>
      </c>
      <c r="BF236">
        <v>0</v>
      </c>
      <c r="BG236">
        <v>8600</v>
      </c>
      <c r="BH236">
        <v>8600</v>
      </c>
      <c r="BI236">
        <v>0</v>
      </c>
      <c r="BJ236">
        <v>291500</v>
      </c>
      <c r="BK236" t="s">
        <v>25</v>
      </c>
      <c r="BL236" t="s">
        <v>1071</v>
      </c>
      <c r="BM236">
        <v>6</v>
      </c>
      <c r="BN236">
        <v>1713932</v>
      </c>
      <c r="BO236">
        <v>0.04</v>
      </c>
      <c r="BP236">
        <v>68600</v>
      </c>
      <c r="BQ236">
        <v>0</v>
      </c>
      <c r="BR236" t="s">
        <v>1438</v>
      </c>
      <c r="BS236">
        <v>0</v>
      </c>
      <c r="BT236" t="s">
        <v>1438</v>
      </c>
      <c r="BU236">
        <v>0</v>
      </c>
      <c r="BV236" t="s">
        <v>25</v>
      </c>
      <c r="BW236" t="s">
        <v>189</v>
      </c>
      <c r="BX236">
        <v>6</v>
      </c>
      <c r="BY236">
        <v>1713932</v>
      </c>
      <c r="BZ236">
        <v>0</v>
      </c>
      <c r="CA236" t="s">
        <v>1592</v>
      </c>
      <c r="CB236" t="s">
        <v>227</v>
      </c>
      <c r="CC236" t="s">
        <v>1593</v>
      </c>
      <c r="CD236">
        <v>0</v>
      </c>
      <c r="CE236">
        <v>6</v>
      </c>
      <c r="CF236" t="s">
        <v>635</v>
      </c>
      <c r="CG236">
        <v>1713932</v>
      </c>
      <c r="CH236">
        <v>0.04</v>
      </c>
      <c r="CI236">
        <v>68600</v>
      </c>
      <c r="CJ236">
        <v>1713932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 t="s">
        <v>88</v>
      </c>
      <c r="CT236" t="s">
        <v>1441</v>
      </c>
      <c r="CU236" t="s">
        <v>1442</v>
      </c>
    </row>
    <row r="237" spans="1:99">
      <c r="A237" t="s">
        <v>1431</v>
      </c>
      <c r="B237" t="s">
        <v>34</v>
      </c>
      <c r="C237" t="s">
        <v>2106</v>
      </c>
      <c r="D237" t="s">
        <v>2107</v>
      </c>
      <c r="E237" t="s">
        <v>1972</v>
      </c>
      <c r="F237" t="s">
        <v>2108</v>
      </c>
      <c r="G237" t="s">
        <v>2109</v>
      </c>
      <c r="H237" t="s">
        <v>2110</v>
      </c>
      <c r="I237" t="s">
        <v>240</v>
      </c>
      <c r="J237" t="s">
        <v>46</v>
      </c>
      <c r="K237" t="s">
        <v>29</v>
      </c>
      <c r="L237" t="s">
        <v>30</v>
      </c>
      <c r="M237">
        <v>149</v>
      </c>
      <c r="N237" t="s">
        <v>32</v>
      </c>
      <c r="O237" t="s">
        <v>32</v>
      </c>
      <c r="Q237" t="s">
        <v>32</v>
      </c>
      <c r="S237" t="s">
        <v>32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AA237" t="s">
        <v>32</v>
      </c>
      <c r="AB237" t="s">
        <v>32</v>
      </c>
      <c r="AE237" t="s">
        <v>32</v>
      </c>
      <c r="AH237" t="s">
        <v>32</v>
      </c>
      <c r="AK237" t="s">
        <v>32</v>
      </c>
      <c r="AN237" t="s">
        <v>32</v>
      </c>
      <c r="AO237" t="s">
        <v>32</v>
      </c>
      <c r="AR237">
        <v>0</v>
      </c>
      <c r="AU237" t="s">
        <v>32</v>
      </c>
      <c r="AV237">
        <v>8569658</v>
      </c>
      <c r="AW237" t="s">
        <v>32</v>
      </c>
      <c r="AX237" t="s">
        <v>32</v>
      </c>
      <c r="AY237" t="s">
        <v>317</v>
      </c>
      <c r="AZ237">
        <v>24</v>
      </c>
      <c r="BA237">
        <v>6855727</v>
      </c>
      <c r="BB237">
        <v>0.16</v>
      </c>
      <c r="BC237">
        <v>1097000</v>
      </c>
      <c r="BD237" t="s">
        <v>142</v>
      </c>
      <c r="BE237">
        <v>0</v>
      </c>
      <c r="BF237">
        <v>0</v>
      </c>
      <c r="BG237">
        <v>34300</v>
      </c>
      <c r="BH237">
        <v>34300</v>
      </c>
      <c r="BI237">
        <v>0</v>
      </c>
      <c r="BJ237">
        <v>1165600</v>
      </c>
      <c r="BK237" t="s">
        <v>25</v>
      </c>
      <c r="BL237" t="s">
        <v>1071</v>
      </c>
      <c r="BM237">
        <v>24</v>
      </c>
      <c r="BN237">
        <v>6855727</v>
      </c>
      <c r="BO237">
        <v>0.04</v>
      </c>
      <c r="BP237">
        <v>274300</v>
      </c>
      <c r="BQ237">
        <v>0</v>
      </c>
      <c r="BR237" t="s">
        <v>1438</v>
      </c>
      <c r="BS237">
        <v>0</v>
      </c>
      <c r="BT237" t="s">
        <v>1438</v>
      </c>
      <c r="BU237">
        <v>0</v>
      </c>
      <c r="BV237" t="s">
        <v>25</v>
      </c>
      <c r="BW237" t="s">
        <v>189</v>
      </c>
      <c r="BX237">
        <v>24</v>
      </c>
      <c r="BY237">
        <v>6855727</v>
      </c>
      <c r="BZ237">
        <v>5.2199999999999998E-3</v>
      </c>
      <c r="CA237" t="s">
        <v>1592</v>
      </c>
      <c r="CB237" t="s">
        <v>227</v>
      </c>
      <c r="CC237" t="s">
        <v>1593</v>
      </c>
      <c r="CD237">
        <v>35800</v>
      </c>
      <c r="CE237">
        <v>24</v>
      </c>
      <c r="CF237" t="s">
        <v>635</v>
      </c>
      <c r="CG237">
        <v>6855727</v>
      </c>
      <c r="CH237">
        <v>0.04</v>
      </c>
      <c r="CI237">
        <v>274300</v>
      </c>
      <c r="CJ237">
        <v>6855727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 t="s">
        <v>88</v>
      </c>
      <c r="CT237" t="s">
        <v>1441</v>
      </c>
      <c r="CU237" t="s">
        <v>1442</v>
      </c>
    </row>
    <row r="238" spans="1:99">
      <c r="A238" t="s">
        <v>1431</v>
      </c>
      <c r="B238" t="s">
        <v>34</v>
      </c>
      <c r="C238" t="s">
        <v>2111</v>
      </c>
      <c r="D238" t="s">
        <v>2112</v>
      </c>
      <c r="E238" t="s">
        <v>1776</v>
      </c>
      <c r="F238" t="s">
        <v>992</v>
      </c>
      <c r="G238" t="s">
        <v>1498</v>
      </c>
      <c r="H238" t="s">
        <v>1537</v>
      </c>
      <c r="I238" t="s">
        <v>240</v>
      </c>
      <c r="J238" t="s">
        <v>46</v>
      </c>
      <c r="K238" t="s">
        <v>29</v>
      </c>
      <c r="L238" t="s">
        <v>30</v>
      </c>
      <c r="M238">
        <v>180</v>
      </c>
      <c r="N238" t="s">
        <v>32</v>
      </c>
      <c r="O238" t="s">
        <v>32</v>
      </c>
      <c r="Q238" t="s">
        <v>32</v>
      </c>
      <c r="S238" t="s">
        <v>32</v>
      </c>
      <c r="U238" t="s">
        <v>32</v>
      </c>
      <c r="V238" t="s">
        <v>32</v>
      </c>
      <c r="W238" t="s">
        <v>32</v>
      </c>
      <c r="X238" t="s">
        <v>32</v>
      </c>
      <c r="Y238" t="s">
        <v>88</v>
      </c>
      <c r="Z238">
        <v>46054</v>
      </c>
      <c r="AA238" t="s">
        <v>32</v>
      </c>
      <c r="AB238" t="s">
        <v>32</v>
      </c>
      <c r="AE238" t="s">
        <v>32</v>
      </c>
      <c r="AH238" t="s">
        <v>32</v>
      </c>
      <c r="AK238" t="s">
        <v>32</v>
      </c>
      <c r="AN238" t="s">
        <v>32</v>
      </c>
      <c r="AO238" t="s">
        <v>32</v>
      </c>
      <c r="AR238">
        <v>0</v>
      </c>
      <c r="AU238" t="s">
        <v>32</v>
      </c>
      <c r="AV238">
        <v>4484143</v>
      </c>
      <c r="AW238" t="s">
        <v>32</v>
      </c>
      <c r="AX238" t="s">
        <v>32</v>
      </c>
      <c r="AY238" t="s">
        <v>317</v>
      </c>
      <c r="AZ238">
        <v>30</v>
      </c>
      <c r="BA238">
        <v>4493062</v>
      </c>
      <c r="BB238">
        <v>0.16</v>
      </c>
      <c r="BC238">
        <v>718900</v>
      </c>
      <c r="BD238" t="s">
        <v>142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718900</v>
      </c>
      <c r="BK238" t="s">
        <v>25</v>
      </c>
      <c r="BL238" t="s">
        <v>870</v>
      </c>
      <c r="BM238">
        <v>30</v>
      </c>
      <c r="BN238">
        <v>4493062</v>
      </c>
      <c r="BO238">
        <v>0.04</v>
      </c>
      <c r="BP238">
        <v>179800</v>
      </c>
      <c r="BQ238">
        <v>0</v>
      </c>
      <c r="BR238" t="s">
        <v>1438</v>
      </c>
      <c r="BS238">
        <v>0</v>
      </c>
      <c r="BT238" t="s">
        <v>1438</v>
      </c>
      <c r="BU238">
        <v>0</v>
      </c>
      <c r="BV238" t="s">
        <v>25</v>
      </c>
      <c r="BW238" t="s">
        <v>189</v>
      </c>
      <c r="BX238">
        <v>30</v>
      </c>
      <c r="BY238">
        <v>4493062</v>
      </c>
      <c r="BZ238">
        <v>6.9599999999999995E-2</v>
      </c>
      <c r="CA238" t="s">
        <v>1439</v>
      </c>
      <c r="CB238" t="s">
        <v>227</v>
      </c>
      <c r="CC238" t="s">
        <v>1440</v>
      </c>
      <c r="CD238">
        <v>312800</v>
      </c>
      <c r="CE238">
        <v>30</v>
      </c>
      <c r="CF238" t="s">
        <v>635</v>
      </c>
      <c r="CG238">
        <v>4484143</v>
      </c>
      <c r="CH238">
        <v>0.04</v>
      </c>
      <c r="CI238">
        <v>179400</v>
      </c>
      <c r="CJ238">
        <v>4484143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 t="s">
        <v>88</v>
      </c>
      <c r="CT238" t="s">
        <v>1441</v>
      </c>
      <c r="CU238" t="s">
        <v>1442</v>
      </c>
    </row>
    <row r="239" spans="1:99">
      <c r="A239" t="s">
        <v>1431</v>
      </c>
      <c r="B239" t="s">
        <v>34</v>
      </c>
      <c r="C239" t="s">
        <v>2113</v>
      </c>
      <c r="D239" t="s">
        <v>2114</v>
      </c>
      <c r="E239" t="s">
        <v>2115</v>
      </c>
      <c r="F239" t="s">
        <v>2116</v>
      </c>
      <c r="G239" t="s">
        <v>2117</v>
      </c>
      <c r="H239" t="s">
        <v>2118</v>
      </c>
      <c r="I239" t="s">
        <v>240</v>
      </c>
      <c r="J239" t="s">
        <v>46</v>
      </c>
      <c r="K239" t="s">
        <v>29</v>
      </c>
      <c r="L239" t="s">
        <v>30</v>
      </c>
      <c r="M239">
        <v>0</v>
      </c>
      <c r="N239" t="s">
        <v>32</v>
      </c>
      <c r="O239" t="s">
        <v>32</v>
      </c>
      <c r="Q239" t="s">
        <v>32</v>
      </c>
      <c r="S239" t="s">
        <v>32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AA239" t="s">
        <v>32</v>
      </c>
      <c r="AB239" t="s">
        <v>37</v>
      </c>
      <c r="AC239">
        <v>46054</v>
      </c>
      <c r="AD239">
        <v>46055</v>
      </c>
      <c r="AE239" t="s">
        <v>32</v>
      </c>
      <c r="AH239" t="s">
        <v>32</v>
      </c>
      <c r="AK239" t="s">
        <v>32</v>
      </c>
      <c r="AN239" t="s">
        <v>32</v>
      </c>
      <c r="AO239" t="s">
        <v>32</v>
      </c>
      <c r="AR239">
        <v>0</v>
      </c>
      <c r="AU239" t="s">
        <v>32</v>
      </c>
      <c r="AV239">
        <v>1750905</v>
      </c>
      <c r="AW239" t="s">
        <v>32</v>
      </c>
      <c r="AX239" t="s">
        <v>32</v>
      </c>
      <c r="AY239" t="s">
        <v>317</v>
      </c>
      <c r="AZ239">
        <v>2</v>
      </c>
      <c r="BA239">
        <v>116727</v>
      </c>
      <c r="BB239">
        <v>0.16</v>
      </c>
      <c r="BC239">
        <v>18700</v>
      </c>
      <c r="BD239" t="s">
        <v>142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18700</v>
      </c>
      <c r="BK239" t="s">
        <v>25</v>
      </c>
      <c r="BL239" t="s">
        <v>1010</v>
      </c>
      <c r="BM239">
        <v>2</v>
      </c>
      <c r="BN239">
        <v>116727</v>
      </c>
      <c r="BO239">
        <v>0</v>
      </c>
      <c r="BP239">
        <v>0</v>
      </c>
      <c r="BQ239">
        <v>0</v>
      </c>
      <c r="BR239" t="s">
        <v>1438</v>
      </c>
      <c r="BS239">
        <v>0</v>
      </c>
      <c r="BT239" t="s">
        <v>1438</v>
      </c>
      <c r="BU239">
        <v>0</v>
      </c>
      <c r="BV239" t="s">
        <v>25</v>
      </c>
      <c r="BW239" t="s">
        <v>189</v>
      </c>
      <c r="BX239">
        <v>2</v>
      </c>
      <c r="BY239">
        <v>116727</v>
      </c>
      <c r="BZ239">
        <v>0</v>
      </c>
      <c r="CA239" t="s">
        <v>1439</v>
      </c>
      <c r="CB239" t="s">
        <v>227</v>
      </c>
      <c r="CC239" t="s">
        <v>1440</v>
      </c>
      <c r="CD239">
        <v>0</v>
      </c>
      <c r="CE239">
        <v>2</v>
      </c>
      <c r="CF239" t="s">
        <v>635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 t="s">
        <v>88</v>
      </c>
      <c r="CT239" t="s">
        <v>1441</v>
      </c>
      <c r="CU239" t="s">
        <v>1442</v>
      </c>
    </row>
    <row r="240" spans="1:99">
      <c r="A240" t="s">
        <v>1431</v>
      </c>
      <c r="B240" t="s">
        <v>34</v>
      </c>
      <c r="C240" t="s">
        <v>2113</v>
      </c>
      <c r="D240" t="s">
        <v>2114</v>
      </c>
      <c r="E240" t="s">
        <v>2115</v>
      </c>
      <c r="F240" t="s">
        <v>2116</v>
      </c>
      <c r="G240" t="s">
        <v>2117</v>
      </c>
      <c r="H240" t="s">
        <v>2118</v>
      </c>
      <c r="I240" t="s">
        <v>240</v>
      </c>
      <c r="J240" t="s">
        <v>46</v>
      </c>
      <c r="K240" t="s">
        <v>29</v>
      </c>
      <c r="L240" t="s">
        <v>30</v>
      </c>
      <c r="M240">
        <v>0</v>
      </c>
      <c r="N240" t="s">
        <v>32</v>
      </c>
      <c r="O240" t="s">
        <v>32</v>
      </c>
      <c r="Q240" t="s">
        <v>32</v>
      </c>
      <c r="S240" t="s">
        <v>32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AA240" t="s">
        <v>32</v>
      </c>
      <c r="AB240" t="s">
        <v>32</v>
      </c>
      <c r="AE240" t="s">
        <v>32</v>
      </c>
      <c r="AH240" t="s">
        <v>32</v>
      </c>
      <c r="AK240" t="s">
        <v>128</v>
      </c>
      <c r="AL240">
        <v>46055</v>
      </c>
      <c r="AM240">
        <v>46055</v>
      </c>
      <c r="AN240" t="s">
        <v>32</v>
      </c>
      <c r="AO240" t="s">
        <v>32</v>
      </c>
      <c r="AR240">
        <v>0</v>
      </c>
      <c r="AU240" t="s">
        <v>32</v>
      </c>
      <c r="AV240">
        <v>1750905</v>
      </c>
      <c r="AW240" t="s">
        <v>32</v>
      </c>
      <c r="AX240" t="s">
        <v>32</v>
      </c>
      <c r="AY240" t="s">
        <v>317</v>
      </c>
      <c r="AZ240">
        <v>1</v>
      </c>
      <c r="BA240">
        <v>58364</v>
      </c>
      <c r="BB240">
        <v>0.16</v>
      </c>
      <c r="BC240">
        <v>9400</v>
      </c>
      <c r="BD240" t="s">
        <v>142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9400</v>
      </c>
      <c r="BK240" t="s">
        <v>25</v>
      </c>
      <c r="BL240" t="s">
        <v>1010</v>
      </c>
      <c r="BM240">
        <v>1</v>
      </c>
      <c r="BN240">
        <v>58364</v>
      </c>
      <c r="BO240">
        <v>0.04</v>
      </c>
      <c r="BP240">
        <v>2400</v>
      </c>
      <c r="BQ240">
        <v>0</v>
      </c>
      <c r="BR240" t="s">
        <v>1438</v>
      </c>
      <c r="BS240">
        <v>0</v>
      </c>
      <c r="BT240" t="s">
        <v>1438</v>
      </c>
      <c r="BU240">
        <v>0</v>
      </c>
      <c r="BV240" t="s">
        <v>25</v>
      </c>
      <c r="BW240" t="s">
        <v>189</v>
      </c>
      <c r="BX240">
        <v>1</v>
      </c>
      <c r="BY240">
        <v>58364</v>
      </c>
      <c r="BZ240">
        <v>0</v>
      </c>
      <c r="CA240" t="s">
        <v>1439</v>
      </c>
      <c r="CB240" t="s">
        <v>227</v>
      </c>
      <c r="CC240" t="s">
        <v>1440</v>
      </c>
      <c r="CD240">
        <v>0</v>
      </c>
      <c r="CE240">
        <v>1</v>
      </c>
      <c r="CF240" t="s">
        <v>635</v>
      </c>
      <c r="CG240">
        <v>58364</v>
      </c>
      <c r="CH240">
        <v>0.04</v>
      </c>
      <c r="CI240">
        <v>2400</v>
      </c>
      <c r="CJ240">
        <v>58364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 t="s">
        <v>88</v>
      </c>
      <c r="CT240" t="s">
        <v>1441</v>
      </c>
      <c r="CU240" t="s">
        <v>1442</v>
      </c>
    </row>
    <row r="241" spans="1:99">
      <c r="A241" t="s">
        <v>1431</v>
      </c>
      <c r="B241" t="s">
        <v>34</v>
      </c>
      <c r="C241" t="s">
        <v>2113</v>
      </c>
      <c r="D241" t="s">
        <v>2114</v>
      </c>
      <c r="E241" t="s">
        <v>2115</v>
      </c>
      <c r="F241" t="s">
        <v>2116</v>
      </c>
      <c r="G241" t="s">
        <v>2117</v>
      </c>
      <c r="H241" t="s">
        <v>2118</v>
      </c>
      <c r="I241" t="s">
        <v>240</v>
      </c>
      <c r="J241" t="s">
        <v>46</v>
      </c>
      <c r="K241" t="s">
        <v>29</v>
      </c>
      <c r="L241" t="s">
        <v>30</v>
      </c>
      <c r="M241">
        <v>0</v>
      </c>
      <c r="N241" t="s">
        <v>32</v>
      </c>
      <c r="O241" t="s">
        <v>32</v>
      </c>
      <c r="Q241" t="s">
        <v>32</v>
      </c>
      <c r="S241" t="s">
        <v>32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AA241" t="s">
        <v>32</v>
      </c>
      <c r="AB241" t="s">
        <v>32</v>
      </c>
      <c r="AE241" t="s">
        <v>1492</v>
      </c>
      <c r="AF241">
        <v>46057</v>
      </c>
      <c r="AG241">
        <v>46058</v>
      </c>
      <c r="AH241" t="s">
        <v>32</v>
      </c>
      <c r="AK241" t="s">
        <v>32</v>
      </c>
      <c r="AN241" t="s">
        <v>32</v>
      </c>
      <c r="AO241" t="s">
        <v>32</v>
      </c>
      <c r="AR241">
        <v>0</v>
      </c>
      <c r="AU241" t="s">
        <v>32</v>
      </c>
      <c r="AV241">
        <v>1750905</v>
      </c>
      <c r="AW241" t="s">
        <v>32</v>
      </c>
      <c r="AX241" t="s">
        <v>32</v>
      </c>
      <c r="AY241" t="s">
        <v>317</v>
      </c>
      <c r="AZ241">
        <v>2</v>
      </c>
      <c r="BA241">
        <v>122540</v>
      </c>
      <c r="BB241">
        <v>0.16</v>
      </c>
      <c r="BC241">
        <v>19700</v>
      </c>
      <c r="BD241" t="s">
        <v>142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19700</v>
      </c>
      <c r="BK241" t="s">
        <v>25</v>
      </c>
      <c r="BL241" t="s">
        <v>1010</v>
      </c>
      <c r="BM241">
        <v>2</v>
      </c>
      <c r="BN241">
        <v>122540</v>
      </c>
      <c r="BO241">
        <v>0.04</v>
      </c>
      <c r="BP241">
        <v>5000</v>
      </c>
      <c r="BQ241">
        <v>0</v>
      </c>
      <c r="BR241" t="s">
        <v>1438</v>
      </c>
      <c r="BS241">
        <v>0</v>
      </c>
      <c r="BT241" t="s">
        <v>1438</v>
      </c>
      <c r="BU241">
        <v>0</v>
      </c>
      <c r="BV241" t="s">
        <v>25</v>
      </c>
      <c r="BW241" t="s">
        <v>189</v>
      </c>
      <c r="BX241">
        <v>2</v>
      </c>
      <c r="BY241">
        <v>122540</v>
      </c>
      <c r="BZ241">
        <v>0</v>
      </c>
      <c r="CA241" t="s">
        <v>1439</v>
      </c>
      <c r="CB241" t="s">
        <v>227</v>
      </c>
      <c r="CC241" t="s">
        <v>1440</v>
      </c>
      <c r="CD241">
        <v>0</v>
      </c>
      <c r="CE241">
        <v>2</v>
      </c>
      <c r="CF241" t="s">
        <v>635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 t="s">
        <v>88</v>
      </c>
      <c r="CT241" t="s">
        <v>1441</v>
      </c>
      <c r="CU241" t="s">
        <v>1442</v>
      </c>
    </row>
    <row r="242" spans="1:99">
      <c r="A242" t="s">
        <v>1431</v>
      </c>
      <c r="B242" t="s">
        <v>34</v>
      </c>
      <c r="C242" t="s">
        <v>2113</v>
      </c>
      <c r="D242" t="s">
        <v>2114</v>
      </c>
      <c r="E242" t="s">
        <v>2115</v>
      </c>
      <c r="F242" t="s">
        <v>2116</v>
      </c>
      <c r="G242" t="s">
        <v>2117</v>
      </c>
      <c r="H242" t="s">
        <v>2118</v>
      </c>
      <c r="I242" t="s">
        <v>240</v>
      </c>
      <c r="J242" t="s">
        <v>46</v>
      </c>
      <c r="K242" t="s">
        <v>29</v>
      </c>
      <c r="L242" t="s">
        <v>30</v>
      </c>
      <c r="M242">
        <v>0</v>
      </c>
      <c r="N242" t="s">
        <v>32</v>
      </c>
      <c r="O242" t="s">
        <v>32</v>
      </c>
      <c r="Q242" t="s">
        <v>32</v>
      </c>
      <c r="S242" t="s">
        <v>32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AA242" t="s">
        <v>32</v>
      </c>
      <c r="AB242" t="s">
        <v>37</v>
      </c>
      <c r="AC242">
        <v>46069</v>
      </c>
      <c r="AD242">
        <v>46069</v>
      </c>
      <c r="AE242" t="s">
        <v>32</v>
      </c>
      <c r="AH242" t="s">
        <v>32</v>
      </c>
      <c r="AK242" t="s">
        <v>32</v>
      </c>
      <c r="AN242" t="s">
        <v>32</v>
      </c>
      <c r="AO242" t="s">
        <v>32</v>
      </c>
      <c r="AR242">
        <v>0</v>
      </c>
      <c r="AU242" t="s">
        <v>32</v>
      </c>
      <c r="AV242">
        <v>1750905</v>
      </c>
      <c r="AW242" t="s">
        <v>32</v>
      </c>
      <c r="AX242" t="s">
        <v>32</v>
      </c>
      <c r="AY242" t="s">
        <v>317</v>
      </c>
      <c r="AZ242">
        <v>1</v>
      </c>
      <c r="BA242">
        <v>58364</v>
      </c>
      <c r="BB242">
        <v>0.16</v>
      </c>
      <c r="BC242">
        <v>9400</v>
      </c>
      <c r="BD242" t="s">
        <v>142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9400</v>
      </c>
      <c r="BK242" t="s">
        <v>25</v>
      </c>
      <c r="BL242" t="s">
        <v>1010</v>
      </c>
      <c r="BM242">
        <v>1</v>
      </c>
      <c r="BN242">
        <v>58364</v>
      </c>
      <c r="BO242">
        <v>0</v>
      </c>
      <c r="BP242">
        <v>0</v>
      </c>
      <c r="BQ242">
        <v>0</v>
      </c>
      <c r="BR242" t="s">
        <v>1438</v>
      </c>
      <c r="BS242">
        <v>0</v>
      </c>
      <c r="BT242" t="s">
        <v>1438</v>
      </c>
      <c r="BU242">
        <v>0</v>
      </c>
      <c r="BV242" t="s">
        <v>25</v>
      </c>
      <c r="BW242" t="s">
        <v>189</v>
      </c>
      <c r="BX242">
        <v>1</v>
      </c>
      <c r="BY242">
        <v>58364</v>
      </c>
      <c r="BZ242">
        <v>0</v>
      </c>
      <c r="CA242" t="s">
        <v>1439</v>
      </c>
      <c r="CB242" t="s">
        <v>227</v>
      </c>
      <c r="CC242" t="s">
        <v>1440</v>
      </c>
      <c r="CD242">
        <v>0</v>
      </c>
      <c r="CE242">
        <v>1</v>
      </c>
      <c r="CF242" t="s">
        <v>635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 t="s">
        <v>88</v>
      </c>
      <c r="CT242" t="s">
        <v>1441</v>
      </c>
      <c r="CU242" t="s">
        <v>1442</v>
      </c>
    </row>
    <row r="243" spans="1:99">
      <c r="A243" t="s">
        <v>1431</v>
      </c>
      <c r="B243" t="s">
        <v>34</v>
      </c>
      <c r="C243" t="s">
        <v>2113</v>
      </c>
      <c r="D243" t="s">
        <v>2114</v>
      </c>
      <c r="E243" t="s">
        <v>2115</v>
      </c>
      <c r="F243" t="s">
        <v>2116</v>
      </c>
      <c r="G243" t="s">
        <v>2117</v>
      </c>
      <c r="H243" t="s">
        <v>2118</v>
      </c>
      <c r="I243" t="s">
        <v>240</v>
      </c>
      <c r="J243" t="s">
        <v>46</v>
      </c>
      <c r="K243" t="s">
        <v>29</v>
      </c>
      <c r="L243" t="s">
        <v>30</v>
      </c>
      <c r="M243">
        <v>157</v>
      </c>
      <c r="N243" t="s">
        <v>32</v>
      </c>
      <c r="O243" t="s">
        <v>32</v>
      </c>
      <c r="Q243" t="s">
        <v>32</v>
      </c>
      <c r="S243" t="s">
        <v>32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AA243" t="s">
        <v>88</v>
      </c>
      <c r="AB243" t="s">
        <v>32</v>
      </c>
      <c r="AE243" t="s">
        <v>32</v>
      </c>
      <c r="AH243" t="s">
        <v>32</v>
      </c>
      <c r="AK243" t="s">
        <v>32</v>
      </c>
      <c r="AN243" t="s">
        <v>32</v>
      </c>
      <c r="AO243" t="s">
        <v>32</v>
      </c>
      <c r="AR243">
        <v>0</v>
      </c>
      <c r="AU243" t="s">
        <v>32</v>
      </c>
      <c r="AV243">
        <v>1750905</v>
      </c>
      <c r="AW243" t="s">
        <v>32</v>
      </c>
      <c r="AX243" t="s">
        <v>32</v>
      </c>
      <c r="AY243" t="s">
        <v>317</v>
      </c>
      <c r="AZ243">
        <v>24</v>
      </c>
      <c r="BA243">
        <v>1749313</v>
      </c>
      <c r="BB243">
        <v>0.16</v>
      </c>
      <c r="BC243">
        <v>279900</v>
      </c>
      <c r="BD243" t="s">
        <v>142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279900</v>
      </c>
      <c r="BK243" t="s">
        <v>25</v>
      </c>
      <c r="BL243" t="s">
        <v>1010</v>
      </c>
      <c r="BM243">
        <v>24</v>
      </c>
      <c r="BN243">
        <v>1749313</v>
      </c>
      <c r="BO243">
        <v>0.04</v>
      </c>
      <c r="BP243">
        <v>70000</v>
      </c>
      <c r="BQ243">
        <v>0</v>
      </c>
      <c r="BR243" t="s">
        <v>1438</v>
      </c>
      <c r="BS243">
        <v>0</v>
      </c>
      <c r="BT243" t="s">
        <v>1438</v>
      </c>
      <c r="BU243">
        <v>0</v>
      </c>
      <c r="BV243" t="s">
        <v>25</v>
      </c>
      <c r="BW243" t="s">
        <v>189</v>
      </c>
      <c r="BX243">
        <v>24</v>
      </c>
      <c r="BY243">
        <v>1749313</v>
      </c>
      <c r="BZ243">
        <v>6.9599999999999995E-2</v>
      </c>
      <c r="CA243" t="s">
        <v>1439</v>
      </c>
      <c r="CB243" t="s">
        <v>227</v>
      </c>
      <c r="CC243" t="s">
        <v>1440</v>
      </c>
      <c r="CD243">
        <v>121800</v>
      </c>
      <c r="CE243">
        <v>24</v>
      </c>
      <c r="CF243" t="s">
        <v>635</v>
      </c>
      <c r="CG243">
        <v>1749314</v>
      </c>
      <c r="CH243">
        <v>0.04</v>
      </c>
      <c r="CI243">
        <v>70000</v>
      </c>
      <c r="CJ243">
        <v>1749314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 t="s">
        <v>88</v>
      </c>
      <c r="CT243" t="s">
        <v>1441</v>
      </c>
      <c r="CU243" t="s">
        <v>1442</v>
      </c>
    </row>
    <row r="244" spans="1:99">
      <c r="A244" t="s">
        <v>1431</v>
      </c>
      <c r="B244" t="s">
        <v>34</v>
      </c>
      <c r="C244" t="s">
        <v>2119</v>
      </c>
      <c r="D244" t="s">
        <v>2120</v>
      </c>
      <c r="E244" t="s">
        <v>2121</v>
      </c>
      <c r="F244" t="s">
        <v>510</v>
      </c>
      <c r="G244" t="s">
        <v>1478</v>
      </c>
      <c r="H244" t="s">
        <v>1712</v>
      </c>
      <c r="I244" t="s">
        <v>240</v>
      </c>
      <c r="J244" t="s">
        <v>46</v>
      </c>
      <c r="K244" t="s">
        <v>29</v>
      </c>
      <c r="L244" t="s">
        <v>30</v>
      </c>
      <c r="M244">
        <v>191</v>
      </c>
      <c r="N244" t="s">
        <v>32</v>
      </c>
      <c r="O244" t="s">
        <v>32</v>
      </c>
      <c r="Q244" t="s">
        <v>40</v>
      </c>
      <c r="R244">
        <v>46057</v>
      </c>
      <c r="S244" t="s">
        <v>32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AA244" t="s">
        <v>88</v>
      </c>
      <c r="AB244" t="s">
        <v>32</v>
      </c>
      <c r="AE244" t="s">
        <v>32</v>
      </c>
      <c r="AH244" t="s">
        <v>32</v>
      </c>
      <c r="AK244" t="s">
        <v>32</v>
      </c>
      <c r="AN244" t="s">
        <v>32</v>
      </c>
      <c r="AO244" t="s">
        <v>32</v>
      </c>
      <c r="AR244">
        <v>0</v>
      </c>
      <c r="AU244" t="s">
        <v>32</v>
      </c>
      <c r="AV244">
        <v>1750905</v>
      </c>
      <c r="AW244" t="s">
        <v>32</v>
      </c>
      <c r="AX244" t="s">
        <v>32</v>
      </c>
      <c r="AY244" t="s">
        <v>317</v>
      </c>
      <c r="AZ244">
        <v>27</v>
      </c>
      <c r="BA244">
        <v>2155604</v>
      </c>
      <c r="BB244">
        <v>0.16</v>
      </c>
      <c r="BC244">
        <v>344900</v>
      </c>
      <c r="BD244" t="s">
        <v>142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344900</v>
      </c>
      <c r="BK244" t="s">
        <v>25</v>
      </c>
      <c r="BL244" t="s">
        <v>870</v>
      </c>
      <c r="BM244">
        <v>27</v>
      </c>
      <c r="BN244">
        <v>2155604</v>
      </c>
      <c r="BO244">
        <v>0.04</v>
      </c>
      <c r="BP244">
        <v>86300</v>
      </c>
      <c r="BQ244">
        <v>0</v>
      </c>
      <c r="BR244" t="s">
        <v>1438</v>
      </c>
      <c r="BS244">
        <v>0</v>
      </c>
      <c r="BT244" t="s">
        <v>1438</v>
      </c>
      <c r="BU244">
        <v>0</v>
      </c>
      <c r="BV244" t="s">
        <v>25</v>
      </c>
      <c r="BW244" t="s">
        <v>189</v>
      </c>
      <c r="BX244">
        <v>27</v>
      </c>
      <c r="BY244">
        <v>2155604</v>
      </c>
      <c r="BZ244">
        <v>6.9599999999999995E-2</v>
      </c>
      <c r="CA244" t="s">
        <v>1439</v>
      </c>
      <c r="CB244" t="s">
        <v>227</v>
      </c>
      <c r="CC244" t="s">
        <v>1440</v>
      </c>
      <c r="CD244">
        <v>150100</v>
      </c>
      <c r="CE244">
        <v>27</v>
      </c>
      <c r="CF244" t="s">
        <v>635</v>
      </c>
      <c r="CG244">
        <v>2155604</v>
      </c>
      <c r="CH244">
        <v>0.04</v>
      </c>
      <c r="CI244">
        <v>86300</v>
      </c>
      <c r="CJ244">
        <v>2155604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 t="s">
        <v>88</v>
      </c>
      <c r="CT244" t="s">
        <v>1441</v>
      </c>
      <c r="CU244" t="s">
        <v>1442</v>
      </c>
    </row>
    <row r="245" spans="1:99">
      <c r="A245" t="s">
        <v>1431</v>
      </c>
      <c r="B245" t="s">
        <v>34</v>
      </c>
      <c r="C245" t="s">
        <v>2122</v>
      </c>
      <c r="D245" t="s">
        <v>2123</v>
      </c>
      <c r="E245" t="s">
        <v>2124</v>
      </c>
      <c r="F245" t="s">
        <v>2125</v>
      </c>
      <c r="G245" t="s">
        <v>2126</v>
      </c>
      <c r="H245" t="s">
        <v>2127</v>
      </c>
      <c r="I245" t="s">
        <v>240</v>
      </c>
      <c r="J245" t="s">
        <v>46</v>
      </c>
      <c r="K245" t="s">
        <v>29</v>
      </c>
      <c r="L245" t="s">
        <v>30</v>
      </c>
      <c r="M245">
        <v>201</v>
      </c>
      <c r="N245" t="s">
        <v>32</v>
      </c>
      <c r="O245" t="s">
        <v>32</v>
      </c>
      <c r="Q245" t="s">
        <v>32</v>
      </c>
      <c r="S245" t="s">
        <v>32</v>
      </c>
      <c r="U245" t="s">
        <v>32</v>
      </c>
      <c r="V245" t="s">
        <v>32</v>
      </c>
      <c r="W245" t="s">
        <v>32</v>
      </c>
      <c r="X245" t="s">
        <v>32</v>
      </c>
      <c r="Y245" t="s">
        <v>88</v>
      </c>
      <c r="Z245">
        <v>46054</v>
      </c>
      <c r="AA245" t="s">
        <v>88</v>
      </c>
      <c r="AB245" t="s">
        <v>32</v>
      </c>
      <c r="AE245" t="s">
        <v>32</v>
      </c>
      <c r="AH245" t="s">
        <v>32</v>
      </c>
      <c r="AK245" t="s">
        <v>32</v>
      </c>
      <c r="AN245" t="s">
        <v>32</v>
      </c>
      <c r="AO245" t="s">
        <v>32</v>
      </c>
      <c r="AR245">
        <v>0</v>
      </c>
      <c r="AU245" t="s">
        <v>32</v>
      </c>
      <c r="AV245">
        <v>2102789</v>
      </c>
      <c r="AW245" t="s">
        <v>32</v>
      </c>
      <c r="AX245" t="s">
        <v>32</v>
      </c>
      <c r="AY245" t="s">
        <v>317</v>
      </c>
      <c r="AZ245">
        <v>30</v>
      </c>
      <c r="BA245">
        <v>2353691</v>
      </c>
      <c r="BB245">
        <v>0.16</v>
      </c>
      <c r="BC245">
        <v>376600</v>
      </c>
      <c r="BD245" t="s">
        <v>142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376600</v>
      </c>
      <c r="BK245" t="s">
        <v>25</v>
      </c>
      <c r="BL245" t="s">
        <v>1010</v>
      </c>
      <c r="BM245">
        <v>30</v>
      </c>
      <c r="BN245">
        <v>2353691</v>
      </c>
      <c r="BO245">
        <v>0.04</v>
      </c>
      <c r="BP245">
        <v>94200</v>
      </c>
      <c r="BQ245">
        <v>0</v>
      </c>
      <c r="BR245" t="s">
        <v>1438</v>
      </c>
      <c r="BS245">
        <v>0</v>
      </c>
      <c r="BT245" t="s">
        <v>1438</v>
      </c>
      <c r="BU245">
        <v>0</v>
      </c>
      <c r="BV245" t="s">
        <v>25</v>
      </c>
      <c r="BW245" t="s">
        <v>189</v>
      </c>
      <c r="BX245">
        <v>30</v>
      </c>
      <c r="BY245">
        <v>2353691</v>
      </c>
      <c r="BZ245">
        <v>6.9599999999999995E-2</v>
      </c>
      <c r="CA245" t="s">
        <v>1439</v>
      </c>
      <c r="CB245" t="s">
        <v>227</v>
      </c>
      <c r="CC245" t="s">
        <v>1440</v>
      </c>
      <c r="CD245">
        <v>163900</v>
      </c>
      <c r="CE245">
        <v>30</v>
      </c>
      <c r="CF245" t="s">
        <v>635</v>
      </c>
      <c r="CG245">
        <v>2353691</v>
      </c>
      <c r="CH245">
        <v>0.04</v>
      </c>
      <c r="CI245">
        <v>94200</v>
      </c>
      <c r="CJ245">
        <v>2353691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 t="s">
        <v>88</v>
      </c>
      <c r="CT245" t="s">
        <v>1441</v>
      </c>
      <c r="CU245" t="s">
        <v>1442</v>
      </c>
    </row>
    <row r="246" spans="1:99">
      <c r="A246" t="s">
        <v>1431</v>
      </c>
      <c r="B246" t="s">
        <v>34</v>
      </c>
      <c r="C246" t="s">
        <v>2128</v>
      </c>
      <c r="D246" t="s">
        <v>2129</v>
      </c>
      <c r="E246" t="s">
        <v>2130</v>
      </c>
      <c r="F246" t="s">
        <v>2131</v>
      </c>
      <c r="G246" t="s">
        <v>2132</v>
      </c>
      <c r="H246" t="s">
        <v>2046</v>
      </c>
      <c r="I246" t="s">
        <v>240</v>
      </c>
      <c r="J246" t="s">
        <v>46</v>
      </c>
      <c r="K246" t="s">
        <v>29</v>
      </c>
      <c r="L246" t="s">
        <v>30</v>
      </c>
      <c r="M246">
        <v>180</v>
      </c>
      <c r="N246" t="s">
        <v>32</v>
      </c>
      <c r="O246" t="s">
        <v>32</v>
      </c>
      <c r="Q246" t="s">
        <v>32</v>
      </c>
      <c r="S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88</v>
      </c>
      <c r="Z246">
        <v>46054</v>
      </c>
      <c r="AA246" t="s">
        <v>32</v>
      </c>
      <c r="AB246" t="s">
        <v>32</v>
      </c>
      <c r="AE246" t="s">
        <v>32</v>
      </c>
      <c r="AH246" t="s">
        <v>32</v>
      </c>
      <c r="AK246" t="s">
        <v>32</v>
      </c>
      <c r="AN246" t="s">
        <v>32</v>
      </c>
      <c r="AO246" t="s">
        <v>32</v>
      </c>
      <c r="AR246">
        <v>0</v>
      </c>
      <c r="AU246" t="s">
        <v>32</v>
      </c>
      <c r="AV246">
        <v>5967083</v>
      </c>
      <c r="AW246" t="s">
        <v>32</v>
      </c>
      <c r="AX246" t="s">
        <v>32</v>
      </c>
      <c r="AY246" t="s">
        <v>317</v>
      </c>
      <c r="AZ246">
        <v>30</v>
      </c>
      <c r="BA246">
        <v>5967083</v>
      </c>
      <c r="BB246">
        <v>0.16</v>
      </c>
      <c r="BC246">
        <v>954800</v>
      </c>
      <c r="BD246" t="s">
        <v>142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954800</v>
      </c>
      <c r="BK246" t="s">
        <v>25</v>
      </c>
      <c r="BL246" t="s">
        <v>1064</v>
      </c>
      <c r="BM246">
        <v>30</v>
      </c>
      <c r="BN246">
        <v>5967083</v>
      </c>
      <c r="BO246">
        <v>0.04</v>
      </c>
      <c r="BP246">
        <v>238700</v>
      </c>
      <c r="BQ246">
        <v>0</v>
      </c>
      <c r="BR246" t="s">
        <v>1438</v>
      </c>
      <c r="BS246">
        <v>0</v>
      </c>
      <c r="BT246" t="s">
        <v>1438</v>
      </c>
      <c r="BU246">
        <v>0</v>
      </c>
      <c r="BV246" t="s">
        <v>25</v>
      </c>
      <c r="BW246" t="s">
        <v>189</v>
      </c>
      <c r="BX246">
        <v>30</v>
      </c>
      <c r="BY246">
        <v>5967083</v>
      </c>
      <c r="BZ246">
        <v>6.9599999999999995E-2</v>
      </c>
      <c r="CA246" t="s">
        <v>1439</v>
      </c>
      <c r="CB246" t="s">
        <v>227</v>
      </c>
      <c r="CC246" t="s">
        <v>1440</v>
      </c>
      <c r="CD246">
        <v>415400</v>
      </c>
      <c r="CE246">
        <v>30</v>
      </c>
      <c r="CF246" t="s">
        <v>635</v>
      </c>
      <c r="CG246">
        <v>5967083</v>
      </c>
      <c r="CH246">
        <v>0.04</v>
      </c>
      <c r="CI246">
        <v>238700</v>
      </c>
      <c r="CJ246">
        <v>5967083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 t="s">
        <v>88</v>
      </c>
      <c r="CT246" t="s">
        <v>1441</v>
      </c>
      <c r="CU246" t="s">
        <v>1442</v>
      </c>
    </row>
    <row r="247" spans="1:99">
      <c r="A247" t="s">
        <v>1431</v>
      </c>
      <c r="B247" t="s">
        <v>34</v>
      </c>
      <c r="C247" t="s">
        <v>2133</v>
      </c>
      <c r="D247" t="s">
        <v>2134</v>
      </c>
      <c r="E247" t="s">
        <v>1648</v>
      </c>
      <c r="F247" t="s">
        <v>1920</v>
      </c>
      <c r="G247" t="s">
        <v>2135</v>
      </c>
      <c r="H247" t="s">
        <v>2136</v>
      </c>
      <c r="I247" t="s">
        <v>240</v>
      </c>
      <c r="J247" t="s">
        <v>46</v>
      </c>
      <c r="K247" t="s">
        <v>29</v>
      </c>
      <c r="L247" t="s">
        <v>30</v>
      </c>
      <c r="M247">
        <v>180</v>
      </c>
      <c r="N247" t="s">
        <v>32</v>
      </c>
      <c r="O247" t="s">
        <v>32</v>
      </c>
      <c r="Q247" t="s">
        <v>32</v>
      </c>
      <c r="S247" t="s">
        <v>32</v>
      </c>
      <c r="U247" t="s">
        <v>32</v>
      </c>
      <c r="V247" t="s">
        <v>32</v>
      </c>
      <c r="W247" t="s">
        <v>88</v>
      </c>
      <c r="X247" t="s">
        <v>32</v>
      </c>
      <c r="Y247" t="s">
        <v>32</v>
      </c>
      <c r="AA247" t="s">
        <v>32</v>
      </c>
      <c r="AB247" t="s">
        <v>32</v>
      </c>
      <c r="AE247" t="s">
        <v>32</v>
      </c>
      <c r="AH247" t="s">
        <v>32</v>
      </c>
      <c r="AK247" t="s">
        <v>32</v>
      </c>
      <c r="AN247" t="s">
        <v>32</v>
      </c>
      <c r="AO247" t="s">
        <v>32</v>
      </c>
      <c r="AR247">
        <v>0</v>
      </c>
      <c r="AU247" t="s">
        <v>32</v>
      </c>
      <c r="AV247">
        <v>4151984</v>
      </c>
      <c r="AW247" t="s">
        <v>32</v>
      </c>
      <c r="AX247" t="s">
        <v>88</v>
      </c>
      <c r="AY247" t="s">
        <v>356</v>
      </c>
      <c r="AZ247">
        <v>30</v>
      </c>
      <c r="BA247">
        <v>4151984</v>
      </c>
      <c r="BB247">
        <v>0.16</v>
      </c>
      <c r="BC247">
        <v>664400</v>
      </c>
      <c r="BD247" t="s">
        <v>142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664400</v>
      </c>
      <c r="BK247" t="s">
        <v>25</v>
      </c>
      <c r="BL247" t="s">
        <v>885</v>
      </c>
      <c r="BM247">
        <v>30</v>
      </c>
      <c r="BN247">
        <v>4151984</v>
      </c>
      <c r="BO247">
        <v>0.04</v>
      </c>
      <c r="BP247">
        <v>166100</v>
      </c>
      <c r="BQ247">
        <v>0</v>
      </c>
      <c r="BR247" t="s">
        <v>1438</v>
      </c>
      <c r="BS247">
        <v>0</v>
      </c>
      <c r="BT247" t="s">
        <v>1438</v>
      </c>
      <c r="BU247">
        <v>0</v>
      </c>
      <c r="BV247" t="s">
        <v>25</v>
      </c>
      <c r="BW247" t="s">
        <v>189</v>
      </c>
      <c r="BX247">
        <v>30</v>
      </c>
      <c r="BY247">
        <v>4151984</v>
      </c>
      <c r="BZ247">
        <v>6.9599999999999995E-2</v>
      </c>
      <c r="CA247" t="s">
        <v>1439</v>
      </c>
      <c r="CB247" t="s">
        <v>227</v>
      </c>
      <c r="CC247" t="s">
        <v>1440</v>
      </c>
      <c r="CD247">
        <v>289000</v>
      </c>
      <c r="CE247">
        <v>30</v>
      </c>
      <c r="CF247" t="s">
        <v>635</v>
      </c>
      <c r="CG247">
        <v>4151984</v>
      </c>
      <c r="CH247">
        <v>0.04</v>
      </c>
      <c r="CI247">
        <v>166100</v>
      </c>
      <c r="CJ247">
        <v>4151984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 t="s">
        <v>88</v>
      </c>
      <c r="CT247" t="s">
        <v>1441</v>
      </c>
      <c r="CU247" t="s">
        <v>1442</v>
      </c>
    </row>
    <row r="248" spans="1:99">
      <c r="A248" t="s">
        <v>1431</v>
      </c>
      <c r="B248" t="s">
        <v>34</v>
      </c>
      <c r="C248" t="s">
        <v>2137</v>
      </c>
      <c r="D248" t="s">
        <v>2138</v>
      </c>
      <c r="E248" t="s">
        <v>2139</v>
      </c>
      <c r="F248" t="s">
        <v>1920</v>
      </c>
      <c r="G248" t="s">
        <v>1806</v>
      </c>
      <c r="H248" t="s">
        <v>1584</v>
      </c>
      <c r="I248" t="s">
        <v>240</v>
      </c>
      <c r="J248" t="s">
        <v>46</v>
      </c>
      <c r="K248" t="s">
        <v>29</v>
      </c>
      <c r="L248" t="s">
        <v>30</v>
      </c>
      <c r="M248">
        <v>193</v>
      </c>
      <c r="N248" t="s">
        <v>32</v>
      </c>
      <c r="O248" t="s">
        <v>32</v>
      </c>
      <c r="Q248" t="s">
        <v>32</v>
      </c>
      <c r="S248" t="s">
        <v>32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AA248" t="s">
        <v>88</v>
      </c>
      <c r="AB248" t="s">
        <v>32</v>
      </c>
      <c r="AE248" t="s">
        <v>32</v>
      </c>
      <c r="AH248" t="s">
        <v>32</v>
      </c>
      <c r="AK248" t="s">
        <v>32</v>
      </c>
      <c r="AN248" t="s">
        <v>32</v>
      </c>
      <c r="AO248" t="s">
        <v>32</v>
      </c>
      <c r="AR248">
        <v>0</v>
      </c>
      <c r="AU248" t="s">
        <v>32</v>
      </c>
      <c r="AV248">
        <v>3534205</v>
      </c>
      <c r="AW248" t="s">
        <v>32</v>
      </c>
      <c r="AX248" t="s">
        <v>32</v>
      </c>
      <c r="AY248" t="s">
        <v>317</v>
      </c>
      <c r="AZ248">
        <v>30</v>
      </c>
      <c r="BA248">
        <v>3679590</v>
      </c>
      <c r="BB248">
        <v>0.16</v>
      </c>
      <c r="BC248">
        <v>588800</v>
      </c>
      <c r="BD248" t="s">
        <v>142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588800</v>
      </c>
      <c r="BK248" t="s">
        <v>25</v>
      </c>
      <c r="BL248" t="s">
        <v>1010</v>
      </c>
      <c r="BM248">
        <v>30</v>
      </c>
      <c r="BN248">
        <v>3679590</v>
      </c>
      <c r="BO248">
        <v>0.04</v>
      </c>
      <c r="BP248">
        <v>147200</v>
      </c>
      <c r="BQ248">
        <v>0</v>
      </c>
      <c r="BR248" t="s">
        <v>1438</v>
      </c>
      <c r="BS248">
        <v>0</v>
      </c>
      <c r="BT248" t="s">
        <v>1438</v>
      </c>
      <c r="BU248">
        <v>0</v>
      </c>
      <c r="BV248" t="s">
        <v>25</v>
      </c>
      <c r="BW248" t="s">
        <v>189</v>
      </c>
      <c r="BX248">
        <v>30</v>
      </c>
      <c r="BY248">
        <v>3679590</v>
      </c>
      <c r="BZ248">
        <v>6.9599999999999995E-2</v>
      </c>
      <c r="CA248" t="s">
        <v>1439</v>
      </c>
      <c r="CB248" t="s">
        <v>227</v>
      </c>
      <c r="CC248" t="s">
        <v>1440</v>
      </c>
      <c r="CD248">
        <v>256100</v>
      </c>
      <c r="CE248">
        <v>30</v>
      </c>
      <c r="CF248" t="s">
        <v>635</v>
      </c>
      <c r="CG248">
        <v>3679590</v>
      </c>
      <c r="CH248">
        <v>0.04</v>
      </c>
      <c r="CI248">
        <v>147200</v>
      </c>
      <c r="CJ248">
        <v>3679590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 t="s">
        <v>88</v>
      </c>
      <c r="CT248" t="s">
        <v>1441</v>
      </c>
      <c r="CU248" t="s">
        <v>1442</v>
      </c>
    </row>
    <row r="249" spans="1:99">
      <c r="A249" t="s">
        <v>1431</v>
      </c>
      <c r="B249" t="s">
        <v>34</v>
      </c>
      <c r="C249" t="s">
        <v>2140</v>
      </c>
      <c r="D249" t="s">
        <v>2141</v>
      </c>
      <c r="E249" t="s">
        <v>1551</v>
      </c>
      <c r="F249" t="s">
        <v>2142</v>
      </c>
      <c r="G249" t="s">
        <v>2143</v>
      </c>
      <c r="H249" t="s">
        <v>2144</v>
      </c>
      <c r="I249" t="s">
        <v>240</v>
      </c>
      <c r="J249" t="s">
        <v>46</v>
      </c>
      <c r="K249" t="s">
        <v>29</v>
      </c>
      <c r="L249" t="s">
        <v>30</v>
      </c>
      <c r="M249">
        <v>0</v>
      </c>
      <c r="N249" t="s">
        <v>32</v>
      </c>
      <c r="O249" t="s">
        <v>32</v>
      </c>
      <c r="Q249" t="s">
        <v>32</v>
      </c>
      <c r="S249" t="s">
        <v>32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AA249" t="s">
        <v>32</v>
      </c>
      <c r="AB249" t="s">
        <v>32</v>
      </c>
      <c r="AE249" t="s">
        <v>32</v>
      </c>
      <c r="AH249" t="s">
        <v>32</v>
      </c>
      <c r="AK249" t="s">
        <v>128</v>
      </c>
      <c r="AL249">
        <v>46069</v>
      </c>
      <c r="AM249">
        <v>46074</v>
      </c>
      <c r="AN249" t="s">
        <v>32</v>
      </c>
      <c r="AO249" t="s">
        <v>32</v>
      </c>
      <c r="AR249">
        <v>0</v>
      </c>
      <c r="AU249" t="s">
        <v>32</v>
      </c>
      <c r="AV249">
        <v>4484143</v>
      </c>
      <c r="AW249" t="s">
        <v>32</v>
      </c>
      <c r="AX249" t="s">
        <v>32</v>
      </c>
      <c r="AY249" t="s">
        <v>317</v>
      </c>
      <c r="AZ249">
        <v>6</v>
      </c>
      <c r="BA249">
        <v>896829</v>
      </c>
      <c r="BB249">
        <v>0.16</v>
      </c>
      <c r="BC249">
        <v>143500</v>
      </c>
      <c r="BD249" t="s">
        <v>142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143500</v>
      </c>
      <c r="BK249" t="s">
        <v>25</v>
      </c>
      <c r="BL249" t="s">
        <v>1064</v>
      </c>
      <c r="BM249">
        <v>6</v>
      </c>
      <c r="BN249">
        <v>896829</v>
      </c>
      <c r="BO249">
        <v>0.04</v>
      </c>
      <c r="BP249">
        <v>35900</v>
      </c>
      <c r="BQ249">
        <v>0</v>
      </c>
      <c r="BR249" t="s">
        <v>1438</v>
      </c>
      <c r="BS249">
        <v>0</v>
      </c>
      <c r="BT249" t="s">
        <v>1438</v>
      </c>
      <c r="BU249">
        <v>0</v>
      </c>
      <c r="BV249" t="s">
        <v>25</v>
      </c>
      <c r="BW249" t="s">
        <v>189</v>
      </c>
      <c r="BX249">
        <v>6</v>
      </c>
      <c r="BY249">
        <v>896829</v>
      </c>
      <c r="BZ249">
        <v>0</v>
      </c>
      <c r="CA249" t="s">
        <v>1439</v>
      </c>
      <c r="CB249" t="s">
        <v>227</v>
      </c>
      <c r="CC249" t="s">
        <v>1440</v>
      </c>
      <c r="CD249">
        <v>0</v>
      </c>
      <c r="CE249">
        <v>6</v>
      </c>
      <c r="CF249" t="s">
        <v>635</v>
      </c>
      <c r="CG249">
        <v>896829</v>
      </c>
      <c r="CH249">
        <v>0.04</v>
      </c>
      <c r="CI249">
        <v>35900</v>
      </c>
      <c r="CJ249">
        <v>896829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 t="s">
        <v>88</v>
      </c>
      <c r="CT249" t="s">
        <v>1441</v>
      </c>
      <c r="CU249" t="s">
        <v>1442</v>
      </c>
    </row>
    <row r="250" spans="1:99">
      <c r="A250" t="s">
        <v>1431</v>
      </c>
      <c r="B250" t="s">
        <v>34</v>
      </c>
      <c r="C250" t="s">
        <v>2140</v>
      </c>
      <c r="D250" t="s">
        <v>2141</v>
      </c>
      <c r="E250" t="s">
        <v>1551</v>
      </c>
      <c r="F250" t="s">
        <v>2142</v>
      </c>
      <c r="G250" t="s">
        <v>2143</v>
      </c>
      <c r="H250" t="s">
        <v>2144</v>
      </c>
      <c r="I250" t="s">
        <v>240</v>
      </c>
      <c r="J250" t="s">
        <v>46</v>
      </c>
      <c r="K250" t="s">
        <v>29</v>
      </c>
      <c r="L250" t="s">
        <v>30</v>
      </c>
      <c r="M250">
        <v>117</v>
      </c>
      <c r="N250" t="s">
        <v>32</v>
      </c>
      <c r="O250" t="s">
        <v>32</v>
      </c>
      <c r="Q250" t="s">
        <v>32</v>
      </c>
      <c r="S250" t="s">
        <v>40</v>
      </c>
      <c r="T250">
        <v>46078</v>
      </c>
      <c r="U250" t="s">
        <v>32</v>
      </c>
      <c r="V250" t="s">
        <v>32</v>
      </c>
      <c r="W250" t="s">
        <v>32</v>
      </c>
      <c r="X250" t="s">
        <v>32</v>
      </c>
      <c r="Y250" t="s">
        <v>88</v>
      </c>
      <c r="Z250">
        <v>46054</v>
      </c>
      <c r="AA250" t="s">
        <v>32</v>
      </c>
      <c r="AB250" t="s">
        <v>32</v>
      </c>
      <c r="AE250" t="s">
        <v>32</v>
      </c>
      <c r="AH250" t="s">
        <v>32</v>
      </c>
      <c r="AK250" t="s">
        <v>32</v>
      </c>
      <c r="AN250" t="s">
        <v>32</v>
      </c>
      <c r="AO250" t="s">
        <v>32</v>
      </c>
      <c r="AR250">
        <v>0</v>
      </c>
      <c r="AU250" t="s">
        <v>32</v>
      </c>
      <c r="AV250">
        <v>4484143</v>
      </c>
      <c r="AW250" t="s">
        <v>32</v>
      </c>
      <c r="AX250" t="s">
        <v>32</v>
      </c>
      <c r="AY250" t="s">
        <v>317</v>
      </c>
      <c r="AZ250">
        <v>19</v>
      </c>
      <c r="BA250">
        <v>3022149</v>
      </c>
      <c r="BB250">
        <v>0.16</v>
      </c>
      <c r="BC250">
        <v>483600</v>
      </c>
      <c r="BD250" t="s">
        <v>142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483600</v>
      </c>
      <c r="BK250" t="s">
        <v>25</v>
      </c>
      <c r="BL250" t="s">
        <v>1064</v>
      </c>
      <c r="BM250">
        <v>19</v>
      </c>
      <c r="BN250">
        <v>3022149</v>
      </c>
      <c r="BO250">
        <v>0.04</v>
      </c>
      <c r="BP250">
        <v>120900</v>
      </c>
      <c r="BQ250">
        <v>0</v>
      </c>
      <c r="BR250" t="s">
        <v>1438</v>
      </c>
      <c r="BS250">
        <v>0</v>
      </c>
      <c r="BT250" t="s">
        <v>1438</v>
      </c>
      <c r="BU250">
        <v>0</v>
      </c>
      <c r="BV250" t="s">
        <v>25</v>
      </c>
      <c r="BW250" t="s">
        <v>189</v>
      </c>
      <c r="BX250">
        <v>19</v>
      </c>
      <c r="BY250">
        <v>3022149</v>
      </c>
      <c r="BZ250">
        <v>6.9599999999999995E-2</v>
      </c>
      <c r="CA250" t="s">
        <v>1439</v>
      </c>
      <c r="CB250" t="s">
        <v>227</v>
      </c>
      <c r="CC250" t="s">
        <v>1440</v>
      </c>
      <c r="CD250">
        <v>210400</v>
      </c>
      <c r="CE250">
        <v>19</v>
      </c>
      <c r="CF250" t="s">
        <v>635</v>
      </c>
      <c r="CG250">
        <v>3786111</v>
      </c>
      <c r="CH250">
        <v>0.04</v>
      </c>
      <c r="CI250">
        <v>151500</v>
      </c>
      <c r="CJ250">
        <v>3786111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 t="s">
        <v>88</v>
      </c>
      <c r="CT250" t="s">
        <v>1441</v>
      </c>
      <c r="CU250" t="s">
        <v>1442</v>
      </c>
    </row>
    <row r="251" spans="1:99">
      <c r="A251" t="s">
        <v>1431</v>
      </c>
      <c r="B251" t="s">
        <v>34</v>
      </c>
      <c r="C251" t="s">
        <v>2145</v>
      </c>
      <c r="D251" t="s">
        <v>2146</v>
      </c>
      <c r="E251" t="s">
        <v>1601</v>
      </c>
      <c r="F251" t="s">
        <v>2147</v>
      </c>
      <c r="G251" t="s">
        <v>2148</v>
      </c>
      <c r="H251" t="s">
        <v>1558</v>
      </c>
      <c r="I251" t="s">
        <v>240</v>
      </c>
      <c r="J251" t="s">
        <v>46</v>
      </c>
      <c r="K251" t="s">
        <v>29</v>
      </c>
      <c r="L251" t="s">
        <v>30</v>
      </c>
      <c r="M251">
        <v>20</v>
      </c>
      <c r="N251" t="s">
        <v>32</v>
      </c>
      <c r="O251" t="s">
        <v>32</v>
      </c>
      <c r="Q251" t="s">
        <v>32</v>
      </c>
      <c r="S251" t="s">
        <v>40</v>
      </c>
      <c r="T251">
        <v>46055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AA251" t="s">
        <v>88</v>
      </c>
      <c r="AB251" t="s">
        <v>32</v>
      </c>
      <c r="AE251" t="s">
        <v>32</v>
      </c>
      <c r="AH251" t="s">
        <v>32</v>
      </c>
      <c r="AK251" t="s">
        <v>32</v>
      </c>
      <c r="AN251" t="s">
        <v>32</v>
      </c>
      <c r="AO251" t="s">
        <v>32</v>
      </c>
      <c r="AR251">
        <v>0</v>
      </c>
      <c r="AU251" t="s">
        <v>32</v>
      </c>
      <c r="AV251">
        <v>1956650</v>
      </c>
      <c r="AW251" t="s">
        <v>32</v>
      </c>
      <c r="AX251" t="s">
        <v>32</v>
      </c>
      <c r="AY251" t="s">
        <v>317</v>
      </c>
      <c r="AZ251">
        <v>2</v>
      </c>
      <c r="BA251">
        <v>399183</v>
      </c>
      <c r="BB251">
        <v>0.16</v>
      </c>
      <c r="BC251">
        <v>63900</v>
      </c>
      <c r="BD251" t="s">
        <v>142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63900</v>
      </c>
      <c r="BK251" t="s">
        <v>25</v>
      </c>
      <c r="BL251" t="s">
        <v>885</v>
      </c>
      <c r="BM251">
        <v>2</v>
      </c>
      <c r="BN251">
        <v>399183</v>
      </c>
      <c r="BO251">
        <v>0.04</v>
      </c>
      <c r="BP251">
        <v>16000</v>
      </c>
      <c r="BQ251">
        <v>0</v>
      </c>
      <c r="BR251" t="s">
        <v>1438</v>
      </c>
      <c r="BS251">
        <v>0</v>
      </c>
      <c r="BT251" t="s">
        <v>1438</v>
      </c>
      <c r="BU251">
        <v>0</v>
      </c>
      <c r="BV251" t="s">
        <v>25</v>
      </c>
      <c r="BW251" t="s">
        <v>189</v>
      </c>
      <c r="BX251">
        <v>2</v>
      </c>
      <c r="BY251">
        <v>399183</v>
      </c>
      <c r="BZ251">
        <v>6.9599999999999995E-2</v>
      </c>
      <c r="CA251" t="s">
        <v>1439</v>
      </c>
      <c r="CB251" t="s">
        <v>227</v>
      </c>
      <c r="CC251" t="s">
        <v>1440</v>
      </c>
      <c r="CD251">
        <v>27800</v>
      </c>
      <c r="CE251">
        <v>2</v>
      </c>
      <c r="CF251" t="s">
        <v>635</v>
      </c>
      <c r="CG251">
        <v>545054</v>
      </c>
      <c r="CH251">
        <v>0.04</v>
      </c>
      <c r="CI251">
        <v>21900</v>
      </c>
      <c r="CJ251">
        <v>545054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 t="s">
        <v>88</v>
      </c>
      <c r="CT251" t="s">
        <v>1441</v>
      </c>
      <c r="CU251" t="s">
        <v>1442</v>
      </c>
    </row>
    <row r="252" spans="1:99">
      <c r="A252" t="s">
        <v>1431</v>
      </c>
      <c r="B252" t="s">
        <v>34</v>
      </c>
      <c r="C252" t="s">
        <v>2149</v>
      </c>
      <c r="D252" t="s">
        <v>2150</v>
      </c>
      <c r="E252" t="s">
        <v>2151</v>
      </c>
      <c r="F252" t="s">
        <v>1566</v>
      </c>
      <c r="G252" t="s">
        <v>1761</v>
      </c>
      <c r="H252" t="s">
        <v>1558</v>
      </c>
      <c r="I252" t="s">
        <v>682</v>
      </c>
      <c r="J252" t="s">
        <v>484</v>
      </c>
      <c r="K252" t="s">
        <v>29</v>
      </c>
      <c r="L252" t="s">
        <v>30</v>
      </c>
      <c r="M252">
        <v>0</v>
      </c>
      <c r="N252" t="s">
        <v>32</v>
      </c>
      <c r="O252" t="s">
        <v>32</v>
      </c>
      <c r="Q252" t="s">
        <v>32</v>
      </c>
      <c r="S252" t="s">
        <v>32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AA252" t="s">
        <v>32</v>
      </c>
      <c r="AB252" t="s">
        <v>32</v>
      </c>
      <c r="AE252" t="s">
        <v>32</v>
      </c>
      <c r="AH252" t="s">
        <v>32</v>
      </c>
      <c r="AK252" t="s">
        <v>128</v>
      </c>
      <c r="AL252">
        <v>46058</v>
      </c>
      <c r="AM252">
        <v>46062</v>
      </c>
      <c r="AN252" t="s">
        <v>32</v>
      </c>
      <c r="AO252" t="s">
        <v>32</v>
      </c>
      <c r="AR252">
        <v>0</v>
      </c>
      <c r="AU252" t="s">
        <v>32</v>
      </c>
      <c r="AV252">
        <v>2074908</v>
      </c>
      <c r="AW252" t="s">
        <v>32</v>
      </c>
      <c r="AX252" t="s">
        <v>32</v>
      </c>
      <c r="AY252" t="s">
        <v>317</v>
      </c>
      <c r="AZ252">
        <v>5</v>
      </c>
      <c r="BA252">
        <v>345818</v>
      </c>
      <c r="BB252">
        <v>0.16</v>
      </c>
      <c r="BC252">
        <v>55400</v>
      </c>
      <c r="BD252" t="s">
        <v>142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55400</v>
      </c>
      <c r="BK252" t="s">
        <v>25</v>
      </c>
      <c r="BL252" t="s">
        <v>1010</v>
      </c>
      <c r="BM252">
        <v>5</v>
      </c>
      <c r="BN252">
        <v>345818</v>
      </c>
      <c r="BO252">
        <v>0.04</v>
      </c>
      <c r="BP252">
        <v>13900</v>
      </c>
      <c r="BQ252">
        <v>0</v>
      </c>
      <c r="BR252" t="s">
        <v>1438</v>
      </c>
      <c r="BS252">
        <v>0</v>
      </c>
      <c r="BT252" t="s">
        <v>1438</v>
      </c>
      <c r="BU252">
        <v>0</v>
      </c>
      <c r="BV252" t="s">
        <v>25</v>
      </c>
      <c r="BW252" t="s">
        <v>189</v>
      </c>
      <c r="BX252">
        <v>5</v>
      </c>
      <c r="BY252">
        <v>345818</v>
      </c>
      <c r="BZ252">
        <v>0</v>
      </c>
      <c r="CA252" t="s">
        <v>1439</v>
      </c>
      <c r="CB252" t="s">
        <v>312</v>
      </c>
      <c r="CC252" t="s">
        <v>1440</v>
      </c>
      <c r="CD252">
        <v>0</v>
      </c>
      <c r="CE252">
        <v>5</v>
      </c>
      <c r="CF252" t="s">
        <v>466</v>
      </c>
      <c r="CG252">
        <v>345818</v>
      </c>
      <c r="CH252">
        <v>0.04</v>
      </c>
      <c r="CI252">
        <v>13900</v>
      </c>
      <c r="CJ252">
        <v>345818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 t="s">
        <v>88</v>
      </c>
      <c r="CT252" t="s">
        <v>1441</v>
      </c>
      <c r="CU252" t="s">
        <v>1442</v>
      </c>
    </row>
    <row r="253" spans="1:99">
      <c r="A253" t="s">
        <v>1431</v>
      </c>
      <c r="B253" t="s">
        <v>34</v>
      </c>
      <c r="C253" t="s">
        <v>2149</v>
      </c>
      <c r="D253" t="s">
        <v>2150</v>
      </c>
      <c r="E253" t="s">
        <v>2151</v>
      </c>
      <c r="F253" t="s">
        <v>1566</v>
      </c>
      <c r="G253" t="s">
        <v>1761</v>
      </c>
      <c r="H253" t="s">
        <v>1558</v>
      </c>
      <c r="I253" t="s">
        <v>682</v>
      </c>
      <c r="J253" t="s">
        <v>484</v>
      </c>
      <c r="K253" t="s">
        <v>29</v>
      </c>
      <c r="L253" t="s">
        <v>30</v>
      </c>
      <c r="M253">
        <v>170</v>
      </c>
      <c r="N253" t="s">
        <v>32</v>
      </c>
      <c r="O253" t="s">
        <v>32</v>
      </c>
      <c r="Q253" t="s">
        <v>32</v>
      </c>
      <c r="S253" t="s">
        <v>32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AA253" t="s">
        <v>88</v>
      </c>
      <c r="AB253" t="s">
        <v>32</v>
      </c>
      <c r="AE253" t="s">
        <v>32</v>
      </c>
      <c r="AH253" t="s">
        <v>32</v>
      </c>
      <c r="AK253" t="s">
        <v>32</v>
      </c>
      <c r="AN253" t="s">
        <v>32</v>
      </c>
      <c r="AO253" t="s">
        <v>32</v>
      </c>
      <c r="AR253">
        <v>0</v>
      </c>
      <c r="AU253" t="s">
        <v>32</v>
      </c>
      <c r="AV253">
        <v>2074908</v>
      </c>
      <c r="AW253" t="s">
        <v>32</v>
      </c>
      <c r="AX253" t="s">
        <v>32</v>
      </c>
      <c r="AY253" t="s">
        <v>317</v>
      </c>
      <c r="AZ253">
        <v>25</v>
      </c>
      <c r="BA253">
        <v>1971005</v>
      </c>
      <c r="BB253">
        <v>0.16</v>
      </c>
      <c r="BC253">
        <v>315400</v>
      </c>
      <c r="BD253" t="s">
        <v>142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315400</v>
      </c>
      <c r="BK253" t="s">
        <v>25</v>
      </c>
      <c r="BL253" t="s">
        <v>1010</v>
      </c>
      <c r="BM253">
        <v>25</v>
      </c>
      <c r="BN253">
        <v>1971005</v>
      </c>
      <c r="BO253">
        <v>0.04</v>
      </c>
      <c r="BP253">
        <v>78900</v>
      </c>
      <c r="BQ253">
        <v>0</v>
      </c>
      <c r="BR253" t="s">
        <v>1438</v>
      </c>
      <c r="BS253">
        <v>0</v>
      </c>
      <c r="BT253" t="s">
        <v>1438</v>
      </c>
      <c r="BU253">
        <v>0</v>
      </c>
      <c r="BV253" t="s">
        <v>25</v>
      </c>
      <c r="BW253" t="s">
        <v>189</v>
      </c>
      <c r="BX253">
        <v>25</v>
      </c>
      <c r="BY253">
        <v>1971005</v>
      </c>
      <c r="BZ253">
        <v>6.9599999999999995E-2</v>
      </c>
      <c r="CA253" t="s">
        <v>1439</v>
      </c>
      <c r="CB253" t="s">
        <v>312</v>
      </c>
      <c r="CC253" t="s">
        <v>1440</v>
      </c>
      <c r="CD253">
        <v>137200</v>
      </c>
      <c r="CE253">
        <v>25</v>
      </c>
      <c r="CF253" t="s">
        <v>466</v>
      </c>
      <c r="CG253">
        <v>1971005</v>
      </c>
      <c r="CH253">
        <v>0.04</v>
      </c>
      <c r="CI253">
        <v>78900</v>
      </c>
      <c r="CJ253">
        <v>1971005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 t="s">
        <v>88</v>
      </c>
      <c r="CT253" t="s">
        <v>1441</v>
      </c>
      <c r="CU253" t="s">
        <v>1442</v>
      </c>
    </row>
    <row r="254" spans="1:99">
      <c r="A254" t="s">
        <v>1431</v>
      </c>
      <c r="B254" t="s">
        <v>34</v>
      </c>
      <c r="C254" t="s">
        <v>2152</v>
      </c>
      <c r="D254" t="s">
        <v>2153</v>
      </c>
      <c r="E254" t="s">
        <v>1776</v>
      </c>
      <c r="F254" t="s">
        <v>2154</v>
      </c>
      <c r="G254" t="s">
        <v>2155</v>
      </c>
      <c r="H254" t="s">
        <v>1584</v>
      </c>
      <c r="I254" t="s">
        <v>682</v>
      </c>
      <c r="J254" t="s">
        <v>484</v>
      </c>
      <c r="K254" t="s">
        <v>29</v>
      </c>
      <c r="L254" t="s">
        <v>30</v>
      </c>
      <c r="M254">
        <v>0</v>
      </c>
      <c r="N254" t="s">
        <v>32</v>
      </c>
      <c r="O254" t="s">
        <v>32</v>
      </c>
      <c r="Q254" t="s">
        <v>32</v>
      </c>
      <c r="S254" t="s">
        <v>32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AA254" t="s">
        <v>32</v>
      </c>
      <c r="AB254" t="s">
        <v>37</v>
      </c>
      <c r="AC254">
        <v>46054</v>
      </c>
      <c r="AD254">
        <v>46054</v>
      </c>
      <c r="AE254" t="s">
        <v>32</v>
      </c>
      <c r="AH254" t="s">
        <v>32</v>
      </c>
      <c r="AK254" t="s">
        <v>32</v>
      </c>
      <c r="AN254" t="s">
        <v>32</v>
      </c>
      <c r="AO254" t="s">
        <v>32</v>
      </c>
      <c r="AR254">
        <v>0</v>
      </c>
      <c r="AU254" t="s">
        <v>32</v>
      </c>
      <c r="AV254">
        <v>1750905</v>
      </c>
      <c r="AW254" t="s">
        <v>32</v>
      </c>
      <c r="AX254" t="s">
        <v>32</v>
      </c>
      <c r="AY254" t="s">
        <v>185</v>
      </c>
      <c r="AZ254">
        <v>1</v>
      </c>
      <c r="BA254">
        <v>58364</v>
      </c>
      <c r="BB254">
        <v>0.16</v>
      </c>
      <c r="BC254">
        <v>9400</v>
      </c>
      <c r="BD254" t="s">
        <v>142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9400</v>
      </c>
      <c r="BK254" t="s">
        <v>25</v>
      </c>
      <c r="BL254" t="s">
        <v>1071</v>
      </c>
      <c r="BM254">
        <v>1</v>
      </c>
      <c r="BN254">
        <v>58364</v>
      </c>
      <c r="BO254">
        <v>0</v>
      </c>
      <c r="BP254">
        <v>0</v>
      </c>
      <c r="BQ254">
        <v>0</v>
      </c>
      <c r="BR254" t="s">
        <v>1438</v>
      </c>
      <c r="BS254">
        <v>0</v>
      </c>
      <c r="BT254" t="s">
        <v>1438</v>
      </c>
      <c r="BU254">
        <v>0</v>
      </c>
      <c r="BV254" t="s">
        <v>25</v>
      </c>
      <c r="BW254" t="s">
        <v>189</v>
      </c>
      <c r="BX254">
        <v>1</v>
      </c>
      <c r="BY254">
        <v>58364</v>
      </c>
      <c r="BZ254">
        <v>0</v>
      </c>
      <c r="CA254" t="s">
        <v>1439</v>
      </c>
      <c r="CB254" t="s">
        <v>312</v>
      </c>
      <c r="CC254" t="s">
        <v>1440</v>
      </c>
      <c r="CD254">
        <v>0</v>
      </c>
      <c r="CE254">
        <v>1</v>
      </c>
      <c r="CF254" t="s">
        <v>466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 t="s">
        <v>88</v>
      </c>
      <c r="CT254" t="s">
        <v>1441</v>
      </c>
      <c r="CU254" t="s">
        <v>1442</v>
      </c>
    </row>
    <row r="255" spans="1:99">
      <c r="A255" t="s">
        <v>1431</v>
      </c>
      <c r="B255" t="s">
        <v>34</v>
      </c>
      <c r="C255" t="s">
        <v>2152</v>
      </c>
      <c r="D255" t="s">
        <v>2153</v>
      </c>
      <c r="E255" t="s">
        <v>1776</v>
      </c>
      <c r="F255" t="s">
        <v>2154</v>
      </c>
      <c r="G255" t="s">
        <v>2155</v>
      </c>
      <c r="H255" t="s">
        <v>1584</v>
      </c>
      <c r="I255" t="s">
        <v>682</v>
      </c>
      <c r="J255" t="s">
        <v>484</v>
      </c>
      <c r="K255" t="s">
        <v>29</v>
      </c>
      <c r="L255" t="s">
        <v>30</v>
      </c>
      <c r="M255">
        <v>0</v>
      </c>
      <c r="N255" t="s">
        <v>32</v>
      </c>
      <c r="O255" t="s">
        <v>32</v>
      </c>
      <c r="Q255" t="s">
        <v>32</v>
      </c>
      <c r="S255" t="s">
        <v>32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AA255" t="s">
        <v>32</v>
      </c>
      <c r="AB255" t="s">
        <v>32</v>
      </c>
      <c r="AE255" t="s">
        <v>1492</v>
      </c>
      <c r="AF255">
        <v>46076</v>
      </c>
      <c r="AG255">
        <v>46076</v>
      </c>
      <c r="AH255" t="s">
        <v>32</v>
      </c>
      <c r="AK255" t="s">
        <v>32</v>
      </c>
      <c r="AN255" t="s">
        <v>32</v>
      </c>
      <c r="AO255" t="s">
        <v>32</v>
      </c>
      <c r="AR255">
        <v>0</v>
      </c>
      <c r="AU255" t="s">
        <v>32</v>
      </c>
      <c r="AV255">
        <v>1750905</v>
      </c>
      <c r="AW255" t="s">
        <v>32</v>
      </c>
      <c r="AX255" t="s">
        <v>32</v>
      </c>
      <c r="AY255" t="s">
        <v>185</v>
      </c>
      <c r="AZ255">
        <v>1</v>
      </c>
      <c r="BA255">
        <v>67629</v>
      </c>
      <c r="BB255">
        <v>0.16</v>
      </c>
      <c r="BC255">
        <v>10900</v>
      </c>
      <c r="BD255" t="s">
        <v>142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10900</v>
      </c>
      <c r="BK255" t="s">
        <v>25</v>
      </c>
      <c r="BL255" t="s">
        <v>1071</v>
      </c>
      <c r="BM255">
        <v>1</v>
      </c>
      <c r="BN255">
        <v>67629</v>
      </c>
      <c r="BO255">
        <v>0.04</v>
      </c>
      <c r="BP255">
        <v>2800</v>
      </c>
      <c r="BQ255">
        <v>0</v>
      </c>
      <c r="BR255" t="s">
        <v>1438</v>
      </c>
      <c r="BS255">
        <v>0</v>
      </c>
      <c r="BT255" t="s">
        <v>1438</v>
      </c>
      <c r="BU255">
        <v>0</v>
      </c>
      <c r="BV255" t="s">
        <v>25</v>
      </c>
      <c r="BW255" t="s">
        <v>189</v>
      </c>
      <c r="BX255">
        <v>1</v>
      </c>
      <c r="BY255">
        <v>67629</v>
      </c>
      <c r="BZ255">
        <v>0</v>
      </c>
      <c r="CA255" t="s">
        <v>1439</v>
      </c>
      <c r="CB255" t="s">
        <v>312</v>
      </c>
      <c r="CC255" t="s">
        <v>1440</v>
      </c>
      <c r="CD255">
        <v>0</v>
      </c>
      <c r="CE255">
        <v>1</v>
      </c>
      <c r="CF255" t="s">
        <v>466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 t="s">
        <v>88</v>
      </c>
      <c r="CT255" t="s">
        <v>1441</v>
      </c>
      <c r="CU255" t="s">
        <v>1442</v>
      </c>
    </row>
    <row r="256" spans="1:99">
      <c r="A256" t="s">
        <v>1431</v>
      </c>
      <c r="B256" t="s">
        <v>34</v>
      </c>
      <c r="C256" t="s">
        <v>2152</v>
      </c>
      <c r="D256" t="s">
        <v>2153</v>
      </c>
      <c r="E256" t="s">
        <v>1776</v>
      </c>
      <c r="F256" t="s">
        <v>2154</v>
      </c>
      <c r="G256" t="s">
        <v>2155</v>
      </c>
      <c r="H256" t="s">
        <v>1584</v>
      </c>
      <c r="I256" t="s">
        <v>682</v>
      </c>
      <c r="J256" t="s">
        <v>484</v>
      </c>
      <c r="K256" t="s">
        <v>29</v>
      </c>
      <c r="L256" t="s">
        <v>30</v>
      </c>
      <c r="M256">
        <v>196</v>
      </c>
      <c r="N256" t="s">
        <v>32</v>
      </c>
      <c r="O256" t="s">
        <v>32</v>
      </c>
      <c r="Q256" t="s">
        <v>32</v>
      </c>
      <c r="S256" t="s">
        <v>32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AA256" t="s">
        <v>88</v>
      </c>
      <c r="AB256" t="s">
        <v>32</v>
      </c>
      <c r="AE256" t="s">
        <v>32</v>
      </c>
      <c r="AH256" t="s">
        <v>32</v>
      </c>
      <c r="AK256" t="s">
        <v>32</v>
      </c>
      <c r="AN256" t="s">
        <v>32</v>
      </c>
      <c r="AO256" t="s">
        <v>32</v>
      </c>
      <c r="AR256">
        <v>0</v>
      </c>
      <c r="AU256" t="s">
        <v>32</v>
      </c>
      <c r="AV256">
        <v>1750905</v>
      </c>
      <c r="AW256" t="s">
        <v>32</v>
      </c>
      <c r="AX256" t="s">
        <v>32</v>
      </c>
      <c r="AY256" t="s">
        <v>185</v>
      </c>
      <c r="AZ256">
        <v>28</v>
      </c>
      <c r="BA256">
        <v>1917905</v>
      </c>
      <c r="BB256">
        <v>0.16</v>
      </c>
      <c r="BC256">
        <v>306900</v>
      </c>
      <c r="BD256" t="s">
        <v>142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306900</v>
      </c>
      <c r="BK256" t="s">
        <v>25</v>
      </c>
      <c r="BL256" t="s">
        <v>1071</v>
      </c>
      <c r="BM256">
        <v>28</v>
      </c>
      <c r="BN256">
        <v>1917905</v>
      </c>
      <c r="BO256">
        <v>0.04</v>
      </c>
      <c r="BP256">
        <v>76800</v>
      </c>
      <c r="BQ256">
        <v>0</v>
      </c>
      <c r="BR256" t="s">
        <v>1438</v>
      </c>
      <c r="BS256">
        <v>0</v>
      </c>
      <c r="BT256" t="s">
        <v>1438</v>
      </c>
      <c r="BU256">
        <v>0</v>
      </c>
      <c r="BV256" t="s">
        <v>25</v>
      </c>
      <c r="BW256" t="s">
        <v>189</v>
      </c>
      <c r="BX256">
        <v>28</v>
      </c>
      <c r="BY256">
        <v>1917905</v>
      </c>
      <c r="BZ256">
        <v>6.9599999999999995E-2</v>
      </c>
      <c r="CA256" t="s">
        <v>1439</v>
      </c>
      <c r="CB256" t="s">
        <v>312</v>
      </c>
      <c r="CC256" t="s">
        <v>1440</v>
      </c>
      <c r="CD256">
        <v>133500</v>
      </c>
      <c r="CE256">
        <v>28</v>
      </c>
      <c r="CF256" t="s">
        <v>466</v>
      </c>
      <c r="CG256">
        <v>1917905</v>
      </c>
      <c r="CH256">
        <v>0.04</v>
      </c>
      <c r="CI256">
        <v>76800</v>
      </c>
      <c r="CJ256">
        <v>1917905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 t="s">
        <v>88</v>
      </c>
      <c r="CT256" t="s">
        <v>1441</v>
      </c>
      <c r="CU256" t="s">
        <v>1442</v>
      </c>
    </row>
    <row r="257" spans="1:99">
      <c r="A257" t="s">
        <v>1431</v>
      </c>
      <c r="B257" t="s">
        <v>34</v>
      </c>
      <c r="C257" t="s">
        <v>2156</v>
      </c>
      <c r="D257" t="s">
        <v>2157</v>
      </c>
      <c r="E257" t="s">
        <v>2158</v>
      </c>
      <c r="F257" t="s">
        <v>2159</v>
      </c>
      <c r="G257" t="s">
        <v>1673</v>
      </c>
      <c r="H257" t="s">
        <v>1674</v>
      </c>
      <c r="I257" t="s">
        <v>682</v>
      </c>
      <c r="J257" t="s">
        <v>484</v>
      </c>
      <c r="K257" t="s">
        <v>29</v>
      </c>
      <c r="L257" t="s">
        <v>30</v>
      </c>
      <c r="M257">
        <v>0</v>
      </c>
      <c r="N257" t="s">
        <v>32</v>
      </c>
      <c r="O257" t="s">
        <v>32</v>
      </c>
      <c r="Q257" t="s">
        <v>32</v>
      </c>
      <c r="S257" t="s">
        <v>32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AA257" t="s">
        <v>32</v>
      </c>
      <c r="AB257" t="s">
        <v>32</v>
      </c>
      <c r="AE257" t="s">
        <v>32</v>
      </c>
      <c r="AH257" t="s">
        <v>32</v>
      </c>
      <c r="AK257" t="s">
        <v>128</v>
      </c>
      <c r="AL257">
        <v>46054</v>
      </c>
      <c r="AM257">
        <v>46054</v>
      </c>
      <c r="AN257" t="s">
        <v>32</v>
      </c>
      <c r="AO257" t="s">
        <v>32</v>
      </c>
      <c r="AR257">
        <v>0</v>
      </c>
      <c r="AU257" t="s">
        <v>32</v>
      </c>
      <c r="AV257">
        <v>1750905</v>
      </c>
      <c r="AW257" t="s">
        <v>32</v>
      </c>
      <c r="AX257" t="s">
        <v>32</v>
      </c>
      <c r="AY257" t="s">
        <v>317</v>
      </c>
      <c r="AZ257">
        <v>1</v>
      </c>
      <c r="BA257">
        <v>58364</v>
      </c>
      <c r="BB257">
        <v>0.16</v>
      </c>
      <c r="BC257">
        <v>9400</v>
      </c>
      <c r="BD257" t="s">
        <v>142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9400</v>
      </c>
      <c r="BK257" t="s">
        <v>25</v>
      </c>
      <c r="BL257" t="s">
        <v>1491</v>
      </c>
      <c r="BM257">
        <v>1</v>
      </c>
      <c r="BN257">
        <v>58364</v>
      </c>
      <c r="BO257">
        <v>0.04</v>
      </c>
      <c r="BP257">
        <v>2400</v>
      </c>
      <c r="BQ257">
        <v>0</v>
      </c>
      <c r="BR257" t="s">
        <v>1438</v>
      </c>
      <c r="BS257">
        <v>0</v>
      </c>
      <c r="BT257" t="s">
        <v>1438</v>
      </c>
      <c r="BU257">
        <v>0</v>
      </c>
      <c r="BV257" t="s">
        <v>25</v>
      </c>
      <c r="BW257" t="s">
        <v>189</v>
      </c>
      <c r="BX257">
        <v>1</v>
      </c>
      <c r="BY257">
        <v>58364</v>
      </c>
      <c r="BZ257">
        <v>0</v>
      </c>
      <c r="CA257" t="s">
        <v>1439</v>
      </c>
      <c r="CB257" t="s">
        <v>312</v>
      </c>
      <c r="CC257" t="s">
        <v>1440</v>
      </c>
      <c r="CD257">
        <v>0</v>
      </c>
      <c r="CE257">
        <v>1</v>
      </c>
      <c r="CF257" t="s">
        <v>466</v>
      </c>
      <c r="CG257">
        <v>58364</v>
      </c>
      <c r="CH257">
        <v>0.04</v>
      </c>
      <c r="CI257">
        <v>2400</v>
      </c>
      <c r="CJ257">
        <v>58364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 t="s">
        <v>88</v>
      </c>
      <c r="CT257" t="s">
        <v>1441</v>
      </c>
      <c r="CU257" t="s">
        <v>1442</v>
      </c>
    </row>
    <row r="258" spans="1:99">
      <c r="A258" t="s">
        <v>1431</v>
      </c>
      <c r="B258" t="s">
        <v>34</v>
      </c>
      <c r="C258" t="s">
        <v>2156</v>
      </c>
      <c r="D258" t="s">
        <v>2157</v>
      </c>
      <c r="E258" t="s">
        <v>2158</v>
      </c>
      <c r="F258" t="s">
        <v>2159</v>
      </c>
      <c r="G258" t="s">
        <v>1673</v>
      </c>
      <c r="H258" t="s">
        <v>1674</v>
      </c>
      <c r="I258" t="s">
        <v>682</v>
      </c>
      <c r="J258" t="s">
        <v>484</v>
      </c>
      <c r="K258" t="s">
        <v>29</v>
      </c>
      <c r="L258" t="s">
        <v>30</v>
      </c>
      <c r="M258">
        <v>204</v>
      </c>
      <c r="N258" t="s">
        <v>32</v>
      </c>
      <c r="O258" t="s">
        <v>32</v>
      </c>
      <c r="Q258" t="s">
        <v>32</v>
      </c>
      <c r="S258" t="s">
        <v>32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AA258" t="s">
        <v>88</v>
      </c>
      <c r="AB258" t="s">
        <v>32</v>
      </c>
      <c r="AE258" t="s">
        <v>32</v>
      </c>
      <c r="AH258" t="s">
        <v>32</v>
      </c>
      <c r="AK258" t="s">
        <v>32</v>
      </c>
      <c r="AN258" t="s">
        <v>32</v>
      </c>
      <c r="AO258" t="s">
        <v>32</v>
      </c>
      <c r="AR258">
        <v>0</v>
      </c>
      <c r="AU258" t="s">
        <v>32</v>
      </c>
      <c r="AV258">
        <v>1750905</v>
      </c>
      <c r="AW258" t="s">
        <v>32</v>
      </c>
      <c r="AX258" t="s">
        <v>32</v>
      </c>
      <c r="AY258" t="s">
        <v>317</v>
      </c>
      <c r="AZ258">
        <v>29</v>
      </c>
      <c r="BA258">
        <v>1931302</v>
      </c>
      <c r="BB258">
        <v>0.16</v>
      </c>
      <c r="BC258">
        <v>309100</v>
      </c>
      <c r="BD258" t="s">
        <v>142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309100</v>
      </c>
      <c r="BK258" t="s">
        <v>25</v>
      </c>
      <c r="BL258" t="s">
        <v>1491</v>
      </c>
      <c r="BM258">
        <v>29</v>
      </c>
      <c r="BN258">
        <v>1931302</v>
      </c>
      <c r="BO258">
        <v>0.04</v>
      </c>
      <c r="BP258">
        <v>77300</v>
      </c>
      <c r="BQ258">
        <v>0</v>
      </c>
      <c r="BR258" t="s">
        <v>1438</v>
      </c>
      <c r="BS258">
        <v>0</v>
      </c>
      <c r="BT258" t="s">
        <v>1438</v>
      </c>
      <c r="BU258">
        <v>0</v>
      </c>
      <c r="BV258" t="s">
        <v>25</v>
      </c>
      <c r="BW258" t="s">
        <v>189</v>
      </c>
      <c r="BX258">
        <v>29</v>
      </c>
      <c r="BY258">
        <v>1931302</v>
      </c>
      <c r="BZ258">
        <v>6.9599999999999995E-2</v>
      </c>
      <c r="CA258" t="s">
        <v>1439</v>
      </c>
      <c r="CB258" t="s">
        <v>312</v>
      </c>
      <c r="CC258" t="s">
        <v>1440</v>
      </c>
      <c r="CD258">
        <v>134500</v>
      </c>
      <c r="CE258">
        <v>29</v>
      </c>
      <c r="CF258" t="s">
        <v>466</v>
      </c>
      <c r="CG258">
        <v>1931302</v>
      </c>
      <c r="CH258">
        <v>0.04</v>
      </c>
      <c r="CI258">
        <v>77300</v>
      </c>
      <c r="CJ258">
        <v>1931302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 t="s">
        <v>88</v>
      </c>
      <c r="CT258" t="s">
        <v>1441</v>
      </c>
      <c r="CU258" t="s">
        <v>1442</v>
      </c>
    </row>
    <row r="259" spans="1:99">
      <c r="A259" t="s">
        <v>1431</v>
      </c>
      <c r="B259" t="s">
        <v>34</v>
      </c>
      <c r="C259" t="s">
        <v>2160</v>
      </c>
      <c r="D259" t="s">
        <v>2161</v>
      </c>
      <c r="E259" t="s">
        <v>1555</v>
      </c>
      <c r="F259" t="s">
        <v>1562</v>
      </c>
      <c r="G259" t="s">
        <v>2162</v>
      </c>
      <c r="H259" t="s">
        <v>1558</v>
      </c>
      <c r="I259" t="s">
        <v>682</v>
      </c>
      <c r="J259" t="s">
        <v>484</v>
      </c>
      <c r="K259" t="s">
        <v>29</v>
      </c>
      <c r="L259" t="s">
        <v>30</v>
      </c>
      <c r="M259">
        <v>205</v>
      </c>
      <c r="N259" t="s">
        <v>32</v>
      </c>
      <c r="O259" t="s">
        <v>32</v>
      </c>
      <c r="Q259" t="s">
        <v>32</v>
      </c>
      <c r="S259" t="s">
        <v>32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AA259" t="s">
        <v>88</v>
      </c>
      <c r="AB259" t="s">
        <v>32</v>
      </c>
      <c r="AE259" t="s">
        <v>32</v>
      </c>
      <c r="AH259" t="s">
        <v>32</v>
      </c>
      <c r="AK259" t="s">
        <v>32</v>
      </c>
      <c r="AN259" t="s">
        <v>32</v>
      </c>
      <c r="AO259" t="s">
        <v>32</v>
      </c>
      <c r="AR259">
        <v>0</v>
      </c>
      <c r="AU259" t="s">
        <v>32</v>
      </c>
      <c r="AV259">
        <v>2074908</v>
      </c>
      <c r="AW259" t="s">
        <v>32</v>
      </c>
      <c r="AX259" t="s">
        <v>32</v>
      </c>
      <c r="AY259" t="s">
        <v>317</v>
      </c>
      <c r="AZ259">
        <v>30</v>
      </c>
      <c r="BA259">
        <v>2452635</v>
      </c>
      <c r="BB259">
        <v>0.16</v>
      </c>
      <c r="BC259">
        <v>392500</v>
      </c>
      <c r="BD259" t="s">
        <v>142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392500</v>
      </c>
      <c r="BK259" t="s">
        <v>25</v>
      </c>
      <c r="BL259" t="s">
        <v>1010</v>
      </c>
      <c r="BM259">
        <v>30</v>
      </c>
      <c r="BN259">
        <v>2452635</v>
      </c>
      <c r="BO259">
        <v>0.04</v>
      </c>
      <c r="BP259">
        <v>98200</v>
      </c>
      <c r="BQ259">
        <v>0</v>
      </c>
      <c r="BR259" t="s">
        <v>1438</v>
      </c>
      <c r="BS259">
        <v>0</v>
      </c>
      <c r="BT259" t="s">
        <v>1438</v>
      </c>
      <c r="BU259">
        <v>0</v>
      </c>
      <c r="BV259" t="s">
        <v>25</v>
      </c>
      <c r="BW259" t="s">
        <v>189</v>
      </c>
      <c r="BX259">
        <v>30</v>
      </c>
      <c r="BY259">
        <v>2452635</v>
      </c>
      <c r="BZ259">
        <v>6.9599999999999995E-2</v>
      </c>
      <c r="CA259" t="s">
        <v>1439</v>
      </c>
      <c r="CB259" t="s">
        <v>312</v>
      </c>
      <c r="CC259" t="s">
        <v>1440</v>
      </c>
      <c r="CD259">
        <v>170800</v>
      </c>
      <c r="CE259">
        <v>30</v>
      </c>
      <c r="CF259" t="s">
        <v>466</v>
      </c>
      <c r="CG259">
        <v>2452635</v>
      </c>
      <c r="CH259">
        <v>0.04</v>
      </c>
      <c r="CI259">
        <v>98200</v>
      </c>
      <c r="CJ259">
        <v>2452635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 t="s">
        <v>88</v>
      </c>
      <c r="CT259" t="s">
        <v>1441</v>
      </c>
      <c r="CU259" t="s">
        <v>1442</v>
      </c>
    </row>
    <row r="260" spans="1:99">
      <c r="A260" t="s">
        <v>1431</v>
      </c>
      <c r="B260" t="s">
        <v>34</v>
      </c>
      <c r="C260" t="s">
        <v>2163</v>
      </c>
      <c r="D260" t="s">
        <v>2164</v>
      </c>
      <c r="E260" t="s">
        <v>1628</v>
      </c>
      <c r="F260" t="s">
        <v>2165</v>
      </c>
      <c r="G260" t="s">
        <v>1965</v>
      </c>
      <c r="H260" t="s">
        <v>1473</v>
      </c>
      <c r="I260" t="s">
        <v>682</v>
      </c>
      <c r="J260" t="s">
        <v>484</v>
      </c>
      <c r="K260" t="s">
        <v>29</v>
      </c>
      <c r="L260" t="s">
        <v>30</v>
      </c>
      <c r="M260">
        <v>0</v>
      </c>
      <c r="N260" t="s">
        <v>32</v>
      </c>
      <c r="O260" t="s">
        <v>32</v>
      </c>
      <c r="Q260" t="s">
        <v>32</v>
      </c>
      <c r="S260" t="s">
        <v>32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AA260" t="s">
        <v>32</v>
      </c>
      <c r="AB260" t="s">
        <v>32</v>
      </c>
      <c r="AE260" t="s">
        <v>1492</v>
      </c>
      <c r="AF260">
        <v>46062</v>
      </c>
      <c r="AG260">
        <v>46062</v>
      </c>
      <c r="AH260" t="s">
        <v>32</v>
      </c>
      <c r="AK260" t="s">
        <v>32</v>
      </c>
      <c r="AN260" t="s">
        <v>32</v>
      </c>
      <c r="AO260" t="s">
        <v>32</v>
      </c>
      <c r="AR260">
        <v>0</v>
      </c>
      <c r="AU260" t="s">
        <v>32</v>
      </c>
      <c r="AV260">
        <v>2223339</v>
      </c>
      <c r="AW260" t="s">
        <v>32</v>
      </c>
      <c r="AX260" t="s">
        <v>32</v>
      </c>
      <c r="AY260" t="s">
        <v>317</v>
      </c>
      <c r="AZ260">
        <v>1</v>
      </c>
      <c r="BA260">
        <v>86020</v>
      </c>
      <c r="BB260">
        <v>0.16</v>
      </c>
      <c r="BC260">
        <v>13800</v>
      </c>
      <c r="BD260" t="s">
        <v>142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13800</v>
      </c>
      <c r="BK260" t="s">
        <v>25</v>
      </c>
      <c r="BL260" t="s">
        <v>1010</v>
      </c>
      <c r="BM260">
        <v>1</v>
      </c>
      <c r="BN260">
        <v>86020</v>
      </c>
      <c r="BO260">
        <v>0.04</v>
      </c>
      <c r="BP260">
        <v>3500</v>
      </c>
      <c r="BQ260">
        <v>0</v>
      </c>
      <c r="BR260" t="s">
        <v>1438</v>
      </c>
      <c r="BS260">
        <v>0</v>
      </c>
      <c r="BT260" t="s">
        <v>1438</v>
      </c>
      <c r="BU260">
        <v>0</v>
      </c>
      <c r="BV260" t="s">
        <v>25</v>
      </c>
      <c r="BW260" t="s">
        <v>189</v>
      </c>
      <c r="BX260">
        <v>1</v>
      </c>
      <c r="BY260">
        <v>86020</v>
      </c>
      <c r="BZ260">
        <v>0</v>
      </c>
      <c r="CA260" t="s">
        <v>1439</v>
      </c>
      <c r="CB260" t="s">
        <v>312</v>
      </c>
      <c r="CC260" t="s">
        <v>1440</v>
      </c>
      <c r="CD260">
        <v>0</v>
      </c>
      <c r="CE260">
        <v>1</v>
      </c>
      <c r="CF260" t="s">
        <v>466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 t="s">
        <v>88</v>
      </c>
      <c r="CT260" t="s">
        <v>1441</v>
      </c>
      <c r="CU260" t="s">
        <v>1442</v>
      </c>
    </row>
    <row r="261" spans="1:99">
      <c r="A261" t="s">
        <v>1431</v>
      </c>
      <c r="B261" t="s">
        <v>34</v>
      </c>
      <c r="C261" t="s">
        <v>2163</v>
      </c>
      <c r="D261" t="s">
        <v>2164</v>
      </c>
      <c r="E261" t="s">
        <v>1628</v>
      </c>
      <c r="F261" t="s">
        <v>2165</v>
      </c>
      <c r="G261" t="s">
        <v>1965</v>
      </c>
      <c r="H261" t="s">
        <v>1473</v>
      </c>
      <c r="I261" t="s">
        <v>682</v>
      </c>
      <c r="J261" t="s">
        <v>484</v>
      </c>
      <c r="K261" t="s">
        <v>29</v>
      </c>
      <c r="L261" t="s">
        <v>30</v>
      </c>
      <c r="M261">
        <v>191</v>
      </c>
      <c r="N261" t="s">
        <v>32</v>
      </c>
      <c r="O261" t="s">
        <v>32</v>
      </c>
      <c r="Q261" t="s">
        <v>32</v>
      </c>
      <c r="S261" t="s">
        <v>40</v>
      </c>
      <c r="T261">
        <v>46079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AA261" t="s">
        <v>88</v>
      </c>
      <c r="AB261" t="s">
        <v>32</v>
      </c>
      <c r="AE261" t="s">
        <v>32</v>
      </c>
      <c r="AH261" t="s">
        <v>32</v>
      </c>
      <c r="AK261" t="s">
        <v>32</v>
      </c>
      <c r="AN261" t="s">
        <v>32</v>
      </c>
      <c r="AO261" t="s">
        <v>32</v>
      </c>
      <c r="AR261">
        <v>0</v>
      </c>
      <c r="AU261" t="s">
        <v>32</v>
      </c>
      <c r="AV261">
        <v>2223339</v>
      </c>
      <c r="AW261" t="s">
        <v>32</v>
      </c>
      <c r="AX261" t="s">
        <v>32</v>
      </c>
      <c r="AY261" t="s">
        <v>317</v>
      </c>
      <c r="AZ261">
        <v>25</v>
      </c>
      <c r="BA261">
        <v>2711229</v>
      </c>
      <c r="BB261">
        <v>0.16</v>
      </c>
      <c r="BC261">
        <v>433800</v>
      </c>
      <c r="BD261" t="s">
        <v>142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433800</v>
      </c>
      <c r="BK261" t="s">
        <v>25</v>
      </c>
      <c r="BL261" t="s">
        <v>1010</v>
      </c>
      <c r="BM261">
        <v>25</v>
      </c>
      <c r="BN261">
        <v>2711229</v>
      </c>
      <c r="BO261">
        <v>0.04</v>
      </c>
      <c r="BP261">
        <v>108500</v>
      </c>
      <c r="BQ261">
        <v>0</v>
      </c>
      <c r="BR261" t="s">
        <v>1438</v>
      </c>
      <c r="BS261">
        <v>0</v>
      </c>
      <c r="BT261" t="s">
        <v>1438</v>
      </c>
      <c r="BU261">
        <v>0</v>
      </c>
      <c r="BV261" t="s">
        <v>25</v>
      </c>
      <c r="BW261" t="s">
        <v>189</v>
      </c>
      <c r="BX261">
        <v>25</v>
      </c>
      <c r="BY261">
        <v>2711229</v>
      </c>
      <c r="BZ261">
        <v>6.9599999999999995E-2</v>
      </c>
      <c r="CA261" t="s">
        <v>1439</v>
      </c>
      <c r="CB261" t="s">
        <v>312</v>
      </c>
      <c r="CC261" t="s">
        <v>1440</v>
      </c>
      <c r="CD261">
        <v>188800</v>
      </c>
      <c r="CE261">
        <v>25</v>
      </c>
      <c r="CF261" t="s">
        <v>466</v>
      </c>
      <c r="CG261">
        <v>3175155</v>
      </c>
      <c r="CH261">
        <v>0.04</v>
      </c>
      <c r="CI261">
        <v>127100</v>
      </c>
      <c r="CJ261">
        <v>3175155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 t="s">
        <v>88</v>
      </c>
      <c r="CT261" t="s">
        <v>1441</v>
      </c>
      <c r="CU261" t="s">
        <v>1442</v>
      </c>
    </row>
    <row r="262" spans="1:99">
      <c r="A262" t="s">
        <v>1431</v>
      </c>
      <c r="B262" t="s">
        <v>34</v>
      </c>
      <c r="C262" t="s">
        <v>2166</v>
      </c>
      <c r="D262" t="s">
        <v>2167</v>
      </c>
      <c r="E262" t="s">
        <v>2168</v>
      </c>
      <c r="F262" t="s">
        <v>1511</v>
      </c>
      <c r="G262" t="s">
        <v>1490</v>
      </c>
      <c r="H262" t="s">
        <v>1519</v>
      </c>
      <c r="I262" t="s">
        <v>682</v>
      </c>
      <c r="J262" t="s">
        <v>484</v>
      </c>
      <c r="K262" t="s">
        <v>29</v>
      </c>
      <c r="L262" t="s">
        <v>30</v>
      </c>
      <c r="M262">
        <v>0</v>
      </c>
      <c r="N262" t="s">
        <v>32</v>
      </c>
      <c r="O262" t="s">
        <v>32</v>
      </c>
      <c r="Q262" t="s">
        <v>32</v>
      </c>
      <c r="S262" t="s">
        <v>32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AA262" t="s">
        <v>32</v>
      </c>
      <c r="AB262" t="s">
        <v>37</v>
      </c>
      <c r="AC262">
        <v>46054</v>
      </c>
      <c r="AD262">
        <v>46054</v>
      </c>
      <c r="AE262" t="s">
        <v>32</v>
      </c>
      <c r="AH262" t="s">
        <v>32</v>
      </c>
      <c r="AK262" t="s">
        <v>32</v>
      </c>
      <c r="AN262" t="s">
        <v>32</v>
      </c>
      <c r="AO262" t="s">
        <v>32</v>
      </c>
      <c r="AR262">
        <v>0</v>
      </c>
      <c r="AU262" t="s">
        <v>32</v>
      </c>
      <c r="AV262">
        <v>1750905</v>
      </c>
      <c r="AW262" t="s">
        <v>32</v>
      </c>
      <c r="AX262" t="s">
        <v>32</v>
      </c>
      <c r="AY262" t="s">
        <v>317</v>
      </c>
      <c r="AZ262">
        <v>1</v>
      </c>
      <c r="BA262">
        <v>58364</v>
      </c>
      <c r="BB262">
        <v>0.16</v>
      </c>
      <c r="BC262">
        <v>9400</v>
      </c>
      <c r="BD262" t="s">
        <v>142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9400</v>
      </c>
      <c r="BK262" t="s">
        <v>25</v>
      </c>
      <c r="BL262" t="s">
        <v>1010</v>
      </c>
      <c r="BM262">
        <v>1</v>
      </c>
      <c r="BN262">
        <v>58364</v>
      </c>
      <c r="BO262">
        <v>0</v>
      </c>
      <c r="BP262">
        <v>0</v>
      </c>
      <c r="BQ262">
        <v>0</v>
      </c>
      <c r="BR262" t="s">
        <v>1438</v>
      </c>
      <c r="BS262">
        <v>0</v>
      </c>
      <c r="BT262" t="s">
        <v>1438</v>
      </c>
      <c r="BU262">
        <v>0</v>
      </c>
      <c r="BV262" t="s">
        <v>25</v>
      </c>
      <c r="BW262" t="s">
        <v>189</v>
      </c>
      <c r="BX262">
        <v>1</v>
      </c>
      <c r="BY262">
        <v>58364</v>
      </c>
      <c r="BZ262">
        <v>0</v>
      </c>
      <c r="CA262" t="s">
        <v>1439</v>
      </c>
      <c r="CB262" t="s">
        <v>312</v>
      </c>
      <c r="CC262" t="s">
        <v>1440</v>
      </c>
      <c r="CD262">
        <v>0</v>
      </c>
      <c r="CE262">
        <v>1</v>
      </c>
      <c r="CF262" t="s">
        <v>466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 t="s">
        <v>88</v>
      </c>
      <c r="CT262" t="s">
        <v>1441</v>
      </c>
      <c r="CU262" t="s">
        <v>1442</v>
      </c>
    </row>
    <row r="263" spans="1:99">
      <c r="A263" t="s">
        <v>1431</v>
      </c>
      <c r="B263" t="s">
        <v>34</v>
      </c>
      <c r="C263" t="s">
        <v>2166</v>
      </c>
      <c r="D263" t="s">
        <v>2167</v>
      </c>
      <c r="E263" t="s">
        <v>2168</v>
      </c>
      <c r="F263" t="s">
        <v>1511</v>
      </c>
      <c r="G263" t="s">
        <v>1490</v>
      </c>
      <c r="H263" t="s">
        <v>1519</v>
      </c>
      <c r="I263" t="s">
        <v>682</v>
      </c>
      <c r="J263" t="s">
        <v>484</v>
      </c>
      <c r="K263" t="s">
        <v>29</v>
      </c>
      <c r="L263" t="s">
        <v>30</v>
      </c>
      <c r="M263">
        <v>0</v>
      </c>
      <c r="N263" t="s">
        <v>32</v>
      </c>
      <c r="O263" t="s">
        <v>32</v>
      </c>
      <c r="Q263" t="s">
        <v>32</v>
      </c>
      <c r="S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AA263" t="s">
        <v>32</v>
      </c>
      <c r="AB263" t="s">
        <v>37</v>
      </c>
      <c r="AC263">
        <v>46069</v>
      </c>
      <c r="AD263">
        <v>46069</v>
      </c>
      <c r="AE263" t="s">
        <v>32</v>
      </c>
      <c r="AH263" t="s">
        <v>32</v>
      </c>
      <c r="AK263" t="s">
        <v>32</v>
      </c>
      <c r="AN263" t="s">
        <v>32</v>
      </c>
      <c r="AO263" t="s">
        <v>32</v>
      </c>
      <c r="AR263">
        <v>0</v>
      </c>
      <c r="AU263" t="s">
        <v>32</v>
      </c>
      <c r="AV263">
        <v>1750905</v>
      </c>
      <c r="AW263" t="s">
        <v>32</v>
      </c>
      <c r="AX263" t="s">
        <v>32</v>
      </c>
      <c r="AY263" t="s">
        <v>317</v>
      </c>
      <c r="AZ263">
        <v>1</v>
      </c>
      <c r="BA263">
        <v>58364</v>
      </c>
      <c r="BB263">
        <v>0.16</v>
      </c>
      <c r="BC263">
        <v>9400</v>
      </c>
      <c r="BD263" t="s">
        <v>142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9400</v>
      </c>
      <c r="BK263" t="s">
        <v>25</v>
      </c>
      <c r="BL263" t="s">
        <v>1010</v>
      </c>
      <c r="BM263">
        <v>1</v>
      </c>
      <c r="BN263">
        <v>58364</v>
      </c>
      <c r="BO263">
        <v>0</v>
      </c>
      <c r="BP263">
        <v>0</v>
      </c>
      <c r="BQ263">
        <v>0</v>
      </c>
      <c r="BR263" t="s">
        <v>1438</v>
      </c>
      <c r="BS263">
        <v>0</v>
      </c>
      <c r="BT263" t="s">
        <v>1438</v>
      </c>
      <c r="BU263">
        <v>0</v>
      </c>
      <c r="BV263" t="s">
        <v>25</v>
      </c>
      <c r="BW263" t="s">
        <v>189</v>
      </c>
      <c r="BX263">
        <v>1</v>
      </c>
      <c r="BY263">
        <v>58364</v>
      </c>
      <c r="BZ263">
        <v>0</v>
      </c>
      <c r="CA263" t="s">
        <v>1439</v>
      </c>
      <c r="CB263" t="s">
        <v>312</v>
      </c>
      <c r="CC263" t="s">
        <v>1440</v>
      </c>
      <c r="CD263">
        <v>0</v>
      </c>
      <c r="CE263">
        <v>1</v>
      </c>
      <c r="CF263" t="s">
        <v>466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 t="s">
        <v>88</v>
      </c>
      <c r="CT263" t="s">
        <v>1441</v>
      </c>
      <c r="CU263" t="s">
        <v>1442</v>
      </c>
    </row>
    <row r="264" spans="1:99">
      <c r="A264" t="s">
        <v>1431</v>
      </c>
      <c r="B264" t="s">
        <v>34</v>
      </c>
      <c r="C264" t="s">
        <v>2166</v>
      </c>
      <c r="D264" t="s">
        <v>2167</v>
      </c>
      <c r="E264" t="s">
        <v>2168</v>
      </c>
      <c r="F264" t="s">
        <v>1511</v>
      </c>
      <c r="G264" t="s">
        <v>1490</v>
      </c>
      <c r="H264" t="s">
        <v>1519</v>
      </c>
      <c r="I264" t="s">
        <v>682</v>
      </c>
      <c r="J264" t="s">
        <v>484</v>
      </c>
      <c r="K264" t="s">
        <v>29</v>
      </c>
      <c r="L264" t="s">
        <v>30</v>
      </c>
      <c r="M264">
        <v>194</v>
      </c>
      <c r="N264" t="s">
        <v>32</v>
      </c>
      <c r="O264" t="s">
        <v>32</v>
      </c>
      <c r="Q264" t="s">
        <v>32</v>
      </c>
      <c r="S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AA264" t="s">
        <v>88</v>
      </c>
      <c r="AB264" t="s">
        <v>32</v>
      </c>
      <c r="AE264" t="s">
        <v>32</v>
      </c>
      <c r="AH264" t="s">
        <v>32</v>
      </c>
      <c r="AK264" t="s">
        <v>32</v>
      </c>
      <c r="AN264" t="s">
        <v>32</v>
      </c>
      <c r="AO264" t="s">
        <v>32</v>
      </c>
      <c r="AR264">
        <v>0</v>
      </c>
      <c r="AU264" t="s">
        <v>32</v>
      </c>
      <c r="AV264">
        <v>1750905</v>
      </c>
      <c r="AW264" t="s">
        <v>32</v>
      </c>
      <c r="AX264" t="s">
        <v>32</v>
      </c>
      <c r="AY264" t="s">
        <v>317</v>
      </c>
      <c r="AZ264">
        <v>28</v>
      </c>
      <c r="BA264">
        <v>1933024</v>
      </c>
      <c r="BB264">
        <v>0.16</v>
      </c>
      <c r="BC264">
        <v>309300</v>
      </c>
      <c r="BD264" t="s">
        <v>142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309300</v>
      </c>
      <c r="BK264" t="s">
        <v>25</v>
      </c>
      <c r="BL264" t="s">
        <v>1010</v>
      </c>
      <c r="BM264">
        <v>28</v>
      </c>
      <c r="BN264">
        <v>1933024</v>
      </c>
      <c r="BO264">
        <v>0.04</v>
      </c>
      <c r="BP264">
        <v>77400</v>
      </c>
      <c r="BQ264">
        <v>0</v>
      </c>
      <c r="BR264" t="s">
        <v>1438</v>
      </c>
      <c r="BS264">
        <v>0</v>
      </c>
      <c r="BT264" t="s">
        <v>1438</v>
      </c>
      <c r="BU264">
        <v>0</v>
      </c>
      <c r="BV264" t="s">
        <v>25</v>
      </c>
      <c r="BW264" t="s">
        <v>189</v>
      </c>
      <c r="BX264">
        <v>28</v>
      </c>
      <c r="BY264">
        <v>1933024</v>
      </c>
      <c r="BZ264">
        <v>6.9599999999999995E-2</v>
      </c>
      <c r="CA264" t="s">
        <v>1439</v>
      </c>
      <c r="CB264" t="s">
        <v>312</v>
      </c>
      <c r="CC264" t="s">
        <v>1440</v>
      </c>
      <c r="CD264">
        <v>134600</v>
      </c>
      <c r="CE264">
        <v>28</v>
      </c>
      <c r="CF264" t="s">
        <v>466</v>
      </c>
      <c r="CG264">
        <v>1933025</v>
      </c>
      <c r="CH264">
        <v>0.04</v>
      </c>
      <c r="CI264">
        <v>77400</v>
      </c>
      <c r="CJ264">
        <v>1933025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 t="s">
        <v>88</v>
      </c>
      <c r="CT264" t="s">
        <v>1441</v>
      </c>
      <c r="CU264" t="s">
        <v>1442</v>
      </c>
    </row>
    <row r="265" spans="1:99">
      <c r="A265" t="s">
        <v>1431</v>
      </c>
      <c r="B265" t="s">
        <v>34</v>
      </c>
      <c r="C265" t="s">
        <v>2169</v>
      </c>
      <c r="D265" t="s">
        <v>2170</v>
      </c>
      <c r="E265" t="s">
        <v>1566</v>
      </c>
      <c r="F265" t="s">
        <v>2171</v>
      </c>
      <c r="G265" t="s">
        <v>2070</v>
      </c>
      <c r="H265" t="s">
        <v>2172</v>
      </c>
      <c r="I265" t="s">
        <v>682</v>
      </c>
      <c r="J265" t="s">
        <v>484</v>
      </c>
      <c r="K265" t="s">
        <v>29</v>
      </c>
      <c r="L265" t="s">
        <v>30</v>
      </c>
      <c r="M265">
        <v>205</v>
      </c>
      <c r="N265" t="s">
        <v>32</v>
      </c>
      <c r="O265" t="s">
        <v>32</v>
      </c>
      <c r="Q265" t="s">
        <v>32</v>
      </c>
      <c r="S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AA265" t="s">
        <v>88</v>
      </c>
      <c r="AB265" t="s">
        <v>32</v>
      </c>
      <c r="AE265" t="s">
        <v>32</v>
      </c>
      <c r="AH265" t="s">
        <v>32</v>
      </c>
      <c r="AK265" t="s">
        <v>32</v>
      </c>
      <c r="AN265" t="s">
        <v>32</v>
      </c>
      <c r="AO265" t="s">
        <v>32</v>
      </c>
      <c r="AR265">
        <v>0</v>
      </c>
      <c r="AU265" t="s">
        <v>32</v>
      </c>
      <c r="AV265">
        <v>1785595</v>
      </c>
      <c r="AW265" t="s">
        <v>32</v>
      </c>
      <c r="AX265" t="s">
        <v>32</v>
      </c>
      <c r="AY265" t="s">
        <v>356</v>
      </c>
      <c r="AZ265">
        <v>30</v>
      </c>
      <c r="BA265">
        <v>2110655</v>
      </c>
      <c r="BB265">
        <v>0.16</v>
      </c>
      <c r="BC265">
        <v>337800</v>
      </c>
      <c r="BD265" t="s">
        <v>142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337800</v>
      </c>
      <c r="BK265" t="s">
        <v>25</v>
      </c>
      <c r="BL265" t="s">
        <v>1491</v>
      </c>
      <c r="BM265">
        <v>30</v>
      </c>
      <c r="BN265">
        <v>2110655</v>
      </c>
      <c r="BO265">
        <v>0.04</v>
      </c>
      <c r="BP265">
        <v>84500</v>
      </c>
      <c r="BQ265">
        <v>0</v>
      </c>
      <c r="BR265" t="s">
        <v>1438</v>
      </c>
      <c r="BS265">
        <v>0</v>
      </c>
      <c r="BT265" t="s">
        <v>1438</v>
      </c>
      <c r="BU265">
        <v>0</v>
      </c>
      <c r="BV265" t="s">
        <v>25</v>
      </c>
      <c r="BW265" t="s">
        <v>189</v>
      </c>
      <c r="BX265">
        <v>30</v>
      </c>
      <c r="BY265">
        <v>2110655</v>
      </c>
      <c r="BZ265">
        <v>6.9599999999999995E-2</v>
      </c>
      <c r="CA265" t="s">
        <v>1439</v>
      </c>
      <c r="CB265" t="s">
        <v>312</v>
      </c>
      <c r="CC265" t="s">
        <v>1440</v>
      </c>
      <c r="CD265">
        <v>147000</v>
      </c>
      <c r="CE265">
        <v>30</v>
      </c>
      <c r="CF265" t="s">
        <v>466</v>
      </c>
      <c r="CG265">
        <v>2110655</v>
      </c>
      <c r="CH265">
        <v>0.04</v>
      </c>
      <c r="CI265">
        <v>84500</v>
      </c>
      <c r="CJ265">
        <v>2110655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 t="s">
        <v>88</v>
      </c>
      <c r="CT265" t="s">
        <v>1441</v>
      </c>
      <c r="CU265" t="s">
        <v>1442</v>
      </c>
    </row>
    <row r="266" spans="1:99">
      <c r="A266" t="s">
        <v>1431</v>
      </c>
      <c r="B266" t="s">
        <v>34</v>
      </c>
      <c r="C266" t="s">
        <v>2173</v>
      </c>
      <c r="D266" t="s">
        <v>2174</v>
      </c>
      <c r="E266" t="s">
        <v>1620</v>
      </c>
      <c r="F266" t="s">
        <v>2175</v>
      </c>
      <c r="G266" t="s">
        <v>2176</v>
      </c>
      <c r="H266" t="s">
        <v>1928</v>
      </c>
      <c r="I266" t="s">
        <v>682</v>
      </c>
      <c r="J266" t="s">
        <v>484</v>
      </c>
      <c r="K266" t="s">
        <v>29</v>
      </c>
      <c r="L266" t="s">
        <v>30</v>
      </c>
      <c r="M266">
        <v>205</v>
      </c>
      <c r="N266" t="s">
        <v>32</v>
      </c>
      <c r="O266" t="s">
        <v>32</v>
      </c>
      <c r="Q266" t="s">
        <v>32</v>
      </c>
      <c r="S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AA266" t="s">
        <v>88</v>
      </c>
      <c r="AB266" t="s">
        <v>32</v>
      </c>
      <c r="AE266" t="s">
        <v>32</v>
      </c>
      <c r="AH266" t="s">
        <v>32</v>
      </c>
      <c r="AK266" t="s">
        <v>32</v>
      </c>
      <c r="AN266" t="s">
        <v>32</v>
      </c>
      <c r="AO266" t="s">
        <v>32</v>
      </c>
      <c r="AR266">
        <v>0</v>
      </c>
      <c r="AU266" t="s">
        <v>32</v>
      </c>
      <c r="AV266">
        <v>2074908</v>
      </c>
      <c r="AW266" t="s">
        <v>32</v>
      </c>
      <c r="AX266" t="s">
        <v>32</v>
      </c>
      <c r="AY266" t="s">
        <v>317</v>
      </c>
      <c r="AZ266">
        <v>30</v>
      </c>
      <c r="BA266">
        <v>2452635</v>
      </c>
      <c r="BB266">
        <v>0.16</v>
      </c>
      <c r="BC266">
        <v>392500</v>
      </c>
      <c r="BD266" t="s">
        <v>142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392500</v>
      </c>
      <c r="BK266" t="s">
        <v>25</v>
      </c>
      <c r="BL266" t="s">
        <v>1491</v>
      </c>
      <c r="BM266">
        <v>30</v>
      </c>
      <c r="BN266">
        <v>2452635</v>
      </c>
      <c r="BO266">
        <v>0.04</v>
      </c>
      <c r="BP266">
        <v>98200</v>
      </c>
      <c r="BQ266">
        <v>0</v>
      </c>
      <c r="BR266" t="s">
        <v>1438</v>
      </c>
      <c r="BS266">
        <v>0</v>
      </c>
      <c r="BT266" t="s">
        <v>1438</v>
      </c>
      <c r="BU266">
        <v>0</v>
      </c>
      <c r="BV266" t="s">
        <v>25</v>
      </c>
      <c r="BW266" t="s">
        <v>189</v>
      </c>
      <c r="BX266">
        <v>30</v>
      </c>
      <c r="BY266">
        <v>2452635</v>
      </c>
      <c r="BZ266">
        <v>6.9599999999999995E-2</v>
      </c>
      <c r="CA266" t="s">
        <v>1439</v>
      </c>
      <c r="CB266" t="s">
        <v>312</v>
      </c>
      <c r="CC266" t="s">
        <v>1440</v>
      </c>
      <c r="CD266">
        <v>170800</v>
      </c>
      <c r="CE266">
        <v>30</v>
      </c>
      <c r="CF266" t="s">
        <v>466</v>
      </c>
      <c r="CG266">
        <v>2452635</v>
      </c>
      <c r="CH266">
        <v>0.04</v>
      </c>
      <c r="CI266">
        <v>98200</v>
      </c>
      <c r="CJ266">
        <v>2452635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 t="s">
        <v>88</v>
      </c>
      <c r="CT266" t="s">
        <v>1441</v>
      </c>
      <c r="CU266" t="s">
        <v>1442</v>
      </c>
    </row>
    <row r="267" spans="1:99">
      <c r="A267" t="s">
        <v>1431</v>
      </c>
      <c r="B267" t="s">
        <v>34</v>
      </c>
      <c r="C267" t="s">
        <v>2177</v>
      </c>
      <c r="D267" t="s">
        <v>2178</v>
      </c>
      <c r="E267" t="s">
        <v>1502</v>
      </c>
      <c r="F267" t="s">
        <v>2179</v>
      </c>
      <c r="G267" t="s">
        <v>2066</v>
      </c>
      <c r="H267" t="s">
        <v>1613</v>
      </c>
      <c r="I267" t="s">
        <v>682</v>
      </c>
      <c r="J267" t="s">
        <v>484</v>
      </c>
      <c r="K267" t="s">
        <v>29</v>
      </c>
      <c r="L267" t="s">
        <v>30</v>
      </c>
      <c r="M267">
        <v>197</v>
      </c>
      <c r="N267" t="s">
        <v>32</v>
      </c>
      <c r="O267" t="s">
        <v>32</v>
      </c>
      <c r="Q267" t="s">
        <v>40</v>
      </c>
      <c r="R267">
        <v>46055</v>
      </c>
      <c r="S267" t="s">
        <v>32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AA267" t="s">
        <v>88</v>
      </c>
      <c r="AB267" t="s">
        <v>32</v>
      </c>
      <c r="AE267" t="s">
        <v>32</v>
      </c>
      <c r="AH267" t="s">
        <v>32</v>
      </c>
      <c r="AK267" t="s">
        <v>32</v>
      </c>
      <c r="AN267" t="s">
        <v>32</v>
      </c>
      <c r="AO267" t="s">
        <v>32</v>
      </c>
      <c r="AR267">
        <v>0</v>
      </c>
      <c r="AU267" t="s">
        <v>32</v>
      </c>
      <c r="AV267">
        <v>1785595</v>
      </c>
      <c r="AW267" t="s">
        <v>32</v>
      </c>
      <c r="AX267" t="s">
        <v>32</v>
      </c>
      <c r="AY267" t="s">
        <v>317</v>
      </c>
      <c r="AZ267">
        <v>29</v>
      </c>
      <c r="BA267">
        <v>1898548</v>
      </c>
      <c r="BB267">
        <v>0.16</v>
      </c>
      <c r="BC267">
        <v>303800</v>
      </c>
      <c r="BD267" t="s">
        <v>142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303800</v>
      </c>
      <c r="BK267" t="s">
        <v>25</v>
      </c>
      <c r="BL267" t="s">
        <v>726</v>
      </c>
      <c r="BM267">
        <v>29</v>
      </c>
      <c r="BN267">
        <v>1898548</v>
      </c>
      <c r="BO267">
        <v>0.04</v>
      </c>
      <c r="BP267">
        <v>76000</v>
      </c>
      <c r="BQ267">
        <v>0</v>
      </c>
      <c r="BR267" t="s">
        <v>1438</v>
      </c>
      <c r="BS267">
        <v>0</v>
      </c>
      <c r="BT267" t="s">
        <v>1438</v>
      </c>
      <c r="BU267">
        <v>0</v>
      </c>
      <c r="BV267" t="s">
        <v>25</v>
      </c>
      <c r="BW267" t="s">
        <v>189</v>
      </c>
      <c r="BX267">
        <v>29</v>
      </c>
      <c r="BY267">
        <v>1898548</v>
      </c>
      <c r="BZ267">
        <v>6.9599999999999995E-2</v>
      </c>
      <c r="CA267" t="s">
        <v>1439</v>
      </c>
      <c r="CB267" t="s">
        <v>312</v>
      </c>
      <c r="CC267" t="s">
        <v>1440</v>
      </c>
      <c r="CD267">
        <v>132200</v>
      </c>
      <c r="CE267">
        <v>29</v>
      </c>
      <c r="CF267" t="s">
        <v>466</v>
      </c>
      <c r="CG267">
        <v>1898548</v>
      </c>
      <c r="CH267">
        <v>0.04</v>
      </c>
      <c r="CI267">
        <v>76000</v>
      </c>
      <c r="CJ267">
        <v>1898548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 t="s">
        <v>88</v>
      </c>
      <c r="CT267" t="s">
        <v>1441</v>
      </c>
      <c r="CU267" t="s">
        <v>1442</v>
      </c>
    </row>
    <row r="268" spans="1:99">
      <c r="A268" t="s">
        <v>1431</v>
      </c>
      <c r="B268" t="s">
        <v>34</v>
      </c>
      <c r="C268" t="s">
        <v>2180</v>
      </c>
      <c r="D268" t="s">
        <v>2181</v>
      </c>
      <c r="E268" t="s">
        <v>1914</v>
      </c>
      <c r="F268" t="s">
        <v>2182</v>
      </c>
      <c r="G268" t="s">
        <v>2183</v>
      </c>
      <c r="H268" t="s">
        <v>1498</v>
      </c>
      <c r="I268" t="s">
        <v>240</v>
      </c>
      <c r="J268" t="s">
        <v>46</v>
      </c>
      <c r="K268" t="s">
        <v>29</v>
      </c>
      <c r="L268" t="s">
        <v>30</v>
      </c>
      <c r="M268">
        <v>0</v>
      </c>
      <c r="N268" t="s">
        <v>32</v>
      </c>
      <c r="O268" t="s">
        <v>32</v>
      </c>
      <c r="Q268" t="s">
        <v>32</v>
      </c>
      <c r="S268" t="s">
        <v>32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AA268" t="s">
        <v>32</v>
      </c>
      <c r="AB268" t="s">
        <v>37</v>
      </c>
      <c r="AC268">
        <v>46054</v>
      </c>
      <c r="AD268">
        <v>46056</v>
      </c>
      <c r="AE268" t="s">
        <v>32</v>
      </c>
      <c r="AH268" t="s">
        <v>32</v>
      </c>
      <c r="AK268" t="s">
        <v>32</v>
      </c>
      <c r="AN268" t="s">
        <v>32</v>
      </c>
      <c r="AO268" t="s">
        <v>32</v>
      </c>
      <c r="AR268">
        <v>0</v>
      </c>
      <c r="AU268" t="s">
        <v>32</v>
      </c>
      <c r="AV268">
        <v>1785595</v>
      </c>
      <c r="AW268" t="s">
        <v>32</v>
      </c>
      <c r="AX268" t="s">
        <v>32</v>
      </c>
      <c r="AY268" t="s">
        <v>317</v>
      </c>
      <c r="AZ268">
        <v>3</v>
      </c>
      <c r="BA268">
        <v>178560</v>
      </c>
      <c r="BB268">
        <v>0.16</v>
      </c>
      <c r="BC268">
        <v>28600</v>
      </c>
      <c r="BD268" t="s">
        <v>142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28600</v>
      </c>
      <c r="BK268" t="s">
        <v>25</v>
      </c>
      <c r="BL268" t="s">
        <v>1064</v>
      </c>
      <c r="BM268">
        <v>3</v>
      </c>
      <c r="BN268">
        <v>178560</v>
      </c>
      <c r="BO268">
        <v>0</v>
      </c>
      <c r="BP268">
        <v>0</v>
      </c>
      <c r="BQ268">
        <v>0</v>
      </c>
      <c r="BR268" t="s">
        <v>1438</v>
      </c>
      <c r="BS268">
        <v>0</v>
      </c>
      <c r="BT268" t="s">
        <v>1438</v>
      </c>
      <c r="BU268">
        <v>0</v>
      </c>
      <c r="BV268" t="s">
        <v>25</v>
      </c>
      <c r="BW268" t="s">
        <v>189</v>
      </c>
      <c r="BX268">
        <v>3</v>
      </c>
      <c r="BY268">
        <v>178560</v>
      </c>
      <c r="BZ268">
        <v>0</v>
      </c>
      <c r="CA268" t="s">
        <v>1439</v>
      </c>
      <c r="CB268" t="s">
        <v>227</v>
      </c>
      <c r="CC268" t="s">
        <v>1440</v>
      </c>
      <c r="CD268">
        <v>0</v>
      </c>
      <c r="CE268">
        <v>3</v>
      </c>
      <c r="CF268" t="s">
        <v>635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 t="s">
        <v>88</v>
      </c>
      <c r="CT268" t="s">
        <v>1441</v>
      </c>
      <c r="CU268" t="s">
        <v>1442</v>
      </c>
    </row>
    <row r="269" spans="1:99">
      <c r="A269" t="s">
        <v>1431</v>
      </c>
      <c r="B269" t="s">
        <v>34</v>
      </c>
      <c r="C269" t="s">
        <v>2180</v>
      </c>
      <c r="D269" t="s">
        <v>2181</v>
      </c>
      <c r="E269" t="s">
        <v>1914</v>
      </c>
      <c r="F269" t="s">
        <v>2182</v>
      </c>
      <c r="G269" t="s">
        <v>2183</v>
      </c>
      <c r="H269" t="s">
        <v>1498</v>
      </c>
      <c r="I269" t="s">
        <v>240</v>
      </c>
      <c r="J269" t="s">
        <v>46</v>
      </c>
      <c r="K269" t="s">
        <v>29</v>
      </c>
      <c r="L269" t="s">
        <v>30</v>
      </c>
      <c r="M269">
        <v>13</v>
      </c>
      <c r="N269" t="s">
        <v>32</v>
      </c>
      <c r="O269" t="s">
        <v>32</v>
      </c>
      <c r="Q269" t="s">
        <v>32</v>
      </c>
      <c r="S269" t="s">
        <v>40</v>
      </c>
      <c r="T269">
        <v>46056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AA269" t="s">
        <v>88</v>
      </c>
      <c r="AB269" t="s">
        <v>32</v>
      </c>
      <c r="AE269" t="s">
        <v>32</v>
      </c>
      <c r="AH269" t="s">
        <v>32</v>
      </c>
      <c r="AK269" t="s">
        <v>32</v>
      </c>
      <c r="AN269" t="s">
        <v>32</v>
      </c>
      <c r="AO269" t="s">
        <v>32</v>
      </c>
      <c r="AR269">
        <v>0</v>
      </c>
      <c r="AU269" t="s">
        <v>32</v>
      </c>
      <c r="AV269">
        <v>1785595</v>
      </c>
      <c r="AW269" t="s">
        <v>32</v>
      </c>
      <c r="AX269" t="s">
        <v>32</v>
      </c>
      <c r="AY269" t="s">
        <v>317</v>
      </c>
      <c r="AZ269">
        <v>0</v>
      </c>
      <c r="BA269">
        <v>560122</v>
      </c>
      <c r="BB269">
        <v>0.16</v>
      </c>
      <c r="BC269">
        <v>89700</v>
      </c>
      <c r="BD269" t="s">
        <v>142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89700</v>
      </c>
      <c r="BK269" t="s">
        <v>25</v>
      </c>
      <c r="BL269" t="s">
        <v>1064</v>
      </c>
      <c r="BM269">
        <v>0</v>
      </c>
      <c r="BN269">
        <v>560122</v>
      </c>
      <c r="BO269">
        <v>0.04</v>
      </c>
      <c r="BP269">
        <v>22500</v>
      </c>
      <c r="BQ269">
        <v>0</v>
      </c>
      <c r="BR269" t="s">
        <v>1438</v>
      </c>
      <c r="BS269">
        <v>0</v>
      </c>
      <c r="BT269" t="s">
        <v>1438</v>
      </c>
      <c r="BU269">
        <v>0</v>
      </c>
      <c r="BV269" t="s">
        <v>25</v>
      </c>
      <c r="BW269" t="s">
        <v>189</v>
      </c>
      <c r="BX269">
        <v>0</v>
      </c>
      <c r="BY269">
        <v>560122</v>
      </c>
      <c r="BZ269">
        <v>6.9599999999999995E-2</v>
      </c>
      <c r="CA269" t="s">
        <v>1439</v>
      </c>
      <c r="CB269" t="s">
        <v>227</v>
      </c>
      <c r="CC269" t="s">
        <v>1440</v>
      </c>
      <c r="CD269">
        <v>39000</v>
      </c>
      <c r="CE269">
        <v>0</v>
      </c>
      <c r="CF269" t="s">
        <v>635</v>
      </c>
      <c r="CG269">
        <v>1159900</v>
      </c>
      <c r="CH269">
        <v>0.04</v>
      </c>
      <c r="CI269">
        <v>46400</v>
      </c>
      <c r="CJ269">
        <v>1159900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 t="s">
        <v>88</v>
      </c>
      <c r="CT269" t="s">
        <v>1441</v>
      </c>
      <c r="CU269" t="s">
        <v>1442</v>
      </c>
    </row>
    <row r="270" spans="1:99">
      <c r="A270" t="s">
        <v>1431</v>
      </c>
      <c r="B270" t="s">
        <v>34</v>
      </c>
      <c r="C270" t="s">
        <v>2184</v>
      </c>
      <c r="D270" t="s">
        <v>2185</v>
      </c>
      <c r="E270" t="s">
        <v>1900</v>
      </c>
      <c r="F270" t="s">
        <v>2186</v>
      </c>
      <c r="G270" t="s">
        <v>1859</v>
      </c>
      <c r="H270" t="s">
        <v>2046</v>
      </c>
      <c r="I270" t="s">
        <v>682</v>
      </c>
      <c r="J270" t="s">
        <v>484</v>
      </c>
      <c r="K270" t="s">
        <v>29</v>
      </c>
      <c r="L270" t="s">
        <v>30</v>
      </c>
      <c r="M270">
        <v>0</v>
      </c>
      <c r="N270" t="s">
        <v>32</v>
      </c>
      <c r="O270" t="s">
        <v>32</v>
      </c>
      <c r="Q270" t="s">
        <v>32</v>
      </c>
      <c r="S270" t="s">
        <v>32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AA270" t="s">
        <v>32</v>
      </c>
      <c r="AB270" t="s">
        <v>37</v>
      </c>
      <c r="AC270">
        <v>46055</v>
      </c>
      <c r="AD270">
        <v>46055</v>
      </c>
      <c r="AE270" t="s">
        <v>32</v>
      </c>
      <c r="AH270" t="s">
        <v>32</v>
      </c>
      <c r="AK270" t="s">
        <v>32</v>
      </c>
      <c r="AN270" t="s">
        <v>32</v>
      </c>
      <c r="AO270" t="s">
        <v>32</v>
      </c>
      <c r="AR270">
        <v>0</v>
      </c>
      <c r="AU270" t="s">
        <v>32</v>
      </c>
      <c r="AV270">
        <v>1750905</v>
      </c>
      <c r="AW270" t="s">
        <v>32</v>
      </c>
      <c r="AX270" t="s">
        <v>32</v>
      </c>
      <c r="AY270" t="s">
        <v>317</v>
      </c>
      <c r="AZ270">
        <v>1</v>
      </c>
      <c r="BA270">
        <v>58364</v>
      </c>
      <c r="BB270">
        <v>0.16</v>
      </c>
      <c r="BC270">
        <v>9400</v>
      </c>
      <c r="BD270" t="s">
        <v>142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9400</v>
      </c>
      <c r="BK270" t="s">
        <v>25</v>
      </c>
      <c r="BL270" t="s">
        <v>1071</v>
      </c>
      <c r="BM270">
        <v>1</v>
      </c>
      <c r="BN270">
        <v>58364</v>
      </c>
      <c r="BO270">
        <v>0</v>
      </c>
      <c r="BP270">
        <v>0</v>
      </c>
      <c r="BQ270">
        <v>0</v>
      </c>
      <c r="BR270" t="s">
        <v>1438</v>
      </c>
      <c r="BS270">
        <v>0</v>
      </c>
      <c r="BT270" t="s">
        <v>1438</v>
      </c>
      <c r="BU270">
        <v>0</v>
      </c>
      <c r="BV270" t="s">
        <v>25</v>
      </c>
      <c r="BW270" t="s">
        <v>189</v>
      </c>
      <c r="BX270">
        <v>1</v>
      </c>
      <c r="BY270">
        <v>58364</v>
      </c>
      <c r="BZ270">
        <v>0</v>
      </c>
      <c r="CA270" t="s">
        <v>1439</v>
      </c>
      <c r="CB270" t="s">
        <v>312</v>
      </c>
      <c r="CC270" t="s">
        <v>1440</v>
      </c>
      <c r="CD270">
        <v>0</v>
      </c>
      <c r="CE270">
        <v>1</v>
      </c>
      <c r="CF270" t="s">
        <v>466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 t="s">
        <v>88</v>
      </c>
      <c r="CT270" t="s">
        <v>1441</v>
      </c>
      <c r="CU270" t="s">
        <v>1442</v>
      </c>
    </row>
    <row r="271" spans="1:99">
      <c r="A271" t="s">
        <v>1431</v>
      </c>
      <c r="B271" t="s">
        <v>34</v>
      </c>
      <c r="C271" t="s">
        <v>2184</v>
      </c>
      <c r="D271" t="s">
        <v>2185</v>
      </c>
      <c r="E271" t="s">
        <v>1900</v>
      </c>
      <c r="F271" t="s">
        <v>2186</v>
      </c>
      <c r="G271" t="s">
        <v>1859</v>
      </c>
      <c r="H271" t="s">
        <v>2046</v>
      </c>
      <c r="I271" t="s">
        <v>682</v>
      </c>
      <c r="J271" t="s">
        <v>484</v>
      </c>
      <c r="K271" t="s">
        <v>29</v>
      </c>
      <c r="L271" t="s">
        <v>30</v>
      </c>
      <c r="M271">
        <v>0</v>
      </c>
      <c r="N271" t="s">
        <v>32</v>
      </c>
      <c r="O271" t="s">
        <v>32</v>
      </c>
      <c r="Q271" t="s">
        <v>32</v>
      </c>
      <c r="S271" t="s">
        <v>32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AA271" t="s">
        <v>32</v>
      </c>
      <c r="AB271" t="s">
        <v>37</v>
      </c>
      <c r="AC271">
        <v>46069</v>
      </c>
      <c r="AD271">
        <v>46069</v>
      </c>
      <c r="AE271" t="s">
        <v>32</v>
      </c>
      <c r="AH271" t="s">
        <v>32</v>
      </c>
      <c r="AK271" t="s">
        <v>32</v>
      </c>
      <c r="AN271" t="s">
        <v>32</v>
      </c>
      <c r="AO271" t="s">
        <v>32</v>
      </c>
      <c r="AR271">
        <v>0</v>
      </c>
      <c r="AU271" t="s">
        <v>32</v>
      </c>
      <c r="AV271">
        <v>1750905</v>
      </c>
      <c r="AW271" t="s">
        <v>32</v>
      </c>
      <c r="AX271" t="s">
        <v>32</v>
      </c>
      <c r="AY271" t="s">
        <v>317</v>
      </c>
      <c r="AZ271">
        <v>1</v>
      </c>
      <c r="BA271">
        <v>58364</v>
      </c>
      <c r="BB271">
        <v>0.16</v>
      </c>
      <c r="BC271">
        <v>9400</v>
      </c>
      <c r="BD271" t="s">
        <v>142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9400</v>
      </c>
      <c r="BK271" t="s">
        <v>25</v>
      </c>
      <c r="BL271" t="s">
        <v>1071</v>
      </c>
      <c r="BM271">
        <v>1</v>
      </c>
      <c r="BN271">
        <v>58364</v>
      </c>
      <c r="BO271">
        <v>0</v>
      </c>
      <c r="BP271">
        <v>0</v>
      </c>
      <c r="BQ271">
        <v>0</v>
      </c>
      <c r="BR271" t="s">
        <v>1438</v>
      </c>
      <c r="BS271">
        <v>0</v>
      </c>
      <c r="BT271" t="s">
        <v>1438</v>
      </c>
      <c r="BU271">
        <v>0</v>
      </c>
      <c r="BV271" t="s">
        <v>25</v>
      </c>
      <c r="BW271" t="s">
        <v>189</v>
      </c>
      <c r="BX271">
        <v>1</v>
      </c>
      <c r="BY271">
        <v>58364</v>
      </c>
      <c r="BZ271">
        <v>0</v>
      </c>
      <c r="CA271" t="s">
        <v>1439</v>
      </c>
      <c r="CB271" t="s">
        <v>312</v>
      </c>
      <c r="CC271" t="s">
        <v>1440</v>
      </c>
      <c r="CD271">
        <v>0</v>
      </c>
      <c r="CE271">
        <v>1</v>
      </c>
      <c r="CF271" t="s">
        <v>466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 t="s">
        <v>88</v>
      </c>
      <c r="CT271" t="s">
        <v>1441</v>
      </c>
      <c r="CU271" t="s">
        <v>1442</v>
      </c>
    </row>
    <row r="272" spans="1:99">
      <c r="A272" t="s">
        <v>1431</v>
      </c>
      <c r="B272" t="s">
        <v>34</v>
      </c>
      <c r="C272" t="s">
        <v>2184</v>
      </c>
      <c r="D272" t="s">
        <v>2185</v>
      </c>
      <c r="E272" t="s">
        <v>1900</v>
      </c>
      <c r="F272" t="s">
        <v>2186</v>
      </c>
      <c r="G272" t="s">
        <v>1859</v>
      </c>
      <c r="H272" t="s">
        <v>2046</v>
      </c>
      <c r="I272" t="s">
        <v>682</v>
      </c>
      <c r="J272" t="s">
        <v>484</v>
      </c>
      <c r="K272" t="s">
        <v>29</v>
      </c>
      <c r="L272" t="s">
        <v>30</v>
      </c>
      <c r="M272">
        <v>190</v>
      </c>
      <c r="N272" t="s">
        <v>32</v>
      </c>
      <c r="O272" t="s">
        <v>32</v>
      </c>
      <c r="Q272" t="s">
        <v>32</v>
      </c>
      <c r="S272" t="s">
        <v>32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AA272" t="s">
        <v>88</v>
      </c>
      <c r="AB272" t="s">
        <v>32</v>
      </c>
      <c r="AE272" t="s">
        <v>32</v>
      </c>
      <c r="AH272" t="s">
        <v>32</v>
      </c>
      <c r="AK272" t="s">
        <v>32</v>
      </c>
      <c r="AN272" t="s">
        <v>32</v>
      </c>
      <c r="AO272" t="s">
        <v>32</v>
      </c>
      <c r="AR272">
        <v>0</v>
      </c>
      <c r="AU272" t="s">
        <v>32</v>
      </c>
      <c r="AV272">
        <v>1750905</v>
      </c>
      <c r="AW272" t="s">
        <v>32</v>
      </c>
      <c r="AX272" t="s">
        <v>32</v>
      </c>
      <c r="AY272" t="s">
        <v>317</v>
      </c>
      <c r="AZ272">
        <v>28</v>
      </c>
      <c r="BA272">
        <v>1947748</v>
      </c>
      <c r="BB272">
        <v>0.16</v>
      </c>
      <c r="BC272">
        <v>311700</v>
      </c>
      <c r="BD272" t="s">
        <v>142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311700</v>
      </c>
      <c r="BK272" t="s">
        <v>25</v>
      </c>
      <c r="BL272" t="s">
        <v>1071</v>
      </c>
      <c r="BM272">
        <v>28</v>
      </c>
      <c r="BN272">
        <v>1947748</v>
      </c>
      <c r="BO272">
        <v>0.04</v>
      </c>
      <c r="BP272">
        <v>78000</v>
      </c>
      <c r="BQ272">
        <v>0</v>
      </c>
      <c r="BR272" t="s">
        <v>1438</v>
      </c>
      <c r="BS272">
        <v>0</v>
      </c>
      <c r="BT272" t="s">
        <v>1438</v>
      </c>
      <c r="BU272">
        <v>0</v>
      </c>
      <c r="BV272" t="s">
        <v>25</v>
      </c>
      <c r="BW272" t="s">
        <v>189</v>
      </c>
      <c r="BX272">
        <v>28</v>
      </c>
      <c r="BY272">
        <v>1947748</v>
      </c>
      <c r="BZ272">
        <v>6.9599999999999995E-2</v>
      </c>
      <c r="CA272" t="s">
        <v>1439</v>
      </c>
      <c r="CB272" t="s">
        <v>312</v>
      </c>
      <c r="CC272" t="s">
        <v>1440</v>
      </c>
      <c r="CD272">
        <v>135600</v>
      </c>
      <c r="CE272">
        <v>28</v>
      </c>
      <c r="CF272" t="s">
        <v>466</v>
      </c>
      <c r="CG272">
        <v>1947749</v>
      </c>
      <c r="CH272">
        <v>0.04</v>
      </c>
      <c r="CI272">
        <v>78000</v>
      </c>
      <c r="CJ272">
        <v>1947749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 t="s">
        <v>88</v>
      </c>
      <c r="CT272" t="s">
        <v>1441</v>
      </c>
      <c r="CU272" t="s">
        <v>1442</v>
      </c>
    </row>
    <row r="273" spans="1:99">
      <c r="A273" t="s">
        <v>1431</v>
      </c>
      <c r="B273" t="s">
        <v>34</v>
      </c>
      <c r="C273" t="s">
        <v>2187</v>
      </c>
      <c r="D273" t="s">
        <v>2188</v>
      </c>
      <c r="E273" t="s">
        <v>2189</v>
      </c>
      <c r="F273" t="s">
        <v>2190</v>
      </c>
      <c r="G273" t="s">
        <v>1479</v>
      </c>
      <c r="H273" t="s">
        <v>1436</v>
      </c>
      <c r="I273" t="s">
        <v>240</v>
      </c>
      <c r="J273" t="s">
        <v>46</v>
      </c>
      <c r="K273" t="s">
        <v>29</v>
      </c>
      <c r="L273" t="s">
        <v>30</v>
      </c>
      <c r="M273">
        <v>0</v>
      </c>
      <c r="N273" t="s">
        <v>32</v>
      </c>
      <c r="O273" t="s">
        <v>32</v>
      </c>
      <c r="Q273" t="s">
        <v>32</v>
      </c>
      <c r="S273" t="s">
        <v>32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AA273" t="s">
        <v>32</v>
      </c>
      <c r="AB273" t="s">
        <v>37</v>
      </c>
      <c r="AC273">
        <v>46054</v>
      </c>
      <c r="AD273">
        <v>46055</v>
      </c>
      <c r="AE273" t="s">
        <v>32</v>
      </c>
      <c r="AH273" t="s">
        <v>32</v>
      </c>
      <c r="AK273" t="s">
        <v>32</v>
      </c>
      <c r="AN273" t="s">
        <v>32</v>
      </c>
      <c r="AO273" t="s">
        <v>32</v>
      </c>
      <c r="AR273">
        <v>0</v>
      </c>
      <c r="AU273" t="s">
        <v>32</v>
      </c>
      <c r="AV273">
        <v>1750905</v>
      </c>
      <c r="AW273" t="s">
        <v>32</v>
      </c>
      <c r="AX273" t="s">
        <v>32</v>
      </c>
      <c r="AY273" t="s">
        <v>317</v>
      </c>
      <c r="AZ273">
        <v>2</v>
      </c>
      <c r="BA273">
        <v>116727</v>
      </c>
      <c r="BB273">
        <v>0.16</v>
      </c>
      <c r="BC273">
        <v>18700</v>
      </c>
      <c r="BD273" t="s">
        <v>142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18700</v>
      </c>
      <c r="BK273" t="s">
        <v>25</v>
      </c>
      <c r="BL273" t="s">
        <v>1010</v>
      </c>
      <c r="BM273">
        <v>2</v>
      </c>
      <c r="BN273">
        <v>116727</v>
      </c>
      <c r="BO273">
        <v>0</v>
      </c>
      <c r="BP273">
        <v>0</v>
      </c>
      <c r="BQ273">
        <v>0</v>
      </c>
      <c r="BR273" t="s">
        <v>1438</v>
      </c>
      <c r="BS273">
        <v>0</v>
      </c>
      <c r="BT273" t="s">
        <v>1438</v>
      </c>
      <c r="BU273">
        <v>0</v>
      </c>
      <c r="BV273" t="s">
        <v>25</v>
      </c>
      <c r="BW273" t="s">
        <v>189</v>
      </c>
      <c r="BX273">
        <v>2</v>
      </c>
      <c r="BY273">
        <v>116727</v>
      </c>
      <c r="BZ273">
        <v>0</v>
      </c>
      <c r="CA273" t="s">
        <v>1439</v>
      </c>
      <c r="CB273" t="s">
        <v>227</v>
      </c>
      <c r="CC273" t="s">
        <v>1440</v>
      </c>
      <c r="CD273">
        <v>0</v>
      </c>
      <c r="CE273">
        <v>2</v>
      </c>
      <c r="CF273" t="s">
        <v>635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 t="s">
        <v>88</v>
      </c>
      <c r="CT273" t="s">
        <v>1441</v>
      </c>
      <c r="CU273" t="s">
        <v>1442</v>
      </c>
    </row>
    <row r="274" spans="1:99">
      <c r="A274" t="s">
        <v>1431</v>
      </c>
      <c r="B274" t="s">
        <v>34</v>
      </c>
      <c r="C274" t="s">
        <v>2187</v>
      </c>
      <c r="D274" t="s">
        <v>2188</v>
      </c>
      <c r="E274" t="s">
        <v>2189</v>
      </c>
      <c r="F274" t="s">
        <v>2190</v>
      </c>
      <c r="G274" t="s">
        <v>1479</v>
      </c>
      <c r="H274" t="s">
        <v>1436</v>
      </c>
      <c r="I274" t="s">
        <v>240</v>
      </c>
      <c r="J274" t="s">
        <v>46</v>
      </c>
      <c r="K274" t="s">
        <v>29</v>
      </c>
      <c r="L274" t="s">
        <v>30</v>
      </c>
      <c r="M274">
        <v>0</v>
      </c>
      <c r="N274" t="s">
        <v>32</v>
      </c>
      <c r="O274" t="s">
        <v>32</v>
      </c>
      <c r="Q274" t="s">
        <v>32</v>
      </c>
      <c r="S274" t="s">
        <v>32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AA274" t="s">
        <v>32</v>
      </c>
      <c r="AB274" t="s">
        <v>37</v>
      </c>
      <c r="AC274">
        <v>46058</v>
      </c>
      <c r="AD274">
        <v>46060</v>
      </c>
      <c r="AE274" t="s">
        <v>32</v>
      </c>
      <c r="AH274" t="s">
        <v>32</v>
      </c>
      <c r="AK274" t="s">
        <v>32</v>
      </c>
      <c r="AN274" t="s">
        <v>32</v>
      </c>
      <c r="AO274" t="s">
        <v>32</v>
      </c>
      <c r="AR274">
        <v>0</v>
      </c>
      <c r="AU274" t="s">
        <v>32</v>
      </c>
      <c r="AV274">
        <v>1750905</v>
      </c>
      <c r="AW274" t="s">
        <v>32</v>
      </c>
      <c r="AX274" t="s">
        <v>32</v>
      </c>
      <c r="AY274" t="s">
        <v>317</v>
      </c>
      <c r="AZ274">
        <v>3</v>
      </c>
      <c r="BA274">
        <v>175091</v>
      </c>
      <c r="BB274">
        <v>0.16</v>
      </c>
      <c r="BC274">
        <v>28100</v>
      </c>
      <c r="BD274" t="s">
        <v>142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28100</v>
      </c>
      <c r="BK274" t="s">
        <v>25</v>
      </c>
      <c r="BL274" t="s">
        <v>1010</v>
      </c>
      <c r="BM274">
        <v>3</v>
      </c>
      <c r="BN274">
        <v>175091</v>
      </c>
      <c r="BO274">
        <v>0</v>
      </c>
      <c r="BP274">
        <v>0</v>
      </c>
      <c r="BQ274">
        <v>0</v>
      </c>
      <c r="BR274" t="s">
        <v>1438</v>
      </c>
      <c r="BS274">
        <v>0</v>
      </c>
      <c r="BT274" t="s">
        <v>1438</v>
      </c>
      <c r="BU274">
        <v>0</v>
      </c>
      <c r="BV274" t="s">
        <v>25</v>
      </c>
      <c r="BW274" t="s">
        <v>189</v>
      </c>
      <c r="BX274">
        <v>3</v>
      </c>
      <c r="BY274">
        <v>175091</v>
      </c>
      <c r="BZ274">
        <v>0</v>
      </c>
      <c r="CA274" t="s">
        <v>1439</v>
      </c>
      <c r="CB274" t="s">
        <v>227</v>
      </c>
      <c r="CC274" t="s">
        <v>1440</v>
      </c>
      <c r="CD274">
        <v>0</v>
      </c>
      <c r="CE274">
        <v>3</v>
      </c>
      <c r="CF274" t="s">
        <v>635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 t="s">
        <v>88</v>
      </c>
      <c r="CT274" t="s">
        <v>1441</v>
      </c>
      <c r="CU274" t="s">
        <v>1442</v>
      </c>
    </row>
    <row r="275" spans="1:99">
      <c r="A275" t="s">
        <v>1431</v>
      </c>
      <c r="B275" t="s">
        <v>34</v>
      </c>
      <c r="C275" t="s">
        <v>2187</v>
      </c>
      <c r="D275" t="s">
        <v>2188</v>
      </c>
      <c r="E275" t="s">
        <v>2189</v>
      </c>
      <c r="F275" t="s">
        <v>2190</v>
      </c>
      <c r="G275" t="s">
        <v>1479</v>
      </c>
      <c r="H275" t="s">
        <v>1436</v>
      </c>
      <c r="I275" t="s">
        <v>240</v>
      </c>
      <c r="J275" t="s">
        <v>46</v>
      </c>
      <c r="K275" t="s">
        <v>29</v>
      </c>
      <c r="L275" t="s">
        <v>30</v>
      </c>
      <c r="M275">
        <v>35</v>
      </c>
      <c r="N275" t="s">
        <v>32</v>
      </c>
      <c r="O275" t="s">
        <v>32</v>
      </c>
      <c r="Q275" t="s">
        <v>32</v>
      </c>
      <c r="S275" t="s">
        <v>40</v>
      </c>
      <c r="T275">
        <v>46060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AA275" t="s">
        <v>88</v>
      </c>
      <c r="AB275" t="s">
        <v>32</v>
      </c>
      <c r="AE275" t="s">
        <v>32</v>
      </c>
      <c r="AH275" t="s">
        <v>32</v>
      </c>
      <c r="AK275" t="s">
        <v>32</v>
      </c>
      <c r="AN275" t="s">
        <v>32</v>
      </c>
      <c r="AO275" t="s">
        <v>32</v>
      </c>
      <c r="AR275">
        <v>0</v>
      </c>
      <c r="AU275" t="s">
        <v>32</v>
      </c>
      <c r="AV275">
        <v>1750905</v>
      </c>
      <c r="AW275" t="s">
        <v>32</v>
      </c>
      <c r="AX275" t="s">
        <v>32</v>
      </c>
      <c r="AY275" t="s">
        <v>317</v>
      </c>
      <c r="AZ275">
        <v>2</v>
      </c>
      <c r="BA275">
        <v>635725</v>
      </c>
      <c r="BB275">
        <v>0.16</v>
      </c>
      <c r="BC275">
        <v>101800</v>
      </c>
      <c r="BD275" t="s">
        <v>142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101800</v>
      </c>
      <c r="BK275" t="s">
        <v>25</v>
      </c>
      <c r="BL275" t="s">
        <v>1010</v>
      </c>
      <c r="BM275">
        <v>2</v>
      </c>
      <c r="BN275">
        <v>635725</v>
      </c>
      <c r="BO275">
        <v>0.04</v>
      </c>
      <c r="BP275">
        <v>25500</v>
      </c>
      <c r="BQ275">
        <v>0</v>
      </c>
      <c r="BR275" t="s">
        <v>1438</v>
      </c>
      <c r="BS275">
        <v>0</v>
      </c>
      <c r="BT275" t="s">
        <v>1438</v>
      </c>
      <c r="BU275">
        <v>0</v>
      </c>
      <c r="BV275" t="s">
        <v>25</v>
      </c>
      <c r="BW275" t="s">
        <v>189</v>
      </c>
      <c r="BX275">
        <v>2</v>
      </c>
      <c r="BY275">
        <v>635725</v>
      </c>
      <c r="BZ275">
        <v>6.9599999999999995E-2</v>
      </c>
      <c r="CA275" t="s">
        <v>1439</v>
      </c>
      <c r="CB275" t="s">
        <v>227</v>
      </c>
      <c r="CC275" t="s">
        <v>1440</v>
      </c>
      <c r="CD275">
        <v>44300</v>
      </c>
      <c r="CE275">
        <v>2</v>
      </c>
      <c r="CF275" t="s">
        <v>635</v>
      </c>
      <c r="CG275">
        <v>1052570</v>
      </c>
      <c r="CH275">
        <v>0.04</v>
      </c>
      <c r="CI275">
        <v>42200</v>
      </c>
      <c r="CJ275">
        <v>1052570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 t="s">
        <v>88</v>
      </c>
      <c r="CT275" t="s">
        <v>1441</v>
      </c>
      <c r="CU275" t="s">
        <v>1442</v>
      </c>
    </row>
    <row r="276" spans="1:99">
      <c r="A276" t="s">
        <v>1431</v>
      </c>
      <c r="B276" t="s">
        <v>34</v>
      </c>
      <c r="C276" t="s">
        <v>2191</v>
      </c>
      <c r="D276" t="s">
        <v>2192</v>
      </c>
      <c r="E276" t="s">
        <v>1818</v>
      </c>
      <c r="F276" t="s">
        <v>2193</v>
      </c>
      <c r="G276" t="s">
        <v>2194</v>
      </c>
      <c r="H276" t="s">
        <v>2046</v>
      </c>
      <c r="I276" t="s">
        <v>682</v>
      </c>
      <c r="J276" t="s">
        <v>484</v>
      </c>
      <c r="K276" t="s">
        <v>29</v>
      </c>
      <c r="L276" t="s">
        <v>30</v>
      </c>
      <c r="M276">
        <v>0</v>
      </c>
      <c r="N276" t="s">
        <v>32</v>
      </c>
      <c r="O276" t="s">
        <v>32</v>
      </c>
      <c r="Q276" t="s">
        <v>32</v>
      </c>
      <c r="S276" t="s">
        <v>32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AA276" t="s">
        <v>32</v>
      </c>
      <c r="AB276" t="s">
        <v>37</v>
      </c>
      <c r="AC276">
        <v>46054</v>
      </c>
      <c r="AD276">
        <v>46054</v>
      </c>
      <c r="AE276" t="s">
        <v>32</v>
      </c>
      <c r="AH276" t="s">
        <v>32</v>
      </c>
      <c r="AK276" t="s">
        <v>32</v>
      </c>
      <c r="AN276" t="s">
        <v>32</v>
      </c>
      <c r="AO276" t="s">
        <v>32</v>
      </c>
      <c r="AR276">
        <v>0</v>
      </c>
      <c r="AU276" t="s">
        <v>32</v>
      </c>
      <c r="AV276">
        <v>1750905</v>
      </c>
      <c r="AW276" t="s">
        <v>32</v>
      </c>
      <c r="AX276" t="s">
        <v>32</v>
      </c>
      <c r="AY276" t="s">
        <v>317</v>
      </c>
      <c r="AZ276">
        <v>1</v>
      </c>
      <c r="BA276">
        <v>58364</v>
      </c>
      <c r="BB276">
        <v>0.16</v>
      </c>
      <c r="BC276">
        <v>9400</v>
      </c>
      <c r="BD276" t="s">
        <v>142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9400</v>
      </c>
      <c r="BK276" t="s">
        <v>25</v>
      </c>
      <c r="BL276" t="s">
        <v>1010</v>
      </c>
      <c r="BM276">
        <v>1</v>
      </c>
      <c r="BN276">
        <v>58364</v>
      </c>
      <c r="BO276">
        <v>0</v>
      </c>
      <c r="BP276">
        <v>0</v>
      </c>
      <c r="BQ276">
        <v>0</v>
      </c>
      <c r="BR276" t="s">
        <v>1438</v>
      </c>
      <c r="BS276">
        <v>0</v>
      </c>
      <c r="BT276" t="s">
        <v>1438</v>
      </c>
      <c r="BU276">
        <v>0</v>
      </c>
      <c r="BV276" t="s">
        <v>25</v>
      </c>
      <c r="BW276" t="s">
        <v>189</v>
      </c>
      <c r="BX276">
        <v>1</v>
      </c>
      <c r="BY276">
        <v>58364</v>
      </c>
      <c r="BZ276">
        <v>0</v>
      </c>
      <c r="CA276" t="s">
        <v>1439</v>
      </c>
      <c r="CB276" t="s">
        <v>312</v>
      </c>
      <c r="CC276" t="s">
        <v>1440</v>
      </c>
      <c r="CD276">
        <v>0</v>
      </c>
      <c r="CE276">
        <v>1</v>
      </c>
      <c r="CF276" t="s">
        <v>466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 t="s">
        <v>88</v>
      </c>
      <c r="CT276" t="s">
        <v>1441</v>
      </c>
      <c r="CU276" t="s">
        <v>1442</v>
      </c>
    </row>
    <row r="277" spans="1:99">
      <c r="A277" t="s">
        <v>1431</v>
      </c>
      <c r="B277" t="s">
        <v>34</v>
      </c>
      <c r="C277" t="s">
        <v>2191</v>
      </c>
      <c r="D277" t="s">
        <v>2192</v>
      </c>
      <c r="E277" t="s">
        <v>1818</v>
      </c>
      <c r="F277" t="s">
        <v>2193</v>
      </c>
      <c r="G277" t="s">
        <v>2194</v>
      </c>
      <c r="H277" t="s">
        <v>2046</v>
      </c>
      <c r="I277" t="s">
        <v>682</v>
      </c>
      <c r="J277" t="s">
        <v>484</v>
      </c>
      <c r="K277" t="s">
        <v>29</v>
      </c>
      <c r="L277" t="s">
        <v>30</v>
      </c>
      <c r="M277">
        <v>204</v>
      </c>
      <c r="N277" t="s">
        <v>32</v>
      </c>
      <c r="O277" t="s">
        <v>32</v>
      </c>
      <c r="Q277" t="s">
        <v>32</v>
      </c>
      <c r="S277" t="s">
        <v>32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AA277" t="s">
        <v>88</v>
      </c>
      <c r="AB277" t="s">
        <v>32</v>
      </c>
      <c r="AE277" t="s">
        <v>32</v>
      </c>
      <c r="AH277" t="s">
        <v>32</v>
      </c>
      <c r="AK277" t="s">
        <v>32</v>
      </c>
      <c r="AN277" t="s">
        <v>32</v>
      </c>
      <c r="AO277" t="s">
        <v>32</v>
      </c>
      <c r="AR277">
        <v>0</v>
      </c>
      <c r="AU277" t="s">
        <v>32</v>
      </c>
      <c r="AV277">
        <v>1750905</v>
      </c>
      <c r="AW277" t="s">
        <v>32</v>
      </c>
      <c r="AX277" t="s">
        <v>32</v>
      </c>
      <c r="AY277" t="s">
        <v>317</v>
      </c>
      <c r="AZ277">
        <v>29</v>
      </c>
      <c r="BA277">
        <v>2001338</v>
      </c>
      <c r="BB277">
        <v>0.16</v>
      </c>
      <c r="BC277">
        <v>320300</v>
      </c>
      <c r="BD277" t="s">
        <v>142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320300</v>
      </c>
      <c r="BK277" t="s">
        <v>25</v>
      </c>
      <c r="BL277" t="s">
        <v>1010</v>
      </c>
      <c r="BM277">
        <v>29</v>
      </c>
      <c r="BN277">
        <v>2001338</v>
      </c>
      <c r="BO277">
        <v>0.04</v>
      </c>
      <c r="BP277">
        <v>80100</v>
      </c>
      <c r="BQ277">
        <v>0</v>
      </c>
      <c r="BR277" t="s">
        <v>1438</v>
      </c>
      <c r="BS277">
        <v>0</v>
      </c>
      <c r="BT277" t="s">
        <v>1438</v>
      </c>
      <c r="BU277">
        <v>0</v>
      </c>
      <c r="BV277" t="s">
        <v>25</v>
      </c>
      <c r="BW277" t="s">
        <v>189</v>
      </c>
      <c r="BX277">
        <v>29</v>
      </c>
      <c r="BY277">
        <v>2001338</v>
      </c>
      <c r="BZ277">
        <v>6.9599999999999995E-2</v>
      </c>
      <c r="CA277" t="s">
        <v>1439</v>
      </c>
      <c r="CB277" t="s">
        <v>312</v>
      </c>
      <c r="CC277" t="s">
        <v>1440</v>
      </c>
      <c r="CD277">
        <v>139300</v>
      </c>
      <c r="CE277">
        <v>29</v>
      </c>
      <c r="CF277" t="s">
        <v>466</v>
      </c>
      <c r="CG277">
        <v>2001338</v>
      </c>
      <c r="CH277">
        <v>0.04</v>
      </c>
      <c r="CI277">
        <v>80100</v>
      </c>
      <c r="CJ277">
        <v>2001338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 t="s">
        <v>88</v>
      </c>
      <c r="CT277" t="s">
        <v>1441</v>
      </c>
      <c r="CU277" t="s">
        <v>1442</v>
      </c>
    </row>
    <row r="278" spans="1:99">
      <c r="A278" t="s">
        <v>1431</v>
      </c>
      <c r="B278" t="s">
        <v>34</v>
      </c>
      <c r="C278" t="s">
        <v>2195</v>
      </c>
      <c r="D278" t="s">
        <v>2196</v>
      </c>
      <c r="E278" t="s">
        <v>2168</v>
      </c>
      <c r="F278" t="s">
        <v>2197</v>
      </c>
      <c r="G278" t="s">
        <v>2198</v>
      </c>
      <c r="H278" t="s">
        <v>2199</v>
      </c>
      <c r="I278" t="s">
        <v>682</v>
      </c>
      <c r="J278" t="s">
        <v>484</v>
      </c>
      <c r="K278" t="s">
        <v>29</v>
      </c>
      <c r="L278" t="s">
        <v>30</v>
      </c>
      <c r="M278">
        <v>201</v>
      </c>
      <c r="N278" t="s">
        <v>32</v>
      </c>
      <c r="O278" t="s">
        <v>32</v>
      </c>
      <c r="Q278" t="s">
        <v>32</v>
      </c>
      <c r="S278" t="s">
        <v>32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AA278" t="s">
        <v>88</v>
      </c>
      <c r="AB278" t="s">
        <v>32</v>
      </c>
      <c r="AE278" t="s">
        <v>32</v>
      </c>
      <c r="AH278" t="s">
        <v>32</v>
      </c>
      <c r="AK278" t="s">
        <v>32</v>
      </c>
      <c r="AN278" t="s">
        <v>32</v>
      </c>
      <c r="AO278" t="s">
        <v>32</v>
      </c>
      <c r="AR278">
        <v>0</v>
      </c>
      <c r="AU278" t="s">
        <v>32</v>
      </c>
      <c r="AV278">
        <v>2074908</v>
      </c>
      <c r="AW278" t="s">
        <v>32</v>
      </c>
      <c r="AX278" t="s">
        <v>32</v>
      </c>
      <c r="AY278" t="s">
        <v>356</v>
      </c>
      <c r="AZ278">
        <v>30</v>
      </c>
      <c r="BA278">
        <v>2363980</v>
      </c>
      <c r="BB278">
        <v>0.16</v>
      </c>
      <c r="BC278">
        <v>378300</v>
      </c>
      <c r="BD278" t="s">
        <v>142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378300</v>
      </c>
      <c r="BK278" t="s">
        <v>25</v>
      </c>
      <c r="BL278" t="s">
        <v>1010</v>
      </c>
      <c r="BM278">
        <v>30</v>
      </c>
      <c r="BN278">
        <v>2363980</v>
      </c>
      <c r="BO278">
        <v>0.04</v>
      </c>
      <c r="BP278">
        <v>94600</v>
      </c>
      <c r="BQ278">
        <v>0</v>
      </c>
      <c r="BR278" t="s">
        <v>1438</v>
      </c>
      <c r="BS278">
        <v>0</v>
      </c>
      <c r="BT278" t="s">
        <v>1438</v>
      </c>
      <c r="BU278">
        <v>0</v>
      </c>
      <c r="BV278" t="s">
        <v>25</v>
      </c>
      <c r="BW278" t="s">
        <v>189</v>
      </c>
      <c r="BX278">
        <v>30</v>
      </c>
      <c r="BY278">
        <v>2363980</v>
      </c>
      <c r="BZ278">
        <v>6.9599999999999995E-2</v>
      </c>
      <c r="CA278" t="s">
        <v>1439</v>
      </c>
      <c r="CB278" t="s">
        <v>312</v>
      </c>
      <c r="CC278" t="s">
        <v>1440</v>
      </c>
      <c r="CD278">
        <v>164600</v>
      </c>
      <c r="CE278">
        <v>30</v>
      </c>
      <c r="CF278" t="s">
        <v>466</v>
      </c>
      <c r="CG278">
        <v>2363980</v>
      </c>
      <c r="CH278">
        <v>0.04</v>
      </c>
      <c r="CI278">
        <v>94600</v>
      </c>
      <c r="CJ278">
        <v>2363980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 t="s">
        <v>88</v>
      </c>
      <c r="CT278" t="s">
        <v>1441</v>
      </c>
      <c r="CU278" t="s">
        <v>1442</v>
      </c>
    </row>
    <row r="279" spans="1:99">
      <c r="A279" t="s">
        <v>1431</v>
      </c>
      <c r="B279" t="s">
        <v>34</v>
      </c>
      <c r="C279" t="s">
        <v>2200</v>
      </c>
      <c r="D279" t="s">
        <v>2201</v>
      </c>
      <c r="E279" t="s">
        <v>2080</v>
      </c>
      <c r="F279" t="s">
        <v>2202</v>
      </c>
      <c r="G279" t="s">
        <v>1479</v>
      </c>
      <c r="H279" t="s">
        <v>1706</v>
      </c>
      <c r="I279" t="s">
        <v>682</v>
      </c>
      <c r="J279" t="s">
        <v>484</v>
      </c>
      <c r="K279" t="s">
        <v>29</v>
      </c>
      <c r="L279" t="s">
        <v>30</v>
      </c>
      <c r="M279">
        <v>0</v>
      </c>
      <c r="N279" t="s">
        <v>32</v>
      </c>
      <c r="O279" t="s">
        <v>32</v>
      </c>
      <c r="Q279" t="s">
        <v>32</v>
      </c>
      <c r="S279" t="s">
        <v>32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AA279" t="s">
        <v>32</v>
      </c>
      <c r="AB279" t="s">
        <v>37</v>
      </c>
      <c r="AC279">
        <v>46054</v>
      </c>
      <c r="AD279">
        <v>46054</v>
      </c>
      <c r="AE279" t="s">
        <v>32</v>
      </c>
      <c r="AH279" t="s">
        <v>32</v>
      </c>
      <c r="AK279" t="s">
        <v>32</v>
      </c>
      <c r="AN279" t="s">
        <v>32</v>
      </c>
      <c r="AO279" t="s">
        <v>32</v>
      </c>
      <c r="AR279">
        <v>0</v>
      </c>
      <c r="AU279" t="s">
        <v>32</v>
      </c>
      <c r="AV279">
        <v>1750905</v>
      </c>
      <c r="AW279" t="s">
        <v>32</v>
      </c>
      <c r="AX279" t="s">
        <v>32</v>
      </c>
      <c r="AY279" t="s">
        <v>185</v>
      </c>
      <c r="AZ279">
        <v>1</v>
      </c>
      <c r="BA279">
        <v>58364</v>
      </c>
      <c r="BB279">
        <v>0.16</v>
      </c>
      <c r="BC279">
        <v>9400</v>
      </c>
      <c r="BD279" t="s">
        <v>142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9400</v>
      </c>
      <c r="BK279" t="s">
        <v>25</v>
      </c>
      <c r="BL279" t="s">
        <v>1010</v>
      </c>
      <c r="BM279">
        <v>1</v>
      </c>
      <c r="BN279">
        <v>58364</v>
      </c>
      <c r="BO279">
        <v>0</v>
      </c>
      <c r="BP279">
        <v>0</v>
      </c>
      <c r="BQ279">
        <v>0</v>
      </c>
      <c r="BR279" t="s">
        <v>1438</v>
      </c>
      <c r="BS279">
        <v>0</v>
      </c>
      <c r="BT279" t="s">
        <v>1438</v>
      </c>
      <c r="BU279">
        <v>0</v>
      </c>
      <c r="BV279" t="s">
        <v>25</v>
      </c>
      <c r="BW279" t="s">
        <v>189</v>
      </c>
      <c r="BX279">
        <v>1</v>
      </c>
      <c r="BY279">
        <v>58364</v>
      </c>
      <c r="BZ279">
        <v>0</v>
      </c>
      <c r="CA279" t="s">
        <v>1439</v>
      </c>
      <c r="CB279" t="s">
        <v>312</v>
      </c>
      <c r="CC279" t="s">
        <v>1440</v>
      </c>
      <c r="CD279">
        <v>0</v>
      </c>
      <c r="CE279">
        <v>1</v>
      </c>
      <c r="CF279" t="s">
        <v>466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 t="s">
        <v>88</v>
      </c>
      <c r="CT279" t="s">
        <v>1441</v>
      </c>
      <c r="CU279" t="s">
        <v>1442</v>
      </c>
    </row>
    <row r="280" spans="1:99">
      <c r="A280" t="s">
        <v>1431</v>
      </c>
      <c r="B280" t="s">
        <v>34</v>
      </c>
      <c r="C280" t="s">
        <v>2200</v>
      </c>
      <c r="D280" t="s">
        <v>2201</v>
      </c>
      <c r="E280" t="s">
        <v>2080</v>
      </c>
      <c r="F280" t="s">
        <v>2202</v>
      </c>
      <c r="G280" t="s">
        <v>1479</v>
      </c>
      <c r="H280" t="s">
        <v>1706</v>
      </c>
      <c r="I280" t="s">
        <v>682</v>
      </c>
      <c r="J280" t="s">
        <v>484</v>
      </c>
      <c r="K280" t="s">
        <v>29</v>
      </c>
      <c r="L280" t="s">
        <v>30</v>
      </c>
      <c r="M280">
        <v>214</v>
      </c>
      <c r="N280" t="s">
        <v>32</v>
      </c>
      <c r="O280" t="s">
        <v>32</v>
      </c>
      <c r="Q280" t="s">
        <v>32</v>
      </c>
      <c r="S280" t="s">
        <v>32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AA280" t="s">
        <v>88</v>
      </c>
      <c r="AB280" t="s">
        <v>32</v>
      </c>
      <c r="AE280" t="s">
        <v>32</v>
      </c>
      <c r="AH280" t="s">
        <v>32</v>
      </c>
      <c r="AK280" t="s">
        <v>32</v>
      </c>
      <c r="AN280" t="s">
        <v>32</v>
      </c>
      <c r="AO280" t="s">
        <v>32</v>
      </c>
      <c r="AR280">
        <v>0</v>
      </c>
      <c r="AU280" t="s">
        <v>32</v>
      </c>
      <c r="AV280">
        <v>1750905</v>
      </c>
      <c r="AW280" t="s">
        <v>32</v>
      </c>
      <c r="AX280" t="s">
        <v>32</v>
      </c>
      <c r="AY280" t="s">
        <v>185</v>
      </c>
      <c r="AZ280">
        <v>29</v>
      </c>
      <c r="BA280">
        <v>2095847</v>
      </c>
      <c r="BB280">
        <v>0.16</v>
      </c>
      <c r="BC280">
        <v>335400</v>
      </c>
      <c r="BD280" t="s">
        <v>142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335400</v>
      </c>
      <c r="BK280" t="s">
        <v>25</v>
      </c>
      <c r="BL280" t="s">
        <v>1010</v>
      </c>
      <c r="BM280">
        <v>29</v>
      </c>
      <c r="BN280">
        <v>2095847</v>
      </c>
      <c r="BO280">
        <v>0.04</v>
      </c>
      <c r="BP280">
        <v>83900</v>
      </c>
      <c r="BQ280">
        <v>0</v>
      </c>
      <c r="BR280" t="s">
        <v>1438</v>
      </c>
      <c r="BS280">
        <v>0</v>
      </c>
      <c r="BT280" t="s">
        <v>1438</v>
      </c>
      <c r="BU280">
        <v>0</v>
      </c>
      <c r="BV280" t="s">
        <v>25</v>
      </c>
      <c r="BW280" t="s">
        <v>189</v>
      </c>
      <c r="BX280">
        <v>29</v>
      </c>
      <c r="BY280">
        <v>2095847</v>
      </c>
      <c r="BZ280">
        <v>6.9599999999999995E-2</v>
      </c>
      <c r="CA280" t="s">
        <v>1439</v>
      </c>
      <c r="CB280" t="s">
        <v>312</v>
      </c>
      <c r="CC280" t="s">
        <v>1440</v>
      </c>
      <c r="CD280">
        <v>145900</v>
      </c>
      <c r="CE280">
        <v>29</v>
      </c>
      <c r="CF280" t="s">
        <v>466</v>
      </c>
      <c r="CG280">
        <v>2095847</v>
      </c>
      <c r="CH280">
        <v>0.04</v>
      </c>
      <c r="CI280">
        <v>83900</v>
      </c>
      <c r="CJ280">
        <v>2095847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 t="s">
        <v>88</v>
      </c>
      <c r="CT280" t="s">
        <v>1441</v>
      </c>
      <c r="CU280" t="s">
        <v>1442</v>
      </c>
    </row>
    <row r="281" spans="1:99">
      <c r="A281" t="s">
        <v>1431</v>
      </c>
      <c r="B281" t="s">
        <v>34</v>
      </c>
      <c r="C281" t="s">
        <v>2203</v>
      </c>
      <c r="D281" t="s">
        <v>2204</v>
      </c>
      <c r="E281" t="s">
        <v>2080</v>
      </c>
      <c r="F281" t="s">
        <v>2205</v>
      </c>
      <c r="G281" t="s">
        <v>1436</v>
      </c>
      <c r="H281" t="s">
        <v>1543</v>
      </c>
      <c r="I281" t="s">
        <v>682</v>
      </c>
      <c r="J281" t="s">
        <v>484</v>
      </c>
      <c r="K281" t="s">
        <v>29</v>
      </c>
      <c r="L281" t="s">
        <v>30</v>
      </c>
      <c r="M281">
        <v>0</v>
      </c>
      <c r="N281" t="s">
        <v>32</v>
      </c>
      <c r="O281" t="s">
        <v>32</v>
      </c>
      <c r="Q281" t="s">
        <v>32</v>
      </c>
      <c r="S281" t="s">
        <v>32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AA281" t="s">
        <v>32</v>
      </c>
      <c r="AB281" t="s">
        <v>32</v>
      </c>
      <c r="AE281" t="s">
        <v>1492</v>
      </c>
      <c r="AF281">
        <v>46069</v>
      </c>
      <c r="AG281">
        <v>46069</v>
      </c>
      <c r="AH281" t="s">
        <v>32</v>
      </c>
      <c r="AK281" t="s">
        <v>32</v>
      </c>
      <c r="AN281" t="s">
        <v>32</v>
      </c>
      <c r="AO281" t="s">
        <v>32</v>
      </c>
      <c r="AR281">
        <v>0</v>
      </c>
      <c r="AU281" t="s">
        <v>32</v>
      </c>
      <c r="AV281">
        <v>1750905</v>
      </c>
      <c r="AW281" t="s">
        <v>32</v>
      </c>
      <c r="AX281" t="s">
        <v>32</v>
      </c>
      <c r="AY281" t="s">
        <v>317</v>
      </c>
      <c r="AZ281">
        <v>1</v>
      </c>
      <c r="BA281">
        <v>67629</v>
      </c>
      <c r="BB281">
        <v>0.16</v>
      </c>
      <c r="BC281">
        <v>10900</v>
      </c>
      <c r="BD281" t="s">
        <v>142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10900</v>
      </c>
      <c r="BK281" t="s">
        <v>25</v>
      </c>
      <c r="BL281" t="s">
        <v>748</v>
      </c>
      <c r="BM281">
        <v>1</v>
      </c>
      <c r="BN281">
        <v>67629</v>
      </c>
      <c r="BO281">
        <v>0.04</v>
      </c>
      <c r="BP281">
        <v>2800</v>
      </c>
      <c r="BQ281">
        <v>0</v>
      </c>
      <c r="BR281" t="s">
        <v>1438</v>
      </c>
      <c r="BS281">
        <v>0</v>
      </c>
      <c r="BT281" t="s">
        <v>1438</v>
      </c>
      <c r="BU281">
        <v>0</v>
      </c>
      <c r="BV281" t="s">
        <v>25</v>
      </c>
      <c r="BW281" t="s">
        <v>189</v>
      </c>
      <c r="BX281">
        <v>1</v>
      </c>
      <c r="BY281">
        <v>67629</v>
      </c>
      <c r="BZ281">
        <v>0</v>
      </c>
      <c r="CA281" t="s">
        <v>1439</v>
      </c>
      <c r="CB281" t="s">
        <v>312</v>
      </c>
      <c r="CC281" t="s">
        <v>1440</v>
      </c>
      <c r="CD281">
        <v>0</v>
      </c>
      <c r="CE281">
        <v>1</v>
      </c>
      <c r="CF281" t="s">
        <v>466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 t="s">
        <v>88</v>
      </c>
      <c r="CT281" t="s">
        <v>1441</v>
      </c>
      <c r="CU281" t="s">
        <v>1442</v>
      </c>
    </row>
    <row r="282" spans="1:99">
      <c r="A282" t="s">
        <v>1431</v>
      </c>
      <c r="B282" t="s">
        <v>34</v>
      </c>
      <c r="C282" t="s">
        <v>2203</v>
      </c>
      <c r="D282" t="s">
        <v>2204</v>
      </c>
      <c r="E282" t="s">
        <v>2080</v>
      </c>
      <c r="F282" t="s">
        <v>2205</v>
      </c>
      <c r="G282" t="s">
        <v>1436</v>
      </c>
      <c r="H282" t="s">
        <v>1543</v>
      </c>
      <c r="I282" t="s">
        <v>682</v>
      </c>
      <c r="J282" t="s">
        <v>484</v>
      </c>
      <c r="K282" t="s">
        <v>29</v>
      </c>
      <c r="L282" t="s">
        <v>30</v>
      </c>
      <c r="M282">
        <v>195</v>
      </c>
      <c r="N282" t="s">
        <v>32</v>
      </c>
      <c r="O282" t="s">
        <v>32</v>
      </c>
      <c r="Q282" t="s">
        <v>32</v>
      </c>
      <c r="S282" t="s">
        <v>32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AA282" t="s">
        <v>88</v>
      </c>
      <c r="AB282" t="s">
        <v>32</v>
      </c>
      <c r="AE282" t="s">
        <v>32</v>
      </c>
      <c r="AH282" t="s">
        <v>32</v>
      </c>
      <c r="AK282" t="s">
        <v>32</v>
      </c>
      <c r="AN282" t="s">
        <v>32</v>
      </c>
      <c r="AO282" t="s">
        <v>32</v>
      </c>
      <c r="AR282">
        <v>0</v>
      </c>
      <c r="AU282" t="s">
        <v>32</v>
      </c>
      <c r="AV282">
        <v>1750905</v>
      </c>
      <c r="AW282" t="s">
        <v>32</v>
      </c>
      <c r="AX282" t="s">
        <v>32</v>
      </c>
      <c r="AY282" t="s">
        <v>317</v>
      </c>
      <c r="AZ282">
        <v>29</v>
      </c>
      <c r="BA282">
        <v>2001338</v>
      </c>
      <c r="BB282">
        <v>0.16</v>
      </c>
      <c r="BC282">
        <v>320300</v>
      </c>
      <c r="BD282" t="s">
        <v>142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320300</v>
      </c>
      <c r="BK282" t="s">
        <v>25</v>
      </c>
      <c r="BL282" t="s">
        <v>748</v>
      </c>
      <c r="BM282">
        <v>29</v>
      </c>
      <c r="BN282">
        <v>2001338</v>
      </c>
      <c r="BO282">
        <v>0.04</v>
      </c>
      <c r="BP282">
        <v>80100</v>
      </c>
      <c r="BQ282">
        <v>0</v>
      </c>
      <c r="BR282" t="s">
        <v>1438</v>
      </c>
      <c r="BS282">
        <v>0</v>
      </c>
      <c r="BT282" t="s">
        <v>1438</v>
      </c>
      <c r="BU282">
        <v>0</v>
      </c>
      <c r="BV282" t="s">
        <v>25</v>
      </c>
      <c r="BW282" t="s">
        <v>189</v>
      </c>
      <c r="BX282">
        <v>29</v>
      </c>
      <c r="BY282">
        <v>2001338</v>
      </c>
      <c r="BZ282">
        <v>6.9599999999999995E-2</v>
      </c>
      <c r="CA282" t="s">
        <v>1439</v>
      </c>
      <c r="CB282" t="s">
        <v>312</v>
      </c>
      <c r="CC282" t="s">
        <v>1440</v>
      </c>
      <c r="CD282">
        <v>139300</v>
      </c>
      <c r="CE282">
        <v>29</v>
      </c>
      <c r="CF282" t="s">
        <v>466</v>
      </c>
      <c r="CG282">
        <v>2001338</v>
      </c>
      <c r="CH282">
        <v>0.04</v>
      </c>
      <c r="CI282">
        <v>80100</v>
      </c>
      <c r="CJ282">
        <v>2001338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 t="s">
        <v>88</v>
      </c>
      <c r="CT282" t="s">
        <v>1441</v>
      </c>
      <c r="CU282" t="s">
        <v>1442</v>
      </c>
    </row>
    <row r="283" spans="1:99">
      <c r="A283" t="s">
        <v>1431</v>
      </c>
      <c r="B283" t="s">
        <v>34</v>
      </c>
      <c r="C283" t="s">
        <v>2206</v>
      </c>
      <c r="D283" t="s">
        <v>2207</v>
      </c>
      <c r="E283" t="s">
        <v>2208</v>
      </c>
      <c r="F283" t="s">
        <v>1540</v>
      </c>
      <c r="G283" t="s">
        <v>1478</v>
      </c>
      <c r="H283" t="s">
        <v>1519</v>
      </c>
      <c r="I283" t="s">
        <v>682</v>
      </c>
      <c r="J283" t="s">
        <v>484</v>
      </c>
      <c r="K283" t="s">
        <v>29</v>
      </c>
      <c r="L283" t="s">
        <v>30</v>
      </c>
      <c r="M283">
        <v>0</v>
      </c>
      <c r="N283" t="s">
        <v>32</v>
      </c>
      <c r="O283" t="s">
        <v>32</v>
      </c>
      <c r="Q283" t="s">
        <v>32</v>
      </c>
      <c r="S283" t="s">
        <v>32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AA283" t="s">
        <v>32</v>
      </c>
      <c r="AB283" t="s">
        <v>37</v>
      </c>
      <c r="AC283">
        <v>46054</v>
      </c>
      <c r="AD283">
        <v>46054</v>
      </c>
      <c r="AE283" t="s">
        <v>32</v>
      </c>
      <c r="AH283" t="s">
        <v>32</v>
      </c>
      <c r="AK283" t="s">
        <v>32</v>
      </c>
      <c r="AN283" t="s">
        <v>32</v>
      </c>
      <c r="AO283" t="s">
        <v>32</v>
      </c>
      <c r="AR283">
        <v>0</v>
      </c>
      <c r="AU283" t="s">
        <v>32</v>
      </c>
      <c r="AV283">
        <v>1785595</v>
      </c>
      <c r="AW283" t="s">
        <v>32</v>
      </c>
      <c r="AX283" t="s">
        <v>32</v>
      </c>
      <c r="AY283" t="s">
        <v>137</v>
      </c>
      <c r="AZ283">
        <v>1</v>
      </c>
      <c r="BA283">
        <v>59520</v>
      </c>
      <c r="BB283">
        <v>0.16</v>
      </c>
      <c r="BC283">
        <v>9600</v>
      </c>
      <c r="BD283" t="s">
        <v>142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9600</v>
      </c>
      <c r="BK283" t="s">
        <v>25</v>
      </c>
      <c r="BL283" t="s">
        <v>1010</v>
      </c>
      <c r="BM283">
        <v>1</v>
      </c>
      <c r="BN283">
        <v>59520</v>
      </c>
      <c r="BO283">
        <v>0</v>
      </c>
      <c r="BP283">
        <v>0</v>
      </c>
      <c r="BQ283">
        <v>0</v>
      </c>
      <c r="BR283" t="s">
        <v>1438</v>
      </c>
      <c r="BS283">
        <v>0</v>
      </c>
      <c r="BT283" t="s">
        <v>1438</v>
      </c>
      <c r="BU283">
        <v>0</v>
      </c>
      <c r="BV283" t="s">
        <v>25</v>
      </c>
      <c r="BW283" t="s">
        <v>189</v>
      </c>
      <c r="BX283">
        <v>1</v>
      </c>
      <c r="BY283">
        <v>59520</v>
      </c>
      <c r="BZ283">
        <v>0</v>
      </c>
      <c r="CA283" t="s">
        <v>1439</v>
      </c>
      <c r="CB283" t="s">
        <v>312</v>
      </c>
      <c r="CC283" t="s">
        <v>1440</v>
      </c>
      <c r="CD283">
        <v>0</v>
      </c>
      <c r="CE283">
        <v>1</v>
      </c>
      <c r="CF283" t="s">
        <v>466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 t="s">
        <v>88</v>
      </c>
      <c r="CT283" t="s">
        <v>1441</v>
      </c>
      <c r="CU283" t="s">
        <v>1442</v>
      </c>
    </row>
    <row r="284" spans="1:99">
      <c r="A284" t="s">
        <v>1431</v>
      </c>
      <c r="B284" t="s">
        <v>34</v>
      </c>
      <c r="C284" t="s">
        <v>2206</v>
      </c>
      <c r="D284" t="s">
        <v>2207</v>
      </c>
      <c r="E284" t="s">
        <v>2208</v>
      </c>
      <c r="F284" t="s">
        <v>1540</v>
      </c>
      <c r="G284" t="s">
        <v>1478</v>
      </c>
      <c r="H284" t="s">
        <v>1519</v>
      </c>
      <c r="I284" t="s">
        <v>682</v>
      </c>
      <c r="J284" t="s">
        <v>484</v>
      </c>
      <c r="K284" t="s">
        <v>29</v>
      </c>
      <c r="L284" t="s">
        <v>30</v>
      </c>
      <c r="M284">
        <v>209</v>
      </c>
      <c r="N284" t="s">
        <v>32</v>
      </c>
      <c r="O284" t="s">
        <v>32</v>
      </c>
      <c r="Q284" t="s">
        <v>32</v>
      </c>
      <c r="S284" t="s">
        <v>32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AA284" t="s">
        <v>88</v>
      </c>
      <c r="AB284" t="s">
        <v>32</v>
      </c>
      <c r="AE284" t="s">
        <v>32</v>
      </c>
      <c r="AH284" t="s">
        <v>32</v>
      </c>
      <c r="AK284" t="s">
        <v>32</v>
      </c>
      <c r="AN284" t="s">
        <v>32</v>
      </c>
      <c r="AO284" t="s">
        <v>32</v>
      </c>
      <c r="AR284">
        <v>0</v>
      </c>
      <c r="AU284" t="s">
        <v>32</v>
      </c>
      <c r="AV284">
        <v>1785595</v>
      </c>
      <c r="AW284" t="s">
        <v>32</v>
      </c>
      <c r="AX284" t="s">
        <v>32</v>
      </c>
      <c r="AY284" t="s">
        <v>137</v>
      </c>
      <c r="AZ284">
        <v>29</v>
      </c>
      <c r="BA284">
        <v>2086644</v>
      </c>
      <c r="BB284">
        <v>0.16</v>
      </c>
      <c r="BC284">
        <v>333900</v>
      </c>
      <c r="BD284" t="s">
        <v>142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333900</v>
      </c>
      <c r="BK284" t="s">
        <v>25</v>
      </c>
      <c r="BL284" t="s">
        <v>1010</v>
      </c>
      <c r="BM284">
        <v>29</v>
      </c>
      <c r="BN284">
        <v>2086644</v>
      </c>
      <c r="BO284">
        <v>0.04</v>
      </c>
      <c r="BP284">
        <v>83500</v>
      </c>
      <c r="BQ284">
        <v>0</v>
      </c>
      <c r="BR284" t="s">
        <v>1438</v>
      </c>
      <c r="BS284">
        <v>0</v>
      </c>
      <c r="BT284" t="s">
        <v>1438</v>
      </c>
      <c r="BU284">
        <v>0</v>
      </c>
      <c r="BV284" t="s">
        <v>25</v>
      </c>
      <c r="BW284" t="s">
        <v>189</v>
      </c>
      <c r="BX284">
        <v>29</v>
      </c>
      <c r="BY284">
        <v>2086644</v>
      </c>
      <c r="BZ284">
        <v>6.9599999999999995E-2</v>
      </c>
      <c r="CA284" t="s">
        <v>1439</v>
      </c>
      <c r="CB284" t="s">
        <v>312</v>
      </c>
      <c r="CC284" t="s">
        <v>1440</v>
      </c>
      <c r="CD284">
        <v>145300</v>
      </c>
      <c r="CE284">
        <v>29</v>
      </c>
      <c r="CF284" t="s">
        <v>466</v>
      </c>
      <c r="CG284">
        <v>2086644</v>
      </c>
      <c r="CH284">
        <v>0.04</v>
      </c>
      <c r="CI284">
        <v>83500</v>
      </c>
      <c r="CJ284">
        <v>2086644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 t="s">
        <v>88</v>
      </c>
      <c r="CT284" t="s">
        <v>1441</v>
      </c>
      <c r="CU284" t="s">
        <v>1442</v>
      </c>
    </row>
    <row r="285" spans="1:99">
      <c r="A285" t="s">
        <v>1431</v>
      </c>
      <c r="B285" t="s">
        <v>34</v>
      </c>
      <c r="C285" t="s">
        <v>2209</v>
      </c>
      <c r="D285" t="s">
        <v>2210</v>
      </c>
      <c r="E285" t="s">
        <v>2211</v>
      </c>
      <c r="F285" t="s">
        <v>756</v>
      </c>
      <c r="G285" t="s">
        <v>2212</v>
      </c>
      <c r="H285" t="s">
        <v>1503</v>
      </c>
      <c r="I285" t="s">
        <v>682</v>
      </c>
      <c r="J285" t="s">
        <v>484</v>
      </c>
      <c r="K285" t="s">
        <v>29</v>
      </c>
      <c r="L285" t="s">
        <v>30</v>
      </c>
      <c r="M285">
        <v>205</v>
      </c>
      <c r="N285" t="s">
        <v>32</v>
      </c>
      <c r="O285" t="s">
        <v>32</v>
      </c>
      <c r="Q285" t="s">
        <v>32</v>
      </c>
      <c r="S285" t="s">
        <v>32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AA285" t="s">
        <v>88</v>
      </c>
      <c r="AB285" t="s">
        <v>32</v>
      </c>
      <c r="AE285" t="s">
        <v>32</v>
      </c>
      <c r="AH285" t="s">
        <v>32</v>
      </c>
      <c r="AK285" t="s">
        <v>32</v>
      </c>
      <c r="AN285" t="s">
        <v>32</v>
      </c>
      <c r="AO285" t="s">
        <v>32</v>
      </c>
      <c r="AR285">
        <v>0</v>
      </c>
      <c r="AU285" t="s">
        <v>32</v>
      </c>
      <c r="AV285">
        <v>1750905</v>
      </c>
      <c r="AW285" t="s">
        <v>32</v>
      </c>
      <c r="AX285" t="s">
        <v>32</v>
      </c>
      <c r="AY285" t="s">
        <v>317</v>
      </c>
      <c r="AZ285">
        <v>30</v>
      </c>
      <c r="BA285">
        <v>2020626</v>
      </c>
      <c r="BB285">
        <v>0.16</v>
      </c>
      <c r="BC285">
        <v>323400</v>
      </c>
      <c r="BD285" t="s">
        <v>142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323400</v>
      </c>
      <c r="BK285" t="s">
        <v>25</v>
      </c>
      <c r="BL285" t="s">
        <v>1071</v>
      </c>
      <c r="BM285">
        <v>30</v>
      </c>
      <c r="BN285">
        <v>2020626</v>
      </c>
      <c r="BO285">
        <v>0.04</v>
      </c>
      <c r="BP285">
        <v>80900</v>
      </c>
      <c r="BQ285">
        <v>0</v>
      </c>
      <c r="BR285" t="s">
        <v>1438</v>
      </c>
      <c r="BS285">
        <v>0</v>
      </c>
      <c r="BT285" t="s">
        <v>1438</v>
      </c>
      <c r="BU285">
        <v>0</v>
      </c>
      <c r="BV285" t="s">
        <v>25</v>
      </c>
      <c r="BW285" t="s">
        <v>189</v>
      </c>
      <c r="BX285">
        <v>30</v>
      </c>
      <c r="BY285">
        <v>2020626</v>
      </c>
      <c r="BZ285">
        <v>6.9599999999999995E-2</v>
      </c>
      <c r="CA285" t="s">
        <v>1439</v>
      </c>
      <c r="CB285" t="s">
        <v>312</v>
      </c>
      <c r="CC285" t="s">
        <v>1440</v>
      </c>
      <c r="CD285">
        <v>140700</v>
      </c>
      <c r="CE285">
        <v>30</v>
      </c>
      <c r="CF285" t="s">
        <v>466</v>
      </c>
      <c r="CG285">
        <v>2020626</v>
      </c>
      <c r="CH285">
        <v>0.04</v>
      </c>
      <c r="CI285">
        <v>80900</v>
      </c>
      <c r="CJ285">
        <v>2020626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 t="s">
        <v>88</v>
      </c>
      <c r="CT285" t="s">
        <v>1441</v>
      </c>
      <c r="CU285" t="s">
        <v>1442</v>
      </c>
    </row>
    <row r="286" spans="1:99">
      <c r="A286" t="s">
        <v>1431</v>
      </c>
      <c r="B286" t="s">
        <v>34</v>
      </c>
      <c r="C286" t="s">
        <v>2213</v>
      </c>
      <c r="D286" t="s">
        <v>2214</v>
      </c>
      <c r="E286" t="s">
        <v>2197</v>
      </c>
      <c r="F286" t="s">
        <v>1629</v>
      </c>
      <c r="G286" t="s">
        <v>2070</v>
      </c>
      <c r="H286" t="s">
        <v>2215</v>
      </c>
      <c r="I286" t="s">
        <v>682</v>
      </c>
      <c r="J286" t="s">
        <v>484</v>
      </c>
      <c r="K286" t="s">
        <v>29</v>
      </c>
      <c r="L286" t="s">
        <v>30</v>
      </c>
      <c r="M286">
        <v>205</v>
      </c>
      <c r="N286" t="s">
        <v>32</v>
      </c>
      <c r="O286" t="s">
        <v>32</v>
      </c>
      <c r="Q286" t="s">
        <v>32</v>
      </c>
      <c r="S286" t="s">
        <v>32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AA286" t="s">
        <v>88</v>
      </c>
      <c r="AB286" t="s">
        <v>32</v>
      </c>
      <c r="AE286" t="s">
        <v>32</v>
      </c>
      <c r="AH286" t="s">
        <v>32</v>
      </c>
      <c r="AK286" t="s">
        <v>32</v>
      </c>
      <c r="AN286" t="s">
        <v>32</v>
      </c>
      <c r="AO286" t="s">
        <v>32</v>
      </c>
      <c r="AR286">
        <v>0</v>
      </c>
      <c r="AU286" t="s">
        <v>32</v>
      </c>
      <c r="AV286">
        <v>1750905</v>
      </c>
      <c r="AW286" t="s">
        <v>32</v>
      </c>
      <c r="AX286" t="s">
        <v>32</v>
      </c>
      <c r="AY286" t="s">
        <v>317</v>
      </c>
      <c r="AZ286">
        <v>30</v>
      </c>
      <c r="BA286">
        <v>2069651</v>
      </c>
      <c r="BB286">
        <v>0.16</v>
      </c>
      <c r="BC286">
        <v>331200</v>
      </c>
      <c r="BD286" t="s">
        <v>142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331200</v>
      </c>
      <c r="BK286" t="s">
        <v>25</v>
      </c>
      <c r="BL286" t="s">
        <v>1010</v>
      </c>
      <c r="BM286">
        <v>30</v>
      </c>
      <c r="BN286">
        <v>2069651</v>
      </c>
      <c r="BO286">
        <v>0.04</v>
      </c>
      <c r="BP286">
        <v>82800</v>
      </c>
      <c r="BQ286">
        <v>0</v>
      </c>
      <c r="BR286" t="s">
        <v>1438</v>
      </c>
      <c r="BS286">
        <v>0</v>
      </c>
      <c r="BT286" t="s">
        <v>1438</v>
      </c>
      <c r="BU286">
        <v>0</v>
      </c>
      <c r="BV286" t="s">
        <v>25</v>
      </c>
      <c r="BW286" t="s">
        <v>189</v>
      </c>
      <c r="BX286">
        <v>30</v>
      </c>
      <c r="BY286">
        <v>2069651</v>
      </c>
      <c r="BZ286">
        <v>6.9599999999999995E-2</v>
      </c>
      <c r="CA286" t="s">
        <v>1439</v>
      </c>
      <c r="CB286" t="s">
        <v>312</v>
      </c>
      <c r="CC286" t="s">
        <v>1440</v>
      </c>
      <c r="CD286">
        <v>144100</v>
      </c>
      <c r="CE286">
        <v>30</v>
      </c>
      <c r="CF286" t="s">
        <v>466</v>
      </c>
      <c r="CG286">
        <v>2069651</v>
      </c>
      <c r="CH286">
        <v>0.04</v>
      </c>
      <c r="CI286">
        <v>82800</v>
      </c>
      <c r="CJ286">
        <v>2069651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 t="s">
        <v>88</v>
      </c>
      <c r="CT286" t="s">
        <v>1441</v>
      </c>
      <c r="CU286" t="s">
        <v>1442</v>
      </c>
    </row>
    <row r="287" spans="1:99">
      <c r="A287" t="s">
        <v>1431</v>
      </c>
      <c r="B287" t="s">
        <v>34</v>
      </c>
      <c r="C287" t="s">
        <v>2216</v>
      </c>
      <c r="D287" t="s">
        <v>2217</v>
      </c>
      <c r="E287" t="s">
        <v>2218</v>
      </c>
      <c r="F287" t="s">
        <v>1522</v>
      </c>
      <c r="G287" t="s">
        <v>2219</v>
      </c>
      <c r="H287" t="s">
        <v>1548</v>
      </c>
      <c r="I287" t="s">
        <v>682</v>
      </c>
      <c r="J287" t="s">
        <v>484</v>
      </c>
      <c r="K287" t="s">
        <v>29</v>
      </c>
      <c r="L287" t="s">
        <v>30</v>
      </c>
      <c r="M287">
        <v>207</v>
      </c>
      <c r="N287" t="s">
        <v>32</v>
      </c>
      <c r="O287" t="s">
        <v>32</v>
      </c>
      <c r="Q287" t="s">
        <v>32</v>
      </c>
      <c r="S287" t="s">
        <v>32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AA287" t="s">
        <v>88</v>
      </c>
      <c r="AB287" t="s">
        <v>32</v>
      </c>
      <c r="AE287" t="s">
        <v>32</v>
      </c>
      <c r="AH287" t="s">
        <v>32</v>
      </c>
      <c r="AK287" t="s">
        <v>32</v>
      </c>
      <c r="AN287" t="s">
        <v>32</v>
      </c>
      <c r="AO287" t="s">
        <v>32</v>
      </c>
      <c r="AR287">
        <v>0</v>
      </c>
      <c r="AU287" t="s">
        <v>32</v>
      </c>
      <c r="AV287">
        <v>2056650</v>
      </c>
      <c r="AW287" t="s">
        <v>32</v>
      </c>
      <c r="AX287" t="s">
        <v>32</v>
      </c>
      <c r="AY287" t="s">
        <v>137</v>
      </c>
      <c r="AZ287">
        <v>30</v>
      </c>
      <c r="BA287">
        <v>2593227</v>
      </c>
      <c r="BB287">
        <v>0.16</v>
      </c>
      <c r="BC287">
        <v>415000</v>
      </c>
      <c r="BD287" t="s">
        <v>142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415000</v>
      </c>
      <c r="BK287" t="s">
        <v>25</v>
      </c>
      <c r="BL287" t="s">
        <v>1071</v>
      </c>
      <c r="BM287">
        <v>30</v>
      </c>
      <c r="BN287">
        <v>2593227</v>
      </c>
      <c r="BO287">
        <v>0.04</v>
      </c>
      <c r="BP287">
        <v>103800</v>
      </c>
      <c r="BQ287">
        <v>0</v>
      </c>
      <c r="BR287" t="s">
        <v>1438</v>
      </c>
      <c r="BS287">
        <v>0</v>
      </c>
      <c r="BT287" t="s">
        <v>1438</v>
      </c>
      <c r="BU287">
        <v>0</v>
      </c>
      <c r="BV287" t="s">
        <v>25</v>
      </c>
      <c r="BW287" t="s">
        <v>189</v>
      </c>
      <c r="BX287">
        <v>30</v>
      </c>
      <c r="BY287">
        <v>2593227</v>
      </c>
      <c r="BZ287">
        <v>6.9599999999999995E-2</v>
      </c>
      <c r="CA287" t="s">
        <v>1439</v>
      </c>
      <c r="CB287" t="s">
        <v>312</v>
      </c>
      <c r="CC287" t="s">
        <v>1440</v>
      </c>
      <c r="CD287">
        <v>180500</v>
      </c>
      <c r="CE287">
        <v>30</v>
      </c>
      <c r="CF287" t="s">
        <v>466</v>
      </c>
      <c r="CG287">
        <v>2454425</v>
      </c>
      <c r="CH287">
        <v>0.04</v>
      </c>
      <c r="CI287">
        <v>98200</v>
      </c>
      <c r="CJ287">
        <v>2454425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 t="s">
        <v>88</v>
      </c>
      <c r="CT287" t="s">
        <v>1441</v>
      </c>
      <c r="CU287" t="s">
        <v>1442</v>
      </c>
    </row>
    <row r="288" spans="1:99">
      <c r="A288" t="s">
        <v>1431</v>
      </c>
      <c r="B288" t="s">
        <v>34</v>
      </c>
      <c r="C288" t="s">
        <v>2220</v>
      </c>
      <c r="D288" t="s">
        <v>2221</v>
      </c>
      <c r="E288" t="s">
        <v>2222</v>
      </c>
      <c r="F288" t="s">
        <v>1634</v>
      </c>
      <c r="G288" t="s">
        <v>2223</v>
      </c>
      <c r="H288" t="s">
        <v>1558</v>
      </c>
      <c r="I288" t="s">
        <v>682</v>
      </c>
      <c r="J288" t="s">
        <v>484</v>
      </c>
      <c r="K288" t="s">
        <v>29</v>
      </c>
      <c r="L288" t="s">
        <v>30</v>
      </c>
      <c r="M288">
        <v>145</v>
      </c>
      <c r="N288" t="s">
        <v>32</v>
      </c>
      <c r="O288" t="s">
        <v>32</v>
      </c>
      <c r="Q288" t="s">
        <v>40</v>
      </c>
      <c r="R288">
        <v>46062</v>
      </c>
      <c r="S288" t="s">
        <v>32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AA288" t="s">
        <v>88</v>
      </c>
      <c r="AB288" t="s">
        <v>32</v>
      </c>
      <c r="AE288" t="s">
        <v>32</v>
      </c>
      <c r="AH288" t="s">
        <v>32</v>
      </c>
      <c r="AK288" t="s">
        <v>32</v>
      </c>
      <c r="AN288" t="s">
        <v>32</v>
      </c>
      <c r="AO288" t="s">
        <v>32</v>
      </c>
      <c r="AR288">
        <v>0</v>
      </c>
      <c r="AU288" t="s">
        <v>32</v>
      </c>
      <c r="AV288">
        <v>1750905</v>
      </c>
      <c r="AW288" t="s">
        <v>32</v>
      </c>
      <c r="AX288" t="s">
        <v>32</v>
      </c>
      <c r="AY288" t="s">
        <v>317</v>
      </c>
      <c r="AZ288">
        <v>22</v>
      </c>
      <c r="BA288">
        <v>1383482</v>
      </c>
      <c r="BB288">
        <v>0.16</v>
      </c>
      <c r="BC288">
        <v>221400</v>
      </c>
      <c r="BD288" t="s">
        <v>142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221400</v>
      </c>
      <c r="BK288" t="s">
        <v>25</v>
      </c>
      <c r="BL288" t="s">
        <v>748</v>
      </c>
      <c r="BM288">
        <v>22</v>
      </c>
      <c r="BN288">
        <v>1383482</v>
      </c>
      <c r="BO288">
        <v>0.04</v>
      </c>
      <c r="BP288">
        <v>55400</v>
      </c>
      <c r="BQ288">
        <v>0</v>
      </c>
      <c r="BR288" t="s">
        <v>1438</v>
      </c>
      <c r="BS288">
        <v>0</v>
      </c>
      <c r="BT288" t="s">
        <v>1438</v>
      </c>
      <c r="BU288">
        <v>0</v>
      </c>
      <c r="BV288" t="s">
        <v>25</v>
      </c>
      <c r="BW288" t="s">
        <v>189</v>
      </c>
      <c r="BX288">
        <v>22</v>
      </c>
      <c r="BY288">
        <v>1383482</v>
      </c>
      <c r="BZ288">
        <v>6.9599999999999995E-2</v>
      </c>
      <c r="CA288" t="s">
        <v>1439</v>
      </c>
      <c r="CB288" t="s">
        <v>312</v>
      </c>
      <c r="CC288" t="s">
        <v>1440</v>
      </c>
      <c r="CD288">
        <v>96300</v>
      </c>
      <c r="CE288">
        <v>22</v>
      </c>
      <c r="CF288" t="s">
        <v>466</v>
      </c>
      <c r="CG288">
        <v>1383482</v>
      </c>
      <c r="CH288">
        <v>0.04</v>
      </c>
      <c r="CI288">
        <v>55400</v>
      </c>
      <c r="CJ288">
        <v>1383482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 t="s">
        <v>88</v>
      </c>
      <c r="CT288" t="s">
        <v>1441</v>
      </c>
      <c r="CU288" t="s">
        <v>1442</v>
      </c>
    </row>
    <row r="289" spans="1:99">
      <c r="A289" t="s">
        <v>1431</v>
      </c>
      <c r="B289" t="s">
        <v>34</v>
      </c>
      <c r="C289" t="s">
        <v>2224</v>
      </c>
      <c r="D289" t="s">
        <v>2225</v>
      </c>
      <c r="E289" t="s">
        <v>667</v>
      </c>
      <c r="F289" t="s">
        <v>2226</v>
      </c>
      <c r="G289" t="s">
        <v>1436</v>
      </c>
      <c r="H289" t="s">
        <v>1451</v>
      </c>
      <c r="I289" t="s">
        <v>682</v>
      </c>
      <c r="J289" t="s">
        <v>484</v>
      </c>
      <c r="K289" t="s">
        <v>29</v>
      </c>
      <c r="L289" t="s">
        <v>30</v>
      </c>
      <c r="M289">
        <v>213</v>
      </c>
      <c r="N289" t="s">
        <v>32</v>
      </c>
      <c r="O289" t="s">
        <v>32</v>
      </c>
      <c r="Q289" t="s">
        <v>32</v>
      </c>
      <c r="S289" t="s">
        <v>32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AA289" t="s">
        <v>88</v>
      </c>
      <c r="AB289" t="s">
        <v>32</v>
      </c>
      <c r="AE289" t="s">
        <v>32</v>
      </c>
      <c r="AH289" t="s">
        <v>32</v>
      </c>
      <c r="AK289" t="s">
        <v>32</v>
      </c>
      <c r="AN289" t="s">
        <v>32</v>
      </c>
      <c r="AO289" t="s">
        <v>32</v>
      </c>
      <c r="AR289">
        <v>0</v>
      </c>
      <c r="AU289" t="s">
        <v>32</v>
      </c>
      <c r="AV289">
        <v>1889179</v>
      </c>
      <c r="AW289" t="s">
        <v>32</v>
      </c>
      <c r="AX289" t="s">
        <v>32</v>
      </c>
      <c r="AY289" t="s">
        <v>317</v>
      </c>
      <c r="AZ289">
        <v>30</v>
      </c>
      <c r="BA289">
        <v>2318969</v>
      </c>
      <c r="BB289">
        <v>0.16</v>
      </c>
      <c r="BC289">
        <v>371100</v>
      </c>
      <c r="BD289" t="s">
        <v>142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371100</v>
      </c>
      <c r="BK289" t="s">
        <v>25</v>
      </c>
      <c r="BL289" t="s">
        <v>1010</v>
      </c>
      <c r="BM289">
        <v>30</v>
      </c>
      <c r="BN289">
        <v>2318969</v>
      </c>
      <c r="BO289">
        <v>0.04</v>
      </c>
      <c r="BP289">
        <v>92800</v>
      </c>
      <c r="BQ289">
        <v>0</v>
      </c>
      <c r="BR289" t="s">
        <v>1438</v>
      </c>
      <c r="BS289">
        <v>0</v>
      </c>
      <c r="BT289" t="s">
        <v>1438</v>
      </c>
      <c r="BU289">
        <v>0</v>
      </c>
      <c r="BV289" t="s">
        <v>25</v>
      </c>
      <c r="BW289" t="s">
        <v>189</v>
      </c>
      <c r="BX289">
        <v>30</v>
      </c>
      <c r="BY289">
        <v>2318969</v>
      </c>
      <c r="BZ289">
        <v>6.9599999999999995E-2</v>
      </c>
      <c r="CA289" t="s">
        <v>1439</v>
      </c>
      <c r="CB289" t="s">
        <v>312</v>
      </c>
      <c r="CC289" t="s">
        <v>1440</v>
      </c>
      <c r="CD289">
        <v>161500</v>
      </c>
      <c r="CE289">
        <v>30</v>
      </c>
      <c r="CF289" t="s">
        <v>466</v>
      </c>
      <c r="CG289">
        <v>2318969</v>
      </c>
      <c r="CH289">
        <v>0.04</v>
      </c>
      <c r="CI289">
        <v>92800</v>
      </c>
      <c r="CJ289">
        <v>2318969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 t="s">
        <v>88</v>
      </c>
      <c r="CT289" t="s">
        <v>1441</v>
      </c>
      <c r="CU289" t="s">
        <v>1442</v>
      </c>
    </row>
    <row r="290" spans="1:99">
      <c r="A290" t="s">
        <v>1431</v>
      </c>
      <c r="B290" t="s">
        <v>34</v>
      </c>
      <c r="C290" t="s">
        <v>2227</v>
      </c>
      <c r="D290" t="s">
        <v>2228</v>
      </c>
      <c r="E290" t="s">
        <v>2229</v>
      </c>
      <c r="F290" t="s">
        <v>1526</v>
      </c>
      <c r="G290" t="s">
        <v>2230</v>
      </c>
      <c r="H290" t="s">
        <v>1558</v>
      </c>
      <c r="I290" t="s">
        <v>682</v>
      </c>
      <c r="J290" t="s">
        <v>484</v>
      </c>
      <c r="K290" t="s">
        <v>29</v>
      </c>
      <c r="L290" t="s">
        <v>30</v>
      </c>
      <c r="M290">
        <v>0</v>
      </c>
      <c r="N290" t="s">
        <v>32</v>
      </c>
      <c r="O290" t="s">
        <v>32</v>
      </c>
      <c r="Q290" t="s">
        <v>32</v>
      </c>
      <c r="S290" t="s">
        <v>32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AA290" t="s">
        <v>32</v>
      </c>
      <c r="AB290" t="s">
        <v>32</v>
      </c>
      <c r="AE290" t="s">
        <v>32</v>
      </c>
      <c r="AH290" t="s">
        <v>32</v>
      </c>
      <c r="AK290" t="s">
        <v>128</v>
      </c>
      <c r="AL290">
        <v>46054</v>
      </c>
      <c r="AM290">
        <v>46054</v>
      </c>
      <c r="AN290" t="s">
        <v>32</v>
      </c>
      <c r="AO290" t="s">
        <v>32</v>
      </c>
      <c r="AR290">
        <v>0</v>
      </c>
      <c r="AU290" t="s">
        <v>32</v>
      </c>
      <c r="AV290">
        <v>1785595</v>
      </c>
      <c r="AW290" t="s">
        <v>32</v>
      </c>
      <c r="AX290" t="s">
        <v>32</v>
      </c>
      <c r="AY290" t="s">
        <v>317</v>
      </c>
      <c r="AZ290">
        <v>1</v>
      </c>
      <c r="BA290">
        <v>59520</v>
      </c>
      <c r="BB290">
        <v>0.16</v>
      </c>
      <c r="BC290">
        <v>9600</v>
      </c>
      <c r="BD290" t="s">
        <v>142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9600</v>
      </c>
      <c r="BK290" t="s">
        <v>25</v>
      </c>
      <c r="BL290" t="s">
        <v>1010</v>
      </c>
      <c r="BM290">
        <v>1</v>
      </c>
      <c r="BN290">
        <v>59520</v>
      </c>
      <c r="BO290">
        <v>0.04</v>
      </c>
      <c r="BP290">
        <v>2400</v>
      </c>
      <c r="BQ290">
        <v>0</v>
      </c>
      <c r="BR290" t="s">
        <v>1438</v>
      </c>
      <c r="BS290">
        <v>0</v>
      </c>
      <c r="BT290" t="s">
        <v>1438</v>
      </c>
      <c r="BU290">
        <v>0</v>
      </c>
      <c r="BV290" t="s">
        <v>25</v>
      </c>
      <c r="BW290" t="s">
        <v>189</v>
      </c>
      <c r="BX290">
        <v>1</v>
      </c>
      <c r="BY290">
        <v>59520</v>
      </c>
      <c r="BZ290">
        <v>0</v>
      </c>
      <c r="CA290" t="s">
        <v>1439</v>
      </c>
      <c r="CB290" t="s">
        <v>312</v>
      </c>
      <c r="CC290" t="s">
        <v>1440</v>
      </c>
      <c r="CD290">
        <v>0</v>
      </c>
      <c r="CE290">
        <v>1</v>
      </c>
      <c r="CF290" t="s">
        <v>466</v>
      </c>
      <c r="CG290">
        <v>59520</v>
      </c>
      <c r="CH290">
        <v>0.04</v>
      </c>
      <c r="CI290">
        <v>2400</v>
      </c>
      <c r="CJ290">
        <v>59520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 t="s">
        <v>88</v>
      </c>
      <c r="CT290" t="s">
        <v>1441</v>
      </c>
      <c r="CU290" t="s">
        <v>1442</v>
      </c>
    </row>
    <row r="291" spans="1:99">
      <c r="A291" t="s">
        <v>1431</v>
      </c>
      <c r="B291" t="s">
        <v>34</v>
      </c>
      <c r="C291" t="s">
        <v>2227</v>
      </c>
      <c r="D291" t="s">
        <v>2228</v>
      </c>
      <c r="E291" t="s">
        <v>2229</v>
      </c>
      <c r="F291" t="s">
        <v>1526</v>
      </c>
      <c r="G291" t="s">
        <v>2230</v>
      </c>
      <c r="H291" t="s">
        <v>1558</v>
      </c>
      <c r="I291" t="s">
        <v>682</v>
      </c>
      <c r="J291" t="s">
        <v>484</v>
      </c>
      <c r="K291" t="s">
        <v>29</v>
      </c>
      <c r="L291" t="s">
        <v>30</v>
      </c>
      <c r="M291">
        <v>0</v>
      </c>
      <c r="N291" t="s">
        <v>32</v>
      </c>
      <c r="O291" t="s">
        <v>32</v>
      </c>
      <c r="Q291" t="s">
        <v>32</v>
      </c>
      <c r="S291" t="s">
        <v>32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AA291" t="s">
        <v>32</v>
      </c>
      <c r="AB291" t="s">
        <v>37</v>
      </c>
      <c r="AC291">
        <v>46069</v>
      </c>
      <c r="AD291">
        <v>46069</v>
      </c>
      <c r="AE291" t="s">
        <v>32</v>
      </c>
      <c r="AH291" t="s">
        <v>32</v>
      </c>
      <c r="AK291" t="s">
        <v>32</v>
      </c>
      <c r="AN291" t="s">
        <v>32</v>
      </c>
      <c r="AO291" t="s">
        <v>32</v>
      </c>
      <c r="AR291">
        <v>0</v>
      </c>
      <c r="AU291" t="s">
        <v>32</v>
      </c>
      <c r="AV291">
        <v>1785595</v>
      </c>
      <c r="AW291" t="s">
        <v>32</v>
      </c>
      <c r="AX291" t="s">
        <v>32</v>
      </c>
      <c r="AY291" t="s">
        <v>317</v>
      </c>
      <c r="AZ291">
        <v>1</v>
      </c>
      <c r="BA291">
        <v>59520</v>
      </c>
      <c r="BB291">
        <v>0.16</v>
      </c>
      <c r="BC291">
        <v>9600</v>
      </c>
      <c r="BD291" t="s">
        <v>142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9600</v>
      </c>
      <c r="BK291" t="s">
        <v>25</v>
      </c>
      <c r="BL291" t="s">
        <v>1010</v>
      </c>
      <c r="BM291">
        <v>1</v>
      </c>
      <c r="BN291">
        <v>59520</v>
      </c>
      <c r="BO291">
        <v>0</v>
      </c>
      <c r="BP291">
        <v>0</v>
      </c>
      <c r="BQ291">
        <v>0</v>
      </c>
      <c r="BR291" t="s">
        <v>1438</v>
      </c>
      <c r="BS291">
        <v>0</v>
      </c>
      <c r="BT291" t="s">
        <v>1438</v>
      </c>
      <c r="BU291">
        <v>0</v>
      </c>
      <c r="BV291" t="s">
        <v>25</v>
      </c>
      <c r="BW291" t="s">
        <v>189</v>
      </c>
      <c r="BX291">
        <v>1</v>
      </c>
      <c r="BY291">
        <v>59520</v>
      </c>
      <c r="BZ291">
        <v>0</v>
      </c>
      <c r="CA291" t="s">
        <v>1439</v>
      </c>
      <c r="CB291" t="s">
        <v>312</v>
      </c>
      <c r="CC291" t="s">
        <v>1440</v>
      </c>
      <c r="CD291">
        <v>0</v>
      </c>
      <c r="CE291">
        <v>1</v>
      </c>
      <c r="CF291" t="s">
        <v>466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 t="s">
        <v>88</v>
      </c>
      <c r="CT291" t="s">
        <v>1441</v>
      </c>
      <c r="CU291" t="s">
        <v>1442</v>
      </c>
    </row>
    <row r="292" spans="1:99">
      <c r="A292" t="s">
        <v>1431</v>
      </c>
      <c r="B292" t="s">
        <v>34</v>
      </c>
      <c r="C292" t="s">
        <v>2227</v>
      </c>
      <c r="D292" t="s">
        <v>2228</v>
      </c>
      <c r="E292" t="s">
        <v>2229</v>
      </c>
      <c r="F292" t="s">
        <v>1526</v>
      </c>
      <c r="G292" t="s">
        <v>2230</v>
      </c>
      <c r="H292" t="s">
        <v>1558</v>
      </c>
      <c r="I292" t="s">
        <v>682</v>
      </c>
      <c r="J292" t="s">
        <v>484</v>
      </c>
      <c r="K292" t="s">
        <v>29</v>
      </c>
      <c r="L292" t="s">
        <v>30</v>
      </c>
      <c r="M292">
        <v>194</v>
      </c>
      <c r="N292" t="s">
        <v>32</v>
      </c>
      <c r="O292" t="s">
        <v>32</v>
      </c>
      <c r="Q292" t="s">
        <v>32</v>
      </c>
      <c r="S292" t="s">
        <v>32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AA292" t="s">
        <v>88</v>
      </c>
      <c r="AB292" t="s">
        <v>32</v>
      </c>
      <c r="AE292" t="s">
        <v>32</v>
      </c>
      <c r="AH292" t="s">
        <v>32</v>
      </c>
      <c r="AK292" t="s">
        <v>32</v>
      </c>
      <c r="AN292" t="s">
        <v>32</v>
      </c>
      <c r="AO292" t="s">
        <v>32</v>
      </c>
      <c r="AR292">
        <v>0</v>
      </c>
      <c r="AU292" t="s">
        <v>32</v>
      </c>
      <c r="AV292">
        <v>1785595</v>
      </c>
      <c r="AW292" t="s">
        <v>32</v>
      </c>
      <c r="AX292" t="s">
        <v>32</v>
      </c>
      <c r="AY292" t="s">
        <v>317</v>
      </c>
      <c r="AZ292">
        <v>28</v>
      </c>
      <c r="BA292">
        <v>1971325</v>
      </c>
      <c r="BB292">
        <v>0.16</v>
      </c>
      <c r="BC292">
        <v>315500</v>
      </c>
      <c r="BD292" t="s">
        <v>142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315500</v>
      </c>
      <c r="BK292" t="s">
        <v>25</v>
      </c>
      <c r="BL292" t="s">
        <v>1010</v>
      </c>
      <c r="BM292">
        <v>28</v>
      </c>
      <c r="BN292">
        <v>1971325</v>
      </c>
      <c r="BO292">
        <v>0.04</v>
      </c>
      <c r="BP292">
        <v>78900</v>
      </c>
      <c r="BQ292">
        <v>0</v>
      </c>
      <c r="BR292" t="s">
        <v>1438</v>
      </c>
      <c r="BS292">
        <v>0</v>
      </c>
      <c r="BT292" t="s">
        <v>1438</v>
      </c>
      <c r="BU292">
        <v>0</v>
      </c>
      <c r="BV292" t="s">
        <v>25</v>
      </c>
      <c r="BW292" t="s">
        <v>189</v>
      </c>
      <c r="BX292">
        <v>28</v>
      </c>
      <c r="BY292">
        <v>1971325</v>
      </c>
      <c r="BZ292">
        <v>6.9599999999999995E-2</v>
      </c>
      <c r="CA292" t="s">
        <v>1439</v>
      </c>
      <c r="CB292" t="s">
        <v>312</v>
      </c>
      <c r="CC292" t="s">
        <v>1440</v>
      </c>
      <c r="CD292">
        <v>137300</v>
      </c>
      <c r="CE292">
        <v>28</v>
      </c>
      <c r="CF292" t="s">
        <v>466</v>
      </c>
      <c r="CG292">
        <v>1971325</v>
      </c>
      <c r="CH292">
        <v>0.04</v>
      </c>
      <c r="CI292">
        <v>78900</v>
      </c>
      <c r="CJ292">
        <v>1971325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 t="s">
        <v>88</v>
      </c>
      <c r="CT292" t="s">
        <v>1441</v>
      </c>
      <c r="CU292" t="s">
        <v>1442</v>
      </c>
    </row>
    <row r="293" spans="1:99">
      <c r="A293" t="s">
        <v>1431</v>
      </c>
      <c r="B293" t="s">
        <v>34</v>
      </c>
      <c r="C293" t="s">
        <v>2231</v>
      </c>
      <c r="D293" t="s">
        <v>2232</v>
      </c>
      <c r="E293" t="s">
        <v>2233</v>
      </c>
      <c r="F293" t="s">
        <v>2234</v>
      </c>
      <c r="G293" t="s">
        <v>1991</v>
      </c>
      <c r="H293" t="s">
        <v>1519</v>
      </c>
      <c r="I293" t="s">
        <v>682</v>
      </c>
      <c r="J293" t="s">
        <v>484</v>
      </c>
      <c r="K293" t="s">
        <v>29</v>
      </c>
      <c r="L293" t="s">
        <v>30</v>
      </c>
      <c r="M293">
        <v>210</v>
      </c>
      <c r="N293" t="s">
        <v>32</v>
      </c>
      <c r="O293" t="s">
        <v>32</v>
      </c>
      <c r="Q293" t="s">
        <v>32</v>
      </c>
      <c r="S293" t="s">
        <v>32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AA293" t="s">
        <v>88</v>
      </c>
      <c r="AB293" t="s">
        <v>32</v>
      </c>
      <c r="AE293" t="s">
        <v>32</v>
      </c>
      <c r="AH293" t="s">
        <v>32</v>
      </c>
      <c r="AK293" t="s">
        <v>32</v>
      </c>
      <c r="AN293" t="s">
        <v>32</v>
      </c>
      <c r="AO293" t="s">
        <v>32</v>
      </c>
      <c r="AR293">
        <v>0</v>
      </c>
      <c r="AU293" t="s">
        <v>32</v>
      </c>
      <c r="AV293">
        <v>1750905</v>
      </c>
      <c r="AW293" t="s">
        <v>32</v>
      </c>
      <c r="AX293" t="s">
        <v>32</v>
      </c>
      <c r="AY293" t="s">
        <v>317</v>
      </c>
      <c r="AZ293">
        <v>30</v>
      </c>
      <c r="BA293">
        <v>2119392</v>
      </c>
      <c r="BB293">
        <v>0.16</v>
      </c>
      <c r="BC293">
        <v>339200</v>
      </c>
      <c r="BD293" t="s">
        <v>142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339200</v>
      </c>
      <c r="BK293" t="s">
        <v>25</v>
      </c>
      <c r="BL293" t="s">
        <v>748</v>
      </c>
      <c r="BM293">
        <v>30</v>
      </c>
      <c r="BN293">
        <v>2119392</v>
      </c>
      <c r="BO293">
        <v>0.04</v>
      </c>
      <c r="BP293">
        <v>84800</v>
      </c>
      <c r="BQ293">
        <v>0</v>
      </c>
      <c r="BR293" t="s">
        <v>1438</v>
      </c>
      <c r="BS293">
        <v>0</v>
      </c>
      <c r="BT293" t="s">
        <v>1438</v>
      </c>
      <c r="BU293">
        <v>0</v>
      </c>
      <c r="BV293" t="s">
        <v>25</v>
      </c>
      <c r="BW293" t="s">
        <v>189</v>
      </c>
      <c r="BX293">
        <v>30</v>
      </c>
      <c r="BY293">
        <v>2119392</v>
      </c>
      <c r="BZ293">
        <v>6.9599999999999995E-2</v>
      </c>
      <c r="CA293" t="s">
        <v>1439</v>
      </c>
      <c r="CB293" t="s">
        <v>312</v>
      </c>
      <c r="CC293" t="s">
        <v>1440</v>
      </c>
      <c r="CD293">
        <v>147600</v>
      </c>
      <c r="CE293">
        <v>30</v>
      </c>
      <c r="CF293" t="s">
        <v>466</v>
      </c>
      <c r="CG293">
        <v>2119392</v>
      </c>
      <c r="CH293">
        <v>0.04</v>
      </c>
      <c r="CI293">
        <v>84800</v>
      </c>
      <c r="CJ293">
        <v>2119392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 t="s">
        <v>88</v>
      </c>
      <c r="CT293" t="s">
        <v>1441</v>
      </c>
      <c r="CU293" t="s">
        <v>1442</v>
      </c>
    </row>
    <row r="294" spans="1:99">
      <c r="A294" t="s">
        <v>1431</v>
      </c>
      <c r="B294" t="s">
        <v>34</v>
      </c>
      <c r="C294" t="s">
        <v>2235</v>
      </c>
      <c r="D294" t="s">
        <v>2236</v>
      </c>
      <c r="E294" t="s">
        <v>2237</v>
      </c>
      <c r="F294" t="s">
        <v>263</v>
      </c>
      <c r="G294" t="s">
        <v>1781</v>
      </c>
      <c r="H294" t="s">
        <v>1968</v>
      </c>
      <c r="I294" t="s">
        <v>682</v>
      </c>
      <c r="J294" t="s">
        <v>484</v>
      </c>
      <c r="K294" t="s">
        <v>29</v>
      </c>
      <c r="L294" t="s">
        <v>30</v>
      </c>
      <c r="M294">
        <v>0</v>
      </c>
      <c r="N294" t="s">
        <v>32</v>
      </c>
      <c r="O294" t="s">
        <v>32</v>
      </c>
      <c r="Q294" t="s">
        <v>32</v>
      </c>
      <c r="S294" t="s">
        <v>32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AA294" t="s">
        <v>32</v>
      </c>
      <c r="AB294" t="s">
        <v>32</v>
      </c>
      <c r="AE294" t="s">
        <v>32</v>
      </c>
      <c r="AH294" t="s">
        <v>32</v>
      </c>
      <c r="AK294" t="s">
        <v>128</v>
      </c>
      <c r="AL294">
        <v>46057</v>
      </c>
      <c r="AM294">
        <v>46057</v>
      </c>
      <c r="AN294" t="s">
        <v>32</v>
      </c>
      <c r="AO294" t="s">
        <v>32</v>
      </c>
      <c r="AR294">
        <v>0</v>
      </c>
      <c r="AU294" t="s">
        <v>32</v>
      </c>
      <c r="AV294">
        <v>1750905</v>
      </c>
      <c r="AW294" t="s">
        <v>32</v>
      </c>
      <c r="AX294" t="s">
        <v>32</v>
      </c>
      <c r="AY294" t="s">
        <v>317</v>
      </c>
      <c r="AZ294">
        <v>1</v>
      </c>
      <c r="BA294">
        <v>58364</v>
      </c>
      <c r="BB294">
        <v>0.16</v>
      </c>
      <c r="BC294">
        <v>9400</v>
      </c>
      <c r="BD294" t="s">
        <v>142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9400</v>
      </c>
      <c r="BK294" t="s">
        <v>25</v>
      </c>
      <c r="BL294" t="s">
        <v>1010</v>
      </c>
      <c r="BM294">
        <v>1</v>
      </c>
      <c r="BN294">
        <v>58364</v>
      </c>
      <c r="BO294">
        <v>0.04</v>
      </c>
      <c r="BP294">
        <v>2400</v>
      </c>
      <c r="BQ294">
        <v>0</v>
      </c>
      <c r="BR294" t="s">
        <v>1438</v>
      </c>
      <c r="BS294">
        <v>0</v>
      </c>
      <c r="BT294" t="s">
        <v>1438</v>
      </c>
      <c r="BU294">
        <v>0</v>
      </c>
      <c r="BV294" t="s">
        <v>25</v>
      </c>
      <c r="BW294" t="s">
        <v>189</v>
      </c>
      <c r="BX294">
        <v>1</v>
      </c>
      <c r="BY294">
        <v>58364</v>
      </c>
      <c r="BZ294">
        <v>0</v>
      </c>
      <c r="CA294" t="s">
        <v>1439</v>
      </c>
      <c r="CB294" t="s">
        <v>312</v>
      </c>
      <c r="CC294" t="s">
        <v>1440</v>
      </c>
      <c r="CD294">
        <v>0</v>
      </c>
      <c r="CE294">
        <v>1</v>
      </c>
      <c r="CF294" t="s">
        <v>466</v>
      </c>
      <c r="CG294">
        <v>58364</v>
      </c>
      <c r="CH294">
        <v>0.04</v>
      </c>
      <c r="CI294">
        <v>2400</v>
      </c>
      <c r="CJ294">
        <v>58364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 t="s">
        <v>88</v>
      </c>
      <c r="CT294" t="s">
        <v>1441</v>
      </c>
      <c r="CU294" t="s">
        <v>1442</v>
      </c>
    </row>
    <row r="295" spans="1:99">
      <c r="A295" t="s">
        <v>1431</v>
      </c>
      <c r="B295" t="s">
        <v>34</v>
      </c>
      <c r="C295" t="s">
        <v>2235</v>
      </c>
      <c r="D295" t="s">
        <v>2236</v>
      </c>
      <c r="E295" t="s">
        <v>2237</v>
      </c>
      <c r="F295" t="s">
        <v>263</v>
      </c>
      <c r="G295" t="s">
        <v>1781</v>
      </c>
      <c r="H295" t="s">
        <v>1968</v>
      </c>
      <c r="I295" t="s">
        <v>682</v>
      </c>
      <c r="J295" t="s">
        <v>484</v>
      </c>
      <c r="K295" t="s">
        <v>29</v>
      </c>
      <c r="L295" t="s">
        <v>30</v>
      </c>
      <c r="M295">
        <v>42</v>
      </c>
      <c r="N295" t="s">
        <v>32</v>
      </c>
      <c r="O295" t="s">
        <v>32</v>
      </c>
      <c r="Q295" t="s">
        <v>32</v>
      </c>
      <c r="S295" t="s">
        <v>40</v>
      </c>
      <c r="T295">
        <v>46057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AA295" t="s">
        <v>88</v>
      </c>
      <c r="AB295" t="s">
        <v>32</v>
      </c>
      <c r="AE295" t="s">
        <v>32</v>
      </c>
      <c r="AH295" t="s">
        <v>32</v>
      </c>
      <c r="AK295" t="s">
        <v>32</v>
      </c>
      <c r="AN295" t="s">
        <v>32</v>
      </c>
      <c r="AO295" t="s">
        <v>32</v>
      </c>
      <c r="AR295">
        <v>0</v>
      </c>
      <c r="AU295" t="s">
        <v>32</v>
      </c>
      <c r="AV295">
        <v>1750905</v>
      </c>
      <c r="AW295" t="s">
        <v>32</v>
      </c>
      <c r="AX295" t="s">
        <v>32</v>
      </c>
      <c r="AY295" t="s">
        <v>317</v>
      </c>
      <c r="AZ295">
        <v>3</v>
      </c>
      <c r="BA295">
        <v>499406</v>
      </c>
      <c r="BB295">
        <v>0.16</v>
      </c>
      <c r="BC295">
        <v>80000</v>
      </c>
      <c r="BD295" t="s">
        <v>142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80000</v>
      </c>
      <c r="BK295" t="s">
        <v>25</v>
      </c>
      <c r="BL295" t="s">
        <v>1010</v>
      </c>
      <c r="BM295">
        <v>3</v>
      </c>
      <c r="BN295">
        <v>499406</v>
      </c>
      <c r="BO295">
        <v>0.04</v>
      </c>
      <c r="BP295">
        <v>20000</v>
      </c>
      <c r="BQ295">
        <v>0</v>
      </c>
      <c r="BR295" t="s">
        <v>1438</v>
      </c>
      <c r="BS295">
        <v>0</v>
      </c>
      <c r="BT295" t="s">
        <v>1438</v>
      </c>
      <c r="BU295">
        <v>0</v>
      </c>
      <c r="BV295" t="s">
        <v>25</v>
      </c>
      <c r="BW295" t="s">
        <v>189</v>
      </c>
      <c r="BX295">
        <v>3</v>
      </c>
      <c r="BY295">
        <v>499406</v>
      </c>
      <c r="BZ295">
        <v>6.9599999999999995E-2</v>
      </c>
      <c r="CA295" t="s">
        <v>1439</v>
      </c>
      <c r="CB295" t="s">
        <v>312</v>
      </c>
      <c r="CC295" t="s">
        <v>1440</v>
      </c>
      <c r="CD295">
        <v>34800</v>
      </c>
      <c r="CE295">
        <v>3</v>
      </c>
      <c r="CF295" t="s">
        <v>466</v>
      </c>
      <c r="CG295">
        <v>544663</v>
      </c>
      <c r="CH295">
        <v>0.04</v>
      </c>
      <c r="CI295">
        <v>21800</v>
      </c>
      <c r="CJ295">
        <v>544663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 t="s">
        <v>88</v>
      </c>
      <c r="CT295" t="s">
        <v>1441</v>
      </c>
      <c r="CU295" t="s">
        <v>1442</v>
      </c>
    </row>
    <row r="296" spans="1:99">
      <c r="A296" t="s">
        <v>1431</v>
      </c>
      <c r="B296" t="s">
        <v>34</v>
      </c>
      <c r="C296" t="s">
        <v>2238</v>
      </c>
      <c r="D296" t="s">
        <v>2239</v>
      </c>
      <c r="E296" t="s">
        <v>1606</v>
      </c>
      <c r="F296" t="s">
        <v>992</v>
      </c>
      <c r="G296" t="s">
        <v>1680</v>
      </c>
      <c r="H296" t="s">
        <v>1579</v>
      </c>
      <c r="I296" t="s">
        <v>240</v>
      </c>
      <c r="J296" t="s">
        <v>46</v>
      </c>
      <c r="K296" t="s">
        <v>29</v>
      </c>
      <c r="L296" t="s">
        <v>30</v>
      </c>
      <c r="M296">
        <v>135</v>
      </c>
      <c r="N296" t="s">
        <v>32</v>
      </c>
      <c r="O296" t="s">
        <v>32</v>
      </c>
      <c r="Q296" t="s">
        <v>32</v>
      </c>
      <c r="S296" t="s">
        <v>40</v>
      </c>
      <c r="T296">
        <v>46074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AA296" t="s">
        <v>88</v>
      </c>
      <c r="AB296" t="s">
        <v>32</v>
      </c>
      <c r="AE296" t="s">
        <v>32</v>
      </c>
      <c r="AH296" t="s">
        <v>32</v>
      </c>
      <c r="AK296" t="s">
        <v>32</v>
      </c>
      <c r="AN296" t="s">
        <v>32</v>
      </c>
      <c r="AO296" t="s">
        <v>32</v>
      </c>
      <c r="AR296">
        <v>0</v>
      </c>
      <c r="AU296" t="s">
        <v>32</v>
      </c>
      <c r="AV296">
        <v>3977061</v>
      </c>
      <c r="AW296" t="s">
        <v>32</v>
      </c>
      <c r="AX296" t="s">
        <v>32</v>
      </c>
      <c r="AY296" t="s">
        <v>317</v>
      </c>
      <c r="AZ296">
        <v>21</v>
      </c>
      <c r="BA296">
        <v>4011811</v>
      </c>
      <c r="BB296">
        <v>0.16</v>
      </c>
      <c r="BC296">
        <v>641900</v>
      </c>
      <c r="BD296" t="s">
        <v>142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641900</v>
      </c>
      <c r="BK296" t="s">
        <v>25</v>
      </c>
      <c r="BL296" t="s">
        <v>726</v>
      </c>
      <c r="BM296">
        <v>21</v>
      </c>
      <c r="BN296">
        <v>4011811</v>
      </c>
      <c r="BO296">
        <v>0.04</v>
      </c>
      <c r="BP296">
        <v>160500</v>
      </c>
      <c r="BQ296">
        <v>0</v>
      </c>
      <c r="BR296" t="s">
        <v>1438</v>
      </c>
      <c r="BS296">
        <v>0</v>
      </c>
      <c r="BT296" t="s">
        <v>1438</v>
      </c>
      <c r="BU296">
        <v>0</v>
      </c>
      <c r="BV296" t="s">
        <v>25</v>
      </c>
      <c r="BW296" t="s">
        <v>189</v>
      </c>
      <c r="BX296">
        <v>21</v>
      </c>
      <c r="BY296">
        <v>4011811</v>
      </c>
      <c r="BZ296">
        <v>6.9599999999999995E-2</v>
      </c>
      <c r="CA296" t="s">
        <v>1439</v>
      </c>
      <c r="CB296" t="s">
        <v>227</v>
      </c>
      <c r="CC296" t="s">
        <v>1440</v>
      </c>
      <c r="CD296">
        <v>279300</v>
      </c>
      <c r="CE296">
        <v>21</v>
      </c>
      <c r="CF296" t="s">
        <v>635</v>
      </c>
      <c r="CG296">
        <v>4144152</v>
      </c>
      <c r="CH296">
        <v>0.04</v>
      </c>
      <c r="CI296">
        <v>165800</v>
      </c>
      <c r="CJ296">
        <v>4144152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 t="s">
        <v>88</v>
      </c>
      <c r="CT296" t="s">
        <v>1441</v>
      </c>
      <c r="CU296" t="s">
        <v>1442</v>
      </c>
    </row>
    <row r="297" spans="1:99">
      <c r="A297" t="s">
        <v>1431</v>
      </c>
      <c r="B297" t="s">
        <v>34</v>
      </c>
      <c r="C297" t="s">
        <v>2240</v>
      </c>
      <c r="D297" t="s">
        <v>2241</v>
      </c>
      <c r="E297" t="s">
        <v>2242</v>
      </c>
      <c r="F297" t="s">
        <v>2243</v>
      </c>
      <c r="G297" t="s">
        <v>1436</v>
      </c>
      <c r="H297" t="s">
        <v>1456</v>
      </c>
      <c r="I297" t="s">
        <v>682</v>
      </c>
      <c r="J297" t="s">
        <v>484</v>
      </c>
      <c r="K297" t="s">
        <v>29</v>
      </c>
      <c r="L297" t="s">
        <v>30</v>
      </c>
      <c r="M297">
        <v>0</v>
      </c>
      <c r="N297" t="s">
        <v>32</v>
      </c>
      <c r="O297" t="s">
        <v>32</v>
      </c>
      <c r="Q297" t="s">
        <v>32</v>
      </c>
      <c r="S297" t="s">
        <v>32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AA297" t="s">
        <v>32</v>
      </c>
      <c r="AB297" t="s">
        <v>37</v>
      </c>
      <c r="AC297">
        <v>46069</v>
      </c>
      <c r="AD297">
        <v>46069</v>
      </c>
      <c r="AE297" t="s">
        <v>32</v>
      </c>
      <c r="AH297" t="s">
        <v>32</v>
      </c>
      <c r="AK297" t="s">
        <v>32</v>
      </c>
      <c r="AN297" t="s">
        <v>32</v>
      </c>
      <c r="AO297" t="s">
        <v>32</v>
      </c>
      <c r="AR297">
        <v>0</v>
      </c>
      <c r="AU297" t="s">
        <v>32</v>
      </c>
      <c r="AV297">
        <v>1750905</v>
      </c>
      <c r="AW297" t="s">
        <v>32</v>
      </c>
      <c r="AX297" t="s">
        <v>32</v>
      </c>
      <c r="AY297" t="s">
        <v>185</v>
      </c>
      <c r="AZ297">
        <v>1</v>
      </c>
      <c r="BA297">
        <v>58364</v>
      </c>
      <c r="BB297">
        <v>0.16</v>
      </c>
      <c r="BC297">
        <v>9400</v>
      </c>
      <c r="BD297" t="s">
        <v>142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9400</v>
      </c>
      <c r="BK297" t="s">
        <v>25</v>
      </c>
      <c r="BL297" t="s">
        <v>1071</v>
      </c>
      <c r="BM297">
        <v>1</v>
      </c>
      <c r="BN297">
        <v>58364</v>
      </c>
      <c r="BO297">
        <v>0</v>
      </c>
      <c r="BP297">
        <v>0</v>
      </c>
      <c r="BQ297">
        <v>0</v>
      </c>
      <c r="BR297" t="s">
        <v>1438</v>
      </c>
      <c r="BS297">
        <v>0</v>
      </c>
      <c r="BT297" t="s">
        <v>1438</v>
      </c>
      <c r="BU297">
        <v>0</v>
      </c>
      <c r="BV297" t="s">
        <v>25</v>
      </c>
      <c r="BW297" t="s">
        <v>189</v>
      </c>
      <c r="BX297">
        <v>1</v>
      </c>
      <c r="BY297">
        <v>58364</v>
      </c>
      <c r="BZ297">
        <v>0</v>
      </c>
      <c r="CA297" t="s">
        <v>1439</v>
      </c>
      <c r="CB297" t="s">
        <v>312</v>
      </c>
      <c r="CC297" t="s">
        <v>1440</v>
      </c>
      <c r="CD297">
        <v>0</v>
      </c>
      <c r="CE297">
        <v>1</v>
      </c>
      <c r="CF297" t="s">
        <v>466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 t="s">
        <v>88</v>
      </c>
      <c r="CT297" t="s">
        <v>1441</v>
      </c>
      <c r="CU297" t="s">
        <v>1442</v>
      </c>
    </row>
    <row r="298" spans="1:99">
      <c r="A298" t="s">
        <v>1431</v>
      </c>
      <c r="B298" t="s">
        <v>34</v>
      </c>
      <c r="C298" t="s">
        <v>2240</v>
      </c>
      <c r="D298" t="s">
        <v>2241</v>
      </c>
      <c r="E298" t="s">
        <v>2242</v>
      </c>
      <c r="F298" t="s">
        <v>2243</v>
      </c>
      <c r="G298" t="s">
        <v>1436</v>
      </c>
      <c r="H298" t="s">
        <v>1456</v>
      </c>
      <c r="I298" t="s">
        <v>682</v>
      </c>
      <c r="J298" t="s">
        <v>484</v>
      </c>
      <c r="K298" t="s">
        <v>29</v>
      </c>
      <c r="L298" t="s">
        <v>30</v>
      </c>
      <c r="M298">
        <v>135</v>
      </c>
      <c r="N298" t="s">
        <v>32</v>
      </c>
      <c r="O298" t="s">
        <v>32</v>
      </c>
      <c r="Q298" t="s">
        <v>40</v>
      </c>
      <c r="R298">
        <v>46062</v>
      </c>
      <c r="S298" t="s">
        <v>32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AA298" t="s">
        <v>88</v>
      </c>
      <c r="AB298" t="s">
        <v>32</v>
      </c>
      <c r="AE298" t="s">
        <v>32</v>
      </c>
      <c r="AH298" t="s">
        <v>32</v>
      </c>
      <c r="AK298" t="s">
        <v>32</v>
      </c>
      <c r="AN298" t="s">
        <v>32</v>
      </c>
      <c r="AO298" t="s">
        <v>32</v>
      </c>
      <c r="AR298">
        <v>0</v>
      </c>
      <c r="AU298" t="s">
        <v>32</v>
      </c>
      <c r="AV298">
        <v>1750905</v>
      </c>
      <c r="AW298" t="s">
        <v>32</v>
      </c>
      <c r="AX298" t="s">
        <v>32</v>
      </c>
      <c r="AY298" t="s">
        <v>185</v>
      </c>
      <c r="AZ298">
        <v>21</v>
      </c>
      <c r="BA298">
        <v>1315169</v>
      </c>
      <c r="BB298">
        <v>0.16</v>
      </c>
      <c r="BC298">
        <v>210500</v>
      </c>
      <c r="BD298" t="s">
        <v>142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210500</v>
      </c>
      <c r="BK298" t="s">
        <v>25</v>
      </c>
      <c r="BL298" t="s">
        <v>1071</v>
      </c>
      <c r="BM298">
        <v>21</v>
      </c>
      <c r="BN298">
        <v>1315169</v>
      </c>
      <c r="BO298">
        <v>0.04</v>
      </c>
      <c r="BP298">
        <v>52700</v>
      </c>
      <c r="BQ298">
        <v>0</v>
      </c>
      <c r="BR298" t="s">
        <v>1438</v>
      </c>
      <c r="BS298">
        <v>0</v>
      </c>
      <c r="BT298" t="s">
        <v>1438</v>
      </c>
      <c r="BU298">
        <v>0</v>
      </c>
      <c r="BV298" t="s">
        <v>25</v>
      </c>
      <c r="BW298" t="s">
        <v>189</v>
      </c>
      <c r="BX298">
        <v>21</v>
      </c>
      <c r="BY298">
        <v>1315169</v>
      </c>
      <c r="BZ298">
        <v>6.9599999999999995E-2</v>
      </c>
      <c r="CA298" t="s">
        <v>1439</v>
      </c>
      <c r="CB298" t="s">
        <v>312</v>
      </c>
      <c r="CC298" t="s">
        <v>1440</v>
      </c>
      <c r="CD298">
        <v>91600</v>
      </c>
      <c r="CE298">
        <v>21</v>
      </c>
      <c r="CF298" t="s">
        <v>466</v>
      </c>
      <c r="CG298">
        <v>1315169</v>
      </c>
      <c r="CH298">
        <v>0.04</v>
      </c>
      <c r="CI298">
        <v>52700</v>
      </c>
      <c r="CJ298">
        <v>1315169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 t="s">
        <v>88</v>
      </c>
      <c r="CT298" t="s">
        <v>1441</v>
      </c>
      <c r="CU298" t="s">
        <v>1442</v>
      </c>
    </row>
    <row r="299" spans="1:99">
      <c r="A299" t="s">
        <v>1431</v>
      </c>
      <c r="B299" t="s">
        <v>34</v>
      </c>
      <c r="C299" t="s">
        <v>2244</v>
      </c>
      <c r="D299" t="s">
        <v>2245</v>
      </c>
      <c r="E299" t="s">
        <v>2246</v>
      </c>
      <c r="F299" t="s">
        <v>1460</v>
      </c>
      <c r="G299" t="s">
        <v>2247</v>
      </c>
      <c r="H299" t="s">
        <v>1558</v>
      </c>
      <c r="I299" t="s">
        <v>682</v>
      </c>
      <c r="J299" t="s">
        <v>484</v>
      </c>
      <c r="K299" t="s">
        <v>29</v>
      </c>
      <c r="L299" t="s">
        <v>30</v>
      </c>
      <c r="M299">
        <v>204</v>
      </c>
      <c r="N299" t="s">
        <v>32</v>
      </c>
      <c r="O299" t="s">
        <v>32</v>
      </c>
      <c r="Q299" t="s">
        <v>32</v>
      </c>
      <c r="S299" t="s">
        <v>32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AA299" t="s">
        <v>88</v>
      </c>
      <c r="AB299" t="s">
        <v>32</v>
      </c>
      <c r="AE299" t="s">
        <v>32</v>
      </c>
      <c r="AH299" t="s">
        <v>32</v>
      </c>
      <c r="AK299" t="s">
        <v>32</v>
      </c>
      <c r="AN299" t="s">
        <v>32</v>
      </c>
      <c r="AO299" t="s">
        <v>32</v>
      </c>
      <c r="AR299">
        <v>0</v>
      </c>
      <c r="AU299" t="s">
        <v>32</v>
      </c>
      <c r="AV299">
        <v>1750905</v>
      </c>
      <c r="AW299" t="s">
        <v>32</v>
      </c>
      <c r="AX299" t="s">
        <v>32</v>
      </c>
      <c r="AY299" t="s">
        <v>356</v>
      </c>
      <c r="AZ299">
        <v>30</v>
      </c>
      <c r="BA299">
        <v>2024684</v>
      </c>
      <c r="BB299">
        <v>0.16</v>
      </c>
      <c r="BC299">
        <v>324000</v>
      </c>
      <c r="BD299" t="s">
        <v>142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324000</v>
      </c>
      <c r="BK299" t="s">
        <v>25</v>
      </c>
      <c r="BL299" t="s">
        <v>870</v>
      </c>
      <c r="BM299">
        <v>30</v>
      </c>
      <c r="BN299">
        <v>2024684</v>
      </c>
      <c r="BO299">
        <v>0.04</v>
      </c>
      <c r="BP299">
        <v>81000</v>
      </c>
      <c r="BQ299">
        <v>0</v>
      </c>
      <c r="BR299" t="s">
        <v>1438</v>
      </c>
      <c r="BS299">
        <v>0</v>
      </c>
      <c r="BT299" t="s">
        <v>1438</v>
      </c>
      <c r="BU299">
        <v>0</v>
      </c>
      <c r="BV299" t="s">
        <v>25</v>
      </c>
      <c r="BW299" t="s">
        <v>189</v>
      </c>
      <c r="BX299">
        <v>30</v>
      </c>
      <c r="BY299">
        <v>2024684</v>
      </c>
      <c r="BZ299">
        <v>6.9599999999999995E-2</v>
      </c>
      <c r="CA299" t="s">
        <v>1439</v>
      </c>
      <c r="CB299" t="s">
        <v>312</v>
      </c>
      <c r="CC299" t="s">
        <v>1440</v>
      </c>
      <c r="CD299">
        <v>141000</v>
      </c>
      <c r="CE299">
        <v>30</v>
      </c>
      <c r="CF299" t="s">
        <v>466</v>
      </c>
      <c r="CG299">
        <v>2024684</v>
      </c>
      <c r="CH299">
        <v>0.04</v>
      </c>
      <c r="CI299">
        <v>81000</v>
      </c>
      <c r="CJ299">
        <v>2024684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 t="s">
        <v>88</v>
      </c>
      <c r="CT299" t="s">
        <v>1441</v>
      </c>
      <c r="CU299" t="s">
        <v>1442</v>
      </c>
    </row>
    <row r="300" spans="1:99">
      <c r="A300" t="s">
        <v>1431</v>
      </c>
      <c r="B300" t="s">
        <v>34</v>
      </c>
      <c r="C300" t="s">
        <v>2248</v>
      </c>
      <c r="D300" t="s">
        <v>2249</v>
      </c>
      <c r="E300" t="s">
        <v>2250</v>
      </c>
      <c r="F300" t="s">
        <v>2186</v>
      </c>
      <c r="G300" t="s">
        <v>1436</v>
      </c>
      <c r="H300" t="s">
        <v>2251</v>
      </c>
      <c r="I300" t="s">
        <v>682</v>
      </c>
      <c r="J300" t="s">
        <v>484</v>
      </c>
      <c r="K300" t="s">
        <v>29</v>
      </c>
      <c r="L300" t="s">
        <v>30</v>
      </c>
      <c r="M300">
        <v>205</v>
      </c>
      <c r="N300" t="s">
        <v>32</v>
      </c>
      <c r="O300" t="s">
        <v>32</v>
      </c>
      <c r="Q300" t="s">
        <v>32</v>
      </c>
      <c r="S300" t="s">
        <v>32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AA300" t="s">
        <v>88</v>
      </c>
      <c r="AB300" t="s">
        <v>32</v>
      </c>
      <c r="AE300" t="s">
        <v>32</v>
      </c>
      <c r="AH300" t="s">
        <v>32</v>
      </c>
      <c r="AK300" t="s">
        <v>32</v>
      </c>
      <c r="AN300" t="s">
        <v>32</v>
      </c>
      <c r="AO300" t="s">
        <v>32</v>
      </c>
      <c r="AR300">
        <v>0</v>
      </c>
      <c r="AU300" t="s">
        <v>32</v>
      </c>
      <c r="AV300">
        <v>1785595</v>
      </c>
      <c r="AW300" t="s">
        <v>32</v>
      </c>
      <c r="AX300" t="s">
        <v>32</v>
      </c>
      <c r="AY300" t="s">
        <v>317</v>
      </c>
      <c r="AZ300">
        <v>30</v>
      </c>
      <c r="BA300">
        <v>2060658</v>
      </c>
      <c r="BB300">
        <v>0.16</v>
      </c>
      <c r="BC300">
        <v>329800</v>
      </c>
      <c r="BD300" t="s">
        <v>142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329800</v>
      </c>
      <c r="BK300" t="s">
        <v>25</v>
      </c>
      <c r="BL300" t="s">
        <v>1071</v>
      </c>
      <c r="BM300">
        <v>30</v>
      </c>
      <c r="BN300">
        <v>2060658</v>
      </c>
      <c r="BO300">
        <v>0.04</v>
      </c>
      <c r="BP300">
        <v>82500</v>
      </c>
      <c r="BQ300">
        <v>0</v>
      </c>
      <c r="BR300" t="s">
        <v>1438</v>
      </c>
      <c r="BS300">
        <v>0</v>
      </c>
      <c r="BT300" t="s">
        <v>1438</v>
      </c>
      <c r="BU300">
        <v>0</v>
      </c>
      <c r="BV300" t="s">
        <v>25</v>
      </c>
      <c r="BW300" t="s">
        <v>189</v>
      </c>
      <c r="BX300">
        <v>30</v>
      </c>
      <c r="BY300">
        <v>2060658</v>
      </c>
      <c r="BZ300">
        <v>6.9599999999999995E-2</v>
      </c>
      <c r="CA300" t="s">
        <v>1439</v>
      </c>
      <c r="CB300" t="s">
        <v>312</v>
      </c>
      <c r="CC300" t="s">
        <v>1440</v>
      </c>
      <c r="CD300">
        <v>143500</v>
      </c>
      <c r="CE300">
        <v>30</v>
      </c>
      <c r="CF300" t="s">
        <v>466</v>
      </c>
      <c r="CG300">
        <v>2060658</v>
      </c>
      <c r="CH300">
        <v>0.04</v>
      </c>
      <c r="CI300">
        <v>82500</v>
      </c>
      <c r="CJ300">
        <v>2060658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 t="s">
        <v>88</v>
      </c>
      <c r="CT300" t="s">
        <v>1441</v>
      </c>
      <c r="CU300" t="s">
        <v>1442</v>
      </c>
    </row>
    <row r="301" spans="1:99">
      <c r="A301" t="s">
        <v>1431</v>
      </c>
      <c r="B301" t="s">
        <v>34</v>
      </c>
      <c r="C301" t="s">
        <v>2252</v>
      </c>
      <c r="D301" t="s">
        <v>2253</v>
      </c>
      <c r="E301" t="s">
        <v>2254</v>
      </c>
      <c r="F301" t="s">
        <v>1530</v>
      </c>
      <c r="G301" t="s">
        <v>2255</v>
      </c>
      <c r="H301" t="s">
        <v>1738</v>
      </c>
      <c r="I301" t="s">
        <v>682</v>
      </c>
      <c r="J301" t="s">
        <v>484</v>
      </c>
      <c r="K301" t="s">
        <v>29</v>
      </c>
      <c r="L301" t="s">
        <v>30</v>
      </c>
      <c r="M301">
        <v>205</v>
      </c>
      <c r="N301" t="s">
        <v>32</v>
      </c>
      <c r="O301" t="s">
        <v>32</v>
      </c>
      <c r="Q301" t="s">
        <v>32</v>
      </c>
      <c r="S301" t="s">
        <v>32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AA301" t="s">
        <v>88</v>
      </c>
      <c r="AB301" t="s">
        <v>32</v>
      </c>
      <c r="AE301" t="s">
        <v>32</v>
      </c>
      <c r="AH301" t="s">
        <v>32</v>
      </c>
      <c r="AK301" t="s">
        <v>32</v>
      </c>
      <c r="AN301" t="s">
        <v>32</v>
      </c>
      <c r="AO301" t="s">
        <v>32</v>
      </c>
      <c r="AR301">
        <v>0</v>
      </c>
      <c r="AU301" t="s">
        <v>32</v>
      </c>
      <c r="AV301">
        <v>1785595</v>
      </c>
      <c r="AW301" t="s">
        <v>32</v>
      </c>
      <c r="AX301" t="s">
        <v>32</v>
      </c>
      <c r="AY301" t="s">
        <v>317</v>
      </c>
      <c r="AZ301">
        <v>30</v>
      </c>
      <c r="BA301">
        <v>2060658</v>
      </c>
      <c r="BB301">
        <v>0.16</v>
      </c>
      <c r="BC301">
        <v>329800</v>
      </c>
      <c r="BD301" t="s">
        <v>142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329800</v>
      </c>
      <c r="BK301" t="s">
        <v>25</v>
      </c>
      <c r="BL301" t="s">
        <v>1071</v>
      </c>
      <c r="BM301">
        <v>30</v>
      </c>
      <c r="BN301">
        <v>2060658</v>
      </c>
      <c r="BO301">
        <v>0.04</v>
      </c>
      <c r="BP301">
        <v>82500</v>
      </c>
      <c r="BQ301">
        <v>0</v>
      </c>
      <c r="BR301" t="s">
        <v>1438</v>
      </c>
      <c r="BS301">
        <v>0</v>
      </c>
      <c r="BT301" t="s">
        <v>1438</v>
      </c>
      <c r="BU301">
        <v>0</v>
      </c>
      <c r="BV301" t="s">
        <v>25</v>
      </c>
      <c r="BW301" t="s">
        <v>189</v>
      </c>
      <c r="BX301">
        <v>30</v>
      </c>
      <c r="BY301">
        <v>2060658</v>
      </c>
      <c r="BZ301">
        <v>6.9599999999999995E-2</v>
      </c>
      <c r="CA301" t="s">
        <v>1439</v>
      </c>
      <c r="CB301" t="s">
        <v>312</v>
      </c>
      <c r="CC301" t="s">
        <v>1440</v>
      </c>
      <c r="CD301">
        <v>143500</v>
      </c>
      <c r="CE301">
        <v>30</v>
      </c>
      <c r="CF301" t="s">
        <v>466</v>
      </c>
      <c r="CG301">
        <v>2060658</v>
      </c>
      <c r="CH301">
        <v>0.04</v>
      </c>
      <c r="CI301">
        <v>82500</v>
      </c>
      <c r="CJ301">
        <v>2060658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 t="s">
        <v>88</v>
      </c>
      <c r="CT301" t="s">
        <v>1441</v>
      </c>
      <c r="CU301" t="s">
        <v>1442</v>
      </c>
    </row>
    <row r="302" spans="1:99">
      <c r="A302" t="s">
        <v>1431</v>
      </c>
      <c r="B302" t="s">
        <v>34</v>
      </c>
      <c r="C302" t="s">
        <v>2256</v>
      </c>
      <c r="D302" t="s">
        <v>2257</v>
      </c>
      <c r="E302" t="s">
        <v>2258</v>
      </c>
      <c r="F302" t="s">
        <v>2259</v>
      </c>
      <c r="G302" t="s">
        <v>2260</v>
      </c>
      <c r="H302" t="s">
        <v>1519</v>
      </c>
      <c r="I302" t="s">
        <v>682</v>
      </c>
      <c r="J302" t="s">
        <v>484</v>
      </c>
      <c r="K302" t="s">
        <v>29</v>
      </c>
      <c r="L302" t="s">
        <v>30</v>
      </c>
      <c r="M302">
        <v>200</v>
      </c>
      <c r="N302" t="s">
        <v>32</v>
      </c>
      <c r="O302" t="s">
        <v>32</v>
      </c>
      <c r="Q302" t="s">
        <v>32</v>
      </c>
      <c r="S302" t="s">
        <v>40</v>
      </c>
      <c r="T302">
        <v>46079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AA302" t="s">
        <v>88</v>
      </c>
      <c r="AB302" t="s">
        <v>32</v>
      </c>
      <c r="AE302" t="s">
        <v>32</v>
      </c>
      <c r="AH302" t="s">
        <v>32</v>
      </c>
      <c r="AK302" t="s">
        <v>32</v>
      </c>
      <c r="AN302" t="s">
        <v>32</v>
      </c>
      <c r="AO302" t="s">
        <v>32</v>
      </c>
      <c r="AR302">
        <v>0</v>
      </c>
      <c r="AU302" t="s">
        <v>32</v>
      </c>
      <c r="AV302">
        <v>1750905</v>
      </c>
      <c r="AW302" t="s">
        <v>32</v>
      </c>
      <c r="AX302" t="s">
        <v>32</v>
      </c>
      <c r="AY302" t="s">
        <v>317</v>
      </c>
      <c r="AZ302">
        <v>26</v>
      </c>
      <c r="BA302">
        <v>1971705</v>
      </c>
      <c r="BB302">
        <v>0.16</v>
      </c>
      <c r="BC302">
        <v>315500</v>
      </c>
      <c r="BD302" t="s">
        <v>142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315500</v>
      </c>
      <c r="BK302" t="s">
        <v>25</v>
      </c>
      <c r="BL302" t="s">
        <v>1010</v>
      </c>
      <c r="BM302">
        <v>26</v>
      </c>
      <c r="BN302">
        <v>1971705</v>
      </c>
      <c r="BO302">
        <v>0.04</v>
      </c>
      <c r="BP302">
        <v>78900</v>
      </c>
      <c r="BQ302">
        <v>0</v>
      </c>
      <c r="BR302" t="s">
        <v>1438</v>
      </c>
      <c r="BS302">
        <v>0</v>
      </c>
      <c r="BT302" t="s">
        <v>1438</v>
      </c>
      <c r="BU302">
        <v>0</v>
      </c>
      <c r="BV302" t="s">
        <v>25</v>
      </c>
      <c r="BW302" t="s">
        <v>189</v>
      </c>
      <c r="BX302">
        <v>26</v>
      </c>
      <c r="BY302">
        <v>1971705</v>
      </c>
      <c r="BZ302">
        <v>6.9599999999999995E-2</v>
      </c>
      <c r="CA302" t="s">
        <v>1439</v>
      </c>
      <c r="CB302" t="s">
        <v>312</v>
      </c>
      <c r="CC302" t="s">
        <v>1440</v>
      </c>
      <c r="CD302">
        <v>137300</v>
      </c>
      <c r="CE302">
        <v>26</v>
      </c>
      <c r="CF302" t="s">
        <v>466</v>
      </c>
      <c r="CG302">
        <v>2077291</v>
      </c>
      <c r="CH302">
        <v>0.04</v>
      </c>
      <c r="CI302">
        <v>83100</v>
      </c>
      <c r="CJ302">
        <v>2077291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 t="s">
        <v>88</v>
      </c>
      <c r="CT302" t="s">
        <v>1441</v>
      </c>
      <c r="CU302" t="s">
        <v>1442</v>
      </c>
    </row>
    <row r="303" spans="1:99">
      <c r="A303" t="s">
        <v>1431</v>
      </c>
      <c r="B303" t="s">
        <v>34</v>
      </c>
      <c r="C303" t="s">
        <v>2261</v>
      </c>
      <c r="D303" t="s">
        <v>2262</v>
      </c>
      <c r="E303" t="s">
        <v>2263</v>
      </c>
      <c r="F303" t="s">
        <v>335</v>
      </c>
      <c r="G303" t="s">
        <v>2264</v>
      </c>
      <c r="H303" t="s">
        <v>1468</v>
      </c>
      <c r="I303" t="s">
        <v>682</v>
      </c>
      <c r="J303" t="s">
        <v>484</v>
      </c>
      <c r="K303" t="s">
        <v>29</v>
      </c>
      <c r="L303" t="s">
        <v>30</v>
      </c>
      <c r="M303">
        <v>202</v>
      </c>
      <c r="N303" t="s">
        <v>32</v>
      </c>
      <c r="O303" t="s">
        <v>32</v>
      </c>
      <c r="Q303" t="s">
        <v>32</v>
      </c>
      <c r="S303" t="s">
        <v>40</v>
      </c>
      <c r="T303">
        <v>46079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AA303" t="s">
        <v>88</v>
      </c>
      <c r="AB303" t="s">
        <v>32</v>
      </c>
      <c r="AE303" t="s">
        <v>32</v>
      </c>
      <c r="AH303" t="s">
        <v>32</v>
      </c>
      <c r="AK303" t="s">
        <v>32</v>
      </c>
      <c r="AN303" t="s">
        <v>32</v>
      </c>
      <c r="AO303" t="s">
        <v>32</v>
      </c>
      <c r="AR303">
        <v>0</v>
      </c>
      <c r="AU303" t="s">
        <v>32</v>
      </c>
      <c r="AV303">
        <v>1785595</v>
      </c>
      <c r="AW303" t="s">
        <v>32</v>
      </c>
      <c r="AX303" t="s">
        <v>32</v>
      </c>
      <c r="AY303" t="s">
        <v>317</v>
      </c>
      <c r="AZ303">
        <v>26</v>
      </c>
      <c r="BA303">
        <v>2031061</v>
      </c>
      <c r="BB303">
        <v>0.16</v>
      </c>
      <c r="BC303">
        <v>325000</v>
      </c>
      <c r="BD303" t="s">
        <v>142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325000</v>
      </c>
      <c r="BK303" t="s">
        <v>25</v>
      </c>
      <c r="BL303" t="s">
        <v>1010</v>
      </c>
      <c r="BM303">
        <v>26</v>
      </c>
      <c r="BN303">
        <v>2031061</v>
      </c>
      <c r="BO303">
        <v>0.04</v>
      </c>
      <c r="BP303">
        <v>81300</v>
      </c>
      <c r="BQ303">
        <v>0</v>
      </c>
      <c r="BR303" t="s">
        <v>1438</v>
      </c>
      <c r="BS303">
        <v>0</v>
      </c>
      <c r="BT303" t="s">
        <v>1438</v>
      </c>
      <c r="BU303">
        <v>0</v>
      </c>
      <c r="BV303" t="s">
        <v>25</v>
      </c>
      <c r="BW303" t="s">
        <v>189</v>
      </c>
      <c r="BX303">
        <v>26</v>
      </c>
      <c r="BY303">
        <v>2031061</v>
      </c>
      <c r="BZ303">
        <v>6.9599999999999995E-2</v>
      </c>
      <c r="CA303" t="s">
        <v>1439</v>
      </c>
      <c r="CB303" t="s">
        <v>312</v>
      </c>
      <c r="CC303" t="s">
        <v>1440</v>
      </c>
      <c r="CD303">
        <v>141400</v>
      </c>
      <c r="CE303">
        <v>26</v>
      </c>
      <c r="CF303" t="s">
        <v>466</v>
      </c>
      <c r="CG303">
        <v>2139597</v>
      </c>
      <c r="CH303">
        <v>0.04</v>
      </c>
      <c r="CI303">
        <v>85600</v>
      </c>
      <c r="CJ303">
        <v>2139597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 t="s">
        <v>88</v>
      </c>
      <c r="CT303" t="s">
        <v>1441</v>
      </c>
      <c r="CU303" t="s">
        <v>1442</v>
      </c>
    </row>
    <row r="304" spans="1:99">
      <c r="A304" t="s">
        <v>1431</v>
      </c>
      <c r="B304" t="s">
        <v>34</v>
      </c>
      <c r="C304" t="s">
        <v>2265</v>
      </c>
      <c r="D304" t="s">
        <v>2266</v>
      </c>
      <c r="E304" t="s">
        <v>1530</v>
      </c>
      <c r="F304" t="s">
        <v>2267</v>
      </c>
      <c r="G304" t="s">
        <v>2268</v>
      </c>
      <c r="H304" t="s">
        <v>1437</v>
      </c>
      <c r="I304" t="s">
        <v>682</v>
      </c>
      <c r="J304" t="s">
        <v>484</v>
      </c>
      <c r="K304" t="s">
        <v>29</v>
      </c>
      <c r="L304" t="s">
        <v>30</v>
      </c>
      <c r="M304">
        <v>261</v>
      </c>
      <c r="N304" t="s">
        <v>32</v>
      </c>
      <c r="O304" t="s">
        <v>32</v>
      </c>
      <c r="Q304" t="s">
        <v>32</v>
      </c>
      <c r="S304" t="s">
        <v>32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AA304" t="s">
        <v>88</v>
      </c>
      <c r="AB304" t="s">
        <v>32</v>
      </c>
      <c r="AE304" t="s">
        <v>32</v>
      </c>
      <c r="AH304" t="s">
        <v>32</v>
      </c>
      <c r="AK304" t="s">
        <v>32</v>
      </c>
      <c r="AN304" t="s">
        <v>32</v>
      </c>
      <c r="AO304" t="s">
        <v>32</v>
      </c>
      <c r="AR304">
        <v>0</v>
      </c>
      <c r="AU304" t="s">
        <v>32</v>
      </c>
      <c r="AV304">
        <v>1895244</v>
      </c>
      <c r="AW304" t="s">
        <v>32</v>
      </c>
      <c r="AX304" t="s">
        <v>32</v>
      </c>
      <c r="AY304" t="s">
        <v>317</v>
      </c>
      <c r="AZ304">
        <v>30</v>
      </c>
      <c r="BA304">
        <v>2803669</v>
      </c>
      <c r="BB304">
        <v>0.16</v>
      </c>
      <c r="BC304">
        <v>448600</v>
      </c>
      <c r="BD304" t="s">
        <v>142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448600</v>
      </c>
      <c r="BK304" t="s">
        <v>25</v>
      </c>
      <c r="BL304" t="s">
        <v>748</v>
      </c>
      <c r="BM304">
        <v>30</v>
      </c>
      <c r="BN304">
        <v>2803669</v>
      </c>
      <c r="BO304">
        <v>0.04</v>
      </c>
      <c r="BP304">
        <v>112200</v>
      </c>
      <c r="BQ304">
        <v>0</v>
      </c>
      <c r="BR304" t="s">
        <v>1438</v>
      </c>
      <c r="BS304">
        <v>0</v>
      </c>
      <c r="BT304" t="s">
        <v>1438</v>
      </c>
      <c r="BU304">
        <v>0</v>
      </c>
      <c r="BV304" t="s">
        <v>25</v>
      </c>
      <c r="BW304" t="s">
        <v>189</v>
      </c>
      <c r="BX304">
        <v>30</v>
      </c>
      <c r="BY304">
        <v>2803669</v>
      </c>
      <c r="BZ304">
        <v>6.9599999999999995E-2</v>
      </c>
      <c r="CA304" t="s">
        <v>1439</v>
      </c>
      <c r="CB304" t="s">
        <v>312</v>
      </c>
      <c r="CC304" t="s">
        <v>1440</v>
      </c>
      <c r="CD304">
        <v>195200</v>
      </c>
      <c r="CE304">
        <v>30</v>
      </c>
      <c r="CF304" t="s">
        <v>466</v>
      </c>
      <c r="CG304">
        <v>2803669</v>
      </c>
      <c r="CH304">
        <v>0.04</v>
      </c>
      <c r="CI304">
        <v>112200</v>
      </c>
      <c r="CJ304">
        <v>2803669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 t="s">
        <v>88</v>
      </c>
      <c r="CT304" t="s">
        <v>1441</v>
      </c>
      <c r="CU304" t="s">
        <v>1442</v>
      </c>
    </row>
    <row r="305" spans="1:99">
      <c r="A305" t="s">
        <v>1431</v>
      </c>
      <c r="B305" t="s">
        <v>34</v>
      </c>
      <c r="C305" t="s">
        <v>2269</v>
      </c>
      <c r="D305" t="s">
        <v>2270</v>
      </c>
      <c r="E305" t="s">
        <v>2102</v>
      </c>
      <c r="F305" t="s">
        <v>1540</v>
      </c>
      <c r="G305" t="s">
        <v>2271</v>
      </c>
      <c r="H305" t="s">
        <v>1498</v>
      </c>
      <c r="I305" t="s">
        <v>682</v>
      </c>
      <c r="J305" t="s">
        <v>484</v>
      </c>
      <c r="K305" t="s">
        <v>29</v>
      </c>
      <c r="L305" t="s">
        <v>30</v>
      </c>
      <c r="M305">
        <v>205</v>
      </c>
      <c r="N305" t="s">
        <v>32</v>
      </c>
      <c r="O305" t="s">
        <v>32</v>
      </c>
      <c r="Q305" t="s">
        <v>32</v>
      </c>
      <c r="S305" t="s">
        <v>32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AA305" t="s">
        <v>88</v>
      </c>
      <c r="AB305" t="s">
        <v>32</v>
      </c>
      <c r="AE305" t="s">
        <v>32</v>
      </c>
      <c r="AH305" t="s">
        <v>32</v>
      </c>
      <c r="AK305" t="s">
        <v>32</v>
      </c>
      <c r="AN305" t="s">
        <v>32</v>
      </c>
      <c r="AO305" t="s">
        <v>32</v>
      </c>
      <c r="AR305">
        <v>0</v>
      </c>
      <c r="AU305" t="s">
        <v>32</v>
      </c>
      <c r="AV305">
        <v>1785595</v>
      </c>
      <c r="AW305" t="s">
        <v>32</v>
      </c>
      <c r="AX305" t="s">
        <v>32</v>
      </c>
      <c r="AY305" t="s">
        <v>317</v>
      </c>
      <c r="AZ305">
        <v>30</v>
      </c>
      <c r="BA305">
        <v>2110655</v>
      </c>
      <c r="BB305">
        <v>0.16</v>
      </c>
      <c r="BC305">
        <v>337800</v>
      </c>
      <c r="BD305" t="s">
        <v>142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337800</v>
      </c>
      <c r="BK305" t="s">
        <v>25</v>
      </c>
      <c r="BL305" t="s">
        <v>1064</v>
      </c>
      <c r="BM305">
        <v>30</v>
      </c>
      <c r="BN305">
        <v>2110655</v>
      </c>
      <c r="BO305">
        <v>0.04</v>
      </c>
      <c r="BP305">
        <v>84500</v>
      </c>
      <c r="BQ305">
        <v>0</v>
      </c>
      <c r="BR305" t="s">
        <v>1438</v>
      </c>
      <c r="BS305">
        <v>0</v>
      </c>
      <c r="BT305" t="s">
        <v>1438</v>
      </c>
      <c r="BU305">
        <v>0</v>
      </c>
      <c r="BV305" t="s">
        <v>25</v>
      </c>
      <c r="BW305" t="s">
        <v>189</v>
      </c>
      <c r="BX305">
        <v>30</v>
      </c>
      <c r="BY305">
        <v>2110655</v>
      </c>
      <c r="BZ305">
        <v>6.9599999999999995E-2</v>
      </c>
      <c r="CA305" t="s">
        <v>1439</v>
      </c>
      <c r="CB305" t="s">
        <v>312</v>
      </c>
      <c r="CC305" t="s">
        <v>1440</v>
      </c>
      <c r="CD305">
        <v>147000</v>
      </c>
      <c r="CE305">
        <v>30</v>
      </c>
      <c r="CF305" t="s">
        <v>466</v>
      </c>
      <c r="CG305">
        <v>2110655</v>
      </c>
      <c r="CH305">
        <v>0.04</v>
      </c>
      <c r="CI305">
        <v>84500</v>
      </c>
      <c r="CJ305">
        <v>2110655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 t="s">
        <v>88</v>
      </c>
      <c r="CT305" t="s">
        <v>1441</v>
      </c>
      <c r="CU305" t="s">
        <v>1442</v>
      </c>
    </row>
    <row r="306" spans="1:99">
      <c r="A306" t="s">
        <v>1431</v>
      </c>
      <c r="B306" t="s">
        <v>34</v>
      </c>
      <c r="C306" t="s">
        <v>2272</v>
      </c>
      <c r="D306" t="s">
        <v>2273</v>
      </c>
      <c r="E306" t="s">
        <v>2274</v>
      </c>
      <c r="F306" t="s">
        <v>2275</v>
      </c>
      <c r="G306" t="s">
        <v>2194</v>
      </c>
      <c r="H306" t="s">
        <v>1543</v>
      </c>
      <c r="I306" t="s">
        <v>682</v>
      </c>
      <c r="J306" t="s">
        <v>484</v>
      </c>
      <c r="K306" t="s">
        <v>29</v>
      </c>
      <c r="L306" t="s">
        <v>30</v>
      </c>
      <c r="M306">
        <v>212</v>
      </c>
      <c r="N306" t="s">
        <v>32</v>
      </c>
      <c r="O306" t="s">
        <v>32</v>
      </c>
      <c r="Q306" t="s">
        <v>32</v>
      </c>
      <c r="S306" t="s">
        <v>32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AA306" t="s">
        <v>88</v>
      </c>
      <c r="AB306" t="s">
        <v>32</v>
      </c>
      <c r="AE306" t="s">
        <v>32</v>
      </c>
      <c r="AH306" t="s">
        <v>32</v>
      </c>
      <c r="AK306" t="s">
        <v>32</v>
      </c>
      <c r="AN306" t="s">
        <v>32</v>
      </c>
      <c r="AO306" t="s">
        <v>32</v>
      </c>
      <c r="AR306">
        <v>0</v>
      </c>
      <c r="AU306" t="s">
        <v>32</v>
      </c>
      <c r="AV306">
        <v>1785595</v>
      </c>
      <c r="AW306" t="s">
        <v>32</v>
      </c>
      <c r="AX306" t="s">
        <v>32</v>
      </c>
      <c r="AY306" t="s">
        <v>317</v>
      </c>
      <c r="AZ306">
        <v>30</v>
      </c>
      <c r="BA306">
        <v>2181673</v>
      </c>
      <c r="BB306">
        <v>0.16</v>
      </c>
      <c r="BC306">
        <v>349100</v>
      </c>
      <c r="BD306" t="s">
        <v>142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349100</v>
      </c>
      <c r="BK306" t="s">
        <v>25</v>
      </c>
      <c r="BL306" t="s">
        <v>1064</v>
      </c>
      <c r="BM306">
        <v>30</v>
      </c>
      <c r="BN306">
        <v>2181673</v>
      </c>
      <c r="BO306">
        <v>0.04</v>
      </c>
      <c r="BP306">
        <v>87300</v>
      </c>
      <c r="BQ306">
        <v>0</v>
      </c>
      <c r="BR306" t="s">
        <v>1438</v>
      </c>
      <c r="BS306">
        <v>0</v>
      </c>
      <c r="BT306" t="s">
        <v>1438</v>
      </c>
      <c r="BU306">
        <v>0</v>
      </c>
      <c r="BV306" t="s">
        <v>25</v>
      </c>
      <c r="BW306" t="s">
        <v>189</v>
      </c>
      <c r="BX306">
        <v>30</v>
      </c>
      <c r="BY306">
        <v>2181673</v>
      </c>
      <c r="BZ306">
        <v>6.9599999999999995E-2</v>
      </c>
      <c r="CA306" t="s">
        <v>1439</v>
      </c>
      <c r="CB306" t="s">
        <v>312</v>
      </c>
      <c r="CC306" t="s">
        <v>1440</v>
      </c>
      <c r="CD306">
        <v>151900</v>
      </c>
      <c r="CE306">
        <v>30</v>
      </c>
      <c r="CF306" t="s">
        <v>466</v>
      </c>
      <c r="CG306">
        <v>2181673</v>
      </c>
      <c r="CH306">
        <v>0.04</v>
      </c>
      <c r="CI306">
        <v>87300</v>
      </c>
      <c r="CJ306">
        <v>2181673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 t="s">
        <v>88</v>
      </c>
      <c r="CT306" t="s">
        <v>1441</v>
      </c>
      <c r="CU306" t="s">
        <v>1442</v>
      </c>
    </row>
    <row r="307" spans="1:99">
      <c r="A307" t="s">
        <v>1431</v>
      </c>
      <c r="B307" t="s">
        <v>34</v>
      </c>
      <c r="C307" t="s">
        <v>2276</v>
      </c>
      <c r="D307" t="s">
        <v>2277</v>
      </c>
      <c r="E307" t="s">
        <v>2278</v>
      </c>
      <c r="F307" t="s">
        <v>692</v>
      </c>
      <c r="G307" t="s">
        <v>1478</v>
      </c>
      <c r="H307" t="s">
        <v>1436</v>
      </c>
      <c r="I307" t="s">
        <v>240</v>
      </c>
      <c r="J307" t="s">
        <v>46</v>
      </c>
      <c r="K307" t="s">
        <v>29</v>
      </c>
      <c r="L307" t="s">
        <v>30</v>
      </c>
      <c r="M307">
        <v>188</v>
      </c>
      <c r="N307" t="s">
        <v>32</v>
      </c>
      <c r="O307" t="s">
        <v>32</v>
      </c>
      <c r="Q307" t="s">
        <v>32</v>
      </c>
      <c r="S307" t="s">
        <v>32</v>
      </c>
      <c r="U307" t="s">
        <v>32</v>
      </c>
      <c r="V307" t="s">
        <v>32</v>
      </c>
      <c r="W307" t="s">
        <v>32</v>
      </c>
      <c r="X307" t="s">
        <v>32</v>
      </c>
      <c r="Y307" t="s">
        <v>88</v>
      </c>
      <c r="Z307">
        <v>46054</v>
      </c>
      <c r="AA307" t="s">
        <v>32</v>
      </c>
      <c r="AB307" t="s">
        <v>32</v>
      </c>
      <c r="AE307" t="s">
        <v>32</v>
      </c>
      <c r="AH307" t="s">
        <v>32</v>
      </c>
      <c r="AK307" t="s">
        <v>32</v>
      </c>
      <c r="AN307" t="s">
        <v>32</v>
      </c>
      <c r="AO307" t="s">
        <v>32</v>
      </c>
      <c r="AR307">
        <v>0</v>
      </c>
      <c r="AU307" t="s">
        <v>32</v>
      </c>
      <c r="AV307">
        <v>11201102</v>
      </c>
      <c r="AW307" t="s">
        <v>32</v>
      </c>
      <c r="AX307" t="s">
        <v>32</v>
      </c>
      <c r="AY307" t="s">
        <v>185</v>
      </c>
      <c r="AZ307">
        <v>30</v>
      </c>
      <c r="BA307">
        <v>11201102</v>
      </c>
      <c r="BB307">
        <v>0.16</v>
      </c>
      <c r="BC307">
        <v>1792200</v>
      </c>
      <c r="BD307" t="s">
        <v>142</v>
      </c>
      <c r="BE307">
        <v>0</v>
      </c>
      <c r="BF307">
        <v>0</v>
      </c>
      <c r="BG307">
        <v>56100</v>
      </c>
      <c r="BH307">
        <v>56100</v>
      </c>
      <c r="BI307">
        <v>0</v>
      </c>
      <c r="BJ307">
        <v>1904400</v>
      </c>
      <c r="BK307" t="s">
        <v>25</v>
      </c>
      <c r="BL307" t="s">
        <v>885</v>
      </c>
      <c r="BM307">
        <v>30</v>
      </c>
      <c r="BN307">
        <v>11201102</v>
      </c>
      <c r="BO307">
        <v>0.04</v>
      </c>
      <c r="BP307">
        <v>448100</v>
      </c>
      <c r="BQ307">
        <v>0</v>
      </c>
      <c r="BR307" t="s">
        <v>1438</v>
      </c>
      <c r="BS307">
        <v>0</v>
      </c>
      <c r="BT307" t="s">
        <v>1438</v>
      </c>
      <c r="BU307">
        <v>0</v>
      </c>
      <c r="BV307" t="s">
        <v>25</v>
      </c>
      <c r="BW307" t="s">
        <v>189</v>
      </c>
      <c r="BX307">
        <v>30</v>
      </c>
      <c r="BY307">
        <v>11201102</v>
      </c>
      <c r="BZ307">
        <v>6.9599999999999995E-2</v>
      </c>
      <c r="CA307" t="s">
        <v>1439</v>
      </c>
      <c r="CB307" t="s">
        <v>227</v>
      </c>
      <c r="CC307" t="s">
        <v>1440</v>
      </c>
      <c r="CD307">
        <v>779600</v>
      </c>
      <c r="CE307">
        <v>30</v>
      </c>
      <c r="CF307" t="s">
        <v>635</v>
      </c>
      <c r="CG307">
        <v>11201102</v>
      </c>
      <c r="CH307">
        <v>0.04</v>
      </c>
      <c r="CI307">
        <v>448100</v>
      </c>
      <c r="CJ307">
        <v>11201102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 t="s">
        <v>88</v>
      </c>
      <c r="CT307" t="s">
        <v>1441</v>
      </c>
      <c r="CU307" t="s">
        <v>1442</v>
      </c>
    </row>
    <row r="308" spans="1:99">
      <c r="A308" t="s">
        <v>1431</v>
      </c>
      <c r="B308" t="s">
        <v>34</v>
      </c>
      <c r="C308" t="s">
        <v>2279</v>
      </c>
      <c r="D308" t="s">
        <v>2280</v>
      </c>
      <c r="E308" t="s">
        <v>2281</v>
      </c>
      <c r="F308" t="s">
        <v>1551</v>
      </c>
      <c r="G308" t="s">
        <v>1650</v>
      </c>
      <c r="H308" t="s">
        <v>1850</v>
      </c>
      <c r="I308" t="s">
        <v>240</v>
      </c>
      <c r="J308" t="s">
        <v>46</v>
      </c>
      <c r="K308" t="s">
        <v>29</v>
      </c>
      <c r="L308" t="s">
        <v>30</v>
      </c>
      <c r="M308">
        <v>0</v>
      </c>
      <c r="N308" t="s">
        <v>32</v>
      </c>
      <c r="O308" t="s">
        <v>32</v>
      </c>
      <c r="Q308" t="s">
        <v>32</v>
      </c>
      <c r="S308" t="s">
        <v>32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AA308" t="s">
        <v>32</v>
      </c>
      <c r="AB308" t="s">
        <v>32</v>
      </c>
      <c r="AE308" t="s">
        <v>32</v>
      </c>
      <c r="AH308" t="s">
        <v>32</v>
      </c>
      <c r="AK308" t="s">
        <v>128</v>
      </c>
      <c r="AL308">
        <v>46069</v>
      </c>
      <c r="AM308">
        <v>46072</v>
      </c>
      <c r="AN308" t="s">
        <v>32</v>
      </c>
      <c r="AO308" t="s">
        <v>32</v>
      </c>
      <c r="AR308">
        <v>0</v>
      </c>
      <c r="AU308" t="s">
        <v>32</v>
      </c>
      <c r="AV308">
        <v>3743280</v>
      </c>
      <c r="AW308" t="s">
        <v>32</v>
      </c>
      <c r="AX308" t="s">
        <v>32</v>
      </c>
      <c r="AY308" t="s">
        <v>317</v>
      </c>
      <c r="AZ308">
        <v>4</v>
      </c>
      <c r="BA308">
        <v>499104</v>
      </c>
      <c r="BB308">
        <v>0.16</v>
      </c>
      <c r="BC308">
        <v>79900</v>
      </c>
      <c r="BD308" t="s">
        <v>142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79900</v>
      </c>
      <c r="BK308" t="s">
        <v>25</v>
      </c>
      <c r="BL308" t="s">
        <v>1071</v>
      </c>
      <c r="BM308">
        <v>4</v>
      </c>
      <c r="BN308">
        <v>499104</v>
      </c>
      <c r="BO308">
        <v>0.04</v>
      </c>
      <c r="BP308">
        <v>20000</v>
      </c>
      <c r="BQ308">
        <v>0</v>
      </c>
      <c r="BR308" t="s">
        <v>1438</v>
      </c>
      <c r="BS308">
        <v>0</v>
      </c>
      <c r="BT308" t="s">
        <v>1438</v>
      </c>
      <c r="BU308">
        <v>0</v>
      </c>
      <c r="BV308" t="s">
        <v>25</v>
      </c>
      <c r="BW308" t="s">
        <v>189</v>
      </c>
      <c r="BX308">
        <v>4</v>
      </c>
      <c r="BY308">
        <v>499104</v>
      </c>
      <c r="BZ308">
        <v>0</v>
      </c>
      <c r="CA308" t="s">
        <v>1439</v>
      </c>
      <c r="CB308" t="s">
        <v>227</v>
      </c>
      <c r="CC308" t="s">
        <v>1440</v>
      </c>
      <c r="CD308">
        <v>0</v>
      </c>
      <c r="CE308">
        <v>4</v>
      </c>
      <c r="CF308" t="s">
        <v>635</v>
      </c>
      <c r="CG308">
        <v>499104</v>
      </c>
      <c r="CH308">
        <v>0.04</v>
      </c>
      <c r="CI308">
        <v>20000</v>
      </c>
      <c r="CJ308">
        <v>499104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 t="s">
        <v>88</v>
      </c>
      <c r="CT308" t="s">
        <v>1441</v>
      </c>
      <c r="CU308" t="s">
        <v>1442</v>
      </c>
    </row>
    <row r="309" spans="1:99">
      <c r="A309" t="s">
        <v>1431</v>
      </c>
      <c r="B309" t="s">
        <v>34</v>
      </c>
      <c r="C309" t="s">
        <v>2279</v>
      </c>
      <c r="D309" t="s">
        <v>2280</v>
      </c>
      <c r="E309" t="s">
        <v>2281</v>
      </c>
      <c r="F309" t="s">
        <v>1551</v>
      </c>
      <c r="G309" t="s">
        <v>1650</v>
      </c>
      <c r="H309" t="s">
        <v>1850</v>
      </c>
      <c r="I309" t="s">
        <v>240</v>
      </c>
      <c r="J309" t="s">
        <v>46</v>
      </c>
      <c r="K309" t="s">
        <v>29</v>
      </c>
      <c r="L309" t="s">
        <v>30</v>
      </c>
      <c r="M309">
        <v>144</v>
      </c>
      <c r="N309" t="s">
        <v>32</v>
      </c>
      <c r="O309" t="s">
        <v>32</v>
      </c>
      <c r="Q309" t="s">
        <v>32</v>
      </c>
      <c r="S309" t="s">
        <v>32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AA309" t="s">
        <v>32</v>
      </c>
      <c r="AB309" t="s">
        <v>32</v>
      </c>
      <c r="AE309" t="s">
        <v>32</v>
      </c>
      <c r="AH309" t="s">
        <v>32</v>
      </c>
      <c r="AK309" t="s">
        <v>32</v>
      </c>
      <c r="AN309" t="s">
        <v>32</v>
      </c>
      <c r="AO309" t="s">
        <v>32</v>
      </c>
      <c r="AR309">
        <v>0</v>
      </c>
      <c r="AU309" t="s">
        <v>32</v>
      </c>
      <c r="AV309">
        <v>3743280</v>
      </c>
      <c r="AW309" t="s">
        <v>32</v>
      </c>
      <c r="AX309" t="s">
        <v>32</v>
      </c>
      <c r="AY309" t="s">
        <v>317</v>
      </c>
      <c r="AZ309">
        <v>26</v>
      </c>
      <c r="BA309">
        <v>3366388</v>
      </c>
      <c r="BB309">
        <v>0.16</v>
      </c>
      <c r="BC309">
        <v>538700</v>
      </c>
      <c r="BD309" t="s">
        <v>142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538700</v>
      </c>
      <c r="BK309" t="s">
        <v>25</v>
      </c>
      <c r="BL309" t="s">
        <v>1071</v>
      </c>
      <c r="BM309">
        <v>26</v>
      </c>
      <c r="BN309">
        <v>3366388</v>
      </c>
      <c r="BO309">
        <v>0.04</v>
      </c>
      <c r="BP309">
        <v>134700</v>
      </c>
      <c r="BQ309">
        <v>0</v>
      </c>
      <c r="BR309" t="s">
        <v>1438</v>
      </c>
      <c r="BS309">
        <v>0</v>
      </c>
      <c r="BT309" t="s">
        <v>1438</v>
      </c>
      <c r="BU309">
        <v>0</v>
      </c>
      <c r="BV309" t="s">
        <v>25</v>
      </c>
      <c r="BW309" t="s">
        <v>189</v>
      </c>
      <c r="BX309">
        <v>26</v>
      </c>
      <c r="BY309">
        <v>3366388</v>
      </c>
      <c r="BZ309">
        <v>6.9599999999999995E-2</v>
      </c>
      <c r="CA309" t="s">
        <v>1439</v>
      </c>
      <c r="CB309" t="s">
        <v>227</v>
      </c>
      <c r="CC309" t="s">
        <v>1440</v>
      </c>
      <c r="CD309">
        <v>234400</v>
      </c>
      <c r="CE309">
        <v>26</v>
      </c>
      <c r="CF309" t="s">
        <v>635</v>
      </c>
      <c r="CG309">
        <v>3244176</v>
      </c>
      <c r="CH309">
        <v>0.04</v>
      </c>
      <c r="CI309">
        <v>129800</v>
      </c>
      <c r="CJ309">
        <v>3244176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 t="s">
        <v>88</v>
      </c>
      <c r="CT309" t="s">
        <v>1441</v>
      </c>
      <c r="CU309" t="s">
        <v>1442</v>
      </c>
    </row>
    <row r="310" spans="1:99">
      <c r="A310" t="s">
        <v>1431</v>
      </c>
      <c r="B310" t="s">
        <v>34</v>
      </c>
      <c r="C310" t="s">
        <v>2282</v>
      </c>
      <c r="D310" t="s">
        <v>2283</v>
      </c>
      <c r="E310" t="s">
        <v>2284</v>
      </c>
      <c r="F310" t="s">
        <v>2159</v>
      </c>
      <c r="G310" t="s">
        <v>1790</v>
      </c>
      <c r="H310" t="s">
        <v>1519</v>
      </c>
      <c r="I310" t="s">
        <v>682</v>
      </c>
      <c r="J310" t="s">
        <v>484</v>
      </c>
      <c r="K310" t="s">
        <v>29</v>
      </c>
      <c r="L310" t="s">
        <v>30</v>
      </c>
      <c r="M310">
        <v>202</v>
      </c>
      <c r="N310" t="s">
        <v>32</v>
      </c>
      <c r="O310" t="s">
        <v>32</v>
      </c>
      <c r="Q310" t="s">
        <v>32</v>
      </c>
      <c r="S310" t="s">
        <v>40</v>
      </c>
      <c r="T310">
        <v>46079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AA310" t="s">
        <v>88</v>
      </c>
      <c r="AB310" t="s">
        <v>32</v>
      </c>
      <c r="AE310" t="s">
        <v>32</v>
      </c>
      <c r="AH310" t="s">
        <v>32</v>
      </c>
      <c r="AK310" t="s">
        <v>32</v>
      </c>
      <c r="AN310" t="s">
        <v>32</v>
      </c>
      <c r="AO310" t="s">
        <v>32</v>
      </c>
      <c r="AR310">
        <v>0</v>
      </c>
      <c r="AU310" t="s">
        <v>32</v>
      </c>
      <c r="AV310">
        <v>1785595</v>
      </c>
      <c r="AW310" t="s">
        <v>32</v>
      </c>
      <c r="AX310" t="s">
        <v>32</v>
      </c>
      <c r="AY310" t="s">
        <v>317</v>
      </c>
      <c r="AZ310">
        <v>26</v>
      </c>
      <c r="BA310">
        <v>2031061</v>
      </c>
      <c r="BB310">
        <v>0.16</v>
      </c>
      <c r="BC310">
        <v>325000</v>
      </c>
      <c r="BD310" t="s">
        <v>142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325000</v>
      </c>
      <c r="BK310" t="s">
        <v>25</v>
      </c>
      <c r="BL310" t="s">
        <v>748</v>
      </c>
      <c r="BM310">
        <v>26</v>
      </c>
      <c r="BN310">
        <v>2031061</v>
      </c>
      <c r="BO310">
        <v>0.04</v>
      </c>
      <c r="BP310">
        <v>81300</v>
      </c>
      <c r="BQ310">
        <v>0</v>
      </c>
      <c r="BR310" t="s">
        <v>1438</v>
      </c>
      <c r="BS310">
        <v>0</v>
      </c>
      <c r="BT310" t="s">
        <v>1438</v>
      </c>
      <c r="BU310">
        <v>0</v>
      </c>
      <c r="BV310" t="s">
        <v>25</v>
      </c>
      <c r="BW310" t="s">
        <v>189</v>
      </c>
      <c r="BX310">
        <v>26</v>
      </c>
      <c r="BY310">
        <v>2031061</v>
      </c>
      <c r="BZ310">
        <v>6.9599999999999995E-2</v>
      </c>
      <c r="CA310" t="s">
        <v>1439</v>
      </c>
      <c r="CB310" t="s">
        <v>312</v>
      </c>
      <c r="CC310" t="s">
        <v>1440</v>
      </c>
      <c r="CD310">
        <v>141400</v>
      </c>
      <c r="CE310">
        <v>26</v>
      </c>
      <c r="CF310" t="s">
        <v>466</v>
      </c>
      <c r="CG310">
        <v>2139597</v>
      </c>
      <c r="CH310">
        <v>0.04</v>
      </c>
      <c r="CI310">
        <v>85600</v>
      </c>
      <c r="CJ310">
        <v>2139597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 t="s">
        <v>88</v>
      </c>
      <c r="CT310" t="s">
        <v>1441</v>
      </c>
      <c r="CU310" t="s">
        <v>1442</v>
      </c>
    </row>
    <row r="311" spans="1:99" s="7" customFormat="1">
      <c r="A311" t="s">
        <v>1431</v>
      </c>
      <c r="B311" t="s">
        <v>34</v>
      </c>
      <c r="C311" t="s">
        <v>2285</v>
      </c>
      <c r="D311" t="s">
        <v>2286</v>
      </c>
      <c r="E311" t="s">
        <v>667</v>
      </c>
      <c r="F311" t="s">
        <v>1900</v>
      </c>
      <c r="G311" t="s">
        <v>1489</v>
      </c>
      <c r="H311" t="s">
        <v>2287</v>
      </c>
      <c r="I311" t="s">
        <v>240</v>
      </c>
      <c r="J311" t="s">
        <v>46</v>
      </c>
      <c r="K311" t="s">
        <v>29</v>
      </c>
      <c r="L311" t="s">
        <v>30</v>
      </c>
      <c r="M311">
        <v>212</v>
      </c>
      <c r="N311" t="s">
        <v>32</v>
      </c>
      <c r="O311" t="s">
        <v>32</v>
      </c>
      <c r="P311"/>
      <c r="Q311" t="s">
        <v>32</v>
      </c>
      <c r="R311"/>
      <c r="S311" t="s">
        <v>32</v>
      </c>
      <c r="T311"/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/>
      <c r="AA311" t="s">
        <v>88</v>
      </c>
      <c r="AB311" t="s">
        <v>32</v>
      </c>
      <c r="AC311"/>
      <c r="AD311"/>
      <c r="AE311" t="s">
        <v>32</v>
      </c>
      <c r="AF311"/>
      <c r="AG311"/>
      <c r="AH311" t="s">
        <v>32</v>
      </c>
      <c r="AI311"/>
      <c r="AJ311"/>
      <c r="AK311" t="s">
        <v>32</v>
      </c>
      <c r="AL311"/>
      <c r="AM311"/>
      <c r="AN311" t="s">
        <v>32</v>
      </c>
      <c r="AO311" t="s">
        <v>32</v>
      </c>
      <c r="AP311"/>
      <c r="AQ311"/>
      <c r="AR311">
        <v>0</v>
      </c>
      <c r="AS311"/>
      <c r="AT311"/>
      <c r="AU311" t="s">
        <v>32</v>
      </c>
      <c r="AV311">
        <v>1750905</v>
      </c>
      <c r="AW311" t="s">
        <v>32</v>
      </c>
      <c r="AX311" t="s">
        <v>32</v>
      </c>
      <c r="AY311" t="s">
        <v>317</v>
      </c>
      <c r="AZ311">
        <v>30</v>
      </c>
      <c r="BA311">
        <v>1989666</v>
      </c>
      <c r="BB311">
        <v>0.16</v>
      </c>
      <c r="BC311">
        <v>318400</v>
      </c>
      <c r="BD311" t="s">
        <v>142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318400</v>
      </c>
      <c r="BK311" t="s">
        <v>25</v>
      </c>
      <c r="BL311" t="s">
        <v>885</v>
      </c>
      <c r="BM311">
        <v>30</v>
      </c>
      <c r="BN311">
        <v>1989666</v>
      </c>
      <c r="BO311">
        <v>0.04</v>
      </c>
      <c r="BP311">
        <v>79600</v>
      </c>
      <c r="BQ311">
        <v>0</v>
      </c>
      <c r="BR311" t="s">
        <v>1438</v>
      </c>
      <c r="BS311">
        <v>0</v>
      </c>
      <c r="BT311" t="s">
        <v>1438</v>
      </c>
      <c r="BU311">
        <v>0</v>
      </c>
      <c r="BV311" t="s">
        <v>25</v>
      </c>
      <c r="BW311" t="s">
        <v>189</v>
      </c>
      <c r="BX311">
        <v>30</v>
      </c>
      <c r="BY311">
        <v>1989666</v>
      </c>
      <c r="BZ311">
        <v>2.436E-2</v>
      </c>
      <c r="CA311" t="s">
        <v>1772</v>
      </c>
      <c r="CB311" t="s">
        <v>227</v>
      </c>
      <c r="CC311" t="s">
        <v>1773</v>
      </c>
      <c r="CD311">
        <v>48500</v>
      </c>
      <c r="CE311">
        <v>30</v>
      </c>
      <c r="CF311" t="s">
        <v>635</v>
      </c>
      <c r="CG311">
        <v>1989666</v>
      </c>
      <c r="CH311">
        <v>0.04</v>
      </c>
      <c r="CI311">
        <v>79600</v>
      </c>
      <c r="CJ311">
        <v>1989666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 t="s">
        <v>88</v>
      </c>
      <c r="CT311" t="s">
        <v>1441</v>
      </c>
      <c r="CU311" t="s">
        <v>1442</v>
      </c>
    </row>
    <row r="312" spans="1:99">
      <c r="A312" t="s">
        <v>1431</v>
      </c>
      <c r="B312" t="s">
        <v>34</v>
      </c>
      <c r="C312" t="s">
        <v>2288</v>
      </c>
      <c r="D312" t="s">
        <v>2289</v>
      </c>
      <c r="E312" t="s">
        <v>1692</v>
      </c>
      <c r="F312" t="s">
        <v>2290</v>
      </c>
      <c r="G312" t="s">
        <v>1532</v>
      </c>
      <c r="H312" t="s">
        <v>1584</v>
      </c>
      <c r="I312" t="s">
        <v>240</v>
      </c>
      <c r="J312" t="s">
        <v>46</v>
      </c>
      <c r="K312" t="s">
        <v>29</v>
      </c>
      <c r="L312" t="s">
        <v>30</v>
      </c>
      <c r="M312">
        <v>0</v>
      </c>
      <c r="N312" t="s">
        <v>32</v>
      </c>
      <c r="O312" t="s">
        <v>32</v>
      </c>
      <c r="Q312" t="s">
        <v>32</v>
      </c>
      <c r="S312" t="s">
        <v>32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AA312" t="s">
        <v>32</v>
      </c>
      <c r="AB312" t="s">
        <v>37</v>
      </c>
      <c r="AC312">
        <v>46054</v>
      </c>
      <c r="AD312">
        <v>46055</v>
      </c>
      <c r="AE312" t="s">
        <v>32</v>
      </c>
      <c r="AH312" t="s">
        <v>32</v>
      </c>
      <c r="AK312" t="s">
        <v>32</v>
      </c>
      <c r="AN312" t="s">
        <v>32</v>
      </c>
      <c r="AO312" t="s">
        <v>32</v>
      </c>
      <c r="AR312">
        <v>0</v>
      </c>
      <c r="AU312" t="s">
        <v>32</v>
      </c>
      <c r="AV312">
        <v>1750905</v>
      </c>
      <c r="AW312" t="s">
        <v>32</v>
      </c>
      <c r="AX312" t="s">
        <v>32</v>
      </c>
      <c r="AY312" t="s">
        <v>317</v>
      </c>
      <c r="AZ312">
        <v>2</v>
      </c>
      <c r="BA312">
        <v>116727</v>
      </c>
      <c r="BB312">
        <v>0.16</v>
      </c>
      <c r="BC312">
        <v>18700</v>
      </c>
      <c r="BD312" t="s">
        <v>142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18700</v>
      </c>
      <c r="BK312" t="s">
        <v>25</v>
      </c>
      <c r="BL312" t="s">
        <v>1064</v>
      </c>
      <c r="BM312">
        <v>2</v>
      </c>
      <c r="BN312">
        <v>116727</v>
      </c>
      <c r="BO312">
        <v>0</v>
      </c>
      <c r="BP312">
        <v>0</v>
      </c>
      <c r="BQ312">
        <v>0</v>
      </c>
      <c r="BR312" t="s">
        <v>1438</v>
      </c>
      <c r="BS312">
        <v>0</v>
      </c>
      <c r="BT312" t="s">
        <v>1438</v>
      </c>
      <c r="BU312">
        <v>0</v>
      </c>
      <c r="BV312" t="s">
        <v>25</v>
      </c>
      <c r="BW312" t="s">
        <v>189</v>
      </c>
      <c r="BX312">
        <v>2</v>
      </c>
      <c r="BY312">
        <v>116727</v>
      </c>
      <c r="BZ312">
        <v>0</v>
      </c>
      <c r="CA312" t="s">
        <v>1439</v>
      </c>
      <c r="CB312" t="s">
        <v>227</v>
      </c>
      <c r="CC312" t="s">
        <v>1440</v>
      </c>
      <c r="CD312">
        <v>0</v>
      </c>
      <c r="CE312">
        <v>2</v>
      </c>
      <c r="CF312" t="s">
        <v>635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 t="s">
        <v>88</v>
      </c>
      <c r="CT312" t="s">
        <v>1441</v>
      </c>
      <c r="CU312" t="s">
        <v>1442</v>
      </c>
    </row>
    <row r="313" spans="1:99">
      <c r="A313" t="s">
        <v>1431</v>
      </c>
      <c r="B313" t="s">
        <v>34</v>
      </c>
      <c r="C313" t="s">
        <v>2288</v>
      </c>
      <c r="D313" t="s">
        <v>2289</v>
      </c>
      <c r="E313" t="s">
        <v>1692</v>
      </c>
      <c r="F313" t="s">
        <v>2290</v>
      </c>
      <c r="G313" t="s">
        <v>1532</v>
      </c>
      <c r="H313" t="s">
        <v>1584</v>
      </c>
      <c r="I313" t="s">
        <v>240</v>
      </c>
      <c r="J313" t="s">
        <v>46</v>
      </c>
      <c r="K313" t="s">
        <v>29</v>
      </c>
      <c r="L313" t="s">
        <v>30</v>
      </c>
      <c r="M313">
        <v>0</v>
      </c>
      <c r="N313" t="s">
        <v>32</v>
      </c>
      <c r="O313" t="s">
        <v>32</v>
      </c>
      <c r="Q313" t="s">
        <v>32</v>
      </c>
      <c r="S313" t="s">
        <v>32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AA313" t="s">
        <v>32</v>
      </c>
      <c r="AB313" t="s">
        <v>37</v>
      </c>
      <c r="AC313">
        <v>46058</v>
      </c>
      <c r="AD313">
        <v>46059</v>
      </c>
      <c r="AE313" t="s">
        <v>32</v>
      </c>
      <c r="AH313" t="s">
        <v>32</v>
      </c>
      <c r="AK313" t="s">
        <v>32</v>
      </c>
      <c r="AN313" t="s">
        <v>32</v>
      </c>
      <c r="AO313" t="s">
        <v>32</v>
      </c>
      <c r="AR313">
        <v>0</v>
      </c>
      <c r="AU313" t="s">
        <v>32</v>
      </c>
      <c r="AV313">
        <v>1750905</v>
      </c>
      <c r="AW313" t="s">
        <v>32</v>
      </c>
      <c r="AX313" t="s">
        <v>32</v>
      </c>
      <c r="AY313" t="s">
        <v>317</v>
      </c>
      <c r="AZ313">
        <v>2</v>
      </c>
      <c r="BA313">
        <v>116727</v>
      </c>
      <c r="BB313">
        <v>0.16</v>
      </c>
      <c r="BC313">
        <v>18700</v>
      </c>
      <c r="BD313" t="s">
        <v>142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18700</v>
      </c>
      <c r="BK313" t="s">
        <v>25</v>
      </c>
      <c r="BL313" t="s">
        <v>1064</v>
      </c>
      <c r="BM313">
        <v>2</v>
      </c>
      <c r="BN313">
        <v>116727</v>
      </c>
      <c r="BO313">
        <v>0</v>
      </c>
      <c r="BP313">
        <v>0</v>
      </c>
      <c r="BQ313">
        <v>0</v>
      </c>
      <c r="BR313" t="s">
        <v>1438</v>
      </c>
      <c r="BS313">
        <v>0</v>
      </c>
      <c r="BT313" t="s">
        <v>1438</v>
      </c>
      <c r="BU313">
        <v>0</v>
      </c>
      <c r="BV313" t="s">
        <v>25</v>
      </c>
      <c r="BW313" t="s">
        <v>189</v>
      </c>
      <c r="BX313">
        <v>2</v>
      </c>
      <c r="BY313">
        <v>116727</v>
      </c>
      <c r="BZ313">
        <v>0</v>
      </c>
      <c r="CA313" t="s">
        <v>1439</v>
      </c>
      <c r="CB313" t="s">
        <v>227</v>
      </c>
      <c r="CC313" t="s">
        <v>1440</v>
      </c>
      <c r="CD313">
        <v>0</v>
      </c>
      <c r="CE313">
        <v>2</v>
      </c>
      <c r="CF313" t="s">
        <v>635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 t="s">
        <v>88</v>
      </c>
      <c r="CT313" t="s">
        <v>1441</v>
      </c>
      <c r="CU313" t="s">
        <v>1442</v>
      </c>
    </row>
    <row r="314" spans="1:99">
      <c r="A314" t="s">
        <v>1431</v>
      </c>
      <c r="B314" t="s">
        <v>34</v>
      </c>
      <c r="C314" t="s">
        <v>2288</v>
      </c>
      <c r="D314" t="s">
        <v>2289</v>
      </c>
      <c r="E314" t="s">
        <v>1692</v>
      </c>
      <c r="F314" t="s">
        <v>2290</v>
      </c>
      <c r="G314" t="s">
        <v>1532</v>
      </c>
      <c r="H314" t="s">
        <v>1584</v>
      </c>
      <c r="I314" t="s">
        <v>240</v>
      </c>
      <c r="J314" t="s">
        <v>46</v>
      </c>
      <c r="K314" t="s">
        <v>29</v>
      </c>
      <c r="L314" t="s">
        <v>30</v>
      </c>
      <c r="M314">
        <v>188</v>
      </c>
      <c r="N314" t="s">
        <v>32</v>
      </c>
      <c r="O314" t="s">
        <v>32</v>
      </c>
      <c r="Q314" t="s">
        <v>32</v>
      </c>
      <c r="S314" t="s">
        <v>32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AA314" t="s">
        <v>88</v>
      </c>
      <c r="AB314" t="s">
        <v>32</v>
      </c>
      <c r="AE314" t="s">
        <v>32</v>
      </c>
      <c r="AH314" t="s">
        <v>32</v>
      </c>
      <c r="AK314" t="s">
        <v>32</v>
      </c>
      <c r="AN314" t="s">
        <v>32</v>
      </c>
      <c r="AO314" t="s">
        <v>32</v>
      </c>
      <c r="AR314">
        <v>0</v>
      </c>
      <c r="AU314" t="s">
        <v>32</v>
      </c>
      <c r="AV314">
        <v>1750905</v>
      </c>
      <c r="AW314" t="s">
        <v>32</v>
      </c>
      <c r="AX314" t="s">
        <v>32</v>
      </c>
      <c r="AY314" t="s">
        <v>317</v>
      </c>
      <c r="AZ314">
        <v>26</v>
      </c>
      <c r="BA314">
        <v>1980249</v>
      </c>
      <c r="BB314">
        <v>0.16</v>
      </c>
      <c r="BC314">
        <v>316900</v>
      </c>
      <c r="BD314" t="s">
        <v>142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316900</v>
      </c>
      <c r="BK314" t="s">
        <v>25</v>
      </c>
      <c r="BL314" t="s">
        <v>1064</v>
      </c>
      <c r="BM314">
        <v>26</v>
      </c>
      <c r="BN314">
        <v>1980249</v>
      </c>
      <c r="BO314">
        <v>0.04</v>
      </c>
      <c r="BP314">
        <v>79300</v>
      </c>
      <c r="BQ314">
        <v>0</v>
      </c>
      <c r="BR314" t="s">
        <v>1438</v>
      </c>
      <c r="BS314">
        <v>0</v>
      </c>
      <c r="BT314" t="s">
        <v>1438</v>
      </c>
      <c r="BU314">
        <v>0</v>
      </c>
      <c r="BV314" t="s">
        <v>25</v>
      </c>
      <c r="BW314" t="s">
        <v>189</v>
      </c>
      <c r="BX314">
        <v>26</v>
      </c>
      <c r="BY314">
        <v>1980249</v>
      </c>
      <c r="BZ314">
        <v>6.9599999999999995E-2</v>
      </c>
      <c r="CA314" t="s">
        <v>1439</v>
      </c>
      <c r="CB314" t="s">
        <v>227</v>
      </c>
      <c r="CC314" t="s">
        <v>1440</v>
      </c>
      <c r="CD314">
        <v>137900</v>
      </c>
      <c r="CE314">
        <v>26</v>
      </c>
      <c r="CF314" t="s">
        <v>635</v>
      </c>
      <c r="CG314">
        <v>1980249</v>
      </c>
      <c r="CH314">
        <v>0.04</v>
      </c>
      <c r="CI314">
        <v>79300</v>
      </c>
      <c r="CJ314">
        <v>1980249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 t="s">
        <v>88</v>
      </c>
      <c r="CT314" t="s">
        <v>1441</v>
      </c>
      <c r="CU314" t="s">
        <v>1442</v>
      </c>
    </row>
    <row r="315" spans="1:99">
      <c r="A315" t="s">
        <v>1431</v>
      </c>
      <c r="B315" t="s">
        <v>34</v>
      </c>
      <c r="C315" t="s">
        <v>2291</v>
      </c>
      <c r="D315" t="s">
        <v>2292</v>
      </c>
      <c r="E315" t="s">
        <v>2293</v>
      </c>
      <c r="F315" t="s">
        <v>2294</v>
      </c>
      <c r="G315" t="s">
        <v>1640</v>
      </c>
      <c r="H315" t="s">
        <v>1598</v>
      </c>
      <c r="I315" t="s">
        <v>240</v>
      </c>
      <c r="J315" t="s">
        <v>46</v>
      </c>
      <c r="K315" t="s">
        <v>29</v>
      </c>
      <c r="L315" t="s">
        <v>30</v>
      </c>
      <c r="M315">
        <v>30</v>
      </c>
      <c r="N315" t="s">
        <v>32</v>
      </c>
      <c r="O315" t="s">
        <v>32</v>
      </c>
      <c r="Q315" t="s">
        <v>32</v>
      </c>
      <c r="S315" t="s">
        <v>40</v>
      </c>
      <c r="T315">
        <v>46056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AA315" t="s">
        <v>88</v>
      </c>
      <c r="AB315" t="s">
        <v>32</v>
      </c>
      <c r="AE315" t="s">
        <v>32</v>
      </c>
      <c r="AH315" t="s">
        <v>32</v>
      </c>
      <c r="AK315" t="s">
        <v>32</v>
      </c>
      <c r="AN315" t="s">
        <v>32</v>
      </c>
      <c r="AO315" t="s">
        <v>32</v>
      </c>
      <c r="AR315">
        <v>0</v>
      </c>
      <c r="AU315" t="s">
        <v>32</v>
      </c>
      <c r="AV315">
        <v>2223339</v>
      </c>
      <c r="AW315" t="s">
        <v>32</v>
      </c>
      <c r="AX315" t="s">
        <v>32</v>
      </c>
      <c r="AY315" t="s">
        <v>317</v>
      </c>
      <c r="AZ315">
        <v>3</v>
      </c>
      <c r="BA315">
        <v>852449</v>
      </c>
      <c r="BB315">
        <v>0.16</v>
      </c>
      <c r="BC315">
        <v>136400</v>
      </c>
      <c r="BD315" t="s">
        <v>142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136400</v>
      </c>
      <c r="BK315" t="s">
        <v>25</v>
      </c>
      <c r="BL315" t="s">
        <v>1064</v>
      </c>
      <c r="BM315">
        <v>3</v>
      </c>
      <c r="BN315">
        <v>852449</v>
      </c>
      <c r="BO315">
        <v>0.125</v>
      </c>
      <c r="BP315">
        <v>106600</v>
      </c>
      <c r="BQ315">
        <v>0</v>
      </c>
      <c r="BR315" t="s">
        <v>1438</v>
      </c>
      <c r="BS315">
        <v>0</v>
      </c>
      <c r="BT315" t="s">
        <v>1438</v>
      </c>
      <c r="BU315">
        <v>0</v>
      </c>
      <c r="BV315" t="s">
        <v>25</v>
      </c>
      <c r="BW315" t="s">
        <v>189</v>
      </c>
      <c r="BX315">
        <v>3</v>
      </c>
      <c r="BY315">
        <v>852449</v>
      </c>
      <c r="BZ315">
        <v>6.9599999999999995E-2</v>
      </c>
      <c r="CA315" t="s">
        <v>1439</v>
      </c>
      <c r="CB315" t="s">
        <v>227</v>
      </c>
      <c r="CC315" t="s">
        <v>1440</v>
      </c>
      <c r="CD315">
        <v>59400</v>
      </c>
      <c r="CE315">
        <v>3</v>
      </c>
      <c r="CF315" t="s">
        <v>635</v>
      </c>
      <c r="CG315">
        <v>1060549</v>
      </c>
      <c r="CH315">
        <v>0.04</v>
      </c>
      <c r="CI315">
        <v>42500</v>
      </c>
      <c r="CJ315">
        <v>1060549</v>
      </c>
      <c r="CK315">
        <v>0.02</v>
      </c>
      <c r="CL315">
        <v>21300</v>
      </c>
      <c r="CM315">
        <v>0.03</v>
      </c>
      <c r="CN315">
        <v>31900</v>
      </c>
      <c r="CO315">
        <v>0</v>
      </c>
      <c r="CP315">
        <v>0</v>
      </c>
      <c r="CQ315">
        <v>0</v>
      </c>
      <c r="CR315">
        <v>0</v>
      </c>
      <c r="CS315" t="s">
        <v>88</v>
      </c>
      <c r="CT315" t="s">
        <v>1441</v>
      </c>
      <c r="CU315" t="s">
        <v>1442</v>
      </c>
    </row>
    <row r="316" spans="1:99">
      <c r="A316" t="s">
        <v>1431</v>
      </c>
      <c r="B316" t="s">
        <v>34</v>
      </c>
      <c r="C316" t="s">
        <v>2295</v>
      </c>
      <c r="D316" t="s">
        <v>2296</v>
      </c>
      <c r="E316" t="s">
        <v>1648</v>
      </c>
      <c r="F316" t="s">
        <v>2034</v>
      </c>
      <c r="G316" t="s">
        <v>2297</v>
      </c>
      <c r="H316" t="s">
        <v>1548</v>
      </c>
      <c r="I316" t="s">
        <v>240</v>
      </c>
      <c r="J316" t="s">
        <v>46</v>
      </c>
      <c r="K316" t="s">
        <v>29</v>
      </c>
      <c r="L316" t="s">
        <v>30</v>
      </c>
      <c r="M316">
        <v>180</v>
      </c>
      <c r="N316" t="s">
        <v>32</v>
      </c>
      <c r="O316" t="s">
        <v>32</v>
      </c>
      <c r="Q316" t="s">
        <v>32</v>
      </c>
      <c r="S316" t="s">
        <v>32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AA316" t="s">
        <v>32</v>
      </c>
      <c r="AB316" t="s">
        <v>32</v>
      </c>
      <c r="AE316" t="s">
        <v>32</v>
      </c>
      <c r="AH316" t="s">
        <v>32</v>
      </c>
      <c r="AK316" t="s">
        <v>32</v>
      </c>
      <c r="AN316" t="s">
        <v>32</v>
      </c>
      <c r="AO316" t="s">
        <v>32</v>
      </c>
      <c r="AR316">
        <v>0</v>
      </c>
      <c r="AU316" t="s">
        <v>32</v>
      </c>
      <c r="AV316">
        <v>5209465</v>
      </c>
      <c r="AW316" t="s">
        <v>32</v>
      </c>
      <c r="AX316" t="s">
        <v>32</v>
      </c>
      <c r="AY316" t="s">
        <v>356</v>
      </c>
      <c r="AZ316">
        <v>30</v>
      </c>
      <c r="BA316">
        <v>5209465</v>
      </c>
      <c r="BB316">
        <v>0.16</v>
      </c>
      <c r="BC316">
        <v>833600</v>
      </c>
      <c r="BD316" t="s">
        <v>142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833600</v>
      </c>
      <c r="BK316" t="s">
        <v>25</v>
      </c>
      <c r="BL316" t="s">
        <v>1064</v>
      </c>
      <c r="BM316">
        <v>30</v>
      </c>
      <c r="BN316">
        <v>5209465</v>
      </c>
      <c r="BO316">
        <v>0.04</v>
      </c>
      <c r="BP316">
        <v>208400</v>
      </c>
      <c r="BQ316">
        <v>0</v>
      </c>
      <c r="BR316" t="s">
        <v>1438</v>
      </c>
      <c r="BS316">
        <v>0</v>
      </c>
      <c r="BT316" t="s">
        <v>1438</v>
      </c>
      <c r="BU316">
        <v>0</v>
      </c>
      <c r="BV316" t="s">
        <v>25</v>
      </c>
      <c r="BW316" t="s">
        <v>189</v>
      </c>
      <c r="BX316">
        <v>30</v>
      </c>
      <c r="BY316">
        <v>5209465</v>
      </c>
      <c r="BZ316">
        <v>6.9599999999999995E-2</v>
      </c>
      <c r="CA316" t="s">
        <v>1439</v>
      </c>
      <c r="CB316" t="s">
        <v>227</v>
      </c>
      <c r="CC316" t="s">
        <v>1440</v>
      </c>
      <c r="CD316">
        <v>362600</v>
      </c>
      <c r="CE316">
        <v>30</v>
      </c>
      <c r="CF316" t="s">
        <v>635</v>
      </c>
      <c r="CG316">
        <v>5209465</v>
      </c>
      <c r="CH316">
        <v>0.04</v>
      </c>
      <c r="CI316">
        <v>208400</v>
      </c>
      <c r="CJ316">
        <v>5209465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 t="s">
        <v>88</v>
      </c>
      <c r="CT316" t="s">
        <v>1441</v>
      </c>
      <c r="CU316" t="s">
        <v>1442</v>
      </c>
    </row>
    <row r="317" spans="1:99">
      <c r="A317" t="s">
        <v>1431</v>
      </c>
      <c r="B317" t="s">
        <v>34</v>
      </c>
      <c r="C317" t="s">
        <v>2298</v>
      </c>
      <c r="D317" t="s">
        <v>2299</v>
      </c>
      <c r="E317" t="s">
        <v>1561</v>
      </c>
      <c r="F317" t="s">
        <v>1144</v>
      </c>
      <c r="G317" t="s">
        <v>1578</v>
      </c>
      <c r="H317" t="s">
        <v>1579</v>
      </c>
      <c r="I317" t="s">
        <v>240</v>
      </c>
      <c r="J317" t="s">
        <v>46</v>
      </c>
      <c r="K317" t="s">
        <v>29</v>
      </c>
      <c r="L317" t="s">
        <v>30</v>
      </c>
      <c r="M317">
        <v>123</v>
      </c>
      <c r="N317" t="s">
        <v>32</v>
      </c>
      <c r="O317" t="s">
        <v>32</v>
      </c>
      <c r="Q317" t="s">
        <v>32</v>
      </c>
      <c r="S317" t="s">
        <v>40</v>
      </c>
      <c r="T317">
        <v>46068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AA317" t="s">
        <v>88</v>
      </c>
      <c r="AB317" t="s">
        <v>32</v>
      </c>
      <c r="AE317" t="s">
        <v>32</v>
      </c>
      <c r="AH317" t="s">
        <v>32</v>
      </c>
      <c r="AK317" t="s">
        <v>32</v>
      </c>
      <c r="AN317" t="s">
        <v>32</v>
      </c>
      <c r="AO317" t="s">
        <v>32</v>
      </c>
      <c r="AR317">
        <v>0</v>
      </c>
      <c r="AU317" t="s">
        <v>32</v>
      </c>
      <c r="AV317">
        <v>1750905</v>
      </c>
      <c r="AW317" t="s">
        <v>32</v>
      </c>
      <c r="AX317" t="s">
        <v>32</v>
      </c>
      <c r="AY317" t="s">
        <v>185</v>
      </c>
      <c r="AZ317">
        <v>15</v>
      </c>
      <c r="BA317">
        <v>1660072</v>
      </c>
      <c r="BB317">
        <v>0.16</v>
      </c>
      <c r="BC317">
        <v>265700</v>
      </c>
      <c r="BD317" t="s">
        <v>142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265700</v>
      </c>
      <c r="BK317" t="s">
        <v>25</v>
      </c>
      <c r="BL317" t="s">
        <v>1010</v>
      </c>
      <c r="BM317">
        <v>15</v>
      </c>
      <c r="BN317">
        <v>1660072</v>
      </c>
      <c r="BO317">
        <v>0.04</v>
      </c>
      <c r="BP317">
        <v>66500</v>
      </c>
      <c r="BQ317">
        <v>0</v>
      </c>
      <c r="BR317" t="s">
        <v>1438</v>
      </c>
      <c r="BS317">
        <v>0</v>
      </c>
      <c r="BT317" t="s">
        <v>1438</v>
      </c>
      <c r="BU317">
        <v>0</v>
      </c>
      <c r="BV317" t="s">
        <v>25</v>
      </c>
      <c r="BW317" t="s">
        <v>189</v>
      </c>
      <c r="BX317">
        <v>15</v>
      </c>
      <c r="BY317">
        <v>1660072</v>
      </c>
      <c r="BZ317">
        <v>6.9599999999999995E-2</v>
      </c>
      <c r="CA317" t="s">
        <v>1439</v>
      </c>
      <c r="CB317" t="s">
        <v>227</v>
      </c>
      <c r="CC317" t="s">
        <v>1440</v>
      </c>
      <c r="CD317">
        <v>115600</v>
      </c>
      <c r="CE317">
        <v>15</v>
      </c>
      <c r="CF317" t="s">
        <v>635</v>
      </c>
      <c r="CG317">
        <v>2095691</v>
      </c>
      <c r="CH317">
        <v>0.04</v>
      </c>
      <c r="CI317">
        <v>83900</v>
      </c>
      <c r="CJ317">
        <v>2095691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 t="s">
        <v>88</v>
      </c>
      <c r="CT317" t="s">
        <v>1441</v>
      </c>
      <c r="CU317" t="s">
        <v>1442</v>
      </c>
    </row>
    <row r="318" spans="1:99">
      <c r="A318" t="s">
        <v>1431</v>
      </c>
      <c r="B318" t="s">
        <v>34</v>
      </c>
      <c r="C318" t="s">
        <v>2300</v>
      </c>
      <c r="D318" t="s">
        <v>2301</v>
      </c>
      <c r="E318" t="s">
        <v>1472</v>
      </c>
      <c r="F318" t="s">
        <v>2302</v>
      </c>
      <c r="G318" t="s">
        <v>1793</v>
      </c>
      <c r="H318" t="s">
        <v>1489</v>
      </c>
      <c r="I318" t="s">
        <v>240</v>
      </c>
      <c r="J318" t="s">
        <v>46</v>
      </c>
      <c r="K318" t="s">
        <v>29</v>
      </c>
      <c r="L318" t="s">
        <v>30</v>
      </c>
      <c r="M318">
        <v>219</v>
      </c>
      <c r="N318" t="s">
        <v>32</v>
      </c>
      <c r="O318" t="s">
        <v>32</v>
      </c>
      <c r="Q318" t="s">
        <v>32</v>
      </c>
      <c r="S318" t="s">
        <v>32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AA318" t="s">
        <v>88</v>
      </c>
      <c r="AB318" t="s">
        <v>32</v>
      </c>
      <c r="AE318" t="s">
        <v>32</v>
      </c>
      <c r="AH318" t="s">
        <v>32</v>
      </c>
      <c r="AK318" t="s">
        <v>32</v>
      </c>
      <c r="AN318" t="s">
        <v>32</v>
      </c>
      <c r="AO318" t="s">
        <v>32</v>
      </c>
      <c r="AR318">
        <v>0</v>
      </c>
      <c r="AU318" t="s">
        <v>32</v>
      </c>
      <c r="AV318">
        <v>2223339</v>
      </c>
      <c r="AW318" t="s">
        <v>32</v>
      </c>
      <c r="AX318" t="s">
        <v>32</v>
      </c>
      <c r="AY318" t="s">
        <v>356</v>
      </c>
      <c r="AZ318">
        <v>30</v>
      </c>
      <c r="BA318">
        <v>3173345</v>
      </c>
      <c r="BB318">
        <v>0.16</v>
      </c>
      <c r="BC318">
        <v>507800</v>
      </c>
      <c r="BD318" t="s">
        <v>142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507800</v>
      </c>
      <c r="BK318" t="s">
        <v>25</v>
      </c>
      <c r="BL318" t="s">
        <v>1064</v>
      </c>
      <c r="BM318">
        <v>30</v>
      </c>
      <c r="BN318">
        <v>3173345</v>
      </c>
      <c r="BO318">
        <v>0.04</v>
      </c>
      <c r="BP318">
        <v>127000</v>
      </c>
      <c r="BQ318">
        <v>0</v>
      </c>
      <c r="BR318" t="s">
        <v>1438</v>
      </c>
      <c r="BS318">
        <v>0</v>
      </c>
      <c r="BT318" t="s">
        <v>1438</v>
      </c>
      <c r="BU318">
        <v>0</v>
      </c>
      <c r="BV318" t="s">
        <v>25</v>
      </c>
      <c r="BW318" t="s">
        <v>189</v>
      </c>
      <c r="BX318">
        <v>30</v>
      </c>
      <c r="BY318">
        <v>3173345</v>
      </c>
      <c r="BZ318">
        <v>6.9599999999999995E-2</v>
      </c>
      <c r="CA318" t="s">
        <v>1439</v>
      </c>
      <c r="CB318" t="s">
        <v>227</v>
      </c>
      <c r="CC318" t="s">
        <v>1440</v>
      </c>
      <c r="CD318">
        <v>220900</v>
      </c>
      <c r="CE318">
        <v>30</v>
      </c>
      <c r="CF318" t="s">
        <v>635</v>
      </c>
      <c r="CG318">
        <v>3173345</v>
      </c>
      <c r="CH318">
        <v>0.04</v>
      </c>
      <c r="CI318">
        <v>127000</v>
      </c>
      <c r="CJ318">
        <v>3173345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 t="s">
        <v>88</v>
      </c>
      <c r="CT318" t="s">
        <v>1441</v>
      </c>
      <c r="CU318" t="s">
        <v>1442</v>
      </c>
    </row>
    <row r="319" spans="1:99">
      <c r="A319" t="s">
        <v>1431</v>
      </c>
      <c r="B319" t="s">
        <v>34</v>
      </c>
      <c r="C319" t="s">
        <v>2303</v>
      </c>
      <c r="D319" t="s">
        <v>2304</v>
      </c>
      <c r="E319" t="s">
        <v>1879</v>
      </c>
      <c r="F319" t="s">
        <v>2305</v>
      </c>
      <c r="G319" t="s">
        <v>1590</v>
      </c>
      <c r="H319" t="s">
        <v>2306</v>
      </c>
      <c r="I319" t="s">
        <v>240</v>
      </c>
      <c r="J319" t="s">
        <v>46</v>
      </c>
      <c r="K319" t="s">
        <v>29</v>
      </c>
      <c r="L319" t="s">
        <v>30</v>
      </c>
      <c r="M319">
        <v>0</v>
      </c>
      <c r="N319" t="s">
        <v>32</v>
      </c>
      <c r="O319" t="s">
        <v>32</v>
      </c>
      <c r="Q319" t="s">
        <v>32</v>
      </c>
      <c r="S319" t="s">
        <v>32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AA319" t="s">
        <v>32</v>
      </c>
      <c r="AB319" t="s">
        <v>37</v>
      </c>
      <c r="AC319">
        <v>46054</v>
      </c>
      <c r="AD319">
        <v>46054</v>
      </c>
      <c r="AE319" t="s">
        <v>32</v>
      </c>
      <c r="AH319" t="s">
        <v>32</v>
      </c>
      <c r="AK319" t="s">
        <v>32</v>
      </c>
      <c r="AN319" t="s">
        <v>32</v>
      </c>
      <c r="AO319" t="s">
        <v>32</v>
      </c>
      <c r="AR319">
        <v>0</v>
      </c>
      <c r="AU319" t="s">
        <v>32</v>
      </c>
      <c r="AV319">
        <v>1785595</v>
      </c>
      <c r="AW319" t="s">
        <v>32</v>
      </c>
      <c r="AX319" t="s">
        <v>32</v>
      </c>
      <c r="AY319" t="s">
        <v>317</v>
      </c>
      <c r="AZ319">
        <v>1</v>
      </c>
      <c r="BA319">
        <v>59520</v>
      </c>
      <c r="BB319">
        <v>0.16</v>
      </c>
      <c r="BC319">
        <v>9600</v>
      </c>
      <c r="BD319" t="s">
        <v>142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9600</v>
      </c>
      <c r="BK319" t="s">
        <v>25</v>
      </c>
      <c r="BL319" t="s">
        <v>1064</v>
      </c>
      <c r="BM319">
        <v>1</v>
      </c>
      <c r="BN319">
        <v>59520</v>
      </c>
      <c r="BO319">
        <v>0</v>
      </c>
      <c r="BP319">
        <v>0</v>
      </c>
      <c r="BQ319">
        <v>0</v>
      </c>
      <c r="BR319" t="s">
        <v>1438</v>
      </c>
      <c r="BS319">
        <v>0</v>
      </c>
      <c r="BT319" t="s">
        <v>1438</v>
      </c>
      <c r="BU319">
        <v>0</v>
      </c>
      <c r="BV319" t="s">
        <v>25</v>
      </c>
      <c r="BW319" t="s">
        <v>189</v>
      </c>
      <c r="BX319">
        <v>1</v>
      </c>
      <c r="BY319">
        <v>59520</v>
      </c>
      <c r="BZ319">
        <v>0</v>
      </c>
      <c r="CA319" t="s">
        <v>1439</v>
      </c>
      <c r="CB319" t="s">
        <v>227</v>
      </c>
      <c r="CC319" t="s">
        <v>1440</v>
      </c>
      <c r="CD319">
        <v>0</v>
      </c>
      <c r="CE319">
        <v>1</v>
      </c>
      <c r="CF319" t="s">
        <v>635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 t="s">
        <v>88</v>
      </c>
      <c r="CT319" t="s">
        <v>1441</v>
      </c>
      <c r="CU319" t="s">
        <v>1442</v>
      </c>
    </row>
    <row r="320" spans="1:99">
      <c r="A320" t="s">
        <v>1431</v>
      </c>
      <c r="B320" t="s">
        <v>34</v>
      </c>
      <c r="C320" t="s">
        <v>2303</v>
      </c>
      <c r="D320" t="s">
        <v>2304</v>
      </c>
      <c r="E320" t="s">
        <v>1879</v>
      </c>
      <c r="F320" t="s">
        <v>2305</v>
      </c>
      <c r="G320" t="s">
        <v>1590</v>
      </c>
      <c r="H320" t="s">
        <v>2306</v>
      </c>
      <c r="I320" t="s">
        <v>240</v>
      </c>
      <c r="J320" t="s">
        <v>46</v>
      </c>
      <c r="K320" t="s">
        <v>29</v>
      </c>
      <c r="L320" t="s">
        <v>30</v>
      </c>
      <c r="M320">
        <v>0</v>
      </c>
      <c r="N320" t="s">
        <v>32</v>
      </c>
      <c r="O320" t="s">
        <v>32</v>
      </c>
      <c r="Q320" t="s">
        <v>32</v>
      </c>
      <c r="S320" t="s">
        <v>32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AA320" t="s">
        <v>32</v>
      </c>
      <c r="AB320" t="s">
        <v>32</v>
      </c>
      <c r="AE320" t="s">
        <v>32</v>
      </c>
      <c r="AH320" t="s">
        <v>32</v>
      </c>
      <c r="AK320" t="s">
        <v>128</v>
      </c>
      <c r="AL320">
        <v>46056</v>
      </c>
      <c r="AM320">
        <v>46056</v>
      </c>
      <c r="AN320" t="s">
        <v>32</v>
      </c>
      <c r="AO320" t="s">
        <v>32</v>
      </c>
      <c r="AR320">
        <v>0</v>
      </c>
      <c r="AU320" t="s">
        <v>32</v>
      </c>
      <c r="AV320">
        <v>1785595</v>
      </c>
      <c r="AW320" t="s">
        <v>32</v>
      </c>
      <c r="AX320" t="s">
        <v>32</v>
      </c>
      <c r="AY320" t="s">
        <v>317</v>
      </c>
      <c r="AZ320">
        <v>1</v>
      </c>
      <c r="BA320">
        <v>59520</v>
      </c>
      <c r="BB320">
        <v>0.16</v>
      </c>
      <c r="BC320">
        <v>9600</v>
      </c>
      <c r="BD320" t="s">
        <v>142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9600</v>
      </c>
      <c r="BK320" t="s">
        <v>25</v>
      </c>
      <c r="BL320" t="s">
        <v>1064</v>
      </c>
      <c r="BM320">
        <v>1</v>
      </c>
      <c r="BN320">
        <v>59520</v>
      </c>
      <c r="BO320">
        <v>0.04</v>
      </c>
      <c r="BP320">
        <v>2400</v>
      </c>
      <c r="BQ320">
        <v>0</v>
      </c>
      <c r="BR320" t="s">
        <v>1438</v>
      </c>
      <c r="BS320">
        <v>0</v>
      </c>
      <c r="BT320" t="s">
        <v>1438</v>
      </c>
      <c r="BU320">
        <v>0</v>
      </c>
      <c r="BV320" t="s">
        <v>25</v>
      </c>
      <c r="BW320" t="s">
        <v>189</v>
      </c>
      <c r="BX320">
        <v>1</v>
      </c>
      <c r="BY320">
        <v>59520</v>
      </c>
      <c r="BZ320">
        <v>0</v>
      </c>
      <c r="CA320" t="s">
        <v>1439</v>
      </c>
      <c r="CB320" t="s">
        <v>227</v>
      </c>
      <c r="CC320" t="s">
        <v>1440</v>
      </c>
      <c r="CD320">
        <v>0</v>
      </c>
      <c r="CE320">
        <v>1</v>
      </c>
      <c r="CF320" t="s">
        <v>635</v>
      </c>
      <c r="CG320">
        <v>59520</v>
      </c>
      <c r="CH320">
        <v>0.04</v>
      </c>
      <c r="CI320">
        <v>2400</v>
      </c>
      <c r="CJ320">
        <v>59520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 t="s">
        <v>88</v>
      </c>
      <c r="CT320" t="s">
        <v>1441</v>
      </c>
      <c r="CU320" t="s">
        <v>1442</v>
      </c>
    </row>
    <row r="321" spans="1:99">
      <c r="A321" t="s">
        <v>1431</v>
      </c>
      <c r="B321" t="s">
        <v>34</v>
      </c>
      <c r="C321" t="s">
        <v>2303</v>
      </c>
      <c r="D321" t="s">
        <v>2304</v>
      </c>
      <c r="E321" t="s">
        <v>1879</v>
      </c>
      <c r="F321" t="s">
        <v>2305</v>
      </c>
      <c r="G321" t="s">
        <v>1590</v>
      </c>
      <c r="H321" t="s">
        <v>2306</v>
      </c>
      <c r="I321" t="s">
        <v>240</v>
      </c>
      <c r="J321" t="s">
        <v>46</v>
      </c>
      <c r="K321" t="s">
        <v>29</v>
      </c>
      <c r="L321" t="s">
        <v>30</v>
      </c>
      <c r="M321">
        <v>0</v>
      </c>
      <c r="N321" t="s">
        <v>32</v>
      </c>
      <c r="O321" t="s">
        <v>32</v>
      </c>
      <c r="Q321" t="s">
        <v>32</v>
      </c>
      <c r="S321" t="s">
        <v>32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AA321" t="s">
        <v>32</v>
      </c>
      <c r="AB321" t="s">
        <v>37</v>
      </c>
      <c r="AC321">
        <v>46062</v>
      </c>
      <c r="AD321">
        <v>46063</v>
      </c>
      <c r="AE321" t="s">
        <v>32</v>
      </c>
      <c r="AH321" t="s">
        <v>32</v>
      </c>
      <c r="AK321" t="s">
        <v>32</v>
      </c>
      <c r="AN321" t="s">
        <v>32</v>
      </c>
      <c r="AO321" t="s">
        <v>32</v>
      </c>
      <c r="AR321">
        <v>0</v>
      </c>
      <c r="AU321" t="s">
        <v>32</v>
      </c>
      <c r="AV321">
        <v>1785595</v>
      </c>
      <c r="AW321" t="s">
        <v>32</v>
      </c>
      <c r="AX321" t="s">
        <v>32</v>
      </c>
      <c r="AY321" t="s">
        <v>317</v>
      </c>
      <c r="AZ321">
        <v>2</v>
      </c>
      <c r="BA321">
        <v>119040</v>
      </c>
      <c r="BB321">
        <v>0.16</v>
      </c>
      <c r="BC321">
        <v>19100</v>
      </c>
      <c r="BD321" t="s">
        <v>142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19100</v>
      </c>
      <c r="BK321" t="s">
        <v>25</v>
      </c>
      <c r="BL321" t="s">
        <v>1064</v>
      </c>
      <c r="BM321">
        <v>2</v>
      </c>
      <c r="BN321">
        <v>119040</v>
      </c>
      <c r="BO321">
        <v>0</v>
      </c>
      <c r="BP321">
        <v>0</v>
      </c>
      <c r="BQ321">
        <v>0</v>
      </c>
      <c r="BR321" t="s">
        <v>1438</v>
      </c>
      <c r="BS321">
        <v>0</v>
      </c>
      <c r="BT321" t="s">
        <v>1438</v>
      </c>
      <c r="BU321">
        <v>0</v>
      </c>
      <c r="BV321" t="s">
        <v>25</v>
      </c>
      <c r="BW321" t="s">
        <v>189</v>
      </c>
      <c r="BX321">
        <v>2</v>
      </c>
      <c r="BY321">
        <v>119040</v>
      </c>
      <c r="BZ321">
        <v>0</v>
      </c>
      <c r="CA321" t="s">
        <v>1439</v>
      </c>
      <c r="CB321" t="s">
        <v>227</v>
      </c>
      <c r="CC321" t="s">
        <v>1440</v>
      </c>
      <c r="CD321">
        <v>0</v>
      </c>
      <c r="CE321">
        <v>2</v>
      </c>
      <c r="CF321" t="s">
        <v>635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 t="s">
        <v>88</v>
      </c>
      <c r="CT321" t="s">
        <v>1441</v>
      </c>
      <c r="CU321" t="s">
        <v>1442</v>
      </c>
    </row>
    <row r="322" spans="1:99">
      <c r="A322" t="s">
        <v>1431</v>
      </c>
      <c r="B322" t="s">
        <v>34</v>
      </c>
      <c r="C322" t="s">
        <v>2303</v>
      </c>
      <c r="D322" t="s">
        <v>2304</v>
      </c>
      <c r="E322" t="s">
        <v>1879</v>
      </c>
      <c r="F322" t="s">
        <v>2305</v>
      </c>
      <c r="G322" t="s">
        <v>1590</v>
      </c>
      <c r="H322" t="s">
        <v>2306</v>
      </c>
      <c r="I322" t="s">
        <v>240</v>
      </c>
      <c r="J322" t="s">
        <v>46</v>
      </c>
      <c r="K322" t="s">
        <v>29</v>
      </c>
      <c r="L322" t="s">
        <v>30</v>
      </c>
      <c r="M322">
        <v>190</v>
      </c>
      <c r="N322" t="s">
        <v>32</v>
      </c>
      <c r="O322" t="s">
        <v>32</v>
      </c>
      <c r="Q322" t="s">
        <v>32</v>
      </c>
      <c r="S322" t="s">
        <v>32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AA322" t="s">
        <v>88</v>
      </c>
      <c r="AB322" t="s">
        <v>32</v>
      </c>
      <c r="AE322" t="s">
        <v>32</v>
      </c>
      <c r="AH322" t="s">
        <v>32</v>
      </c>
      <c r="AK322" t="s">
        <v>32</v>
      </c>
      <c r="AN322" t="s">
        <v>32</v>
      </c>
      <c r="AO322" t="s">
        <v>32</v>
      </c>
      <c r="AR322">
        <v>0</v>
      </c>
      <c r="AU322" t="s">
        <v>32</v>
      </c>
      <c r="AV322">
        <v>1785595</v>
      </c>
      <c r="AW322" t="s">
        <v>32</v>
      </c>
      <c r="AX322" t="s">
        <v>32</v>
      </c>
      <c r="AY322" t="s">
        <v>317</v>
      </c>
      <c r="AZ322">
        <v>26</v>
      </c>
      <c r="BA322">
        <v>2056439</v>
      </c>
      <c r="BB322">
        <v>0.16</v>
      </c>
      <c r="BC322">
        <v>329100</v>
      </c>
      <c r="BD322" t="s">
        <v>142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329100</v>
      </c>
      <c r="BK322" t="s">
        <v>25</v>
      </c>
      <c r="BL322" t="s">
        <v>1064</v>
      </c>
      <c r="BM322">
        <v>26</v>
      </c>
      <c r="BN322">
        <v>2056439</v>
      </c>
      <c r="BO322">
        <v>0.04</v>
      </c>
      <c r="BP322">
        <v>82300</v>
      </c>
      <c r="BQ322">
        <v>0</v>
      </c>
      <c r="BR322" t="s">
        <v>1438</v>
      </c>
      <c r="BS322">
        <v>0</v>
      </c>
      <c r="BT322" t="s">
        <v>1438</v>
      </c>
      <c r="BU322">
        <v>0</v>
      </c>
      <c r="BV322" t="s">
        <v>25</v>
      </c>
      <c r="BW322" t="s">
        <v>189</v>
      </c>
      <c r="BX322">
        <v>26</v>
      </c>
      <c r="BY322">
        <v>2056439</v>
      </c>
      <c r="BZ322">
        <v>6.9599999999999995E-2</v>
      </c>
      <c r="CA322" t="s">
        <v>1439</v>
      </c>
      <c r="CB322" t="s">
        <v>227</v>
      </c>
      <c r="CC322" t="s">
        <v>1440</v>
      </c>
      <c r="CD322">
        <v>143200</v>
      </c>
      <c r="CE322">
        <v>26</v>
      </c>
      <c r="CF322" t="s">
        <v>635</v>
      </c>
      <c r="CG322">
        <v>2056439</v>
      </c>
      <c r="CH322">
        <v>0.04</v>
      </c>
      <c r="CI322">
        <v>82300</v>
      </c>
      <c r="CJ322">
        <v>2056439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 t="s">
        <v>88</v>
      </c>
      <c r="CT322" t="s">
        <v>1441</v>
      </c>
      <c r="CU322" t="s">
        <v>1442</v>
      </c>
    </row>
    <row r="323" spans="1:99">
      <c r="A323" t="s">
        <v>1431</v>
      </c>
      <c r="B323" t="s">
        <v>34</v>
      </c>
      <c r="C323" t="s">
        <v>2307</v>
      </c>
      <c r="D323" t="s">
        <v>2308</v>
      </c>
      <c r="E323" t="s">
        <v>2309</v>
      </c>
      <c r="F323" t="s">
        <v>2310</v>
      </c>
      <c r="G323" t="s">
        <v>2091</v>
      </c>
      <c r="H323" t="s">
        <v>1543</v>
      </c>
      <c r="I323" t="s">
        <v>240</v>
      </c>
      <c r="J323" t="s">
        <v>46</v>
      </c>
      <c r="K323" t="s">
        <v>29</v>
      </c>
      <c r="L323" t="s">
        <v>30</v>
      </c>
      <c r="M323">
        <v>30</v>
      </c>
      <c r="N323" t="s">
        <v>32</v>
      </c>
      <c r="O323" t="s">
        <v>32</v>
      </c>
      <c r="Q323" t="s">
        <v>32</v>
      </c>
      <c r="S323" t="s">
        <v>40</v>
      </c>
      <c r="T323">
        <v>46056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AA323" t="s">
        <v>88</v>
      </c>
      <c r="AB323" t="s">
        <v>32</v>
      </c>
      <c r="AE323" t="s">
        <v>32</v>
      </c>
      <c r="AH323" t="s">
        <v>32</v>
      </c>
      <c r="AK323" t="s">
        <v>32</v>
      </c>
      <c r="AN323" t="s">
        <v>32</v>
      </c>
      <c r="AO323" t="s">
        <v>32</v>
      </c>
      <c r="AR323">
        <v>0</v>
      </c>
      <c r="AU323" t="s">
        <v>32</v>
      </c>
      <c r="AV323">
        <v>2223339</v>
      </c>
      <c r="AW323" t="s">
        <v>32</v>
      </c>
      <c r="AX323" t="s">
        <v>32</v>
      </c>
      <c r="AY323" t="s">
        <v>137</v>
      </c>
      <c r="AZ323">
        <v>3</v>
      </c>
      <c r="BA323">
        <v>1025476</v>
      </c>
      <c r="BB323">
        <v>0.16</v>
      </c>
      <c r="BC323">
        <v>164100</v>
      </c>
      <c r="BD323" t="s">
        <v>142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164100</v>
      </c>
      <c r="BK323" t="s">
        <v>25</v>
      </c>
      <c r="BL323" t="s">
        <v>870</v>
      </c>
      <c r="BM323">
        <v>3</v>
      </c>
      <c r="BN323">
        <v>1025476</v>
      </c>
      <c r="BO323">
        <v>0.125</v>
      </c>
      <c r="BP323">
        <v>128200</v>
      </c>
      <c r="BQ323">
        <v>0</v>
      </c>
      <c r="BR323" t="s">
        <v>1438</v>
      </c>
      <c r="BS323">
        <v>0</v>
      </c>
      <c r="BT323" t="s">
        <v>1438</v>
      </c>
      <c r="BU323">
        <v>0</v>
      </c>
      <c r="BV323" t="s">
        <v>25</v>
      </c>
      <c r="BW323" t="s">
        <v>189</v>
      </c>
      <c r="BX323">
        <v>3</v>
      </c>
      <c r="BY323">
        <v>1025476</v>
      </c>
      <c r="BZ323">
        <v>6.9599999999999995E-2</v>
      </c>
      <c r="CA323" t="s">
        <v>1439</v>
      </c>
      <c r="CB323" t="s">
        <v>227</v>
      </c>
      <c r="CC323" t="s">
        <v>1440</v>
      </c>
      <c r="CD323">
        <v>71400</v>
      </c>
      <c r="CE323">
        <v>3</v>
      </c>
      <c r="CF323" t="s">
        <v>635</v>
      </c>
      <c r="CG323">
        <v>1198833</v>
      </c>
      <c r="CH323">
        <v>0.04</v>
      </c>
      <c r="CI323">
        <v>48000</v>
      </c>
      <c r="CJ323">
        <v>1198833</v>
      </c>
      <c r="CK323">
        <v>0.02</v>
      </c>
      <c r="CL323">
        <v>24000</v>
      </c>
      <c r="CM323">
        <v>0.03</v>
      </c>
      <c r="CN323">
        <v>36000</v>
      </c>
      <c r="CO323">
        <v>0</v>
      </c>
      <c r="CP323">
        <v>0</v>
      </c>
      <c r="CQ323">
        <v>0</v>
      </c>
      <c r="CR323">
        <v>0</v>
      </c>
      <c r="CS323" t="s">
        <v>88</v>
      </c>
      <c r="CT323" t="s">
        <v>1441</v>
      </c>
      <c r="CU323" t="s">
        <v>1442</v>
      </c>
    </row>
    <row r="324" spans="1:99">
      <c r="A324" t="s">
        <v>1431</v>
      </c>
      <c r="B324" t="s">
        <v>34</v>
      </c>
      <c r="C324" t="s">
        <v>2311</v>
      </c>
      <c r="D324" t="s">
        <v>2312</v>
      </c>
      <c r="E324" t="s">
        <v>1506</v>
      </c>
      <c r="F324" t="s">
        <v>1719</v>
      </c>
      <c r="G324" t="s">
        <v>2313</v>
      </c>
      <c r="H324" t="s">
        <v>1590</v>
      </c>
      <c r="I324" t="s">
        <v>203</v>
      </c>
      <c r="J324" t="s">
        <v>403</v>
      </c>
      <c r="K324" t="s">
        <v>29</v>
      </c>
      <c r="L324" t="s">
        <v>30</v>
      </c>
      <c r="M324">
        <v>0</v>
      </c>
      <c r="N324" t="s">
        <v>32</v>
      </c>
      <c r="O324" t="s">
        <v>32</v>
      </c>
      <c r="Q324" t="s">
        <v>40</v>
      </c>
      <c r="R324">
        <v>46081</v>
      </c>
      <c r="S324" t="s">
        <v>32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AA324" t="s">
        <v>32</v>
      </c>
      <c r="AB324" t="s">
        <v>32</v>
      </c>
      <c r="AE324" t="s">
        <v>32</v>
      </c>
      <c r="AH324" t="s">
        <v>32</v>
      </c>
      <c r="AK324" t="s">
        <v>32</v>
      </c>
      <c r="AN324" t="s">
        <v>32</v>
      </c>
      <c r="AO324" t="s">
        <v>32</v>
      </c>
      <c r="AR324">
        <v>0</v>
      </c>
      <c r="AU324" t="s">
        <v>32</v>
      </c>
      <c r="AV324">
        <v>5676577</v>
      </c>
      <c r="AW324" t="s">
        <v>32</v>
      </c>
      <c r="AX324" t="s">
        <v>32</v>
      </c>
      <c r="AY324" t="s">
        <v>185</v>
      </c>
      <c r="AZ324">
        <v>3</v>
      </c>
      <c r="BA324">
        <v>567658</v>
      </c>
      <c r="BB324">
        <v>0.16</v>
      </c>
      <c r="BC324">
        <v>90900</v>
      </c>
      <c r="BD324" t="s">
        <v>142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90900</v>
      </c>
      <c r="BK324" t="s">
        <v>25</v>
      </c>
      <c r="BL324" t="s">
        <v>1064</v>
      </c>
      <c r="BM324">
        <v>3</v>
      </c>
      <c r="BN324">
        <v>567658</v>
      </c>
      <c r="BO324">
        <v>0.04</v>
      </c>
      <c r="BP324">
        <v>22800</v>
      </c>
      <c r="BQ324">
        <v>0</v>
      </c>
      <c r="BR324" t="s">
        <v>1438</v>
      </c>
      <c r="BS324">
        <v>0</v>
      </c>
      <c r="BT324" t="s">
        <v>1438</v>
      </c>
      <c r="BU324">
        <v>0</v>
      </c>
      <c r="BV324" t="s">
        <v>25</v>
      </c>
      <c r="BW324" t="s">
        <v>189</v>
      </c>
      <c r="BX324">
        <v>3</v>
      </c>
      <c r="BY324">
        <v>567658</v>
      </c>
      <c r="BZ324">
        <v>6.9599999999999995E-2</v>
      </c>
      <c r="CA324" t="s">
        <v>1439</v>
      </c>
      <c r="CB324" t="s">
        <v>609</v>
      </c>
      <c r="CC324" t="s">
        <v>1440</v>
      </c>
      <c r="CD324">
        <v>39600</v>
      </c>
      <c r="CE324">
        <v>3</v>
      </c>
      <c r="CF324" t="s">
        <v>1001</v>
      </c>
      <c r="CG324">
        <v>567658</v>
      </c>
      <c r="CH324">
        <v>0.04</v>
      </c>
      <c r="CI324">
        <v>22800</v>
      </c>
      <c r="CJ324">
        <v>567658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 t="s">
        <v>88</v>
      </c>
      <c r="CT324" t="s">
        <v>1441</v>
      </c>
      <c r="CU324" t="s">
        <v>1442</v>
      </c>
    </row>
    <row r="325" spans="1:99">
      <c r="A325" t="s">
        <v>1431</v>
      </c>
      <c r="B325" t="s">
        <v>34</v>
      </c>
      <c r="C325" t="s">
        <v>2314</v>
      </c>
      <c r="D325" t="s">
        <v>2315</v>
      </c>
      <c r="E325" t="s">
        <v>2316</v>
      </c>
      <c r="F325" t="s">
        <v>1090</v>
      </c>
      <c r="G325" t="s">
        <v>1479</v>
      </c>
      <c r="H325" t="s">
        <v>1761</v>
      </c>
      <c r="I325" t="s">
        <v>240</v>
      </c>
      <c r="J325" t="s">
        <v>46</v>
      </c>
      <c r="K325" t="s">
        <v>29</v>
      </c>
      <c r="L325" t="s">
        <v>30</v>
      </c>
      <c r="M325">
        <v>0</v>
      </c>
      <c r="N325" t="s">
        <v>32</v>
      </c>
      <c r="O325" t="s">
        <v>32</v>
      </c>
      <c r="Q325" t="s">
        <v>32</v>
      </c>
      <c r="S325" t="s">
        <v>32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AA325" t="s">
        <v>32</v>
      </c>
      <c r="AB325" t="s">
        <v>32</v>
      </c>
      <c r="AE325" t="s">
        <v>1492</v>
      </c>
      <c r="AF325">
        <v>46054</v>
      </c>
      <c r="AG325">
        <v>46055</v>
      </c>
      <c r="AH325" t="s">
        <v>32</v>
      </c>
      <c r="AK325" t="s">
        <v>32</v>
      </c>
      <c r="AN325" t="s">
        <v>32</v>
      </c>
      <c r="AO325" t="s">
        <v>32</v>
      </c>
      <c r="AR325">
        <v>0</v>
      </c>
      <c r="AU325" t="s">
        <v>32</v>
      </c>
      <c r="AV325">
        <v>2970185</v>
      </c>
      <c r="AW325" t="s">
        <v>32</v>
      </c>
      <c r="AX325" t="s">
        <v>32</v>
      </c>
      <c r="AY325" t="s">
        <v>317</v>
      </c>
      <c r="AZ325">
        <v>2</v>
      </c>
      <c r="BA325">
        <v>364006</v>
      </c>
      <c r="BB325">
        <v>0.16</v>
      </c>
      <c r="BC325">
        <v>58300</v>
      </c>
      <c r="BD325" t="s">
        <v>142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58300</v>
      </c>
      <c r="BK325" t="s">
        <v>25</v>
      </c>
      <c r="BL325" t="s">
        <v>1064</v>
      </c>
      <c r="BM325">
        <v>2</v>
      </c>
      <c r="BN325">
        <v>364006</v>
      </c>
      <c r="BO325">
        <v>0.125</v>
      </c>
      <c r="BP325">
        <v>45600</v>
      </c>
      <c r="BQ325">
        <v>0</v>
      </c>
      <c r="BR325" t="s">
        <v>1438</v>
      </c>
      <c r="BS325">
        <v>0</v>
      </c>
      <c r="BT325" t="s">
        <v>1438</v>
      </c>
      <c r="BU325">
        <v>0</v>
      </c>
      <c r="BV325" t="s">
        <v>25</v>
      </c>
      <c r="BW325" t="s">
        <v>189</v>
      </c>
      <c r="BX325">
        <v>2</v>
      </c>
      <c r="BY325">
        <v>364006</v>
      </c>
      <c r="BZ325">
        <v>0</v>
      </c>
      <c r="CA325" t="s">
        <v>1439</v>
      </c>
      <c r="CB325" t="s">
        <v>227</v>
      </c>
      <c r="CC325" t="s">
        <v>1440</v>
      </c>
      <c r="CD325">
        <v>0</v>
      </c>
      <c r="CE325">
        <v>2</v>
      </c>
      <c r="CF325" t="s">
        <v>635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 t="s">
        <v>32</v>
      </c>
      <c r="CT325" t="s">
        <v>1441</v>
      </c>
      <c r="CU325" t="s">
        <v>1442</v>
      </c>
    </row>
    <row r="326" spans="1:99">
      <c r="A326" t="s">
        <v>1431</v>
      </c>
      <c r="B326" t="s">
        <v>34</v>
      </c>
      <c r="C326" t="s">
        <v>2314</v>
      </c>
      <c r="D326" t="s">
        <v>2315</v>
      </c>
      <c r="E326" t="s">
        <v>2316</v>
      </c>
      <c r="F326" t="s">
        <v>1090</v>
      </c>
      <c r="G326" t="s">
        <v>1479</v>
      </c>
      <c r="H326" t="s">
        <v>1761</v>
      </c>
      <c r="I326" t="s">
        <v>240</v>
      </c>
      <c r="J326" t="s">
        <v>46</v>
      </c>
      <c r="K326" t="s">
        <v>29</v>
      </c>
      <c r="L326" t="s">
        <v>30</v>
      </c>
      <c r="M326">
        <v>22</v>
      </c>
      <c r="N326" t="s">
        <v>32</v>
      </c>
      <c r="O326" t="s">
        <v>32</v>
      </c>
      <c r="Q326" t="s">
        <v>32</v>
      </c>
      <c r="S326" t="s">
        <v>40</v>
      </c>
      <c r="T326">
        <v>46056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AA326" t="s">
        <v>88</v>
      </c>
      <c r="AB326" t="s">
        <v>32</v>
      </c>
      <c r="AE326" t="s">
        <v>32</v>
      </c>
      <c r="AH326" t="s">
        <v>32</v>
      </c>
      <c r="AK326" t="s">
        <v>32</v>
      </c>
      <c r="AN326" t="s">
        <v>32</v>
      </c>
      <c r="AO326" t="s">
        <v>32</v>
      </c>
      <c r="AR326">
        <v>0</v>
      </c>
      <c r="AU326" t="s">
        <v>32</v>
      </c>
      <c r="AV326">
        <v>2970185</v>
      </c>
      <c r="AW326" t="s">
        <v>32</v>
      </c>
      <c r="AX326" t="s">
        <v>32</v>
      </c>
      <c r="AY326" t="s">
        <v>317</v>
      </c>
      <c r="AZ326">
        <v>1</v>
      </c>
      <c r="BA326">
        <v>1409330</v>
      </c>
      <c r="BB326">
        <v>0.16</v>
      </c>
      <c r="BC326">
        <v>225500</v>
      </c>
      <c r="BD326" t="s">
        <v>142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225500</v>
      </c>
      <c r="BK326" t="s">
        <v>25</v>
      </c>
      <c r="BL326" t="s">
        <v>1064</v>
      </c>
      <c r="BM326">
        <v>1</v>
      </c>
      <c r="BN326">
        <v>1409330</v>
      </c>
      <c r="BO326">
        <v>0.125</v>
      </c>
      <c r="BP326">
        <v>176200</v>
      </c>
      <c r="BQ326">
        <v>0</v>
      </c>
      <c r="BR326" t="s">
        <v>1438</v>
      </c>
      <c r="BS326">
        <v>0</v>
      </c>
      <c r="BT326" t="s">
        <v>1438</v>
      </c>
      <c r="BU326">
        <v>0</v>
      </c>
      <c r="BV326" t="s">
        <v>25</v>
      </c>
      <c r="BW326" t="s">
        <v>189</v>
      </c>
      <c r="BX326">
        <v>1</v>
      </c>
      <c r="BY326">
        <v>1409330</v>
      </c>
      <c r="BZ326">
        <v>6.9599999999999995E-2</v>
      </c>
      <c r="CA326" t="s">
        <v>1439</v>
      </c>
      <c r="CB326" t="s">
        <v>227</v>
      </c>
      <c r="CC326" t="s">
        <v>1440</v>
      </c>
      <c r="CD326">
        <v>98100</v>
      </c>
      <c r="CE326">
        <v>1</v>
      </c>
      <c r="CF326" t="s">
        <v>635</v>
      </c>
      <c r="CG326">
        <v>2546486</v>
      </c>
      <c r="CH326">
        <v>0.04</v>
      </c>
      <c r="CI326">
        <v>101900</v>
      </c>
      <c r="CJ326">
        <v>2546486</v>
      </c>
      <c r="CK326">
        <v>0.02</v>
      </c>
      <c r="CL326">
        <v>51000</v>
      </c>
      <c r="CM326">
        <v>0.03</v>
      </c>
      <c r="CN326">
        <v>76400</v>
      </c>
      <c r="CO326">
        <v>0</v>
      </c>
      <c r="CP326">
        <v>0</v>
      </c>
      <c r="CQ326">
        <v>0</v>
      </c>
      <c r="CR326">
        <v>0</v>
      </c>
      <c r="CS326" t="s">
        <v>32</v>
      </c>
      <c r="CT326" t="s">
        <v>1441</v>
      </c>
      <c r="CU326" t="s">
        <v>1442</v>
      </c>
    </row>
    <row r="327" spans="1:99">
      <c r="A327" t="s">
        <v>1431</v>
      </c>
      <c r="B327" t="s">
        <v>34</v>
      </c>
      <c r="C327" t="s">
        <v>2317</v>
      </c>
      <c r="D327" t="s">
        <v>2318</v>
      </c>
      <c r="E327" t="s">
        <v>2250</v>
      </c>
      <c r="F327" t="s">
        <v>1628</v>
      </c>
      <c r="G327" t="s">
        <v>2319</v>
      </c>
      <c r="H327" t="s">
        <v>1558</v>
      </c>
      <c r="I327" t="s">
        <v>240</v>
      </c>
      <c r="J327" t="s">
        <v>46</v>
      </c>
      <c r="K327" t="s">
        <v>29</v>
      </c>
      <c r="L327" t="s">
        <v>82</v>
      </c>
      <c r="M327">
        <v>102</v>
      </c>
      <c r="N327" t="s">
        <v>32</v>
      </c>
      <c r="O327" t="s">
        <v>32</v>
      </c>
      <c r="Q327" t="s">
        <v>32</v>
      </c>
      <c r="S327" t="s">
        <v>32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AA327" t="s">
        <v>88</v>
      </c>
      <c r="AB327" t="s">
        <v>32</v>
      </c>
      <c r="AE327" t="s">
        <v>32</v>
      </c>
      <c r="AH327" t="s">
        <v>32</v>
      </c>
      <c r="AK327" t="s">
        <v>32</v>
      </c>
      <c r="AN327" t="s">
        <v>32</v>
      </c>
      <c r="AO327" t="s">
        <v>32</v>
      </c>
      <c r="AR327">
        <v>0</v>
      </c>
      <c r="AU327" t="s">
        <v>32</v>
      </c>
      <c r="AV327">
        <v>2074908</v>
      </c>
      <c r="AW327" t="s">
        <v>32</v>
      </c>
      <c r="AX327" t="s">
        <v>32</v>
      </c>
      <c r="AY327" t="s">
        <v>185</v>
      </c>
      <c r="AZ327">
        <v>0</v>
      </c>
      <c r="BA327">
        <v>0</v>
      </c>
      <c r="BB327">
        <v>0</v>
      </c>
      <c r="BC327">
        <v>0</v>
      </c>
      <c r="BD327" t="s">
        <v>142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 t="s">
        <v>25</v>
      </c>
      <c r="BL327" t="s">
        <v>1010</v>
      </c>
      <c r="BM327">
        <v>15</v>
      </c>
      <c r="BN327">
        <v>1178925</v>
      </c>
      <c r="BO327">
        <v>0.04</v>
      </c>
      <c r="BP327">
        <v>47200</v>
      </c>
      <c r="BQ327">
        <v>0</v>
      </c>
      <c r="BR327" t="s">
        <v>1438</v>
      </c>
      <c r="BS327">
        <v>0</v>
      </c>
      <c r="BT327" t="s">
        <v>1438</v>
      </c>
      <c r="BU327">
        <v>0</v>
      </c>
      <c r="BV327" t="s">
        <v>25</v>
      </c>
      <c r="BW327" t="s">
        <v>189</v>
      </c>
      <c r="BX327">
        <v>15</v>
      </c>
      <c r="BY327">
        <v>1178925</v>
      </c>
      <c r="BZ327">
        <v>6.9599999999999995E-2</v>
      </c>
      <c r="CA327" t="s">
        <v>1439</v>
      </c>
      <c r="CB327" t="s">
        <v>227</v>
      </c>
      <c r="CC327" t="s">
        <v>1440</v>
      </c>
      <c r="CD327">
        <v>82100</v>
      </c>
      <c r="CE327">
        <v>15</v>
      </c>
      <c r="CF327" t="s">
        <v>635</v>
      </c>
      <c r="CG327">
        <v>1178925</v>
      </c>
      <c r="CH327">
        <v>0.04</v>
      </c>
      <c r="CI327">
        <v>47200</v>
      </c>
      <c r="CJ327">
        <v>1178925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 t="s">
        <v>88</v>
      </c>
      <c r="CT327" t="s">
        <v>1441</v>
      </c>
      <c r="CU327" t="s">
        <v>1442</v>
      </c>
    </row>
    <row r="328" spans="1:99">
      <c r="A328" t="s">
        <v>1431</v>
      </c>
      <c r="B328" t="s">
        <v>34</v>
      </c>
      <c r="C328" t="s">
        <v>2317</v>
      </c>
      <c r="D328" t="s">
        <v>2318</v>
      </c>
      <c r="E328" t="s">
        <v>2250</v>
      </c>
      <c r="F328" t="s">
        <v>1628</v>
      </c>
      <c r="G328" t="s">
        <v>2319</v>
      </c>
      <c r="H328" t="s">
        <v>1558</v>
      </c>
      <c r="I328" t="s">
        <v>240</v>
      </c>
      <c r="J328" t="s">
        <v>46</v>
      </c>
      <c r="K328" t="s">
        <v>29</v>
      </c>
      <c r="L328" t="s">
        <v>30</v>
      </c>
      <c r="M328">
        <v>116</v>
      </c>
      <c r="N328" t="s">
        <v>32</v>
      </c>
      <c r="O328" t="s">
        <v>32</v>
      </c>
      <c r="Q328" t="s">
        <v>32</v>
      </c>
      <c r="S328" t="s">
        <v>32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AA328" t="s">
        <v>88</v>
      </c>
      <c r="AB328" t="s">
        <v>32</v>
      </c>
      <c r="AE328" t="s">
        <v>32</v>
      </c>
      <c r="AH328" t="s">
        <v>32</v>
      </c>
      <c r="AK328" t="s">
        <v>32</v>
      </c>
      <c r="AN328" t="s">
        <v>32</v>
      </c>
      <c r="AO328" t="s">
        <v>32</v>
      </c>
      <c r="AR328">
        <v>0</v>
      </c>
      <c r="AU328" t="s">
        <v>32</v>
      </c>
      <c r="AV328">
        <v>2074908</v>
      </c>
      <c r="AW328" t="s">
        <v>32</v>
      </c>
      <c r="AX328" t="s">
        <v>32</v>
      </c>
      <c r="AY328" t="s">
        <v>185</v>
      </c>
      <c r="AZ328">
        <v>15</v>
      </c>
      <c r="BA328">
        <v>1499153</v>
      </c>
      <c r="BB328">
        <v>0.16</v>
      </c>
      <c r="BC328">
        <v>239900</v>
      </c>
      <c r="BD328" t="s">
        <v>142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239900</v>
      </c>
      <c r="BK328" t="s">
        <v>25</v>
      </c>
      <c r="BL328" t="s">
        <v>1010</v>
      </c>
      <c r="BM328">
        <v>15</v>
      </c>
      <c r="BN328">
        <v>1499153</v>
      </c>
      <c r="BO328">
        <v>0.04</v>
      </c>
      <c r="BP328">
        <v>60000</v>
      </c>
      <c r="BQ328">
        <v>0</v>
      </c>
      <c r="BR328" t="s">
        <v>1438</v>
      </c>
      <c r="BS328">
        <v>0</v>
      </c>
      <c r="BT328" t="s">
        <v>1438</v>
      </c>
      <c r="BU328">
        <v>0</v>
      </c>
      <c r="BV328" t="s">
        <v>25</v>
      </c>
      <c r="BW328" t="s">
        <v>189</v>
      </c>
      <c r="BX328">
        <v>15</v>
      </c>
      <c r="BY328">
        <v>1499153</v>
      </c>
      <c r="BZ328">
        <v>6.9599999999999995E-2</v>
      </c>
      <c r="CA328" t="s">
        <v>1439</v>
      </c>
      <c r="CB328" t="s">
        <v>227</v>
      </c>
      <c r="CC328" t="s">
        <v>1440</v>
      </c>
      <c r="CD328">
        <v>104400</v>
      </c>
      <c r="CE328">
        <v>15</v>
      </c>
      <c r="CF328" t="s">
        <v>635</v>
      </c>
      <c r="CG328">
        <v>1499153</v>
      </c>
      <c r="CH328">
        <v>0.04</v>
      </c>
      <c r="CI328">
        <v>60000</v>
      </c>
      <c r="CJ328">
        <v>1499153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 t="s">
        <v>88</v>
      </c>
      <c r="CT328" t="s">
        <v>1441</v>
      </c>
      <c r="CU328" t="s">
        <v>1442</v>
      </c>
    </row>
    <row r="329" spans="1:99">
      <c r="A329" t="s">
        <v>1431</v>
      </c>
      <c r="B329" t="s">
        <v>34</v>
      </c>
      <c r="C329" t="s">
        <v>2320</v>
      </c>
      <c r="D329" t="s">
        <v>2321</v>
      </c>
      <c r="E329" t="s">
        <v>2322</v>
      </c>
      <c r="F329" t="s">
        <v>2323</v>
      </c>
      <c r="G329" t="s">
        <v>1479</v>
      </c>
      <c r="H329" t="s">
        <v>1613</v>
      </c>
      <c r="I329" t="s">
        <v>240</v>
      </c>
      <c r="J329" t="s">
        <v>46</v>
      </c>
      <c r="K329" t="s">
        <v>29</v>
      </c>
      <c r="L329" t="s">
        <v>30</v>
      </c>
      <c r="M329">
        <v>175</v>
      </c>
      <c r="N329" t="s">
        <v>32</v>
      </c>
      <c r="O329" t="s">
        <v>32</v>
      </c>
      <c r="Q329" t="s">
        <v>32</v>
      </c>
      <c r="S329" t="s">
        <v>40</v>
      </c>
      <c r="T329">
        <v>46074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AA329" t="s">
        <v>88</v>
      </c>
      <c r="AB329" t="s">
        <v>32</v>
      </c>
      <c r="AE329" t="s">
        <v>32</v>
      </c>
      <c r="AH329" t="s">
        <v>32</v>
      </c>
      <c r="AK329" t="s">
        <v>32</v>
      </c>
      <c r="AN329" t="s">
        <v>32</v>
      </c>
      <c r="AO329" t="s">
        <v>32</v>
      </c>
      <c r="AR329">
        <v>0</v>
      </c>
      <c r="AU329" t="s">
        <v>32</v>
      </c>
      <c r="AV329">
        <v>2223339</v>
      </c>
      <c r="AW329" t="s">
        <v>32</v>
      </c>
      <c r="AX329" t="s">
        <v>32</v>
      </c>
      <c r="AY329" t="s">
        <v>185</v>
      </c>
      <c r="AZ329">
        <v>21</v>
      </c>
      <c r="BA329">
        <v>2928875</v>
      </c>
      <c r="BB329">
        <v>0.16</v>
      </c>
      <c r="BC329">
        <v>468700</v>
      </c>
      <c r="BD329" t="s">
        <v>142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468700</v>
      </c>
      <c r="BK329" t="s">
        <v>25</v>
      </c>
      <c r="BL329" t="s">
        <v>885</v>
      </c>
      <c r="BM329">
        <v>21</v>
      </c>
      <c r="BN329">
        <v>2928875</v>
      </c>
      <c r="BO329">
        <v>0.04</v>
      </c>
      <c r="BP329">
        <v>117200</v>
      </c>
      <c r="BQ329">
        <v>0</v>
      </c>
      <c r="BR329" t="s">
        <v>1438</v>
      </c>
      <c r="BS329">
        <v>0</v>
      </c>
      <c r="BT329" t="s">
        <v>1438</v>
      </c>
      <c r="BU329">
        <v>0</v>
      </c>
      <c r="BV329" t="s">
        <v>25</v>
      </c>
      <c r="BW329" t="s">
        <v>189</v>
      </c>
      <c r="BX329">
        <v>21</v>
      </c>
      <c r="BY329">
        <v>2928875</v>
      </c>
      <c r="BZ329">
        <v>6.9599999999999995E-2</v>
      </c>
      <c r="CA329" t="s">
        <v>1439</v>
      </c>
      <c r="CB329" t="s">
        <v>227</v>
      </c>
      <c r="CC329" t="s">
        <v>1440</v>
      </c>
      <c r="CD329">
        <v>203900</v>
      </c>
      <c r="CE329">
        <v>21</v>
      </c>
      <c r="CF329" t="s">
        <v>635</v>
      </c>
      <c r="CG329">
        <v>3350717</v>
      </c>
      <c r="CH329">
        <v>0.04</v>
      </c>
      <c r="CI329">
        <v>134100</v>
      </c>
      <c r="CJ329">
        <v>3350717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 t="s">
        <v>88</v>
      </c>
      <c r="CT329" t="s">
        <v>1441</v>
      </c>
      <c r="CU329" t="s">
        <v>1442</v>
      </c>
    </row>
    <row r="330" spans="1:99">
      <c r="A330" t="s">
        <v>1431</v>
      </c>
      <c r="B330" t="s">
        <v>34</v>
      </c>
      <c r="C330" t="s">
        <v>2324</v>
      </c>
      <c r="D330" t="s">
        <v>2325</v>
      </c>
      <c r="E330" t="s">
        <v>510</v>
      </c>
      <c r="F330" t="s">
        <v>449</v>
      </c>
      <c r="G330" t="s">
        <v>2326</v>
      </c>
      <c r="H330" t="s">
        <v>1543</v>
      </c>
      <c r="I330" t="s">
        <v>240</v>
      </c>
      <c r="J330" t="s">
        <v>46</v>
      </c>
      <c r="K330" t="s">
        <v>29</v>
      </c>
      <c r="L330" t="s">
        <v>30</v>
      </c>
      <c r="M330">
        <v>220</v>
      </c>
      <c r="N330" t="s">
        <v>32</v>
      </c>
      <c r="O330" t="s">
        <v>32</v>
      </c>
      <c r="Q330" t="s">
        <v>32</v>
      </c>
      <c r="S330" t="s">
        <v>32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AA330" t="s">
        <v>88</v>
      </c>
      <c r="AB330" t="s">
        <v>32</v>
      </c>
      <c r="AE330" t="s">
        <v>32</v>
      </c>
      <c r="AH330" t="s">
        <v>32</v>
      </c>
      <c r="AK330" t="s">
        <v>32</v>
      </c>
      <c r="AN330" t="s">
        <v>32</v>
      </c>
      <c r="AO330" t="s">
        <v>32</v>
      </c>
      <c r="AR330">
        <v>0</v>
      </c>
      <c r="AU330" t="s">
        <v>32</v>
      </c>
      <c r="AV330">
        <v>2891569</v>
      </c>
      <c r="AW330" t="s">
        <v>32</v>
      </c>
      <c r="AX330" t="s">
        <v>32</v>
      </c>
      <c r="AY330" t="s">
        <v>185</v>
      </c>
      <c r="AZ330">
        <v>30</v>
      </c>
      <c r="BA330">
        <v>4143533</v>
      </c>
      <c r="BB330">
        <v>0.16</v>
      </c>
      <c r="BC330">
        <v>663000</v>
      </c>
      <c r="BD330" t="s">
        <v>142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663000</v>
      </c>
      <c r="BK330" t="s">
        <v>25</v>
      </c>
      <c r="BL330" t="s">
        <v>1064</v>
      </c>
      <c r="BM330">
        <v>30</v>
      </c>
      <c r="BN330">
        <v>4143533</v>
      </c>
      <c r="BO330">
        <v>0.04</v>
      </c>
      <c r="BP330">
        <v>165800</v>
      </c>
      <c r="BQ330">
        <v>0</v>
      </c>
      <c r="BR330" t="s">
        <v>1438</v>
      </c>
      <c r="BS330">
        <v>0</v>
      </c>
      <c r="BT330" t="s">
        <v>1438</v>
      </c>
      <c r="BU330">
        <v>0</v>
      </c>
      <c r="BV330" t="s">
        <v>25</v>
      </c>
      <c r="BW330" t="s">
        <v>189</v>
      </c>
      <c r="BX330">
        <v>30</v>
      </c>
      <c r="BY330">
        <v>4143533</v>
      </c>
      <c r="BZ330">
        <v>6.9599999999999995E-2</v>
      </c>
      <c r="CA330" t="s">
        <v>1439</v>
      </c>
      <c r="CB330" t="s">
        <v>227</v>
      </c>
      <c r="CC330" t="s">
        <v>1440</v>
      </c>
      <c r="CD330">
        <v>288400</v>
      </c>
      <c r="CE330">
        <v>30</v>
      </c>
      <c r="CF330" t="s">
        <v>635</v>
      </c>
      <c r="CG330">
        <v>4143533</v>
      </c>
      <c r="CH330">
        <v>0.04</v>
      </c>
      <c r="CI330">
        <v>165800</v>
      </c>
      <c r="CJ330">
        <v>4143533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 t="s">
        <v>88</v>
      </c>
      <c r="CT330" t="s">
        <v>1441</v>
      </c>
      <c r="CU330" t="s">
        <v>1442</v>
      </c>
    </row>
    <row r="331" spans="1:99">
      <c r="A331" t="s">
        <v>1431</v>
      </c>
      <c r="B331" t="s">
        <v>34</v>
      </c>
      <c r="C331" t="s">
        <v>2327</v>
      </c>
      <c r="D331" t="s">
        <v>2328</v>
      </c>
      <c r="E331" t="s">
        <v>1487</v>
      </c>
      <c r="F331" t="s">
        <v>2329</v>
      </c>
      <c r="G331" t="s">
        <v>1436</v>
      </c>
      <c r="H331" t="s">
        <v>1761</v>
      </c>
      <c r="I331" t="s">
        <v>240</v>
      </c>
      <c r="J331" t="s">
        <v>46</v>
      </c>
      <c r="K331" t="s">
        <v>29</v>
      </c>
      <c r="L331" t="s">
        <v>30</v>
      </c>
      <c r="M331">
        <v>283</v>
      </c>
      <c r="N331" t="s">
        <v>32</v>
      </c>
      <c r="O331" t="s">
        <v>32</v>
      </c>
      <c r="Q331" t="s">
        <v>32</v>
      </c>
      <c r="S331" t="s">
        <v>40</v>
      </c>
      <c r="T331">
        <v>46081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AA331" t="s">
        <v>88</v>
      </c>
      <c r="AB331" t="s">
        <v>32</v>
      </c>
      <c r="AE331" t="s">
        <v>32</v>
      </c>
      <c r="AH331" t="s">
        <v>32</v>
      </c>
      <c r="AK331" t="s">
        <v>32</v>
      </c>
      <c r="AN331" t="s">
        <v>32</v>
      </c>
      <c r="AO331" t="s">
        <v>32</v>
      </c>
      <c r="AR331">
        <v>0</v>
      </c>
      <c r="AU331" t="s">
        <v>32</v>
      </c>
      <c r="AV331">
        <v>1750905</v>
      </c>
      <c r="AW331" t="s">
        <v>32</v>
      </c>
      <c r="AX331" t="s">
        <v>32</v>
      </c>
      <c r="AY331" t="s">
        <v>356</v>
      </c>
      <c r="AZ331">
        <v>30</v>
      </c>
      <c r="BA331">
        <v>2862798</v>
      </c>
      <c r="BB331">
        <v>0.16</v>
      </c>
      <c r="BC331">
        <v>458100</v>
      </c>
      <c r="BD331" t="s">
        <v>142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458100</v>
      </c>
      <c r="BK331" t="s">
        <v>25</v>
      </c>
      <c r="BL331" t="s">
        <v>1010</v>
      </c>
      <c r="BM331">
        <v>30</v>
      </c>
      <c r="BN331">
        <v>2862798</v>
      </c>
      <c r="BO331">
        <v>0.04</v>
      </c>
      <c r="BP331">
        <v>114600</v>
      </c>
      <c r="BQ331">
        <v>0</v>
      </c>
      <c r="BR331" t="s">
        <v>1438</v>
      </c>
      <c r="BS331">
        <v>0</v>
      </c>
      <c r="BT331" t="s">
        <v>1438</v>
      </c>
      <c r="BU331">
        <v>0</v>
      </c>
      <c r="BV331" t="s">
        <v>25</v>
      </c>
      <c r="BW331" t="s">
        <v>189</v>
      </c>
      <c r="BX331">
        <v>30</v>
      </c>
      <c r="BY331">
        <v>2862798</v>
      </c>
      <c r="BZ331">
        <v>6.9599999999999995E-2</v>
      </c>
      <c r="CA331" t="s">
        <v>1439</v>
      </c>
      <c r="CB331" t="s">
        <v>227</v>
      </c>
      <c r="CC331" t="s">
        <v>1440</v>
      </c>
      <c r="CD331">
        <v>199300</v>
      </c>
      <c r="CE331">
        <v>30</v>
      </c>
      <c r="CF331" t="s">
        <v>635</v>
      </c>
      <c r="CG331">
        <v>3834114</v>
      </c>
      <c r="CH331">
        <v>0.04</v>
      </c>
      <c r="CI331">
        <v>153400</v>
      </c>
      <c r="CJ331">
        <v>3834114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 t="s">
        <v>88</v>
      </c>
      <c r="CT331" t="s">
        <v>1441</v>
      </c>
      <c r="CU331" t="s">
        <v>1442</v>
      </c>
    </row>
    <row r="332" spans="1:99">
      <c r="A332" t="s">
        <v>1431</v>
      </c>
      <c r="B332" t="s">
        <v>34</v>
      </c>
      <c r="C332" t="s">
        <v>2330</v>
      </c>
      <c r="D332" t="s">
        <v>2331</v>
      </c>
      <c r="E332" t="s">
        <v>2332</v>
      </c>
      <c r="F332" t="s">
        <v>1253</v>
      </c>
      <c r="G332" t="s">
        <v>1965</v>
      </c>
      <c r="H332" t="s">
        <v>1793</v>
      </c>
      <c r="I332" t="s">
        <v>240</v>
      </c>
      <c r="J332" t="s">
        <v>46</v>
      </c>
      <c r="K332" t="s">
        <v>29</v>
      </c>
      <c r="L332" t="s">
        <v>30</v>
      </c>
      <c r="M332">
        <v>217</v>
      </c>
      <c r="N332" t="s">
        <v>32</v>
      </c>
      <c r="O332" t="s">
        <v>32</v>
      </c>
      <c r="Q332" t="s">
        <v>32</v>
      </c>
      <c r="S332" t="s">
        <v>32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AA332" t="s">
        <v>88</v>
      </c>
      <c r="AB332" t="s">
        <v>32</v>
      </c>
      <c r="AE332" t="s">
        <v>32</v>
      </c>
      <c r="AH332" t="s">
        <v>32</v>
      </c>
      <c r="AK332" t="s">
        <v>32</v>
      </c>
      <c r="AN332" t="s">
        <v>32</v>
      </c>
      <c r="AO332" t="s">
        <v>32</v>
      </c>
      <c r="AR332">
        <v>0</v>
      </c>
      <c r="AU332" t="s">
        <v>32</v>
      </c>
      <c r="AV332">
        <v>2223339</v>
      </c>
      <c r="AW332" t="s">
        <v>32</v>
      </c>
      <c r="AX332" t="s">
        <v>32</v>
      </c>
      <c r="AY332" t="s">
        <v>185</v>
      </c>
      <c r="AZ332">
        <v>30</v>
      </c>
      <c r="BA332">
        <v>2850709</v>
      </c>
      <c r="BB332">
        <v>0.16</v>
      </c>
      <c r="BC332">
        <v>456200</v>
      </c>
      <c r="BD332" t="s">
        <v>142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456200</v>
      </c>
      <c r="BK332" t="s">
        <v>25</v>
      </c>
      <c r="BL332" t="s">
        <v>1064</v>
      </c>
      <c r="BM332">
        <v>30</v>
      </c>
      <c r="BN332">
        <v>2850709</v>
      </c>
      <c r="BO332">
        <v>0.04</v>
      </c>
      <c r="BP332">
        <v>114100</v>
      </c>
      <c r="BQ332">
        <v>0</v>
      </c>
      <c r="BR332" t="s">
        <v>1438</v>
      </c>
      <c r="BS332">
        <v>0</v>
      </c>
      <c r="BT332" t="s">
        <v>1438</v>
      </c>
      <c r="BU332">
        <v>0</v>
      </c>
      <c r="BV332" t="s">
        <v>25</v>
      </c>
      <c r="BW332" t="s">
        <v>189</v>
      </c>
      <c r="BX332">
        <v>30</v>
      </c>
      <c r="BY332">
        <v>2850709</v>
      </c>
      <c r="BZ332">
        <v>6.9599999999999995E-2</v>
      </c>
      <c r="CA332" t="s">
        <v>1439</v>
      </c>
      <c r="CB332" t="s">
        <v>227</v>
      </c>
      <c r="CC332" t="s">
        <v>1440</v>
      </c>
      <c r="CD332">
        <v>198500</v>
      </c>
      <c r="CE332">
        <v>30</v>
      </c>
      <c r="CF332" t="s">
        <v>635</v>
      </c>
      <c r="CG332">
        <v>2850709</v>
      </c>
      <c r="CH332">
        <v>0.04</v>
      </c>
      <c r="CI332">
        <v>114100</v>
      </c>
      <c r="CJ332">
        <v>2850709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 t="s">
        <v>88</v>
      </c>
      <c r="CT332" t="s">
        <v>1441</v>
      </c>
      <c r="CU332" t="s">
        <v>1442</v>
      </c>
    </row>
    <row r="333" spans="1:99">
      <c r="A333" t="s">
        <v>1431</v>
      </c>
      <c r="B333" t="s">
        <v>34</v>
      </c>
      <c r="C333" t="s">
        <v>2333</v>
      </c>
      <c r="D333" t="s">
        <v>2334</v>
      </c>
      <c r="E333" t="s">
        <v>1913</v>
      </c>
      <c r="F333" t="s">
        <v>2335</v>
      </c>
      <c r="G333" t="s">
        <v>2070</v>
      </c>
      <c r="H333" t="s">
        <v>1558</v>
      </c>
      <c r="I333" t="s">
        <v>240</v>
      </c>
      <c r="J333" t="s">
        <v>46</v>
      </c>
      <c r="K333" t="s">
        <v>29</v>
      </c>
      <c r="L333" t="s">
        <v>30</v>
      </c>
      <c r="M333">
        <v>180</v>
      </c>
      <c r="N333" t="s">
        <v>32</v>
      </c>
      <c r="O333" t="s">
        <v>32</v>
      </c>
      <c r="Q333" t="s">
        <v>32</v>
      </c>
      <c r="S333" t="s">
        <v>32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AA333" t="s">
        <v>32</v>
      </c>
      <c r="AB333" t="s">
        <v>32</v>
      </c>
      <c r="AE333" t="s">
        <v>32</v>
      </c>
      <c r="AH333" t="s">
        <v>32</v>
      </c>
      <c r="AK333" t="s">
        <v>32</v>
      </c>
      <c r="AN333" t="s">
        <v>32</v>
      </c>
      <c r="AO333" t="s">
        <v>32</v>
      </c>
      <c r="AR333">
        <v>0</v>
      </c>
      <c r="AU333" t="s">
        <v>32</v>
      </c>
      <c r="AV333">
        <v>4152090</v>
      </c>
      <c r="AW333" t="s">
        <v>32</v>
      </c>
      <c r="AX333" t="s">
        <v>32</v>
      </c>
      <c r="AY333" t="s">
        <v>356</v>
      </c>
      <c r="AZ333">
        <v>30</v>
      </c>
      <c r="BA333">
        <v>4816707</v>
      </c>
      <c r="BB333">
        <v>0.16</v>
      </c>
      <c r="BC333">
        <v>770700</v>
      </c>
      <c r="BD333" t="s">
        <v>142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770700</v>
      </c>
      <c r="BK333" t="s">
        <v>25</v>
      </c>
      <c r="BL333" t="s">
        <v>1491</v>
      </c>
      <c r="BM333">
        <v>30</v>
      </c>
      <c r="BN333">
        <v>4816707</v>
      </c>
      <c r="BO333">
        <v>0.04</v>
      </c>
      <c r="BP333">
        <v>192700</v>
      </c>
      <c r="BQ333">
        <v>0</v>
      </c>
      <c r="BR333" t="s">
        <v>1438</v>
      </c>
      <c r="BS333">
        <v>0</v>
      </c>
      <c r="BT333" t="s">
        <v>1438</v>
      </c>
      <c r="BU333">
        <v>0</v>
      </c>
      <c r="BV333" t="s">
        <v>25</v>
      </c>
      <c r="BW333" t="s">
        <v>189</v>
      </c>
      <c r="BX333">
        <v>30</v>
      </c>
      <c r="BY333">
        <v>4816707</v>
      </c>
      <c r="BZ333">
        <v>6.9599999999999995E-2</v>
      </c>
      <c r="CA333" t="s">
        <v>1439</v>
      </c>
      <c r="CB333" t="s">
        <v>227</v>
      </c>
      <c r="CC333" t="s">
        <v>1440</v>
      </c>
      <c r="CD333">
        <v>335300</v>
      </c>
      <c r="CE333">
        <v>30</v>
      </c>
      <c r="CF333" t="s">
        <v>635</v>
      </c>
      <c r="CG333">
        <v>4152090</v>
      </c>
      <c r="CH333">
        <v>0.04</v>
      </c>
      <c r="CI333">
        <v>166100</v>
      </c>
      <c r="CJ333">
        <v>4152090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 t="s">
        <v>88</v>
      </c>
      <c r="CT333" t="s">
        <v>1441</v>
      </c>
      <c r="CU333" t="s">
        <v>1442</v>
      </c>
    </row>
    <row r="334" spans="1:99">
      <c r="A334" t="s">
        <v>1431</v>
      </c>
      <c r="B334" t="s">
        <v>34</v>
      </c>
      <c r="C334" t="s">
        <v>2336</v>
      </c>
      <c r="D334" t="s">
        <v>2337</v>
      </c>
      <c r="E334" t="s">
        <v>2338</v>
      </c>
      <c r="F334" t="s">
        <v>2339</v>
      </c>
      <c r="G334" t="s">
        <v>2340</v>
      </c>
      <c r="H334" t="s">
        <v>2341</v>
      </c>
      <c r="I334" t="s">
        <v>240</v>
      </c>
      <c r="J334" t="s">
        <v>46</v>
      </c>
      <c r="K334" t="s">
        <v>29</v>
      </c>
      <c r="L334" t="s">
        <v>30</v>
      </c>
      <c r="M334">
        <v>188</v>
      </c>
      <c r="N334" t="s">
        <v>32</v>
      </c>
      <c r="O334" t="s">
        <v>32</v>
      </c>
      <c r="Q334" t="s">
        <v>32</v>
      </c>
      <c r="S334" t="s">
        <v>32</v>
      </c>
      <c r="U334" t="s">
        <v>32</v>
      </c>
      <c r="V334" t="s">
        <v>32</v>
      </c>
      <c r="W334" t="s">
        <v>32</v>
      </c>
      <c r="X334" t="s">
        <v>32</v>
      </c>
      <c r="Y334" t="s">
        <v>88</v>
      </c>
      <c r="Z334">
        <v>46054</v>
      </c>
      <c r="AA334" t="s">
        <v>32</v>
      </c>
      <c r="AB334" t="s">
        <v>32</v>
      </c>
      <c r="AE334" t="s">
        <v>32</v>
      </c>
      <c r="AH334" t="s">
        <v>32</v>
      </c>
      <c r="AK334" t="s">
        <v>32</v>
      </c>
      <c r="AN334" t="s">
        <v>32</v>
      </c>
      <c r="AO334" t="s">
        <v>32</v>
      </c>
      <c r="AR334">
        <v>0</v>
      </c>
      <c r="AU334" t="s">
        <v>32</v>
      </c>
      <c r="AV334">
        <v>6384779</v>
      </c>
      <c r="AW334" t="s">
        <v>32</v>
      </c>
      <c r="AX334" t="s">
        <v>32</v>
      </c>
      <c r="AY334" t="s">
        <v>317</v>
      </c>
      <c r="AZ334">
        <v>30</v>
      </c>
      <c r="BA334">
        <v>6384779</v>
      </c>
      <c r="BB334">
        <v>0.16</v>
      </c>
      <c r="BC334">
        <v>1021600</v>
      </c>
      <c r="BD334" t="s">
        <v>142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1021600</v>
      </c>
      <c r="BK334" t="s">
        <v>25</v>
      </c>
      <c r="BL334" t="s">
        <v>1071</v>
      </c>
      <c r="BM334">
        <v>30</v>
      </c>
      <c r="BN334">
        <v>6384779</v>
      </c>
      <c r="BO334">
        <v>0.04</v>
      </c>
      <c r="BP334">
        <v>255400</v>
      </c>
      <c r="BQ334">
        <v>0</v>
      </c>
      <c r="BR334" t="s">
        <v>1438</v>
      </c>
      <c r="BS334">
        <v>0</v>
      </c>
      <c r="BT334" t="s">
        <v>1438</v>
      </c>
      <c r="BU334">
        <v>0</v>
      </c>
      <c r="BV334" t="s">
        <v>25</v>
      </c>
      <c r="BW334" t="s">
        <v>189</v>
      </c>
      <c r="BX334">
        <v>30</v>
      </c>
      <c r="BY334">
        <v>6384779</v>
      </c>
      <c r="BZ334">
        <v>6.9599999999999995E-2</v>
      </c>
      <c r="CA334" t="s">
        <v>1439</v>
      </c>
      <c r="CB334" t="s">
        <v>227</v>
      </c>
      <c r="CC334" t="s">
        <v>1440</v>
      </c>
      <c r="CD334">
        <v>444400</v>
      </c>
      <c r="CE334">
        <v>30</v>
      </c>
      <c r="CF334" t="s">
        <v>635</v>
      </c>
      <c r="CG334">
        <v>6384779</v>
      </c>
      <c r="CH334">
        <v>0.04</v>
      </c>
      <c r="CI334">
        <v>255400</v>
      </c>
      <c r="CJ334">
        <v>6384779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 t="s">
        <v>88</v>
      </c>
      <c r="CT334" t="s">
        <v>1441</v>
      </c>
      <c r="CU334" t="s">
        <v>1442</v>
      </c>
    </row>
    <row r="335" spans="1:99">
      <c r="A335" t="s">
        <v>1431</v>
      </c>
      <c r="B335" t="s">
        <v>34</v>
      </c>
      <c r="C335" t="s">
        <v>2342</v>
      </c>
      <c r="D335" t="s">
        <v>2343</v>
      </c>
      <c r="E335" t="s">
        <v>1634</v>
      </c>
      <c r="F335" t="s">
        <v>2099</v>
      </c>
      <c r="G335" t="s">
        <v>1698</v>
      </c>
      <c r="H335" t="s">
        <v>1468</v>
      </c>
      <c r="I335" t="s">
        <v>240</v>
      </c>
      <c r="J335" t="s">
        <v>46</v>
      </c>
      <c r="K335" t="s">
        <v>29</v>
      </c>
      <c r="L335" t="s">
        <v>30</v>
      </c>
      <c r="M335">
        <v>9</v>
      </c>
      <c r="N335" t="s">
        <v>32</v>
      </c>
      <c r="O335" t="s">
        <v>32</v>
      </c>
      <c r="Q335" t="s">
        <v>40</v>
      </c>
      <c r="R335">
        <v>46080</v>
      </c>
      <c r="S335" t="s">
        <v>32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AA335" t="s">
        <v>32</v>
      </c>
      <c r="AB335" t="s">
        <v>32</v>
      </c>
      <c r="AE335" t="s">
        <v>32</v>
      </c>
      <c r="AH335" t="s">
        <v>32</v>
      </c>
      <c r="AK335" t="s">
        <v>32</v>
      </c>
      <c r="AN335" t="s">
        <v>32</v>
      </c>
      <c r="AO335" t="s">
        <v>32</v>
      </c>
      <c r="AR335">
        <v>0</v>
      </c>
      <c r="AU335" t="s">
        <v>32</v>
      </c>
      <c r="AV335">
        <v>1785595</v>
      </c>
      <c r="AW335" t="s">
        <v>32</v>
      </c>
      <c r="AX335" t="s">
        <v>32</v>
      </c>
      <c r="AY335" t="s">
        <v>317</v>
      </c>
      <c r="AZ335">
        <v>4</v>
      </c>
      <c r="BA335">
        <v>238080</v>
      </c>
      <c r="BB335">
        <v>0.16</v>
      </c>
      <c r="BC335">
        <v>38100</v>
      </c>
      <c r="BD335" t="s">
        <v>142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38100</v>
      </c>
      <c r="BK335" t="s">
        <v>25</v>
      </c>
      <c r="BL335" t="s">
        <v>1064</v>
      </c>
      <c r="BM335">
        <v>4</v>
      </c>
      <c r="BN335">
        <v>238080</v>
      </c>
      <c r="BO335">
        <v>0.04</v>
      </c>
      <c r="BP335">
        <v>9600</v>
      </c>
      <c r="BQ335">
        <v>0</v>
      </c>
      <c r="BR335" t="s">
        <v>1438</v>
      </c>
      <c r="BS335">
        <v>0</v>
      </c>
      <c r="BT335" t="s">
        <v>1438</v>
      </c>
      <c r="BU335">
        <v>0</v>
      </c>
      <c r="BV335" t="s">
        <v>25</v>
      </c>
      <c r="BW335" t="s">
        <v>189</v>
      </c>
      <c r="BX335">
        <v>4</v>
      </c>
      <c r="BY335">
        <v>238080</v>
      </c>
      <c r="BZ335">
        <v>6.9599999999999995E-2</v>
      </c>
      <c r="CA335" t="s">
        <v>1439</v>
      </c>
      <c r="CB335" t="s">
        <v>227</v>
      </c>
      <c r="CC335" t="s">
        <v>1440</v>
      </c>
      <c r="CD335">
        <v>16600</v>
      </c>
      <c r="CE335">
        <v>4</v>
      </c>
      <c r="CF335" t="s">
        <v>635</v>
      </c>
      <c r="CG335">
        <v>238080</v>
      </c>
      <c r="CH335">
        <v>0.04</v>
      </c>
      <c r="CI335">
        <v>9600</v>
      </c>
      <c r="CJ335">
        <v>238080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 t="s">
        <v>88</v>
      </c>
      <c r="CT335" t="s">
        <v>1441</v>
      </c>
      <c r="CU335" t="s">
        <v>1442</v>
      </c>
    </row>
    <row r="336" spans="1:99">
      <c r="A336" t="s">
        <v>1431</v>
      </c>
      <c r="B336" t="s">
        <v>34</v>
      </c>
      <c r="C336" t="s">
        <v>2344</v>
      </c>
      <c r="D336" t="s">
        <v>2345</v>
      </c>
      <c r="E336" t="s">
        <v>2346</v>
      </c>
      <c r="F336" t="s">
        <v>1942</v>
      </c>
      <c r="G336" t="s">
        <v>1489</v>
      </c>
      <c r="H336" t="s">
        <v>2347</v>
      </c>
      <c r="I336" t="s">
        <v>240</v>
      </c>
      <c r="J336" t="s">
        <v>46</v>
      </c>
      <c r="K336" t="s">
        <v>29</v>
      </c>
      <c r="L336" t="s">
        <v>30</v>
      </c>
      <c r="M336">
        <v>33</v>
      </c>
      <c r="N336" t="s">
        <v>32</v>
      </c>
      <c r="O336" t="s">
        <v>32</v>
      </c>
      <c r="Q336" t="s">
        <v>32</v>
      </c>
      <c r="S336" t="s">
        <v>40</v>
      </c>
      <c r="T336">
        <v>46056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AA336" t="s">
        <v>88</v>
      </c>
      <c r="AB336" t="s">
        <v>32</v>
      </c>
      <c r="AE336" t="s">
        <v>32</v>
      </c>
      <c r="AH336" t="s">
        <v>32</v>
      </c>
      <c r="AK336" t="s">
        <v>32</v>
      </c>
      <c r="AN336" t="s">
        <v>32</v>
      </c>
      <c r="AO336" t="s">
        <v>32</v>
      </c>
      <c r="AR336">
        <v>0</v>
      </c>
      <c r="AU336" t="s">
        <v>32</v>
      </c>
      <c r="AV336">
        <v>1785595</v>
      </c>
      <c r="AW336" t="s">
        <v>32</v>
      </c>
      <c r="AX336" t="s">
        <v>32</v>
      </c>
      <c r="AY336" t="s">
        <v>317</v>
      </c>
      <c r="AZ336">
        <v>3</v>
      </c>
      <c r="BA336">
        <v>735908</v>
      </c>
      <c r="BB336">
        <v>0.16</v>
      </c>
      <c r="BC336">
        <v>117800</v>
      </c>
      <c r="BD336" t="s">
        <v>142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117800</v>
      </c>
      <c r="BK336" t="s">
        <v>25</v>
      </c>
      <c r="BL336" t="s">
        <v>1064</v>
      </c>
      <c r="BM336">
        <v>3</v>
      </c>
      <c r="BN336">
        <v>735908</v>
      </c>
      <c r="BO336">
        <v>0.04</v>
      </c>
      <c r="BP336">
        <v>29500</v>
      </c>
      <c r="BQ336">
        <v>0</v>
      </c>
      <c r="BR336" t="s">
        <v>1438</v>
      </c>
      <c r="BS336">
        <v>0</v>
      </c>
      <c r="BT336" t="s">
        <v>1438</v>
      </c>
      <c r="BU336">
        <v>0</v>
      </c>
      <c r="BV336" t="s">
        <v>25</v>
      </c>
      <c r="BW336" t="s">
        <v>189</v>
      </c>
      <c r="BX336">
        <v>3</v>
      </c>
      <c r="BY336">
        <v>735908</v>
      </c>
      <c r="BZ336">
        <v>6.9599999999999995E-2</v>
      </c>
      <c r="CA336" t="s">
        <v>1439</v>
      </c>
      <c r="CB336" t="s">
        <v>227</v>
      </c>
      <c r="CC336" t="s">
        <v>1440</v>
      </c>
      <c r="CD336">
        <v>51300</v>
      </c>
      <c r="CE336">
        <v>3</v>
      </c>
      <c r="CF336" t="s">
        <v>635</v>
      </c>
      <c r="CG336">
        <v>951054</v>
      </c>
      <c r="CH336">
        <v>0.04</v>
      </c>
      <c r="CI336">
        <v>38100</v>
      </c>
      <c r="CJ336">
        <v>951054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 t="s">
        <v>88</v>
      </c>
      <c r="CT336" t="s">
        <v>1441</v>
      </c>
      <c r="CU336" t="s">
        <v>1442</v>
      </c>
    </row>
    <row r="337" spans="1:99">
      <c r="A337" t="s">
        <v>1431</v>
      </c>
      <c r="B337" t="s">
        <v>34</v>
      </c>
      <c r="C337" t="s">
        <v>2348</v>
      </c>
      <c r="D337" t="s">
        <v>2349</v>
      </c>
      <c r="E337" t="s">
        <v>849</v>
      </c>
      <c r="F337" t="s">
        <v>2350</v>
      </c>
      <c r="G337" t="s">
        <v>1479</v>
      </c>
      <c r="H337" t="s">
        <v>2351</v>
      </c>
      <c r="I337" t="s">
        <v>240</v>
      </c>
      <c r="J337" t="s">
        <v>46</v>
      </c>
      <c r="K337" t="s">
        <v>29</v>
      </c>
      <c r="L337" t="s">
        <v>30</v>
      </c>
      <c r="M337">
        <v>188</v>
      </c>
      <c r="N337" t="s">
        <v>32</v>
      </c>
      <c r="O337" t="s">
        <v>32</v>
      </c>
      <c r="Q337" t="s">
        <v>32</v>
      </c>
      <c r="S337" t="s">
        <v>32</v>
      </c>
      <c r="U337" t="s">
        <v>32</v>
      </c>
      <c r="V337" t="s">
        <v>32</v>
      </c>
      <c r="W337" t="s">
        <v>32</v>
      </c>
      <c r="X337" t="s">
        <v>32</v>
      </c>
      <c r="Y337" t="s">
        <v>88</v>
      </c>
      <c r="Z337">
        <v>46054</v>
      </c>
      <c r="AA337" t="s">
        <v>32</v>
      </c>
      <c r="AB337" t="s">
        <v>32</v>
      </c>
      <c r="AE337" t="s">
        <v>32</v>
      </c>
      <c r="AH337" t="s">
        <v>32</v>
      </c>
      <c r="AK337" t="s">
        <v>32</v>
      </c>
      <c r="AN337" t="s">
        <v>32</v>
      </c>
      <c r="AO337" t="s">
        <v>32</v>
      </c>
      <c r="AR337">
        <v>0</v>
      </c>
      <c r="AU337" t="s">
        <v>32</v>
      </c>
      <c r="AV337">
        <v>13441322</v>
      </c>
      <c r="AW337" t="s">
        <v>32</v>
      </c>
      <c r="AX337" t="s">
        <v>32</v>
      </c>
      <c r="AY337" t="s">
        <v>185</v>
      </c>
      <c r="AZ337">
        <v>30</v>
      </c>
      <c r="BA337">
        <v>26585710</v>
      </c>
      <c r="BB337">
        <v>0.16</v>
      </c>
      <c r="BC337">
        <v>4253800</v>
      </c>
      <c r="BD337" t="s">
        <v>142</v>
      </c>
      <c r="BE337">
        <v>0</v>
      </c>
      <c r="BF337">
        <v>0</v>
      </c>
      <c r="BG337">
        <v>133000</v>
      </c>
      <c r="BH337">
        <v>133000</v>
      </c>
      <c r="BI337">
        <v>0</v>
      </c>
      <c r="BJ337">
        <v>4519800</v>
      </c>
      <c r="BK337" t="s">
        <v>25</v>
      </c>
      <c r="BL337" t="s">
        <v>1071</v>
      </c>
      <c r="BM337">
        <v>30</v>
      </c>
      <c r="BN337">
        <v>26585710</v>
      </c>
      <c r="BO337">
        <v>0.125</v>
      </c>
      <c r="BP337">
        <v>3323300</v>
      </c>
      <c r="BQ337">
        <v>0</v>
      </c>
      <c r="BR337" t="s">
        <v>1438</v>
      </c>
      <c r="BS337">
        <v>0</v>
      </c>
      <c r="BT337" t="s">
        <v>1438</v>
      </c>
      <c r="BU337">
        <v>0</v>
      </c>
      <c r="BV337" t="s">
        <v>25</v>
      </c>
      <c r="BW337" t="s">
        <v>189</v>
      </c>
      <c r="BX337">
        <v>30</v>
      </c>
      <c r="BY337">
        <v>26585710</v>
      </c>
      <c r="BZ337">
        <v>6.9599999999999995E-2</v>
      </c>
      <c r="CA337" t="s">
        <v>1439</v>
      </c>
      <c r="CB337" t="s">
        <v>227</v>
      </c>
      <c r="CC337" t="s">
        <v>1440</v>
      </c>
      <c r="CD337">
        <v>1850400</v>
      </c>
      <c r="CE337">
        <v>30</v>
      </c>
      <c r="CF337" t="s">
        <v>635</v>
      </c>
      <c r="CG337">
        <v>13441322</v>
      </c>
      <c r="CH337">
        <v>0.04</v>
      </c>
      <c r="CI337">
        <v>537700</v>
      </c>
      <c r="CJ337">
        <v>13441322</v>
      </c>
      <c r="CK337">
        <v>0.02</v>
      </c>
      <c r="CL337">
        <v>268900</v>
      </c>
      <c r="CM337">
        <v>0.03</v>
      </c>
      <c r="CN337">
        <v>403300</v>
      </c>
      <c r="CO337">
        <v>0</v>
      </c>
      <c r="CP337">
        <v>0</v>
      </c>
      <c r="CQ337">
        <v>0</v>
      </c>
      <c r="CR337">
        <v>0</v>
      </c>
      <c r="CS337" t="s">
        <v>32</v>
      </c>
      <c r="CT337" t="s">
        <v>1441</v>
      </c>
      <c r="CU337" t="s">
        <v>1442</v>
      </c>
    </row>
    <row r="338" spans="1:99">
      <c r="A338" t="s">
        <v>1431</v>
      </c>
      <c r="B338" t="s">
        <v>34</v>
      </c>
      <c r="C338" t="s">
        <v>2352</v>
      </c>
      <c r="D338" t="s">
        <v>2353</v>
      </c>
      <c r="E338" t="s">
        <v>1596</v>
      </c>
      <c r="F338" t="s">
        <v>2354</v>
      </c>
      <c r="G338" t="s">
        <v>2355</v>
      </c>
      <c r="H338" t="s">
        <v>2356</v>
      </c>
      <c r="I338" t="s">
        <v>240</v>
      </c>
      <c r="J338" t="s">
        <v>46</v>
      </c>
      <c r="K338" t="s">
        <v>29</v>
      </c>
      <c r="L338" t="s">
        <v>30</v>
      </c>
      <c r="M338">
        <v>188</v>
      </c>
      <c r="N338" t="s">
        <v>32</v>
      </c>
      <c r="O338" t="s">
        <v>32</v>
      </c>
      <c r="Q338" t="s">
        <v>32</v>
      </c>
      <c r="S338" t="s">
        <v>32</v>
      </c>
      <c r="U338" t="s">
        <v>32</v>
      </c>
      <c r="V338" t="s">
        <v>32</v>
      </c>
      <c r="W338" t="s">
        <v>32</v>
      </c>
      <c r="X338" t="s">
        <v>32</v>
      </c>
      <c r="Y338" t="s">
        <v>88</v>
      </c>
      <c r="Z338">
        <v>46054</v>
      </c>
      <c r="AA338" t="s">
        <v>32</v>
      </c>
      <c r="AB338" t="s">
        <v>32</v>
      </c>
      <c r="AE338" t="s">
        <v>32</v>
      </c>
      <c r="AH338" t="s">
        <v>32</v>
      </c>
      <c r="AK338" t="s">
        <v>32</v>
      </c>
      <c r="AN338" t="s">
        <v>32</v>
      </c>
      <c r="AO338" t="s">
        <v>32</v>
      </c>
      <c r="AR338">
        <v>0</v>
      </c>
      <c r="AU338" t="s">
        <v>32</v>
      </c>
      <c r="AV338">
        <v>10231263</v>
      </c>
      <c r="AW338" t="s">
        <v>32</v>
      </c>
      <c r="AX338" t="s">
        <v>88</v>
      </c>
      <c r="AY338" t="s">
        <v>317</v>
      </c>
      <c r="AZ338">
        <v>30</v>
      </c>
      <c r="BA338">
        <v>10231263</v>
      </c>
      <c r="BB338">
        <v>0.16</v>
      </c>
      <c r="BC338">
        <v>1637100</v>
      </c>
      <c r="BD338" t="s">
        <v>142</v>
      </c>
      <c r="BE338">
        <v>0</v>
      </c>
      <c r="BF338">
        <v>0</v>
      </c>
      <c r="BG338">
        <v>51200</v>
      </c>
      <c r="BH338">
        <v>51200</v>
      </c>
      <c r="BI338">
        <v>0</v>
      </c>
      <c r="BJ338">
        <v>1739500</v>
      </c>
      <c r="BK338" t="s">
        <v>25</v>
      </c>
      <c r="BL338" t="s">
        <v>1071</v>
      </c>
      <c r="BM338">
        <v>30</v>
      </c>
      <c r="BN338">
        <v>10231263</v>
      </c>
      <c r="BO338">
        <v>0.04</v>
      </c>
      <c r="BP338">
        <v>409300</v>
      </c>
      <c r="BQ338">
        <v>0</v>
      </c>
      <c r="BR338" t="s">
        <v>1438</v>
      </c>
      <c r="BS338">
        <v>0</v>
      </c>
      <c r="BT338" t="s">
        <v>1438</v>
      </c>
      <c r="BU338">
        <v>0</v>
      </c>
      <c r="BV338" t="s">
        <v>25</v>
      </c>
      <c r="BW338" t="s">
        <v>189</v>
      </c>
      <c r="BX338">
        <v>30</v>
      </c>
      <c r="BY338">
        <v>10231263</v>
      </c>
      <c r="BZ338">
        <v>6.9599999999999995E-2</v>
      </c>
      <c r="CA338" t="s">
        <v>1439</v>
      </c>
      <c r="CB338" t="s">
        <v>227</v>
      </c>
      <c r="CC338" t="s">
        <v>1440</v>
      </c>
      <c r="CD338">
        <v>712100</v>
      </c>
      <c r="CE338">
        <v>30</v>
      </c>
      <c r="CF338" t="s">
        <v>635</v>
      </c>
      <c r="CG338">
        <v>10231263</v>
      </c>
      <c r="CH338">
        <v>0.04</v>
      </c>
      <c r="CI338">
        <v>409300</v>
      </c>
      <c r="CJ338">
        <v>10231263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 t="s">
        <v>88</v>
      </c>
      <c r="CT338" t="s">
        <v>1441</v>
      </c>
      <c r="CU338" t="s">
        <v>1442</v>
      </c>
    </row>
    <row r="339" spans="1:99">
      <c r="A339" t="s">
        <v>1431</v>
      </c>
      <c r="B339" t="s">
        <v>34</v>
      </c>
      <c r="C339" t="s">
        <v>2357</v>
      </c>
      <c r="D339" t="s">
        <v>2358</v>
      </c>
      <c r="E339" t="s">
        <v>1530</v>
      </c>
      <c r="F339" t="s">
        <v>2359</v>
      </c>
      <c r="G339" t="s">
        <v>2083</v>
      </c>
      <c r="H339" t="s">
        <v>1850</v>
      </c>
      <c r="I339" t="s">
        <v>682</v>
      </c>
      <c r="J339" t="s">
        <v>484</v>
      </c>
      <c r="K339" t="s">
        <v>29</v>
      </c>
      <c r="L339" t="s">
        <v>30</v>
      </c>
      <c r="M339">
        <v>0</v>
      </c>
      <c r="N339" t="s">
        <v>32</v>
      </c>
      <c r="O339" t="s">
        <v>32</v>
      </c>
      <c r="Q339" t="s">
        <v>32</v>
      </c>
      <c r="S339" t="s">
        <v>32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AA339" t="s">
        <v>32</v>
      </c>
      <c r="AB339" t="s">
        <v>37</v>
      </c>
      <c r="AC339">
        <v>46054</v>
      </c>
      <c r="AD339">
        <v>46054</v>
      </c>
      <c r="AE339" t="s">
        <v>32</v>
      </c>
      <c r="AH339" t="s">
        <v>32</v>
      </c>
      <c r="AK339" t="s">
        <v>32</v>
      </c>
      <c r="AN339" t="s">
        <v>32</v>
      </c>
      <c r="AO339" t="s">
        <v>32</v>
      </c>
      <c r="AR339">
        <v>0</v>
      </c>
      <c r="AU339" t="s">
        <v>32</v>
      </c>
      <c r="AV339">
        <v>1750905</v>
      </c>
      <c r="AW339" t="s">
        <v>32</v>
      </c>
      <c r="AX339" t="s">
        <v>32</v>
      </c>
      <c r="AY339" t="s">
        <v>317</v>
      </c>
      <c r="AZ339">
        <v>1</v>
      </c>
      <c r="BA339">
        <v>58364</v>
      </c>
      <c r="BB339">
        <v>0.16</v>
      </c>
      <c r="BC339">
        <v>9400</v>
      </c>
      <c r="BD339" t="s">
        <v>142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9400</v>
      </c>
      <c r="BK339" t="s">
        <v>25</v>
      </c>
      <c r="BL339" t="s">
        <v>748</v>
      </c>
      <c r="BM339">
        <v>1</v>
      </c>
      <c r="BN339">
        <v>58364</v>
      </c>
      <c r="BO339">
        <v>0</v>
      </c>
      <c r="BP339">
        <v>0</v>
      </c>
      <c r="BQ339">
        <v>0</v>
      </c>
      <c r="BR339" t="s">
        <v>1438</v>
      </c>
      <c r="BS339">
        <v>0</v>
      </c>
      <c r="BT339" t="s">
        <v>1438</v>
      </c>
      <c r="BU339">
        <v>0</v>
      </c>
      <c r="BV339" t="s">
        <v>25</v>
      </c>
      <c r="BW339" t="s">
        <v>189</v>
      </c>
      <c r="BX339">
        <v>1</v>
      </c>
      <c r="BY339">
        <v>58364</v>
      </c>
      <c r="BZ339">
        <v>0</v>
      </c>
      <c r="CA339" t="s">
        <v>1439</v>
      </c>
      <c r="CB339" t="s">
        <v>312</v>
      </c>
      <c r="CC339" t="s">
        <v>1440</v>
      </c>
      <c r="CD339">
        <v>0</v>
      </c>
      <c r="CE339">
        <v>1</v>
      </c>
      <c r="CF339" t="s">
        <v>466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 t="s">
        <v>88</v>
      </c>
      <c r="CT339" t="s">
        <v>1441</v>
      </c>
      <c r="CU339" t="s">
        <v>1442</v>
      </c>
    </row>
    <row r="340" spans="1:99">
      <c r="A340" t="s">
        <v>1431</v>
      </c>
      <c r="B340" t="s">
        <v>34</v>
      </c>
      <c r="C340" t="s">
        <v>2357</v>
      </c>
      <c r="D340" t="s">
        <v>2358</v>
      </c>
      <c r="E340" t="s">
        <v>1530</v>
      </c>
      <c r="F340" t="s">
        <v>2359</v>
      </c>
      <c r="G340" t="s">
        <v>2083</v>
      </c>
      <c r="H340" t="s">
        <v>1850</v>
      </c>
      <c r="I340" t="s">
        <v>682</v>
      </c>
      <c r="J340" t="s">
        <v>484</v>
      </c>
      <c r="K340" t="s">
        <v>29</v>
      </c>
      <c r="L340" t="s">
        <v>30</v>
      </c>
      <c r="M340">
        <v>0</v>
      </c>
      <c r="N340" t="s">
        <v>32</v>
      </c>
      <c r="O340" t="s">
        <v>32</v>
      </c>
      <c r="Q340" t="s">
        <v>32</v>
      </c>
      <c r="S340" t="s">
        <v>32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AA340" t="s">
        <v>32</v>
      </c>
      <c r="AB340" t="s">
        <v>37</v>
      </c>
      <c r="AC340">
        <v>46069</v>
      </c>
      <c r="AD340">
        <v>46069</v>
      </c>
      <c r="AE340" t="s">
        <v>32</v>
      </c>
      <c r="AH340" t="s">
        <v>32</v>
      </c>
      <c r="AK340" t="s">
        <v>32</v>
      </c>
      <c r="AN340" t="s">
        <v>32</v>
      </c>
      <c r="AO340" t="s">
        <v>32</v>
      </c>
      <c r="AR340">
        <v>0</v>
      </c>
      <c r="AU340" t="s">
        <v>32</v>
      </c>
      <c r="AV340">
        <v>1750905</v>
      </c>
      <c r="AW340" t="s">
        <v>32</v>
      </c>
      <c r="AX340" t="s">
        <v>32</v>
      </c>
      <c r="AY340" t="s">
        <v>317</v>
      </c>
      <c r="AZ340">
        <v>1</v>
      </c>
      <c r="BA340">
        <v>58364</v>
      </c>
      <c r="BB340">
        <v>0.16</v>
      </c>
      <c r="BC340">
        <v>9400</v>
      </c>
      <c r="BD340" t="s">
        <v>142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9400</v>
      </c>
      <c r="BK340" t="s">
        <v>25</v>
      </c>
      <c r="BL340" t="s">
        <v>748</v>
      </c>
      <c r="BM340">
        <v>1</v>
      </c>
      <c r="BN340">
        <v>58364</v>
      </c>
      <c r="BO340">
        <v>0</v>
      </c>
      <c r="BP340">
        <v>0</v>
      </c>
      <c r="BQ340">
        <v>0</v>
      </c>
      <c r="BR340" t="s">
        <v>1438</v>
      </c>
      <c r="BS340">
        <v>0</v>
      </c>
      <c r="BT340" t="s">
        <v>1438</v>
      </c>
      <c r="BU340">
        <v>0</v>
      </c>
      <c r="BV340" t="s">
        <v>25</v>
      </c>
      <c r="BW340" t="s">
        <v>189</v>
      </c>
      <c r="BX340">
        <v>1</v>
      </c>
      <c r="BY340">
        <v>58364</v>
      </c>
      <c r="BZ340">
        <v>0</v>
      </c>
      <c r="CA340" t="s">
        <v>1439</v>
      </c>
      <c r="CB340" t="s">
        <v>312</v>
      </c>
      <c r="CC340" t="s">
        <v>1440</v>
      </c>
      <c r="CD340">
        <v>0</v>
      </c>
      <c r="CE340">
        <v>1</v>
      </c>
      <c r="CF340" t="s">
        <v>466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 t="s">
        <v>88</v>
      </c>
      <c r="CT340" t="s">
        <v>1441</v>
      </c>
      <c r="CU340" t="s">
        <v>1442</v>
      </c>
    </row>
    <row r="341" spans="1:99">
      <c r="A341" t="s">
        <v>1431</v>
      </c>
      <c r="B341" t="s">
        <v>34</v>
      </c>
      <c r="C341" t="s">
        <v>2357</v>
      </c>
      <c r="D341" t="s">
        <v>2358</v>
      </c>
      <c r="E341" t="s">
        <v>1530</v>
      </c>
      <c r="F341" t="s">
        <v>2359</v>
      </c>
      <c r="G341" t="s">
        <v>2083</v>
      </c>
      <c r="H341" t="s">
        <v>1850</v>
      </c>
      <c r="I341" t="s">
        <v>682</v>
      </c>
      <c r="J341" t="s">
        <v>484</v>
      </c>
      <c r="K341" t="s">
        <v>29</v>
      </c>
      <c r="L341" t="s">
        <v>30</v>
      </c>
      <c r="M341">
        <v>194</v>
      </c>
      <c r="N341" t="s">
        <v>32</v>
      </c>
      <c r="O341" t="s">
        <v>32</v>
      </c>
      <c r="Q341" t="s">
        <v>32</v>
      </c>
      <c r="S341" t="s">
        <v>32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AA341" t="s">
        <v>88</v>
      </c>
      <c r="AB341" t="s">
        <v>32</v>
      </c>
      <c r="AE341" t="s">
        <v>32</v>
      </c>
      <c r="AH341" t="s">
        <v>32</v>
      </c>
      <c r="AK341" t="s">
        <v>32</v>
      </c>
      <c r="AN341" t="s">
        <v>32</v>
      </c>
      <c r="AO341" t="s">
        <v>32</v>
      </c>
      <c r="AR341">
        <v>0</v>
      </c>
      <c r="AU341" t="s">
        <v>32</v>
      </c>
      <c r="AV341">
        <v>1750905</v>
      </c>
      <c r="AW341" t="s">
        <v>32</v>
      </c>
      <c r="AX341" t="s">
        <v>32</v>
      </c>
      <c r="AY341" t="s">
        <v>317</v>
      </c>
      <c r="AZ341">
        <v>28</v>
      </c>
      <c r="BA341">
        <v>1898006</v>
      </c>
      <c r="BB341">
        <v>0.16</v>
      </c>
      <c r="BC341">
        <v>303700</v>
      </c>
      <c r="BD341" t="s">
        <v>142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303700</v>
      </c>
      <c r="BK341" t="s">
        <v>25</v>
      </c>
      <c r="BL341" t="s">
        <v>748</v>
      </c>
      <c r="BM341">
        <v>28</v>
      </c>
      <c r="BN341">
        <v>1898006</v>
      </c>
      <c r="BO341">
        <v>0.04</v>
      </c>
      <c r="BP341">
        <v>76000</v>
      </c>
      <c r="BQ341">
        <v>0</v>
      </c>
      <c r="BR341" t="s">
        <v>1438</v>
      </c>
      <c r="BS341">
        <v>0</v>
      </c>
      <c r="BT341" t="s">
        <v>1438</v>
      </c>
      <c r="BU341">
        <v>0</v>
      </c>
      <c r="BV341" t="s">
        <v>25</v>
      </c>
      <c r="BW341" t="s">
        <v>189</v>
      </c>
      <c r="BX341">
        <v>28</v>
      </c>
      <c r="BY341">
        <v>1898006</v>
      </c>
      <c r="BZ341">
        <v>6.9599999999999995E-2</v>
      </c>
      <c r="CA341" t="s">
        <v>1439</v>
      </c>
      <c r="CB341" t="s">
        <v>312</v>
      </c>
      <c r="CC341" t="s">
        <v>1440</v>
      </c>
      <c r="CD341">
        <v>132200</v>
      </c>
      <c r="CE341">
        <v>28</v>
      </c>
      <c r="CF341" t="s">
        <v>466</v>
      </c>
      <c r="CG341">
        <v>1898007</v>
      </c>
      <c r="CH341">
        <v>0.04</v>
      </c>
      <c r="CI341">
        <v>76000</v>
      </c>
      <c r="CJ341">
        <v>1898007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 t="s">
        <v>88</v>
      </c>
      <c r="CT341" t="s">
        <v>1441</v>
      </c>
      <c r="CU341" t="s">
        <v>1442</v>
      </c>
    </row>
    <row r="342" spans="1:99">
      <c r="A342" t="s">
        <v>1431</v>
      </c>
      <c r="B342" t="s">
        <v>34</v>
      </c>
      <c r="C342" t="s">
        <v>2360</v>
      </c>
      <c r="D342" t="s">
        <v>2361</v>
      </c>
      <c r="E342" t="s">
        <v>2359</v>
      </c>
      <c r="F342" t="s">
        <v>2359</v>
      </c>
      <c r="G342" t="s">
        <v>1489</v>
      </c>
      <c r="H342" t="s">
        <v>2247</v>
      </c>
      <c r="I342" t="s">
        <v>682</v>
      </c>
      <c r="J342" t="s">
        <v>484</v>
      </c>
      <c r="K342" t="s">
        <v>29</v>
      </c>
      <c r="L342" t="s">
        <v>30</v>
      </c>
      <c r="M342">
        <v>215</v>
      </c>
      <c r="N342" t="s">
        <v>32</v>
      </c>
      <c r="O342" t="s">
        <v>32</v>
      </c>
      <c r="Q342" t="s">
        <v>32</v>
      </c>
      <c r="S342" t="s">
        <v>32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AA342" t="s">
        <v>88</v>
      </c>
      <c r="AB342" t="s">
        <v>32</v>
      </c>
      <c r="AE342" t="s">
        <v>32</v>
      </c>
      <c r="AH342" t="s">
        <v>32</v>
      </c>
      <c r="AK342" t="s">
        <v>32</v>
      </c>
      <c r="AN342" t="s">
        <v>32</v>
      </c>
      <c r="AO342" t="s">
        <v>32</v>
      </c>
      <c r="AR342">
        <v>0</v>
      </c>
      <c r="AU342" t="s">
        <v>32</v>
      </c>
      <c r="AV342">
        <v>1750905</v>
      </c>
      <c r="AW342" t="s">
        <v>32</v>
      </c>
      <c r="AX342" t="s">
        <v>32</v>
      </c>
      <c r="AY342" t="s">
        <v>317</v>
      </c>
      <c r="AZ342">
        <v>30</v>
      </c>
      <c r="BA342">
        <v>2169134</v>
      </c>
      <c r="BB342">
        <v>0.16</v>
      </c>
      <c r="BC342">
        <v>347100</v>
      </c>
      <c r="BD342" t="s">
        <v>142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347100</v>
      </c>
      <c r="BK342" t="s">
        <v>25</v>
      </c>
      <c r="BL342" t="s">
        <v>748</v>
      </c>
      <c r="BM342">
        <v>30</v>
      </c>
      <c r="BN342">
        <v>2169134</v>
      </c>
      <c r="BO342">
        <v>0.04</v>
      </c>
      <c r="BP342">
        <v>86800</v>
      </c>
      <c r="BQ342">
        <v>0</v>
      </c>
      <c r="BR342" t="s">
        <v>1438</v>
      </c>
      <c r="BS342">
        <v>0</v>
      </c>
      <c r="BT342" t="s">
        <v>1438</v>
      </c>
      <c r="BU342">
        <v>0</v>
      </c>
      <c r="BV342" t="s">
        <v>25</v>
      </c>
      <c r="BW342" t="s">
        <v>189</v>
      </c>
      <c r="BX342">
        <v>30</v>
      </c>
      <c r="BY342">
        <v>2169134</v>
      </c>
      <c r="BZ342">
        <v>6.9599999999999995E-2</v>
      </c>
      <c r="CA342" t="s">
        <v>1439</v>
      </c>
      <c r="CB342" t="s">
        <v>312</v>
      </c>
      <c r="CC342" t="s">
        <v>1440</v>
      </c>
      <c r="CD342">
        <v>151000</v>
      </c>
      <c r="CE342">
        <v>30</v>
      </c>
      <c r="CF342" t="s">
        <v>466</v>
      </c>
      <c r="CG342">
        <v>2169134</v>
      </c>
      <c r="CH342">
        <v>0.04</v>
      </c>
      <c r="CI342">
        <v>86800</v>
      </c>
      <c r="CJ342">
        <v>2169134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 t="s">
        <v>88</v>
      </c>
      <c r="CT342" t="s">
        <v>1441</v>
      </c>
      <c r="CU342" t="s">
        <v>1442</v>
      </c>
    </row>
    <row r="343" spans="1:99">
      <c r="A343" t="s">
        <v>1431</v>
      </c>
      <c r="B343" t="s">
        <v>34</v>
      </c>
      <c r="C343" t="s">
        <v>2362</v>
      </c>
      <c r="D343" t="s">
        <v>2363</v>
      </c>
      <c r="E343" t="s">
        <v>2102</v>
      </c>
      <c r="F343" t="s">
        <v>1540</v>
      </c>
      <c r="G343" t="s">
        <v>1478</v>
      </c>
      <c r="H343" t="s">
        <v>2364</v>
      </c>
      <c r="I343" t="s">
        <v>682</v>
      </c>
      <c r="J343" t="s">
        <v>484</v>
      </c>
      <c r="K343" t="s">
        <v>29</v>
      </c>
      <c r="L343" t="s">
        <v>30</v>
      </c>
      <c r="M343">
        <v>205</v>
      </c>
      <c r="N343" t="s">
        <v>32</v>
      </c>
      <c r="O343" t="s">
        <v>32</v>
      </c>
      <c r="Q343" t="s">
        <v>32</v>
      </c>
      <c r="S343" t="s">
        <v>32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AA343" t="s">
        <v>88</v>
      </c>
      <c r="AB343" t="s">
        <v>32</v>
      </c>
      <c r="AE343" t="s">
        <v>32</v>
      </c>
      <c r="AH343" t="s">
        <v>32</v>
      </c>
      <c r="AK343" t="s">
        <v>32</v>
      </c>
      <c r="AN343" t="s">
        <v>32</v>
      </c>
      <c r="AO343" t="s">
        <v>32</v>
      </c>
      <c r="AR343">
        <v>0</v>
      </c>
      <c r="AU343" t="s">
        <v>32</v>
      </c>
      <c r="AV343">
        <v>1750905</v>
      </c>
      <c r="AW343" t="s">
        <v>32</v>
      </c>
      <c r="AX343" t="s">
        <v>32</v>
      </c>
      <c r="AY343" t="s">
        <v>317</v>
      </c>
      <c r="AZ343">
        <v>30</v>
      </c>
      <c r="BA343">
        <v>2034633</v>
      </c>
      <c r="BB343">
        <v>0.16</v>
      </c>
      <c r="BC343">
        <v>325600</v>
      </c>
      <c r="BD343" t="s">
        <v>142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325600</v>
      </c>
      <c r="BK343" t="s">
        <v>25</v>
      </c>
      <c r="BL343" t="s">
        <v>748</v>
      </c>
      <c r="BM343">
        <v>30</v>
      </c>
      <c r="BN343">
        <v>2034633</v>
      </c>
      <c r="BO343">
        <v>0.04</v>
      </c>
      <c r="BP343">
        <v>81400</v>
      </c>
      <c r="BQ343">
        <v>0</v>
      </c>
      <c r="BR343" t="s">
        <v>1438</v>
      </c>
      <c r="BS343">
        <v>0</v>
      </c>
      <c r="BT343" t="s">
        <v>1438</v>
      </c>
      <c r="BU343">
        <v>0</v>
      </c>
      <c r="BV343" t="s">
        <v>25</v>
      </c>
      <c r="BW343" t="s">
        <v>189</v>
      </c>
      <c r="BX343">
        <v>30</v>
      </c>
      <c r="BY343">
        <v>2034633</v>
      </c>
      <c r="BZ343">
        <v>6.9599999999999995E-2</v>
      </c>
      <c r="CA343" t="s">
        <v>1439</v>
      </c>
      <c r="CB343" t="s">
        <v>312</v>
      </c>
      <c r="CC343" t="s">
        <v>1440</v>
      </c>
      <c r="CD343">
        <v>141700</v>
      </c>
      <c r="CE343">
        <v>30</v>
      </c>
      <c r="CF343" t="s">
        <v>466</v>
      </c>
      <c r="CG343">
        <v>2034633</v>
      </c>
      <c r="CH343">
        <v>0.04</v>
      </c>
      <c r="CI343">
        <v>81400</v>
      </c>
      <c r="CJ343">
        <v>2034633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 t="s">
        <v>88</v>
      </c>
      <c r="CT343" t="s">
        <v>1441</v>
      </c>
      <c r="CU343" t="s">
        <v>1442</v>
      </c>
    </row>
    <row r="344" spans="1:99">
      <c r="A344" t="s">
        <v>1431</v>
      </c>
      <c r="B344" t="s">
        <v>34</v>
      </c>
      <c r="C344" t="s">
        <v>2365</v>
      </c>
      <c r="D344" t="s">
        <v>2366</v>
      </c>
      <c r="E344" t="s">
        <v>2250</v>
      </c>
      <c r="F344" t="s">
        <v>2186</v>
      </c>
      <c r="G344" t="s">
        <v>455</v>
      </c>
      <c r="H344" t="s">
        <v>1558</v>
      </c>
      <c r="I344" t="s">
        <v>682</v>
      </c>
      <c r="J344" t="s">
        <v>484</v>
      </c>
      <c r="K344" t="s">
        <v>29</v>
      </c>
      <c r="L344" t="s">
        <v>30</v>
      </c>
      <c r="M344">
        <v>200</v>
      </c>
      <c r="N344" t="s">
        <v>32</v>
      </c>
      <c r="O344" t="s">
        <v>32</v>
      </c>
      <c r="Q344" t="s">
        <v>32</v>
      </c>
      <c r="S344" t="s">
        <v>40</v>
      </c>
      <c r="T344">
        <v>46079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AA344" t="s">
        <v>88</v>
      </c>
      <c r="AB344" t="s">
        <v>32</v>
      </c>
      <c r="AE344" t="s">
        <v>32</v>
      </c>
      <c r="AH344" t="s">
        <v>32</v>
      </c>
      <c r="AK344" t="s">
        <v>32</v>
      </c>
      <c r="AN344" t="s">
        <v>32</v>
      </c>
      <c r="AO344" t="s">
        <v>32</v>
      </c>
      <c r="AR344">
        <v>0</v>
      </c>
      <c r="AU344" t="s">
        <v>32</v>
      </c>
      <c r="AV344">
        <v>1785595</v>
      </c>
      <c r="AW344" t="s">
        <v>32</v>
      </c>
      <c r="AX344" t="s">
        <v>32</v>
      </c>
      <c r="AY344" t="s">
        <v>317</v>
      </c>
      <c r="AZ344">
        <v>26</v>
      </c>
      <c r="BA344">
        <v>2565496</v>
      </c>
      <c r="BB344">
        <v>0.16</v>
      </c>
      <c r="BC344">
        <v>410500</v>
      </c>
      <c r="BD344" t="s">
        <v>142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410500</v>
      </c>
      <c r="BK344" t="s">
        <v>25</v>
      </c>
      <c r="BL344" t="s">
        <v>1071</v>
      </c>
      <c r="BM344">
        <v>26</v>
      </c>
      <c r="BN344">
        <v>2565496</v>
      </c>
      <c r="BO344">
        <v>0.04</v>
      </c>
      <c r="BP344">
        <v>102700</v>
      </c>
      <c r="BQ344">
        <v>0</v>
      </c>
      <c r="BR344" t="s">
        <v>1438</v>
      </c>
      <c r="BS344">
        <v>0</v>
      </c>
      <c r="BT344" t="s">
        <v>1438</v>
      </c>
      <c r="BU344">
        <v>0</v>
      </c>
      <c r="BV344" t="s">
        <v>25</v>
      </c>
      <c r="BW344" t="s">
        <v>189</v>
      </c>
      <c r="BX344">
        <v>26</v>
      </c>
      <c r="BY344">
        <v>2565496</v>
      </c>
      <c r="BZ344">
        <v>6.9599999999999995E-2</v>
      </c>
      <c r="CA344" t="s">
        <v>1439</v>
      </c>
      <c r="CB344" t="s">
        <v>312</v>
      </c>
      <c r="CC344" t="s">
        <v>1440</v>
      </c>
      <c r="CD344">
        <v>178600</v>
      </c>
      <c r="CE344">
        <v>26</v>
      </c>
      <c r="CF344" t="s">
        <v>466</v>
      </c>
      <c r="CG344">
        <v>3299401</v>
      </c>
      <c r="CH344">
        <v>0.04</v>
      </c>
      <c r="CI344">
        <v>132000</v>
      </c>
      <c r="CJ344">
        <v>3299401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 t="s">
        <v>88</v>
      </c>
      <c r="CT344" t="s">
        <v>1441</v>
      </c>
      <c r="CU344" t="s">
        <v>1442</v>
      </c>
    </row>
    <row r="345" spans="1:99">
      <c r="A345" t="s">
        <v>1431</v>
      </c>
      <c r="B345" t="s">
        <v>34</v>
      </c>
      <c r="C345" t="s">
        <v>2367</v>
      </c>
      <c r="D345" t="s">
        <v>2368</v>
      </c>
      <c r="E345" t="s">
        <v>2369</v>
      </c>
      <c r="F345" t="s">
        <v>2370</v>
      </c>
      <c r="G345" t="s">
        <v>1608</v>
      </c>
      <c r="H345" t="s">
        <v>1437</v>
      </c>
      <c r="I345" t="s">
        <v>682</v>
      </c>
      <c r="J345" t="s">
        <v>484</v>
      </c>
      <c r="K345" t="s">
        <v>29</v>
      </c>
      <c r="L345" t="s">
        <v>30</v>
      </c>
      <c r="M345">
        <v>207</v>
      </c>
      <c r="N345" t="s">
        <v>32</v>
      </c>
      <c r="O345" t="s">
        <v>32</v>
      </c>
      <c r="Q345" t="s">
        <v>32</v>
      </c>
      <c r="S345" t="s">
        <v>32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AA345" t="s">
        <v>88</v>
      </c>
      <c r="AB345" t="s">
        <v>32</v>
      </c>
      <c r="AE345" t="s">
        <v>32</v>
      </c>
      <c r="AH345" t="s">
        <v>32</v>
      </c>
      <c r="AK345" t="s">
        <v>32</v>
      </c>
      <c r="AN345" t="s">
        <v>32</v>
      </c>
      <c r="AO345" t="s">
        <v>32</v>
      </c>
      <c r="AR345">
        <v>0</v>
      </c>
      <c r="AU345" t="s">
        <v>32</v>
      </c>
      <c r="AV345">
        <v>1750905</v>
      </c>
      <c r="AW345" t="s">
        <v>32</v>
      </c>
      <c r="AX345" t="s">
        <v>32</v>
      </c>
      <c r="AY345" t="s">
        <v>317</v>
      </c>
      <c r="AZ345">
        <v>30</v>
      </c>
      <c r="BA345">
        <v>2054529</v>
      </c>
      <c r="BB345">
        <v>0.16</v>
      </c>
      <c r="BC345">
        <v>328800</v>
      </c>
      <c r="BD345" t="s">
        <v>142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328800</v>
      </c>
      <c r="BK345" t="s">
        <v>25</v>
      </c>
      <c r="BL345" t="s">
        <v>1071</v>
      </c>
      <c r="BM345">
        <v>30</v>
      </c>
      <c r="BN345">
        <v>2054529</v>
      </c>
      <c r="BO345">
        <v>0.04</v>
      </c>
      <c r="BP345">
        <v>82200</v>
      </c>
      <c r="BQ345">
        <v>0</v>
      </c>
      <c r="BR345" t="s">
        <v>1438</v>
      </c>
      <c r="BS345">
        <v>0</v>
      </c>
      <c r="BT345" t="s">
        <v>1438</v>
      </c>
      <c r="BU345">
        <v>0</v>
      </c>
      <c r="BV345" t="s">
        <v>25</v>
      </c>
      <c r="BW345" t="s">
        <v>189</v>
      </c>
      <c r="BX345">
        <v>30</v>
      </c>
      <c r="BY345">
        <v>2054529</v>
      </c>
      <c r="BZ345">
        <v>6.9599999999999995E-2</v>
      </c>
      <c r="CA345" t="s">
        <v>1439</v>
      </c>
      <c r="CB345" t="s">
        <v>312</v>
      </c>
      <c r="CC345" t="s">
        <v>1440</v>
      </c>
      <c r="CD345">
        <v>143000</v>
      </c>
      <c r="CE345">
        <v>30</v>
      </c>
      <c r="CF345" t="s">
        <v>466</v>
      </c>
      <c r="CG345">
        <v>2054529</v>
      </c>
      <c r="CH345">
        <v>0.04</v>
      </c>
      <c r="CI345">
        <v>82200</v>
      </c>
      <c r="CJ345">
        <v>2054529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 t="s">
        <v>88</v>
      </c>
      <c r="CT345" t="s">
        <v>1441</v>
      </c>
      <c r="CU345" t="s">
        <v>1442</v>
      </c>
    </row>
    <row r="346" spans="1:99">
      <c r="A346" t="s">
        <v>1431</v>
      </c>
      <c r="B346" t="s">
        <v>34</v>
      </c>
      <c r="C346" t="s">
        <v>2371</v>
      </c>
      <c r="D346" t="s">
        <v>2372</v>
      </c>
      <c r="E346" t="s">
        <v>2373</v>
      </c>
      <c r="F346" t="s">
        <v>2359</v>
      </c>
      <c r="G346" t="s">
        <v>2374</v>
      </c>
      <c r="H346" t="s">
        <v>2375</v>
      </c>
      <c r="I346" t="s">
        <v>682</v>
      </c>
      <c r="J346" t="s">
        <v>484</v>
      </c>
      <c r="K346" t="s">
        <v>29</v>
      </c>
      <c r="L346" t="s">
        <v>30</v>
      </c>
      <c r="M346">
        <v>213</v>
      </c>
      <c r="N346" t="s">
        <v>32</v>
      </c>
      <c r="O346" t="s">
        <v>32</v>
      </c>
      <c r="Q346" t="s">
        <v>32</v>
      </c>
      <c r="S346" t="s">
        <v>32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AA346" t="s">
        <v>88</v>
      </c>
      <c r="AB346" t="s">
        <v>32</v>
      </c>
      <c r="AE346" t="s">
        <v>32</v>
      </c>
      <c r="AH346" t="s">
        <v>32</v>
      </c>
      <c r="AK346" t="s">
        <v>32</v>
      </c>
      <c r="AN346" t="s">
        <v>32</v>
      </c>
      <c r="AO346" t="s">
        <v>32</v>
      </c>
      <c r="AR346">
        <v>0</v>
      </c>
      <c r="AU346" t="s">
        <v>32</v>
      </c>
      <c r="AV346">
        <v>1750905</v>
      </c>
      <c r="AW346" t="s">
        <v>32</v>
      </c>
      <c r="AX346" t="s">
        <v>32</v>
      </c>
      <c r="AY346" t="s">
        <v>317</v>
      </c>
      <c r="AZ346">
        <v>30</v>
      </c>
      <c r="BA346">
        <v>2149237</v>
      </c>
      <c r="BB346">
        <v>0.16</v>
      </c>
      <c r="BC346">
        <v>343900</v>
      </c>
      <c r="BD346" t="s">
        <v>142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343900</v>
      </c>
      <c r="BK346" t="s">
        <v>25</v>
      </c>
      <c r="BL346" t="s">
        <v>1071</v>
      </c>
      <c r="BM346">
        <v>30</v>
      </c>
      <c r="BN346">
        <v>2149237</v>
      </c>
      <c r="BO346">
        <v>0.04</v>
      </c>
      <c r="BP346">
        <v>86000</v>
      </c>
      <c r="BQ346">
        <v>0</v>
      </c>
      <c r="BR346" t="s">
        <v>1438</v>
      </c>
      <c r="BS346">
        <v>0</v>
      </c>
      <c r="BT346" t="s">
        <v>1438</v>
      </c>
      <c r="BU346">
        <v>0</v>
      </c>
      <c r="BV346" t="s">
        <v>25</v>
      </c>
      <c r="BW346" t="s">
        <v>189</v>
      </c>
      <c r="BX346">
        <v>30</v>
      </c>
      <c r="BY346">
        <v>2149237</v>
      </c>
      <c r="BZ346">
        <v>6.9599999999999995E-2</v>
      </c>
      <c r="CA346" t="s">
        <v>1439</v>
      </c>
      <c r="CB346" t="s">
        <v>312</v>
      </c>
      <c r="CC346" t="s">
        <v>1440</v>
      </c>
      <c r="CD346">
        <v>149600</v>
      </c>
      <c r="CE346">
        <v>30</v>
      </c>
      <c r="CF346" t="s">
        <v>466</v>
      </c>
      <c r="CG346">
        <v>2149237</v>
      </c>
      <c r="CH346">
        <v>0.04</v>
      </c>
      <c r="CI346">
        <v>86000</v>
      </c>
      <c r="CJ346">
        <v>2149237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 t="s">
        <v>88</v>
      </c>
      <c r="CT346" t="s">
        <v>1441</v>
      </c>
      <c r="CU346" t="s">
        <v>1442</v>
      </c>
    </row>
    <row r="347" spans="1:99">
      <c r="A347" t="s">
        <v>1431</v>
      </c>
      <c r="B347" t="s">
        <v>34</v>
      </c>
      <c r="C347" t="s">
        <v>2376</v>
      </c>
      <c r="D347" t="s">
        <v>2377</v>
      </c>
      <c r="E347" t="s">
        <v>1483</v>
      </c>
      <c r="F347" t="s">
        <v>2302</v>
      </c>
      <c r="G347" t="s">
        <v>1513</v>
      </c>
      <c r="H347" t="s">
        <v>1558</v>
      </c>
      <c r="I347" t="s">
        <v>682</v>
      </c>
      <c r="J347" t="s">
        <v>484</v>
      </c>
      <c r="K347" t="s">
        <v>29</v>
      </c>
      <c r="L347" t="s">
        <v>30</v>
      </c>
      <c r="M347">
        <v>0</v>
      </c>
      <c r="N347" t="s">
        <v>32</v>
      </c>
      <c r="O347" t="s">
        <v>32</v>
      </c>
      <c r="Q347" t="s">
        <v>32</v>
      </c>
      <c r="S347" t="s">
        <v>32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AA347" t="s">
        <v>32</v>
      </c>
      <c r="AB347" t="s">
        <v>32</v>
      </c>
      <c r="AE347" t="s">
        <v>32</v>
      </c>
      <c r="AH347" t="s">
        <v>32</v>
      </c>
      <c r="AK347" t="s">
        <v>128</v>
      </c>
      <c r="AL347">
        <v>46054</v>
      </c>
      <c r="AM347">
        <v>46055</v>
      </c>
      <c r="AN347" t="s">
        <v>32</v>
      </c>
      <c r="AO347" t="s">
        <v>32</v>
      </c>
      <c r="AR347">
        <v>0</v>
      </c>
      <c r="AU347" t="s">
        <v>32</v>
      </c>
      <c r="AV347">
        <v>1750905</v>
      </c>
      <c r="AW347" t="s">
        <v>32</v>
      </c>
      <c r="AX347" t="s">
        <v>32</v>
      </c>
      <c r="AY347" t="s">
        <v>317</v>
      </c>
      <c r="AZ347">
        <v>2</v>
      </c>
      <c r="BA347">
        <v>116727</v>
      </c>
      <c r="BB347">
        <v>0.16</v>
      </c>
      <c r="BC347">
        <v>18700</v>
      </c>
      <c r="BD347" t="s">
        <v>142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18700</v>
      </c>
      <c r="BK347" t="s">
        <v>25</v>
      </c>
      <c r="BL347" t="s">
        <v>1071</v>
      </c>
      <c r="BM347">
        <v>2</v>
      </c>
      <c r="BN347">
        <v>116727</v>
      </c>
      <c r="BO347">
        <v>0.04</v>
      </c>
      <c r="BP347">
        <v>4700</v>
      </c>
      <c r="BQ347">
        <v>0</v>
      </c>
      <c r="BR347" t="s">
        <v>1438</v>
      </c>
      <c r="BS347">
        <v>0</v>
      </c>
      <c r="BT347" t="s">
        <v>1438</v>
      </c>
      <c r="BU347">
        <v>0</v>
      </c>
      <c r="BV347" t="s">
        <v>25</v>
      </c>
      <c r="BW347" t="s">
        <v>189</v>
      </c>
      <c r="BX347">
        <v>2</v>
      </c>
      <c r="BY347">
        <v>116727</v>
      </c>
      <c r="BZ347">
        <v>0</v>
      </c>
      <c r="CA347" t="s">
        <v>1439</v>
      </c>
      <c r="CB347" t="s">
        <v>312</v>
      </c>
      <c r="CC347" t="s">
        <v>1440</v>
      </c>
      <c r="CD347">
        <v>0</v>
      </c>
      <c r="CE347">
        <v>2</v>
      </c>
      <c r="CF347" t="s">
        <v>466</v>
      </c>
      <c r="CG347">
        <v>116727</v>
      </c>
      <c r="CH347">
        <v>0.04</v>
      </c>
      <c r="CI347">
        <v>4700</v>
      </c>
      <c r="CJ347">
        <v>116727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 t="s">
        <v>88</v>
      </c>
      <c r="CT347" t="s">
        <v>1441</v>
      </c>
      <c r="CU347" t="s">
        <v>1442</v>
      </c>
    </row>
    <row r="348" spans="1:99">
      <c r="A348" t="s">
        <v>1431</v>
      </c>
      <c r="B348" t="s">
        <v>34</v>
      </c>
      <c r="C348" t="s">
        <v>2376</v>
      </c>
      <c r="D348" t="s">
        <v>2377</v>
      </c>
      <c r="E348" t="s">
        <v>1483</v>
      </c>
      <c r="F348" t="s">
        <v>2302</v>
      </c>
      <c r="G348" t="s">
        <v>1513</v>
      </c>
      <c r="H348" t="s">
        <v>1558</v>
      </c>
      <c r="I348" t="s">
        <v>682</v>
      </c>
      <c r="J348" t="s">
        <v>484</v>
      </c>
      <c r="K348" t="s">
        <v>29</v>
      </c>
      <c r="L348" t="s">
        <v>30</v>
      </c>
      <c r="M348">
        <v>0</v>
      </c>
      <c r="N348" t="s">
        <v>32</v>
      </c>
      <c r="O348" t="s">
        <v>32</v>
      </c>
      <c r="Q348" t="s">
        <v>32</v>
      </c>
      <c r="S348" t="s">
        <v>32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AA348" t="s">
        <v>32</v>
      </c>
      <c r="AB348" t="s">
        <v>37</v>
      </c>
      <c r="AC348">
        <v>46055</v>
      </c>
      <c r="AD348">
        <v>46055</v>
      </c>
      <c r="AE348" t="s">
        <v>32</v>
      </c>
      <c r="AH348" t="s">
        <v>32</v>
      </c>
      <c r="AK348" t="s">
        <v>32</v>
      </c>
      <c r="AN348" t="s">
        <v>32</v>
      </c>
      <c r="AO348" t="s">
        <v>32</v>
      </c>
      <c r="AR348">
        <v>0</v>
      </c>
      <c r="AU348" t="s">
        <v>32</v>
      </c>
      <c r="AV348">
        <v>1750905</v>
      </c>
      <c r="AW348" t="s">
        <v>32</v>
      </c>
      <c r="AX348" t="s">
        <v>32</v>
      </c>
      <c r="AY348" t="s">
        <v>317</v>
      </c>
      <c r="AZ348">
        <v>1</v>
      </c>
      <c r="BA348">
        <v>58364</v>
      </c>
      <c r="BB348">
        <v>0.16</v>
      </c>
      <c r="BC348">
        <v>9400</v>
      </c>
      <c r="BD348" t="s">
        <v>142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9400</v>
      </c>
      <c r="BK348" t="s">
        <v>25</v>
      </c>
      <c r="BL348" t="s">
        <v>1071</v>
      </c>
      <c r="BM348">
        <v>1</v>
      </c>
      <c r="BN348">
        <v>58364</v>
      </c>
      <c r="BO348">
        <v>0</v>
      </c>
      <c r="BP348">
        <v>0</v>
      </c>
      <c r="BQ348">
        <v>0</v>
      </c>
      <c r="BR348" t="s">
        <v>1438</v>
      </c>
      <c r="BS348">
        <v>0</v>
      </c>
      <c r="BT348" t="s">
        <v>1438</v>
      </c>
      <c r="BU348">
        <v>0</v>
      </c>
      <c r="BV348" t="s">
        <v>25</v>
      </c>
      <c r="BW348" t="s">
        <v>189</v>
      </c>
      <c r="BX348">
        <v>1</v>
      </c>
      <c r="BY348">
        <v>58364</v>
      </c>
      <c r="BZ348">
        <v>0</v>
      </c>
      <c r="CA348" t="s">
        <v>1439</v>
      </c>
      <c r="CB348" t="s">
        <v>312</v>
      </c>
      <c r="CC348" t="s">
        <v>1440</v>
      </c>
      <c r="CD348">
        <v>0</v>
      </c>
      <c r="CE348">
        <v>1</v>
      </c>
      <c r="CF348" t="s">
        <v>466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 t="s">
        <v>88</v>
      </c>
      <c r="CT348" t="s">
        <v>1441</v>
      </c>
      <c r="CU348" t="s">
        <v>1442</v>
      </c>
    </row>
    <row r="349" spans="1:99">
      <c r="A349" t="s">
        <v>1431</v>
      </c>
      <c r="B349" t="s">
        <v>34</v>
      </c>
      <c r="C349" t="s">
        <v>2376</v>
      </c>
      <c r="D349" t="s">
        <v>2377</v>
      </c>
      <c r="E349" t="s">
        <v>1483</v>
      </c>
      <c r="F349" t="s">
        <v>2302</v>
      </c>
      <c r="G349" t="s">
        <v>1513</v>
      </c>
      <c r="H349" t="s">
        <v>1558</v>
      </c>
      <c r="I349" t="s">
        <v>682</v>
      </c>
      <c r="J349" t="s">
        <v>484</v>
      </c>
      <c r="K349" t="s">
        <v>29</v>
      </c>
      <c r="L349" t="s">
        <v>30</v>
      </c>
      <c r="M349">
        <v>0</v>
      </c>
      <c r="N349" t="s">
        <v>32</v>
      </c>
      <c r="O349" t="s">
        <v>32</v>
      </c>
      <c r="Q349" t="s">
        <v>32</v>
      </c>
      <c r="S349" t="s">
        <v>32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AA349" t="s">
        <v>32</v>
      </c>
      <c r="AB349" t="s">
        <v>32</v>
      </c>
      <c r="AE349" t="s">
        <v>1492</v>
      </c>
      <c r="AF349">
        <v>46057</v>
      </c>
      <c r="AG349">
        <v>46081</v>
      </c>
      <c r="AH349" t="s">
        <v>32</v>
      </c>
      <c r="AK349" t="s">
        <v>32</v>
      </c>
      <c r="AN349" t="s">
        <v>32</v>
      </c>
      <c r="AO349" t="s">
        <v>32</v>
      </c>
      <c r="AR349">
        <v>0</v>
      </c>
      <c r="AU349" t="s">
        <v>32</v>
      </c>
      <c r="AV349">
        <v>1750905</v>
      </c>
      <c r="AW349" t="s">
        <v>32</v>
      </c>
      <c r="AX349" t="s">
        <v>32</v>
      </c>
      <c r="AY349" t="s">
        <v>317</v>
      </c>
      <c r="AZ349">
        <v>27</v>
      </c>
      <c r="BA349">
        <v>1602226</v>
      </c>
      <c r="BB349">
        <v>0.16</v>
      </c>
      <c r="BC349">
        <v>256400</v>
      </c>
      <c r="BD349" t="s">
        <v>142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256400</v>
      </c>
      <c r="BK349" t="s">
        <v>25</v>
      </c>
      <c r="BL349" t="s">
        <v>1071</v>
      </c>
      <c r="BM349">
        <v>27</v>
      </c>
      <c r="BN349">
        <v>1602226</v>
      </c>
      <c r="BO349">
        <v>0.04</v>
      </c>
      <c r="BP349">
        <v>64100</v>
      </c>
      <c r="BQ349">
        <v>0</v>
      </c>
      <c r="BR349" t="s">
        <v>1438</v>
      </c>
      <c r="BS349">
        <v>0</v>
      </c>
      <c r="BT349" t="s">
        <v>1438</v>
      </c>
      <c r="BU349">
        <v>0</v>
      </c>
      <c r="BV349" t="s">
        <v>25</v>
      </c>
      <c r="BW349" t="s">
        <v>189</v>
      </c>
      <c r="BX349">
        <v>27</v>
      </c>
      <c r="BY349">
        <v>1602226</v>
      </c>
      <c r="BZ349">
        <v>0</v>
      </c>
      <c r="CA349" t="s">
        <v>1439</v>
      </c>
      <c r="CB349" t="s">
        <v>312</v>
      </c>
      <c r="CC349" t="s">
        <v>1440</v>
      </c>
      <c r="CD349">
        <v>0</v>
      </c>
      <c r="CE349">
        <v>27</v>
      </c>
      <c r="CF349" t="s">
        <v>466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 t="s">
        <v>88</v>
      </c>
      <c r="CT349" t="s">
        <v>1441</v>
      </c>
      <c r="CU349" t="s">
        <v>1442</v>
      </c>
    </row>
    <row r="350" spans="1:99">
      <c r="A350" t="s">
        <v>1431</v>
      </c>
      <c r="B350" t="s">
        <v>34</v>
      </c>
      <c r="C350" t="s">
        <v>2376</v>
      </c>
      <c r="D350" t="s">
        <v>2377</v>
      </c>
      <c r="E350" t="s">
        <v>1483</v>
      </c>
      <c r="F350" t="s">
        <v>2302</v>
      </c>
      <c r="G350" t="s">
        <v>1513</v>
      </c>
      <c r="H350" t="s">
        <v>1558</v>
      </c>
      <c r="I350" t="s">
        <v>682</v>
      </c>
      <c r="J350" t="s">
        <v>484</v>
      </c>
      <c r="K350" t="s">
        <v>29</v>
      </c>
      <c r="L350" t="s">
        <v>30</v>
      </c>
      <c r="M350">
        <v>15</v>
      </c>
      <c r="N350" t="s">
        <v>32</v>
      </c>
      <c r="O350" t="s">
        <v>32</v>
      </c>
      <c r="Q350" t="s">
        <v>32</v>
      </c>
      <c r="S350" t="s">
        <v>32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AA350" t="s">
        <v>88</v>
      </c>
      <c r="AB350" t="s">
        <v>32</v>
      </c>
      <c r="AE350" t="s">
        <v>32</v>
      </c>
      <c r="AH350" t="s">
        <v>32</v>
      </c>
      <c r="AK350" t="s">
        <v>32</v>
      </c>
      <c r="AN350" t="s">
        <v>32</v>
      </c>
      <c r="AO350" t="s">
        <v>32</v>
      </c>
      <c r="AR350">
        <v>0</v>
      </c>
      <c r="AU350" t="s">
        <v>32</v>
      </c>
      <c r="AV350">
        <v>1750905</v>
      </c>
      <c r="AW350" t="s">
        <v>32</v>
      </c>
      <c r="AX350" t="s">
        <v>32</v>
      </c>
      <c r="AY350" t="s">
        <v>317</v>
      </c>
      <c r="AZ350">
        <v>0</v>
      </c>
      <c r="BA350">
        <v>179269</v>
      </c>
      <c r="BB350">
        <v>0.16</v>
      </c>
      <c r="BC350">
        <v>28700</v>
      </c>
      <c r="BD350" t="s">
        <v>142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28700</v>
      </c>
      <c r="BK350" t="s">
        <v>25</v>
      </c>
      <c r="BL350" t="s">
        <v>1071</v>
      </c>
      <c r="BM350">
        <v>0</v>
      </c>
      <c r="BN350">
        <v>179269</v>
      </c>
      <c r="BO350">
        <v>0.04</v>
      </c>
      <c r="BP350">
        <v>7200</v>
      </c>
      <c r="BQ350">
        <v>0</v>
      </c>
      <c r="BR350" t="s">
        <v>1438</v>
      </c>
      <c r="BS350">
        <v>0</v>
      </c>
      <c r="BT350" t="s">
        <v>1438</v>
      </c>
      <c r="BU350">
        <v>0</v>
      </c>
      <c r="BV350" t="s">
        <v>25</v>
      </c>
      <c r="BW350" t="s">
        <v>189</v>
      </c>
      <c r="BX350">
        <v>0</v>
      </c>
      <c r="BY350">
        <v>179269</v>
      </c>
      <c r="BZ350">
        <v>6.9599999999999995E-2</v>
      </c>
      <c r="CA350" t="s">
        <v>1439</v>
      </c>
      <c r="CB350" t="s">
        <v>312</v>
      </c>
      <c r="CC350" t="s">
        <v>1440</v>
      </c>
      <c r="CD350">
        <v>12500</v>
      </c>
      <c r="CE350">
        <v>0</v>
      </c>
      <c r="CF350" t="s">
        <v>466</v>
      </c>
      <c r="CG350">
        <v>179269</v>
      </c>
      <c r="CH350">
        <v>0.04</v>
      </c>
      <c r="CI350">
        <v>7200</v>
      </c>
      <c r="CJ350">
        <v>179269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 t="s">
        <v>88</v>
      </c>
      <c r="CT350" t="s">
        <v>1441</v>
      </c>
      <c r="CU350" t="s">
        <v>1442</v>
      </c>
    </row>
    <row r="351" spans="1:99">
      <c r="A351" t="s">
        <v>1431</v>
      </c>
      <c r="B351" t="s">
        <v>34</v>
      </c>
      <c r="C351" t="s">
        <v>2378</v>
      </c>
      <c r="D351" t="s">
        <v>2379</v>
      </c>
      <c r="E351" t="s">
        <v>1648</v>
      </c>
      <c r="F351" t="s">
        <v>2380</v>
      </c>
      <c r="G351" t="s">
        <v>1513</v>
      </c>
      <c r="H351" t="s">
        <v>1474</v>
      </c>
      <c r="I351" t="s">
        <v>240</v>
      </c>
      <c r="J351" t="s">
        <v>46</v>
      </c>
      <c r="K351" t="s">
        <v>29</v>
      </c>
      <c r="L351" t="s">
        <v>30</v>
      </c>
      <c r="M351">
        <v>170</v>
      </c>
      <c r="N351" t="s">
        <v>32</v>
      </c>
      <c r="O351" t="s">
        <v>32</v>
      </c>
      <c r="Q351" t="s">
        <v>32</v>
      </c>
      <c r="S351" t="s">
        <v>40</v>
      </c>
      <c r="T351">
        <v>46074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AA351" t="s">
        <v>88</v>
      </c>
      <c r="AB351" t="s">
        <v>32</v>
      </c>
      <c r="AE351" t="s">
        <v>32</v>
      </c>
      <c r="AH351" t="s">
        <v>32</v>
      </c>
      <c r="AK351" t="s">
        <v>32</v>
      </c>
      <c r="AN351" t="s">
        <v>32</v>
      </c>
      <c r="AO351" t="s">
        <v>32</v>
      </c>
      <c r="AR351">
        <v>0</v>
      </c>
      <c r="AU351" t="s">
        <v>32</v>
      </c>
      <c r="AV351">
        <v>1750905</v>
      </c>
      <c r="AW351" t="s">
        <v>32</v>
      </c>
      <c r="AX351" t="s">
        <v>32</v>
      </c>
      <c r="AY351" t="s">
        <v>317</v>
      </c>
      <c r="AZ351">
        <v>21</v>
      </c>
      <c r="BA351">
        <v>2024511</v>
      </c>
      <c r="BB351">
        <v>0.16</v>
      </c>
      <c r="BC351">
        <v>324000</v>
      </c>
      <c r="BD351" t="s">
        <v>142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324000</v>
      </c>
      <c r="BK351" t="s">
        <v>25</v>
      </c>
      <c r="BL351" t="s">
        <v>1071</v>
      </c>
      <c r="BM351">
        <v>21</v>
      </c>
      <c r="BN351">
        <v>2024511</v>
      </c>
      <c r="BO351">
        <v>0.04</v>
      </c>
      <c r="BP351">
        <v>81000</v>
      </c>
      <c r="BQ351">
        <v>0</v>
      </c>
      <c r="BR351" t="s">
        <v>1438</v>
      </c>
      <c r="BS351">
        <v>0</v>
      </c>
      <c r="BT351" t="s">
        <v>1438</v>
      </c>
      <c r="BU351">
        <v>0</v>
      </c>
      <c r="BV351" t="s">
        <v>25</v>
      </c>
      <c r="BW351" t="s">
        <v>189</v>
      </c>
      <c r="BX351">
        <v>21</v>
      </c>
      <c r="BY351">
        <v>2024511</v>
      </c>
      <c r="BZ351">
        <v>6.9599999999999995E-2</v>
      </c>
      <c r="CA351" t="s">
        <v>1439</v>
      </c>
      <c r="CB351" t="s">
        <v>227</v>
      </c>
      <c r="CC351" t="s">
        <v>1440</v>
      </c>
      <c r="CD351">
        <v>141000</v>
      </c>
      <c r="CE351">
        <v>21</v>
      </c>
      <c r="CF351" t="s">
        <v>635</v>
      </c>
      <c r="CG351">
        <v>2472296</v>
      </c>
      <c r="CH351">
        <v>0.04</v>
      </c>
      <c r="CI351">
        <v>98900</v>
      </c>
      <c r="CJ351">
        <v>2472296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 t="s">
        <v>88</v>
      </c>
      <c r="CT351" t="s">
        <v>1441</v>
      </c>
      <c r="CU351" t="s">
        <v>1442</v>
      </c>
    </row>
    <row r="352" spans="1:99">
      <c r="A352" t="s">
        <v>1431</v>
      </c>
      <c r="B352" t="s">
        <v>34</v>
      </c>
      <c r="C352" t="s">
        <v>2381</v>
      </c>
      <c r="D352" t="s">
        <v>2382</v>
      </c>
      <c r="E352" t="s">
        <v>2218</v>
      </c>
      <c r="F352" t="s">
        <v>2383</v>
      </c>
      <c r="G352" t="s">
        <v>1806</v>
      </c>
      <c r="H352" t="s">
        <v>1757</v>
      </c>
      <c r="I352" t="s">
        <v>240</v>
      </c>
      <c r="J352" t="s">
        <v>46</v>
      </c>
      <c r="K352" t="s">
        <v>29</v>
      </c>
      <c r="L352" t="s">
        <v>30</v>
      </c>
      <c r="M352">
        <v>162</v>
      </c>
      <c r="N352" t="s">
        <v>32</v>
      </c>
      <c r="O352" t="s">
        <v>32</v>
      </c>
      <c r="Q352" t="s">
        <v>40</v>
      </c>
      <c r="R352">
        <v>46058</v>
      </c>
      <c r="S352" t="s">
        <v>32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AA352" t="s">
        <v>88</v>
      </c>
      <c r="AB352" t="s">
        <v>32</v>
      </c>
      <c r="AE352" t="s">
        <v>32</v>
      </c>
      <c r="AH352" t="s">
        <v>32</v>
      </c>
      <c r="AK352" t="s">
        <v>32</v>
      </c>
      <c r="AN352" t="s">
        <v>32</v>
      </c>
      <c r="AO352" t="s">
        <v>32</v>
      </c>
      <c r="AR352">
        <v>0</v>
      </c>
      <c r="AU352" t="s">
        <v>32</v>
      </c>
      <c r="AV352">
        <v>2074908</v>
      </c>
      <c r="AW352" t="s">
        <v>32</v>
      </c>
      <c r="AX352" t="s">
        <v>32</v>
      </c>
      <c r="AY352" t="s">
        <v>356</v>
      </c>
      <c r="AZ352">
        <v>26</v>
      </c>
      <c r="BA352">
        <v>2231156</v>
      </c>
      <c r="BB352">
        <v>0.16</v>
      </c>
      <c r="BC352">
        <v>357000</v>
      </c>
      <c r="BD352" t="s">
        <v>142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357000</v>
      </c>
      <c r="BK352" t="s">
        <v>25</v>
      </c>
      <c r="BL352" t="s">
        <v>1064</v>
      </c>
      <c r="BM352">
        <v>26</v>
      </c>
      <c r="BN352">
        <v>2231156</v>
      </c>
      <c r="BO352">
        <v>0.04</v>
      </c>
      <c r="BP352">
        <v>89300</v>
      </c>
      <c r="BQ352">
        <v>0</v>
      </c>
      <c r="BR352" t="s">
        <v>1438</v>
      </c>
      <c r="BS352">
        <v>0</v>
      </c>
      <c r="BT352" t="s">
        <v>1438</v>
      </c>
      <c r="BU352">
        <v>0</v>
      </c>
      <c r="BV352" t="s">
        <v>25</v>
      </c>
      <c r="BW352" t="s">
        <v>189</v>
      </c>
      <c r="BX352">
        <v>26</v>
      </c>
      <c r="BY352">
        <v>2231156</v>
      </c>
      <c r="BZ352">
        <v>6.9599999999999995E-2</v>
      </c>
      <c r="CA352" t="s">
        <v>1439</v>
      </c>
      <c r="CB352" t="s">
        <v>227</v>
      </c>
      <c r="CC352" t="s">
        <v>1440</v>
      </c>
      <c r="CD352">
        <v>155300</v>
      </c>
      <c r="CE352">
        <v>26</v>
      </c>
      <c r="CF352" t="s">
        <v>635</v>
      </c>
      <c r="CG352">
        <v>2231156</v>
      </c>
      <c r="CH352">
        <v>0.04</v>
      </c>
      <c r="CI352">
        <v>89300</v>
      </c>
      <c r="CJ352">
        <v>2231156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 t="s">
        <v>88</v>
      </c>
      <c r="CT352" t="s">
        <v>1441</v>
      </c>
      <c r="CU352" t="s">
        <v>1442</v>
      </c>
    </row>
    <row r="353" spans="1:99">
      <c r="A353" t="s">
        <v>1431</v>
      </c>
      <c r="B353" t="s">
        <v>34</v>
      </c>
      <c r="C353" t="s">
        <v>2384</v>
      </c>
      <c r="D353" t="s">
        <v>2385</v>
      </c>
      <c r="E353" t="s">
        <v>2182</v>
      </c>
      <c r="F353" t="s">
        <v>2386</v>
      </c>
      <c r="G353" t="s">
        <v>2387</v>
      </c>
      <c r="H353" t="s">
        <v>1437</v>
      </c>
      <c r="I353" t="s">
        <v>682</v>
      </c>
      <c r="J353" t="s">
        <v>484</v>
      </c>
      <c r="K353" t="s">
        <v>29</v>
      </c>
      <c r="L353" t="s">
        <v>30</v>
      </c>
      <c r="M353">
        <v>0</v>
      </c>
      <c r="N353" t="s">
        <v>32</v>
      </c>
      <c r="O353" t="s">
        <v>32</v>
      </c>
      <c r="Q353" t="s">
        <v>32</v>
      </c>
      <c r="S353" t="s">
        <v>32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AA353" t="s">
        <v>32</v>
      </c>
      <c r="AB353" t="s">
        <v>37</v>
      </c>
      <c r="AC353">
        <v>46054</v>
      </c>
      <c r="AD353">
        <v>46054</v>
      </c>
      <c r="AE353" t="s">
        <v>32</v>
      </c>
      <c r="AH353" t="s">
        <v>32</v>
      </c>
      <c r="AK353" t="s">
        <v>32</v>
      </c>
      <c r="AN353" t="s">
        <v>32</v>
      </c>
      <c r="AO353" t="s">
        <v>32</v>
      </c>
      <c r="AR353">
        <v>0</v>
      </c>
      <c r="AU353" t="s">
        <v>32</v>
      </c>
      <c r="AV353">
        <v>1785595</v>
      </c>
      <c r="AW353" t="s">
        <v>32</v>
      </c>
      <c r="AX353" t="s">
        <v>32</v>
      </c>
      <c r="AY353" t="s">
        <v>317</v>
      </c>
      <c r="AZ353">
        <v>1</v>
      </c>
      <c r="BA353">
        <v>59520</v>
      </c>
      <c r="BB353">
        <v>0.16</v>
      </c>
      <c r="BC353">
        <v>9600</v>
      </c>
      <c r="BD353" t="s">
        <v>142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9600</v>
      </c>
      <c r="BK353" t="s">
        <v>25</v>
      </c>
      <c r="BL353" t="s">
        <v>1010</v>
      </c>
      <c r="BM353">
        <v>1</v>
      </c>
      <c r="BN353">
        <v>59520</v>
      </c>
      <c r="BO353">
        <v>0</v>
      </c>
      <c r="BP353">
        <v>0</v>
      </c>
      <c r="BQ353">
        <v>0</v>
      </c>
      <c r="BR353" t="s">
        <v>1438</v>
      </c>
      <c r="BS353">
        <v>0</v>
      </c>
      <c r="BT353" t="s">
        <v>1438</v>
      </c>
      <c r="BU353">
        <v>0</v>
      </c>
      <c r="BV353" t="s">
        <v>25</v>
      </c>
      <c r="BW353" t="s">
        <v>189</v>
      </c>
      <c r="BX353">
        <v>1</v>
      </c>
      <c r="BY353">
        <v>59520</v>
      </c>
      <c r="BZ353">
        <v>0</v>
      </c>
      <c r="CA353" t="s">
        <v>1439</v>
      </c>
      <c r="CB353" t="s">
        <v>312</v>
      </c>
      <c r="CC353" t="s">
        <v>1440</v>
      </c>
      <c r="CD353">
        <v>0</v>
      </c>
      <c r="CE353">
        <v>1</v>
      </c>
      <c r="CF353" t="s">
        <v>466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 t="s">
        <v>88</v>
      </c>
      <c r="CT353" t="s">
        <v>1441</v>
      </c>
      <c r="CU353" t="s">
        <v>1442</v>
      </c>
    </row>
    <row r="354" spans="1:99">
      <c r="A354" t="s">
        <v>1431</v>
      </c>
      <c r="B354" t="s">
        <v>34</v>
      </c>
      <c r="C354" t="s">
        <v>2384</v>
      </c>
      <c r="D354" t="s">
        <v>2385</v>
      </c>
      <c r="E354" t="s">
        <v>2182</v>
      </c>
      <c r="F354" t="s">
        <v>2386</v>
      </c>
      <c r="G354" t="s">
        <v>2387</v>
      </c>
      <c r="H354" t="s">
        <v>1437</v>
      </c>
      <c r="I354" t="s">
        <v>682</v>
      </c>
      <c r="J354" t="s">
        <v>484</v>
      </c>
      <c r="K354" t="s">
        <v>29</v>
      </c>
      <c r="L354" t="s">
        <v>30</v>
      </c>
      <c r="M354">
        <v>0</v>
      </c>
      <c r="N354" t="s">
        <v>32</v>
      </c>
      <c r="O354" t="s">
        <v>32</v>
      </c>
      <c r="Q354" t="s">
        <v>32</v>
      </c>
      <c r="S354" t="s">
        <v>32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AA354" t="s">
        <v>32</v>
      </c>
      <c r="AB354" t="s">
        <v>37</v>
      </c>
      <c r="AC354">
        <v>46069</v>
      </c>
      <c r="AD354">
        <v>46069</v>
      </c>
      <c r="AE354" t="s">
        <v>32</v>
      </c>
      <c r="AH354" t="s">
        <v>32</v>
      </c>
      <c r="AK354" t="s">
        <v>32</v>
      </c>
      <c r="AN354" t="s">
        <v>32</v>
      </c>
      <c r="AO354" t="s">
        <v>32</v>
      </c>
      <c r="AR354">
        <v>0</v>
      </c>
      <c r="AU354" t="s">
        <v>32</v>
      </c>
      <c r="AV354">
        <v>1785595</v>
      </c>
      <c r="AW354" t="s">
        <v>32</v>
      </c>
      <c r="AX354" t="s">
        <v>32</v>
      </c>
      <c r="AY354" t="s">
        <v>317</v>
      </c>
      <c r="AZ354">
        <v>1</v>
      </c>
      <c r="BA354">
        <v>59520</v>
      </c>
      <c r="BB354">
        <v>0.16</v>
      </c>
      <c r="BC354">
        <v>9600</v>
      </c>
      <c r="BD354" t="s">
        <v>142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9600</v>
      </c>
      <c r="BK354" t="s">
        <v>25</v>
      </c>
      <c r="BL354" t="s">
        <v>1010</v>
      </c>
      <c r="BM354">
        <v>1</v>
      </c>
      <c r="BN354">
        <v>59520</v>
      </c>
      <c r="BO354">
        <v>0</v>
      </c>
      <c r="BP354">
        <v>0</v>
      </c>
      <c r="BQ354">
        <v>0</v>
      </c>
      <c r="BR354" t="s">
        <v>1438</v>
      </c>
      <c r="BS354">
        <v>0</v>
      </c>
      <c r="BT354" t="s">
        <v>1438</v>
      </c>
      <c r="BU354">
        <v>0</v>
      </c>
      <c r="BV354" t="s">
        <v>25</v>
      </c>
      <c r="BW354" t="s">
        <v>189</v>
      </c>
      <c r="BX354">
        <v>1</v>
      </c>
      <c r="BY354">
        <v>59520</v>
      </c>
      <c r="BZ354">
        <v>0</v>
      </c>
      <c r="CA354" t="s">
        <v>1439</v>
      </c>
      <c r="CB354" t="s">
        <v>312</v>
      </c>
      <c r="CC354" t="s">
        <v>1440</v>
      </c>
      <c r="CD354">
        <v>0</v>
      </c>
      <c r="CE354">
        <v>1</v>
      </c>
      <c r="CF354" t="s">
        <v>466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 t="s">
        <v>88</v>
      </c>
      <c r="CT354" t="s">
        <v>1441</v>
      </c>
      <c r="CU354" t="s">
        <v>1442</v>
      </c>
    </row>
    <row r="355" spans="1:99">
      <c r="A355" t="s">
        <v>1431</v>
      </c>
      <c r="B355" t="s">
        <v>34</v>
      </c>
      <c r="C355" t="s">
        <v>2384</v>
      </c>
      <c r="D355" t="s">
        <v>2385</v>
      </c>
      <c r="E355" t="s">
        <v>2182</v>
      </c>
      <c r="F355" t="s">
        <v>2386</v>
      </c>
      <c r="G355" t="s">
        <v>2387</v>
      </c>
      <c r="H355" t="s">
        <v>1437</v>
      </c>
      <c r="I355" t="s">
        <v>682</v>
      </c>
      <c r="J355" t="s">
        <v>484</v>
      </c>
      <c r="K355" t="s">
        <v>29</v>
      </c>
      <c r="L355" t="s">
        <v>30</v>
      </c>
      <c r="M355">
        <v>198</v>
      </c>
      <c r="N355" t="s">
        <v>32</v>
      </c>
      <c r="O355" t="s">
        <v>32</v>
      </c>
      <c r="Q355" t="s">
        <v>32</v>
      </c>
      <c r="S355" t="s">
        <v>32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AA355" t="s">
        <v>88</v>
      </c>
      <c r="AB355" t="s">
        <v>32</v>
      </c>
      <c r="AE355" t="s">
        <v>32</v>
      </c>
      <c r="AH355" t="s">
        <v>32</v>
      </c>
      <c r="AK355" t="s">
        <v>32</v>
      </c>
      <c r="AN355" t="s">
        <v>32</v>
      </c>
      <c r="AO355" t="s">
        <v>32</v>
      </c>
      <c r="AR355">
        <v>0</v>
      </c>
      <c r="AU355" t="s">
        <v>32</v>
      </c>
      <c r="AV355">
        <v>1785595</v>
      </c>
      <c r="AW355" t="s">
        <v>32</v>
      </c>
      <c r="AX355" t="s">
        <v>32</v>
      </c>
      <c r="AY355" t="s">
        <v>317</v>
      </c>
      <c r="AZ355">
        <v>28</v>
      </c>
      <c r="BA355">
        <v>1976195</v>
      </c>
      <c r="BB355">
        <v>0.16</v>
      </c>
      <c r="BC355">
        <v>316200</v>
      </c>
      <c r="BD355" t="s">
        <v>142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316200</v>
      </c>
      <c r="BK355" t="s">
        <v>25</v>
      </c>
      <c r="BL355" t="s">
        <v>1010</v>
      </c>
      <c r="BM355">
        <v>28</v>
      </c>
      <c r="BN355">
        <v>1976195</v>
      </c>
      <c r="BO355">
        <v>0.04</v>
      </c>
      <c r="BP355">
        <v>79100</v>
      </c>
      <c r="BQ355">
        <v>0</v>
      </c>
      <c r="BR355" t="s">
        <v>1438</v>
      </c>
      <c r="BS355">
        <v>0</v>
      </c>
      <c r="BT355" t="s">
        <v>1438</v>
      </c>
      <c r="BU355">
        <v>0</v>
      </c>
      <c r="BV355" t="s">
        <v>25</v>
      </c>
      <c r="BW355" t="s">
        <v>189</v>
      </c>
      <c r="BX355">
        <v>28</v>
      </c>
      <c r="BY355">
        <v>1976195</v>
      </c>
      <c r="BZ355">
        <v>6.9599999999999995E-2</v>
      </c>
      <c r="CA355" t="s">
        <v>1439</v>
      </c>
      <c r="CB355" t="s">
        <v>312</v>
      </c>
      <c r="CC355" t="s">
        <v>1440</v>
      </c>
      <c r="CD355">
        <v>137600</v>
      </c>
      <c r="CE355">
        <v>28</v>
      </c>
      <c r="CF355" t="s">
        <v>466</v>
      </c>
      <c r="CG355">
        <v>1976195</v>
      </c>
      <c r="CH355">
        <v>0.04</v>
      </c>
      <c r="CI355">
        <v>79100</v>
      </c>
      <c r="CJ355">
        <v>1976195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 t="s">
        <v>88</v>
      </c>
      <c r="CT355" t="s">
        <v>1441</v>
      </c>
      <c r="CU355" t="s">
        <v>1442</v>
      </c>
    </row>
    <row r="356" spans="1:99">
      <c r="A356" t="s">
        <v>1431</v>
      </c>
      <c r="B356" t="s">
        <v>34</v>
      </c>
      <c r="C356" t="s">
        <v>2388</v>
      </c>
      <c r="D356" t="s">
        <v>2389</v>
      </c>
      <c r="E356" t="s">
        <v>2102</v>
      </c>
      <c r="F356" t="s">
        <v>1541</v>
      </c>
      <c r="G356" t="s">
        <v>1706</v>
      </c>
      <c r="H356" t="s">
        <v>1537</v>
      </c>
      <c r="I356" t="s">
        <v>682</v>
      </c>
      <c r="J356" t="s">
        <v>484</v>
      </c>
      <c r="K356" t="s">
        <v>29</v>
      </c>
      <c r="L356" t="s">
        <v>30</v>
      </c>
      <c r="M356">
        <v>214</v>
      </c>
      <c r="N356" t="s">
        <v>32</v>
      </c>
      <c r="O356" t="s">
        <v>32</v>
      </c>
      <c r="Q356" t="s">
        <v>32</v>
      </c>
      <c r="S356" t="s">
        <v>32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AA356" t="s">
        <v>88</v>
      </c>
      <c r="AB356" t="s">
        <v>32</v>
      </c>
      <c r="AE356" t="s">
        <v>32</v>
      </c>
      <c r="AH356" t="s">
        <v>32</v>
      </c>
      <c r="AK356" t="s">
        <v>32</v>
      </c>
      <c r="AN356" t="s">
        <v>32</v>
      </c>
      <c r="AO356" t="s">
        <v>32</v>
      </c>
      <c r="AR356">
        <v>0</v>
      </c>
      <c r="AU356" t="s">
        <v>32</v>
      </c>
      <c r="AV356">
        <v>1750905</v>
      </c>
      <c r="AW356" t="s">
        <v>32</v>
      </c>
      <c r="AX356" t="s">
        <v>32</v>
      </c>
      <c r="AY356" t="s">
        <v>317</v>
      </c>
      <c r="AZ356">
        <v>30</v>
      </c>
      <c r="BA356">
        <v>2159185</v>
      </c>
      <c r="BB356">
        <v>0.16</v>
      </c>
      <c r="BC356">
        <v>345500</v>
      </c>
      <c r="BD356" t="s">
        <v>142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345500</v>
      </c>
      <c r="BK356" t="s">
        <v>25</v>
      </c>
      <c r="BL356" t="s">
        <v>748</v>
      </c>
      <c r="BM356">
        <v>30</v>
      </c>
      <c r="BN356">
        <v>2159185</v>
      </c>
      <c r="BO356">
        <v>0.04</v>
      </c>
      <c r="BP356">
        <v>86400</v>
      </c>
      <c r="BQ356">
        <v>0</v>
      </c>
      <c r="BR356" t="s">
        <v>1438</v>
      </c>
      <c r="BS356">
        <v>0</v>
      </c>
      <c r="BT356" t="s">
        <v>1438</v>
      </c>
      <c r="BU356">
        <v>0</v>
      </c>
      <c r="BV356" t="s">
        <v>25</v>
      </c>
      <c r="BW356" t="s">
        <v>189</v>
      </c>
      <c r="BX356">
        <v>30</v>
      </c>
      <c r="BY356">
        <v>2159185</v>
      </c>
      <c r="BZ356">
        <v>6.9599999999999995E-2</v>
      </c>
      <c r="CA356" t="s">
        <v>1439</v>
      </c>
      <c r="CB356" t="s">
        <v>312</v>
      </c>
      <c r="CC356" t="s">
        <v>1440</v>
      </c>
      <c r="CD356">
        <v>150300</v>
      </c>
      <c r="CE356">
        <v>30</v>
      </c>
      <c r="CF356" t="s">
        <v>466</v>
      </c>
      <c r="CG356">
        <v>2159185</v>
      </c>
      <c r="CH356">
        <v>0.04</v>
      </c>
      <c r="CI356">
        <v>86400</v>
      </c>
      <c r="CJ356">
        <v>2159185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 t="s">
        <v>88</v>
      </c>
      <c r="CT356" t="s">
        <v>1441</v>
      </c>
      <c r="CU356" t="s">
        <v>1442</v>
      </c>
    </row>
    <row r="357" spans="1:99">
      <c r="A357" t="s">
        <v>1431</v>
      </c>
      <c r="B357" t="s">
        <v>34</v>
      </c>
      <c r="C357" t="s">
        <v>2390</v>
      </c>
      <c r="D357" t="s">
        <v>2391</v>
      </c>
      <c r="E357" t="s">
        <v>2392</v>
      </c>
      <c r="F357" t="s">
        <v>2392</v>
      </c>
      <c r="G357" t="s">
        <v>1436</v>
      </c>
      <c r="H357" t="s">
        <v>1451</v>
      </c>
      <c r="I357" t="s">
        <v>240</v>
      </c>
      <c r="J357" t="s">
        <v>46</v>
      </c>
      <c r="K357" t="s">
        <v>29</v>
      </c>
      <c r="L357" t="s">
        <v>30</v>
      </c>
      <c r="M357">
        <v>212</v>
      </c>
      <c r="N357" t="s">
        <v>32</v>
      </c>
      <c r="O357" t="s">
        <v>32</v>
      </c>
      <c r="Q357" t="s">
        <v>32</v>
      </c>
      <c r="S357" t="s">
        <v>32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AA357" t="s">
        <v>88</v>
      </c>
      <c r="AB357" t="s">
        <v>32</v>
      </c>
      <c r="AE357" t="s">
        <v>32</v>
      </c>
      <c r="AH357" t="s">
        <v>32</v>
      </c>
      <c r="AK357" t="s">
        <v>32</v>
      </c>
      <c r="AN357" t="s">
        <v>32</v>
      </c>
      <c r="AO357" t="s">
        <v>32</v>
      </c>
      <c r="AR357">
        <v>0</v>
      </c>
      <c r="AU357" t="s">
        <v>32</v>
      </c>
      <c r="AV357">
        <v>1750905</v>
      </c>
      <c r="AW357" t="s">
        <v>32</v>
      </c>
      <c r="AX357" t="s">
        <v>32</v>
      </c>
      <c r="AY357" t="s">
        <v>185</v>
      </c>
      <c r="AZ357">
        <v>30</v>
      </c>
      <c r="BA357">
        <v>2213305</v>
      </c>
      <c r="BB357">
        <v>0.16</v>
      </c>
      <c r="BC357">
        <v>354200</v>
      </c>
      <c r="BD357" t="s">
        <v>142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354200</v>
      </c>
      <c r="BK357" t="s">
        <v>25</v>
      </c>
      <c r="BL357" t="s">
        <v>1064</v>
      </c>
      <c r="BM357">
        <v>30</v>
      </c>
      <c r="BN357">
        <v>2213305</v>
      </c>
      <c r="BO357">
        <v>0.04</v>
      </c>
      <c r="BP357">
        <v>88600</v>
      </c>
      <c r="BQ357">
        <v>0</v>
      </c>
      <c r="BR357" t="s">
        <v>1438</v>
      </c>
      <c r="BS357">
        <v>0</v>
      </c>
      <c r="BT357" t="s">
        <v>1438</v>
      </c>
      <c r="BU357">
        <v>0</v>
      </c>
      <c r="BV357" t="s">
        <v>25</v>
      </c>
      <c r="BW357" t="s">
        <v>189</v>
      </c>
      <c r="BX357">
        <v>30</v>
      </c>
      <c r="BY357">
        <v>2213305</v>
      </c>
      <c r="BZ357">
        <v>6.9599999999999995E-2</v>
      </c>
      <c r="CA357" t="s">
        <v>1439</v>
      </c>
      <c r="CB357" t="s">
        <v>227</v>
      </c>
      <c r="CC357" t="s">
        <v>1440</v>
      </c>
      <c r="CD357">
        <v>154100</v>
      </c>
      <c r="CE357">
        <v>30</v>
      </c>
      <c r="CF357" t="s">
        <v>635</v>
      </c>
      <c r="CG357">
        <v>2213305</v>
      </c>
      <c r="CH357">
        <v>0.04</v>
      </c>
      <c r="CI357">
        <v>88600</v>
      </c>
      <c r="CJ357">
        <v>2213305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 t="s">
        <v>88</v>
      </c>
      <c r="CT357" t="s">
        <v>1441</v>
      </c>
      <c r="CU357" t="s">
        <v>1442</v>
      </c>
    </row>
    <row r="358" spans="1:99">
      <c r="A358" t="s">
        <v>1431</v>
      </c>
      <c r="B358" t="s">
        <v>34</v>
      </c>
      <c r="C358" t="s">
        <v>2393</v>
      </c>
      <c r="D358" t="s">
        <v>2394</v>
      </c>
      <c r="E358" t="s">
        <v>2395</v>
      </c>
      <c r="F358" t="s">
        <v>2396</v>
      </c>
      <c r="G358" t="s">
        <v>2135</v>
      </c>
      <c r="H358" t="s">
        <v>1548</v>
      </c>
      <c r="I358" t="s">
        <v>240</v>
      </c>
      <c r="J358" t="s">
        <v>46</v>
      </c>
      <c r="K358" t="s">
        <v>29</v>
      </c>
      <c r="L358" t="s">
        <v>30</v>
      </c>
      <c r="M358">
        <v>0</v>
      </c>
      <c r="N358" t="s">
        <v>32</v>
      </c>
      <c r="O358" t="s">
        <v>32</v>
      </c>
      <c r="Q358" t="s">
        <v>32</v>
      </c>
      <c r="S358" t="s">
        <v>32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AA358" t="s">
        <v>32</v>
      </c>
      <c r="AB358" t="s">
        <v>32</v>
      </c>
      <c r="AE358" t="s">
        <v>32</v>
      </c>
      <c r="AH358" t="s">
        <v>32</v>
      </c>
      <c r="AK358" t="s">
        <v>128</v>
      </c>
      <c r="AL358">
        <v>46054</v>
      </c>
      <c r="AM358">
        <v>46054</v>
      </c>
      <c r="AN358" t="s">
        <v>32</v>
      </c>
      <c r="AO358" t="s">
        <v>32</v>
      </c>
      <c r="AR358">
        <v>0</v>
      </c>
      <c r="AU358" t="s">
        <v>32</v>
      </c>
      <c r="AV358">
        <v>4678846</v>
      </c>
      <c r="AW358" t="s">
        <v>32</v>
      </c>
      <c r="AX358" t="s">
        <v>32</v>
      </c>
      <c r="AY358" t="s">
        <v>185</v>
      </c>
      <c r="AZ358">
        <v>1</v>
      </c>
      <c r="BA358">
        <v>155962</v>
      </c>
      <c r="BB358">
        <v>0.16</v>
      </c>
      <c r="BC358">
        <v>25000</v>
      </c>
      <c r="BD358" t="s">
        <v>142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25000</v>
      </c>
      <c r="BK358" t="s">
        <v>25</v>
      </c>
      <c r="BL358" t="s">
        <v>1071</v>
      </c>
      <c r="BM358">
        <v>1</v>
      </c>
      <c r="BN358">
        <v>155962</v>
      </c>
      <c r="BO358">
        <v>0.04</v>
      </c>
      <c r="BP358">
        <v>6300</v>
      </c>
      <c r="BQ358">
        <v>0</v>
      </c>
      <c r="BR358" t="s">
        <v>1438</v>
      </c>
      <c r="BS358">
        <v>0</v>
      </c>
      <c r="BT358" t="s">
        <v>1438</v>
      </c>
      <c r="BU358">
        <v>0</v>
      </c>
      <c r="BV358" t="s">
        <v>25</v>
      </c>
      <c r="BW358" t="s">
        <v>189</v>
      </c>
      <c r="BX358">
        <v>1</v>
      </c>
      <c r="BY358">
        <v>155962</v>
      </c>
      <c r="BZ358">
        <v>0</v>
      </c>
      <c r="CA358" t="s">
        <v>1439</v>
      </c>
      <c r="CB358" t="s">
        <v>227</v>
      </c>
      <c r="CC358" t="s">
        <v>1440</v>
      </c>
      <c r="CD358">
        <v>0</v>
      </c>
      <c r="CE358">
        <v>1</v>
      </c>
      <c r="CF358" t="s">
        <v>635</v>
      </c>
      <c r="CG358">
        <v>155962</v>
      </c>
      <c r="CH358">
        <v>0.04</v>
      </c>
      <c r="CI358">
        <v>6300</v>
      </c>
      <c r="CJ358">
        <v>155962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 t="s">
        <v>88</v>
      </c>
      <c r="CT358" t="s">
        <v>1441</v>
      </c>
      <c r="CU358" t="s">
        <v>1442</v>
      </c>
    </row>
    <row r="359" spans="1:99">
      <c r="A359" t="s">
        <v>1431</v>
      </c>
      <c r="B359" t="s">
        <v>34</v>
      </c>
      <c r="C359" t="s">
        <v>2393</v>
      </c>
      <c r="D359" t="s">
        <v>2394</v>
      </c>
      <c r="E359" t="s">
        <v>2395</v>
      </c>
      <c r="F359" t="s">
        <v>2396</v>
      </c>
      <c r="G359" t="s">
        <v>2135</v>
      </c>
      <c r="H359" t="s">
        <v>1548</v>
      </c>
      <c r="I359" t="s">
        <v>240</v>
      </c>
      <c r="J359" t="s">
        <v>46</v>
      </c>
      <c r="K359" t="s">
        <v>29</v>
      </c>
      <c r="L359" t="s">
        <v>30</v>
      </c>
      <c r="M359">
        <v>180</v>
      </c>
      <c r="N359" t="s">
        <v>32</v>
      </c>
      <c r="O359" t="s">
        <v>32</v>
      </c>
      <c r="Q359" t="s">
        <v>32</v>
      </c>
      <c r="S359" t="s">
        <v>32</v>
      </c>
      <c r="U359" t="s">
        <v>32</v>
      </c>
      <c r="V359" t="s">
        <v>32</v>
      </c>
      <c r="W359" t="s">
        <v>32</v>
      </c>
      <c r="X359" t="s">
        <v>32</v>
      </c>
      <c r="Y359" t="s">
        <v>88</v>
      </c>
      <c r="Z359">
        <v>46054</v>
      </c>
      <c r="AA359" t="s">
        <v>32</v>
      </c>
      <c r="AB359" t="s">
        <v>32</v>
      </c>
      <c r="AE359" t="s">
        <v>32</v>
      </c>
      <c r="AH359" t="s">
        <v>32</v>
      </c>
      <c r="AK359" t="s">
        <v>32</v>
      </c>
      <c r="AN359" t="s">
        <v>32</v>
      </c>
      <c r="AO359" t="s">
        <v>32</v>
      </c>
      <c r="AR359">
        <v>0</v>
      </c>
      <c r="AU359" t="s">
        <v>32</v>
      </c>
      <c r="AV359">
        <v>4678846</v>
      </c>
      <c r="AW359" t="s">
        <v>32</v>
      </c>
      <c r="AX359" t="s">
        <v>32</v>
      </c>
      <c r="AY359" t="s">
        <v>185</v>
      </c>
      <c r="AZ359">
        <v>29</v>
      </c>
      <c r="BA359">
        <v>4522885</v>
      </c>
      <c r="BB359">
        <v>0.16</v>
      </c>
      <c r="BC359">
        <v>723700</v>
      </c>
      <c r="BD359" t="s">
        <v>142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723700</v>
      </c>
      <c r="BK359" t="s">
        <v>25</v>
      </c>
      <c r="BL359" t="s">
        <v>1071</v>
      </c>
      <c r="BM359">
        <v>29</v>
      </c>
      <c r="BN359">
        <v>4522885</v>
      </c>
      <c r="BO359">
        <v>0.04</v>
      </c>
      <c r="BP359">
        <v>181000</v>
      </c>
      <c r="BQ359">
        <v>0</v>
      </c>
      <c r="BR359" t="s">
        <v>1438</v>
      </c>
      <c r="BS359">
        <v>0</v>
      </c>
      <c r="BT359" t="s">
        <v>1438</v>
      </c>
      <c r="BU359">
        <v>0</v>
      </c>
      <c r="BV359" t="s">
        <v>25</v>
      </c>
      <c r="BW359" t="s">
        <v>189</v>
      </c>
      <c r="BX359">
        <v>29</v>
      </c>
      <c r="BY359">
        <v>4522885</v>
      </c>
      <c r="BZ359">
        <v>6.9599999999999995E-2</v>
      </c>
      <c r="CA359" t="s">
        <v>1439</v>
      </c>
      <c r="CB359" t="s">
        <v>227</v>
      </c>
      <c r="CC359" t="s">
        <v>1440</v>
      </c>
      <c r="CD359">
        <v>314800</v>
      </c>
      <c r="CE359">
        <v>29</v>
      </c>
      <c r="CF359" t="s">
        <v>635</v>
      </c>
      <c r="CG359">
        <v>4522885</v>
      </c>
      <c r="CH359">
        <v>0.04</v>
      </c>
      <c r="CI359">
        <v>181000</v>
      </c>
      <c r="CJ359">
        <v>4522885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 t="s">
        <v>88</v>
      </c>
      <c r="CT359" t="s">
        <v>1441</v>
      </c>
      <c r="CU359" t="s">
        <v>1442</v>
      </c>
    </row>
    <row r="360" spans="1:99">
      <c r="A360" t="s">
        <v>1431</v>
      </c>
      <c r="B360" t="s">
        <v>34</v>
      </c>
      <c r="C360" t="s">
        <v>2397</v>
      </c>
      <c r="D360" t="s">
        <v>2398</v>
      </c>
      <c r="E360" t="s">
        <v>1506</v>
      </c>
      <c r="F360" t="s">
        <v>1705</v>
      </c>
      <c r="G360" t="s">
        <v>2399</v>
      </c>
      <c r="H360" t="s">
        <v>2400</v>
      </c>
      <c r="I360" t="s">
        <v>240</v>
      </c>
      <c r="J360" t="s">
        <v>46</v>
      </c>
      <c r="K360" t="s">
        <v>29</v>
      </c>
      <c r="L360" t="s">
        <v>30</v>
      </c>
      <c r="M360">
        <v>188</v>
      </c>
      <c r="N360" t="s">
        <v>32</v>
      </c>
      <c r="O360" t="s">
        <v>32</v>
      </c>
      <c r="Q360" t="s">
        <v>32</v>
      </c>
      <c r="S360" t="s">
        <v>32</v>
      </c>
      <c r="U360" t="s">
        <v>32</v>
      </c>
      <c r="V360" t="s">
        <v>32</v>
      </c>
      <c r="W360" t="s">
        <v>32</v>
      </c>
      <c r="X360" t="s">
        <v>32</v>
      </c>
      <c r="Y360" t="s">
        <v>88</v>
      </c>
      <c r="Z360">
        <v>46054</v>
      </c>
      <c r="AA360" t="s">
        <v>32</v>
      </c>
      <c r="AB360" t="s">
        <v>32</v>
      </c>
      <c r="AE360" t="s">
        <v>32</v>
      </c>
      <c r="AH360" t="s">
        <v>32</v>
      </c>
      <c r="AK360" t="s">
        <v>32</v>
      </c>
      <c r="AN360" t="s">
        <v>32</v>
      </c>
      <c r="AO360" t="s">
        <v>32</v>
      </c>
      <c r="AR360">
        <v>0</v>
      </c>
      <c r="AU360" t="s">
        <v>32</v>
      </c>
      <c r="AV360">
        <v>4024292</v>
      </c>
      <c r="AW360" t="s">
        <v>32</v>
      </c>
      <c r="AX360" t="s">
        <v>32</v>
      </c>
      <c r="AY360" t="s">
        <v>356</v>
      </c>
      <c r="AZ360">
        <v>30</v>
      </c>
      <c r="BA360">
        <v>4024292</v>
      </c>
      <c r="BB360">
        <v>0.16</v>
      </c>
      <c r="BC360">
        <v>643900</v>
      </c>
      <c r="BD360" t="s">
        <v>142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643900</v>
      </c>
      <c r="BK360" t="s">
        <v>25</v>
      </c>
      <c r="BL360" t="s">
        <v>1071</v>
      </c>
      <c r="BM360">
        <v>30</v>
      </c>
      <c r="BN360">
        <v>4024292</v>
      </c>
      <c r="BO360">
        <v>0.04</v>
      </c>
      <c r="BP360">
        <v>161000</v>
      </c>
      <c r="BQ360">
        <v>0</v>
      </c>
      <c r="BR360" t="s">
        <v>1438</v>
      </c>
      <c r="BS360">
        <v>0</v>
      </c>
      <c r="BT360" t="s">
        <v>1438</v>
      </c>
      <c r="BU360">
        <v>0</v>
      </c>
      <c r="BV360" t="s">
        <v>25</v>
      </c>
      <c r="BW360" t="s">
        <v>189</v>
      </c>
      <c r="BX360">
        <v>30</v>
      </c>
      <c r="BY360">
        <v>4024292</v>
      </c>
      <c r="BZ360">
        <v>2.436E-2</v>
      </c>
      <c r="CA360" t="s">
        <v>1772</v>
      </c>
      <c r="CB360" t="s">
        <v>227</v>
      </c>
      <c r="CC360" t="s">
        <v>1773</v>
      </c>
      <c r="CD360">
        <v>98100</v>
      </c>
      <c r="CE360">
        <v>30</v>
      </c>
      <c r="CF360" t="s">
        <v>635</v>
      </c>
      <c r="CG360">
        <v>4024292</v>
      </c>
      <c r="CH360">
        <v>0.04</v>
      </c>
      <c r="CI360">
        <v>161000</v>
      </c>
      <c r="CJ360">
        <v>4024292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 t="s">
        <v>88</v>
      </c>
      <c r="CT360" t="s">
        <v>1441</v>
      </c>
      <c r="CU360" t="s">
        <v>1442</v>
      </c>
    </row>
    <row r="361" spans="1:99">
      <c r="A361" t="s">
        <v>1431</v>
      </c>
      <c r="B361" t="s">
        <v>34</v>
      </c>
      <c r="C361" t="s">
        <v>2401</v>
      </c>
      <c r="D361" t="s">
        <v>2402</v>
      </c>
      <c r="E361" t="s">
        <v>2403</v>
      </c>
      <c r="F361" t="s">
        <v>1601</v>
      </c>
      <c r="G361" t="s">
        <v>1478</v>
      </c>
      <c r="H361" t="s">
        <v>1436</v>
      </c>
      <c r="I361" t="s">
        <v>682</v>
      </c>
      <c r="J361" t="s">
        <v>484</v>
      </c>
      <c r="K361" t="s">
        <v>29</v>
      </c>
      <c r="L361" t="s">
        <v>30</v>
      </c>
      <c r="M361">
        <v>205</v>
      </c>
      <c r="N361" t="s">
        <v>32</v>
      </c>
      <c r="O361" t="s">
        <v>32</v>
      </c>
      <c r="Q361" t="s">
        <v>32</v>
      </c>
      <c r="S361" t="s">
        <v>32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AA361" t="s">
        <v>88</v>
      </c>
      <c r="AB361" t="s">
        <v>32</v>
      </c>
      <c r="AE361" t="s">
        <v>32</v>
      </c>
      <c r="AH361" t="s">
        <v>32</v>
      </c>
      <c r="AK361" t="s">
        <v>32</v>
      </c>
      <c r="AN361" t="s">
        <v>32</v>
      </c>
      <c r="AO361" t="s">
        <v>32</v>
      </c>
      <c r="AR361">
        <v>0</v>
      </c>
      <c r="AU361" t="s">
        <v>32</v>
      </c>
      <c r="AV361">
        <v>1785595</v>
      </c>
      <c r="AW361" t="s">
        <v>32</v>
      </c>
      <c r="AX361" t="s">
        <v>32</v>
      </c>
      <c r="AY361" t="s">
        <v>356</v>
      </c>
      <c r="AZ361">
        <v>30</v>
      </c>
      <c r="BA361">
        <v>2039231</v>
      </c>
      <c r="BB361">
        <v>0.16</v>
      </c>
      <c r="BC361">
        <v>326300</v>
      </c>
      <c r="BD361" t="s">
        <v>142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326300</v>
      </c>
      <c r="BK361" t="s">
        <v>25</v>
      </c>
      <c r="BL361" t="s">
        <v>1010</v>
      </c>
      <c r="BM361">
        <v>30</v>
      </c>
      <c r="BN361">
        <v>2039231</v>
      </c>
      <c r="BO361">
        <v>0.04</v>
      </c>
      <c r="BP361">
        <v>81600</v>
      </c>
      <c r="BQ361">
        <v>0</v>
      </c>
      <c r="BR361" t="s">
        <v>1438</v>
      </c>
      <c r="BS361">
        <v>0</v>
      </c>
      <c r="BT361" t="s">
        <v>1438</v>
      </c>
      <c r="BU361">
        <v>0</v>
      </c>
      <c r="BV361" t="s">
        <v>25</v>
      </c>
      <c r="BW361" t="s">
        <v>189</v>
      </c>
      <c r="BX361">
        <v>30</v>
      </c>
      <c r="BY361">
        <v>2039231</v>
      </c>
      <c r="BZ361">
        <v>6.9599999999999995E-2</v>
      </c>
      <c r="CA361" t="s">
        <v>1439</v>
      </c>
      <c r="CB361" t="s">
        <v>312</v>
      </c>
      <c r="CC361" t="s">
        <v>1440</v>
      </c>
      <c r="CD361">
        <v>142000</v>
      </c>
      <c r="CE361">
        <v>30</v>
      </c>
      <c r="CF361" t="s">
        <v>466</v>
      </c>
      <c r="CG361">
        <v>2039231</v>
      </c>
      <c r="CH361">
        <v>0.04</v>
      </c>
      <c r="CI361">
        <v>81600</v>
      </c>
      <c r="CJ361">
        <v>2039231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 t="s">
        <v>88</v>
      </c>
      <c r="CT361" t="s">
        <v>1441</v>
      </c>
      <c r="CU361" t="s">
        <v>1442</v>
      </c>
    </row>
    <row r="362" spans="1:99">
      <c r="A362" t="s">
        <v>1431</v>
      </c>
      <c r="B362" t="s">
        <v>34</v>
      </c>
      <c r="C362" t="s">
        <v>2404</v>
      </c>
      <c r="D362" t="s">
        <v>2405</v>
      </c>
      <c r="E362" t="s">
        <v>1535</v>
      </c>
      <c r="F362" t="s">
        <v>1823</v>
      </c>
      <c r="G362" t="s">
        <v>1859</v>
      </c>
      <c r="H362" t="s">
        <v>1468</v>
      </c>
      <c r="I362" t="s">
        <v>240</v>
      </c>
      <c r="J362" t="s">
        <v>46</v>
      </c>
      <c r="K362" t="s">
        <v>29</v>
      </c>
      <c r="L362" t="s">
        <v>30</v>
      </c>
      <c r="M362">
        <v>123</v>
      </c>
      <c r="N362" t="s">
        <v>32</v>
      </c>
      <c r="O362" t="s">
        <v>32</v>
      </c>
      <c r="Q362" t="s">
        <v>32</v>
      </c>
      <c r="S362" t="s">
        <v>40</v>
      </c>
      <c r="T362">
        <v>46068</v>
      </c>
      <c r="U362" t="s">
        <v>32</v>
      </c>
      <c r="V362" t="s">
        <v>32</v>
      </c>
      <c r="W362" t="s">
        <v>32</v>
      </c>
      <c r="X362" t="s">
        <v>32</v>
      </c>
      <c r="Y362" t="s">
        <v>32</v>
      </c>
      <c r="AA362" t="s">
        <v>88</v>
      </c>
      <c r="AB362" t="s">
        <v>32</v>
      </c>
      <c r="AE362" t="s">
        <v>32</v>
      </c>
      <c r="AH362" t="s">
        <v>32</v>
      </c>
      <c r="AK362" t="s">
        <v>32</v>
      </c>
      <c r="AN362" t="s">
        <v>32</v>
      </c>
      <c r="AO362" t="s">
        <v>32</v>
      </c>
      <c r="AR362">
        <v>0</v>
      </c>
      <c r="AU362" t="s">
        <v>32</v>
      </c>
      <c r="AV362">
        <v>2223339</v>
      </c>
      <c r="AW362" t="s">
        <v>32</v>
      </c>
      <c r="AX362" t="s">
        <v>32</v>
      </c>
      <c r="AY362" t="s">
        <v>185</v>
      </c>
      <c r="AZ362">
        <v>15</v>
      </c>
      <c r="BA362">
        <v>2357412</v>
      </c>
      <c r="BB362">
        <v>0.16</v>
      </c>
      <c r="BC362">
        <v>377200</v>
      </c>
      <c r="BD362" t="s">
        <v>142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377200</v>
      </c>
      <c r="BK362" t="s">
        <v>25</v>
      </c>
      <c r="BL362" t="s">
        <v>1010</v>
      </c>
      <c r="BM362">
        <v>15</v>
      </c>
      <c r="BN362">
        <v>2357412</v>
      </c>
      <c r="BO362">
        <v>0.04</v>
      </c>
      <c r="BP362">
        <v>94300</v>
      </c>
      <c r="BQ362">
        <v>0</v>
      </c>
      <c r="BR362" t="s">
        <v>1438</v>
      </c>
      <c r="BS362">
        <v>0</v>
      </c>
      <c r="BT362" t="s">
        <v>1438</v>
      </c>
      <c r="BU362">
        <v>0</v>
      </c>
      <c r="BV362" t="s">
        <v>25</v>
      </c>
      <c r="BW362" t="s">
        <v>189</v>
      </c>
      <c r="BX362">
        <v>15</v>
      </c>
      <c r="BY362">
        <v>2357412</v>
      </c>
      <c r="BZ362">
        <v>6.9599999999999995E-2</v>
      </c>
      <c r="CA362" t="s">
        <v>1439</v>
      </c>
      <c r="CB362" t="s">
        <v>227</v>
      </c>
      <c r="CC362" t="s">
        <v>1440</v>
      </c>
      <c r="CD362">
        <v>164100</v>
      </c>
      <c r="CE362">
        <v>15</v>
      </c>
      <c r="CF362" t="s">
        <v>635</v>
      </c>
      <c r="CG362">
        <v>2926830</v>
      </c>
      <c r="CH362">
        <v>0.04</v>
      </c>
      <c r="CI362">
        <v>117100</v>
      </c>
      <c r="CJ362">
        <v>2926830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 t="s">
        <v>88</v>
      </c>
      <c r="CT362" t="s">
        <v>1441</v>
      </c>
      <c r="CU362" t="s">
        <v>1442</v>
      </c>
    </row>
    <row r="363" spans="1:99">
      <c r="A363" t="s">
        <v>1431</v>
      </c>
      <c r="B363" t="s">
        <v>34</v>
      </c>
      <c r="C363" t="s">
        <v>2406</v>
      </c>
      <c r="D363" t="s">
        <v>2407</v>
      </c>
      <c r="E363" t="s">
        <v>1449</v>
      </c>
      <c r="F363" t="s">
        <v>2338</v>
      </c>
      <c r="G363" t="s">
        <v>1706</v>
      </c>
      <c r="H363" t="s">
        <v>1757</v>
      </c>
      <c r="I363" t="s">
        <v>240</v>
      </c>
      <c r="J363" t="s">
        <v>46</v>
      </c>
      <c r="K363" t="s">
        <v>29</v>
      </c>
      <c r="L363" t="s">
        <v>30</v>
      </c>
      <c r="M363">
        <v>279</v>
      </c>
      <c r="N363" t="s">
        <v>32</v>
      </c>
      <c r="O363" t="s">
        <v>32</v>
      </c>
      <c r="Q363" t="s">
        <v>32</v>
      </c>
      <c r="S363" t="s">
        <v>32</v>
      </c>
      <c r="U363" t="s">
        <v>32</v>
      </c>
      <c r="V363" t="s">
        <v>32</v>
      </c>
      <c r="W363" t="s">
        <v>32</v>
      </c>
      <c r="X363" t="s">
        <v>32</v>
      </c>
      <c r="Y363" t="s">
        <v>88</v>
      </c>
      <c r="Z363">
        <v>46054</v>
      </c>
      <c r="AA363" t="s">
        <v>88</v>
      </c>
      <c r="AB363" t="s">
        <v>32</v>
      </c>
      <c r="AE363" t="s">
        <v>32</v>
      </c>
      <c r="AH363" t="s">
        <v>32</v>
      </c>
      <c r="AK363" t="s">
        <v>32</v>
      </c>
      <c r="AN363" t="s">
        <v>32</v>
      </c>
      <c r="AO363" t="s">
        <v>32</v>
      </c>
      <c r="AR363">
        <v>0</v>
      </c>
      <c r="AU363" t="s">
        <v>32</v>
      </c>
      <c r="AV363">
        <v>2296814</v>
      </c>
      <c r="AW363" t="s">
        <v>32</v>
      </c>
      <c r="AX363" t="s">
        <v>32</v>
      </c>
      <c r="AY363" t="s">
        <v>185</v>
      </c>
      <c r="AZ363">
        <v>30</v>
      </c>
      <c r="BA363">
        <v>4057791</v>
      </c>
      <c r="BB363">
        <v>0.16</v>
      </c>
      <c r="BC363">
        <v>649300</v>
      </c>
      <c r="BD363" t="s">
        <v>142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649300</v>
      </c>
      <c r="BK363" t="s">
        <v>25</v>
      </c>
      <c r="BL363" t="s">
        <v>1000</v>
      </c>
      <c r="BM363">
        <v>30</v>
      </c>
      <c r="BN363">
        <v>4057791</v>
      </c>
      <c r="BO363">
        <v>0.04</v>
      </c>
      <c r="BP363">
        <v>162400</v>
      </c>
      <c r="BQ363">
        <v>0</v>
      </c>
      <c r="BR363" t="s">
        <v>1438</v>
      </c>
      <c r="BS363">
        <v>0</v>
      </c>
      <c r="BT363" t="s">
        <v>1438</v>
      </c>
      <c r="BU363">
        <v>0</v>
      </c>
      <c r="BV363" t="s">
        <v>25</v>
      </c>
      <c r="BW363" t="s">
        <v>189</v>
      </c>
      <c r="BX363">
        <v>30</v>
      </c>
      <c r="BY363">
        <v>4057791</v>
      </c>
      <c r="BZ363">
        <v>6.9599999999999995E-2</v>
      </c>
      <c r="CA363" t="s">
        <v>1439</v>
      </c>
      <c r="CB363" t="s">
        <v>227</v>
      </c>
      <c r="CC363" t="s">
        <v>1440</v>
      </c>
      <c r="CD363">
        <v>282500</v>
      </c>
      <c r="CE363">
        <v>30</v>
      </c>
      <c r="CF363" t="s">
        <v>635</v>
      </c>
      <c r="CG363">
        <v>4057791</v>
      </c>
      <c r="CH363">
        <v>0.04</v>
      </c>
      <c r="CI363">
        <v>162400</v>
      </c>
      <c r="CJ363">
        <v>4057791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 t="s">
        <v>88</v>
      </c>
      <c r="CT363" t="s">
        <v>1441</v>
      </c>
      <c r="CU363" t="s">
        <v>1442</v>
      </c>
    </row>
    <row r="364" spans="1:99">
      <c r="A364" t="s">
        <v>1431</v>
      </c>
      <c r="B364" t="s">
        <v>34</v>
      </c>
      <c r="C364" t="s">
        <v>2408</v>
      </c>
      <c r="D364" t="s">
        <v>2409</v>
      </c>
      <c r="E364" t="s">
        <v>2250</v>
      </c>
      <c r="F364" t="s">
        <v>1547</v>
      </c>
      <c r="G364" t="s">
        <v>2410</v>
      </c>
      <c r="H364" t="s">
        <v>1489</v>
      </c>
      <c r="I364" t="s">
        <v>240</v>
      </c>
      <c r="J364" t="s">
        <v>46</v>
      </c>
      <c r="K364" t="s">
        <v>29</v>
      </c>
      <c r="L364" t="s">
        <v>30</v>
      </c>
      <c r="M364">
        <v>203</v>
      </c>
      <c r="N364" t="s">
        <v>32</v>
      </c>
      <c r="O364" t="s">
        <v>32</v>
      </c>
      <c r="Q364" t="s">
        <v>32</v>
      </c>
      <c r="S364" t="s">
        <v>32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AA364" t="s">
        <v>88</v>
      </c>
      <c r="AB364" t="s">
        <v>32</v>
      </c>
      <c r="AE364" t="s">
        <v>32</v>
      </c>
      <c r="AH364" t="s">
        <v>32</v>
      </c>
      <c r="AK364" t="s">
        <v>32</v>
      </c>
      <c r="AN364" t="s">
        <v>32</v>
      </c>
      <c r="AO364" t="s">
        <v>32</v>
      </c>
      <c r="AR364">
        <v>0</v>
      </c>
      <c r="AU364" t="s">
        <v>32</v>
      </c>
      <c r="AV364">
        <v>2223339</v>
      </c>
      <c r="AW364" t="s">
        <v>32</v>
      </c>
      <c r="AX364" t="s">
        <v>32</v>
      </c>
      <c r="AY364" t="s">
        <v>137</v>
      </c>
      <c r="AZ364">
        <v>30</v>
      </c>
      <c r="BA364">
        <v>2519784</v>
      </c>
      <c r="BB364">
        <v>0.16</v>
      </c>
      <c r="BC364">
        <v>403200</v>
      </c>
      <c r="BD364" t="s">
        <v>142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403200</v>
      </c>
      <c r="BK364" t="s">
        <v>25</v>
      </c>
      <c r="BL364" t="s">
        <v>1064</v>
      </c>
      <c r="BM364">
        <v>30</v>
      </c>
      <c r="BN364">
        <v>2519784</v>
      </c>
      <c r="BO364">
        <v>0.04</v>
      </c>
      <c r="BP364">
        <v>100800</v>
      </c>
      <c r="BQ364">
        <v>0</v>
      </c>
      <c r="BR364" t="s">
        <v>1438</v>
      </c>
      <c r="BS364">
        <v>0</v>
      </c>
      <c r="BT364" t="s">
        <v>1438</v>
      </c>
      <c r="BU364">
        <v>0</v>
      </c>
      <c r="BV364" t="s">
        <v>25</v>
      </c>
      <c r="BW364" t="s">
        <v>189</v>
      </c>
      <c r="BX364">
        <v>30</v>
      </c>
      <c r="BY364">
        <v>2519784</v>
      </c>
      <c r="BZ364">
        <v>6.9599999999999995E-2</v>
      </c>
      <c r="CA364" t="s">
        <v>1439</v>
      </c>
      <c r="CB364" t="s">
        <v>227</v>
      </c>
      <c r="CC364" t="s">
        <v>1440</v>
      </c>
      <c r="CD364">
        <v>175400</v>
      </c>
      <c r="CE364">
        <v>30</v>
      </c>
      <c r="CF364" t="s">
        <v>635</v>
      </c>
      <c r="CG364">
        <v>2513890</v>
      </c>
      <c r="CH364">
        <v>0.04</v>
      </c>
      <c r="CI364">
        <v>100600</v>
      </c>
      <c r="CJ364">
        <v>2513890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 t="s">
        <v>88</v>
      </c>
      <c r="CT364" t="s">
        <v>1441</v>
      </c>
      <c r="CU364" t="s">
        <v>1442</v>
      </c>
    </row>
    <row r="365" spans="1:99">
      <c r="A365" t="s">
        <v>1431</v>
      </c>
      <c r="B365" t="s">
        <v>34</v>
      </c>
      <c r="C365" t="s">
        <v>2411</v>
      </c>
      <c r="D365" t="s">
        <v>2412</v>
      </c>
      <c r="E365" t="s">
        <v>2413</v>
      </c>
      <c r="F365" t="s">
        <v>1941</v>
      </c>
      <c r="G365" t="s">
        <v>1478</v>
      </c>
      <c r="H365" t="s">
        <v>2414</v>
      </c>
      <c r="I365" t="s">
        <v>240</v>
      </c>
      <c r="J365" t="s">
        <v>46</v>
      </c>
      <c r="K365" t="s">
        <v>29</v>
      </c>
      <c r="L365" t="s">
        <v>30</v>
      </c>
      <c r="M365">
        <v>202</v>
      </c>
      <c r="N365" t="s">
        <v>32</v>
      </c>
      <c r="O365" t="s">
        <v>32</v>
      </c>
      <c r="Q365" t="s">
        <v>32</v>
      </c>
      <c r="S365" t="s">
        <v>32</v>
      </c>
      <c r="U365" t="s">
        <v>32</v>
      </c>
      <c r="V365" t="s">
        <v>32</v>
      </c>
      <c r="W365" t="s">
        <v>32</v>
      </c>
      <c r="X365" t="s">
        <v>32</v>
      </c>
      <c r="Y365" t="s">
        <v>32</v>
      </c>
      <c r="AA365" t="s">
        <v>88</v>
      </c>
      <c r="AB365" t="s">
        <v>32</v>
      </c>
      <c r="AE365" t="s">
        <v>32</v>
      </c>
      <c r="AH365" t="s">
        <v>32</v>
      </c>
      <c r="AK365" t="s">
        <v>32</v>
      </c>
      <c r="AN365" t="s">
        <v>32</v>
      </c>
      <c r="AO365" t="s">
        <v>32</v>
      </c>
      <c r="AR365">
        <v>0</v>
      </c>
      <c r="AU365" t="s">
        <v>32</v>
      </c>
      <c r="AV365">
        <v>2223339</v>
      </c>
      <c r="AW365" t="s">
        <v>32</v>
      </c>
      <c r="AX365" t="s">
        <v>32</v>
      </c>
      <c r="AY365" t="s">
        <v>356</v>
      </c>
      <c r="AZ365">
        <v>30</v>
      </c>
      <c r="BA365">
        <v>2764436</v>
      </c>
      <c r="BB365">
        <v>0.16</v>
      </c>
      <c r="BC365">
        <v>442400</v>
      </c>
      <c r="BD365" t="s">
        <v>142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442400</v>
      </c>
      <c r="BK365" t="s">
        <v>25</v>
      </c>
      <c r="BL365" t="s">
        <v>885</v>
      </c>
      <c r="BM365">
        <v>30</v>
      </c>
      <c r="BN365">
        <v>2764436</v>
      </c>
      <c r="BO365">
        <v>0.04</v>
      </c>
      <c r="BP365">
        <v>110600</v>
      </c>
      <c r="BQ365">
        <v>0</v>
      </c>
      <c r="BR365" t="s">
        <v>1438</v>
      </c>
      <c r="BS365">
        <v>0</v>
      </c>
      <c r="BT365" t="s">
        <v>1438</v>
      </c>
      <c r="BU365">
        <v>0</v>
      </c>
      <c r="BV365" t="s">
        <v>25</v>
      </c>
      <c r="BW365" t="s">
        <v>189</v>
      </c>
      <c r="BX365">
        <v>30</v>
      </c>
      <c r="BY365">
        <v>2764436</v>
      </c>
      <c r="BZ365">
        <v>6.9599999999999995E-2</v>
      </c>
      <c r="CA365" t="s">
        <v>1439</v>
      </c>
      <c r="CB365" t="s">
        <v>227</v>
      </c>
      <c r="CC365" t="s">
        <v>1440</v>
      </c>
      <c r="CD365">
        <v>192500</v>
      </c>
      <c r="CE365">
        <v>30</v>
      </c>
      <c r="CF365" t="s">
        <v>635</v>
      </c>
      <c r="CG365">
        <v>2764436</v>
      </c>
      <c r="CH365">
        <v>0.04</v>
      </c>
      <c r="CI365">
        <v>110600</v>
      </c>
      <c r="CJ365">
        <v>2764436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 t="s">
        <v>88</v>
      </c>
      <c r="CT365" t="s">
        <v>1441</v>
      </c>
      <c r="CU365" t="s">
        <v>1442</v>
      </c>
    </row>
    <row r="366" spans="1:99">
      <c r="A366" t="s">
        <v>1431</v>
      </c>
      <c r="B366" t="s">
        <v>34</v>
      </c>
      <c r="C366" t="s">
        <v>2415</v>
      </c>
      <c r="D366" t="s">
        <v>2416</v>
      </c>
      <c r="E366" t="s">
        <v>2125</v>
      </c>
      <c r="F366" t="s">
        <v>2417</v>
      </c>
      <c r="G366" t="s">
        <v>1489</v>
      </c>
      <c r="H366" t="s">
        <v>1513</v>
      </c>
      <c r="I366" t="s">
        <v>240</v>
      </c>
      <c r="J366" t="s">
        <v>46</v>
      </c>
      <c r="K366" t="s">
        <v>29</v>
      </c>
      <c r="L366" t="s">
        <v>30</v>
      </c>
      <c r="M366">
        <v>171</v>
      </c>
      <c r="N366" t="s">
        <v>32</v>
      </c>
      <c r="O366" t="s">
        <v>32</v>
      </c>
      <c r="Q366" t="s">
        <v>32</v>
      </c>
      <c r="S366" t="s">
        <v>40</v>
      </c>
      <c r="T366">
        <v>46074</v>
      </c>
      <c r="U366" t="s">
        <v>32</v>
      </c>
      <c r="V366" t="s">
        <v>32</v>
      </c>
      <c r="W366" t="s">
        <v>32</v>
      </c>
      <c r="X366" t="s">
        <v>32</v>
      </c>
      <c r="Y366" t="s">
        <v>32</v>
      </c>
      <c r="AA366" t="s">
        <v>88</v>
      </c>
      <c r="AB366" t="s">
        <v>32</v>
      </c>
      <c r="AE366" t="s">
        <v>32</v>
      </c>
      <c r="AH366" t="s">
        <v>32</v>
      </c>
      <c r="AK366" t="s">
        <v>32</v>
      </c>
      <c r="AN366" t="s">
        <v>32</v>
      </c>
      <c r="AO366" t="s">
        <v>32</v>
      </c>
      <c r="AR366">
        <v>0</v>
      </c>
      <c r="AU366" t="s">
        <v>32</v>
      </c>
      <c r="AV366">
        <v>2665550</v>
      </c>
      <c r="AW366" t="s">
        <v>32</v>
      </c>
      <c r="AX366" t="s">
        <v>32</v>
      </c>
      <c r="AY366" t="s">
        <v>317</v>
      </c>
      <c r="AZ366">
        <v>21</v>
      </c>
      <c r="BA366">
        <v>3338580</v>
      </c>
      <c r="BB366">
        <v>0.16</v>
      </c>
      <c r="BC366">
        <v>534200</v>
      </c>
      <c r="BD366" t="s">
        <v>142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534200</v>
      </c>
      <c r="BK366" t="s">
        <v>25</v>
      </c>
      <c r="BL366" t="s">
        <v>1010</v>
      </c>
      <c r="BM366">
        <v>21</v>
      </c>
      <c r="BN366">
        <v>3338580</v>
      </c>
      <c r="BO366">
        <v>0.04</v>
      </c>
      <c r="BP366">
        <v>133600</v>
      </c>
      <c r="BQ366">
        <v>0</v>
      </c>
      <c r="BR366" t="s">
        <v>1438</v>
      </c>
      <c r="BS366">
        <v>0</v>
      </c>
      <c r="BT366" t="s">
        <v>1438</v>
      </c>
      <c r="BU366">
        <v>0</v>
      </c>
      <c r="BV366" t="s">
        <v>25</v>
      </c>
      <c r="BW366" t="s">
        <v>189</v>
      </c>
      <c r="BX366">
        <v>21</v>
      </c>
      <c r="BY366">
        <v>3338580</v>
      </c>
      <c r="BZ366">
        <v>6.9599999999999995E-2</v>
      </c>
      <c r="CA366" t="s">
        <v>1439</v>
      </c>
      <c r="CB366" t="s">
        <v>227</v>
      </c>
      <c r="CC366" t="s">
        <v>1440</v>
      </c>
      <c r="CD366">
        <v>232400</v>
      </c>
      <c r="CE366">
        <v>21</v>
      </c>
      <c r="CF366" t="s">
        <v>635</v>
      </c>
      <c r="CG366">
        <v>3978792</v>
      </c>
      <c r="CH366">
        <v>0.04</v>
      </c>
      <c r="CI366">
        <v>159200</v>
      </c>
      <c r="CJ366">
        <v>3978792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 t="s">
        <v>88</v>
      </c>
      <c r="CT366" t="s">
        <v>1441</v>
      </c>
      <c r="CU366" t="s">
        <v>1442</v>
      </c>
    </row>
    <row r="367" spans="1:99">
      <c r="A367" t="s">
        <v>1431</v>
      </c>
      <c r="B367" t="s">
        <v>34</v>
      </c>
      <c r="C367" t="s">
        <v>2418</v>
      </c>
      <c r="D367" t="s">
        <v>2419</v>
      </c>
      <c r="E367" t="s">
        <v>2125</v>
      </c>
      <c r="F367" t="s">
        <v>2420</v>
      </c>
      <c r="G367" t="s">
        <v>2421</v>
      </c>
      <c r="H367" t="s">
        <v>1558</v>
      </c>
      <c r="I367" t="s">
        <v>682</v>
      </c>
      <c r="J367" t="s">
        <v>484</v>
      </c>
      <c r="K367" t="s">
        <v>29</v>
      </c>
      <c r="L367" t="s">
        <v>30</v>
      </c>
      <c r="M367">
        <v>0</v>
      </c>
      <c r="N367" t="s">
        <v>32</v>
      </c>
      <c r="O367" t="s">
        <v>32</v>
      </c>
      <c r="Q367" t="s">
        <v>32</v>
      </c>
      <c r="S367" t="s">
        <v>32</v>
      </c>
      <c r="U367" t="s">
        <v>32</v>
      </c>
      <c r="V367" t="s">
        <v>32</v>
      </c>
      <c r="W367" t="s">
        <v>32</v>
      </c>
      <c r="X367" t="s">
        <v>32</v>
      </c>
      <c r="Y367" t="s">
        <v>32</v>
      </c>
      <c r="AA367" t="s">
        <v>32</v>
      </c>
      <c r="AB367" t="s">
        <v>32</v>
      </c>
      <c r="AE367" t="s">
        <v>32</v>
      </c>
      <c r="AH367" t="s">
        <v>32</v>
      </c>
      <c r="AK367" t="s">
        <v>128</v>
      </c>
      <c r="AL367">
        <v>46069</v>
      </c>
      <c r="AM367">
        <v>46075</v>
      </c>
      <c r="AN367" t="s">
        <v>32</v>
      </c>
      <c r="AO367" t="s">
        <v>32</v>
      </c>
      <c r="AR367">
        <v>0</v>
      </c>
      <c r="AU367" t="s">
        <v>32</v>
      </c>
      <c r="AV367">
        <v>6373428</v>
      </c>
      <c r="AW367" t="s">
        <v>32</v>
      </c>
      <c r="AX367" t="s">
        <v>32</v>
      </c>
      <c r="AY367" t="s">
        <v>317</v>
      </c>
      <c r="AZ367">
        <v>7</v>
      </c>
      <c r="BA367">
        <v>1487134</v>
      </c>
      <c r="BB367">
        <v>0.16</v>
      </c>
      <c r="BC367">
        <v>238000</v>
      </c>
      <c r="BD367" t="s">
        <v>142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238000</v>
      </c>
      <c r="BK367" t="s">
        <v>25</v>
      </c>
      <c r="BL367" t="s">
        <v>1010</v>
      </c>
      <c r="BM367">
        <v>7</v>
      </c>
      <c r="BN367">
        <v>1487134</v>
      </c>
      <c r="BO367">
        <v>0.04</v>
      </c>
      <c r="BP367">
        <v>59500</v>
      </c>
      <c r="BQ367">
        <v>0</v>
      </c>
      <c r="BR367" t="s">
        <v>1438</v>
      </c>
      <c r="BS367">
        <v>0</v>
      </c>
      <c r="BT367" t="s">
        <v>1438</v>
      </c>
      <c r="BU367">
        <v>0</v>
      </c>
      <c r="BV367" t="s">
        <v>25</v>
      </c>
      <c r="BW367" t="s">
        <v>189</v>
      </c>
      <c r="BX367">
        <v>7</v>
      </c>
      <c r="BY367">
        <v>1487134</v>
      </c>
      <c r="BZ367">
        <v>0</v>
      </c>
      <c r="CA367" t="s">
        <v>1439</v>
      </c>
      <c r="CB367" t="s">
        <v>312</v>
      </c>
      <c r="CC367" t="s">
        <v>1440</v>
      </c>
      <c r="CD367">
        <v>0</v>
      </c>
      <c r="CE367">
        <v>7</v>
      </c>
      <c r="CF367" t="s">
        <v>466</v>
      </c>
      <c r="CG367">
        <v>1487134</v>
      </c>
      <c r="CH367">
        <v>0.04</v>
      </c>
      <c r="CI367">
        <v>59500</v>
      </c>
      <c r="CJ367">
        <v>1487134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 t="s">
        <v>88</v>
      </c>
      <c r="CT367" t="s">
        <v>1441</v>
      </c>
      <c r="CU367" t="s">
        <v>1442</v>
      </c>
    </row>
    <row r="368" spans="1:99">
      <c r="A368" t="s">
        <v>1431</v>
      </c>
      <c r="B368" t="s">
        <v>34</v>
      </c>
      <c r="C368" t="s">
        <v>2418</v>
      </c>
      <c r="D368" t="s">
        <v>2419</v>
      </c>
      <c r="E368" t="s">
        <v>2125</v>
      </c>
      <c r="F368" t="s">
        <v>2420</v>
      </c>
      <c r="G368" t="s">
        <v>2421</v>
      </c>
      <c r="H368" t="s">
        <v>1558</v>
      </c>
      <c r="I368" t="s">
        <v>682</v>
      </c>
      <c r="J368" t="s">
        <v>484</v>
      </c>
      <c r="K368" t="s">
        <v>29</v>
      </c>
      <c r="L368" t="s">
        <v>30</v>
      </c>
      <c r="M368">
        <v>135</v>
      </c>
      <c r="N368" t="s">
        <v>32</v>
      </c>
      <c r="O368" t="s">
        <v>32</v>
      </c>
      <c r="Q368" t="s">
        <v>32</v>
      </c>
      <c r="S368" t="s">
        <v>32</v>
      </c>
      <c r="U368" t="s">
        <v>32</v>
      </c>
      <c r="V368" t="s">
        <v>32</v>
      </c>
      <c r="W368" t="s">
        <v>32</v>
      </c>
      <c r="X368" t="s">
        <v>32</v>
      </c>
      <c r="Y368" t="s">
        <v>32</v>
      </c>
      <c r="AA368" t="s">
        <v>32</v>
      </c>
      <c r="AB368" t="s">
        <v>32</v>
      </c>
      <c r="AE368" t="s">
        <v>32</v>
      </c>
      <c r="AH368" t="s">
        <v>32</v>
      </c>
      <c r="AK368" t="s">
        <v>32</v>
      </c>
      <c r="AN368" t="s">
        <v>32</v>
      </c>
      <c r="AO368" t="s">
        <v>32</v>
      </c>
      <c r="AR368">
        <v>0</v>
      </c>
      <c r="AU368" t="s">
        <v>32</v>
      </c>
      <c r="AV368">
        <v>6373428</v>
      </c>
      <c r="AW368" t="s">
        <v>32</v>
      </c>
      <c r="AX368" t="s">
        <v>32</v>
      </c>
      <c r="AY368" t="s">
        <v>317</v>
      </c>
      <c r="AZ368">
        <v>23</v>
      </c>
      <c r="BA368">
        <v>4886295</v>
      </c>
      <c r="BB368">
        <v>0.16</v>
      </c>
      <c r="BC368">
        <v>781900</v>
      </c>
      <c r="BD368" t="s">
        <v>142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781900</v>
      </c>
      <c r="BK368" t="s">
        <v>25</v>
      </c>
      <c r="BL368" t="s">
        <v>1010</v>
      </c>
      <c r="BM368">
        <v>23</v>
      </c>
      <c r="BN368">
        <v>4886295</v>
      </c>
      <c r="BO368">
        <v>0.04</v>
      </c>
      <c r="BP368">
        <v>195500</v>
      </c>
      <c r="BQ368">
        <v>0</v>
      </c>
      <c r="BR368" t="s">
        <v>1438</v>
      </c>
      <c r="BS368">
        <v>0</v>
      </c>
      <c r="BT368" t="s">
        <v>1438</v>
      </c>
      <c r="BU368">
        <v>0</v>
      </c>
      <c r="BV368" t="s">
        <v>25</v>
      </c>
      <c r="BW368" t="s">
        <v>189</v>
      </c>
      <c r="BX368">
        <v>23</v>
      </c>
      <c r="BY368">
        <v>4886295</v>
      </c>
      <c r="BZ368">
        <v>6.9599999999999995E-2</v>
      </c>
      <c r="CA368" t="s">
        <v>1439</v>
      </c>
      <c r="CB368" t="s">
        <v>312</v>
      </c>
      <c r="CC368" t="s">
        <v>1440</v>
      </c>
      <c r="CD368">
        <v>340100</v>
      </c>
      <c r="CE368">
        <v>23</v>
      </c>
      <c r="CF368" t="s">
        <v>466</v>
      </c>
      <c r="CG368">
        <v>4886295</v>
      </c>
      <c r="CH368">
        <v>0.04</v>
      </c>
      <c r="CI368">
        <v>195500</v>
      </c>
      <c r="CJ368">
        <v>4886295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 t="s">
        <v>88</v>
      </c>
      <c r="CT368" t="s">
        <v>1441</v>
      </c>
      <c r="CU368" t="s">
        <v>1442</v>
      </c>
    </row>
    <row r="369" spans="1:99">
      <c r="A369" t="s">
        <v>1431</v>
      </c>
      <c r="B369" t="s">
        <v>34</v>
      </c>
      <c r="C369" t="s">
        <v>2422</v>
      </c>
      <c r="D369" t="s">
        <v>2423</v>
      </c>
      <c r="E369" t="s">
        <v>2186</v>
      </c>
      <c r="F369" t="s">
        <v>2424</v>
      </c>
      <c r="G369" t="s">
        <v>1503</v>
      </c>
      <c r="H369" t="s">
        <v>2375</v>
      </c>
      <c r="I369" t="s">
        <v>682</v>
      </c>
      <c r="J369" t="s">
        <v>484</v>
      </c>
      <c r="K369" t="s">
        <v>29</v>
      </c>
      <c r="L369" t="s">
        <v>30</v>
      </c>
      <c r="M369">
        <v>0</v>
      </c>
      <c r="N369" t="s">
        <v>32</v>
      </c>
      <c r="O369" t="s">
        <v>32</v>
      </c>
      <c r="Q369" t="s">
        <v>32</v>
      </c>
      <c r="S369" t="s">
        <v>32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AA369" t="s">
        <v>32</v>
      </c>
      <c r="AB369" t="s">
        <v>32</v>
      </c>
      <c r="AE369" t="s">
        <v>32</v>
      </c>
      <c r="AH369" t="s">
        <v>32</v>
      </c>
      <c r="AK369" t="s">
        <v>128</v>
      </c>
      <c r="AL369">
        <v>46069</v>
      </c>
      <c r="AM369">
        <v>46073</v>
      </c>
      <c r="AN369" t="s">
        <v>32</v>
      </c>
      <c r="AO369" t="s">
        <v>32</v>
      </c>
      <c r="AR369">
        <v>0</v>
      </c>
      <c r="AU369" t="s">
        <v>32</v>
      </c>
      <c r="AV369">
        <v>2223339</v>
      </c>
      <c r="AW369" t="s">
        <v>32</v>
      </c>
      <c r="AX369" t="s">
        <v>32</v>
      </c>
      <c r="AY369" t="s">
        <v>185</v>
      </c>
      <c r="AZ369">
        <v>5</v>
      </c>
      <c r="BA369">
        <v>370557</v>
      </c>
      <c r="BB369">
        <v>0.16</v>
      </c>
      <c r="BC369">
        <v>59300</v>
      </c>
      <c r="BD369" t="s">
        <v>142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59300</v>
      </c>
      <c r="BK369" t="s">
        <v>25</v>
      </c>
      <c r="BL369" t="s">
        <v>885</v>
      </c>
      <c r="BM369">
        <v>5</v>
      </c>
      <c r="BN369">
        <v>370557</v>
      </c>
      <c r="BO369">
        <v>0.04</v>
      </c>
      <c r="BP369">
        <v>14900</v>
      </c>
      <c r="BQ369">
        <v>0</v>
      </c>
      <c r="BR369" t="s">
        <v>1438</v>
      </c>
      <c r="BS369">
        <v>0</v>
      </c>
      <c r="BT369" t="s">
        <v>1438</v>
      </c>
      <c r="BU369">
        <v>0</v>
      </c>
      <c r="BV369" t="s">
        <v>25</v>
      </c>
      <c r="BW369" t="s">
        <v>189</v>
      </c>
      <c r="BX369">
        <v>5</v>
      </c>
      <c r="BY369">
        <v>370557</v>
      </c>
      <c r="BZ369">
        <v>0</v>
      </c>
      <c r="CA369" t="s">
        <v>1439</v>
      </c>
      <c r="CB369" t="s">
        <v>312</v>
      </c>
      <c r="CC369" t="s">
        <v>1440</v>
      </c>
      <c r="CD369">
        <v>0</v>
      </c>
      <c r="CE369">
        <v>5</v>
      </c>
      <c r="CF369" t="s">
        <v>466</v>
      </c>
      <c r="CG369">
        <v>370557</v>
      </c>
      <c r="CH369">
        <v>0.04</v>
      </c>
      <c r="CI369">
        <v>14900</v>
      </c>
      <c r="CJ369">
        <v>370557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 t="s">
        <v>88</v>
      </c>
      <c r="CT369" t="s">
        <v>1441</v>
      </c>
      <c r="CU369" t="s">
        <v>1442</v>
      </c>
    </row>
    <row r="370" spans="1:99">
      <c r="A370" t="s">
        <v>1431</v>
      </c>
      <c r="B370" t="s">
        <v>34</v>
      </c>
      <c r="C370" t="s">
        <v>2422</v>
      </c>
      <c r="D370" t="s">
        <v>2423</v>
      </c>
      <c r="E370" t="s">
        <v>2186</v>
      </c>
      <c r="F370" t="s">
        <v>2424</v>
      </c>
      <c r="G370" t="s">
        <v>1503</v>
      </c>
      <c r="H370" t="s">
        <v>2375</v>
      </c>
      <c r="I370" t="s">
        <v>682</v>
      </c>
      <c r="J370" t="s">
        <v>484</v>
      </c>
      <c r="K370" t="s">
        <v>29</v>
      </c>
      <c r="L370" t="s">
        <v>30</v>
      </c>
      <c r="M370">
        <v>156</v>
      </c>
      <c r="N370" t="s">
        <v>32</v>
      </c>
      <c r="O370" t="s">
        <v>32</v>
      </c>
      <c r="Q370" t="s">
        <v>32</v>
      </c>
      <c r="S370" t="s">
        <v>32</v>
      </c>
      <c r="U370" t="s">
        <v>32</v>
      </c>
      <c r="V370" t="s">
        <v>32</v>
      </c>
      <c r="W370" t="s">
        <v>32</v>
      </c>
      <c r="X370" t="s">
        <v>32</v>
      </c>
      <c r="Y370" t="s">
        <v>32</v>
      </c>
      <c r="AA370" t="s">
        <v>88</v>
      </c>
      <c r="AB370" t="s">
        <v>32</v>
      </c>
      <c r="AE370" t="s">
        <v>32</v>
      </c>
      <c r="AH370" t="s">
        <v>32</v>
      </c>
      <c r="AK370" t="s">
        <v>32</v>
      </c>
      <c r="AN370" t="s">
        <v>32</v>
      </c>
      <c r="AO370" t="s">
        <v>32</v>
      </c>
      <c r="AR370">
        <v>0</v>
      </c>
      <c r="AU370" t="s">
        <v>32</v>
      </c>
      <c r="AV370">
        <v>2223339</v>
      </c>
      <c r="AW370" t="s">
        <v>32</v>
      </c>
      <c r="AX370" t="s">
        <v>32</v>
      </c>
      <c r="AY370" t="s">
        <v>185</v>
      </c>
      <c r="AZ370">
        <v>25</v>
      </c>
      <c r="BA370">
        <v>2258150</v>
      </c>
      <c r="BB370">
        <v>0.16</v>
      </c>
      <c r="BC370">
        <v>361400</v>
      </c>
      <c r="BD370" t="s">
        <v>142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361400</v>
      </c>
      <c r="BK370" t="s">
        <v>25</v>
      </c>
      <c r="BL370" t="s">
        <v>885</v>
      </c>
      <c r="BM370">
        <v>25</v>
      </c>
      <c r="BN370">
        <v>2258150</v>
      </c>
      <c r="BO370">
        <v>0.04</v>
      </c>
      <c r="BP370">
        <v>90400</v>
      </c>
      <c r="BQ370">
        <v>0</v>
      </c>
      <c r="BR370" t="s">
        <v>1438</v>
      </c>
      <c r="BS370">
        <v>0</v>
      </c>
      <c r="BT370" t="s">
        <v>1438</v>
      </c>
      <c r="BU370">
        <v>0</v>
      </c>
      <c r="BV370" t="s">
        <v>25</v>
      </c>
      <c r="BW370" t="s">
        <v>189</v>
      </c>
      <c r="BX370">
        <v>25</v>
      </c>
      <c r="BY370">
        <v>2258150</v>
      </c>
      <c r="BZ370">
        <v>6.9599999999999995E-2</v>
      </c>
      <c r="CA370" t="s">
        <v>1439</v>
      </c>
      <c r="CB370" t="s">
        <v>312</v>
      </c>
      <c r="CC370" t="s">
        <v>1440</v>
      </c>
      <c r="CD370">
        <v>157200</v>
      </c>
      <c r="CE370">
        <v>25</v>
      </c>
      <c r="CF370" t="s">
        <v>466</v>
      </c>
      <c r="CG370">
        <v>2207001</v>
      </c>
      <c r="CH370">
        <v>0.04</v>
      </c>
      <c r="CI370">
        <v>88300</v>
      </c>
      <c r="CJ370">
        <v>2207001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 t="s">
        <v>88</v>
      </c>
      <c r="CT370" t="s">
        <v>1441</v>
      </c>
      <c r="CU370" t="s">
        <v>1442</v>
      </c>
    </row>
    <row r="371" spans="1:99">
      <c r="A371" t="s">
        <v>1431</v>
      </c>
      <c r="B371" t="s">
        <v>34</v>
      </c>
      <c r="C371" t="s">
        <v>2425</v>
      </c>
      <c r="D371" t="s">
        <v>2426</v>
      </c>
      <c r="E371" t="s">
        <v>2427</v>
      </c>
      <c r="F371" t="s">
        <v>1634</v>
      </c>
      <c r="G371" t="s">
        <v>2428</v>
      </c>
      <c r="H371" t="s">
        <v>1558</v>
      </c>
      <c r="I371" t="s">
        <v>682</v>
      </c>
      <c r="J371" t="s">
        <v>484</v>
      </c>
      <c r="K371" t="s">
        <v>29</v>
      </c>
      <c r="L371" t="s">
        <v>82</v>
      </c>
      <c r="M371">
        <v>171</v>
      </c>
      <c r="N371" t="s">
        <v>32</v>
      </c>
      <c r="O371" t="s">
        <v>32</v>
      </c>
      <c r="Q371" t="s">
        <v>32</v>
      </c>
      <c r="S371" t="s">
        <v>40</v>
      </c>
      <c r="T371">
        <v>46079</v>
      </c>
      <c r="U371" t="s">
        <v>32</v>
      </c>
      <c r="V371" t="s">
        <v>32</v>
      </c>
      <c r="W371" t="s">
        <v>88</v>
      </c>
      <c r="X371" t="s">
        <v>32</v>
      </c>
      <c r="Y371" t="s">
        <v>32</v>
      </c>
      <c r="AA371" t="s">
        <v>32</v>
      </c>
      <c r="AB371" t="s">
        <v>32</v>
      </c>
      <c r="AE371" t="s">
        <v>32</v>
      </c>
      <c r="AH371" t="s">
        <v>32</v>
      </c>
      <c r="AK371" t="s">
        <v>32</v>
      </c>
      <c r="AN371" t="s">
        <v>32</v>
      </c>
      <c r="AO371" t="s">
        <v>32</v>
      </c>
      <c r="AR371">
        <v>0</v>
      </c>
      <c r="AU371" t="s">
        <v>32</v>
      </c>
      <c r="AV371">
        <v>5842037</v>
      </c>
      <c r="AW371" t="s">
        <v>32</v>
      </c>
      <c r="AX371" t="s">
        <v>32</v>
      </c>
      <c r="AZ371">
        <v>0</v>
      </c>
      <c r="BA371">
        <v>0</v>
      </c>
      <c r="BB371">
        <v>0</v>
      </c>
      <c r="BC371">
        <v>0</v>
      </c>
      <c r="BD371" t="s">
        <v>142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 t="s">
        <v>25</v>
      </c>
      <c r="BL371" t="s">
        <v>1010</v>
      </c>
      <c r="BM371">
        <v>26</v>
      </c>
      <c r="BN371">
        <v>5223985</v>
      </c>
      <c r="BO371">
        <v>0.04</v>
      </c>
      <c r="BP371">
        <v>209000</v>
      </c>
      <c r="BQ371">
        <v>0</v>
      </c>
      <c r="BR371" t="s">
        <v>1438</v>
      </c>
      <c r="BS371">
        <v>0</v>
      </c>
      <c r="BT371" t="s">
        <v>1438</v>
      </c>
      <c r="BU371">
        <v>0</v>
      </c>
      <c r="BV371" t="s">
        <v>25</v>
      </c>
      <c r="BW371" t="s">
        <v>189</v>
      </c>
      <c r="BX371">
        <v>26</v>
      </c>
      <c r="BY371">
        <v>5223985</v>
      </c>
      <c r="BZ371">
        <v>6.9599999999999995E-2</v>
      </c>
      <c r="CA371" t="s">
        <v>1439</v>
      </c>
      <c r="CB371" t="s">
        <v>312</v>
      </c>
      <c r="CC371" t="s">
        <v>1440</v>
      </c>
      <c r="CD371">
        <v>363600</v>
      </c>
      <c r="CE371">
        <v>26</v>
      </c>
      <c r="CF371" t="s">
        <v>466</v>
      </c>
      <c r="CG371">
        <v>5310412</v>
      </c>
      <c r="CH371">
        <v>0.04</v>
      </c>
      <c r="CI371">
        <v>212500</v>
      </c>
      <c r="CJ371">
        <v>5310412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 t="s">
        <v>88</v>
      </c>
      <c r="CT371" t="s">
        <v>1441</v>
      </c>
      <c r="CU371" t="s">
        <v>1442</v>
      </c>
    </row>
    <row r="372" spans="1:99">
      <c r="A372" t="s">
        <v>1431</v>
      </c>
      <c r="B372" t="s">
        <v>34</v>
      </c>
      <c r="C372" t="s">
        <v>2429</v>
      </c>
      <c r="D372" t="s">
        <v>2430</v>
      </c>
      <c r="E372" t="s">
        <v>2142</v>
      </c>
      <c r="F372" t="s">
        <v>1558</v>
      </c>
      <c r="G372" t="s">
        <v>1498</v>
      </c>
      <c r="H372" t="s">
        <v>1558</v>
      </c>
      <c r="I372" t="s">
        <v>682</v>
      </c>
      <c r="J372" t="s">
        <v>484</v>
      </c>
      <c r="K372" t="s">
        <v>29</v>
      </c>
      <c r="L372" t="s">
        <v>82</v>
      </c>
      <c r="M372">
        <v>0</v>
      </c>
      <c r="N372" t="s">
        <v>32</v>
      </c>
      <c r="O372" t="s">
        <v>32</v>
      </c>
      <c r="Q372" t="s">
        <v>32</v>
      </c>
      <c r="S372" t="s">
        <v>32</v>
      </c>
      <c r="U372" t="s">
        <v>32</v>
      </c>
      <c r="V372" t="s">
        <v>32</v>
      </c>
      <c r="W372" t="s">
        <v>32</v>
      </c>
      <c r="X372" t="s">
        <v>32</v>
      </c>
      <c r="Y372" t="s">
        <v>32</v>
      </c>
      <c r="AA372" t="s">
        <v>32</v>
      </c>
      <c r="AB372" t="s">
        <v>32</v>
      </c>
      <c r="AE372" t="s">
        <v>32</v>
      </c>
      <c r="AH372" t="s">
        <v>32</v>
      </c>
      <c r="AK372" t="s">
        <v>128</v>
      </c>
      <c r="AL372">
        <v>46076</v>
      </c>
      <c r="AM372">
        <v>46080</v>
      </c>
      <c r="AN372" t="s">
        <v>32</v>
      </c>
      <c r="AO372" t="s">
        <v>32</v>
      </c>
      <c r="AR372">
        <v>0</v>
      </c>
      <c r="AU372" t="s">
        <v>32</v>
      </c>
      <c r="AV372">
        <v>2970185</v>
      </c>
      <c r="AW372" t="s">
        <v>32</v>
      </c>
      <c r="AX372" t="s">
        <v>32</v>
      </c>
      <c r="AZ372">
        <v>0</v>
      </c>
      <c r="BA372">
        <v>0</v>
      </c>
      <c r="BB372">
        <v>0</v>
      </c>
      <c r="BC372">
        <v>0</v>
      </c>
      <c r="BD372" t="s">
        <v>142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 t="s">
        <v>25</v>
      </c>
      <c r="BL372" t="s">
        <v>1010</v>
      </c>
      <c r="BM372">
        <v>5</v>
      </c>
      <c r="BN372">
        <v>495031</v>
      </c>
      <c r="BO372">
        <v>0.04</v>
      </c>
      <c r="BP372">
        <v>19900</v>
      </c>
      <c r="BQ372">
        <v>0</v>
      </c>
      <c r="BR372" t="s">
        <v>1438</v>
      </c>
      <c r="BS372">
        <v>0</v>
      </c>
      <c r="BT372" t="s">
        <v>1438</v>
      </c>
      <c r="BU372">
        <v>0</v>
      </c>
      <c r="BV372" t="s">
        <v>25</v>
      </c>
      <c r="BW372" t="s">
        <v>189</v>
      </c>
      <c r="BX372">
        <v>5</v>
      </c>
      <c r="BY372">
        <v>495031</v>
      </c>
      <c r="BZ372">
        <v>0</v>
      </c>
      <c r="CA372" t="s">
        <v>1439</v>
      </c>
      <c r="CB372" t="s">
        <v>312</v>
      </c>
      <c r="CC372" t="s">
        <v>1440</v>
      </c>
      <c r="CD372">
        <v>0</v>
      </c>
      <c r="CE372">
        <v>5</v>
      </c>
      <c r="CF372" t="s">
        <v>466</v>
      </c>
      <c r="CG372">
        <v>495031</v>
      </c>
      <c r="CH372">
        <v>0.04</v>
      </c>
      <c r="CI372">
        <v>19900</v>
      </c>
      <c r="CJ372">
        <v>495031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 t="s">
        <v>88</v>
      </c>
      <c r="CT372" t="s">
        <v>1441</v>
      </c>
      <c r="CU372" t="s">
        <v>1442</v>
      </c>
    </row>
    <row r="373" spans="1:99">
      <c r="A373" t="s">
        <v>1431</v>
      </c>
      <c r="B373" t="s">
        <v>34</v>
      </c>
      <c r="C373" t="s">
        <v>2429</v>
      </c>
      <c r="D373" t="s">
        <v>2430</v>
      </c>
      <c r="E373" t="s">
        <v>2142</v>
      </c>
      <c r="F373" t="s">
        <v>1558</v>
      </c>
      <c r="G373" t="s">
        <v>1498</v>
      </c>
      <c r="H373" t="s">
        <v>1558</v>
      </c>
      <c r="I373" t="s">
        <v>682</v>
      </c>
      <c r="J373" t="s">
        <v>484</v>
      </c>
      <c r="K373" t="s">
        <v>29</v>
      </c>
      <c r="L373" t="s">
        <v>82</v>
      </c>
      <c r="M373">
        <v>158</v>
      </c>
      <c r="N373" t="s">
        <v>32</v>
      </c>
      <c r="O373" t="s">
        <v>32</v>
      </c>
      <c r="Q373" t="s">
        <v>32</v>
      </c>
      <c r="S373" t="s">
        <v>40</v>
      </c>
      <c r="T373">
        <v>46081</v>
      </c>
      <c r="U373" t="s">
        <v>32</v>
      </c>
      <c r="V373" t="s">
        <v>32</v>
      </c>
      <c r="W373" t="s">
        <v>32</v>
      </c>
      <c r="X373" t="s">
        <v>32</v>
      </c>
      <c r="Y373" t="s">
        <v>32</v>
      </c>
      <c r="AA373" t="s">
        <v>88</v>
      </c>
      <c r="AB373" t="s">
        <v>32</v>
      </c>
      <c r="AE373" t="s">
        <v>32</v>
      </c>
      <c r="AH373" t="s">
        <v>32</v>
      </c>
      <c r="AK373" t="s">
        <v>32</v>
      </c>
      <c r="AN373" t="s">
        <v>32</v>
      </c>
      <c r="AO373" t="s">
        <v>32</v>
      </c>
      <c r="AR373">
        <v>0</v>
      </c>
      <c r="AU373" t="s">
        <v>32</v>
      </c>
      <c r="AV373">
        <v>2970185</v>
      </c>
      <c r="AW373" t="s">
        <v>32</v>
      </c>
      <c r="AX373" t="s">
        <v>32</v>
      </c>
      <c r="AZ373">
        <v>0</v>
      </c>
      <c r="BA373">
        <v>0</v>
      </c>
      <c r="BB373">
        <v>0</v>
      </c>
      <c r="BC373">
        <v>0</v>
      </c>
      <c r="BD373" t="s">
        <v>142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 t="s">
        <v>25</v>
      </c>
      <c r="BL373" t="s">
        <v>1010</v>
      </c>
      <c r="BM373">
        <v>25</v>
      </c>
      <c r="BN373">
        <v>3829605</v>
      </c>
      <c r="BO373">
        <v>0.04</v>
      </c>
      <c r="BP373">
        <v>153200</v>
      </c>
      <c r="BQ373">
        <v>0</v>
      </c>
      <c r="BR373" t="s">
        <v>1438</v>
      </c>
      <c r="BS373">
        <v>0</v>
      </c>
      <c r="BT373" t="s">
        <v>1438</v>
      </c>
      <c r="BU373">
        <v>0</v>
      </c>
      <c r="BV373" t="s">
        <v>25</v>
      </c>
      <c r="BW373" t="s">
        <v>189</v>
      </c>
      <c r="BX373">
        <v>25</v>
      </c>
      <c r="BY373">
        <v>3829605</v>
      </c>
      <c r="BZ373">
        <v>6.9599999999999995E-2</v>
      </c>
      <c r="CA373" t="s">
        <v>1439</v>
      </c>
      <c r="CB373" t="s">
        <v>312</v>
      </c>
      <c r="CC373" t="s">
        <v>1440</v>
      </c>
      <c r="CD373">
        <v>266600</v>
      </c>
      <c r="CE373">
        <v>25</v>
      </c>
      <c r="CF373" t="s">
        <v>466</v>
      </c>
      <c r="CG373">
        <v>4680734</v>
      </c>
      <c r="CH373">
        <v>0.04</v>
      </c>
      <c r="CI373">
        <v>187300</v>
      </c>
      <c r="CJ373">
        <v>4680734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 t="s">
        <v>88</v>
      </c>
      <c r="CT373" t="s">
        <v>1441</v>
      </c>
      <c r="CU373" t="s">
        <v>1442</v>
      </c>
    </row>
    <row r="374" spans="1:99">
      <c r="A374" t="s">
        <v>1431</v>
      </c>
      <c r="B374" t="s">
        <v>34</v>
      </c>
      <c r="C374" t="s">
        <v>2431</v>
      </c>
      <c r="D374" t="s">
        <v>2432</v>
      </c>
      <c r="E374" t="s">
        <v>2433</v>
      </c>
      <c r="F374" t="s">
        <v>1512</v>
      </c>
      <c r="G374" t="s">
        <v>1436</v>
      </c>
      <c r="H374" t="s">
        <v>1437</v>
      </c>
      <c r="I374" t="s">
        <v>240</v>
      </c>
      <c r="J374" t="s">
        <v>46</v>
      </c>
      <c r="K374" t="s">
        <v>29</v>
      </c>
      <c r="L374" t="s">
        <v>30</v>
      </c>
      <c r="M374">
        <v>201</v>
      </c>
      <c r="N374" t="s">
        <v>32</v>
      </c>
      <c r="O374" t="s">
        <v>32</v>
      </c>
      <c r="Q374" t="s">
        <v>32</v>
      </c>
      <c r="S374" t="s">
        <v>32</v>
      </c>
      <c r="U374" t="s">
        <v>32</v>
      </c>
      <c r="V374" t="s">
        <v>32</v>
      </c>
      <c r="W374" t="s">
        <v>32</v>
      </c>
      <c r="X374" t="s">
        <v>32</v>
      </c>
      <c r="Y374" t="s">
        <v>32</v>
      </c>
      <c r="AA374" t="s">
        <v>88</v>
      </c>
      <c r="AB374" t="s">
        <v>32</v>
      </c>
      <c r="AE374" t="s">
        <v>32</v>
      </c>
      <c r="AH374" t="s">
        <v>32</v>
      </c>
      <c r="AK374" t="s">
        <v>32</v>
      </c>
      <c r="AN374" t="s">
        <v>32</v>
      </c>
      <c r="AO374" t="s">
        <v>32</v>
      </c>
      <c r="AR374">
        <v>0</v>
      </c>
      <c r="AU374" t="s">
        <v>32</v>
      </c>
      <c r="AV374">
        <v>1785595</v>
      </c>
      <c r="AW374" t="s">
        <v>32</v>
      </c>
      <c r="AX374" t="s">
        <v>32</v>
      </c>
      <c r="AY374" t="s">
        <v>317</v>
      </c>
      <c r="AZ374">
        <v>30</v>
      </c>
      <c r="BA374">
        <v>2204670</v>
      </c>
      <c r="BB374">
        <v>0.16</v>
      </c>
      <c r="BC374">
        <v>352800</v>
      </c>
      <c r="BD374" t="s">
        <v>142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352800</v>
      </c>
      <c r="BK374" t="s">
        <v>25</v>
      </c>
      <c r="BL374" t="s">
        <v>635</v>
      </c>
      <c r="BM374">
        <v>30</v>
      </c>
      <c r="BN374">
        <v>2204670</v>
      </c>
      <c r="BO374">
        <v>0.04</v>
      </c>
      <c r="BP374">
        <v>88200</v>
      </c>
      <c r="BQ374">
        <v>0</v>
      </c>
      <c r="BR374" t="s">
        <v>1438</v>
      </c>
      <c r="BS374">
        <v>0</v>
      </c>
      <c r="BT374" t="s">
        <v>1438</v>
      </c>
      <c r="BU374">
        <v>0</v>
      </c>
      <c r="BV374" t="s">
        <v>25</v>
      </c>
      <c r="BW374" t="s">
        <v>189</v>
      </c>
      <c r="BX374">
        <v>30</v>
      </c>
      <c r="BY374">
        <v>2204670</v>
      </c>
      <c r="BZ374">
        <v>6.9599999999999995E-2</v>
      </c>
      <c r="CA374" t="s">
        <v>1439</v>
      </c>
      <c r="CB374" t="s">
        <v>227</v>
      </c>
      <c r="CC374" t="s">
        <v>1440</v>
      </c>
      <c r="CD374">
        <v>153500</v>
      </c>
      <c r="CE374">
        <v>30</v>
      </c>
      <c r="CF374" t="s">
        <v>635</v>
      </c>
      <c r="CG374">
        <v>2204670</v>
      </c>
      <c r="CH374">
        <v>0.04</v>
      </c>
      <c r="CI374">
        <v>88200</v>
      </c>
      <c r="CJ374">
        <v>2204670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 t="s">
        <v>88</v>
      </c>
      <c r="CT374" t="s">
        <v>1441</v>
      </c>
      <c r="CU374" t="s">
        <v>1442</v>
      </c>
    </row>
    <row r="375" spans="1:99">
      <c r="A375" t="s">
        <v>1431</v>
      </c>
      <c r="B375" t="s">
        <v>34</v>
      </c>
      <c r="C375" t="s">
        <v>2434</v>
      </c>
      <c r="D375" t="s">
        <v>2435</v>
      </c>
      <c r="E375" t="s">
        <v>1634</v>
      </c>
      <c r="F375" t="s">
        <v>1558</v>
      </c>
      <c r="G375" t="s">
        <v>2436</v>
      </c>
      <c r="H375" t="s">
        <v>2437</v>
      </c>
      <c r="I375" t="s">
        <v>240</v>
      </c>
      <c r="J375" t="s">
        <v>46</v>
      </c>
      <c r="K375" t="s">
        <v>29</v>
      </c>
      <c r="L375" t="s">
        <v>30</v>
      </c>
      <c r="M375">
        <v>217</v>
      </c>
      <c r="N375" t="s">
        <v>32</v>
      </c>
      <c r="O375" t="s">
        <v>32</v>
      </c>
      <c r="Q375" t="s">
        <v>32</v>
      </c>
      <c r="S375" t="s">
        <v>32</v>
      </c>
      <c r="U375" t="s">
        <v>32</v>
      </c>
      <c r="V375" t="s">
        <v>32</v>
      </c>
      <c r="W375" t="s">
        <v>32</v>
      </c>
      <c r="X375" t="s">
        <v>32</v>
      </c>
      <c r="Y375" t="s">
        <v>32</v>
      </c>
      <c r="AA375" t="s">
        <v>88</v>
      </c>
      <c r="AB375" t="s">
        <v>32</v>
      </c>
      <c r="AE375" t="s">
        <v>32</v>
      </c>
      <c r="AH375" t="s">
        <v>32</v>
      </c>
      <c r="AK375" t="s">
        <v>32</v>
      </c>
      <c r="AN375" t="s">
        <v>32</v>
      </c>
      <c r="AO375" t="s">
        <v>32</v>
      </c>
      <c r="AR375">
        <v>0</v>
      </c>
      <c r="AU375" t="s">
        <v>32</v>
      </c>
      <c r="AV375">
        <v>2223339</v>
      </c>
      <c r="AW375" t="s">
        <v>32</v>
      </c>
      <c r="AX375" t="s">
        <v>32</v>
      </c>
      <c r="AY375" t="s">
        <v>317</v>
      </c>
      <c r="AZ375">
        <v>30</v>
      </c>
      <c r="BA375">
        <v>2996236</v>
      </c>
      <c r="BB375">
        <v>0.16</v>
      </c>
      <c r="BC375">
        <v>479400</v>
      </c>
      <c r="BD375" t="s">
        <v>142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479400</v>
      </c>
      <c r="BK375" t="s">
        <v>25</v>
      </c>
      <c r="BL375" t="s">
        <v>1064</v>
      </c>
      <c r="BM375">
        <v>30</v>
      </c>
      <c r="BN375">
        <v>2996236</v>
      </c>
      <c r="BO375">
        <v>0.04</v>
      </c>
      <c r="BP375">
        <v>119900</v>
      </c>
      <c r="BQ375">
        <v>0</v>
      </c>
      <c r="BR375" t="s">
        <v>1438</v>
      </c>
      <c r="BS375">
        <v>0</v>
      </c>
      <c r="BT375" t="s">
        <v>1438</v>
      </c>
      <c r="BU375">
        <v>0</v>
      </c>
      <c r="BV375" t="s">
        <v>25</v>
      </c>
      <c r="BW375" t="s">
        <v>189</v>
      </c>
      <c r="BX375">
        <v>30</v>
      </c>
      <c r="BY375">
        <v>2996236</v>
      </c>
      <c r="BZ375">
        <v>6.9599999999999995E-2</v>
      </c>
      <c r="CA375" t="s">
        <v>1439</v>
      </c>
      <c r="CB375" t="s">
        <v>227</v>
      </c>
      <c r="CC375" t="s">
        <v>1440</v>
      </c>
      <c r="CD375">
        <v>208600</v>
      </c>
      <c r="CE375">
        <v>30</v>
      </c>
      <c r="CF375" t="s">
        <v>635</v>
      </c>
      <c r="CG375">
        <v>2996236</v>
      </c>
      <c r="CH375">
        <v>0.04</v>
      </c>
      <c r="CI375">
        <v>119900</v>
      </c>
      <c r="CJ375">
        <v>2996236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 t="s">
        <v>88</v>
      </c>
      <c r="CT375" t="s">
        <v>1441</v>
      </c>
      <c r="CU375" t="s">
        <v>1442</v>
      </c>
    </row>
    <row r="376" spans="1:99">
      <c r="A376" t="s">
        <v>1431</v>
      </c>
      <c r="B376" t="s">
        <v>34</v>
      </c>
      <c r="C376" t="s">
        <v>2438</v>
      </c>
      <c r="D376" t="s">
        <v>2439</v>
      </c>
      <c r="E376" t="s">
        <v>510</v>
      </c>
      <c r="F376" t="s">
        <v>882</v>
      </c>
      <c r="G376" t="s">
        <v>2440</v>
      </c>
      <c r="H376" t="s">
        <v>1631</v>
      </c>
      <c r="I376" t="s">
        <v>921</v>
      </c>
      <c r="J376" t="s">
        <v>425</v>
      </c>
      <c r="K376" t="s">
        <v>29</v>
      </c>
      <c r="L376" t="s">
        <v>30</v>
      </c>
      <c r="M376">
        <v>0</v>
      </c>
      <c r="N376" t="s">
        <v>32</v>
      </c>
      <c r="O376" t="s">
        <v>32</v>
      </c>
      <c r="Q376" t="s">
        <v>32</v>
      </c>
      <c r="S376" t="s">
        <v>32</v>
      </c>
      <c r="U376" t="s">
        <v>32</v>
      </c>
      <c r="V376" t="s">
        <v>32</v>
      </c>
      <c r="W376" t="s">
        <v>32</v>
      </c>
      <c r="X376" t="s">
        <v>32</v>
      </c>
      <c r="Y376" t="s">
        <v>32</v>
      </c>
      <c r="AA376" t="s">
        <v>32</v>
      </c>
      <c r="AB376" t="s">
        <v>32</v>
      </c>
      <c r="AE376" t="s">
        <v>32</v>
      </c>
      <c r="AH376" t="s">
        <v>32</v>
      </c>
      <c r="AK376" t="s">
        <v>128</v>
      </c>
      <c r="AL376">
        <v>46069</v>
      </c>
      <c r="AM376">
        <v>46075</v>
      </c>
      <c r="AN376" t="s">
        <v>32</v>
      </c>
      <c r="AO376" t="s">
        <v>32</v>
      </c>
      <c r="AR376">
        <v>0</v>
      </c>
      <c r="AU376" t="s">
        <v>32</v>
      </c>
      <c r="AV376">
        <v>1889179</v>
      </c>
      <c r="AW376" t="s">
        <v>32</v>
      </c>
      <c r="AX376" t="s">
        <v>32</v>
      </c>
      <c r="AY376" t="s">
        <v>185</v>
      </c>
      <c r="AZ376">
        <v>7</v>
      </c>
      <c r="BA376">
        <v>440809</v>
      </c>
      <c r="BB376">
        <v>0.16</v>
      </c>
      <c r="BC376">
        <v>70600</v>
      </c>
      <c r="BD376" t="s">
        <v>142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70600</v>
      </c>
      <c r="BK376" t="s">
        <v>25</v>
      </c>
      <c r="BL376" t="s">
        <v>1043</v>
      </c>
      <c r="BM376">
        <v>7</v>
      </c>
      <c r="BN376">
        <v>440809</v>
      </c>
      <c r="BO376">
        <v>0.04</v>
      </c>
      <c r="BP376">
        <v>17700</v>
      </c>
      <c r="BQ376">
        <v>0</v>
      </c>
      <c r="BR376" t="s">
        <v>1438</v>
      </c>
      <c r="BS376">
        <v>0</v>
      </c>
      <c r="BT376" t="s">
        <v>1438</v>
      </c>
      <c r="BU376">
        <v>0</v>
      </c>
      <c r="BV376" t="s">
        <v>25</v>
      </c>
      <c r="BW376" t="s">
        <v>189</v>
      </c>
      <c r="BX376">
        <v>7</v>
      </c>
      <c r="BY376">
        <v>440809</v>
      </c>
      <c r="BZ376">
        <v>0</v>
      </c>
      <c r="CA376" t="s">
        <v>1439</v>
      </c>
      <c r="CB376" t="s">
        <v>1572</v>
      </c>
      <c r="CC376" t="s">
        <v>1440</v>
      </c>
      <c r="CD376">
        <v>0</v>
      </c>
      <c r="CE376">
        <v>7</v>
      </c>
      <c r="CF376" t="s">
        <v>585</v>
      </c>
      <c r="CG376">
        <v>440809</v>
      </c>
      <c r="CH376">
        <v>0.04</v>
      </c>
      <c r="CI376">
        <v>17700</v>
      </c>
      <c r="CJ376">
        <v>440809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 t="s">
        <v>88</v>
      </c>
      <c r="CT376" t="s">
        <v>1441</v>
      </c>
      <c r="CU376" t="s">
        <v>1442</v>
      </c>
    </row>
    <row r="377" spans="1:99">
      <c r="A377" t="s">
        <v>1431</v>
      </c>
      <c r="B377" t="s">
        <v>34</v>
      </c>
      <c r="C377" t="s">
        <v>2438</v>
      </c>
      <c r="D377" t="s">
        <v>2439</v>
      </c>
      <c r="E377" t="s">
        <v>510</v>
      </c>
      <c r="F377" t="s">
        <v>882</v>
      </c>
      <c r="G377" t="s">
        <v>2440</v>
      </c>
      <c r="H377" t="s">
        <v>1631</v>
      </c>
      <c r="I377" t="s">
        <v>921</v>
      </c>
      <c r="J377" t="s">
        <v>425</v>
      </c>
      <c r="K377" t="s">
        <v>29</v>
      </c>
      <c r="L377" t="s">
        <v>30</v>
      </c>
      <c r="M377">
        <v>156</v>
      </c>
      <c r="N377" t="s">
        <v>32</v>
      </c>
      <c r="O377" t="s">
        <v>32</v>
      </c>
      <c r="Q377" t="s">
        <v>32</v>
      </c>
      <c r="S377" t="s">
        <v>32</v>
      </c>
      <c r="U377" t="s">
        <v>32</v>
      </c>
      <c r="V377" t="s">
        <v>32</v>
      </c>
      <c r="W377" t="s">
        <v>32</v>
      </c>
      <c r="X377" t="s">
        <v>32</v>
      </c>
      <c r="Y377" t="s">
        <v>32</v>
      </c>
      <c r="AA377" t="s">
        <v>88</v>
      </c>
      <c r="AB377" t="s">
        <v>32</v>
      </c>
      <c r="AE377" t="s">
        <v>32</v>
      </c>
      <c r="AH377" t="s">
        <v>32</v>
      </c>
      <c r="AK377" t="s">
        <v>32</v>
      </c>
      <c r="AN377" t="s">
        <v>32</v>
      </c>
      <c r="AO377" t="s">
        <v>32</v>
      </c>
      <c r="AR377">
        <v>0</v>
      </c>
      <c r="AU377" t="s">
        <v>32</v>
      </c>
      <c r="AV377">
        <v>1889179</v>
      </c>
      <c r="AW377" t="s">
        <v>32</v>
      </c>
      <c r="AX377" t="s">
        <v>32</v>
      </c>
      <c r="AY377" t="s">
        <v>185</v>
      </c>
      <c r="AZ377">
        <v>23</v>
      </c>
      <c r="BA377">
        <v>1736234</v>
      </c>
      <c r="BB377">
        <v>0.16</v>
      </c>
      <c r="BC377">
        <v>277800</v>
      </c>
      <c r="BD377" t="s">
        <v>142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277800</v>
      </c>
      <c r="BK377" t="s">
        <v>25</v>
      </c>
      <c r="BL377" t="s">
        <v>1043</v>
      </c>
      <c r="BM377">
        <v>23</v>
      </c>
      <c r="BN377">
        <v>1736234</v>
      </c>
      <c r="BO377">
        <v>0.04</v>
      </c>
      <c r="BP377">
        <v>69500</v>
      </c>
      <c r="BQ377">
        <v>0</v>
      </c>
      <c r="BR377" t="s">
        <v>1438</v>
      </c>
      <c r="BS377">
        <v>0</v>
      </c>
      <c r="BT377" t="s">
        <v>1438</v>
      </c>
      <c r="BU377">
        <v>0</v>
      </c>
      <c r="BV377" t="s">
        <v>25</v>
      </c>
      <c r="BW377" t="s">
        <v>189</v>
      </c>
      <c r="BX377">
        <v>23</v>
      </c>
      <c r="BY377">
        <v>1736234</v>
      </c>
      <c r="BZ377">
        <v>6.9599999999999995E-2</v>
      </c>
      <c r="CA377" t="s">
        <v>1439</v>
      </c>
      <c r="CB377" t="s">
        <v>1572</v>
      </c>
      <c r="CC377" t="s">
        <v>1440</v>
      </c>
      <c r="CD377">
        <v>120900</v>
      </c>
      <c r="CE377">
        <v>23</v>
      </c>
      <c r="CF377" t="s">
        <v>585</v>
      </c>
      <c r="CG377">
        <v>1711570</v>
      </c>
      <c r="CH377">
        <v>0.04</v>
      </c>
      <c r="CI377">
        <v>68500</v>
      </c>
      <c r="CJ377">
        <v>1711570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 t="s">
        <v>88</v>
      </c>
      <c r="CT377" t="s">
        <v>1441</v>
      </c>
      <c r="CU377" t="s">
        <v>1442</v>
      </c>
    </row>
    <row r="378" spans="1:99">
      <c r="A378" t="s">
        <v>1431</v>
      </c>
      <c r="B378" t="s">
        <v>34</v>
      </c>
      <c r="C378" t="s">
        <v>2441</v>
      </c>
      <c r="D378" t="s">
        <v>2442</v>
      </c>
      <c r="E378" t="s">
        <v>2189</v>
      </c>
      <c r="F378" t="s">
        <v>1530</v>
      </c>
      <c r="G378" t="s">
        <v>2443</v>
      </c>
      <c r="H378" t="s">
        <v>2194</v>
      </c>
      <c r="I378" t="s">
        <v>682</v>
      </c>
      <c r="J378" t="s">
        <v>484</v>
      </c>
      <c r="K378" t="s">
        <v>29</v>
      </c>
      <c r="L378" t="s">
        <v>30</v>
      </c>
      <c r="M378">
        <v>205</v>
      </c>
      <c r="N378" t="s">
        <v>32</v>
      </c>
      <c r="O378" t="s">
        <v>32</v>
      </c>
      <c r="Q378" t="s">
        <v>32</v>
      </c>
      <c r="S378" t="s">
        <v>32</v>
      </c>
      <c r="U378" t="s">
        <v>32</v>
      </c>
      <c r="V378" t="s">
        <v>32</v>
      </c>
      <c r="W378" t="s">
        <v>32</v>
      </c>
      <c r="X378" t="s">
        <v>32</v>
      </c>
      <c r="Y378" t="s">
        <v>32</v>
      </c>
      <c r="AA378" t="s">
        <v>88</v>
      </c>
      <c r="AB378" t="s">
        <v>32</v>
      </c>
      <c r="AE378" t="s">
        <v>32</v>
      </c>
      <c r="AH378" t="s">
        <v>32</v>
      </c>
      <c r="AK378" t="s">
        <v>32</v>
      </c>
      <c r="AN378" t="s">
        <v>32</v>
      </c>
      <c r="AO378" t="s">
        <v>32</v>
      </c>
      <c r="AR378">
        <v>0</v>
      </c>
      <c r="AU378" t="s">
        <v>32</v>
      </c>
      <c r="AV378">
        <v>1785595</v>
      </c>
      <c r="AW378" t="s">
        <v>32</v>
      </c>
      <c r="AX378" t="s">
        <v>32</v>
      </c>
      <c r="AY378" t="s">
        <v>137</v>
      </c>
      <c r="AZ378">
        <v>30</v>
      </c>
      <c r="BA378">
        <v>2110655</v>
      </c>
      <c r="BB378">
        <v>0.16</v>
      </c>
      <c r="BC378">
        <v>337800</v>
      </c>
      <c r="BD378" t="s">
        <v>142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337800</v>
      </c>
      <c r="BK378" t="s">
        <v>25</v>
      </c>
      <c r="BL378" t="s">
        <v>1071</v>
      </c>
      <c r="BM378">
        <v>30</v>
      </c>
      <c r="BN378">
        <v>2110655</v>
      </c>
      <c r="BO378">
        <v>0.04</v>
      </c>
      <c r="BP378">
        <v>84500</v>
      </c>
      <c r="BQ378">
        <v>0</v>
      </c>
      <c r="BR378" t="s">
        <v>1438</v>
      </c>
      <c r="BS378">
        <v>0</v>
      </c>
      <c r="BT378" t="s">
        <v>1438</v>
      </c>
      <c r="BU378">
        <v>0</v>
      </c>
      <c r="BV378" t="s">
        <v>25</v>
      </c>
      <c r="BW378" t="s">
        <v>189</v>
      </c>
      <c r="BX378">
        <v>30</v>
      </c>
      <c r="BY378">
        <v>2110655</v>
      </c>
      <c r="BZ378">
        <v>6.9599999999999995E-2</v>
      </c>
      <c r="CA378" t="s">
        <v>1439</v>
      </c>
      <c r="CB378" t="s">
        <v>312</v>
      </c>
      <c r="CC378" t="s">
        <v>1440</v>
      </c>
      <c r="CD378">
        <v>147000</v>
      </c>
      <c r="CE378">
        <v>30</v>
      </c>
      <c r="CF378" t="s">
        <v>466</v>
      </c>
      <c r="CG378">
        <v>2110655</v>
      </c>
      <c r="CH378">
        <v>0.04</v>
      </c>
      <c r="CI378">
        <v>84500</v>
      </c>
      <c r="CJ378">
        <v>2110655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 t="s">
        <v>88</v>
      </c>
      <c r="CT378" t="s">
        <v>1441</v>
      </c>
      <c r="CU378" t="s">
        <v>1442</v>
      </c>
    </row>
    <row r="379" spans="1:99">
      <c r="A379" t="s">
        <v>1431</v>
      </c>
      <c r="B379" t="s">
        <v>34</v>
      </c>
      <c r="C379" t="s">
        <v>2444</v>
      </c>
      <c r="D379" t="s">
        <v>2445</v>
      </c>
      <c r="E379" t="s">
        <v>1435</v>
      </c>
      <c r="F379" t="s">
        <v>1785</v>
      </c>
      <c r="G379" t="s">
        <v>1479</v>
      </c>
      <c r="H379" t="s">
        <v>1519</v>
      </c>
      <c r="I379" t="s">
        <v>682</v>
      </c>
      <c r="J379" t="s">
        <v>484</v>
      </c>
      <c r="K379" t="s">
        <v>29</v>
      </c>
      <c r="L379" t="s">
        <v>30</v>
      </c>
      <c r="M379">
        <v>205</v>
      </c>
      <c r="N379" t="s">
        <v>32</v>
      </c>
      <c r="O379" t="s">
        <v>32</v>
      </c>
      <c r="Q379" t="s">
        <v>32</v>
      </c>
      <c r="S379" t="s">
        <v>32</v>
      </c>
      <c r="U379" t="s">
        <v>32</v>
      </c>
      <c r="V379" t="s">
        <v>32</v>
      </c>
      <c r="W379" t="s">
        <v>32</v>
      </c>
      <c r="X379" t="s">
        <v>32</v>
      </c>
      <c r="Y379" t="s">
        <v>32</v>
      </c>
      <c r="AA379" t="s">
        <v>88</v>
      </c>
      <c r="AB379" t="s">
        <v>32</v>
      </c>
      <c r="AE379" t="s">
        <v>32</v>
      </c>
      <c r="AH379" t="s">
        <v>32</v>
      </c>
      <c r="AK379" t="s">
        <v>32</v>
      </c>
      <c r="AN379" t="s">
        <v>32</v>
      </c>
      <c r="AO379" t="s">
        <v>32</v>
      </c>
      <c r="AR379">
        <v>0</v>
      </c>
      <c r="AU379" t="s">
        <v>32</v>
      </c>
      <c r="AV379">
        <v>1750905</v>
      </c>
      <c r="AW379" t="s">
        <v>32</v>
      </c>
      <c r="AX379" t="s">
        <v>32</v>
      </c>
      <c r="AY379" t="s">
        <v>317</v>
      </c>
      <c r="AZ379">
        <v>30</v>
      </c>
      <c r="BA379">
        <v>2069651</v>
      </c>
      <c r="BB379">
        <v>0.16</v>
      </c>
      <c r="BC379">
        <v>331200</v>
      </c>
      <c r="BD379" t="s">
        <v>142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331200</v>
      </c>
      <c r="BK379" t="s">
        <v>25</v>
      </c>
      <c r="BL379" t="s">
        <v>1010</v>
      </c>
      <c r="BM379">
        <v>30</v>
      </c>
      <c r="BN379">
        <v>2069651</v>
      </c>
      <c r="BO379">
        <v>0.04</v>
      </c>
      <c r="BP379">
        <v>82800</v>
      </c>
      <c r="BQ379">
        <v>0</v>
      </c>
      <c r="BR379" t="s">
        <v>1438</v>
      </c>
      <c r="BS379">
        <v>0</v>
      </c>
      <c r="BT379" t="s">
        <v>1438</v>
      </c>
      <c r="BU379">
        <v>0</v>
      </c>
      <c r="BV379" t="s">
        <v>25</v>
      </c>
      <c r="BW379" t="s">
        <v>189</v>
      </c>
      <c r="BX379">
        <v>30</v>
      </c>
      <c r="BY379">
        <v>2069651</v>
      </c>
      <c r="BZ379">
        <v>6.9599999999999995E-2</v>
      </c>
      <c r="CA379" t="s">
        <v>1439</v>
      </c>
      <c r="CB379" t="s">
        <v>312</v>
      </c>
      <c r="CC379" t="s">
        <v>1440</v>
      </c>
      <c r="CD379">
        <v>144100</v>
      </c>
      <c r="CE379">
        <v>30</v>
      </c>
      <c r="CF379" t="s">
        <v>466</v>
      </c>
      <c r="CG379">
        <v>2069651</v>
      </c>
      <c r="CH379">
        <v>0.04</v>
      </c>
      <c r="CI379">
        <v>82800</v>
      </c>
      <c r="CJ379">
        <v>2069651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 t="s">
        <v>88</v>
      </c>
      <c r="CT379" t="s">
        <v>1441</v>
      </c>
      <c r="CU379" t="s">
        <v>1442</v>
      </c>
    </row>
    <row r="380" spans="1:99">
      <c r="A380" t="s">
        <v>1431</v>
      </c>
      <c r="B380" t="s">
        <v>34</v>
      </c>
      <c r="C380" t="s">
        <v>2446</v>
      </c>
      <c r="D380" t="s">
        <v>2447</v>
      </c>
      <c r="E380" t="s">
        <v>2448</v>
      </c>
      <c r="F380" t="s">
        <v>2449</v>
      </c>
      <c r="G380" t="s">
        <v>2450</v>
      </c>
      <c r="H380" t="s">
        <v>1558</v>
      </c>
      <c r="I380" t="s">
        <v>682</v>
      </c>
      <c r="J380" t="s">
        <v>484</v>
      </c>
      <c r="K380" t="s">
        <v>29</v>
      </c>
      <c r="L380" t="s">
        <v>30</v>
      </c>
      <c r="M380">
        <v>44</v>
      </c>
      <c r="N380" t="s">
        <v>32</v>
      </c>
      <c r="O380" t="s">
        <v>32</v>
      </c>
      <c r="Q380" t="s">
        <v>40</v>
      </c>
      <c r="R380">
        <v>46077</v>
      </c>
      <c r="S380" t="s">
        <v>40</v>
      </c>
      <c r="T380">
        <v>46081</v>
      </c>
      <c r="U380" t="s">
        <v>32</v>
      </c>
      <c r="V380" t="s">
        <v>32</v>
      </c>
      <c r="W380" t="s">
        <v>32</v>
      </c>
      <c r="X380" t="s">
        <v>88</v>
      </c>
      <c r="Y380" t="s">
        <v>32</v>
      </c>
      <c r="AA380" t="s">
        <v>88</v>
      </c>
      <c r="AB380" t="s">
        <v>32</v>
      </c>
      <c r="AE380" t="s">
        <v>32</v>
      </c>
      <c r="AH380" t="s">
        <v>32</v>
      </c>
      <c r="AK380" t="s">
        <v>32</v>
      </c>
      <c r="AN380" t="s">
        <v>32</v>
      </c>
      <c r="AO380" t="s">
        <v>32</v>
      </c>
      <c r="AR380">
        <v>0</v>
      </c>
      <c r="AU380" t="s">
        <v>32</v>
      </c>
      <c r="AV380">
        <v>1750905</v>
      </c>
      <c r="AW380" t="s">
        <v>32</v>
      </c>
      <c r="AX380" t="s">
        <v>32</v>
      </c>
      <c r="AY380" t="s">
        <v>317</v>
      </c>
      <c r="AZ380">
        <v>7</v>
      </c>
      <c r="BA380">
        <v>488132</v>
      </c>
      <c r="BB380">
        <v>0.16</v>
      </c>
      <c r="BC380">
        <v>78200</v>
      </c>
      <c r="BD380" t="s">
        <v>142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78200</v>
      </c>
      <c r="BK380" t="s">
        <v>185</v>
      </c>
      <c r="BL380" t="s">
        <v>1071</v>
      </c>
      <c r="BM380">
        <v>7</v>
      </c>
      <c r="BN380">
        <v>488132</v>
      </c>
      <c r="BO380">
        <v>0.04</v>
      </c>
      <c r="BP380">
        <v>19600</v>
      </c>
      <c r="BQ380">
        <v>0</v>
      </c>
      <c r="BR380" t="s">
        <v>1438</v>
      </c>
      <c r="BS380">
        <v>0</v>
      </c>
      <c r="BT380" t="s">
        <v>1438</v>
      </c>
      <c r="BU380">
        <v>0</v>
      </c>
      <c r="BV380" t="s">
        <v>25</v>
      </c>
      <c r="BW380" t="s">
        <v>189</v>
      </c>
      <c r="BX380">
        <v>7</v>
      </c>
      <c r="BY380">
        <v>488132</v>
      </c>
      <c r="BZ380">
        <v>6.9599999999999995E-2</v>
      </c>
      <c r="CA380" t="s">
        <v>1439</v>
      </c>
      <c r="CB380" t="s">
        <v>312</v>
      </c>
      <c r="CC380" t="s">
        <v>1440</v>
      </c>
      <c r="CD380">
        <v>34000</v>
      </c>
      <c r="CE380">
        <v>7</v>
      </c>
      <c r="CF380" t="s">
        <v>466</v>
      </c>
      <c r="CG380">
        <v>502776</v>
      </c>
      <c r="CH380">
        <v>0.04</v>
      </c>
      <c r="CI380">
        <v>20200</v>
      </c>
      <c r="CJ380">
        <v>502776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 t="s">
        <v>88</v>
      </c>
      <c r="CT380" t="s">
        <v>1441</v>
      </c>
      <c r="CU380" t="s">
        <v>1442</v>
      </c>
    </row>
    <row r="381" spans="1:99">
      <c r="A381" t="s">
        <v>1431</v>
      </c>
      <c r="B381" t="s">
        <v>34</v>
      </c>
      <c r="C381" t="s">
        <v>2451</v>
      </c>
      <c r="D381" t="s">
        <v>2452</v>
      </c>
      <c r="E381" t="s">
        <v>2182</v>
      </c>
      <c r="F381" t="s">
        <v>2386</v>
      </c>
      <c r="G381" t="s">
        <v>1640</v>
      </c>
      <c r="H381" t="s">
        <v>1519</v>
      </c>
      <c r="I381" t="s">
        <v>682</v>
      </c>
      <c r="J381" t="s">
        <v>484</v>
      </c>
      <c r="K381" t="s">
        <v>29</v>
      </c>
      <c r="L381" t="s">
        <v>30</v>
      </c>
      <c r="M381">
        <v>0</v>
      </c>
      <c r="N381" t="s">
        <v>32</v>
      </c>
      <c r="O381" t="s">
        <v>32</v>
      </c>
      <c r="Q381" t="s">
        <v>32</v>
      </c>
      <c r="S381" t="s">
        <v>32</v>
      </c>
      <c r="U381" t="s">
        <v>32</v>
      </c>
      <c r="V381" t="s">
        <v>32</v>
      </c>
      <c r="W381" t="s">
        <v>32</v>
      </c>
      <c r="X381" t="s">
        <v>32</v>
      </c>
      <c r="Y381" t="s">
        <v>32</v>
      </c>
      <c r="AA381" t="s">
        <v>32</v>
      </c>
      <c r="AB381" t="s">
        <v>37</v>
      </c>
      <c r="AC381">
        <v>46054</v>
      </c>
      <c r="AD381">
        <v>46054</v>
      </c>
      <c r="AE381" t="s">
        <v>32</v>
      </c>
      <c r="AH381" t="s">
        <v>32</v>
      </c>
      <c r="AK381" t="s">
        <v>32</v>
      </c>
      <c r="AN381" t="s">
        <v>32</v>
      </c>
      <c r="AO381" t="s">
        <v>32</v>
      </c>
      <c r="AR381">
        <v>0</v>
      </c>
      <c r="AU381" t="s">
        <v>32</v>
      </c>
      <c r="AV381">
        <v>1785595</v>
      </c>
      <c r="AW381" t="s">
        <v>32</v>
      </c>
      <c r="AX381" t="s">
        <v>32</v>
      </c>
      <c r="AY381" t="s">
        <v>317</v>
      </c>
      <c r="AZ381">
        <v>1</v>
      </c>
      <c r="BA381">
        <v>59520</v>
      </c>
      <c r="BB381">
        <v>0.16</v>
      </c>
      <c r="BC381">
        <v>9600</v>
      </c>
      <c r="BD381" t="s">
        <v>142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9600</v>
      </c>
      <c r="BK381" t="s">
        <v>25</v>
      </c>
      <c r="BL381" t="s">
        <v>748</v>
      </c>
      <c r="BM381">
        <v>1</v>
      </c>
      <c r="BN381">
        <v>59520</v>
      </c>
      <c r="BO381">
        <v>0</v>
      </c>
      <c r="BP381">
        <v>0</v>
      </c>
      <c r="BQ381">
        <v>0</v>
      </c>
      <c r="BR381" t="s">
        <v>1438</v>
      </c>
      <c r="BS381">
        <v>0</v>
      </c>
      <c r="BT381" t="s">
        <v>1438</v>
      </c>
      <c r="BU381">
        <v>0</v>
      </c>
      <c r="BV381" t="s">
        <v>25</v>
      </c>
      <c r="BW381" t="s">
        <v>189</v>
      </c>
      <c r="BX381">
        <v>1</v>
      </c>
      <c r="BY381">
        <v>59520</v>
      </c>
      <c r="BZ381">
        <v>0</v>
      </c>
      <c r="CA381" t="s">
        <v>1439</v>
      </c>
      <c r="CB381" t="s">
        <v>312</v>
      </c>
      <c r="CC381" t="s">
        <v>1440</v>
      </c>
      <c r="CD381">
        <v>0</v>
      </c>
      <c r="CE381">
        <v>1</v>
      </c>
      <c r="CF381" t="s">
        <v>466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 t="s">
        <v>88</v>
      </c>
      <c r="CT381" t="s">
        <v>1441</v>
      </c>
      <c r="CU381" t="s">
        <v>1442</v>
      </c>
    </row>
    <row r="382" spans="1:99">
      <c r="A382" t="s">
        <v>1431</v>
      </c>
      <c r="B382" t="s">
        <v>34</v>
      </c>
      <c r="C382" t="s">
        <v>2451</v>
      </c>
      <c r="D382" t="s">
        <v>2452</v>
      </c>
      <c r="E382" t="s">
        <v>2182</v>
      </c>
      <c r="F382" t="s">
        <v>2386</v>
      </c>
      <c r="G382" t="s">
        <v>1640</v>
      </c>
      <c r="H382" t="s">
        <v>1519</v>
      </c>
      <c r="I382" t="s">
        <v>682</v>
      </c>
      <c r="J382" t="s">
        <v>484</v>
      </c>
      <c r="K382" t="s">
        <v>29</v>
      </c>
      <c r="L382" t="s">
        <v>30</v>
      </c>
      <c r="M382">
        <v>203</v>
      </c>
      <c r="N382" t="s">
        <v>32</v>
      </c>
      <c r="O382" t="s">
        <v>32</v>
      </c>
      <c r="Q382" t="s">
        <v>32</v>
      </c>
      <c r="S382" t="s">
        <v>32</v>
      </c>
      <c r="U382" t="s">
        <v>32</v>
      </c>
      <c r="V382" t="s">
        <v>32</v>
      </c>
      <c r="W382" t="s">
        <v>32</v>
      </c>
      <c r="X382" t="s">
        <v>32</v>
      </c>
      <c r="Y382" t="s">
        <v>32</v>
      </c>
      <c r="AA382" t="s">
        <v>88</v>
      </c>
      <c r="AB382" t="s">
        <v>32</v>
      </c>
      <c r="AE382" t="s">
        <v>32</v>
      </c>
      <c r="AH382" t="s">
        <v>32</v>
      </c>
      <c r="AK382" t="s">
        <v>32</v>
      </c>
      <c r="AN382" t="s">
        <v>32</v>
      </c>
      <c r="AO382" t="s">
        <v>32</v>
      </c>
      <c r="AR382">
        <v>0</v>
      </c>
      <c r="AU382" t="s">
        <v>32</v>
      </c>
      <c r="AV382">
        <v>1785595</v>
      </c>
      <c r="AW382" t="s">
        <v>32</v>
      </c>
      <c r="AX382" t="s">
        <v>32</v>
      </c>
      <c r="AY382" t="s">
        <v>317</v>
      </c>
      <c r="AZ382">
        <v>29</v>
      </c>
      <c r="BA382">
        <v>2030844</v>
      </c>
      <c r="BB382">
        <v>0.16</v>
      </c>
      <c r="BC382">
        <v>325000</v>
      </c>
      <c r="BD382" t="s">
        <v>142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325000</v>
      </c>
      <c r="BK382" t="s">
        <v>25</v>
      </c>
      <c r="BL382" t="s">
        <v>748</v>
      </c>
      <c r="BM382">
        <v>29</v>
      </c>
      <c r="BN382">
        <v>2030844</v>
      </c>
      <c r="BO382">
        <v>0.04</v>
      </c>
      <c r="BP382">
        <v>81300</v>
      </c>
      <c r="BQ382">
        <v>0</v>
      </c>
      <c r="BR382" t="s">
        <v>1438</v>
      </c>
      <c r="BS382">
        <v>0</v>
      </c>
      <c r="BT382" t="s">
        <v>1438</v>
      </c>
      <c r="BU382">
        <v>0</v>
      </c>
      <c r="BV382" t="s">
        <v>25</v>
      </c>
      <c r="BW382" t="s">
        <v>189</v>
      </c>
      <c r="BX382">
        <v>29</v>
      </c>
      <c r="BY382">
        <v>2030844</v>
      </c>
      <c r="BZ382">
        <v>6.9599999999999995E-2</v>
      </c>
      <c r="CA382" t="s">
        <v>1439</v>
      </c>
      <c r="CB382" t="s">
        <v>312</v>
      </c>
      <c r="CC382" t="s">
        <v>1440</v>
      </c>
      <c r="CD382">
        <v>141400</v>
      </c>
      <c r="CE382">
        <v>29</v>
      </c>
      <c r="CF382" t="s">
        <v>466</v>
      </c>
      <c r="CG382">
        <v>2030844</v>
      </c>
      <c r="CH382">
        <v>0.04</v>
      </c>
      <c r="CI382">
        <v>81300</v>
      </c>
      <c r="CJ382">
        <v>2030844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 t="s">
        <v>88</v>
      </c>
      <c r="CT382" t="s">
        <v>1441</v>
      </c>
      <c r="CU382" t="s">
        <v>1442</v>
      </c>
    </row>
    <row r="383" spans="1:99">
      <c r="A383" t="s">
        <v>1431</v>
      </c>
      <c r="B383" t="s">
        <v>34</v>
      </c>
      <c r="C383" t="s">
        <v>2453</v>
      </c>
      <c r="D383" t="s">
        <v>2454</v>
      </c>
      <c r="E383" t="s">
        <v>2455</v>
      </c>
      <c r="F383" t="s">
        <v>1629</v>
      </c>
      <c r="G383" t="s">
        <v>1479</v>
      </c>
      <c r="H383" t="s">
        <v>1850</v>
      </c>
      <c r="I383" t="s">
        <v>240</v>
      </c>
      <c r="J383" t="s">
        <v>46</v>
      </c>
      <c r="K383" t="s">
        <v>29</v>
      </c>
      <c r="L383" t="s">
        <v>30</v>
      </c>
      <c r="M383">
        <v>176</v>
      </c>
      <c r="N383" t="s">
        <v>32</v>
      </c>
      <c r="O383" t="s">
        <v>32</v>
      </c>
      <c r="Q383" t="s">
        <v>32</v>
      </c>
      <c r="S383" t="s">
        <v>40</v>
      </c>
      <c r="T383">
        <v>46074</v>
      </c>
      <c r="U383" t="s">
        <v>32</v>
      </c>
      <c r="V383" t="s">
        <v>32</v>
      </c>
      <c r="W383" t="s">
        <v>32</v>
      </c>
      <c r="X383" t="s">
        <v>32</v>
      </c>
      <c r="Y383" t="s">
        <v>32</v>
      </c>
      <c r="AA383" t="s">
        <v>88</v>
      </c>
      <c r="AB383" t="s">
        <v>32</v>
      </c>
      <c r="AE383" t="s">
        <v>32</v>
      </c>
      <c r="AH383" t="s">
        <v>32</v>
      </c>
      <c r="AK383" t="s">
        <v>32</v>
      </c>
      <c r="AN383" t="s">
        <v>32</v>
      </c>
      <c r="AO383" t="s">
        <v>32</v>
      </c>
      <c r="AR383">
        <v>0</v>
      </c>
      <c r="AU383" t="s">
        <v>32</v>
      </c>
      <c r="AV383">
        <v>2223339</v>
      </c>
      <c r="AW383" t="s">
        <v>32</v>
      </c>
      <c r="AX383" t="s">
        <v>32</v>
      </c>
      <c r="AY383" t="s">
        <v>356</v>
      </c>
      <c r="AZ383">
        <v>21</v>
      </c>
      <c r="BA383">
        <v>3385101</v>
      </c>
      <c r="BB383">
        <v>0.16</v>
      </c>
      <c r="BC383">
        <v>541700</v>
      </c>
      <c r="BD383" t="s">
        <v>142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541700</v>
      </c>
      <c r="BK383" t="s">
        <v>25</v>
      </c>
      <c r="BL383" t="s">
        <v>1010</v>
      </c>
      <c r="BM383">
        <v>21</v>
      </c>
      <c r="BN383">
        <v>3385101</v>
      </c>
      <c r="BO383">
        <v>0.04</v>
      </c>
      <c r="BP383">
        <v>135500</v>
      </c>
      <c r="BQ383">
        <v>0</v>
      </c>
      <c r="BR383" t="s">
        <v>1438</v>
      </c>
      <c r="BS383">
        <v>0</v>
      </c>
      <c r="BT383" t="s">
        <v>1438</v>
      </c>
      <c r="BU383">
        <v>0</v>
      </c>
      <c r="BV383" t="s">
        <v>25</v>
      </c>
      <c r="BW383" t="s">
        <v>189</v>
      </c>
      <c r="BX383">
        <v>21</v>
      </c>
      <c r="BY383">
        <v>3385101</v>
      </c>
      <c r="BZ383">
        <v>6.9599999999999995E-2</v>
      </c>
      <c r="CA383" t="s">
        <v>1439</v>
      </c>
      <c r="CB383" t="s">
        <v>227</v>
      </c>
      <c r="CC383" t="s">
        <v>1440</v>
      </c>
      <c r="CD383">
        <v>235700</v>
      </c>
      <c r="CE383">
        <v>21</v>
      </c>
      <c r="CF383" t="s">
        <v>635</v>
      </c>
      <c r="CG383">
        <v>4505951</v>
      </c>
      <c r="CH383">
        <v>0.04</v>
      </c>
      <c r="CI383">
        <v>180300</v>
      </c>
      <c r="CJ383">
        <v>4505951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 t="s">
        <v>88</v>
      </c>
      <c r="CT383" t="s">
        <v>1441</v>
      </c>
      <c r="CU383" t="s">
        <v>1442</v>
      </c>
    </row>
    <row r="384" spans="1:99">
      <c r="A384" t="s">
        <v>1431</v>
      </c>
      <c r="B384" t="s">
        <v>34</v>
      </c>
      <c r="C384" t="s">
        <v>2456</v>
      </c>
      <c r="D384" t="s">
        <v>2457</v>
      </c>
      <c r="E384" t="s">
        <v>2211</v>
      </c>
      <c r="F384" t="s">
        <v>263</v>
      </c>
      <c r="G384" t="s">
        <v>1503</v>
      </c>
      <c r="H384" t="s">
        <v>1468</v>
      </c>
      <c r="I384" t="s">
        <v>682</v>
      </c>
      <c r="J384" t="s">
        <v>484</v>
      </c>
      <c r="K384" t="s">
        <v>29</v>
      </c>
      <c r="L384" t="s">
        <v>30</v>
      </c>
      <c r="M384">
        <v>201</v>
      </c>
      <c r="N384" t="s">
        <v>32</v>
      </c>
      <c r="O384" t="s">
        <v>32</v>
      </c>
      <c r="Q384" t="s">
        <v>32</v>
      </c>
      <c r="S384" t="s">
        <v>40</v>
      </c>
      <c r="T384">
        <v>46079</v>
      </c>
      <c r="U384" t="s">
        <v>32</v>
      </c>
      <c r="V384" t="s">
        <v>32</v>
      </c>
      <c r="W384" t="s">
        <v>32</v>
      </c>
      <c r="X384" t="s">
        <v>32</v>
      </c>
      <c r="Y384" t="s">
        <v>32</v>
      </c>
      <c r="AA384" t="s">
        <v>88</v>
      </c>
      <c r="AB384" t="s">
        <v>32</v>
      </c>
      <c r="AE384" t="s">
        <v>32</v>
      </c>
      <c r="AH384" t="s">
        <v>32</v>
      </c>
      <c r="AK384" t="s">
        <v>32</v>
      </c>
      <c r="AN384" t="s">
        <v>32</v>
      </c>
      <c r="AO384" t="s">
        <v>32</v>
      </c>
      <c r="AR384">
        <v>0</v>
      </c>
      <c r="AU384" t="s">
        <v>32</v>
      </c>
      <c r="AV384">
        <v>2074908</v>
      </c>
      <c r="AW384" t="s">
        <v>32</v>
      </c>
      <c r="AX384" t="s">
        <v>32</v>
      </c>
      <c r="AY384" t="s">
        <v>356</v>
      </c>
      <c r="AZ384">
        <v>26</v>
      </c>
      <c r="BA384">
        <v>2694174</v>
      </c>
      <c r="BB384">
        <v>0.16</v>
      </c>
      <c r="BC384">
        <v>431100</v>
      </c>
      <c r="BD384" t="s">
        <v>142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431100</v>
      </c>
      <c r="BK384" t="s">
        <v>25</v>
      </c>
      <c r="BL384" t="s">
        <v>1010</v>
      </c>
      <c r="BM384">
        <v>26</v>
      </c>
      <c r="BN384">
        <v>2694174</v>
      </c>
      <c r="BO384">
        <v>0.04</v>
      </c>
      <c r="BP384">
        <v>107800</v>
      </c>
      <c r="BQ384">
        <v>0</v>
      </c>
      <c r="BR384" t="s">
        <v>1438</v>
      </c>
      <c r="BS384">
        <v>0</v>
      </c>
      <c r="BT384" t="s">
        <v>1438</v>
      </c>
      <c r="BU384">
        <v>0</v>
      </c>
      <c r="BV384" t="s">
        <v>25</v>
      </c>
      <c r="BW384" t="s">
        <v>189</v>
      </c>
      <c r="BX384">
        <v>26</v>
      </c>
      <c r="BY384">
        <v>2694174</v>
      </c>
      <c r="BZ384">
        <v>6.9599999999999995E-2</v>
      </c>
      <c r="CA384" t="s">
        <v>1439</v>
      </c>
      <c r="CB384" t="s">
        <v>312</v>
      </c>
      <c r="CC384" t="s">
        <v>1440</v>
      </c>
      <c r="CD384">
        <v>187600</v>
      </c>
      <c r="CE384">
        <v>26</v>
      </c>
      <c r="CF384" t="s">
        <v>466</v>
      </c>
      <c r="CG384">
        <v>3219832</v>
      </c>
      <c r="CH384">
        <v>0.04</v>
      </c>
      <c r="CI384">
        <v>128800</v>
      </c>
      <c r="CJ384">
        <v>3219832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 t="s">
        <v>88</v>
      </c>
      <c r="CT384" t="s">
        <v>1441</v>
      </c>
      <c r="CU384" t="s">
        <v>1442</v>
      </c>
    </row>
    <row r="385" spans="1:99">
      <c r="A385" t="s">
        <v>1431</v>
      </c>
      <c r="B385" t="s">
        <v>34</v>
      </c>
      <c r="C385" t="s">
        <v>2458</v>
      </c>
      <c r="D385" t="s">
        <v>2459</v>
      </c>
      <c r="E385" t="s">
        <v>2460</v>
      </c>
      <c r="F385" t="s">
        <v>2346</v>
      </c>
      <c r="G385" t="s">
        <v>1489</v>
      </c>
      <c r="H385" t="s">
        <v>2461</v>
      </c>
      <c r="I385" t="s">
        <v>240</v>
      </c>
      <c r="J385" t="s">
        <v>46</v>
      </c>
      <c r="K385" t="s">
        <v>29</v>
      </c>
      <c r="L385" t="s">
        <v>30</v>
      </c>
      <c r="M385">
        <v>0</v>
      </c>
      <c r="N385" t="s">
        <v>32</v>
      </c>
      <c r="O385" t="s">
        <v>32</v>
      </c>
      <c r="Q385" t="s">
        <v>32</v>
      </c>
      <c r="S385" t="s">
        <v>32</v>
      </c>
      <c r="U385" t="s">
        <v>32</v>
      </c>
      <c r="V385" t="s">
        <v>32</v>
      </c>
      <c r="W385" t="s">
        <v>32</v>
      </c>
      <c r="X385" t="s">
        <v>32</v>
      </c>
      <c r="Y385" t="s">
        <v>32</v>
      </c>
      <c r="AA385" t="s">
        <v>32</v>
      </c>
      <c r="AB385" t="s">
        <v>37</v>
      </c>
      <c r="AC385">
        <v>46054</v>
      </c>
      <c r="AD385">
        <v>46054</v>
      </c>
      <c r="AE385" t="s">
        <v>32</v>
      </c>
      <c r="AH385" t="s">
        <v>32</v>
      </c>
      <c r="AK385" t="s">
        <v>32</v>
      </c>
      <c r="AN385" t="s">
        <v>32</v>
      </c>
      <c r="AO385" t="s">
        <v>32</v>
      </c>
      <c r="AR385">
        <v>0</v>
      </c>
      <c r="AU385" t="s">
        <v>32</v>
      </c>
      <c r="AV385">
        <v>1750905</v>
      </c>
      <c r="AW385" t="s">
        <v>32</v>
      </c>
      <c r="AX385" t="s">
        <v>32</v>
      </c>
      <c r="AY385" t="s">
        <v>317</v>
      </c>
      <c r="AZ385">
        <v>1</v>
      </c>
      <c r="BA385">
        <v>58364</v>
      </c>
      <c r="BB385">
        <v>0.16</v>
      </c>
      <c r="BC385">
        <v>9400</v>
      </c>
      <c r="BD385" t="s">
        <v>142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9400</v>
      </c>
      <c r="BK385" t="s">
        <v>25</v>
      </c>
      <c r="BL385" t="s">
        <v>1064</v>
      </c>
      <c r="BM385">
        <v>1</v>
      </c>
      <c r="BN385">
        <v>58364</v>
      </c>
      <c r="BO385">
        <v>0</v>
      </c>
      <c r="BP385">
        <v>0</v>
      </c>
      <c r="BQ385">
        <v>0</v>
      </c>
      <c r="BR385" t="s">
        <v>1438</v>
      </c>
      <c r="BS385">
        <v>0</v>
      </c>
      <c r="BT385" t="s">
        <v>1438</v>
      </c>
      <c r="BU385">
        <v>0</v>
      </c>
      <c r="BV385" t="s">
        <v>25</v>
      </c>
      <c r="BW385" t="s">
        <v>189</v>
      </c>
      <c r="BX385">
        <v>1</v>
      </c>
      <c r="BY385">
        <v>58364</v>
      </c>
      <c r="BZ385">
        <v>0</v>
      </c>
      <c r="CA385" t="s">
        <v>1439</v>
      </c>
      <c r="CB385" t="s">
        <v>227</v>
      </c>
      <c r="CC385" t="s">
        <v>1440</v>
      </c>
      <c r="CD385">
        <v>0</v>
      </c>
      <c r="CE385">
        <v>1</v>
      </c>
      <c r="CF385" t="s">
        <v>635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 t="s">
        <v>88</v>
      </c>
      <c r="CT385" t="s">
        <v>1441</v>
      </c>
      <c r="CU385" t="s">
        <v>1442</v>
      </c>
    </row>
    <row r="386" spans="1:99">
      <c r="A386" t="s">
        <v>1431</v>
      </c>
      <c r="B386" t="s">
        <v>34</v>
      </c>
      <c r="C386" t="s">
        <v>2458</v>
      </c>
      <c r="D386" t="s">
        <v>2459</v>
      </c>
      <c r="E386" t="s">
        <v>2460</v>
      </c>
      <c r="F386" t="s">
        <v>2346</v>
      </c>
      <c r="G386" t="s">
        <v>1489</v>
      </c>
      <c r="H386" t="s">
        <v>2461</v>
      </c>
      <c r="I386" t="s">
        <v>240</v>
      </c>
      <c r="J386" t="s">
        <v>46</v>
      </c>
      <c r="K386" t="s">
        <v>29</v>
      </c>
      <c r="L386" t="s">
        <v>30</v>
      </c>
      <c r="M386">
        <v>0</v>
      </c>
      <c r="N386" t="s">
        <v>32</v>
      </c>
      <c r="O386" t="s">
        <v>32</v>
      </c>
      <c r="Q386" t="s">
        <v>32</v>
      </c>
      <c r="S386" t="s">
        <v>32</v>
      </c>
      <c r="U386" t="s">
        <v>32</v>
      </c>
      <c r="V386" t="s">
        <v>32</v>
      </c>
      <c r="W386" t="s">
        <v>32</v>
      </c>
      <c r="X386" t="s">
        <v>32</v>
      </c>
      <c r="Y386" t="s">
        <v>32</v>
      </c>
      <c r="AA386" t="s">
        <v>32</v>
      </c>
      <c r="AB386" t="s">
        <v>37</v>
      </c>
      <c r="AC386">
        <v>46056</v>
      </c>
      <c r="AD386">
        <v>46057</v>
      </c>
      <c r="AE386" t="s">
        <v>32</v>
      </c>
      <c r="AH386" t="s">
        <v>32</v>
      </c>
      <c r="AK386" t="s">
        <v>32</v>
      </c>
      <c r="AN386" t="s">
        <v>32</v>
      </c>
      <c r="AO386" t="s">
        <v>32</v>
      </c>
      <c r="AR386">
        <v>0</v>
      </c>
      <c r="AU386" t="s">
        <v>32</v>
      </c>
      <c r="AV386">
        <v>1750905</v>
      </c>
      <c r="AW386" t="s">
        <v>32</v>
      </c>
      <c r="AX386" t="s">
        <v>32</v>
      </c>
      <c r="AY386" t="s">
        <v>317</v>
      </c>
      <c r="AZ386">
        <v>2</v>
      </c>
      <c r="BA386">
        <v>116727</v>
      </c>
      <c r="BB386">
        <v>0.16</v>
      </c>
      <c r="BC386">
        <v>18700</v>
      </c>
      <c r="BD386" t="s">
        <v>142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18700</v>
      </c>
      <c r="BK386" t="s">
        <v>25</v>
      </c>
      <c r="BL386" t="s">
        <v>1064</v>
      </c>
      <c r="BM386">
        <v>2</v>
      </c>
      <c r="BN386">
        <v>116727</v>
      </c>
      <c r="BO386">
        <v>0</v>
      </c>
      <c r="BP386">
        <v>0</v>
      </c>
      <c r="BQ386">
        <v>0</v>
      </c>
      <c r="BR386" t="s">
        <v>1438</v>
      </c>
      <c r="BS386">
        <v>0</v>
      </c>
      <c r="BT386" t="s">
        <v>1438</v>
      </c>
      <c r="BU386">
        <v>0</v>
      </c>
      <c r="BV386" t="s">
        <v>25</v>
      </c>
      <c r="BW386" t="s">
        <v>189</v>
      </c>
      <c r="BX386">
        <v>2</v>
      </c>
      <c r="BY386">
        <v>116727</v>
      </c>
      <c r="BZ386">
        <v>0</v>
      </c>
      <c r="CA386" t="s">
        <v>1439</v>
      </c>
      <c r="CB386" t="s">
        <v>227</v>
      </c>
      <c r="CC386" t="s">
        <v>1440</v>
      </c>
      <c r="CD386">
        <v>0</v>
      </c>
      <c r="CE386">
        <v>2</v>
      </c>
      <c r="CF386" t="s">
        <v>635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 t="s">
        <v>88</v>
      </c>
      <c r="CT386" t="s">
        <v>1441</v>
      </c>
      <c r="CU386" t="s">
        <v>1442</v>
      </c>
    </row>
    <row r="387" spans="1:99">
      <c r="A387" t="s">
        <v>1431</v>
      </c>
      <c r="B387" t="s">
        <v>34</v>
      </c>
      <c r="C387" t="s">
        <v>2458</v>
      </c>
      <c r="D387" t="s">
        <v>2459</v>
      </c>
      <c r="E387" t="s">
        <v>2460</v>
      </c>
      <c r="F387" t="s">
        <v>2346</v>
      </c>
      <c r="G387" t="s">
        <v>1489</v>
      </c>
      <c r="H387" t="s">
        <v>2461</v>
      </c>
      <c r="I387" t="s">
        <v>240</v>
      </c>
      <c r="J387" t="s">
        <v>46</v>
      </c>
      <c r="K387" t="s">
        <v>29</v>
      </c>
      <c r="L387" t="s">
        <v>30</v>
      </c>
      <c r="M387">
        <v>0</v>
      </c>
      <c r="N387" t="s">
        <v>32</v>
      </c>
      <c r="O387" t="s">
        <v>32</v>
      </c>
      <c r="Q387" t="s">
        <v>32</v>
      </c>
      <c r="S387" t="s">
        <v>32</v>
      </c>
      <c r="U387" t="s">
        <v>32</v>
      </c>
      <c r="V387" t="s">
        <v>32</v>
      </c>
      <c r="W387" t="s">
        <v>32</v>
      </c>
      <c r="X387" t="s">
        <v>32</v>
      </c>
      <c r="Y387" t="s">
        <v>32</v>
      </c>
      <c r="AA387" t="s">
        <v>32</v>
      </c>
      <c r="AB387" t="s">
        <v>32</v>
      </c>
      <c r="AE387" t="s">
        <v>32</v>
      </c>
      <c r="AH387" t="s">
        <v>32</v>
      </c>
      <c r="AK387" t="s">
        <v>128</v>
      </c>
      <c r="AL387">
        <v>46058</v>
      </c>
      <c r="AM387">
        <v>46058</v>
      </c>
      <c r="AN387" t="s">
        <v>32</v>
      </c>
      <c r="AO387" t="s">
        <v>32</v>
      </c>
      <c r="AR387">
        <v>0</v>
      </c>
      <c r="AU387" t="s">
        <v>32</v>
      </c>
      <c r="AV387">
        <v>1750905</v>
      </c>
      <c r="AW387" t="s">
        <v>32</v>
      </c>
      <c r="AX387" t="s">
        <v>32</v>
      </c>
      <c r="AY387" t="s">
        <v>317</v>
      </c>
      <c r="AZ387">
        <v>1</v>
      </c>
      <c r="BA387">
        <v>58364</v>
      </c>
      <c r="BB387">
        <v>0.16</v>
      </c>
      <c r="BC387">
        <v>9400</v>
      </c>
      <c r="BD387" t="s">
        <v>142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9400</v>
      </c>
      <c r="BK387" t="s">
        <v>25</v>
      </c>
      <c r="BL387" t="s">
        <v>1064</v>
      </c>
      <c r="BM387">
        <v>1</v>
      </c>
      <c r="BN387">
        <v>58364</v>
      </c>
      <c r="BO387">
        <v>0.04</v>
      </c>
      <c r="BP387">
        <v>2400</v>
      </c>
      <c r="BQ387">
        <v>0</v>
      </c>
      <c r="BR387" t="s">
        <v>1438</v>
      </c>
      <c r="BS387">
        <v>0</v>
      </c>
      <c r="BT387" t="s">
        <v>1438</v>
      </c>
      <c r="BU387">
        <v>0</v>
      </c>
      <c r="BV387" t="s">
        <v>25</v>
      </c>
      <c r="BW387" t="s">
        <v>189</v>
      </c>
      <c r="BX387">
        <v>1</v>
      </c>
      <c r="BY387">
        <v>58364</v>
      </c>
      <c r="BZ387">
        <v>0</v>
      </c>
      <c r="CA387" t="s">
        <v>1439</v>
      </c>
      <c r="CB387" t="s">
        <v>227</v>
      </c>
      <c r="CC387" t="s">
        <v>1440</v>
      </c>
      <c r="CD387">
        <v>0</v>
      </c>
      <c r="CE387">
        <v>1</v>
      </c>
      <c r="CF387" t="s">
        <v>635</v>
      </c>
      <c r="CG387">
        <v>58364</v>
      </c>
      <c r="CH387">
        <v>0.04</v>
      </c>
      <c r="CI387">
        <v>2400</v>
      </c>
      <c r="CJ387">
        <v>58364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 t="s">
        <v>88</v>
      </c>
      <c r="CT387" t="s">
        <v>1441</v>
      </c>
      <c r="CU387" t="s">
        <v>1442</v>
      </c>
    </row>
    <row r="388" spans="1:99">
      <c r="A388" t="s">
        <v>1431</v>
      </c>
      <c r="B388" t="s">
        <v>34</v>
      </c>
      <c r="C388" t="s">
        <v>2458</v>
      </c>
      <c r="D388" t="s">
        <v>2459</v>
      </c>
      <c r="E388" t="s">
        <v>2460</v>
      </c>
      <c r="F388" t="s">
        <v>2346</v>
      </c>
      <c r="G388" t="s">
        <v>1489</v>
      </c>
      <c r="H388" t="s">
        <v>2461</v>
      </c>
      <c r="I388" t="s">
        <v>240</v>
      </c>
      <c r="J388" t="s">
        <v>46</v>
      </c>
      <c r="K388" t="s">
        <v>29</v>
      </c>
      <c r="L388" t="s">
        <v>30</v>
      </c>
      <c r="M388">
        <v>0</v>
      </c>
      <c r="N388" t="s">
        <v>32</v>
      </c>
      <c r="O388" t="s">
        <v>32</v>
      </c>
      <c r="Q388" t="s">
        <v>32</v>
      </c>
      <c r="S388" t="s">
        <v>32</v>
      </c>
      <c r="U388" t="s">
        <v>32</v>
      </c>
      <c r="V388" t="s">
        <v>32</v>
      </c>
      <c r="W388" t="s">
        <v>32</v>
      </c>
      <c r="X388" t="s">
        <v>32</v>
      </c>
      <c r="Y388" t="s">
        <v>32</v>
      </c>
      <c r="AA388" t="s">
        <v>32</v>
      </c>
      <c r="AB388" t="s">
        <v>32</v>
      </c>
      <c r="AE388" t="s">
        <v>1492</v>
      </c>
      <c r="AF388">
        <v>46060</v>
      </c>
      <c r="AG388">
        <v>46061</v>
      </c>
      <c r="AH388" t="s">
        <v>32</v>
      </c>
      <c r="AK388" t="s">
        <v>32</v>
      </c>
      <c r="AN388" t="s">
        <v>32</v>
      </c>
      <c r="AO388" t="s">
        <v>32</v>
      </c>
      <c r="AR388">
        <v>0</v>
      </c>
      <c r="AU388" t="s">
        <v>32</v>
      </c>
      <c r="AV388">
        <v>1750905</v>
      </c>
      <c r="AW388" t="s">
        <v>32</v>
      </c>
      <c r="AX388" t="s">
        <v>32</v>
      </c>
      <c r="AY388" t="s">
        <v>317</v>
      </c>
      <c r="AZ388">
        <v>2</v>
      </c>
      <c r="BA388">
        <v>181456</v>
      </c>
      <c r="BB388">
        <v>0.16</v>
      </c>
      <c r="BC388">
        <v>29100</v>
      </c>
      <c r="BD388" t="s">
        <v>142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29100</v>
      </c>
      <c r="BK388" t="s">
        <v>25</v>
      </c>
      <c r="BL388" t="s">
        <v>1064</v>
      </c>
      <c r="BM388">
        <v>2</v>
      </c>
      <c r="BN388">
        <v>181456</v>
      </c>
      <c r="BO388">
        <v>0.04</v>
      </c>
      <c r="BP388">
        <v>7300</v>
      </c>
      <c r="BQ388">
        <v>0</v>
      </c>
      <c r="BR388" t="s">
        <v>1438</v>
      </c>
      <c r="BS388">
        <v>0</v>
      </c>
      <c r="BT388" t="s">
        <v>1438</v>
      </c>
      <c r="BU388">
        <v>0</v>
      </c>
      <c r="BV388" t="s">
        <v>25</v>
      </c>
      <c r="BW388" t="s">
        <v>189</v>
      </c>
      <c r="BX388">
        <v>2</v>
      </c>
      <c r="BY388">
        <v>181456</v>
      </c>
      <c r="BZ388">
        <v>0</v>
      </c>
      <c r="CA388" t="s">
        <v>1439</v>
      </c>
      <c r="CB388" t="s">
        <v>227</v>
      </c>
      <c r="CC388" t="s">
        <v>1440</v>
      </c>
      <c r="CD388">
        <v>0</v>
      </c>
      <c r="CE388">
        <v>2</v>
      </c>
      <c r="CF388" t="s">
        <v>635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 t="s">
        <v>88</v>
      </c>
      <c r="CT388" t="s">
        <v>1441</v>
      </c>
      <c r="CU388" t="s">
        <v>1442</v>
      </c>
    </row>
    <row r="389" spans="1:99">
      <c r="A389" t="s">
        <v>1431</v>
      </c>
      <c r="B389" t="s">
        <v>34</v>
      </c>
      <c r="C389" t="s">
        <v>2458</v>
      </c>
      <c r="D389" t="s">
        <v>2459</v>
      </c>
      <c r="E389" t="s">
        <v>2460</v>
      </c>
      <c r="F389" t="s">
        <v>2346</v>
      </c>
      <c r="G389" t="s">
        <v>1489</v>
      </c>
      <c r="H389" t="s">
        <v>2461</v>
      </c>
      <c r="I389" t="s">
        <v>240</v>
      </c>
      <c r="J389" t="s">
        <v>46</v>
      </c>
      <c r="K389" t="s">
        <v>29</v>
      </c>
      <c r="L389" t="s">
        <v>30</v>
      </c>
      <c r="M389">
        <v>0</v>
      </c>
      <c r="N389" t="s">
        <v>32</v>
      </c>
      <c r="O389" t="s">
        <v>32</v>
      </c>
      <c r="Q389" t="s">
        <v>32</v>
      </c>
      <c r="S389" t="s">
        <v>32</v>
      </c>
      <c r="U389" t="s">
        <v>32</v>
      </c>
      <c r="V389" t="s">
        <v>32</v>
      </c>
      <c r="W389" t="s">
        <v>32</v>
      </c>
      <c r="X389" t="s">
        <v>32</v>
      </c>
      <c r="Y389" t="s">
        <v>32</v>
      </c>
      <c r="AA389" t="s">
        <v>32</v>
      </c>
      <c r="AB389" t="s">
        <v>37</v>
      </c>
      <c r="AC389">
        <v>46063</v>
      </c>
      <c r="AD389">
        <v>46064</v>
      </c>
      <c r="AE389" t="s">
        <v>32</v>
      </c>
      <c r="AH389" t="s">
        <v>32</v>
      </c>
      <c r="AK389" t="s">
        <v>32</v>
      </c>
      <c r="AN389" t="s">
        <v>32</v>
      </c>
      <c r="AO389" t="s">
        <v>32</v>
      </c>
      <c r="AR389">
        <v>0</v>
      </c>
      <c r="AU389" t="s">
        <v>32</v>
      </c>
      <c r="AV389">
        <v>1750905</v>
      </c>
      <c r="AW389" t="s">
        <v>32</v>
      </c>
      <c r="AX389" t="s">
        <v>32</v>
      </c>
      <c r="AY389" t="s">
        <v>317</v>
      </c>
      <c r="AZ389">
        <v>2</v>
      </c>
      <c r="BA389">
        <v>116727</v>
      </c>
      <c r="BB389">
        <v>0.16</v>
      </c>
      <c r="BC389">
        <v>18700</v>
      </c>
      <c r="BD389" t="s">
        <v>142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18700</v>
      </c>
      <c r="BK389" t="s">
        <v>25</v>
      </c>
      <c r="BL389" t="s">
        <v>1064</v>
      </c>
      <c r="BM389">
        <v>2</v>
      </c>
      <c r="BN389">
        <v>116727</v>
      </c>
      <c r="BO389">
        <v>0</v>
      </c>
      <c r="BP389">
        <v>0</v>
      </c>
      <c r="BQ389">
        <v>0</v>
      </c>
      <c r="BR389" t="s">
        <v>1438</v>
      </c>
      <c r="BS389">
        <v>0</v>
      </c>
      <c r="BT389" t="s">
        <v>1438</v>
      </c>
      <c r="BU389">
        <v>0</v>
      </c>
      <c r="BV389" t="s">
        <v>25</v>
      </c>
      <c r="BW389" t="s">
        <v>189</v>
      </c>
      <c r="BX389">
        <v>2</v>
      </c>
      <c r="BY389">
        <v>116727</v>
      </c>
      <c r="BZ389">
        <v>0</v>
      </c>
      <c r="CA389" t="s">
        <v>1439</v>
      </c>
      <c r="CB389" t="s">
        <v>227</v>
      </c>
      <c r="CC389" t="s">
        <v>1440</v>
      </c>
      <c r="CD389">
        <v>0</v>
      </c>
      <c r="CE389">
        <v>2</v>
      </c>
      <c r="CF389" t="s">
        <v>635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 t="s">
        <v>88</v>
      </c>
      <c r="CT389" t="s">
        <v>1441</v>
      </c>
      <c r="CU389" t="s">
        <v>1442</v>
      </c>
    </row>
    <row r="390" spans="1:99">
      <c r="A390" t="s">
        <v>1431</v>
      </c>
      <c r="B390" t="s">
        <v>34</v>
      </c>
      <c r="C390" t="s">
        <v>2458</v>
      </c>
      <c r="D390" t="s">
        <v>2459</v>
      </c>
      <c r="E390" t="s">
        <v>2460</v>
      </c>
      <c r="F390" t="s">
        <v>2346</v>
      </c>
      <c r="G390" t="s">
        <v>1489</v>
      </c>
      <c r="H390" t="s">
        <v>2461</v>
      </c>
      <c r="I390" t="s">
        <v>240</v>
      </c>
      <c r="J390" t="s">
        <v>46</v>
      </c>
      <c r="K390" t="s">
        <v>29</v>
      </c>
      <c r="L390" t="s">
        <v>30</v>
      </c>
      <c r="M390">
        <v>67</v>
      </c>
      <c r="N390" t="s">
        <v>32</v>
      </c>
      <c r="O390" t="s">
        <v>32</v>
      </c>
      <c r="Q390" t="s">
        <v>32</v>
      </c>
      <c r="S390" t="s">
        <v>40</v>
      </c>
      <c r="T390">
        <v>46068</v>
      </c>
      <c r="U390" t="s">
        <v>32</v>
      </c>
      <c r="V390" t="s">
        <v>32</v>
      </c>
      <c r="W390" t="s">
        <v>32</v>
      </c>
      <c r="X390" t="s">
        <v>32</v>
      </c>
      <c r="Y390" t="s">
        <v>32</v>
      </c>
      <c r="AA390" t="s">
        <v>88</v>
      </c>
      <c r="AB390" t="s">
        <v>32</v>
      </c>
      <c r="AE390" t="s">
        <v>32</v>
      </c>
      <c r="AH390" t="s">
        <v>32</v>
      </c>
      <c r="AK390" t="s">
        <v>32</v>
      </c>
      <c r="AN390" t="s">
        <v>32</v>
      </c>
      <c r="AO390" t="s">
        <v>32</v>
      </c>
      <c r="AR390">
        <v>0</v>
      </c>
      <c r="AU390" t="s">
        <v>32</v>
      </c>
      <c r="AV390">
        <v>1750905</v>
      </c>
      <c r="AW390" t="s">
        <v>32</v>
      </c>
      <c r="AX390" t="s">
        <v>32</v>
      </c>
      <c r="AY390" t="s">
        <v>317</v>
      </c>
      <c r="AZ390">
        <v>7</v>
      </c>
      <c r="BA390">
        <v>1000114</v>
      </c>
      <c r="BB390">
        <v>0.16</v>
      </c>
      <c r="BC390">
        <v>160100</v>
      </c>
      <c r="BD390" t="s">
        <v>142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160100</v>
      </c>
      <c r="BK390" t="s">
        <v>25</v>
      </c>
      <c r="BL390" t="s">
        <v>1064</v>
      </c>
      <c r="BM390">
        <v>7</v>
      </c>
      <c r="BN390">
        <v>1000114</v>
      </c>
      <c r="BO390">
        <v>0.04</v>
      </c>
      <c r="BP390">
        <v>40100</v>
      </c>
      <c r="BQ390">
        <v>0</v>
      </c>
      <c r="BR390" t="s">
        <v>1438</v>
      </c>
      <c r="BS390">
        <v>0</v>
      </c>
      <c r="BT390" t="s">
        <v>1438</v>
      </c>
      <c r="BU390">
        <v>0</v>
      </c>
      <c r="BV390" t="s">
        <v>25</v>
      </c>
      <c r="BW390" t="s">
        <v>189</v>
      </c>
      <c r="BX390">
        <v>7</v>
      </c>
      <c r="BY390">
        <v>1000114</v>
      </c>
      <c r="BZ390">
        <v>6.9599999999999995E-2</v>
      </c>
      <c r="CA390" t="s">
        <v>1439</v>
      </c>
      <c r="CB390" t="s">
        <v>227</v>
      </c>
      <c r="CC390" t="s">
        <v>1440</v>
      </c>
      <c r="CD390">
        <v>69700</v>
      </c>
      <c r="CE390">
        <v>7</v>
      </c>
      <c r="CF390" t="s">
        <v>635</v>
      </c>
      <c r="CG390">
        <v>1471150</v>
      </c>
      <c r="CH390">
        <v>0.04</v>
      </c>
      <c r="CI390">
        <v>58900</v>
      </c>
      <c r="CJ390">
        <v>1471150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 t="s">
        <v>88</v>
      </c>
      <c r="CT390" t="s">
        <v>1441</v>
      </c>
      <c r="CU390" t="s">
        <v>1442</v>
      </c>
    </row>
    <row r="391" spans="1:99">
      <c r="A391" t="s">
        <v>1431</v>
      </c>
      <c r="B391" t="s">
        <v>34</v>
      </c>
      <c r="C391" t="s">
        <v>2462</v>
      </c>
      <c r="D391" t="s">
        <v>2463</v>
      </c>
      <c r="E391" t="s">
        <v>2464</v>
      </c>
      <c r="F391" t="s">
        <v>1535</v>
      </c>
      <c r="G391" t="s">
        <v>2465</v>
      </c>
      <c r="H391" t="s">
        <v>1558</v>
      </c>
      <c r="I391" t="s">
        <v>682</v>
      </c>
      <c r="J391" t="s">
        <v>484</v>
      </c>
      <c r="K391" t="s">
        <v>29</v>
      </c>
      <c r="L391" t="s">
        <v>30</v>
      </c>
      <c r="M391">
        <v>0</v>
      </c>
      <c r="N391" t="s">
        <v>32</v>
      </c>
      <c r="O391" t="s">
        <v>32</v>
      </c>
      <c r="Q391" t="s">
        <v>32</v>
      </c>
      <c r="S391" t="s">
        <v>32</v>
      </c>
      <c r="U391" t="s">
        <v>32</v>
      </c>
      <c r="V391" t="s">
        <v>32</v>
      </c>
      <c r="W391" t="s">
        <v>32</v>
      </c>
      <c r="X391" t="s">
        <v>32</v>
      </c>
      <c r="Y391" t="s">
        <v>32</v>
      </c>
      <c r="AA391" t="s">
        <v>32</v>
      </c>
      <c r="AB391" t="s">
        <v>37</v>
      </c>
      <c r="AC391">
        <v>46054</v>
      </c>
      <c r="AD391">
        <v>46054</v>
      </c>
      <c r="AE391" t="s">
        <v>32</v>
      </c>
      <c r="AH391" t="s">
        <v>32</v>
      </c>
      <c r="AK391" t="s">
        <v>32</v>
      </c>
      <c r="AN391" t="s">
        <v>32</v>
      </c>
      <c r="AO391" t="s">
        <v>32</v>
      </c>
      <c r="AR391">
        <v>0</v>
      </c>
      <c r="AU391" t="s">
        <v>32</v>
      </c>
      <c r="AV391">
        <v>2056650</v>
      </c>
      <c r="AW391" t="s">
        <v>32</v>
      </c>
      <c r="AX391" t="s">
        <v>32</v>
      </c>
      <c r="AY391" t="s">
        <v>185</v>
      </c>
      <c r="AZ391">
        <v>1</v>
      </c>
      <c r="BA391">
        <v>68555</v>
      </c>
      <c r="BB391">
        <v>0.16</v>
      </c>
      <c r="BC391">
        <v>11000</v>
      </c>
      <c r="BD391" t="s">
        <v>142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11000</v>
      </c>
      <c r="BK391" t="s">
        <v>25</v>
      </c>
      <c r="BL391" t="s">
        <v>1064</v>
      </c>
      <c r="BM391">
        <v>1</v>
      </c>
      <c r="BN391">
        <v>68555</v>
      </c>
      <c r="BO391">
        <v>0</v>
      </c>
      <c r="BP391">
        <v>0</v>
      </c>
      <c r="BQ391">
        <v>0</v>
      </c>
      <c r="BR391" t="s">
        <v>1438</v>
      </c>
      <c r="BS391">
        <v>0</v>
      </c>
      <c r="BT391" t="s">
        <v>1438</v>
      </c>
      <c r="BU391">
        <v>0</v>
      </c>
      <c r="BV391" t="s">
        <v>25</v>
      </c>
      <c r="BW391" t="s">
        <v>189</v>
      </c>
      <c r="BX391">
        <v>1</v>
      </c>
      <c r="BY391">
        <v>68555</v>
      </c>
      <c r="BZ391">
        <v>0</v>
      </c>
      <c r="CA391" t="s">
        <v>1439</v>
      </c>
      <c r="CB391" t="s">
        <v>312</v>
      </c>
      <c r="CC391" t="s">
        <v>1440</v>
      </c>
      <c r="CD391">
        <v>0</v>
      </c>
      <c r="CE391">
        <v>1</v>
      </c>
      <c r="CF391" t="s">
        <v>466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 t="s">
        <v>88</v>
      </c>
      <c r="CT391" t="s">
        <v>1441</v>
      </c>
      <c r="CU391" t="s">
        <v>1442</v>
      </c>
    </row>
    <row r="392" spans="1:99">
      <c r="A392" t="s">
        <v>1431</v>
      </c>
      <c r="B392" t="s">
        <v>34</v>
      </c>
      <c r="C392" t="s">
        <v>2462</v>
      </c>
      <c r="D392" t="s">
        <v>2463</v>
      </c>
      <c r="E392" t="s">
        <v>2464</v>
      </c>
      <c r="F392" t="s">
        <v>1535</v>
      </c>
      <c r="G392" t="s">
        <v>2465</v>
      </c>
      <c r="H392" t="s">
        <v>1558</v>
      </c>
      <c r="I392" t="s">
        <v>682</v>
      </c>
      <c r="J392" t="s">
        <v>484</v>
      </c>
      <c r="K392" t="s">
        <v>29</v>
      </c>
      <c r="L392" t="s">
        <v>30</v>
      </c>
      <c r="M392">
        <v>206</v>
      </c>
      <c r="N392" t="s">
        <v>32</v>
      </c>
      <c r="O392" t="s">
        <v>32</v>
      </c>
      <c r="Q392" t="s">
        <v>32</v>
      </c>
      <c r="S392" t="s">
        <v>32</v>
      </c>
      <c r="U392" t="s">
        <v>32</v>
      </c>
      <c r="V392" t="s">
        <v>32</v>
      </c>
      <c r="W392" t="s">
        <v>32</v>
      </c>
      <c r="X392" t="s">
        <v>32</v>
      </c>
      <c r="Y392" t="s">
        <v>32</v>
      </c>
      <c r="AA392" t="s">
        <v>88</v>
      </c>
      <c r="AB392" t="s">
        <v>32</v>
      </c>
      <c r="AE392" t="s">
        <v>32</v>
      </c>
      <c r="AH392" t="s">
        <v>32</v>
      </c>
      <c r="AK392" t="s">
        <v>32</v>
      </c>
      <c r="AN392" t="s">
        <v>32</v>
      </c>
      <c r="AO392" t="s">
        <v>32</v>
      </c>
      <c r="AR392">
        <v>0</v>
      </c>
      <c r="AU392" t="s">
        <v>32</v>
      </c>
      <c r="AV392">
        <v>2056650</v>
      </c>
      <c r="AW392" t="s">
        <v>32</v>
      </c>
      <c r="AX392" t="s">
        <v>32</v>
      </c>
      <c r="AY392" t="s">
        <v>185</v>
      </c>
      <c r="AZ392">
        <v>29</v>
      </c>
      <c r="BA392">
        <v>2505810</v>
      </c>
      <c r="BB392">
        <v>0.16</v>
      </c>
      <c r="BC392">
        <v>401000</v>
      </c>
      <c r="BD392" t="s">
        <v>142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401000</v>
      </c>
      <c r="BK392" t="s">
        <v>25</v>
      </c>
      <c r="BL392" t="s">
        <v>1064</v>
      </c>
      <c r="BM392">
        <v>29</v>
      </c>
      <c r="BN392">
        <v>2505810</v>
      </c>
      <c r="BO392">
        <v>0.04</v>
      </c>
      <c r="BP392">
        <v>100300</v>
      </c>
      <c r="BQ392">
        <v>0</v>
      </c>
      <c r="BR392" t="s">
        <v>1438</v>
      </c>
      <c r="BS392">
        <v>0</v>
      </c>
      <c r="BT392" t="s">
        <v>1438</v>
      </c>
      <c r="BU392">
        <v>0</v>
      </c>
      <c r="BV392" t="s">
        <v>25</v>
      </c>
      <c r="BW392" t="s">
        <v>189</v>
      </c>
      <c r="BX392">
        <v>29</v>
      </c>
      <c r="BY392">
        <v>2505810</v>
      </c>
      <c r="BZ392">
        <v>6.9599999999999995E-2</v>
      </c>
      <c r="CA392" t="s">
        <v>1439</v>
      </c>
      <c r="CB392" t="s">
        <v>312</v>
      </c>
      <c r="CC392" t="s">
        <v>1440</v>
      </c>
      <c r="CD392">
        <v>174500</v>
      </c>
      <c r="CE392">
        <v>29</v>
      </c>
      <c r="CF392" t="s">
        <v>466</v>
      </c>
      <c r="CG392">
        <v>2374184</v>
      </c>
      <c r="CH392">
        <v>0.04</v>
      </c>
      <c r="CI392">
        <v>95000</v>
      </c>
      <c r="CJ392">
        <v>2374184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 t="s">
        <v>88</v>
      </c>
      <c r="CT392" t="s">
        <v>1441</v>
      </c>
      <c r="CU392" t="s">
        <v>1442</v>
      </c>
    </row>
    <row r="393" spans="1:99">
      <c r="A393" t="s">
        <v>1431</v>
      </c>
      <c r="B393" t="s">
        <v>34</v>
      </c>
      <c r="C393" t="s">
        <v>2466</v>
      </c>
      <c r="D393" t="s">
        <v>2467</v>
      </c>
      <c r="E393" t="s">
        <v>1566</v>
      </c>
      <c r="F393" t="s">
        <v>1644</v>
      </c>
      <c r="G393" t="s">
        <v>2468</v>
      </c>
      <c r="H393" t="s">
        <v>1503</v>
      </c>
      <c r="I393" t="s">
        <v>682</v>
      </c>
      <c r="J393" t="s">
        <v>484</v>
      </c>
      <c r="K393" t="s">
        <v>29</v>
      </c>
      <c r="L393" t="s">
        <v>30</v>
      </c>
      <c r="M393">
        <v>221</v>
      </c>
      <c r="N393" t="s">
        <v>32</v>
      </c>
      <c r="O393" t="s">
        <v>32</v>
      </c>
      <c r="Q393" t="s">
        <v>32</v>
      </c>
      <c r="S393" t="s">
        <v>32</v>
      </c>
      <c r="U393" t="s">
        <v>32</v>
      </c>
      <c r="V393" t="s">
        <v>32</v>
      </c>
      <c r="W393" t="s">
        <v>32</v>
      </c>
      <c r="X393" t="s">
        <v>32</v>
      </c>
      <c r="Y393" t="s">
        <v>32</v>
      </c>
      <c r="AA393" t="s">
        <v>88</v>
      </c>
      <c r="AB393" t="s">
        <v>32</v>
      </c>
      <c r="AE393" t="s">
        <v>32</v>
      </c>
      <c r="AH393" t="s">
        <v>32</v>
      </c>
      <c r="AK393" t="s">
        <v>32</v>
      </c>
      <c r="AN393" t="s">
        <v>32</v>
      </c>
      <c r="AO393" t="s">
        <v>32</v>
      </c>
      <c r="AR393">
        <v>0</v>
      </c>
      <c r="AU393" t="s">
        <v>32</v>
      </c>
      <c r="AV393">
        <v>2056650</v>
      </c>
      <c r="AW393" t="s">
        <v>32</v>
      </c>
      <c r="AX393" t="s">
        <v>32</v>
      </c>
      <c r="AY393" t="s">
        <v>356</v>
      </c>
      <c r="AZ393">
        <v>30</v>
      </c>
      <c r="BA393">
        <v>2687880</v>
      </c>
      <c r="BB393">
        <v>0.16</v>
      </c>
      <c r="BC393">
        <v>430100</v>
      </c>
      <c r="BD393" t="s">
        <v>142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430100</v>
      </c>
      <c r="BK393" t="s">
        <v>25</v>
      </c>
      <c r="BL393" t="s">
        <v>1064</v>
      </c>
      <c r="BM393">
        <v>30</v>
      </c>
      <c r="BN393">
        <v>2687880</v>
      </c>
      <c r="BO393">
        <v>0.04</v>
      </c>
      <c r="BP393">
        <v>107600</v>
      </c>
      <c r="BQ393">
        <v>0</v>
      </c>
      <c r="BR393" t="s">
        <v>1438</v>
      </c>
      <c r="BS393">
        <v>0</v>
      </c>
      <c r="BT393" t="s">
        <v>1438</v>
      </c>
      <c r="BU393">
        <v>0</v>
      </c>
      <c r="BV393" t="s">
        <v>25</v>
      </c>
      <c r="BW393" t="s">
        <v>189</v>
      </c>
      <c r="BX393">
        <v>30</v>
      </c>
      <c r="BY393">
        <v>2687880</v>
      </c>
      <c r="BZ393">
        <v>6.9599999999999995E-2</v>
      </c>
      <c r="CA393" t="s">
        <v>1439</v>
      </c>
      <c r="CB393" t="s">
        <v>312</v>
      </c>
      <c r="CC393" t="s">
        <v>1440</v>
      </c>
      <c r="CD393">
        <v>187100</v>
      </c>
      <c r="CE393">
        <v>30</v>
      </c>
      <c r="CF393" t="s">
        <v>466</v>
      </c>
      <c r="CG393">
        <v>2612179</v>
      </c>
      <c r="CH393">
        <v>0.04</v>
      </c>
      <c r="CI393">
        <v>104500</v>
      </c>
      <c r="CJ393">
        <v>2612179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 t="s">
        <v>88</v>
      </c>
      <c r="CT393" t="s">
        <v>1441</v>
      </c>
      <c r="CU393" t="s">
        <v>1442</v>
      </c>
    </row>
    <row r="394" spans="1:99">
      <c r="A394" t="s">
        <v>1431</v>
      </c>
      <c r="B394" t="s">
        <v>34</v>
      </c>
      <c r="C394" t="s">
        <v>2469</v>
      </c>
      <c r="D394" t="s">
        <v>2470</v>
      </c>
      <c r="E394" t="s">
        <v>1561</v>
      </c>
      <c r="F394" t="s">
        <v>667</v>
      </c>
      <c r="G394" t="s">
        <v>2471</v>
      </c>
      <c r="H394" t="s">
        <v>2472</v>
      </c>
      <c r="I394" t="s">
        <v>682</v>
      </c>
      <c r="J394" t="s">
        <v>484</v>
      </c>
      <c r="K394" t="s">
        <v>29</v>
      </c>
      <c r="L394" t="s">
        <v>30</v>
      </c>
      <c r="M394">
        <v>0</v>
      </c>
      <c r="N394" t="s">
        <v>32</v>
      </c>
      <c r="O394" t="s">
        <v>32</v>
      </c>
      <c r="Q394" t="s">
        <v>32</v>
      </c>
      <c r="S394" t="s">
        <v>32</v>
      </c>
      <c r="U394" t="s">
        <v>32</v>
      </c>
      <c r="V394" t="s">
        <v>32</v>
      </c>
      <c r="W394" t="s">
        <v>32</v>
      </c>
      <c r="X394" t="s">
        <v>32</v>
      </c>
      <c r="Y394" t="s">
        <v>32</v>
      </c>
      <c r="AA394" t="s">
        <v>32</v>
      </c>
      <c r="AB394" t="s">
        <v>32</v>
      </c>
      <c r="AE394" t="s">
        <v>32</v>
      </c>
      <c r="AH394" t="s">
        <v>32</v>
      </c>
      <c r="AK394" t="s">
        <v>128</v>
      </c>
      <c r="AL394">
        <v>46069</v>
      </c>
      <c r="AM394">
        <v>46073</v>
      </c>
      <c r="AN394" t="s">
        <v>32</v>
      </c>
      <c r="AO394" t="s">
        <v>32</v>
      </c>
      <c r="AR394">
        <v>0</v>
      </c>
      <c r="AU394" t="s">
        <v>32</v>
      </c>
      <c r="AV394">
        <v>2223339</v>
      </c>
      <c r="AW394" t="s">
        <v>32</v>
      </c>
      <c r="AX394" t="s">
        <v>32</v>
      </c>
      <c r="AY394" t="s">
        <v>185</v>
      </c>
      <c r="AZ394">
        <v>5</v>
      </c>
      <c r="BA394">
        <v>370557</v>
      </c>
      <c r="BB394">
        <v>0.16</v>
      </c>
      <c r="BC394">
        <v>59300</v>
      </c>
      <c r="BD394" t="s">
        <v>142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59300</v>
      </c>
      <c r="BK394" t="s">
        <v>25</v>
      </c>
      <c r="BL394" t="s">
        <v>885</v>
      </c>
      <c r="BM394">
        <v>5</v>
      </c>
      <c r="BN394">
        <v>370557</v>
      </c>
      <c r="BO394">
        <v>0.04</v>
      </c>
      <c r="BP394">
        <v>14900</v>
      </c>
      <c r="BQ394">
        <v>0</v>
      </c>
      <c r="BR394" t="s">
        <v>1438</v>
      </c>
      <c r="BS394">
        <v>0</v>
      </c>
      <c r="BT394" t="s">
        <v>1438</v>
      </c>
      <c r="BU394">
        <v>0</v>
      </c>
      <c r="BV394" t="s">
        <v>25</v>
      </c>
      <c r="BW394" t="s">
        <v>189</v>
      </c>
      <c r="BX394">
        <v>5</v>
      </c>
      <c r="BY394">
        <v>370557</v>
      </c>
      <c r="BZ394">
        <v>0</v>
      </c>
      <c r="CA394" t="s">
        <v>1439</v>
      </c>
      <c r="CB394" t="s">
        <v>312</v>
      </c>
      <c r="CC394" t="s">
        <v>1440</v>
      </c>
      <c r="CD394">
        <v>0</v>
      </c>
      <c r="CE394">
        <v>5</v>
      </c>
      <c r="CF394" t="s">
        <v>466</v>
      </c>
      <c r="CG394">
        <v>370557</v>
      </c>
      <c r="CH394">
        <v>0.04</v>
      </c>
      <c r="CI394">
        <v>14900</v>
      </c>
      <c r="CJ394">
        <v>370557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 t="s">
        <v>88</v>
      </c>
      <c r="CT394" t="s">
        <v>1441</v>
      </c>
      <c r="CU394" t="s">
        <v>1442</v>
      </c>
    </row>
    <row r="395" spans="1:99">
      <c r="A395" t="s">
        <v>1431</v>
      </c>
      <c r="B395" t="s">
        <v>34</v>
      </c>
      <c r="C395" t="s">
        <v>2469</v>
      </c>
      <c r="D395" t="s">
        <v>2470</v>
      </c>
      <c r="E395" t="s">
        <v>1561</v>
      </c>
      <c r="F395" t="s">
        <v>667</v>
      </c>
      <c r="G395" t="s">
        <v>2471</v>
      </c>
      <c r="H395" t="s">
        <v>2472</v>
      </c>
      <c r="I395" t="s">
        <v>682</v>
      </c>
      <c r="J395" t="s">
        <v>484</v>
      </c>
      <c r="K395" t="s">
        <v>29</v>
      </c>
      <c r="L395" t="s">
        <v>30</v>
      </c>
      <c r="M395">
        <v>156</v>
      </c>
      <c r="N395" t="s">
        <v>32</v>
      </c>
      <c r="O395" t="s">
        <v>32</v>
      </c>
      <c r="Q395" t="s">
        <v>32</v>
      </c>
      <c r="S395" t="s">
        <v>32</v>
      </c>
      <c r="U395" t="s">
        <v>32</v>
      </c>
      <c r="V395" t="s">
        <v>32</v>
      </c>
      <c r="W395" t="s">
        <v>32</v>
      </c>
      <c r="X395" t="s">
        <v>32</v>
      </c>
      <c r="Y395" t="s">
        <v>32</v>
      </c>
      <c r="AA395" t="s">
        <v>88</v>
      </c>
      <c r="AB395" t="s">
        <v>32</v>
      </c>
      <c r="AE395" t="s">
        <v>32</v>
      </c>
      <c r="AH395" t="s">
        <v>32</v>
      </c>
      <c r="AK395" t="s">
        <v>32</v>
      </c>
      <c r="AN395" t="s">
        <v>32</v>
      </c>
      <c r="AO395" t="s">
        <v>32</v>
      </c>
      <c r="AR395">
        <v>0</v>
      </c>
      <c r="AU395" t="s">
        <v>32</v>
      </c>
      <c r="AV395">
        <v>2223339</v>
      </c>
      <c r="AW395" t="s">
        <v>32</v>
      </c>
      <c r="AX395" t="s">
        <v>32</v>
      </c>
      <c r="AY395" t="s">
        <v>185</v>
      </c>
      <c r="AZ395">
        <v>25</v>
      </c>
      <c r="BA395">
        <v>2258150</v>
      </c>
      <c r="BB395">
        <v>0.16</v>
      </c>
      <c r="BC395">
        <v>361400</v>
      </c>
      <c r="BD395" t="s">
        <v>142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361400</v>
      </c>
      <c r="BK395" t="s">
        <v>25</v>
      </c>
      <c r="BL395" t="s">
        <v>885</v>
      </c>
      <c r="BM395">
        <v>25</v>
      </c>
      <c r="BN395">
        <v>2258150</v>
      </c>
      <c r="BO395">
        <v>0.04</v>
      </c>
      <c r="BP395">
        <v>90400</v>
      </c>
      <c r="BQ395">
        <v>0</v>
      </c>
      <c r="BR395" t="s">
        <v>1438</v>
      </c>
      <c r="BS395">
        <v>0</v>
      </c>
      <c r="BT395" t="s">
        <v>1438</v>
      </c>
      <c r="BU395">
        <v>0</v>
      </c>
      <c r="BV395" t="s">
        <v>25</v>
      </c>
      <c r="BW395" t="s">
        <v>189</v>
      </c>
      <c r="BX395">
        <v>25</v>
      </c>
      <c r="BY395">
        <v>2258150</v>
      </c>
      <c r="BZ395">
        <v>6.9599999999999995E-2</v>
      </c>
      <c r="CA395" t="s">
        <v>1439</v>
      </c>
      <c r="CB395" t="s">
        <v>312</v>
      </c>
      <c r="CC395" t="s">
        <v>1440</v>
      </c>
      <c r="CD395">
        <v>157200</v>
      </c>
      <c r="CE395">
        <v>25</v>
      </c>
      <c r="CF395" t="s">
        <v>466</v>
      </c>
      <c r="CG395">
        <v>2207001</v>
      </c>
      <c r="CH395">
        <v>0.04</v>
      </c>
      <c r="CI395">
        <v>88300</v>
      </c>
      <c r="CJ395">
        <v>2207001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 t="s">
        <v>88</v>
      </c>
      <c r="CT395" t="s">
        <v>1441</v>
      </c>
      <c r="CU395" t="s">
        <v>1442</v>
      </c>
    </row>
    <row r="396" spans="1:99">
      <c r="A396" t="s">
        <v>1431</v>
      </c>
      <c r="B396" t="s">
        <v>34</v>
      </c>
      <c r="C396" t="s">
        <v>2473</v>
      </c>
      <c r="D396" t="s">
        <v>2474</v>
      </c>
      <c r="E396" t="s">
        <v>2475</v>
      </c>
      <c r="F396" t="s">
        <v>510</v>
      </c>
      <c r="G396" t="s">
        <v>2476</v>
      </c>
      <c r="H396" t="s">
        <v>1558</v>
      </c>
      <c r="I396" t="s">
        <v>682</v>
      </c>
      <c r="J396" t="s">
        <v>484</v>
      </c>
      <c r="K396" t="s">
        <v>29</v>
      </c>
      <c r="L396" t="s">
        <v>30</v>
      </c>
      <c r="M396">
        <v>216</v>
      </c>
      <c r="N396" t="s">
        <v>32</v>
      </c>
      <c r="O396" t="s">
        <v>32</v>
      </c>
      <c r="Q396" t="s">
        <v>32</v>
      </c>
      <c r="S396" t="s">
        <v>32</v>
      </c>
      <c r="U396" t="s">
        <v>32</v>
      </c>
      <c r="V396" t="s">
        <v>32</v>
      </c>
      <c r="W396" t="s">
        <v>32</v>
      </c>
      <c r="X396" t="s">
        <v>32</v>
      </c>
      <c r="Y396" t="s">
        <v>32</v>
      </c>
      <c r="AA396" t="s">
        <v>88</v>
      </c>
      <c r="AB396" t="s">
        <v>32</v>
      </c>
      <c r="AE396" t="s">
        <v>32</v>
      </c>
      <c r="AH396" t="s">
        <v>32</v>
      </c>
      <c r="AK396" t="s">
        <v>32</v>
      </c>
      <c r="AN396" t="s">
        <v>32</v>
      </c>
      <c r="AO396" t="s">
        <v>32</v>
      </c>
      <c r="AR396">
        <v>0</v>
      </c>
      <c r="AU396" t="s">
        <v>32</v>
      </c>
      <c r="AV396">
        <v>2056650</v>
      </c>
      <c r="AW396" t="s">
        <v>32</v>
      </c>
      <c r="AX396" t="s">
        <v>32</v>
      </c>
      <c r="AY396" t="s">
        <v>356</v>
      </c>
      <c r="AZ396">
        <v>30</v>
      </c>
      <c r="BA396">
        <v>2652824</v>
      </c>
      <c r="BB396">
        <v>0.16</v>
      </c>
      <c r="BC396">
        <v>424500</v>
      </c>
      <c r="BD396" t="s">
        <v>142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424500</v>
      </c>
      <c r="BK396" t="s">
        <v>25</v>
      </c>
      <c r="BL396" t="s">
        <v>748</v>
      </c>
      <c r="BM396">
        <v>30</v>
      </c>
      <c r="BN396">
        <v>2652824</v>
      </c>
      <c r="BO396">
        <v>0.04</v>
      </c>
      <c r="BP396">
        <v>106200</v>
      </c>
      <c r="BQ396">
        <v>0</v>
      </c>
      <c r="BR396" t="s">
        <v>1438</v>
      </c>
      <c r="BS396">
        <v>0</v>
      </c>
      <c r="BT396" t="s">
        <v>1438</v>
      </c>
      <c r="BU396">
        <v>0</v>
      </c>
      <c r="BV396" t="s">
        <v>25</v>
      </c>
      <c r="BW396" t="s">
        <v>189</v>
      </c>
      <c r="BX396">
        <v>30</v>
      </c>
      <c r="BY396">
        <v>2652824</v>
      </c>
      <c r="BZ396">
        <v>6.9599999999999995E-2</v>
      </c>
      <c r="CA396" t="s">
        <v>1439</v>
      </c>
      <c r="CB396" t="s">
        <v>312</v>
      </c>
      <c r="CC396" t="s">
        <v>1440</v>
      </c>
      <c r="CD396">
        <v>184700</v>
      </c>
      <c r="CE396">
        <v>30</v>
      </c>
      <c r="CF396" t="s">
        <v>466</v>
      </c>
      <c r="CG396">
        <v>2553752</v>
      </c>
      <c r="CH396">
        <v>0.04</v>
      </c>
      <c r="CI396">
        <v>102200</v>
      </c>
      <c r="CJ396">
        <v>2553752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 t="s">
        <v>88</v>
      </c>
      <c r="CT396" t="s">
        <v>1441</v>
      </c>
      <c r="CU396" t="s">
        <v>1442</v>
      </c>
    </row>
    <row r="397" spans="1:99">
      <c r="A397" t="s">
        <v>1431</v>
      </c>
      <c r="B397" t="s">
        <v>34</v>
      </c>
      <c r="C397" t="s">
        <v>2477</v>
      </c>
      <c r="D397" t="s">
        <v>2478</v>
      </c>
      <c r="E397" t="s">
        <v>1555</v>
      </c>
      <c r="F397" t="s">
        <v>1562</v>
      </c>
      <c r="G397" t="s">
        <v>2479</v>
      </c>
      <c r="H397" t="s">
        <v>1558</v>
      </c>
      <c r="I397" t="s">
        <v>682</v>
      </c>
      <c r="J397" t="s">
        <v>484</v>
      </c>
      <c r="K397" t="s">
        <v>29</v>
      </c>
      <c r="L397" t="s">
        <v>30</v>
      </c>
      <c r="M397">
        <v>203</v>
      </c>
      <c r="N397" t="s">
        <v>32</v>
      </c>
      <c r="O397" t="s">
        <v>32</v>
      </c>
      <c r="Q397" t="s">
        <v>32</v>
      </c>
      <c r="S397" t="s">
        <v>32</v>
      </c>
      <c r="U397" t="s">
        <v>32</v>
      </c>
      <c r="V397" t="s">
        <v>32</v>
      </c>
      <c r="W397" t="s">
        <v>32</v>
      </c>
      <c r="X397" t="s">
        <v>32</v>
      </c>
      <c r="Y397" t="s">
        <v>88</v>
      </c>
      <c r="Z397">
        <v>46054</v>
      </c>
      <c r="AA397" t="s">
        <v>88</v>
      </c>
      <c r="AB397" t="s">
        <v>32</v>
      </c>
      <c r="AE397" t="s">
        <v>32</v>
      </c>
      <c r="AH397" t="s">
        <v>32</v>
      </c>
      <c r="AK397" t="s">
        <v>32</v>
      </c>
      <c r="AN397" t="s">
        <v>32</v>
      </c>
      <c r="AO397" t="s">
        <v>32</v>
      </c>
      <c r="AR397">
        <v>0</v>
      </c>
      <c r="AU397" t="s">
        <v>32</v>
      </c>
      <c r="AV397">
        <v>2457591</v>
      </c>
      <c r="AW397" t="s">
        <v>32</v>
      </c>
      <c r="AX397" t="s">
        <v>32</v>
      </c>
      <c r="AY397" t="s">
        <v>317</v>
      </c>
      <c r="AZ397">
        <v>30</v>
      </c>
      <c r="BA397">
        <v>2778754</v>
      </c>
      <c r="BB397">
        <v>0.16</v>
      </c>
      <c r="BC397">
        <v>444700</v>
      </c>
      <c r="BD397" t="s">
        <v>142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444700</v>
      </c>
      <c r="BK397" t="s">
        <v>25</v>
      </c>
      <c r="BL397" t="s">
        <v>1071</v>
      </c>
      <c r="BM397">
        <v>30</v>
      </c>
      <c r="BN397">
        <v>2778754</v>
      </c>
      <c r="BO397">
        <v>0.04</v>
      </c>
      <c r="BP397">
        <v>111200</v>
      </c>
      <c r="BQ397">
        <v>0</v>
      </c>
      <c r="BR397" t="s">
        <v>1438</v>
      </c>
      <c r="BS397">
        <v>0</v>
      </c>
      <c r="BT397" t="s">
        <v>1438</v>
      </c>
      <c r="BU397">
        <v>0</v>
      </c>
      <c r="BV397" t="s">
        <v>25</v>
      </c>
      <c r="BW397" t="s">
        <v>189</v>
      </c>
      <c r="BX397">
        <v>30</v>
      </c>
      <c r="BY397">
        <v>2778754</v>
      </c>
      <c r="BZ397">
        <v>6.9599999999999995E-2</v>
      </c>
      <c r="CA397" t="s">
        <v>1439</v>
      </c>
      <c r="CB397" t="s">
        <v>312</v>
      </c>
      <c r="CC397" t="s">
        <v>1440</v>
      </c>
      <c r="CD397">
        <v>193500</v>
      </c>
      <c r="CE397">
        <v>30</v>
      </c>
      <c r="CF397" t="s">
        <v>466</v>
      </c>
      <c r="CG397">
        <v>2778754</v>
      </c>
      <c r="CH397">
        <v>0.04</v>
      </c>
      <c r="CI397">
        <v>111200</v>
      </c>
      <c r="CJ397">
        <v>2778754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 t="s">
        <v>88</v>
      </c>
      <c r="CT397" t="s">
        <v>1441</v>
      </c>
      <c r="CU397" t="s">
        <v>1442</v>
      </c>
    </row>
    <row r="398" spans="1:99">
      <c r="A398" t="s">
        <v>1431</v>
      </c>
      <c r="B398" t="s">
        <v>34</v>
      </c>
      <c r="C398" t="s">
        <v>2480</v>
      </c>
      <c r="D398" t="s">
        <v>2481</v>
      </c>
      <c r="E398" t="s">
        <v>2482</v>
      </c>
      <c r="F398" t="s">
        <v>2483</v>
      </c>
      <c r="G398" t="s">
        <v>1673</v>
      </c>
      <c r="H398" t="s">
        <v>1674</v>
      </c>
      <c r="I398" t="s">
        <v>240</v>
      </c>
      <c r="J398" t="s">
        <v>46</v>
      </c>
      <c r="K398" t="s">
        <v>29</v>
      </c>
      <c r="L398" t="s">
        <v>30</v>
      </c>
      <c r="M398">
        <v>0</v>
      </c>
      <c r="N398" t="s">
        <v>32</v>
      </c>
      <c r="O398" t="s">
        <v>32</v>
      </c>
      <c r="Q398" t="s">
        <v>32</v>
      </c>
      <c r="S398" t="s">
        <v>32</v>
      </c>
      <c r="U398" t="s">
        <v>32</v>
      </c>
      <c r="V398" t="s">
        <v>32</v>
      </c>
      <c r="W398" t="s">
        <v>32</v>
      </c>
      <c r="X398" t="s">
        <v>32</v>
      </c>
      <c r="Y398" t="s">
        <v>32</v>
      </c>
      <c r="AA398" t="s">
        <v>32</v>
      </c>
      <c r="AB398" t="s">
        <v>32</v>
      </c>
      <c r="AE398" t="s">
        <v>32</v>
      </c>
      <c r="AH398" t="s">
        <v>32</v>
      </c>
      <c r="AK398" t="s">
        <v>128</v>
      </c>
      <c r="AL398">
        <v>46069</v>
      </c>
      <c r="AM398">
        <v>46075</v>
      </c>
      <c r="AN398" t="s">
        <v>32</v>
      </c>
      <c r="AO398" t="s">
        <v>32</v>
      </c>
      <c r="AR398">
        <v>0</v>
      </c>
      <c r="AU398" t="s">
        <v>32</v>
      </c>
      <c r="AV398">
        <v>8150490</v>
      </c>
      <c r="AW398" t="s">
        <v>32</v>
      </c>
      <c r="AX398" t="s">
        <v>32</v>
      </c>
      <c r="AY398" t="s">
        <v>185</v>
      </c>
      <c r="AZ398">
        <v>7</v>
      </c>
      <c r="BA398">
        <v>1901781</v>
      </c>
      <c r="BB398">
        <v>0.16</v>
      </c>
      <c r="BC398">
        <v>304300</v>
      </c>
      <c r="BD398" t="s">
        <v>142</v>
      </c>
      <c r="BE398">
        <v>0</v>
      </c>
      <c r="BF398">
        <v>0</v>
      </c>
      <c r="BG398">
        <v>9600</v>
      </c>
      <c r="BH398">
        <v>9600</v>
      </c>
      <c r="BI398">
        <v>0</v>
      </c>
      <c r="BJ398">
        <v>323500</v>
      </c>
      <c r="BK398" t="s">
        <v>25</v>
      </c>
      <c r="BL398" t="s">
        <v>1071</v>
      </c>
      <c r="BM398">
        <v>7</v>
      </c>
      <c r="BN398">
        <v>1901781</v>
      </c>
      <c r="BO398">
        <v>0.04</v>
      </c>
      <c r="BP398">
        <v>76100</v>
      </c>
      <c r="BQ398">
        <v>0</v>
      </c>
      <c r="BR398" t="s">
        <v>1438</v>
      </c>
      <c r="BS398">
        <v>0</v>
      </c>
      <c r="BT398" t="s">
        <v>1438</v>
      </c>
      <c r="BU398">
        <v>0</v>
      </c>
      <c r="BV398" t="s">
        <v>25</v>
      </c>
      <c r="BW398" t="s">
        <v>189</v>
      </c>
      <c r="BX398">
        <v>7</v>
      </c>
      <c r="BY398">
        <v>1901781</v>
      </c>
      <c r="BZ398">
        <v>0</v>
      </c>
      <c r="CA398" t="s">
        <v>1439</v>
      </c>
      <c r="CB398" t="s">
        <v>227</v>
      </c>
      <c r="CC398" t="s">
        <v>1440</v>
      </c>
      <c r="CD398">
        <v>0</v>
      </c>
      <c r="CE398">
        <v>7</v>
      </c>
      <c r="CF398" t="s">
        <v>635</v>
      </c>
      <c r="CG398">
        <v>1901781</v>
      </c>
      <c r="CH398">
        <v>0.04</v>
      </c>
      <c r="CI398">
        <v>76100</v>
      </c>
      <c r="CJ398">
        <v>1901781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 t="s">
        <v>88</v>
      </c>
      <c r="CT398" t="s">
        <v>1441</v>
      </c>
      <c r="CU398" t="s">
        <v>1442</v>
      </c>
    </row>
    <row r="399" spans="1:99">
      <c r="A399" t="s">
        <v>1431</v>
      </c>
      <c r="B399" t="s">
        <v>34</v>
      </c>
      <c r="C399" t="s">
        <v>2480</v>
      </c>
      <c r="D399" t="s">
        <v>2481</v>
      </c>
      <c r="E399" t="s">
        <v>2482</v>
      </c>
      <c r="F399" t="s">
        <v>2483</v>
      </c>
      <c r="G399" t="s">
        <v>1673</v>
      </c>
      <c r="H399" t="s">
        <v>1674</v>
      </c>
      <c r="I399" t="s">
        <v>240</v>
      </c>
      <c r="J399" t="s">
        <v>46</v>
      </c>
      <c r="K399" t="s">
        <v>29</v>
      </c>
      <c r="L399" t="s">
        <v>30</v>
      </c>
      <c r="M399">
        <v>135</v>
      </c>
      <c r="N399" t="s">
        <v>32</v>
      </c>
      <c r="O399" t="s">
        <v>32</v>
      </c>
      <c r="Q399" t="s">
        <v>32</v>
      </c>
      <c r="S399" t="s">
        <v>32</v>
      </c>
      <c r="U399" t="s">
        <v>32</v>
      </c>
      <c r="V399" t="s">
        <v>32</v>
      </c>
      <c r="W399" t="s">
        <v>32</v>
      </c>
      <c r="X399" t="s">
        <v>32</v>
      </c>
      <c r="Y399" t="s">
        <v>32</v>
      </c>
      <c r="AA399" t="s">
        <v>32</v>
      </c>
      <c r="AB399" t="s">
        <v>32</v>
      </c>
      <c r="AE399" t="s">
        <v>32</v>
      </c>
      <c r="AH399" t="s">
        <v>32</v>
      </c>
      <c r="AK399" t="s">
        <v>32</v>
      </c>
      <c r="AN399" t="s">
        <v>32</v>
      </c>
      <c r="AO399" t="s">
        <v>32</v>
      </c>
      <c r="AR399">
        <v>0</v>
      </c>
      <c r="AU399" t="s">
        <v>32</v>
      </c>
      <c r="AV399">
        <v>8150490</v>
      </c>
      <c r="AW399" t="s">
        <v>32</v>
      </c>
      <c r="AX399" t="s">
        <v>32</v>
      </c>
      <c r="AY399" t="s">
        <v>185</v>
      </c>
      <c r="AZ399">
        <v>23</v>
      </c>
      <c r="BA399">
        <v>6248709</v>
      </c>
      <c r="BB399">
        <v>0.16</v>
      </c>
      <c r="BC399">
        <v>999800</v>
      </c>
      <c r="BD399" t="s">
        <v>142</v>
      </c>
      <c r="BE399">
        <v>0</v>
      </c>
      <c r="BF399">
        <v>0</v>
      </c>
      <c r="BG399">
        <v>31300</v>
      </c>
      <c r="BH399">
        <v>31300</v>
      </c>
      <c r="BI399">
        <v>0</v>
      </c>
      <c r="BJ399">
        <v>1062400</v>
      </c>
      <c r="BK399" t="s">
        <v>25</v>
      </c>
      <c r="BL399" t="s">
        <v>1071</v>
      </c>
      <c r="BM399">
        <v>23</v>
      </c>
      <c r="BN399">
        <v>6248709</v>
      </c>
      <c r="BO399">
        <v>0.04</v>
      </c>
      <c r="BP399">
        <v>250000</v>
      </c>
      <c r="BQ399">
        <v>0</v>
      </c>
      <c r="BR399" t="s">
        <v>1438</v>
      </c>
      <c r="BS399">
        <v>0</v>
      </c>
      <c r="BT399" t="s">
        <v>1438</v>
      </c>
      <c r="BU399">
        <v>0</v>
      </c>
      <c r="BV399" t="s">
        <v>25</v>
      </c>
      <c r="BW399" t="s">
        <v>189</v>
      </c>
      <c r="BX399">
        <v>23</v>
      </c>
      <c r="BY399">
        <v>6248709</v>
      </c>
      <c r="BZ399">
        <v>6.9599999999999995E-2</v>
      </c>
      <c r="CA399" t="s">
        <v>1439</v>
      </c>
      <c r="CB399" t="s">
        <v>227</v>
      </c>
      <c r="CC399" t="s">
        <v>1440</v>
      </c>
      <c r="CD399">
        <v>435000</v>
      </c>
      <c r="CE399">
        <v>23</v>
      </c>
      <c r="CF399" t="s">
        <v>635</v>
      </c>
      <c r="CG399">
        <v>6248709</v>
      </c>
      <c r="CH399">
        <v>0.04</v>
      </c>
      <c r="CI399">
        <v>250000</v>
      </c>
      <c r="CJ399">
        <v>6248709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 t="s">
        <v>88</v>
      </c>
      <c r="CT399" t="s">
        <v>1441</v>
      </c>
      <c r="CU399" t="s">
        <v>1442</v>
      </c>
    </row>
    <row r="400" spans="1:99">
      <c r="A400" t="s">
        <v>1431</v>
      </c>
      <c r="B400" t="s">
        <v>34</v>
      </c>
      <c r="C400" t="s">
        <v>2484</v>
      </c>
      <c r="D400" t="s">
        <v>2485</v>
      </c>
      <c r="E400" t="s">
        <v>1517</v>
      </c>
      <c r="F400" t="s">
        <v>992</v>
      </c>
      <c r="G400" t="s">
        <v>2486</v>
      </c>
      <c r="H400" t="s">
        <v>1558</v>
      </c>
      <c r="I400" t="s">
        <v>240</v>
      </c>
      <c r="J400" t="s">
        <v>46</v>
      </c>
      <c r="K400" t="s">
        <v>29</v>
      </c>
      <c r="L400" t="s">
        <v>30</v>
      </c>
      <c r="M400">
        <v>0</v>
      </c>
      <c r="N400" t="s">
        <v>32</v>
      </c>
      <c r="O400" t="s">
        <v>32</v>
      </c>
      <c r="Q400" t="s">
        <v>32</v>
      </c>
      <c r="S400" t="s">
        <v>32</v>
      </c>
      <c r="U400" t="s">
        <v>32</v>
      </c>
      <c r="V400" t="s">
        <v>32</v>
      </c>
      <c r="W400" t="s">
        <v>32</v>
      </c>
      <c r="X400" t="s">
        <v>32</v>
      </c>
      <c r="Y400" t="s">
        <v>32</v>
      </c>
      <c r="AA400" t="s">
        <v>32</v>
      </c>
      <c r="AB400" t="s">
        <v>32</v>
      </c>
      <c r="AE400" t="s">
        <v>32</v>
      </c>
      <c r="AH400" t="s">
        <v>32</v>
      </c>
      <c r="AK400" t="s">
        <v>128</v>
      </c>
      <c r="AL400">
        <v>46054</v>
      </c>
      <c r="AM400">
        <v>46054</v>
      </c>
      <c r="AN400" t="s">
        <v>32</v>
      </c>
      <c r="AO400" t="s">
        <v>32</v>
      </c>
      <c r="AR400">
        <v>0</v>
      </c>
      <c r="AU400" t="s">
        <v>32</v>
      </c>
      <c r="AV400">
        <v>3050412</v>
      </c>
      <c r="AW400" t="s">
        <v>32</v>
      </c>
      <c r="AX400" t="s">
        <v>88</v>
      </c>
      <c r="AY400" t="s">
        <v>137</v>
      </c>
      <c r="AZ400">
        <v>1</v>
      </c>
      <c r="BA400">
        <v>101681</v>
      </c>
      <c r="BB400">
        <v>0.16</v>
      </c>
      <c r="BC400">
        <v>16300</v>
      </c>
      <c r="BD400" t="s">
        <v>142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16300</v>
      </c>
      <c r="BK400" t="s">
        <v>25</v>
      </c>
      <c r="BL400" t="s">
        <v>1071</v>
      </c>
      <c r="BM400">
        <v>1</v>
      </c>
      <c r="BN400">
        <v>101681</v>
      </c>
      <c r="BO400">
        <v>0.04</v>
      </c>
      <c r="BP400">
        <v>4100</v>
      </c>
      <c r="BQ400">
        <v>0</v>
      </c>
      <c r="BR400" t="s">
        <v>1438</v>
      </c>
      <c r="BS400">
        <v>0</v>
      </c>
      <c r="BT400" t="s">
        <v>1438</v>
      </c>
      <c r="BU400">
        <v>0</v>
      </c>
      <c r="BV400" t="s">
        <v>25</v>
      </c>
      <c r="BW400" t="s">
        <v>189</v>
      </c>
      <c r="BX400">
        <v>1</v>
      </c>
      <c r="BY400">
        <v>101681</v>
      </c>
      <c r="BZ400">
        <v>0</v>
      </c>
      <c r="CA400" t="s">
        <v>1439</v>
      </c>
      <c r="CB400" t="s">
        <v>227</v>
      </c>
      <c r="CC400" t="s">
        <v>1440</v>
      </c>
      <c r="CD400">
        <v>0</v>
      </c>
      <c r="CE400">
        <v>1</v>
      </c>
      <c r="CF400" t="s">
        <v>635</v>
      </c>
      <c r="CG400">
        <v>101681</v>
      </c>
      <c r="CH400">
        <v>0.04</v>
      </c>
      <c r="CI400">
        <v>4100</v>
      </c>
      <c r="CJ400">
        <v>101681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 t="s">
        <v>88</v>
      </c>
      <c r="CT400" t="s">
        <v>1441</v>
      </c>
      <c r="CU400" t="s">
        <v>1442</v>
      </c>
    </row>
    <row r="401" spans="1:99">
      <c r="A401" t="s">
        <v>1431</v>
      </c>
      <c r="B401" t="s">
        <v>34</v>
      </c>
      <c r="C401" t="s">
        <v>2484</v>
      </c>
      <c r="D401" t="s">
        <v>2485</v>
      </c>
      <c r="E401" t="s">
        <v>1517</v>
      </c>
      <c r="F401" t="s">
        <v>992</v>
      </c>
      <c r="G401" t="s">
        <v>2486</v>
      </c>
      <c r="H401" t="s">
        <v>1558</v>
      </c>
      <c r="I401" t="s">
        <v>240</v>
      </c>
      <c r="J401" t="s">
        <v>46</v>
      </c>
      <c r="K401" t="s">
        <v>29</v>
      </c>
      <c r="L401" t="s">
        <v>30</v>
      </c>
      <c r="M401">
        <v>0</v>
      </c>
      <c r="N401" t="s">
        <v>32</v>
      </c>
      <c r="O401" t="s">
        <v>32</v>
      </c>
      <c r="Q401" t="s">
        <v>32</v>
      </c>
      <c r="S401" t="s">
        <v>32</v>
      </c>
      <c r="U401" t="s">
        <v>32</v>
      </c>
      <c r="V401" t="s">
        <v>32</v>
      </c>
      <c r="W401" t="s">
        <v>32</v>
      </c>
      <c r="X401" t="s">
        <v>32</v>
      </c>
      <c r="Y401" t="s">
        <v>32</v>
      </c>
      <c r="AA401" t="s">
        <v>32</v>
      </c>
      <c r="AB401" t="s">
        <v>32</v>
      </c>
      <c r="AE401" t="s">
        <v>32</v>
      </c>
      <c r="AH401" t="s">
        <v>32</v>
      </c>
      <c r="AK401" t="s">
        <v>128</v>
      </c>
      <c r="AL401">
        <v>46069</v>
      </c>
      <c r="AM401">
        <v>46075</v>
      </c>
      <c r="AN401" t="s">
        <v>32</v>
      </c>
      <c r="AO401" t="s">
        <v>32</v>
      </c>
      <c r="AR401">
        <v>0</v>
      </c>
      <c r="AU401" t="s">
        <v>32</v>
      </c>
      <c r="AV401">
        <v>3050412</v>
      </c>
      <c r="AW401" t="s">
        <v>32</v>
      </c>
      <c r="AX401" t="s">
        <v>88</v>
      </c>
      <c r="AY401" t="s">
        <v>137</v>
      </c>
      <c r="AZ401">
        <v>7</v>
      </c>
      <c r="BA401">
        <v>711763</v>
      </c>
      <c r="BB401">
        <v>0.16</v>
      </c>
      <c r="BC401">
        <v>113900</v>
      </c>
      <c r="BD401" t="s">
        <v>142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113900</v>
      </c>
      <c r="BK401" t="s">
        <v>25</v>
      </c>
      <c r="BL401" t="s">
        <v>1071</v>
      </c>
      <c r="BM401">
        <v>7</v>
      </c>
      <c r="BN401">
        <v>711763</v>
      </c>
      <c r="BO401">
        <v>0.04</v>
      </c>
      <c r="BP401">
        <v>28500</v>
      </c>
      <c r="BQ401">
        <v>0</v>
      </c>
      <c r="BR401" t="s">
        <v>1438</v>
      </c>
      <c r="BS401">
        <v>0</v>
      </c>
      <c r="BT401" t="s">
        <v>1438</v>
      </c>
      <c r="BU401">
        <v>0</v>
      </c>
      <c r="BV401" t="s">
        <v>25</v>
      </c>
      <c r="BW401" t="s">
        <v>189</v>
      </c>
      <c r="BX401">
        <v>7</v>
      </c>
      <c r="BY401">
        <v>711763</v>
      </c>
      <c r="BZ401">
        <v>0</v>
      </c>
      <c r="CA401" t="s">
        <v>1439</v>
      </c>
      <c r="CB401" t="s">
        <v>227</v>
      </c>
      <c r="CC401" t="s">
        <v>1440</v>
      </c>
      <c r="CD401">
        <v>0</v>
      </c>
      <c r="CE401">
        <v>7</v>
      </c>
      <c r="CF401" t="s">
        <v>635</v>
      </c>
      <c r="CG401">
        <v>711763</v>
      </c>
      <c r="CH401">
        <v>0.04</v>
      </c>
      <c r="CI401">
        <v>28500</v>
      </c>
      <c r="CJ401">
        <v>711763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 t="s">
        <v>88</v>
      </c>
      <c r="CT401" t="s">
        <v>1441</v>
      </c>
      <c r="CU401" t="s">
        <v>1442</v>
      </c>
    </row>
    <row r="402" spans="1:99">
      <c r="A402" t="s">
        <v>1431</v>
      </c>
      <c r="B402" t="s">
        <v>34</v>
      </c>
      <c r="C402" t="s">
        <v>2484</v>
      </c>
      <c r="D402" t="s">
        <v>2485</v>
      </c>
      <c r="E402" t="s">
        <v>1517</v>
      </c>
      <c r="F402" t="s">
        <v>992</v>
      </c>
      <c r="G402" t="s">
        <v>2486</v>
      </c>
      <c r="H402" t="s">
        <v>1558</v>
      </c>
      <c r="I402" t="s">
        <v>240</v>
      </c>
      <c r="J402" t="s">
        <v>46</v>
      </c>
      <c r="K402" t="s">
        <v>29</v>
      </c>
      <c r="L402" t="s">
        <v>30</v>
      </c>
      <c r="M402">
        <v>151</v>
      </c>
      <c r="N402" t="s">
        <v>32</v>
      </c>
      <c r="O402" t="s">
        <v>32</v>
      </c>
      <c r="Q402" t="s">
        <v>32</v>
      </c>
      <c r="S402" t="s">
        <v>32</v>
      </c>
      <c r="U402" t="s">
        <v>32</v>
      </c>
      <c r="V402" t="s">
        <v>32</v>
      </c>
      <c r="W402" t="s">
        <v>32</v>
      </c>
      <c r="X402" t="s">
        <v>32</v>
      </c>
      <c r="Y402" t="s">
        <v>88</v>
      </c>
      <c r="Z402">
        <v>46054</v>
      </c>
      <c r="AA402" t="s">
        <v>88</v>
      </c>
      <c r="AB402" t="s">
        <v>32</v>
      </c>
      <c r="AE402" t="s">
        <v>32</v>
      </c>
      <c r="AH402" t="s">
        <v>32</v>
      </c>
      <c r="AK402" t="s">
        <v>32</v>
      </c>
      <c r="AN402" t="s">
        <v>32</v>
      </c>
      <c r="AO402" t="s">
        <v>32</v>
      </c>
      <c r="AR402">
        <v>0</v>
      </c>
      <c r="AU402" t="s">
        <v>32</v>
      </c>
      <c r="AV402">
        <v>3050412</v>
      </c>
      <c r="AW402" t="s">
        <v>32</v>
      </c>
      <c r="AX402" t="s">
        <v>88</v>
      </c>
      <c r="AY402" t="s">
        <v>137</v>
      </c>
      <c r="AZ402">
        <v>22</v>
      </c>
      <c r="BA402">
        <v>2514279</v>
      </c>
      <c r="BB402">
        <v>0.16</v>
      </c>
      <c r="BC402">
        <v>402300</v>
      </c>
      <c r="BD402" t="s">
        <v>142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402300</v>
      </c>
      <c r="BK402" t="s">
        <v>25</v>
      </c>
      <c r="BL402" t="s">
        <v>1071</v>
      </c>
      <c r="BM402">
        <v>22</v>
      </c>
      <c r="BN402">
        <v>2514279</v>
      </c>
      <c r="BO402">
        <v>0.04</v>
      </c>
      <c r="BP402">
        <v>100600</v>
      </c>
      <c r="BQ402">
        <v>0</v>
      </c>
      <c r="BR402" t="s">
        <v>1438</v>
      </c>
      <c r="BS402">
        <v>0</v>
      </c>
      <c r="BT402" t="s">
        <v>1438</v>
      </c>
      <c r="BU402">
        <v>0</v>
      </c>
      <c r="BV402" t="s">
        <v>25</v>
      </c>
      <c r="BW402" t="s">
        <v>189</v>
      </c>
      <c r="BX402">
        <v>22</v>
      </c>
      <c r="BY402">
        <v>2514279</v>
      </c>
      <c r="BZ402">
        <v>6.9599999999999995E-2</v>
      </c>
      <c r="CA402" t="s">
        <v>1439</v>
      </c>
      <c r="CB402" t="s">
        <v>227</v>
      </c>
      <c r="CC402" t="s">
        <v>1440</v>
      </c>
      <c r="CD402">
        <v>175000</v>
      </c>
      <c r="CE402">
        <v>22</v>
      </c>
      <c r="CF402" t="s">
        <v>635</v>
      </c>
      <c r="CG402">
        <v>2514279</v>
      </c>
      <c r="CH402">
        <v>0.04</v>
      </c>
      <c r="CI402">
        <v>100600</v>
      </c>
      <c r="CJ402">
        <v>2514279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 t="s">
        <v>88</v>
      </c>
      <c r="CT402" t="s">
        <v>1441</v>
      </c>
      <c r="CU402" t="s">
        <v>1442</v>
      </c>
    </row>
    <row r="403" spans="1:99">
      <c r="A403" t="s">
        <v>1431</v>
      </c>
      <c r="B403" t="s">
        <v>34</v>
      </c>
      <c r="C403" t="s">
        <v>2487</v>
      </c>
      <c r="D403" t="s">
        <v>2488</v>
      </c>
      <c r="E403" t="s">
        <v>2489</v>
      </c>
      <c r="F403" t="s">
        <v>2490</v>
      </c>
      <c r="G403" t="s">
        <v>2491</v>
      </c>
      <c r="H403" t="s">
        <v>1558</v>
      </c>
      <c r="I403" t="s">
        <v>240</v>
      </c>
      <c r="J403" t="s">
        <v>46</v>
      </c>
      <c r="K403" t="s">
        <v>29</v>
      </c>
      <c r="L403" t="s">
        <v>30</v>
      </c>
      <c r="M403">
        <v>188</v>
      </c>
      <c r="N403" t="s">
        <v>32</v>
      </c>
      <c r="O403" t="s">
        <v>32</v>
      </c>
      <c r="Q403" t="s">
        <v>32</v>
      </c>
      <c r="S403" t="s">
        <v>32</v>
      </c>
      <c r="U403" t="s">
        <v>32</v>
      </c>
      <c r="V403" t="s">
        <v>32</v>
      </c>
      <c r="W403" t="s">
        <v>32</v>
      </c>
      <c r="X403" t="s">
        <v>32</v>
      </c>
      <c r="Y403" t="s">
        <v>32</v>
      </c>
      <c r="AA403" t="s">
        <v>32</v>
      </c>
      <c r="AB403" t="s">
        <v>32</v>
      </c>
      <c r="AE403" t="s">
        <v>32</v>
      </c>
      <c r="AH403" t="s">
        <v>32</v>
      </c>
      <c r="AK403" t="s">
        <v>32</v>
      </c>
      <c r="AN403" t="s">
        <v>32</v>
      </c>
      <c r="AO403" t="s">
        <v>32</v>
      </c>
      <c r="AR403">
        <v>0</v>
      </c>
      <c r="AU403" t="s">
        <v>32</v>
      </c>
      <c r="AV403">
        <v>10672432</v>
      </c>
      <c r="AW403" t="s">
        <v>32</v>
      </c>
      <c r="AX403" t="s">
        <v>32</v>
      </c>
      <c r="AY403" t="s">
        <v>185</v>
      </c>
      <c r="AZ403">
        <v>30</v>
      </c>
      <c r="BA403">
        <v>10672432</v>
      </c>
      <c r="BB403">
        <v>0.16</v>
      </c>
      <c r="BC403">
        <v>1707600</v>
      </c>
      <c r="BD403" t="s">
        <v>142</v>
      </c>
      <c r="BE403">
        <v>0</v>
      </c>
      <c r="BF403">
        <v>0</v>
      </c>
      <c r="BG403">
        <v>53400</v>
      </c>
      <c r="BH403">
        <v>53400</v>
      </c>
      <c r="BI403">
        <v>0</v>
      </c>
      <c r="BJ403">
        <v>1814400</v>
      </c>
      <c r="BK403" t="s">
        <v>25</v>
      </c>
      <c r="BL403" t="s">
        <v>1064</v>
      </c>
      <c r="BM403">
        <v>30</v>
      </c>
      <c r="BN403">
        <v>10672432</v>
      </c>
      <c r="BO403">
        <v>0.04</v>
      </c>
      <c r="BP403">
        <v>426900</v>
      </c>
      <c r="BQ403">
        <v>0</v>
      </c>
      <c r="BR403" t="s">
        <v>1438</v>
      </c>
      <c r="BS403">
        <v>0</v>
      </c>
      <c r="BT403" t="s">
        <v>1438</v>
      </c>
      <c r="BU403">
        <v>0</v>
      </c>
      <c r="BV403" t="s">
        <v>25</v>
      </c>
      <c r="BW403" t="s">
        <v>189</v>
      </c>
      <c r="BX403">
        <v>30</v>
      </c>
      <c r="BY403">
        <v>10672432</v>
      </c>
      <c r="BZ403">
        <v>5.2199999999999998E-3</v>
      </c>
      <c r="CA403" t="s">
        <v>1592</v>
      </c>
      <c r="CB403" t="s">
        <v>227</v>
      </c>
      <c r="CC403" t="s">
        <v>1593</v>
      </c>
      <c r="CD403">
        <v>55800</v>
      </c>
      <c r="CE403">
        <v>30</v>
      </c>
      <c r="CF403" t="s">
        <v>635</v>
      </c>
      <c r="CG403">
        <v>10672432</v>
      </c>
      <c r="CH403">
        <v>0.04</v>
      </c>
      <c r="CI403">
        <v>426900</v>
      </c>
      <c r="CJ403">
        <v>10672432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 t="s">
        <v>88</v>
      </c>
      <c r="CT403" t="s">
        <v>1441</v>
      </c>
      <c r="CU403" t="s">
        <v>1442</v>
      </c>
    </row>
    <row r="404" spans="1:99">
      <c r="A404" t="s">
        <v>1431</v>
      </c>
      <c r="B404" t="s">
        <v>34</v>
      </c>
      <c r="C404" t="s">
        <v>2492</v>
      </c>
      <c r="D404" t="s">
        <v>2493</v>
      </c>
      <c r="E404" t="s">
        <v>2494</v>
      </c>
      <c r="F404" t="s">
        <v>1551</v>
      </c>
      <c r="G404" t="s">
        <v>2495</v>
      </c>
      <c r="H404" t="s">
        <v>1558</v>
      </c>
      <c r="I404" t="s">
        <v>240</v>
      </c>
      <c r="J404" t="s">
        <v>46</v>
      </c>
      <c r="K404" t="s">
        <v>29</v>
      </c>
      <c r="L404" t="s">
        <v>30</v>
      </c>
      <c r="M404">
        <v>216</v>
      </c>
      <c r="N404" t="s">
        <v>32</v>
      </c>
      <c r="O404" t="s">
        <v>32</v>
      </c>
      <c r="Q404" t="s">
        <v>32</v>
      </c>
      <c r="S404" t="s">
        <v>32</v>
      </c>
      <c r="U404" t="s">
        <v>32</v>
      </c>
      <c r="V404" t="s">
        <v>32</v>
      </c>
      <c r="W404" t="s">
        <v>32</v>
      </c>
      <c r="X404" t="s">
        <v>32</v>
      </c>
      <c r="Y404" t="s">
        <v>32</v>
      </c>
      <c r="AA404" t="s">
        <v>88</v>
      </c>
      <c r="AB404" t="s">
        <v>32</v>
      </c>
      <c r="AE404" t="s">
        <v>32</v>
      </c>
      <c r="AH404" t="s">
        <v>32</v>
      </c>
      <c r="AK404" t="s">
        <v>32</v>
      </c>
      <c r="AN404" t="s">
        <v>32</v>
      </c>
      <c r="AO404" t="s">
        <v>32</v>
      </c>
      <c r="AR404">
        <v>0</v>
      </c>
      <c r="AU404" t="s">
        <v>32</v>
      </c>
      <c r="AV404">
        <v>1956650</v>
      </c>
      <c r="AW404" t="s">
        <v>32</v>
      </c>
      <c r="AX404" t="s">
        <v>32</v>
      </c>
      <c r="AY404" t="s">
        <v>185</v>
      </c>
      <c r="AZ404">
        <v>30</v>
      </c>
      <c r="BA404">
        <v>2607845</v>
      </c>
      <c r="BB404">
        <v>0.16</v>
      </c>
      <c r="BC404">
        <v>417300</v>
      </c>
      <c r="BD404" t="s">
        <v>142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417300</v>
      </c>
      <c r="BK404" t="s">
        <v>25</v>
      </c>
      <c r="BL404" t="s">
        <v>1064</v>
      </c>
      <c r="BM404">
        <v>30</v>
      </c>
      <c r="BN404">
        <v>2607845</v>
      </c>
      <c r="BO404">
        <v>0.04</v>
      </c>
      <c r="BP404">
        <v>104400</v>
      </c>
      <c r="BQ404">
        <v>0</v>
      </c>
      <c r="BR404" t="s">
        <v>1438</v>
      </c>
      <c r="BS404">
        <v>0</v>
      </c>
      <c r="BT404" t="s">
        <v>1438</v>
      </c>
      <c r="BU404">
        <v>0</v>
      </c>
      <c r="BV404" t="s">
        <v>25</v>
      </c>
      <c r="BW404" t="s">
        <v>189</v>
      </c>
      <c r="BX404">
        <v>30</v>
      </c>
      <c r="BY404">
        <v>2607845</v>
      </c>
      <c r="BZ404">
        <v>6.9599999999999995E-2</v>
      </c>
      <c r="CA404" t="s">
        <v>1439</v>
      </c>
      <c r="CB404" t="s">
        <v>227</v>
      </c>
      <c r="CC404" t="s">
        <v>1440</v>
      </c>
      <c r="CD404">
        <v>181600</v>
      </c>
      <c r="CE404">
        <v>30</v>
      </c>
      <c r="CF404" t="s">
        <v>635</v>
      </c>
      <c r="CG404">
        <v>2607845</v>
      </c>
      <c r="CH404">
        <v>0.04</v>
      </c>
      <c r="CI404">
        <v>104400</v>
      </c>
      <c r="CJ404">
        <v>2607845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 t="s">
        <v>88</v>
      </c>
      <c r="CT404" t="s">
        <v>1441</v>
      </c>
      <c r="CU404" t="s">
        <v>1442</v>
      </c>
    </row>
    <row r="405" spans="1:99">
      <c r="A405" t="s">
        <v>1431</v>
      </c>
      <c r="B405" t="s">
        <v>34</v>
      </c>
      <c r="C405" t="s">
        <v>2496</v>
      </c>
      <c r="D405" t="s">
        <v>2497</v>
      </c>
      <c r="E405" t="s">
        <v>2080</v>
      </c>
      <c r="F405" t="s">
        <v>2498</v>
      </c>
      <c r="G405" t="s">
        <v>1489</v>
      </c>
      <c r="H405" t="s">
        <v>2499</v>
      </c>
      <c r="I405" t="s">
        <v>240</v>
      </c>
      <c r="J405" t="s">
        <v>46</v>
      </c>
      <c r="K405" t="s">
        <v>29</v>
      </c>
      <c r="L405" t="s">
        <v>30</v>
      </c>
      <c r="M405">
        <v>179</v>
      </c>
      <c r="N405" t="s">
        <v>32</v>
      </c>
      <c r="O405" t="s">
        <v>32</v>
      </c>
      <c r="Q405" t="s">
        <v>40</v>
      </c>
      <c r="R405">
        <v>46056</v>
      </c>
      <c r="S405" t="s">
        <v>32</v>
      </c>
      <c r="U405" t="s">
        <v>32</v>
      </c>
      <c r="V405" t="s">
        <v>32</v>
      </c>
      <c r="W405" t="s">
        <v>32</v>
      </c>
      <c r="X405" t="s">
        <v>32</v>
      </c>
      <c r="Y405" t="s">
        <v>32</v>
      </c>
      <c r="AA405" t="s">
        <v>88</v>
      </c>
      <c r="AB405" t="s">
        <v>32</v>
      </c>
      <c r="AE405" t="s">
        <v>32</v>
      </c>
      <c r="AH405" t="s">
        <v>32</v>
      </c>
      <c r="AK405" t="s">
        <v>32</v>
      </c>
      <c r="AN405" t="s">
        <v>32</v>
      </c>
      <c r="AO405" t="s">
        <v>32</v>
      </c>
      <c r="AR405">
        <v>0</v>
      </c>
      <c r="AU405" t="s">
        <v>32</v>
      </c>
      <c r="AV405">
        <v>2113182</v>
      </c>
      <c r="AW405" t="s">
        <v>32</v>
      </c>
      <c r="AX405" t="s">
        <v>32</v>
      </c>
      <c r="AY405" t="s">
        <v>356</v>
      </c>
      <c r="AZ405">
        <v>28</v>
      </c>
      <c r="BA405">
        <v>2157492</v>
      </c>
      <c r="BB405">
        <v>0.16</v>
      </c>
      <c r="BC405">
        <v>345200</v>
      </c>
      <c r="BD405" t="s">
        <v>142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345200</v>
      </c>
      <c r="BK405" t="s">
        <v>25</v>
      </c>
      <c r="BL405" t="s">
        <v>1010</v>
      </c>
      <c r="BM405">
        <v>28</v>
      </c>
      <c r="BN405">
        <v>2157492</v>
      </c>
      <c r="BO405">
        <v>0.04</v>
      </c>
      <c r="BP405">
        <v>86300</v>
      </c>
      <c r="BQ405">
        <v>0</v>
      </c>
      <c r="BR405" t="s">
        <v>1438</v>
      </c>
      <c r="BS405">
        <v>0</v>
      </c>
      <c r="BT405" t="s">
        <v>1438</v>
      </c>
      <c r="BU405">
        <v>0</v>
      </c>
      <c r="BV405" t="s">
        <v>25</v>
      </c>
      <c r="BW405" t="s">
        <v>189</v>
      </c>
      <c r="BX405">
        <v>28</v>
      </c>
      <c r="BY405">
        <v>2157492</v>
      </c>
      <c r="BZ405">
        <v>6.9599999999999995E-2</v>
      </c>
      <c r="CA405" t="s">
        <v>1439</v>
      </c>
      <c r="CB405" t="s">
        <v>227</v>
      </c>
      <c r="CC405" t="s">
        <v>1440</v>
      </c>
      <c r="CD405">
        <v>150200</v>
      </c>
      <c r="CE405">
        <v>28</v>
      </c>
      <c r="CF405" t="s">
        <v>635</v>
      </c>
      <c r="CG405">
        <v>2068357</v>
      </c>
      <c r="CH405">
        <v>0.04</v>
      </c>
      <c r="CI405">
        <v>82800</v>
      </c>
      <c r="CJ405">
        <v>2068357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 t="s">
        <v>88</v>
      </c>
      <c r="CT405" t="s">
        <v>1441</v>
      </c>
      <c r="CU405" t="s">
        <v>1442</v>
      </c>
    </row>
    <row r="406" spans="1:99">
      <c r="A406" t="s">
        <v>1431</v>
      </c>
      <c r="B406" t="s">
        <v>34</v>
      </c>
      <c r="C406" t="s">
        <v>2500</v>
      </c>
      <c r="D406" t="s">
        <v>2501</v>
      </c>
      <c r="E406" t="s">
        <v>1823</v>
      </c>
      <c r="F406" t="s">
        <v>1977</v>
      </c>
      <c r="G406" t="s">
        <v>1793</v>
      </c>
      <c r="H406" t="s">
        <v>1757</v>
      </c>
      <c r="I406" t="s">
        <v>240</v>
      </c>
      <c r="J406" t="s">
        <v>46</v>
      </c>
      <c r="K406" t="s">
        <v>29</v>
      </c>
      <c r="L406" t="s">
        <v>30</v>
      </c>
      <c r="M406">
        <v>171</v>
      </c>
      <c r="N406" t="s">
        <v>32</v>
      </c>
      <c r="O406" t="s">
        <v>32</v>
      </c>
      <c r="Q406" t="s">
        <v>40</v>
      </c>
      <c r="R406">
        <v>46056</v>
      </c>
      <c r="S406" t="s">
        <v>32</v>
      </c>
      <c r="U406" t="s">
        <v>32</v>
      </c>
      <c r="V406" t="s">
        <v>32</v>
      </c>
      <c r="W406" t="s">
        <v>32</v>
      </c>
      <c r="X406" t="s">
        <v>32</v>
      </c>
      <c r="Y406" t="s">
        <v>32</v>
      </c>
      <c r="AA406" t="s">
        <v>32</v>
      </c>
      <c r="AB406" t="s">
        <v>32</v>
      </c>
      <c r="AE406" t="s">
        <v>32</v>
      </c>
      <c r="AH406" t="s">
        <v>32</v>
      </c>
      <c r="AK406" t="s">
        <v>32</v>
      </c>
      <c r="AN406" t="s">
        <v>32</v>
      </c>
      <c r="AO406" t="s">
        <v>32</v>
      </c>
      <c r="AR406">
        <v>0</v>
      </c>
      <c r="AU406" t="s">
        <v>32</v>
      </c>
      <c r="AV406">
        <v>3415855</v>
      </c>
      <c r="AW406" t="s">
        <v>32</v>
      </c>
      <c r="AX406" t="s">
        <v>32</v>
      </c>
      <c r="AY406" t="s">
        <v>356</v>
      </c>
      <c r="AZ406">
        <v>28</v>
      </c>
      <c r="BA406">
        <v>3188132</v>
      </c>
      <c r="BB406">
        <v>0.16</v>
      </c>
      <c r="BC406">
        <v>510200</v>
      </c>
      <c r="BD406" t="s">
        <v>142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510200</v>
      </c>
      <c r="BK406" t="s">
        <v>25</v>
      </c>
      <c r="BL406" t="s">
        <v>1064</v>
      </c>
      <c r="BM406">
        <v>28</v>
      </c>
      <c r="BN406">
        <v>3188132</v>
      </c>
      <c r="BO406">
        <v>0.04</v>
      </c>
      <c r="BP406">
        <v>127600</v>
      </c>
      <c r="BQ406">
        <v>0</v>
      </c>
      <c r="BR406" t="s">
        <v>1438</v>
      </c>
      <c r="BS406">
        <v>0</v>
      </c>
      <c r="BT406" t="s">
        <v>1438</v>
      </c>
      <c r="BU406">
        <v>0</v>
      </c>
      <c r="BV406" t="s">
        <v>25</v>
      </c>
      <c r="BW406" t="s">
        <v>189</v>
      </c>
      <c r="BX406">
        <v>28</v>
      </c>
      <c r="BY406">
        <v>3188132</v>
      </c>
      <c r="BZ406">
        <v>6.9599999999999995E-2</v>
      </c>
      <c r="CA406" t="s">
        <v>1439</v>
      </c>
      <c r="CB406" t="s">
        <v>227</v>
      </c>
      <c r="CC406" t="s">
        <v>1440</v>
      </c>
      <c r="CD406">
        <v>221900</v>
      </c>
      <c r="CE406">
        <v>28</v>
      </c>
      <c r="CF406" t="s">
        <v>635</v>
      </c>
      <c r="CG406">
        <v>3188132</v>
      </c>
      <c r="CH406">
        <v>0.04</v>
      </c>
      <c r="CI406">
        <v>127600</v>
      </c>
      <c r="CJ406">
        <v>3188132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 t="s">
        <v>88</v>
      </c>
      <c r="CT406" t="s">
        <v>1441</v>
      </c>
      <c r="CU406" t="s">
        <v>1442</v>
      </c>
    </row>
    <row r="407" spans="1:99">
      <c r="A407" t="s">
        <v>1431</v>
      </c>
      <c r="B407" t="s">
        <v>34</v>
      </c>
      <c r="C407" t="s">
        <v>2502</v>
      </c>
      <c r="D407" t="s">
        <v>2503</v>
      </c>
      <c r="E407" t="s">
        <v>2094</v>
      </c>
      <c r="F407" t="s">
        <v>842</v>
      </c>
      <c r="G407" t="s">
        <v>1859</v>
      </c>
      <c r="H407" t="s">
        <v>1558</v>
      </c>
      <c r="I407" t="s">
        <v>240</v>
      </c>
      <c r="J407" t="s">
        <v>46</v>
      </c>
      <c r="K407" t="s">
        <v>29</v>
      </c>
      <c r="L407" t="s">
        <v>30</v>
      </c>
      <c r="M407">
        <v>45</v>
      </c>
      <c r="N407" t="s">
        <v>32</v>
      </c>
      <c r="O407" t="s">
        <v>32</v>
      </c>
      <c r="Q407" t="s">
        <v>40</v>
      </c>
      <c r="R407">
        <v>46074</v>
      </c>
      <c r="S407" t="s">
        <v>32</v>
      </c>
      <c r="U407" t="s">
        <v>32</v>
      </c>
      <c r="V407" t="s">
        <v>32</v>
      </c>
      <c r="W407" t="s">
        <v>32</v>
      </c>
      <c r="X407" t="s">
        <v>32</v>
      </c>
      <c r="Y407" t="s">
        <v>32</v>
      </c>
      <c r="AA407" t="s">
        <v>32</v>
      </c>
      <c r="AB407" t="s">
        <v>32</v>
      </c>
      <c r="AE407" t="s">
        <v>32</v>
      </c>
      <c r="AH407" t="s">
        <v>32</v>
      </c>
      <c r="AK407" t="s">
        <v>32</v>
      </c>
      <c r="AN407" t="s">
        <v>32</v>
      </c>
      <c r="AO407" t="s">
        <v>32</v>
      </c>
      <c r="AR407">
        <v>0</v>
      </c>
      <c r="AU407" t="s">
        <v>32</v>
      </c>
      <c r="AV407">
        <v>2113182</v>
      </c>
      <c r="AW407" t="s">
        <v>32</v>
      </c>
      <c r="AX407" t="s">
        <v>32</v>
      </c>
      <c r="AY407" t="s">
        <v>317</v>
      </c>
      <c r="AZ407">
        <v>10</v>
      </c>
      <c r="BA407">
        <v>704394</v>
      </c>
      <c r="BB407">
        <v>0.16</v>
      </c>
      <c r="BC407">
        <v>112800</v>
      </c>
      <c r="BD407" t="s">
        <v>142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112800</v>
      </c>
      <c r="BK407" t="s">
        <v>25</v>
      </c>
      <c r="BL407" t="s">
        <v>1010</v>
      </c>
      <c r="BM407">
        <v>10</v>
      </c>
      <c r="BN407">
        <v>704394</v>
      </c>
      <c r="BO407">
        <v>0.04</v>
      </c>
      <c r="BP407">
        <v>28200</v>
      </c>
      <c r="BQ407">
        <v>0</v>
      </c>
      <c r="BR407" t="s">
        <v>1438</v>
      </c>
      <c r="BS407">
        <v>0</v>
      </c>
      <c r="BT407" t="s">
        <v>1438</v>
      </c>
      <c r="BU407">
        <v>0</v>
      </c>
      <c r="BV407" t="s">
        <v>25</v>
      </c>
      <c r="BW407" t="s">
        <v>189</v>
      </c>
      <c r="BX407">
        <v>10</v>
      </c>
      <c r="BY407">
        <v>704394</v>
      </c>
      <c r="BZ407">
        <v>6.9599999999999995E-2</v>
      </c>
      <c r="CA407" t="s">
        <v>1439</v>
      </c>
      <c r="CB407" t="s">
        <v>227</v>
      </c>
      <c r="CC407" t="s">
        <v>1440</v>
      </c>
      <c r="CD407">
        <v>49100</v>
      </c>
      <c r="CE407">
        <v>10</v>
      </c>
      <c r="CF407" t="s">
        <v>635</v>
      </c>
      <c r="CG407">
        <v>704394</v>
      </c>
      <c r="CH407">
        <v>0.04</v>
      </c>
      <c r="CI407">
        <v>28200</v>
      </c>
      <c r="CJ407">
        <v>704394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 t="s">
        <v>88</v>
      </c>
      <c r="CT407" t="s">
        <v>1441</v>
      </c>
      <c r="CU407" t="s">
        <v>1442</v>
      </c>
    </row>
    <row r="408" spans="1:99">
      <c r="A408" t="s">
        <v>1431</v>
      </c>
      <c r="B408" t="s">
        <v>34</v>
      </c>
      <c r="C408" t="s">
        <v>2504</v>
      </c>
      <c r="D408" t="s">
        <v>2505</v>
      </c>
      <c r="E408" t="s">
        <v>2506</v>
      </c>
      <c r="F408" t="s">
        <v>1551</v>
      </c>
      <c r="G408" t="s">
        <v>2507</v>
      </c>
      <c r="H408" t="s">
        <v>1558</v>
      </c>
      <c r="I408" t="s">
        <v>682</v>
      </c>
      <c r="J408" t="s">
        <v>484</v>
      </c>
      <c r="K408" t="s">
        <v>29</v>
      </c>
      <c r="L408" t="s">
        <v>30</v>
      </c>
      <c r="M408">
        <v>208</v>
      </c>
      <c r="N408" t="s">
        <v>32</v>
      </c>
      <c r="O408" t="s">
        <v>32</v>
      </c>
      <c r="Q408" t="s">
        <v>32</v>
      </c>
      <c r="S408" t="s">
        <v>32</v>
      </c>
      <c r="U408" t="s">
        <v>32</v>
      </c>
      <c r="V408" t="s">
        <v>32</v>
      </c>
      <c r="W408" t="s">
        <v>32</v>
      </c>
      <c r="X408" t="s">
        <v>32</v>
      </c>
      <c r="Y408" t="s">
        <v>32</v>
      </c>
      <c r="AA408" t="s">
        <v>88</v>
      </c>
      <c r="AB408" t="s">
        <v>32</v>
      </c>
      <c r="AE408" t="s">
        <v>32</v>
      </c>
      <c r="AH408" t="s">
        <v>32</v>
      </c>
      <c r="AK408" t="s">
        <v>32</v>
      </c>
      <c r="AN408" t="s">
        <v>32</v>
      </c>
      <c r="AO408" t="s">
        <v>32</v>
      </c>
      <c r="AR408">
        <v>0</v>
      </c>
      <c r="AU408" t="s">
        <v>32</v>
      </c>
      <c r="AV408">
        <v>2539029</v>
      </c>
      <c r="AW408" t="s">
        <v>32</v>
      </c>
      <c r="AX408" t="s">
        <v>32</v>
      </c>
      <c r="AY408" t="s">
        <v>356</v>
      </c>
      <c r="AZ408">
        <v>30</v>
      </c>
      <c r="BA408">
        <v>2973434</v>
      </c>
      <c r="BB408">
        <v>0.16</v>
      </c>
      <c r="BC408">
        <v>475800</v>
      </c>
      <c r="BD408" t="s">
        <v>142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475800</v>
      </c>
      <c r="BK408" t="s">
        <v>25</v>
      </c>
      <c r="BL408" t="s">
        <v>1010</v>
      </c>
      <c r="BM408">
        <v>30</v>
      </c>
      <c r="BN408">
        <v>2973434</v>
      </c>
      <c r="BO408">
        <v>0.04</v>
      </c>
      <c r="BP408">
        <v>119000</v>
      </c>
      <c r="BQ408">
        <v>0</v>
      </c>
      <c r="BR408" t="s">
        <v>1438</v>
      </c>
      <c r="BS408">
        <v>0</v>
      </c>
      <c r="BT408" t="s">
        <v>1438</v>
      </c>
      <c r="BU408">
        <v>0</v>
      </c>
      <c r="BV408" t="s">
        <v>25</v>
      </c>
      <c r="BW408" t="s">
        <v>189</v>
      </c>
      <c r="BX408">
        <v>30</v>
      </c>
      <c r="BY408">
        <v>2973434</v>
      </c>
      <c r="BZ408">
        <v>6.9599999999999995E-2</v>
      </c>
      <c r="CA408" t="s">
        <v>1439</v>
      </c>
      <c r="CB408" t="s">
        <v>312</v>
      </c>
      <c r="CC408" t="s">
        <v>1440</v>
      </c>
      <c r="CD408">
        <v>207000</v>
      </c>
      <c r="CE408">
        <v>30</v>
      </c>
      <c r="CF408" t="s">
        <v>466</v>
      </c>
      <c r="CG408">
        <v>2973434</v>
      </c>
      <c r="CH408">
        <v>0.04</v>
      </c>
      <c r="CI408">
        <v>119000</v>
      </c>
      <c r="CJ408">
        <v>2973434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 t="s">
        <v>88</v>
      </c>
      <c r="CT408" t="s">
        <v>1441</v>
      </c>
      <c r="CU408" t="s">
        <v>1442</v>
      </c>
    </row>
    <row r="409" spans="1:99">
      <c r="A409" t="s">
        <v>1431</v>
      </c>
      <c r="B409" t="s">
        <v>34</v>
      </c>
      <c r="C409" t="s">
        <v>2508</v>
      </c>
      <c r="D409" t="s">
        <v>2509</v>
      </c>
      <c r="E409" t="s">
        <v>1606</v>
      </c>
      <c r="F409" t="s">
        <v>2510</v>
      </c>
      <c r="G409" t="s">
        <v>2511</v>
      </c>
      <c r="H409" t="s">
        <v>2512</v>
      </c>
      <c r="I409" t="s">
        <v>240</v>
      </c>
      <c r="J409" t="s">
        <v>46</v>
      </c>
      <c r="K409" t="s">
        <v>29</v>
      </c>
      <c r="L409" t="s">
        <v>30</v>
      </c>
      <c r="M409">
        <v>0</v>
      </c>
      <c r="N409" t="s">
        <v>32</v>
      </c>
      <c r="O409" t="s">
        <v>32</v>
      </c>
      <c r="Q409" t="s">
        <v>32</v>
      </c>
      <c r="S409" t="s">
        <v>32</v>
      </c>
      <c r="U409" t="s">
        <v>32</v>
      </c>
      <c r="V409" t="s">
        <v>32</v>
      </c>
      <c r="W409" t="s">
        <v>32</v>
      </c>
      <c r="X409" t="s">
        <v>32</v>
      </c>
      <c r="Y409" t="s">
        <v>32</v>
      </c>
      <c r="AA409" t="s">
        <v>32</v>
      </c>
      <c r="AB409" t="s">
        <v>32</v>
      </c>
      <c r="AE409" t="s">
        <v>32</v>
      </c>
      <c r="AH409" t="s">
        <v>32</v>
      </c>
      <c r="AK409" t="s">
        <v>74</v>
      </c>
      <c r="AL409">
        <v>46055</v>
      </c>
      <c r="AM409">
        <v>46068</v>
      </c>
      <c r="AN409" t="s">
        <v>32</v>
      </c>
      <c r="AO409" t="s">
        <v>32</v>
      </c>
      <c r="AR409">
        <v>0</v>
      </c>
      <c r="AU409" t="s">
        <v>32</v>
      </c>
      <c r="AV409">
        <v>7698446</v>
      </c>
      <c r="AW409" t="s">
        <v>32</v>
      </c>
      <c r="AX409" t="s">
        <v>32</v>
      </c>
      <c r="AY409" t="s">
        <v>185</v>
      </c>
      <c r="AZ409">
        <v>14</v>
      </c>
      <c r="BA409">
        <v>3592609</v>
      </c>
      <c r="BB409">
        <v>0.16</v>
      </c>
      <c r="BC409">
        <v>574900</v>
      </c>
      <c r="BD409" t="s">
        <v>142</v>
      </c>
      <c r="BE409">
        <v>0</v>
      </c>
      <c r="BF409">
        <v>0</v>
      </c>
      <c r="BG409">
        <v>18000</v>
      </c>
      <c r="BH409">
        <v>18000</v>
      </c>
      <c r="BI409">
        <v>0</v>
      </c>
      <c r="BJ409">
        <v>610900</v>
      </c>
      <c r="BK409" t="s">
        <v>25</v>
      </c>
      <c r="BL409" t="s">
        <v>635</v>
      </c>
      <c r="BM409">
        <v>14</v>
      </c>
      <c r="BN409">
        <v>3592609</v>
      </c>
      <c r="BO409">
        <v>0.04</v>
      </c>
      <c r="BP409">
        <v>143800</v>
      </c>
      <c r="BQ409">
        <v>0</v>
      </c>
      <c r="BR409" t="s">
        <v>1438</v>
      </c>
      <c r="BS409">
        <v>0</v>
      </c>
      <c r="BT409" t="s">
        <v>1438</v>
      </c>
      <c r="BU409">
        <v>0</v>
      </c>
      <c r="BV409" t="s">
        <v>25</v>
      </c>
      <c r="BW409" t="s">
        <v>189</v>
      </c>
      <c r="BX409">
        <v>14</v>
      </c>
      <c r="BY409">
        <v>3592609</v>
      </c>
      <c r="BZ409">
        <v>0</v>
      </c>
      <c r="CA409" t="s">
        <v>1592</v>
      </c>
      <c r="CB409" t="s">
        <v>227</v>
      </c>
      <c r="CC409" t="s">
        <v>1593</v>
      </c>
      <c r="CD409">
        <v>0</v>
      </c>
      <c r="CE409">
        <v>14</v>
      </c>
      <c r="CF409" t="s">
        <v>635</v>
      </c>
      <c r="CG409">
        <v>3592609</v>
      </c>
      <c r="CH409">
        <v>0.04</v>
      </c>
      <c r="CI409">
        <v>143800</v>
      </c>
      <c r="CJ409">
        <v>3592609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 t="s">
        <v>88</v>
      </c>
      <c r="CT409" t="s">
        <v>1441</v>
      </c>
      <c r="CU409" t="s">
        <v>1442</v>
      </c>
    </row>
    <row r="410" spans="1:99">
      <c r="A410" t="s">
        <v>1431</v>
      </c>
      <c r="B410" t="s">
        <v>34</v>
      </c>
      <c r="C410" t="s">
        <v>2508</v>
      </c>
      <c r="D410" t="s">
        <v>2509</v>
      </c>
      <c r="E410" t="s">
        <v>1606</v>
      </c>
      <c r="F410" t="s">
        <v>2510</v>
      </c>
      <c r="G410" t="s">
        <v>2511</v>
      </c>
      <c r="H410" t="s">
        <v>2512</v>
      </c>
      <c r="I410" t="s">
        <v>240</v>
      </c>
      <c r="J410" t="s">
        <v>46</v>
      </c>
      <c r="K410" t="s">
        <v>29</v>
      </c>
      <c r="L410" t="s">
        <v>30</v>
      </c>
      <c r="M410">
        <v>94</v>
      </c>
      <c r="N410" t="s">
        <v>32</v>
      </c>
      <c r="O410" t="s">
        <v>32</v>
      </c>
      <c r="Q410" t="s">
        <v>32</v>
      </c>
      <c r="S410" t="s">
        <v>32</v>
      </c>
      <c r="U410" t="s">
        <v>32</v>
      </c>
      <c r="V410" t="s">
        <v>32</v>
      </c>
      <c r="W410" t="s">
        <v>32</v>
      </c>
      <c r="X410" t="s">
        <v>32</v>
      </c>
      <c r="Y410" t="s">
        <v>32</v>
      </c>
      <c r="AA410" t="s">
        <v>32</v>
      </c>
      <c r="AB410" t="s">
        <v>32</v>
      </c>
      <c r="AE410" t="s">
        <v>32</v>
      </c>
      <c r="AH410" t="s">
        <v>32</v>
      </c>
      <c r="AK410" t="s">
        <v>32</v>
      </c>
      <c r="AN410" t="s">
        <v>32</v>
      </c>
      <c r="AO410" t="s">
        <v>32</v>
      </c>
      <c r="AR410">
        <v>0</v>
      </c>
      <c r="AU410" t="s">
        <v>32</v>
      </c>
      <c r="AV410">
        <v>7698446</v>
      </c>
      <c r="AW410" t="s">
        <v>32</v>
      </c>
      <c r="AX410" t="s">
        <v>32</v>
      </c>
      <c r="AY410" t="s">
        <v>185</v>
      </c>
      <c r="AZ410">
        <v>16</v>
      </c>
      <c r="BA410">
        <v>4105838</v>
      </c>
      <c r="BB410">
        <v>0.16</v>
      </c>
      <c r="BC410">
        <v>657000</v>
      </c>
      <c r="BD410" t="s">
        <v>142</v>
      </c>
      <c r="BE410">
        <v>0</v>
      </c>
      <c r="BF410">
        <v>0</v>
      </c>
      <c r="BG410">
        <v>20600</v>
      </c>
      <c r="BH410">
        <v>20600</v>
      </c>
      <c r="BI410">
        <v>0</v>
      </c>
      <c r="BJ410">
        <v>698200</v>
      </c>
      <c r="BK410" t="s">
        <v>25</v>
      </c>
      <c r="BL410" t="s">
        <v>635</v>
      </c>
      <c r="BM410">
        <v>16</v>
      </c>
      <c r="BN410">
        <v>4105838</v>
      </c>
      <c r="BO410">
        <v>0.04</v>
      </c>
      <c r="BP410">
        <v>164300</v>
      </c>
      <c r="BQ410">
        <v>0</v>
      </c>
      <c r="BR410" t="s">
        <v>1438</v>
      </c>
      <c r="BS410">
        <v>0</v>
      </c>
      <c r="BT410" t="s">
        <v>1438</v>
      </c>
      <c r="BU410">
        <v>0</v>
      </c>
      <c r="BV410" t="s">
        <v>25</v>
      </c>
      <c r="BW410" t="s">
        <v>189</v>
      </c>
      <c r="BX410">
        <v>16</v>
      </c>
      <c r="BY410">
        <v>4105838</v>
      </c>
      <c r="BZ410">
        <v>5.2199999999999998E-3</v>
      </c>
      <c r="CA410" t="s">
        <v>1592</v>
      </c>
      <c r="CB410" t="s">
        <v>227</v>
      </c>
      <c r="CC410" t="s">
        <v>1593</v>
      </c>
      <c r="CD410">
        <v>21500</v>
      </c>
      <c r="CE410">
        <v>16</v>
      </c>
      <c r="CF410" t="s">
        <v>635</v>
      </c>
      <c r="CG410">
        <v>4105838</v>
      </c>
      <c r="CH410">
        <v>0.04</v>
      </c>
      <c r="CI410">
        <v>164300</v>
      </c>
      <c r="CJ410">
        <v>4105838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 t="s">
        <v>88</v>
      </c>
      <c r="CT410" t="s">
        <v>1441</v>
      </c>
      <c r="CU410" t="s">
        <v>1442</v>
      </c>
    </row>
    <row r="411" spans="1:99">
      <c r="A411" t="s">
        <v>1431</v>
      </c>
      <c r="B411" t="s">
        <v>34</v>
      </c>
      <c r="C411" t="s">
        <v>2513</v>
      </c>
      <c r="D411" t="s">
        <v>2514</v>
      </c>
      <c r="E411" t="s">
        <v>1882</v>
      </c>
      <c r="F411" t="s">
        <v>1472</v>
      </c>
      <c r="G411" t="s">
        <v>1570</v>
      </c>
      <c r="H411" t="s">
        <v>1631</v>
      </c>
      <c r="I411" t="s">
        <v>240</v>
      </c>
      <c r="J411" t="s">
        <v>46</v>
      </c>
      <c r="K411" t="s">
        <v>29</v>
      </c>
      <c r="L411" t="s">
        <v>30</v>
      </c>
      <c r="M411">
        <v>210</v>
      </c>
      <c r="N411" t="s">
        <v>32</v>
      </c>
      <c r="O411" t="s">
        <v>32</v>
      </c>
      <c r="Q411" t="s">
        <v>32</v>
      </c>
      <c r="S411" t="s">
        <v>32</v>
      </c>
      <c r="U411" t="s">
        <v>32</v>
      </c>
      <c r="V411" t="s">
        <v>88</v>
      </c>
      <c r="W411" t="s">
        <v>32</v>
      </c>
      <c r="X411" t="s">
        <v>32</v>
      </c>
      <c r="Y411" t="s">
        <v>32</v>
      </c>
      <c r="AA411" t="s">
        <v>88</v>
      </c>
      <c r="AB411" t="s">
        <v>32</v>
      </c>
      <c r="AE411" t="s">
        <v>32</v>
      </c>
      <c r="AH411" t="s">
        <v>32</v>
      </c>
      <c r="AK411" t="s">
        <v>32</v>
      </c>
      <c r="AN411" t="s">
        <v>32</v>
      </c>
      <c r="AO411" t="s">
        <v>32</v>
      </c>
      <c r="AR411">
        <v>0</v>
      </c>
      <c r="AU411" t="s">
        <v>32</v>
      </c>
      <c r="AV411">
        <v>2223339</v>
      </c>
      <c r="AW411" t="s">
        <v>32</v>
      </c>
      <c r="AX411" t="s">
        <v>32</v>
      </c>
      <c r="AY411" t="s">
        <v>185</v>
      </c>
      <c r="AZ411">
        <v>30</v>
      </c>
      <c r="BA411">
        <v>2945925</v>
      </c>
      <c r="BB411">
        <v>0.16</v>
      </c>
      <c r="BC411">
        <v>471400</v>
      </c>
      <c r="BD411" t="s">
        <v>142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471400</v>
      </c>
      <c r="BK411" t="s">
        <v>25</v>
      </c>
      <c r="BL411" t="s">
        <v>833</v>
      </c>
      <c r="BM411">
        <v>30</v>
      </c>
      <c r="BN411">
        <v>2945925</v>
      </c>
      <c r="BO411">
        <v>0.04</v>
      </c>
      <c r="BP411">
        <v>117900</v>
      </c>
      <c r="BQ411">
        <v>0</v>
      </c>
      <c r="BR411" t="s">
        <v>1438</v>
      </c>
      <c r="BS411">
        <v>0</v>
      </c>
      <c r="BT411" t="s">
        <v>1438</v>
      </c>
      <c r="BU411">
        <v>0</v>
      </c>
      <c r="BV411" t="s">
        <v>1064</v>
      </c>
      <c r="BW411" t="s">
        <v>189</v>
      </c>
      <c r="BX411">
        <v>30</v>
      </c>
      <c r="BY411">
        <v>2945925</v>
      </c>
      <c r="BZ411">
        <v>6.9599999999999995E-2</v>
      </c>
      <c r="CA411" t="s">
        <v>1439</v>
      </c>
      <c r="CB411" t="s">
        <v>227</v>
      </c>
      <c r="CC411" t="s">
        <v>1440</v>
      </c>
      <c r="CD411">
        <v>205100</v>
      </c>
      <c r="CE411">
        <v>30</v>
      </c>
      <c r="CF411" t="s">
        <v>635</v>
      </c>
      <c r="CG411">
        <v>2945925</v>
      </c>
      <c r="CH411">
        <v>0.04</v>
      </c>
      <c r="CI411">
        <v>117900</v>
      </c>
      <c r="CJ411">
        <v>2945925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 t="s">
        <v>88</v>
      </c>
      <c r="CT411" t="s">
        <v>1441</v>
      </c>
      <c r="CU411" t="s">
        <v>1442</v>
      </c>
    </row>
    <row r="412" spans="1:99">
      <c r="A412" t="s">
        <v>1431</v>
      </c>
      <c r="B412" t="s">
        <v>34</v>
      </c>
      <c r="C412" t="s">
        <v>2515</v>
      </c>
      <c r="D412" t="s">
        <v>2516</v>
      </c>
      <c r="E412" t="s">
        <v>1555</v>
      </c>
      <c r="F412" t="s">
        <v>1827</v>
      </c>
      <c r="G412" t="s">
        <v>2517</v>
      </c>
      <c r="H412" t="s">
        <v>2518</v>
      </c>
      <c r="I412" t="s">
        <v>240</v>
      </c>
      <c r="J412" t="s">
        <v>46</v>
      </c>
      <c r="K412" t="s">
        <v>29</v>
      </c>
      <c r="L412" t="s">
        <v>30</v>
      </c>
      <c r="M412">
        <v>231</v>
      </c>
      <c r="N412" t="s">
        <v>32</v>
      </c>
      <c r="O412" t="s">
        <v>32</v>
      </c>
      <c r="Q412" t="s">
        <v>32</v>
      </c>
      <c r="S412" t="s">
        <v>32</v>
      </c>
      <c r="U412" t="s">
        <v>32</v>
      </c>
      <c r="V412" t="s">
        <v>32</v>
      </c>
      <c r="W412" t="s">
        <v>32</v>
      </c>
      <c r="X412" t="s">
        <v>32</v>
      </c>
      <c r="Y412" t="s">
        <v>32</v>
      </c>
      <c r="AA412" t="s">
        <v>88</v>
      </c>
      <c r="AB412" t="s">
        <v>32</v>
      </c>
      <c r="AE412" t="s">
        <v>32</v>
      </c>
      <c r="AH412" t="s">
        <v>32</v>
      </c>
      <c r="AK412" t="s">
        <v>32</v>
      </c>
      <c r="AN412" t="s">
        <v>32</v>
      </c>
      <c r="AO412" t="s">
        <v>32</v>
      </c>
      <c r="AR412">
        <v>0</v>
      </c>
      <c r="AU412" t="s">
        <v>32</v>
      </c>
      <c r="AV412">
        <v>2223339</v>
      </c>
      <c r="AW412" t="s">
        <v>32</v>
      </c>
      <c r="AX412" t="s">
        <v>32</v>
      </c>
      <c r="AY412" t="s">
        <v>317</v>
      </c>
      <c r="AZ412">
        <v>30</v>
      </c>
      <c r="BA412">
        <v>3192261</v>
      </c>
      <c r="BB412">
        <v>0.16</v>
      </c>
      <c r="BC412">
        <v>510800</v>
      </c>
      <c r="BD412" t="s">
        <v>142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510800</v>
      </c>
      <c r="BK412" t="s">
        <v>25</v>
      </c>
      <c r="BL412" t="s">
        <v>1064</v>
      </c>
      <c r="BM412">
        <v>30</v>
      </c>
      <c r="BN412">
        <v>3192261</v>
      </c>
      <c r="BO412">
        <v>0.04</v>
      </c>
      <c r="BP412">
        <v>127700</v>
      </c>
      <c r="BQ412">
        <v>0</v>
      </c>
      <c r="BR412" t="s">
        <v>1438</v>
      </c>
      <c r="BS412">
        <v>0</v>
      </c>
      <c r="BT412" t="s">
        <v>1438</v>
      </c>
      <c r="BU412">
        <v>0</v>
      </c>
      <c r="BV412" t="s">
        <v>25</v>
      </c>
      <c r="BW412" t="s">
        <v>189</v>
      </c>
      <c r="BX412">
        <v>30</v>
      </c>
      <c r="BY412">
        <v>3192261</v>
      </c>
      <c r="BZ412">
        <v>6.9599999999999995E-2</v>
      </c>
      <c r="CA412" t="s">
        <v>1439</v>
      </c>
      <c r="CB412" t="s">
        <v>227</v>
      </c>
      <c r="CC412" t="s">
        <v>1440</v>
      </c>
      <c r="CD412">
        <v>222200</v>
      </c>
      <c r="CE412">
        <v>30</v>
      </c>
      <c r="CF412" t="s">
        <v>635</v>
      </c>
      <c r="CG412">
        <v>3192261</v>
      </c>
      <c r="CH412">
        <v>0.04</v>
      </c>
      <c r="CI412">
        <v>127700</v>
      </c>
      <c r="CJ412">
        <v>3192261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 t="s">
        <v>88</v>
      </c>
      <c r="CT412" t="s">
        <v>1441</v>
      </c>
      <c r="CU412" t="s">
        <v>1442</v>
      </c>
    </row>
    <row r="413" spans="1:99">
      <c r="A413" t="s">
        <v>1431</v>
      </c>
      <c r="B413" t="s">
        <v>34</v>
      </c>
      <c r="C413" t="s">
        <v>2519</v>
      </c>
      <c r="D413" t="s">
        <v>2520</v>
      </c>
      <c r="E413" t="s">
        <v>2521</v>
      </c>
      <c r="F413" t="s">
        <v>1266</v>
      </c>
      <c r="G413" t="s">
        <v>1479</v>
      </c>
      <c r="H413" t="s">
        <v>1436</v>
      </c>
      <c r="I413" t="s">
        <v>240</v>
      </c>
      <c r="J413" t="s">
        <v>46</v>
      </c>
      <c r="K413" t="s">
        <v>29</v>
      </c>
      <c r="L413" t="s">
        <v>30</v>
      </c>
      <c r="M413">
        <v>229</v>
      </c>
      <c r="N413" t="s">
        <v>32</v>
      </c>
      <c r="O413" t="s">
        <v>32</v>
      </c>
      <c r="Q413" t="s">
        <v>32</v>
      </c>
      <c r="S413" t="s">
        <v>40</v>
      </c>
      <c r="T413">
        <v>46081</v>
      </c>
      <c r="U413" t="s">
        <v>32</v>
      </c>
      <c r="V413" t="s">
        <v>32</v>
      </c>
      <c r="W413" t="s">
        <v>32</v>
      </c>
      <c r="X413" t="s">
        <v>32</v>
      </c>
      <c r="Y413" t="s">
        <v>32</v>
      </c>
      <c r="AA413" t="s">
        <v>88</v>
      </c>
      <c r="AB413" t="s">
        <v>32</v>
      </c>
      <c r="AE413" t="s">
        <v>32</v>
      </c>
      <c r="AH413" t="s">
        <v>32</v>
      </c>
      <c r="AK413" t="s">
        <v>32</v>
      </c>
      <c r="AN413" t="s">
        <v>32</v>
      </c>
      <c r="AO413" t="s">
        <v>32</v>
      </c>
      <c r="AR413">
        <v>0</v>
      </c>
      <c r="AU413" t="s">
        <v>32</v>
      </c>
      <c r="AV413">
        <v>2223339</v>
      </c>
      <c r="AW413" t="s">
        <v>32</v>
      </c>
      <c r="AX413" t="s">
        <v>32</v>
      </c>
      <c r="AY413" t="s">
        <v>317</v>
      </c>
      <c r="AZ413">
        <v>30</v>
      </c>
      <c r="BA413">
        <v>3804822</v>
      </c>
      <c r="BB413">
        <v>0.16</v>
      </c>
      <c r="BC413">
        <v>608800</v>
      </c>
      <c r="BD413" t="s">
        <v>142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608800</v>
      </c>
      <c r="BK413" t="s">
        <v>25</v>
      </c>
      <c r="BL413" t="s">
        <v>1010</v>
      </c>
      <c r="BM413">
        <v>30</v>
      </c>
      <c r="BN413">
        <v>3804822</v>
      </c>
      <c r="BO413">
        <v>0.04</v>
      </c>
      <c r="BP413">
        <v>152200</v>
      </c>
      <c r="BQ413">
        <v>0</v>
      </c>
      <c r="BR413" t="s">
        <v>1438</v>
      </c>
      <c r="BS413">
        <v>0</v>
      </c>
      <c r="BT413" t="s">
        <v>1438</v>
      </c>
      <c r="BU413">
        <v>0</v>
      </c>
      <c r="BV413" t="s">
        <v>25</v>
      </c>
      <c r="BW413" t="s">
        <v>189</v>
      </c>
      <c r="BX413">
        <v>30</v>
      </c>
      <c r="BY413">
        <v>3804822</v>
      </c>
      <c r="BZ413">
        <v>6.9599999999999995E-2</v>
      </c>
      <c r="CA413" t="s">
        <v>1439</v>
      </c>
      <c r="CB413" t="s">
        <v>227</v>
      </c>
      <c r="CC413" t="s">
        <v>1440</v>
      </c>
      <c r="CD413">
        <v>264900</v>
      </c>
      <c r="CE413">
        <v>30</v>
      </c>
      <c r="CF413" t="s">
        <v>635</v>
      </c>
      <c r="CG413">
        <v>4501372</v>
      </c>
      <c r="CH413">
        <v>0.04</v>
      </c>
      <c r="CI413">
        <v>180100</v>
      </c>
      <c r="CJ413">
        <v>4501372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 t="s">
        <v>88</v>
      </c>
      <c r="CT413" t="s">
        <v>1441</v>
      </c>
      <c r="CU413" t="s">
        <v>1442</v>
      </c>
    </row>
    <row r="414" spans="1:99">
      <c r="A414" t="s">
        <v>1431</v>
      </c>
      <c r="B414" t="s">
        <v>34</v>
      </c>
      <c r="C414" t="s">
        <v>2522</v>
      </c>
      <c r="D414" t="s">
        <v>2523</v>
      </c>
      <c r="E414" t="s">
        <v>1517</v>
      </c>
      <c r="F414" t="s">
        <v>2142</v>
      </c>
      <c r="G414" t="s">
        <v>1673</v>
      </c>
      <c r="H414" t="s">
        <v>1933</v>
      </c>
      <c r="I414" t="s">
        <v>240</v>
      </c>
      <c r="J414" t="s">
        <v>46</v>
      </c>
      <c r="K414" t="s">
        <v>29</v>
      </c>
      <c r="L414" t="s">
        <v>30</v>
      </c>
      <c r="M414">
        <v>0</v>
      </c>
      <c r="N414" t="s">
        <v>32</v>
      </c>
      <c r="O414" t="s">
        <v>32</v>
      </c>
      <c r="Q414" t="s">
        <v>32</v>
      </c>
      <c r="S414" t="s">
        <v>32</v>
      </c>
      <c r="U414" t="s">
        <v>32</v>
      </c>
      <c r="V414" t="s">
        <v>32</v>
      </c>
      <c r="W414" t="s">
        <v>32</v>
      </c>
      <c r="X414" t="s">
        <v>32</v>
      </c>
      <c r="Y414" t="s">
        <v>32</v>
      </c>
      <c r="AA414" t="s">
        <v>32</v>
      </c>
      <c r="AB414" t="s">
        <v>32</v>
      </c>
      <c r="AE414" t="s">
        <v>32</v>
      </c>
      <c r="AH414" t="s">
        <v>32</v>
      </c>
      <c r="AK414" t="s">
        <v>128</v>
      </c>
      <c r="AL414">
        <v>46054</v>
      </c>
      <c r="AM414">
        <v>46054</v>
      </c>
      <c r="AN414" t="s">
        <v>32</v>
      </c>
      <c r="AO414" t="s">
        <v>32</v>
      </c>
      <c r="AR414">
        <v>0</v>
      </c>
      <c r="AU414" t="s">
        <v>32</v>
      </c>
      <c r="AV414">
        <v>1750905</v>
      </c>
      <c r="AW414" t="s">
        <v>32</v>
      </c>
      <c r="AX414" t="s">
        <v>32</v>
      </c>
      <c r="AY414" t="s">
        <v>356</v>
      </c>
      <c r="AZ414">
        <v>1</v>
      </c>
      <c r="BA414">
        <v>58364</v>
      </c>
      <c r="BB414">
        <v>0.16</v>
      </c>
      <c r="BC414">
        <v>9400</v>
      </c>
      <c r="BD414" t="s">
        <v>142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9400</v>
      </c>
      <c r="BK414" t="s">
        <v>25</v>
      </c>
      <c r="BL414" t="s">
        <v>1064</v>
      </c>
      <c r="BM414">
        <v>1</v>
      </c>
      <c r="BN414">
        <v>58364</v>
      </c>
      <c r="BO414">
        <v>0.04</v>
      </c>
      <c r="BP414">
        <v>2400</v>
      </c>
      <c r="BQ414">
        <v>0</v>
      </c>
      <c r="BR414" t="s">
        <v>1438</v>
      </c>
      <c r="BS414">
        <v>0</v>
      </c>
      <c r="BT414" t="s">
        <v>1438</v>
      </c>
      <c r="BU414">
        <v>0</v>
      </c>
      <c r="BV414" t="s">
        <v>25</v>
      </c>
      <c r="BW414" t="s">
        <v>189</v>
      </c>
      <c r="BX414">
        <v>1</v>
      </c>
      <c r="BY414">
        <v>58364</v>
      </c>
      <c r="BZ414">
        <v>0</v>
      </c>
      <c r="CA414" t="s">
        <v>1439</v>
      </c>
      <c r="CB414" t="s">
        <v>227</v>
      </c>
      <c r="CC414" t="s">
        <v>1440</v>
      </c>
      <c r="CD414">
        <v>0</v>
      </c>
      <c r="CE414">
        <v>1</v>
      </c>
      <c r="CF414" t="s">
        <v>635</v>
      </c>
      <c r="CG414">
        <v>58364</v>
      </c>
      <c r="CH414">
        <v>0.04</v>
      </c>
      <c r="CI414">
        <v>2400</v>
      </c>
      <c r="CJ414">
        <v>58364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 t="s">
        <v>88</v>
      </c>
      <c r="CT414" t="s">
        <v>1441</v>
      </c>
      <c r="CU414" t="s">
        <v>1442</v>
      </c>
    </row>
    <row r="415" spans="1:99">
      <c r="A415" t="s">
        <v>1431</v>
      </c>
      <c r="B415" t="s">
        <v>34</v>
      </c>
      <c r="C415" t="s">
        <v>2522</v>
      </c>
      <c r="D415" t="s">
        <v>2523</v>
      </c>
      <c r="E415" t="s">
        <v>1517</v>
      </c>
      <c r="F415" t="s">
        <v>2142</v>
      </c>
      <c r="G415" t="s">
        <v>1673</v>
      </c>
      <c r="H415" t="s">
        <v>1933</v>
      </c>
      <c r="I415" t="s">
        <v>240</v>
      </c>
      <c r="J415" t="s">
        <v>46</v>
      </c>
      <c r="K415" t="s">
        <v>29</v>
      </c>
      <c r="L415" t="s">
        <v>30</v>
      </c>
      <c r="M415">
        <v>220</v>
      </c>
      <c r="N415" t="s">
        <v>32</v>
      </c>
      <c r="O415" t="s">
        <v>32</v>
      </c>
      <c r="Q415" t="s">
        <v>32</v>
      </c>
      <c r="S415" t="s">
        <v>32</v>
      </c>
      <c r="U415" t="s">
        <v>32</v>
      </c>
      <c r="V415" t="s">
        <v>32</v>
      </c>
      <c r="W415" t="s">
        <v>32</v>
      </c>
      <c r="X415" t="s">
        <v>32</v>
      </c>
      <c r="Y415" t="s">
        <v>32</v>
      </c>
      <c r="AA415" t="s">
        <v>88</v>
      </c>
      <c r="AB415" t="s">
        <v>32</v>
      </c>
      <c r="AE415" t="s">
        <v>32</v>
      </c>
      <c r="AH415" t="s">
        <v>32</v>
      </c>
      <c r="AK415" t="s">
        <v>32</v>
      </c>
      <c r="AN415" t="s">
        <v>32</v>
      </c>
      <c r="AO415" t="s">
        <v>32</v>
      </c>
      <c r="AR415">
        <v>0</v>
      </c>
      <c r="AU415" t="s">
        <v>32</v>
      </c>
      <c r="AV415">
        <v>1750905</v>
      </c>
      <c r="AW415" t="s">
        <v>32</v>
      </c>
      <c r="AX415" t="s">
        <v>32</v>
      </c>
      <c r="AY415" t="s">
        <v>356</v>
      </c>
      <c r="AZ415">
        <v>29</v>
      </c>
      <c r="BA415">
        <v>2205081</v>
      </c>
      <c r="BB415">
        <v>0.16</v>
      </c>
      <c r="BC415">
        <v>352900</v>
      </c>
      <c r="BD415" t="s">
        <v>142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352900</v>
      </c>
      <c r="BK415" t="s">
        <v>25</v>
      </c>
      <c r="BL415" t="s">
        <v>1064</v>
      </c>
      <c r="BM415">
        <v>29</v>
      </c>
      <c r="BN415">
        <v>2205081</v>
      </c>
      <c r="BO415">
        <v>0.04</v>
      </c>
      <c r="BP415">
        <v>88300</v>
      </c>
      <c r="BQ415">
        <v>0</v>
      </c>
      <c r="BR415" t="s">
        <v>1438</v>
      </c>
      <c r="BS415">
        <v>0</v>
      </c>
      <c r="BT415" t="s">
        <v>1438</v>
      </c>
      <c r="BU415">
        <v>0</v>
      </c>
      <c r="BV415" t="s">
        <v>25</v>
      </c>
      <c r="BW415" t="s">
        <v>189</v>
      </c>
      <c r="BX415">
        <v>29</v>
      </c>
      <c r="BY415">
        <v>2205081</v>
      </c>
      <c r="BZ415">
        <v>6.9599999999999995E-2</v>
      </c>
      <c r="CA415" t="s">
        <v>1439</v>
      </c>
      <c r="CB415" t="s">
        <v>227</v>
      </c>
      <c r="CC415" t="s">
        <v>1440</v>
      </c>
      <c r="CD415">
        <v>153500</v>
      </c>
      <c r="CE415">
        <v>29</v>
      </c>
      <c r="CF415" t="s">
        <v>635</v>
      </c>
      <c r="CG415">
        <v>2205081</v>
      </c>
      <c r="CH415">
        <v>0.04</v>
      </c>
      <c r="CI415">
        <v>88300</v>
      </c>
      <c r="CJ415">
        <v>2205081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 t="s">
        <v>88</v>
      </c>
      <c r="CT415" t="s">
        <v>1441</v>
      </c>
      <c r="CU415" t="s">
        <v>1442</v>
      </c>
    </row>
    <row r="416" spans="1:99">
      <c r="A416" t="s">
        <v>1431</v>
      </c>
      <c r="B416" t="s">
        <v>34</v>
      </c>
      <c r="C416" t="s">
        <v>2524</v>
      </c>
      <c r="D416" t="s">
        <v>2525</v>
      </c>
      <c r="E416" t="s">
        <v>2099</v>
      </c>
      <c r="F416" t="s">
        <v>734</v>
      </c>
      <c r="G416" t="s">
        <v>2526</v>
      </c>
      <c r="H416" t="s">
        <v>642</v>
      </c>
      <c r="I416" t="s">
        <v>240</v>
      </c>
      <c r="J416" t="s">
        <v>46</v>
      </c>
      <c r="K416" t="s">
        <v>29</v>
      </c>
      <c r="L416" t="s">
        <v>30</v>
      </c>
      <c r="M416">
        <v>0</v>
      </c>
      <c r="N416" t="s">
        <v>32</v>
      </c>
      <c r="O416" t="s">
        <v>32</v>
      </c>
      <c r="Q416" t="s">
        <v>32</v>
      </c>
      <c r="S416" t="s">
        <v>32</v>
      </c>
      <c r="U416" t="s">
        <v>32</v>
      </c>
      <c r="V416" t="s">
        <v>32</v>
      </c>
      <c r="W416" t="s">
        <v>32</v>
      </c>
      <c r="X416" t="s">
        <v>32</v>
      </c>
      <c r="Y416" t="s">
        <v>32</v>
      </c>
      <c r="AA416" t="s">
        <v>32</v>
      </c>
      <c r="AB416" t="s">
        <v>32</v>
      </c>
      <c r="AE416" t="s">
        <v>32</v>
      </c>
      <c r="AH416" t="s">
        <v>32</v>
      </c>
      <c r="AK416" t="s">
        <v>128</v>
      </c>
      <c r="AL416">
        <v>46054</v>
      </c>
      <c r="AM416">
        <v>46054</v>
      </c>
      <c r="AN416" t="s">
        <v>32</v>
      </c>
      <c r="AO416" t="s">
        <v>32</v>
      </c>
      <c r="AR416">
        <v>0</v>
      </c>
      <c r="AU416" t="s">
        <v>32</v>
      </c>
      <c r="AV416">
        <v>1785595</v>
      </c>
      <c r="AW416" t="s">
        <v>32</v>
      </c>
      <c r="AX416" t="s">
        <v>32</v>
      </c>
      <c r="AY416" t="s">
        <v>185</v>
      </c>
      <c r="AZ416">
        <v>1</v>
      </c>
      <c r="BA416">
        <v>59520</v>
      </c>
      <c r="BB416">
        <v>0.16</v>
      </c>
      <c r="BC416">
        <v>9600</v>
      </c>
      <c r="BD416" t="s">
        <v>142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9600</v>
      </c>
      <c r="BK416" t="s">
        <v>25</v>
      </c>
      <c r="BL416" t="s">
        <v>1071</v>
      </c>
      <c r="BM416">
        <v>1</v>
      </c>
      <c r="BN416">
        <v>59520</v>
      </c>
      <c r="BO416">
        <v>0.04</v>
      </c>
      <c r="BP416">
        <v>2400</v>
      </c>
      <c r="BQ416">
        <v>0</v>
      </c>
      <c r="BR416" t="s">
        <v>1438</v>
      </c>
      <c r="BS416">
        <v>0</v>
      </c>
      <c r="BT416" t="s">
        <v>1438</v>
      </c>
      <c r="BU416">
        <v>0</v>
      </c>
      <c r="BV416" t="s">
        <v>25</v>
      </c>
      <c r="BW416" t="s">
        <v>189</v>
      </c>
      <c r="BX416">
        <v>1</v>
      </c>
      <c r="BY416">
        <v>59520</v>
      </c>
      <c r="BZ416">
        <v>0</v>
      </c>
      <c r="CA416" t="s">
        <v>1439</v>
      </c>
      <c r="CB416" t="s">
        <v>227</v>
      </c>
      <c r="CC416" t="s">
        <v>1440</v>
      </c>
      <c r="CD416">
        <v>0</v>
      </c>
      <c r="CE416">
        <v>1</v>
      </c>
      <c r="CF416" t="s">
        <v>635</v>
      </c>
      <c r="CG416">
        <v>59520</v>
      </c>
      <c r="CH416">
        <v>0.04</v>
      </c>
      <c r="CI416">
        <v>2400</v>
      </c>
      <c r="CJ416">
        <v>59520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 t="s">
        <v>88</v>
      </c>
      <c r="CT416" t="s">
        <v>1441</v>
      </c>
      <c r="CU416" t="s">
        <v>1442</v>
      </c>
    </row>
    <row r="417" spans="1:99">
      <c r="A417" t="s">
        <v>1431</v>
      </c>
      <c r="B417" t="s">
        <v>34</v>
      </c>
      <c r="C417" t="s">
        <v>2524</v>
      </c>
      <c r="D417" t="s">
        <v>2525</v>
      </c>
      <c r="E417" t="s">
        <v>2099</v>
      </c>
      <c r="F417" t="s">
        <v>734</v>
      </c>
      <c r="G417" t="s">
        <v>2526</v>
      </c>
      <c r="H417" t="s">
        <v>642</v>
      </c>
      <c r="I417" t="s">
        <v>240</v>
      </c>
      <c r="J417" t="s">
        <v>46</v>
      </c>
      <c r="K417" t="s">
        <v>29</v>
      </c>
      <c r="L417" t="s">
        <v>30</v>
      </c>
      <c r="M417">
        <v>194</v>
      </c>
      <c r="N417" t="s">
        <v>32</v>
      </c>
      <c r="O417" t="s">
        <v>32</v>
      </c>
      <c r="Q417" t="s">
        <v>32</v>
      </c>
      <c r="S417" t="s">
        <v>32</v>
      </c>
      <c r="U417" t="s">
        <v>32</v>
      </c>
      <c r="V417" t="s">
        <v>32</v>
      </c>
      <c r="W417" t="s">
        <v>32</v>
      </c>
      <c r="X417" t="s">
        <v>32</v>
      </c>
      <c r="Y417" t="s">
        <v>32</v>
      </c>
      <c r="AA417" t="s">
        <v>88</v>
      </c>
      <c r="AB417" t="s">
        <v>32</v>
      </c>
      <c r="AE417" t="s">
        <v>32</v>
      </c>
      <c r="AH417" t="s">
        <v>32</v>
      </c>
      <c r="AK417" t="s">
        <v>32</v>
      </c>
      <c r="AN417" t="s">
        <v>32</v>
      </c>
      <c r="AO417" t="s">
        <v>32</v>
      </c>
      <c r="AR417">
        <v>0</v>
      </c>
      <c r="AU417" t="s">
        <v>32</v>
      </c>
      <c r="AV417">
        <v>1785595</v>
      </c>
      <c r="AW417" t="s">
        <v>32</v>
      </c>
      <c r="AX417" t="s">
        <v>32</v>
      </c>
      <c r="AY417" t="s">
        <v>185</v>
      </c>
      <c r="AZ417">
        <v>29</v>
      </c>
      <c r="BA417">
        <v>2178292</v>
      </c>
      <c r="BB417">
        <v>0.16</v>
      </c>
      <c r="BC417">
        <v>348600</v>
      </c>
      <c r="BD417" t="s">
        <v>142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348600</v>
      </c>
      <c r="BK417" t="s">
        <v>25</v>
      </c>
      <c r="BL417" t="s">
        <v>1071</v>
      </c>
      <c r="BM417">
        <v>29</v>
      </c>
      <c r="BN417">
        <v>2178292</v>
      </c>
      <c r="BO417">
        <v>0.04</v>
      </c>
      <c r="BP417">
        <v>87200</v>
      </c>
      <c r="BQ417">
        <v>0</v>
      </c>
      <c r="BR417" t="s">
        <v>1438</v>
      </c>
      <c r="BS417">
        <v>0</v>
      </c>
      <c r="BT417" t="s">
        <v>1438</v>
      </c>
      <c r="BU417">
        <v>0</v>
      </c>
      <c r="BV417" t="s">
        <v>25</v>
      </c>
      <c r="BW417" t="s">
        <v>189</v>
      </c>
      <c r="BX417">
        <v>29</v>
      </c>
      <c r="BY417">
        <v>2178292</v>
      </c>
      <c r="BZ417">
        <v>6.9599999999999995E-2</v>
      </c>
      <c r="CA417" t="s">
        <v>1439</v>
      </c>
      <c r="CB417" t="s">
        <v>227</v>
      </c>
      <c r="CC417" t="s">
        <v>1440</v>
      </c>
      <c r="CD417">
        <v>151700</v>
      </c>
      <c r="CE417">
        <v>29</v>
      </c>
      <c r="CF417" t="s">
        <v>635</v>
      </c>
      <c r="CG417">
        <v>2178292</v>
      </c>
      <c r="CH417">
        <v>0.04</v>
      </c>
      <c r="CI417">
        <v>87200</v>
      </c>
      <c r="CJ417">
        <v>2178292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 t="s">
        <v>88</v>
      </c>
      <c r="CT417" t="s">
        <v>1441</v>
      </c>
      <c r="CU417" t="s">
        <v>1442</v>
      </c>
    </row>
    <row r="418" spans="1:99">
      <c r="A418" t="s">
        <v>1431</v>
      </c>
      <c r="B418" t="s">
        <v>34</v>
      </c>
      <c r="C418" t="s">
        <v>2527</v>
      </c>
      <c r="D418" t="s">
        <v>2528</v>
      </c>
      <c r="E418" t="s">
        <v>2529</v>
      </c>
      <c r="F418" t="s">
        <v>1741</v>
      </c>
      <c r="G418" t="s">
        <v>1673</v>
      </c>
      <c r="H418" t="s">
        <v>1558</v>
      </c>
      <c r="I418" t="s">
        <v>240</v>
      </c>
      <c r="J418" t="s">
        <v>46</v>
      </c>
      <c r="K418" t="s">
        <v>29</v>
      </c>
      <c r="L418" t="s">
        <v>30</v>
      </c>
      <c r="M418">
        <v>39</v>
      </c>
      <c r="N418" t="s">
        <v>32</v>
      </c>
      <c r="O418" t="s">
        <v>32</v>
      </c>
      <c r="Q418" t="s">
        <v>32</v>
      </c>
      <c r="S418" t="s">
        <v>40</v>
      </c>
      <c r="T418">
        <v>46059</v>
      </c>
      <c r="U418" t="s">
        <v>32</v>
      </c>
      <c r="V418" t="s">
        <v>32</v>
      </c>
      <c r="W418" t="s">
        <v>32</v>
      </c>
      <c r="X418" t="s">
        <v>32</v>
      </c>
      <c r="Y418" t="s">
        <v>32</v>
      </c>
      <c r="AA418" t="s">
        <v>88</v>
      </c>
      <c r="AB418" t="s">
        <v>32</v>
      </c>
      <c r="AE418" t="s">
        <v>32</v>
      </c>
      <c r="AH418" t="s">
        <v>32</v>
      </c>
      <c r="AK418" t="s">
        <v>32</v>
      </c>
      <c r="AN418" t="s">
        <v>32</v>
      </c>
      <c r="AO418" t="s">
        <v>32</v>
      </c>
      <c r="AR418">
        <v>0</v>
      </c>
      <c r="AU418" t="s">
        <v>32</v>
      </c>
      <c r="AV418">
        <v>5450089</v>
      </c>
      <c r="AW418" t="s">
        <v>32</v>
      </c>
      <c r="AX418" t="s">
        <v>32</v>
      </c>
      <c r="AY418" t="s">
        <v>185</v>
      </c>
      <c r="AZ418">
        <v>6</v>
      </c>
      <c r="BA418">
        <v>1453357</v>
      </c>
      <c r="BB418">
        <v>0.16</v>
      </c>
      <c r="BC418">
        <v>232600</v>
      </c>
      <c r="BD418" t="s">
        <v>142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232600</v>
      </c>
      <c r="BK418" t="s">
        <v>25</v>
      </c>
      <c r="BL418" t="s">
        <v>1071</v>
      </c>
      <c r="BM418">
        <v>6</v>
      </c>
      <c r="BN418">
        <v>1453357</v>
      </c>
      <c r="BO418">
        <v>0.125</v>
      </c>
      <c r="BP418">
        <v>181700</v>
      </c>
      <c r="BQ418">
        <v>0</v>
      </c>
      <c r="BR418" t="s">
        <v>1438</v>
      </c>
      <c r="BS418">
        <v>0</v>
      </c>
      <c r="BT418" t="s">
        <v>1438</v>
      </c>
      <c r="BU418">
        <v>0</v>
      </c>
      <c r="BV418" t="s">
        <v>25</v>
      </c>
      <c r="BW418" t="s">
        <v>189</v>
      </c>
      <c r="BX418">
        <v>6</v>
      </c>
      <c r="BY418">
        <v>1453357</v>
      </c>
      <c r="BZ418">
        <v>5.2199999999999998E-3</v>
      </c>
      <c r="CA418" t="s">
        <v>1592</v>
      </c>
      <c r="CB418" t="s">
        <v>227</v>
      </c>
      <c r="CC418" t="s">
        <v>1593</v>
      </c>
      <c r="CD418">
        <v>7600</v>
      </c>
      <c r="CE418">
        <v>6</v>
      </c>
      <c r="CF418" t="s">
        <v>635</v>
      </c>
      <c r="CG418">
        <v>6572807</v>
      </c>
      <c r="CH418">
        <v>0.04</v>
      </c>
      <c r="CI418">
        <v>263000</v>
      </c>
      <c r="CJ418">
        <v>6572807</v>
      </c>
      <c r="CK418">
        <v>0.02</v>
      </c>
      <c r="CL418">
        <v>131500</v>
      </c>
      <c r="CM418">
        <v>0.03</v>
      </c>
      <c r="CN418">
        <v>197200</v>
      </c>
      <c r="CO418">
        <v>0</v>
      </c>
      <c r="CP418">
        <v>0</v>
      </c>
      <c r="CQ418">
        <v>0</v>
      </c>
      <c r="CR418">
        <v>0</v>
      </c>
      <c r="CS418" t="s">
        <v>88</v>
      </c>
      <c r="CT418" t="s">
        <v>1441</v>
      </c>
      <c r="CU418" t="s">
        <v>1442</v>
      </c>
    </row>
    <row r="419" spans="1:99">
      <c r="A419" t="s">
        <v>1431</v>
      </c>
      <c r="B419" t="s">
        <v>397</v>
      </c>
      <c r="C419" t="s">
        <v>2530</v>
      </c>
      <c r="D419" t="s">
        <v>2531</v>
      </c>
      <c r="E419" t="s">
        <v>2532</v>
      </c>
      <c r="F419" t="s">
        <v>124</v>
      </c>
      <c r="G419" t="s">
        <v>1570</v>
      </c>
      <c r="H419" t="s">
        <v>1489</v>
      </c>
      <c r="I419" t="s">
        <v>240</v>
      </c>
      <c r="J419" t="s">
        <v>46</v>
      </c>
      <c r="K419" t="s">
        <v>29</v>
      </c>
      <c r="L419" t="s">
        <v>30</v>
      </c>
      <c r="M419">
        <v>159</v>
      </c>
      <c r="N419" t="s">
        <v>32</v>
      </c>
      <c r="O419" t="s">
        <v>32</v>
      </c>
      <c r="Q419" t="s">
        <v>40</v>
      </c>
      <c r="R419">
        <v>46058</v>
      </c>
      <c r="S419" t="s">
        <v>32</v>
      </c>
      <c r="U419" t="s">
        <v>32</v>
      </c>
      <c r="V419" t="s">
        <v>32</v>
      </c>
      <c r="W419" t="s">
        <v>32</v>
      </c>
      <c r="X419" t="s">
        <v>32</v>
      </c>
      <c r="Y419" t="s">
        <v>32</v>
      </c>
      <c r="AA419" t="s">
        <v>88</v>
      </c>
      <c r="AB419" t="s">
        <v>32</v>
      </c>
      <c r="AE419" t="s">
        <v>32</v>
      </c>
      <c r="AH419" t="s">
        <v>32</v>
      </c>
      <c r="AK419" t="s">
        <v>32</v>
      </c>
      <c r="AN419" t="s">
        <v>32</v>
      </c>
      <c r="AO419" t="s">
        <v>32</v>
      </c>
      <c r="AR419">
        <v>0</v>
      </c>
      <c r="AU419" t="s">
        <v>32</v>
      </c>
      <c r="AV419">
        <v>2223339</v>
      </c>
      <c r="AW419" t="s">
        <v>32</v>
      </c>
      <c r="AX419" t="s">
        <v>32</v>
      </c>
      <c r="AY419" t="s">
        <v>356</v>
      </c>
      <c r="AZ419">
        <v>26</v>
      </c>
      <c r="BA419">
        <v>2225529</v>
      </c>
      <c r="BB419">
        <v>0.16</v>
      </c>
      <c r="BC419">
        <v>356100</v>
      </c>
      <c r="BD419" t="s">
        <v>142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356100</v>
      </c>
      <c r="BK419" t="s">
        <v>25</v>
      </c>
      <c r="BL419" t="s">
        <v>1010</v>
      </c>
      <c r="BM419">
        <v>26</v>
      </c>
      <c r="BN419">
        <v>2225529</v>
      </c>
      <c r="BO419">
        <v>0.04</v>
      </c>
      <c r="BP419">
        <v>89100</v>
      </c>
      <c r="BQ419">
        <v>0</v>
      </c>
      <c r="BR419" t="s">
        <v>1438</v>
      </c>
      <c r="BS419">
        <v>0</v>
      </c>
      <c r="BT419" t="s">
        <v>1438</v>
      </c>
      <c r="BU419">
        <v>0</v>
      </c>
      <c r="BV419" t="s">
        <v>25</v>
      </c>
      <c r="BW419" t="s">
        <v>189</v>
      </c>
      <c r="BX419">
        <v>26</v>
      </c>
      <c r="BY419">
        <v>2225529</v>
      </c>
      <c r="BZ419">
        <v>6.9599999999999995E-2</v>
      </c>
      <c r="CA419" t="s">
        <v>1439</v>
      </c>
      <c r="CB419" t="s">
        <v>227</v>
      </c>
      <c r="CC419" t="s">
        <v>1440</v>
      </c>
      <c r="CD419">
        <v>154900</v>
      </c>
      <c r="CE419">
        <v>26</v>
      </c>
      <c r="CF419" t="s">
        <v>635</v>
      </c>
      <c r="CG419">
        <v>2225529</v>
      </c>
      <c r="CH419">
        <v>0.04</v>
      </c>
      <c r="CI419">
        <v>89100</v>
      </c>
      <c r="CJ419">
        <v>2225529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 t="s">
        <v>88</v>
      </c>
      <c r="CT419" t="s">
        <v>1441</v>
      </c>
      <c r="CU419" t="s">
        <v>1442</v>
      </c>
    </row>
    <row r="420" spans="1:99">
      <c r="A420" t="s">
        <v>1431</v>
      </c>
      <c r="B420" t="s">
        <v>34</v>
      </c>
      <c r="C420" t="s">
        <v>2533</v>
      </c>
      <c r="D420" t="s">
        <v>2534</v>
      </c>
      <c r="E420" t="s">
        <v>2011</v>
      </c>
      <c r="F420" t="s">
        <v>510</v>
      </c>
      <c r="G420" t="s">
        <v>2535</v>
      </c>
      <c r="H420" t="s">
        <v>1876</v>
      </c>
      <c r="I420" t="s">
        <v>682</v>
      </c>
      <c r="J420" t="s">
        <v>484</v>
      </c>
      <c r="K420" t="s">
        <v>29</v>
      </c>
      <c r="L420" t="s">
        <v>30</v>
      </c>
      <c r="M420">
        <v>0</v>
      </c>
      <c r="N420" t="s">
        <v>32</v>
      </c>
      <c r="O420" t="s">
        <v>32</v>
      </c>
      <c r="Q420" t="s">
        <v>32</v>
      </c>
      <c r="S420" t="s">
        <v>32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  <c r="AA420" t="s">
        <v>32</v>
      </c>
      <c r="AB420" t="s">
        <v>32</v>
      </c>
      <c r="AE420" t="s">
        <v>32</v>
      </c>
      <c r="AH420" t="s">
        <v>32</v>
      </c>
      <c r="AK420" t="s">
        <v>128</v>
      </c>
      <c r="AL420">
        <v>46055</v>
      </c>
      <c r="AM420">
        <v>46059</v>
      </c>
      <c r="AN420" t="s">
        <v>32</v>
      </c>
      <c r="AO420" t="s">
        <v>32</v>
      </c>
      <c r="AR420">
        <v>0</v>
      </c>
      <c r="AU420" t="s">
        <v>32</v>
      </c>
      <c r="AV420">
        <v>2223339</v>
      </c>
      <c r="AW420" t="s">
        <v>32</v>
      </c>
      <c r="AX420" t="s">
        <v>32</v>
      </c>
      <c r="AY420" t="s">
        <v>317</v>
      </c>
      <c r="AZ420">
        <v>5</v>
      </c>
      <c r="BA420">
        <v>370557</v>
      </c>
      <c r="BB420">
        <v>0.16</v>
      </c>
      <c r="BC420">
        <v>59300</v>
      </c>
      <c r="BD420" t="s">
        <v>142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59300</v>
      </c>
      <c r="BK420" t="s">
        <v>25</v>
      </c>
      <c r="BL420" t="s">
        <v>885</v>
      </c>
      <c r="BM420">
        <v>5</v>
      </c>
      <c r="BN420">
        <v>370557</v>
      </c>
      <c r="BO420">
        <v>0.04</v>
      </c>
      <c r="BP420">
        <v>14900</v>
      </c>
      <c r="BQ420">
        <v>0</v>
      </c>
      <c r="BR420" t="s">
        <v>1438</v>
      </c>
      <c r="BS420">
        <v>0</v>
      </c>
      <c r="BT420" t="s">
        <v>1438</v>
      </c>
      <c r="BU420">
        <v>0</v>
      </c>
      <c r="BV420" t="s">
        <v>25</v>
      </c>
      <c r="BW420" t="s">
        <v>189</v>
      </c>
      <c r="BX420">
        <v>5</v>
      </c>
      <c r="BY420">
        <v>370557</v>
      </c>
      <c r="BZ420">
        <v>0</v>
      </c>
      <c r="CA420" t="s">
        <v>1439</v>
      </c>
      <c r="CB420" t="s">
        <v>312</v>
      </c>
      <c r="CC420" t="s">
        <v>1440</v>
      </c>
      <c r="CD420">
        <v>0</v>
      </c>
      <c r="CE420">
        <v>5</v>
      </c>
      <c r="CF420" t="s">
        <v>466</v>
      </c>
      <c r="CG420">
        <v>370557</v>
      </c>
      <c r="CH420">
        <v>0.04</v>
      </c>
      <c r="CI420">
        <v>14900</v>
      </c>
      <c r="CJ420">
        <v>370557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 t="s">
        <v>88</v>
      </c>
      <c r="CT420" t="s">
        <v>1441</v>
      </c>
      <c r="CU420" t="s">
        <v>1442</v>
      </c>
    </row>
    <row r="421" spans="1:99">
      <c r="A421" t="s">
        <v>1431</v>
      </c>
      <c r="B421" t="s">
        <v>34</v>
      </c>
      <c r="C421" t="s">
        <v>2533</v>
      </c>
      <c r="D421" t="s">
        <v>2534</v>
      </c>
      <c r="E421" t="s">
        <v>2011</v>
      </c>
      <c r="F421" t="s">
        <v>510</v>
      </c>
      <c r="G421" t="s">
        <v>2535</v>
      </c>
      <c r="H421" t="s">
        <v>1876</v>
      </c>
      <c r="I421" t="s">
        <v>682</v>
      </c>
      <c r="J421" t="s">
        <v>484</v>
      </c>
      <c r="K421" t="s">
        <v>29</v>
      </c>
      <c r="L421" t="s">
        <v>30</v>
      </c>
      <c r="M421">
        <v>0</v>
      </c>
      <c r="N421" t="s">
        <v>32</v>
      </c>
      <c r="O421" t="s">
        <v>32</v>
      </c>
      <c r="Q421" t="s">
        <v>32</v>
      </c>
      <c r="S421" t="s">
        <v>32</v>
      </c>
      <c r="U421" t="s">
        <v>32</v>
      </c>
      <c r="V421" t="s">
        <v>32</v>
      </c>
      <c r="W421" t="s">
        <v>32</v>
      </c>
      <c r="X421" t="s">
        <v>32</v>
      </c>
      <c r="Y421" t="s">
        <v>32</v>
      </c>
      <c r="AA421" t="s">
        <v>32</v>
      </c>
      <c r="AB421" t="s">
        <v>32</v>
      </c>
      <c r="AE421" t="s">
        <v>1492</v>
      </c>
      <c r="AF421">
        <v>46061</v>
      </c>
      <c r="AG421">
        <v>46063</v>
      </c>
      <c r="AH421" t="s">
        <v>32</v>
      </c>
      <c r="AK421" t="s">
        <v>32</v>
      </c>
      <c r="AN421" t="s">
        <v>32</v>
      </c>
      <c r="AO421" t="s">
        <v>32</v>
      </c>
      <c r="AR421">
        <v>0</v>
      </c>
      <c r="AU421" t="s">
        <v>32</v>
      </c>
      <c r="AV421">
        <v>2223339</v>
      </c>
      <c r="AW421" t="s">
        <v>32</v>
      </c>
      <c r="AX421" t="s">
        <v>32</v>
      </c>
      <c r="AY421" t="s">
        <v>317</v>
      </c>
      <c r="AZ421">
        <v>3</v>
      </c>
      <c r="BA421">
        <v>257603</v>
      </c>
      <c r="BB421">
        <v>0.16</v>
      </c>
      <c r="BC421">
        <v>41300</v>
      </c>
      <c r="BD421" t="s">
        <v>142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41300</v>
      </c>
      <c r="BK421" t="s">
        <v>25</v>
      </c>
      <c r="BL421" t="s">
        <v>885</v>
      </c>
      <c r="BM421">
        <v>3</v>
      </c>
      <c r="BN421">
        <v>257603</v>
      </c>
      <c r="BO421">
        <v>0.04</v>
      </c>
      <c r="BP421">
        <v>10400</v>
      </c>
      <c r="BQ421">
        <v>0</v>
      </c>
      <c r="BR421" t="s">
        <v>1438</v>
      </c>
      <c r="BS421">
        <v>0</v>
      </c>
      <c r="BT421" t="s">
        <v>1438</v>
      </c>
      <c r="BU421">
        <v>0</v>
      </c>
      <c r="BV421" t="s">
        <v>25</v>
      </c>
      <c r="BW421" t="s">
        <v>189</v>
      </c>
      <c r="BX421">
        <v>3</v>
      </c>
      <c r="BY421">
        <v>257603</v>
      </c>
      <c r="BZ421">
        <v>0</v>
      </c>
      <c r="CA421" t="s">
        <v>1439</v>
      </c>
      <c r="CB421" t="s">
        <v>312</v>
      </c>
      <c r="CC421" t="s">
        <v>1440</v>
      </c>
      <c r="CD421">
        <v>0</v>
      </c>
      <c r="CE421">
        <v>3</v>
      </c>
      <c r="CF421" t="s">
        <v>466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 t="s">
        <v>88</v>
      </c>
      <c r="CT421" t="s">
        <v>1441</v>
      </c>
      <c r="CU421" t="s">
        <v>1442</v>
      </c>
    </row>
    <row r="422" spans="1:99">
      <c r="A422" t="s">
        <v>1431</v>
      </c>
      <c r="B422" t="s">
        <v>34</v>
      </c>
      <c r="C422" t="s">
        <v>2533</v>
      </c>
      <c r="D422" t="s">
        <v>2534</v>
      </c>
      <c r="E422" t="s">
        <v>2011</v>
      </c>
      <c r="F422" t="s">
        <v>510</v>
      </c>
      <c r="G422" t="s">
        <v>2535</v>
      </c>
      <c r="H422" t="s">
        <v>1876</v>
      </c>
      <c r="I422" t="s">
        <v>682</v>
      </c>
      <c r="J422" t="s">
        <v>484</v>
      </c>
      <c r="K422" t="s">
        <v>29</v>
      </c>
      <c r="L422" t="s">
        <v>30</v>
      </c>
      <c r="M422">
        <v>130</v>
      </c>
      <c r="N422" t="s">
        <v>32</v>
      </c>
      <c r="O422" t="s">
        <v>32</v>
      </c>
      <c r="Q422" t="s">
        <v>32</v>
      </c>
      <c r="S422" t="s">
        <v>32</v>
      </c>
      <c r="U422" t="s">
        <v>32</v>
      </c>
      <c r="V422" t="s">
        <v>32</v>
      </c>
      <c r="W422" t="s">
        <v>32</v>
      </c>
      <c r="X422" t="s">
        <v>32</v>
      </c>
      <c r="Y422" t="s">
        <v>32</v>
      </c>
      <c r="AA422" t="s">
        <v>88</v>
      </c>
      <c r="AB422" t="s">
        <v>32</v>
      </c>
      <c r="AE422" t="s">
        <v>32</v>
      </c>
      <c r="AH422" t="s">
        <v>32</v>
      </c>
      <c r="AK422" t="s">
        <v>32</v>
      </c>
      <c r="AN422" t="s">
        <v>32</v>
      </c>
      <c r="AO422" t="s">
        <v>32</v>
      </c>
      <c r="AR422">
        <v>0</v>
      </c>
      <c r="AU422" t="s">
        <v>32</v>
      </c>
      <c r="AV422">
        <v>2223339</v>
      </c>
      <c r="AW422" t="s">
        <v>32</v>
      </c>
      <c r="AX422" t="s">
        <v>32</v>
      </c>
      <c r="AY422" t="s">
        <v>317</v>
      </c>
      <c r="AZ422">
        <v>22</v>
      </c>
      <c r="BA422">
        <v>2157375</v>
      </c>
      <c r="BB422">
        <v>0.16</v>
      </c>
      <c r="BC422">
        <v>345200</v>
      </c>
      <c r="BD422" t="s">
        <v>142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345200</v>
      </c>
      <c r="BK422" t="s">
        <v>25</v>
      </c>
      <c r="BL422" t="s">
        <v>885</v>
      </c>
      <c r="BM422">
        <v>22</v>
      </c>
      <c r="BN422">
        <v>2157375</v>
      </c>
      <c r="BO422">
        <v>0.04</v>
      </c>
      <c r="BP422">
        <v>86300</v>
      </c>
      <c r="BQ422">
        <v>0</v>
      </c>
      <c r="BR422" t="s">
        <v>1438</v>
      </c>
      <c r="BS422">
        <v>0</v>
      </c>
      <c r="BT422" t="s">
        <v>1438</v>
      </c>
      <c r="BU422">
        <v>0</v>
      </c>
      <c r="BV422" t="s">
        <v>25</v>
      </c>
      <c r="BW422" t="s">
        <v>189</v>
      </c>
      <c r="BX422">
        <v>22</v>
      </c>
      <c r="BY422">
        <v>2157375</v>
      </c>
      <c r="BZ422">
        <v>6.9599999999999995E-2</v>
      </c>
      <c r="CA422" t="s">
        <v>1439</v>
      </c>
      <c r="CB422" t="s">
        <v>312</v>
      </c>
      <c r="CC422" t="s">
        <v>1440</v>
      </c>
      <c r="CD422">
        <v>150200</v>
      </c>
      <c r="CE422">
        <v>22</v>
      </c>
      <c r="CF422" t="s">
        <v>466</v>
      </c>
      <c r="CG422">
        <v>1839140</v>
      </c>
      <c r="CH422">
        <v>0.04</v>
      </c>
      <c r="CI422">
        <v>73600</v>
      </c>
      <c r="CJ422">
        <v>1839140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 t="s">
        <v>88</v>
      </c>
      <c r="CT422" t="s">
        <v>1441</v>
      </c>
      <c r="CU422" t="s">
        <v>1442</v>
      </c>
    </row>
    <row r="423" spans="1:99">
      <c r="A423" t="s">
        <v>1431</v>
      </c>
      <c r="B423" t="s">
        <v>34</v>
      </c>
      <c r="C423" t="s">
        <v>2536</v>
      </c>
      <c r="D423" t="s">
        <v>2537</v>
      </c>
      <c r="E423" t="s">
        <v>2538</v>
      </c>
      <c r="F423" t="s">
        <v>2539</v>
      </c>
      <c r="G423" t="s">
        <v>2540</v>
      </c>
      <c r="H423" t="s">
        <v>2541</v>
      </c>
      <c r="I423" t="s">
        <v>682</v>
      </c>
      <c r="J423" t="s">
        <v>484</v>
      </c>
      <c r="K423" t="s">
        <v>29</v>
      </c>
      <c r="L423" t="s">
        <v>30</v>
      </c>
      <c r="M423">
        <v>180</v>
      </c>
      <c r="N423" t="s">
        <v>32</v>
      </c>
      <c r="O423" t="s">
        <v>32</v>
      </c>
      <c r="Q423" t="s">
        <v>32</v>
      </c>
      <c r="S423" t="s">
        <v>32</v>
      </c>
      <c r="U423" t="s">
        <v>32</v>
      </c>
      <c r="V423" t="s">
        <v>32</v>
      </c>
      <c r="W423" t="s">
        <v>32</v>
      </c>
      <c r="X423" t="s">
        <v>32</v>
      </c>
      <c r="Y423" t="s">
        <v>88</v>
      </c>
      <c r="Z423">
        <v>46054</v>
      </c>
      <c r="AA423" t="s">
        <v>32</v>
      </c>
      <c r="AB423" t="s">
        <v>32</v>
      </c>
      <c r="AE423" t="s">
        <v>32</v>
      </c>
      <c r="AH423" t="s">
        <v>32</v>
      </c>
      <c r="AK423" t="s">
        <v>32</v>
      </c>
      <c r="AN423" t="s">
        <v>32</v>
      </c>
      <c r="AO423" t="s">
        <v>32</v>
      </c>
      <c r="AR423">
        <v>0</v>
      </c>
      <c r="AU423" t="s">
        <v>32</v>
      </c>
      <c r="AV423">
        <v>5676577</v>
      </c>
      <c r="AW423" t="s">
        <v>32</v>
      </c>
      <c r="AX423" t="s">
        <v>32</v>
      </c>
      <c r="AY423" t="s">
        <v>185</v>
      </c>
      <c r="AZ423">
        <v>30</v>
      </c>
      <c r="BA423">
        <v>5676577</v>
      </c>
      <c r="BB423">
        <v>0.16</v>
      </c>
      <c r="BC423">
        <v>908300</v>
      </c>
      <c r="BD423" t="s">
        <v>142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908300</v>
      </c>
      <c r="BK423" t="s">
        <v>25</v>
      </c>
      <c r="BL423" t="s">
        <v>1071</v>
      </c>
      <c r="BM423">
        <v>30</v>
      </c>
      <c r="BN423">
        <v>5676577</v>
      </c>
      <c r="BO423">
        <v>0.04</v>
      </c>
      <c r="BP423">
        <v>227100</v>
      </c>
      <c r="BQ423">
        <v>0</v>
      </c>
      <c r="BR423" t="s">
        <v>1438</v>
      </c>
      <c r="BS423">
        <v>0</v>
      </c>
      <c r="BT423" t="s">
        <v>1438</v>
      </c>
      <c r="BU423">
        <v>0</v>
      </c>
      <c r="BV423" t="s">
        <v>25</v>
      </c>
      <c r="BW423" t="s">
        <v>189</v>
      </c>
      <c r="BX423">
        <v>30</v>
      </c>
      <c r="BY423">
        <v>5676577</v>
      </c>
      <c r="BZ423">
        <v>6.9599999999999995E-2</v>
      </c>
      <c r="CA423" t="s">
        <v>1439</v>
      </c>
      <c r="CB423" t="s">
        <v>312</v>
      </c>
      <c r="CC423" t="s">
        <v>1440</v>
      </c>
      <c r="CD423">
        <v>395100</v>
      </c>
      <c r="CE423">
        <v>30</v>
      </c>
      <c r="CF423" t="s">
        <v>466</v>
      </c>
      <c r="CG423">
        <v>5676577</v>
      </c>
      <c r="CH423">
        <v>0.04</v>
      </c>
      <c r="CI423">
        <v>227100</v>
      </c>
      <c r="CJ423">
        <v>5676577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 t="s">
        <v>88</v>
      </c>
      <c r="CT423" t="s">
        <v>1441</v>
      </c>
      <c r="CU423" t="s">
        <v>1442</v>
      </c>
    </row>
    <row r="424" spans="1:99">
      <c r="A424" t="s">
        <v>1431</v>
      </c>
      <c r="B424" t="s">
        <v>34</v>
      </c>
      <c r="C424" t="s">
        <v>2542</v>
      </c>
      <c r="D424" t="s">
        <v>2543</v>
      </c>
      <c r="E424" t="s">
        <v>1502</v>
      </c>
      <c r="F424" t="s">
        <v>1741</v>
      </c>
      <c r="G424" t="s">
        <v>2544</v>
      </c>
      <c r="H424" t="s">
        <v>1631</v>
      </c>
      <c r="I424" t="s">
        <v>682</v>
      </c>
      <c r="J424" t="s">
        <v>484</v>
      </c>
      <c r="K424" t="s">
        <v>29</v>
      </c>
      <c r="L424" t="s">
        <v>30</v>
      </c>
      <c r="M424">
        <v>205</v>
      </c>
      <c r="N424" t="s">
        <v>32</v>
      </c>
      <c r="O424" t="s">
        <v>32</v>
      </c>
      <c r="Q424" t="s">
        <v>32</v>
      </c>
      <c r="S424" t="s">
        <v>32</v>
      </c>
      <c r="U424" t="s">
        <v>32</v>
      </c>
      <c r="V424" t="s">
        <v>32</v>
      </c>
      <c r="W424" t="s">
        <v>32</v>
      </c>
      <c r="X424" t="s">
        <v>32</v>
      </c>
      <c r="Y424" t="s">
        <v>32</v>
      </c>
      <c r="AA424" t="s">
        <v>88</v>
      </c>
      <c r="AB424" t="s">
        <v>32</v>
      </c>
      <c r="AE424" t="s">
        <v>32</v>
      </c>
      <c r="AH424" t="s">
        <v>32</v>
      </c>
      <c r="AK424" t="s">
        <v>32</v>
      </c>
      <c r="AN424" t="s">
        <v>32</v>
      </c>
      <c r="AO424" t="s">
        <v>32</v>
      </c>
      <c r="AR424">
        <v>0</v>
      </c>
      <c r="AU424" t="s">
        <v>32</v>
      </c>
      <c r="AV424">
        <v>1785595</v>
      </c>
      <c r="AW424" t="s">
        <v>32</v>
      </c>
      <c r="AX424" t="s">
        <v>32</v>
      </c>
      <c r="AY424" t="s">
        <v>317</v>
      </c>
      <c r="AZ424">
        <v>30</v>
      </c>
      <c r="BA424">
        <v>2110655</v>
      </c>
      <c r="BB424">
        <v>0.16</v>
      </c>
      <c r="BC424">
        <v>337800</v>
      </c>
      <c r="BD424" t="s">
        <v>142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337800</v>
      </c>
      <c r="BK424" t="s">
        <v>25</v>
      </c>
      <c r="BL424" t="s">
        <v>1064</v>
      </c>
      <c r="BM424">
        <v>30</v>
      </c>
      <c r="BN424">
        <v>2110655</v>
      </c>
      <c r="BO424">
        <v>0.04</v>
      </c>
      <c r="BP424">
        <v>84500</v>
      </c>
      <c r="BQ424">
        <v>0</v>
      </c>
      <c r="BR424" t="s">
        <v>1438</v>
      </c>
      <c r="BS424">
        <v>0</v>
      </c>
      <c r="BT424" t="s">
        <v>1438</v>
      </c>
      <c r="BU424">
        <v>0</v>
      </c>
      <c r="BV424" t="s">
        <v>25</v>
      </c>
      <c r="BW424" t="s">
        <v>189</v>
      </c>
      <c r="BX424">
        <v>30</v>
      </c>
      <c r="BY424">
        <v>2110655</v>
      </c>
      <c r="BZ424">
        <v>6.9599999999999995E-2</v>
      </c>
      <c r="CA424" t="s">
        <v>1439</v>
      </c>
      <c r="CB424" t="s">
        <v>312</v>
      </c>
      <c r="CC424" t="s">
        <v>1440</v>
      </c>
      <c r="CD424">
        <v>147000</v>
      </c>
      <c r="CE424">
        <v>30</v>
      </c>
      <c r="CF424" t="s">
        <v>466</v>
      </c>
      <c r="CG424">
        <v>2110655</v>
      </c>
      <c r="CH424">
        <v>0.04</v>
      </c>
      <c r="CI424">
        <v>84500</v>
      </c>
      <c r="CJ424">
        <v>2110655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 t="s">
        <v>88</v>
      </c>
      <c r="CT424" t="s">
        <v>1441</v>
      </c>
      <c r="CU424" t="s">
        <v>1442</v>
      </c>
    </row>
    <row r="425" spans="1:99">
      <c r="A425" t="s">
        <v>1431</v>
      </c>
      <c r="B425" t="s">
        <v>34</v>
      </c>
      <c r="C425" t="s">
        <v>2545</v>
      </c>
      <c r="D425" t="s">
        <v>2546</v>
      </c>
      <c r="E425" t="s">
        <v>2547</v>
      </c>
      <c r="F425" t="s">
        <v>2548</v>
      </c>
      <c r="G425" t="s">
        <v>2549</v>
      </c>
      <c r="H425" t="s">
        <v>1532</v>
      </c>
      <c r="I425" t="s">
        <v>240</v>
      </c>
      <c r="J425" t="s">
        <v>46</v>
      </c>
      <c r="K425" t="s">
        <v>29</v>
      </c>
      <c r="L425" t="s">
        <v>30</v>
      </c>
      <c r="M425">
        <v>231</v>
      </c>
      <c r="N425" t="s">
        <v>32</v>
      </c>
      <c r="O425" t="s">
        <v>32</v>
      </c>
      <c r="Q425" t="s">
        <v>32</v>
      </c>
      <c r="S425" t="s">
        <v>40</v>
      </c>
      <c r="T425">
        <v>46081</v>
      </c>
      <c r="U425" t="s">
        <v>32</v>
      </c>
      <c r="V425" t="s">
        <v>32</v>
      </c>
      <c r="W425" t="s">
        <v>32</v>
      </c>
      <c r="X425" t="s">
        <v>32</v>
      </c>
      <c r="Y425" t="s">
        <v>32</v>
      </c>
      <c r="AA425" t="s">
        <v>88</v>
      </c>
      <c r="AB425" t="s">
        <v>32</v>
      </c>
      <c r="AE425" t="s">
        <v>32</v>
      </c>
      <c r="AH425" t="s">
        <v>32</v>
      </c>
      <c r="AK425" t="s">
        <v>32</v>
      </c>
      <c r="AN425" t="s">
        <v>32</v>
      </c>
      <c r="AO425" t="s">
        <v>32</v>
      </c>
      <c r="AR425">
        <v>0</v>
      </c>
      <c r="AU425" t="s">
        <v>32</v>
      </c>
      <c r="AV425">
        <v>2223339</v>
      </c>
      <c r="AW425" t="s">
        <v>32</v>
      </c>
      <c r="AX425" t="s">
        <v>88</v>
      </c>
      <c r="AY425" t="s">
        <v>317</v>
      </c>
      <c r="AZ425">
        <v>30</v>
      </c>
      <c r="BA425">
        <v>3922265</v>
      </c>
      <c r="BB425">
        <v>0.16</v>
      </c>
      <c r="BC425">
        <v>627600</v>
      </c>
      <c r="BD425" t="s">
        <v>142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627600</v>
      </c>
      <c r="BK425" t="s">
        <v>25</v>
      </c>
      <c r="BL425" t="s">
        <v>1010</v>
      </c>
      <c r="BM425">
        <v>30</v>
      </c>
      <c r="BN425">
        <v>3922265</v>
      </c>
      <c r="BO425">
        <v>0.04</v>
      </c>
      <c r="BP425">
        <v>156900</v>
      </c>
      <c r="BQ425">
        <v>0</v>
      </c>
      <c r="BR425" t="s">
        <v>1438</v>
      </c>
      <c r="BS425">
        <v>0</v>
      </c>
      <c r="BT425" t="s">
        <v>1438</v>
      </c>
      <c r="BU425">
        <v>0</v>
      </c>
      <c r="BV425" t="s">
        <v>25</v>
      </c>
      <c r="BW425" t="s">
        <v>189</v>
      </c>
      <c r="BX425">
        <v>30</v>
      </c>
      <c r="BY425">
        <v>3922265</v>
      </c>
      <c r="BZ425">
        <v>6.9599999999999995E-2</v>
      </c>
      <c r="CA425" t="s">
        <v>1439</v>
      </c>
      <c r="CB425" t="s">
        <v>227</v>
      </c>
      <c r="CC425" t="s">
        <v>1440</v>
      </c>
      <c r="CD425">
        <v>273000</v>
      </c>
      <c r="CE425">
        <v>30</v>
      </c>
      <c r="CF425" t="s">
        <v>635</v>
      </c>
      <c r="CG425">
        <v>4549550</v>
      </c>
      <c r="CH425">
        <v>0.04</v>
      </c>
      <c r="CI425">
        <v>182000</v>
      </c>
      <c r="CJ425">
        <v>4549550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 t="s">
        <v>88</v>
      </c>
      <c r="CT425" t="s">
        <v>1441</v>
      </c>
      <c r="CU425" t="s">
        <v>1442</v>
      </c>
    </row>
    <row r="426" spans="1:99">
      <c r="A426" t="s">
        <v>1431</v>
      </c>
      <c r="B426" t="s">
        <v>34</v>
      </c>
      <c r="C426" t="s">
        <v>2550</v>
      </c>
      <c r="D426" t="s">
        <v>2551</v>
      </c>
      <c r="E426" t="s">
        <v>2552</v>
      </c>
      <c r="F426" t="s">
        <v>1914</v>
      </c>
      <c r="G426" t="s">
        <v>2553</v>
      </c>
      <c r="H426" t="s">
        <v>2554</v>
      </c>
      <c r="I426" t="s">
        <v>240</v>
      </c>
      <c r="J426" t="s">
        <v>46</v>
      </c>
      <c r="K426" t="s">
        <v>29</v>
      </c>
      <c r="L426" t="s">
        <v>30</v>
      </c>
      <c r="M426">
        <v>188</v>
      </c>
      <c r="N426" t="s">
        <v>32</v>
      </c>
      <c r="O426" t="s">
        <v>32</v>
      </c>
      <c r="Q426" t="s">
        <v>32</v>
      </c>
      <c r="S426" t="s">
        <v>32</v>
      </c>
      <c r="U426" t="s">
        <v>32</v>
      </c>
      <c r="V426" t="s">
        <v>32</v>
      </c>
      <c r="W426" t="s">
        <v>32</v>
      </c>
      <c r="X426" t="s">
        <v>32</v>
      </c>
      <c r="Y426" t="s">
        <v>32</v>
      </c>
      <c r="AA426" t="s">
        <v>32</v>
      </c>
      <c r="AB426" t="s">
        <v>32</v>
      </c>
      <c r="AE426" t="s">
        <v>32</v>
      </c>
      <c r="AH426" t="s">
        <v>32</v>
      </c>
      <c r="AK426" t="s">
        <v>32</v>
      </c>
      <c r="AN426" t="s">
        <v>32</v>
      </c>
      <c r="AO426" t="s">
        <v>32</v>
      </c>
      <c r="AR426">
        <v>0</v>
      </c>
      <c r="AU426" t="s">
        <v>32</v>
      </c>
      <c r="AV426">
        <v>1750905</v>
      </c>
      <c r="AW426" t="s">
        <v>32</v>
      </c>
      <c r="AX426" t="s">
        <v>32</v>
      </c>
      <c r="AY426" t="s">
        <v>317</v>
      </c>
      <c r="AZ426">
        <v>30</v>
      </c>
      <c r="BA426">
        <v>1750905</v>
      </c>
      <c r="BB426">
        <v>0.16</v>
      </c>
      <c r="BC426">
        <v>280200</v>
      </c>
      <c r="BD426" t="s">
        <v>142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280200</v>
      </c>
      <c r="BK426" t="s">
        <v>25</v>
      </c>
      <c r="BL426" t="s">
        <v>635</v>
      </c>
      <c r="BM426">
        <v>30</v>
      </c>
      <c r="BN426">
        <v>1750905</v>
      </c>
      <c r="BO426">
        <v>0.04</v>
      </c>
      <c r="BP426">
        <v>70100</v>
      </c>
      <c r="BQ426">
        <v>0</v>
      </c>
      <c r="BR426" t="s">
        <v>1438</v>
      </c>
      <c r="BS426">
        <v>0</v>
      </c>
      <c r="BT426" t="s">
        <v>1438</v>
      </c>
      <c r="BU426">
        <v>0</v>
      </c>
      <c r="BV426" t="s">
        <v>25</v>
      </c>
      <c r="BW426" t="s">
        <v>189</v>
      </c>
      <c r="BX426">
        <v>30</v>
      </c>
      <c r="BY426">
        <v>1750905</v>
      </c>
      <c r="BZ426">
        <v>5.2199999999999998E-3</v>
      </c>
      <c r="CA426" t="s">
        <v>1592</v>
      </c>
      <c r="CB426" t="s">
        <v>227</v>
      </c>
      <c r="CC426" t="s">
        <v>1593</v>
      </c>
      <c r="CD426">
        <v>9200</v>
      </c>
      <c r="CE426">
        <v>30</v>
      </c>
      <c r="CF426" t="s">
        <v>635</v>
      </c>
      <c r="CG426">
        <v>1750905</v>
      </c>
      <c r="CH426">
        <v>0.04</v>
      </c>
      <c r="CI426">
        <v>70100</v>
      </c>
      <c r="CJ426">
        <v>1750905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 t="s">
        <v>88</v>
      </c>
      <c r="CT426" t="s">
        <v>1441</v>
      </c>
      <c r="CU426" t="s">
        <v>1442</v>
      </c>
    </row>
    <row r="427" spans="1:99">
      <c r="A427" t="s">
        <v>1431</v>
      </c>
      <c r="B427" t="s">
        <v>34</v>
      </c>
      <c r="C427" t="s">
        <v>2555</v>
      </c>
      <c r="D427" t="s">
        <v>2556</v>
      </c>
      <c r="E427" t="s">
        <v>1620</v>
      </c>
      <c r="F427" t="s">
        <v>756</v>
      </c>
      <c r="G427" t="s">
        <v>2557</v>
      </c>
      <c r="H427" t="s">
        <v>2558</v>
      </c>
      <c r="I427" t="s">
        <v>240</v>
      </c>
      <c r="J427" t="s">
        <v>46</v>
      </c>
      <c r="K427" t="s">
        <v>29</v>
      </c>
      <c r="L427" t="s">
        <v>30</v>
      </c>
      <c r="M427">
        <v>188</v>
      </c>
      <c r="N427" t="s">
        <v>32</v>
      </c>
      <c r="O427" t="s">
        <v>32</v>
      </c>
      <c r="Q427" t="s">
        <v>32</v>
      </c>
      <c r="S427" t="s">
        <v>32</v>
      </c>
      <c r="U427" t="s">
        <v>32</v>
      </c>
      <c r="V427" t="s">
        <v>32</v>
      </c>
      <c r="W427" t="s">
        <v>32</v>
      </c>
      <c r="X427" t="s">
        <v>32</v>
      </c>
      <c r="Y427" t="s">
        <v>88</v>
      </c>
      <c r="Z427">
        <v>46054</v>
      </c>
      <c r="AA427" t="s">
        <v>32</v>
      </c>
      <c r="AB427" t="s">
        <v>32</v>
      </c>
      <c r="AE427" t="s">
        <v>32</v>
      </c>
      <c r="AH427" t="s">
        <v>32</v>
      </c>
      <c r="AK427" t="s">
        <v>32</v>
      </c>
      <c r="AN427" t="s">
        <v>32</v>
      </c>
      <c r="AO427" t="s">
        <v>32</v>
      </c>
      <c r="AR427">
        <v>0</v>
      </c>
      <c r="AU427" t="s">
        <v>32</v>
      </c>
      <c r="AV427">
        <v>5676577</v>
      </c>
      <c r="AW427" t="s">
        <v>32</v>
      </c>
      <c r="AX427" t="s">
        <v>88</v>
      </c>
      <c r="AY427" t="s">
        <v>185</v>
      </c>
      <c r="AZ427">
        <v>30</v>
      </c>
      <c r="BA427">
        <v>5676577</v>
      </c>
      <c r="BB427">
        <v>0.16</v>
      </c>
      <c r="BC427">
        <v>908300</v>
      </c>
      <c r="BD427" t="s">
        <v>142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908300</v>
      </c>
      <c r="BK427" t="s">
        <v>25</v>
      </c>
      <c r="BL427" t="s">
        <v>635</v>
      </c>
      <c r="BM427">
        <v>30</v>
      </c>
      <c r="BN427">
        <v>5676577</v>
      </c>
      <c r="BO427">
        <v>0.04</v>
      </c>
      <c r="BP427">
        <v>227100</v>
      </c>
      <c r="BQ427">
        <v>0</v>
      </c>
      <c r="BR427" t="s">
        <v>1438</v>
      </c>
      <c r="BS427">
        <v>0</v>
      </c>
      <c r="BT427" t="s">
        <v>1438</v>
      </c>
      <c r="BU427">
        <v>0</v>
      </c>
      <c r="BV427" t="s">
        <v>25</v>
      </c>
      <c r="BW427" t="s">
        <v>189</v>
      </c>
      <c r="BX427">
        <v>30</v>
      </c>
      <c r="BY427">
        <v>5676577</v>
      </c>
      <c r="BZ427">
        <v>5.2199999999999998E-3</v>
      </c>
      <c r="CA427" t="s">
        <v>1592</v>
      </c>
      <c r="CB427" t="s">
        <v>227</v>
      </c>
      <c r="CC427" t="s">
        <v>1593</v>
      </c>
      <c r="CD427">
        <v>29700</v>
      </c>
      <c r="CE427">
        <v>30</v>
      </c>
      <c r="CF427" t="s">
        <v>635</v>
      </c>
      <c r="CG427">
        <v>5676577</v>
      </c>
      <c r="CH427">
        <v>0.04</v>
      </c>
      <c r="CI427">
        <v>227100</v>
      </c>
      <c r="CJ427">
        <v>5676577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 t="s">
        <v>88</v>
      </c>
      <c r="CT427" t="s">
        <v>1441</v>
      </c>
      <c r="CU427" t="s">
        <v>1442</v>
      </c>
    </row>
    <row r="428" spans="1:99">
      <c r="A428" t="s">
        <v>1431</v>
      </c>
      <c r="B428" t="s">
        <v>34</v>
      </c>
      <c r="C428" t="s">
        <v>2559</v>
      </c>
      <c r="D428" t="s">
        <v>2560</v>
      </c>
      <c r="E428" t="s">
        <v>1972</v>
      </c>
      <c r="F428" t="s">
        <v>1562</v>
      </c>
      <c r="G428" t="s">
        <v>1978</v>
      </c>
      <c r="H428" t="s">
        <v>2561</v>
      </c>
      <c r="I428" t="s">
        <v>240</v>
      </c>
      <c r="J428" t="s">
        <v>46</v>
      </c>
      <c r="K428" t="s">
        <v>29</v>
      </c>
      <c r="L428" t="s">
        <v>30</v>
      </c>
      <c r="M428">
        <v>188</v>
      </c>
      <c r="N428" t="s">
        <v>32</v>
      </c>
      <c r="O428" t="s">
        <v>32</v>
      </c>
      <c r="Q428" t="s">
        <v>32</v>
      </c>
      <c r="S428" t="s">
        <v>32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  <c r="AA428" t="s">
        <v>32</v>
      </c>
      <c r="AB428" t="s">
        <v>32</v>
      </c>
      <c r="AE428" t="s">
        <v>32</v>
      </c>
      <c r="AH428" t="s">
        <v>32</v>
      </c>
      <c r="AK428" t="s">
        <v>32</v>
      </c>
      <c r="AN428" t="s">
        <v>32</v>
      </c>
      <c r="AO428" t="s">
        <v>32</v>
      </c>
      <c r="AR428">
        <v>0</v>
      </c>
      <c r="AU428" t="s">
        <v>32</v>
      </c>
      <c r="AV428">
        <v>1750905</v>
      </c>
      <c r="AW428" t="s">
        <v>32</v>
      </c>
      <c r="AX428" t="s">
        <v>32</v>
      </c>
      <c r="AY428" t="s">
        <v>356</v>
      </c>
      <c r="AZ428">
        <v>30</v>
      </c>
      <c r="BA428">
        <v>1750905</v>
      </c>
      <c r="BB428">
        <v>0.16</v>
      </c>
      <c r="BC428">
        <v>280200</v>
      </c>
      <c r="BD428" t="s">
        <v>142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280200</v>
      </c>
      <c r="BK428" t="s">
        <v>25</v>
      </c>
      <c r="BL428" t="s">
        <v>885</v>
      </c>
      <c r="BM428">
        <v>30</v>
      </c>
      <c r="BN428">
        <v>1750905</v>
      </c>
      <c r="BO428">
        <v>0.04</v>
      </c>
      <c r="BP428">
        <v>70100</v>
      </c>
      <c r="BQ428">
        <v>0</v>
      </c>
      <c r="BR428" t="s">
        <v>1438</v>
      </c>
      <c r="BS428">
        <v>0</v>
      </c>
      <c r="BT428" t="s">
        <v>1438</v>
      </c>
      <c r="BU428">
        <v>0</v>
      </c>
      <c r="BV428" t="s">
        <v>25</v>
      </c>
      <c r="BW428" t="s">
        <v>189</v>
      </c>
      <c r="BX428">
        <v>30</v>
      </c>
      <c r="BY428">
        <v>1750905</v>
      </c>
      <c r="BZ428">
        <v>2.436E-2</v>
      </c>
      <c r="CA428" t="s">
        <v>1772</v>
      </c>
      <c r="CB428" t="s">
        <v>227</v>
      </c>
      <c r="CC428" t="s">
        <v>1773</v>
      </c>
      <c r="CD428">
        <v>42700</v>
      </c>
      <c r="CE428">
        <v>30</v>
      </c>
      <c r="CF428" t="s">
        <v>635</v>
      </c>
      <c r="CG428">
        <v>1750905</v>
      </c>
      <c r="CH428">
        <v>0.04</v>
      </c>
      <c r="CI428">
        <v>70100</v>
      </c>
      <c r="CJ428">
        <v>1750905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 t="s">
        <v>88</v>
      </c>
      <c r="CT428" t="s">
        <v>1441</v>
      </c>
      <c r="CU428" t="s">
        <v>1442</v>
      </c>
    </row>
    <row r="429" spans="1:99">
      <c r="A429" t="s">
        <v>1431</v>
      </c>
      <c r="B429" t="s">
        <v>34</v>
      </c>
      <c r="C429" t="s">
        <v>2562</v>
      </c>
      <c r="D429" t="s">
        <v>2563</v>
      </c>
      <c r="E429" t="s">
        <v>2564</v>
      </c>
      <c r="F429" t="s">
        <v>1090</v>
      </c>
      <c r="G429" t="s">
        <v>2565</v>
      </c>
      <c r="H429" t="s">
        <v>1558</v>
      </c>
      <c r="I429" t="s">
        <v>240</v>
      </c>
      <c r="J429" t="s">
        <v>46</v>
      </c>
      <c r="K429" t="s">
        <v>29</v>
      </c>
      <c r="L429" t="s">
        <v>30</v>
      </c>
      <c r="M429">
        <v>188</v>
      </c>
      <c r="N429" t="s">
        <v>32</v>
      </c>
      <c r="O429" t="s">
        <v>32</v>
      </c>
      <c r="Q429" t="s">
        <v>32</v>
      </c>
      <c r="S429" t="s">
        <v>32</v>
      </c>
      <c r="U429" t="s">
        <v>32</v>
      </c>
      <c r="V429" t="s">
        <v>32</v>
      </c>
      <c r="W429" t="s">
        <v>32</v>
      </c>
      <c r="X429" t="s">
        <v>32</v>
      </c>
      <c r="Y429" t="s">
        <v>32</v>
      </c>
      <c r="AA429" t="s">
        <v>32</v>
      </c>
      <c r="AB429" t="s">
        <v>32</v>
      </c>
      <c r="AE429" t="s">
        <v>32</v>
      </c>
      <c r="AH429" t="s">
        <v>32</v>
      </c>
      <c r="AK429" t="s">
        <v>32</v>
      </c>
      <c r="AN429" t="s">
        <v>32</v>
      </c>
      <c r="AO429" t="s">
        <v>32</v>
      </c>
      <c r="AR429">
        <v>0</v>
      </c>
      <c r="AU429" t="s">
        <v>32</v>
      </c>
      <c r="AV429">
        <v>16882380</v>
      </c>
      <c r="AW429" t="s">
        <v>32</v>
      </c>
      <c r="AX429" t="s">
        <v>32</v>
      </c>
      <c r="AY429" t="s">
        <v>185</v>
      </c>
      <c r="AZ429">
        <v>30</v>
      </c>
      <c r="BA429">
        <v>16882380</v>
      </c>
      <c r="BB429">
        <v>0.16</v>
      </c>
      <c r="BC429">
        <v>2701200</v>
      </c>
      <c r="BD429" t="s">
        <v>142</v>
      </c>
      <c r="BE429">
        <v>0</v>
      </c>
      <c r="BF429">
        <v>0</v>
      </c>
      <c r="BG429">
        <v>84500</v>
      </c>
      <c r="BH429">
        <v>84500</v>
      </c>
      <c r="BI429">
        <v>0</v>
      </c>
      <c r="BJ429">
        <v>2870200</v>
      </c>
      <c r="BK429" t="s">
        <v>25</v>
      </c>
      <c r="BL429" t="s">
        <v>870</v>
      </c>
      <c r="BM429">
        <v>30</v>
      </c>
      <c r="BN429">
        <v>16882380</v>
      </c>
      <c r="BO429">
        <v>0.125</v>
      </c>
      <c r="BP429">
        <v>2110300</v>
      </c>
      <c r="BQ429">
        <v>0</v>
      </c>
      <c r="BR429" t="s">
        <v>1438</v>
      </c>
      <c r="BS429">
        <v>0</v>
      </c>
      <c r="BT429" t="s">
        <v>1438</v>
      </c>
      <c r="BU429">
        <v>0</v>
      </c>
      <c r="BV429" t="s">
        <v>25</v>
      </c>
      <c r="BW429" t="s">
        <v>189</v>
      </c>
      <c r="BX429">
        <v>30</v>
      </c>
      <c r="BY429">
        <v>16882380</v>
      </c>
      <c r="BZ429">
        <v>5.2199999999999998E-3</v>
      </c>
      <c r="CA429" t="s">
        <v>1592</v>
      </c>
      <c r="CB429" t="s">
        <v>227</v>
      </c>
      <c r="CC429" t="s">
        <v>1593</v>
      </c>
      <c r="CD429">
        <v>88200</v>
      </c>
      <c r="CE429">
        <v>30</v>
      </c>
      <c r="CF429" t="s">
        <v>635</v>
      </c>
      <c r="CG429">
        <v>16882380</v>
      </c>
      <c r="CH429">
        <v>0.04</v>
      </c>
      <c r="CI429">
        <v>675300</v>
      </c>
      <c r="CJ429">
        <v>16882380</v>
      </c>
      <c r="CK429">
        <v>0.02</v>
      </c>
      <c r="CL429">
        <v>337700</v>
      </c>
      <c r="CM429">
        <v>0.03</v>
      </c>
      <c r="CN429">
        <v>506500</v>
      </c>
      <c r="CO429">
        <v>0</v>
      </c>
      <c r="CP429">
        <v>0</v>
      </c>
      <c r="CQ429">
        <v>0</v>
      </c>
      <c r="CR429">
        <v>0</v>
      </c>
      <c r="CS429" t="s">
        <v>88</v>
      </c>
      <c r="CT429" t="s">
        <v>1441</v>
      </c>
      <c r="CU429" t="s">
        <v>1442</v>
      </c>
    </row>
    <row r="430" spans="1:99">
      <c r="A430" t="s">
        <v>1431</v>
      </c>
      <c r="B430" t="s">
        <v>34</v>
      </c>
      <c r="C430" t="s">
        <v>2566</v>
      </c>
      <c r="D430" t="s">
        <v>2567</v>
      </c>
      <c r="E430" t="s">
        <v>2568</v>
      </c>
      <c r="F430" t="s">
        <v>510</v>
      </c>
      <c r="G430" t="s">
        <v>2569</v>
      </c>
      <c r="H430" t="s">
        <v>1558</v>
      </c>
      <c r="I430" t="s">
        <v>240</v>
      </c>
      <c r="J430" t="s">
        <v>46</v>
      </c>
      <c r="K430" t="s">
        <v>29</v>
      </c>
      <c r="L430" t="s">
        <v>30</v>
      </c>
      <c r="M430">
        <v>0</v>
      </c>
      <c r="N430" t="s">
        <v>32</v>
      </c>
      <c r="O430" t="s">
        <v>32</v>
      </c>
      <c r="Q430" t="s">
        <v>32</v>
      </c>
      <c r="S430" t="s">
        <v>32</v>
      </c>
      <c r="U430" t="s">
        <v>32</v>
      </c>
      <c r="V430" t="s">
        <v>32</v>
      </c>
      <c r="W430" t="s">
        <v>32</v>
      </c>
      <c r="X430" t="s">
        <v>32</v>
      </c>
      <c r="Y430" t="s">
        <v>32</v>
      </c>
      <c r="AA430" t="s">
        <v>32</v>
      </c>
      <c r="AB430" t="s">
        <v>32</v>
      </c>
      <c r="AE430" t="s">
        <v>32</v>
      </c>
      <c r="AH430" t="s">
        <v>32</v>
      </c>
      <c r="AK430" t="s">
        <v>128</v>
      </c>
      <c r="AL430">
        <v>46069</v>
      </c>
      <c r="AM430">
        <v>46075</v>
      </c>
      <c r="AN430" t="s">
        <v>32</v>
      </c>
      <c r="AO430" t="s">
        <v>32</v>
      </c>
      <c r="AR430">
        <v>0</v>
      </c>
      <c r="AU430" t="s">
        <v>32</v>
      </c>
      <c r="AV430">
        <v>8812118</v>
      </c>
      <c r="AW430" t="s">
        <v>32</v>
      </c>
      <c r="AX430" t="s">
        <v>88</v>
      </c>
      <c r="AY430" t="s">
        <v>137</v>
      </c>
      <c r="AZ430">
        <v>7</v>
      </c>
      <c r="BA430">
        <v>2056161</v>
      </c>
      <c r="BB430">
        <v>0.16</v>
      </c>
      <c r="BC430">
        <v>329000</v>
      </c>
      <c r="BD430" t="s">
        <v>142</v>
      </c>
      <c r="BE430">
        <v>0</v>
      </c>
      <c r="BF430">
        <v>0</v>
      </c>
      <c r="BG430">
        <v>10300</v>
      </c>
      <c r="BH430">
        <v>10300</v>
      </c>
      <c r="BI430">
        <v>0</v>
      </c>
      <c r="BJ430">
        <v>349600</v>
      </c>
      <c r="BK430" t="s">
        <v>25</v>
      </c>
      <c r="BL430" t="s">
        <v>635</v>
      </c>
      <c r="BM430">
        <v>7</v>
      </c>
      <c r="BN430">
        <v>2056161</v>
      </c>
      <c r="BO430">
        <v>0.04</v>
      </c>
      <c r="BP430">
        <v>82300</v>
      </c>
      <c r="BQ430">
        <v>0</v>
      </c>
      <c r="BR430" t="s">
        <v>1438</v>
      </c>
      <c r="BS430">
        <v>0</v>
      </c>
      <c r="BT430" t="s">
        <v>1438</v>
      </c>
      <c r="BU430">
        <v>0</v>
      </c>
      <c r="BV430" t="s">
        <v>25</v>
      </c>
      <c r="BW430" t="s">
        <v>189</v>
      </c>
      <c r="BX430">
        <v>7</v>
      </c>
      <c r="BY430">
        <v>2056161</v>
      </c>
      <c r="BZ430">
        <v>0</v>
      </c>
      <c r="CA430" t="s">
        <v>1439</v>
      </c>
      <c r="CB430" t="s">
        <v>227</v>
      </c>
      <c r="CC430" t="s">
        <v>1440</v>
      </c>
      <c r="CD430">
        <v>0</v>
      </c>
      <c r="CE430">
        <v>7</v>
      </c>
      <c r="CF430" t="s">
        <v>635</v>
      </c>
      <c r="CG430">
        <v>2056161</v>
      </c>
      <c r="CH430">
        <v>0.04</v>
      </c>
      <c r="CI430">
        <v>82300</v>
      </c>
      <c r="CJ430">
        <v>2056161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 t="s">
        <v>88</v>
      </c>
      <c r="CT430" t="s">
        <v>1441</v>
      </c>
      <c r="CU430" t="s">
        <v>1442</v>
      </c>
    </row>
    <row r="431" spans="1:99">
      <c r="A431" t="s">
        <v>1431</v>
      </c>
      <c r="B431" t="s">
        <v>34</v>
      </c>
      <c r="C431" t="s">
        <v>2566</v>
      </c>
      <c r="D431" t="s">
        <v>2567</v>
      </c>
      <c r="E431" t="s">
        <v>2568</v>
      </c>
      <c r="F431" t="s">
        <v>510</v>
      </c>
      <c r="G431" t="s">
        <v>2569</v>
      </c>
      <c r="H431" t="s">
        <v>1558</v>
      </c>
      <c r="I431" t="s">
        <v>240</v>
      </c>
      <c r="J431" t="s">
        <v>46</v>
      </c>
      <c r="K431" t="s">
        <v>29</v>
      </c>
      <c r="L431" t="s">
        <v>30</v>
      </c>
      <c r="M431">
        <v>135</v>
      </c>
      <c r="N431" t="s">
        <v>32</v>
      </c>
      <c r="O431" t="s">
        <v>32</v>
      </c>
      <c r="Q431" t="s">
        <v>32</v>
      </c>
      <c r="S431" t="s">
        <v>32</v>
      </c>
      <c r="U431" t="s">
        <v>32</v>
      </c>
      <c r="V431" t="s">
        <v>32</v>
      </c>
      <c r="W431" t="s">
        <v>32</v>
      </c>
      <c r="X431" t="s">
        <v>32</v>
      </c>
      <c r="Y431" t="s">
        <v>88</v>
      </c>
      <c r="Z431">
        <v>46054</v>
      </c>
      <c r="AA431" t="s">
        <v>32</v>
      </c>
      <c r="AB431" t="s">
        <v>32</v>
      </c>
      <c r="AE431" t="s">
        <v>32</v>
      </c>
      <c r="AH431" t="s">
        <v>32</v>
      </c>
      <c r="AK431" t="s">
        <v>32</v>
      </c>
      <c r="AN431" t="s">
        <v>32</v>
      </c>
      <c r="AO431" t="s">
        <v>32</v>
      </c>
      <c r="AR431">
        <v>0</v>
      </c>
      <c r="AU431" t="s">
        <v>32</v>
      </c>
      <c r="AV431">
        <v>8812118</v>
      </c>
      <c r="AW431" t="s">
        <v>32</v>
      </c>
      <c r="AX431" t="s">
        <v>88</v>
      </c>
      <c r="AY431" t="s">
        <v>137</v>
      </c>
      <c r="AZ431">
        <v>23</v>
      </c>
      <c r="BA431">
        <v>6755958</v>
      </c>
      <c r="BB431">
        <v>0.16</v>
      </c>
      <c r="BC431">
        <v>1081000</v>
      </c>
      <c r="BD431" t="s">
        <v>142</v>
      </c>
      <c r="BE431">
        <v>0</v>
      </c>
      <c r="BF431">
        <v>0</v>
      </c>
      <c r="BG431">
        <v>33800</v>
      </c>
      <c r="BH431">
        <v>33800</v>
      </c>
      <c r="BI431">
        <v>0</v>
      </c>
      <c r="BJ431">
        <v>1148600</v>
      </c>
      <c r="BK431" t="s">
        <v>25</v>
      </c>
      <c r="BL431" t="s">
        <v>635</v>
      </c>
      <c r="BM431">
        <v>23</v>
      </c>
      <c r="BN431">
        <v>6755958</v>
      </c>
      <c r="BO431">
        <v>0.04</v>
      </c>
      <c r="BP431">
        <v>270300</v>
      </c>
      <c r="BQ431">
        <v>0</v>
      </c>
      <c r="BR431" t="s">
        <v>1438</v>
      </c>
      <c r="BS431">
        <v>0</v>
      </c>
      <c r="BT431" t="s">
        <v>1438</v>
      </c>
      <c r="BU431">
        <v>0</v>
      </c>
      <c r="BV431" t="s">
        <v>25</v>
      </c>
      <c r="BW431" t="s">
        <v>189</v>
      </c>
      <c r="BX431">
        <v>23</v>
      </c>
      <c r="BY431">
        <v>6755958</v>
      </c>
      <c r="BZ431">
        <v>6.9599999999999995E-2</v>
      </c>
      <c r="CA431" t="s">
        <v>1439</v>
      </c>
      <c r="CB431" t="s">
        <v>227</v>
      </c>
      <c r="CC431" t="s">
        <v>1440</v>
      </c>
      <c r="CD431">
        <v>470300</v>
      </c>
      <c r="CE431">
        <v>23</v>
      </c>
      <c r="CF431" t="s">
        <v>635</v>
      </c>
      <c r="CG431">
        <v>6755958</v>
      </c>
      <c r="CH431">
        <v>0.04</v>
      </c>
      <c r="CI431">
        <v>270300</v>
      </c>
      <c r="CJ431">
        <v>6755958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 t="s">
        <v>88</v>
      </c>
      <c r="CT431" t="s">
        <v>1441</v>
      </c>
      <c r="CU431" t="s">
        <v>1442</v>
      </c>
    </row>
    <row r="432" spans="1:99">
      <c r="A432" t="s">
        <v>1431</v>
      </c>
      <c r="B432" t="s">
        <v>34</v>
      </c>
      <c r="C432" t="s">
        <v>2570</v>
      </c>
      <c r="D432" t="s">
        <v>2571</v>
      </c>
      <c r="E432" t="s">
        <v>1864</v>
      </c>
      <c r="F432" t="s">
        <v>2572</v>
      </c>
      <c r="G432" t="s">
        <v>2573</v>
      </c>
      <c r="H432" t="s">
        <v>1558</v>
      </c>
      <c r="I432" t="s">
        <v>240</v>
      </c>
      <c r="J432" t="s">
        <v>46</v>
      </c>
      <c r="K432" t="s">
        <v>29</v>
      </c>
      <c r="L432" t="s">
        <v>30</v>
      </c>
      <c r="M432">
        <v>210</v>
      </c>
      <c r="N432" t="s">
        <v>32</v>
      </c>
      <c r="O432" t="s">
        <v>32</v>
      </c>
      <c r="Q432" t="s">
        <v>32</v>
      </c>
      <c r="S432" t="s">
        <v>32</v>
      </c>
      <c r="U432" t="s">
        <v>32</v>
      </c>
      <c r="V432" t="s">
        <v>32</v>
      </c>
      <c r="W432" t="s">
        <v>32</v>
      </c>
      <c r="X432" t="s">
        <v>32</v>
      </c>
      <c r="Y432" t="s">
        <v>32</v>
      </c>
      <c r="AA432" t="s">
        <v>88</v>
      </c>
      <c r="AB432" t="s">
        <v>32</v>
      </c>
      <c r="AE432" t="s">
        <v>32</v>
      </c>
      <c r="AH432" t="s">
        <v>32</v>
      </c>
      <c r="AK432" t="s">
        <v>32</v>
      </c>
      <c r="AN432" t="s">
        <v>32</v>
      </c>
      <c r="AO432" t="s">
        <v>32</v>
      </c>
      <c r="AR432">
        <v>0</v>
      </c>
      <c r="AU432" t="s">
        <v>32</v>
      </c>
      <c r="AV432">
        <v>1750905</v>
      </c>
      <c r="AW432" t="s">
        <v>32</v>
      </c>
      <c r="AX432" t="s">
        <v>32</v>
      </c>
      <c r="AY432" t="s">
        <v>185</v>
      </c>
      <c r="AZ432">
        <v>30</v>
      </c>
      <c r="BA432">
        <v>2049356</v>
      </c>
      <c r="BB432">
        <v>0.16</v>
      </c>
      <c r="BC432">
        <v>327900</v>
      </c>
      <c r="BD432" t="s">
        <v>142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327900</v>
      </c>
      <c r="BK432" t="s">
        <v>25</v>
      </c>
      <c r="BL432" t="s">
        <v>635</v>
      </c>
      <c r="BM432">
        <v>30</v>
      </c>
      <c r="BN432">
        <v>2049356</v>
      </c>
      <c r="BO432">
        <v>0.04</v>
      </c>
      <c r="BP432">
        <v>82000</v>
      </c>
      <c r="BQ432">
        <v>0</v>
      </c>
      <c r="BR432" t="s">
        <v>1438</v>
      </c>
      <c r="BS432">
        <v>0</v>
      </c>
      <c r="BT432" t="s">
        <v>1438</v>
      </c>
      <c r="BU432">
        <v>0</v>
      </c>
      <c r="BV432" t="s">
        <v>25</v>
      </c>
      <c r="BW432" t="s">
        <v>189</v>
      </c>
      <c r="BX432">
        <v>30</v>
      </c>
      <c r="BY432">
        <v>2049356</v>
      </c>
      <c r="BZ432">
        <v>6.9599999999999995E-2</v>
      </c>
      <c r="CA432" t="s">
        <v>1439</v>
      </c>
      <c r="CB432" t="s">
        <v>227</v>
      </c>
      <c r="CC432" t="s">
        <v>1440</v>
      </c>
      <c r="CD432">
        <v>142700</v>
      </c>
      <c r="CE432">
        <v>30</v>
      </c>
      <c r="CF432" t="s">
        <v>635</v>
      </c>
      <c r="CG432">
        <v>2049356</v>
      </c>
      <c r="CH432">
        <v>0.04</v>
      </c>
      <c r="CI432">
        <v>82000</v>
      </c>
      <c r="CJ432">
        <v>2049356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 t="s">
        <v>88</v>
      </c>
      <c r="CT432" t="s">
        <v>1441</v>
      </c>
      <c r="CU432" t="s">
        <v>1442</v>
      </c>
    </row>
    <row r="433" spans="1:99">
      <c r="A433" t="s">
        <v>1431</v>
      </c>
      <c r="B433" t="s">
        <v>34</v>
      </c>
      <c r="C433" t="s">
        <v>2574</v>
      </c>
      <c r="D433" t="s">
        <v>2575</v>
      </c>
      <c r="E433" t="s">
        <v>2576</v>
      </c>
      <c r="F433" t="s">
        <v>1628</v>
      </c>
      <c r="G433" t="s">
        <v>2577</v>
      </c>
      <c r="H433" t="s">
        <v>1558</v>
      </c>
      <c r="I433" t="s">
        <v>240</v>
      </c>
      <c r="J433" t="s">
        <v>46</v>
      </c>
      <c r="K433" t="s">
        <v>29</v>
      </c>
      <c r="L433" t="s">
        <v>30</v>
      </c>
      <c r="M433">
        <v>0</v>
      </c>
      <c r="N433" t="s">
        <v>32</v>
      </c>
      <c r="O433" t="s">
        <v>32</v>
      </c>
      <c r="Q433" t="s">
        <v>32</v>
      </c>
      <c r="S433" t="s">
        <v>32</v>
      </c>
      <c r="U433" t="s">
        <v>32</v>
      </c>
      <c r="V433" t="s">
        <v>32</v>
      </c>
      <c r="W433" t="s">
        <v>32</v>
      </c>
      <c r="X433" t="s">
        <v>32</v>
      </c>
      <c r="Y433" t="s">
        <v>32</v>
      </c>
      <c r="AA433" t="s">
        <v>32</v>
      </c>
      <c r="AB433" t="s">
        <v>32</v>
      </c>
      <c r="AE433" t="s">
        <v>1492</v>
      </c>
      <c r="AF433">
        <v>46078</v>
      </c>
      <c r="AG433">
        <v>46079</v>
      </c>
      <c r="AH433" t="s">
        <v>32</v>
      </c>
      <c r="AK433" t="s">
        <v>32</v>
      </c>
      <c r="AN433" t="s">
        <v>32</v>
      </c>
      <c r="AO433" t="s">
        <v>32</v>
      </c>
      <c r="AR433">
        <v>0</v>
      </c>
      <c r="AU433" t="s">
        <v>32</v>
      </c>
      <c r="AV433">
        <v>2219704</v>
      </c>
      <c r="AW433" t="s">
        <v>32</v>
      </c>
      <c r="AX433" t="s">
        <v>32</v>
      </c>
      <c r="AY433" t="s">
        <v>317</v>
      </c>
      <c r="AZ433">
        <v>2</v>
      </c>
      <c r="BA433">
        <v>137230</v>
      </c>
      <c r="BB433">
        <v>0.16</v>
      </c>
      <c r="BC433">
        <v>22000</v>
      </c>
      <c r="BD433" t="s">
        <v>142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22000</v>
      </c>
      <c r="BK433" t="s">
        <v>25</v>
      </c>
      <c r="BL433" t="s">
        <v>1071</v>
      </c>
      <c r="BM433">
        <v>2</v>
      </c>
      <c r="BN433">
        <v>137230</v>
      </c>
      <c r="BO433">
        <v>0.04</v>
      </c>
      <c r="BP433">
        <v>5500</v>
      </c>
      <c r="BQ433">
        <v>0</v>
      </c>
      <c r="BR433" t="s">
        <v>1438</v>
      </c>
      <c r="BS433">
        <v>0</v>
      </c>
      <c r="BT433" t="s">
        <v>1438</v>
      </c>
      <c r="BU433">
        <v>0</v>
      </c>
      <c r="BV433" t="s">
        <v>25</v>
      </c>
      <c r="BW433" t="s">
        <v>189</v>
      </c>
      <c r="BX433">
        <v>2</v>
      </c>
      <c r="BY433">
        <v>137230</v>
      </c>
      <c r="BZ433">
        <v>0</v>
      </c>
      <c r="CA433" t="s">
        <v>1592</v>
      </c>
      <c r="CB433" t="s">
        <v>227</v>
      </c>
      <c r="CC433" t="s">
        <v>1593</v>
      </c>
      <c r="CD433">
        <v>0</v>
      </c>
      <c r="CE433">
        <v>2</v>
      </c>
      <c r="CF433" t="s">
        <v>635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 t="s">
        <v>88</v>
      </c>
      <c r="CT433" t="s">
        <v>1441</v>
      </c>
      <c r="CU433" t="s">
        <v>1442</v>
      </c>
    </row>
    <row r="434" spans="1:99">
      <c r="A434" t="s">
        <v>1431</v>
      </c>
      <c r="B434" t="s">
        <v>34</v>
      </c>
      <c r="C434" t="s">
        <v>2574</v>
      </c>
      <c r="D434" t="s">
        <v>2575</v>
      </c>
      <c r="E434" t="s">
        <v>2576</v>
      </c>
      <c r="F434" t="s">
        <v>1628</v>
      </c>
      <c r="G434" t="s">
        <v>2577</v>
      </c>
      <c r="H434" t="s">
        <v>1558</v>
      </c>
      <c r="I434" t="s">
        <v>240</v>
      </c>
      <c r="J434" t="s">
        <v>46</v>
      </c>
      <c r="K434" t="s">
        <v>29</v>
      </c>
      <c r="L434" t="s">
        <v>30</v>
      </c>
      <c r="M434">
        <v>172</v>
      </c>
      <c r="N434" t="s">
        <v>32</v>
      </c>
      <c r="O434" t="s">
        <v>32</v>
      </c>
      <c r="Q434" t="s">
        <v>32</v>
      </c>
      <c r="S434" t="s">
        <v>32</v>
      </c>
      <c r="U434" t="s">
        <v>32</v>
      </c>
      <c r="V434" t="s">
        <v>32</v>
      </c>
      <c r="W434" t="s">
        <v>32</v>
      </c>
      <c r="X434" t="s">
        <v>32</v>
      </c>
      <c r="Y434" t="s">
        <v>88</v>
      </c>
      <c r="Z434">
        <v>46054</v>
      </c>
      <c r="AA434" t="s">
        <v>32</v>
      </c>
      <c r="AB434" t="s">
        <v>32</v>
      </c>
      <c r="AE434" t="s">
        <v>32</v>
      </c>
      <c r="AH434" t="s">
        <v>32</v>
      </c>
      <c r="AK434" t="s">
        <v>32</v>
      </c>
      <c r="AN434" t="s">
        <v>32</v>
      </c>
      <c r="AO434" t="s">
        <v>32</v>
      </c>
      <c r="AR434">
        <v>0</v>
      </c>
      <c r="AU434" t="s">
        <v>32</v>
      </c>
      <c r="AV434">
        <v>2219704</v>
      </c>
      <c r="AW434" t="s">
        <v>32</v>
      </c>
      <c r="AX434" t="s">
        <v>32</v>
      </c>
      <c r="AY434" t="s">
        <v>317</v>
      </c>
      <c r="AZ434">
        <v>28</v>
      </c>
      <c r="BA434">
        <v>2071724</v>
      </c>
      <c r="BB434">
        <v>0.16</v>
      </c>
      <c r="BC434">
        <v>331500</v>
      </c>
      <c r="BD434" t="s">
        <v>142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331500</v>
      </c>
      <c r="BK434" t="s">
        <v>25</v>
      </c>
      <c r="BL434" t="s">
        <v>1071</v>
      </c>
      <c r="BM434">
        <v>28</v>
      </c>
      <c r="BN434">
        <v>2071724</v>
      </c>
      <c r="BO434">
        <v>0.04</v>
      </c>
      <c r="BP434">
        <v>82900</v>
      </c>
      <c r="BQ434">
        <v>0</v>
      </c>
      <c r="BR434" t="s">
        <v>1438</v>
      </c>
      <c r="BS434">
        <v>0</v>
      </c>
      <c r="BT434" t="s">
        <v>1438</v>
      </c>
      <c r="BU434">
        <v>0</v>
      </c>
      <c r="BV434" t="s">
        <v>25</v>
      </c>
      <c r="BW434" t="s">
        <v>189</v>
      </c>
      <c r="BX434">
        <v>28</v>
      </c>
      <c r="BY434">
        <v>2071724</v>
      </c>
      <c r="BZ434">
        <v>5.2199999999999998E-3</v>
      </c>
      <c r="CA434" t="s">
        <v>1592</v>
      </c>
      <c r="CB434" t="s">
        <v>227</v>
      </c>
      <c r="CC434" t="s">
        <v>1593</v>
      </c>
      <c r="CD434">
        <v>10900</v>
      </c>
      <c r="CE434">
        <v>28</v>
      </c>
      <c r="CF434" t="s">
        <v>635</v>
      </c>
      <c r="CG434">
        <v>2071724</v>
      </c>
      <c r="CH434">
        <v>0.04</v>
      </c>
      <c r="CI434">
        <v>82900</v>
      </c>
      <c r="CJ434">
        <v>2071724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 t="s">
        <v>88</v>
      </c>
      <c r="CT434" t="s">
        <v>1441</v>
      </c>
      <c r="CU434" t="s">
        <v>1442</v>
      </c>
    </row>
    <row r="435" spans="1:99">
      <c r="A435" t="s">
        <v>1431</v>
      </c>
      <c r="B435" t="s">
        <v>34</v>
      </c>
      <c r="C435" t="s">
        <v>2578</v>
      </c>
      <c r="D435" t="s">
        <v>2579</v>
      </c>
      <c r="E435" t="s">
        <v>2580</v>
      </c>
      <c r="F435" t="s">
        <v>2581</v>
      </c>
      <c r="G435" t="s">
        <v>2553</v>
      </c>
      <c r="H435" t="s">
        <v>2110</v>
      </c>
      <c r="I435" t="s">
        <v>240</v>
      </c>
      <c r="J435" t="s">
        <v>46</v>
      </c>
      <c r="K435" t="s">
        <v>29</v>
      </c>
      <c r="L435" t="s">
        <v>30</v>
      </c>
      <c r="M435">
        <v>180</v>
      </c>
      <c r="N435" t="s">
        <v>32</v>
      </c>
      <c r="O435" t="s">
        <v>32</v>
      </c>
      <c r="Q435" t="s">
        <v>32</v>
      </c>
      <c r="S435" t="s">
        <v>32</v>
      </c>
      <c r="U435" t="s">
        <v>32</v>
      </c>
      <c r="V435" t="s">
        <v>32</v>
      </c>
      <c r="W435" t="s">
        <v>32</v>
      </c>
      <c r="X435" t="s">
        <v>32</v>
      </c>
      <c r="Y435" t="s">
        <v>88</v>
      </c>
      <c r="Z435">
        <v>46054</v>
      </c>
      <c r="AA435" t="s">
        <v>32</v>
      </c>
      <c r="AB435" t="s">
        <v>32</v>
      </c>
      <c r="AE435" t="s">
        <v>32</v>
      </c>
      <c r="AH435" t="s">
        <v>32</v>
      </c>
      <c r="AK435" t="s">
        <v>32</v>
      </c>
      <c r="AN435" t="s">
        <v>32</v>
      </c>
      <c r="AO435" t="s">
        <v>32</v>
      </c>
      <c r="AR435">
        <v>0</v>
      </c>
      <c r="AU435" t="s">
        <v>32</v>
      </c>
      <c r="AV435">
        <v>6384779</v>
      </c>
      <c r="AW435" t="s">
        <v>32</v>
      </c>
      <c r="AX435" t="s">
        <v>32</v>
      </c>
      <c r="AY435" t="s">
        <v>185</v>
      </c>
      <c r="AZ435">
        <v>30</v>
      </c>
      <c r="BA435">
        <v>6384779</v>
      </c>
      <c r="BB435">
        <v>0.16</v>
      </c>
      <c r="BC435">
        <v>1021600</v>
      </c>
      <c r="BD435" t="s">
        <v>142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1021600</v>
      </c>
      <c r="BK435" t="s">
        <v>25</v>
      </c>
      <c r="BL435" t="s">
        <v>635</v>
      </c>
      <c r="BM435">
        <v>30</v>
      </c>
      <c r="BN435">
        <v>6384779</v>
      </c>
      <c r="BO435">
        <v>0.04</v>
      </c>
      <c r="BP435">
        <v>255400</v>
      </c>
      <c r="BQ435">
        <v>0</v>
      </c>
      <c r="BR435" t="s">
        <v>1438</v>
      </c>
      <c r="BS435">
        <v>0</v>
      </c>
      <c r="BT435" t="s">
        <v>1438</v>
      </c>
      <c r="BU435">
        <v>0</v>
      </c>
      <c r="BV435" t="s">
        <v>25</v>
      </c>
      <c r="BW435" t="s">
        <v>189</v>
      </c>
      <c r="BX435">
        <v>30</v>
      </c>
      <c r="BY435">
        <v>6384779</v>
      </c>
      <c r="BZ435">
        <v>6.9599999999999995E-2</v>
      </c>
      <c r="CA435" t="s">
        <v>1439</v>
      </c>
      <c r="CB435" t="s">
        <v>227</v>
      </c>
      <c r="CC435" t="s">
        <v>1440</v>
      </c>
      <c r="CD435">
        <v>444400</v>
      </c>
      <c r="CE435">
        <v>30</v>
      </c>
      <c r="CF435" t="s">
        <v>635</v>
      </c>
      <c r="CG435">
        <v>6384779</v>
      </c>
      <c r="CH435">
        <v>0.04</v>
      </c>
      <c r="CI435">
        <v>255400</v>
      </c>
      <c r="CJ435">
        <v>6384779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 t="s">
        <v>88</v>
      </c>
      <c r="CT435" t="s">
        <v>1441</v>
      </c>
      <c r="CU435" t="s">
        <v>1442</v>
      </c>
    </row>
    <row r="436" spans="1:99">
      <c r="A436" t="s">
        <v>1431</v>
      </c>
      <c r="B436" t="s">
        <v>34</v>
      </c>
      <c r="C436" t="s">
        <v>2582</v>
      </c>
      <c r="D436" t="s">
        <v>2583</v>
      </c>
      <c r="E436" t="s">
        <v>1920</v>
      </c>
      <c r="F436" t="s">
        <v>2584</v>
      </c>
      <c r="G436" t="s">
        <v>2585</v>
      </c>
      <c r="H436" t="s">
        <v>1674</v>
      </c>
      <c r="I436" t="s">
        <v>240</v>
      </c>
      <c r="J436" t="s">
        <v>46</v>
      </c>
      <c r="K436" t="s">
        <v>29</v>
      </c>
      <c r="L436" t="s">
        <v>30</v>
      </c>
      <c r="M436">
        <v>188</v>
      </c>
      <c r="N436" t="s">
        <v>32</v>
      </c>
      <c r="O436" t="s">
        <v>32</v>
      </c>
      <c r="Q436" t="s">
        <v>32</v>
      </c>
      <c r="S436" t="s">
        <v>32</v>
      </c>
      <c r="U436" t="s">
        <v>32</v>
      </c>
      <c r="V436" t="s">
        <v>32</v>
      </c>
      <c r="W436" t="s">
        <v>32</v>
      </c>
      <c r="X436" t="s">
        <v>32</v>
      </c>
      <c r="Y436" t="s">
        <v>32</v>
      </c>
      <c r="AA436" t="s">
        <v>32</v>
      </c>
      <c r="AB436" t="s">
        <v>32</v>
      </c>
      <c r="AE436" t="s">
        <v>32</v>
      </c>
      <c r="AH436" t="s">
        <v>32</v>
      </c>
      <c r="AK436" t="s">
        <v>32</v>
      </c>
      <c r="AN436" t="s">
        <v>32</v>
      </c>
      <c r="AO436" t="s">
        <v>32</v>
      </c>
      <c r="AR436">
        <v>0</v>
      </c>
      <c r="AU436" t="s">
        <v>32</v>
      </c>
      <c r="AV436">
        <v>8569658</v>
      </c>
      <c r="AW436" t="s">
        <v>32</v>
      </c>
      <c r="AX436" t="s">
        <v>32</v>
      </c>
      <c r="AY436" t="s">
        <v>356</v>
      </c>
      <c r="AZ436">
        <v>30</v>
      </c>
      <c r="BA436">
        <v>8569658</v>
      </c>
      <c r="BB436">
        <v>0.16</v>
      </c>
      <c r="BC436">
        <v>1371200</v>
      </c>
      <c r="BD436" t="s">
        <v>142</v>
      </c>
      <c r="BE436">
        <v>0</v>
      </c>
      <c r="BF436">
        <v>0</v>
      </c>
      <c r="BG436">
        <v>42900</v>
      </c>
      <c r="BH436">
        <v>42900</v>
      </c>
      <c r="BI436">
        <v>0</v>
      </c>
      <c r="BJ436">
        <v>1457000</v>
      </c>
      <c r="BK436" t="s">
        <v>25</v>
      </c>
      <c r="BL436" t="s">
        <v>635</v>
      </c>
      <c r="BM436">
        <v>30</v>
      </c>
      <c r="BN436">
        <v>8569658</v>
      </c>
      <c r="BO436">
        <v>0.04</v>
      </c>
      <c r="BP436">
        <v>342800</v>
      </c>
      <c r="BQ436">
        <v>0</v>
      </c>
      <c r="BR436" t="s">
        <v>1438</v>
      </c>
      <c r="BS436">
        <v>0</v>
      </c>
      <c r="BT436" t="s">
        <v>1438</v>
      </c>
      <c r="BU436">
        <v>0</v>
      </c>
      <c r="BV436" t="s">
        <v>25</v>
      </c>
      <c r="BW436" t="s">
        <v>189</v>
      </c>
      <c r="BX436">
        <v>30</v>
      </c>
      <c r="BY436">
        <v>8569658</v>
      </c>
      <c r="BZ436">
        <v>5.2199999999999998E-3</v>
      </c>
      <c r="CA436" t="s">
        <v>1592</v>
      </c>
      <c r="CB436" t="s">
        <v>227</v>
      </c>
      <c r="CC436" t="s">
        <v>1593</v>
      </c>
      <c r="CD436">
        <v>44800</v>
      </c>
      <c r="CE436">
        <v>30</v>
      </c>
      <c r="CF436" t="s">
        <v>635</v>
      </c>
      <c r="CG436">
        <v>8569658</v>
      </c>
      <c r="CH436">
        <v>0.04</v>
      </c>
      <c r="CI436">
        <v>342800</v>
      </c>
      <c r="CJ436">
        <v>8569658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 t="s">
        <v>88</v>
      </c>
      <c r="CT436" t="s">
        <v>1441</v>
      </c>
      <c r="CU436" t="s">
        <v>1442</v>
      </c>
    </row>
    <row r="437" spans="1:99">
      <c r="A437" t="s">
        <v>1431</v>
      </c>
      <c r="B437" t="s">
        <v>34</v>
      </c>
      <c r="C437" t="s">
        <v>2586</v>
      </c>
      <c r="D437" t="s">
        <v>2587</v>
      </c>
      <c r="E437" t="s">
        <v>972</v>
      </c>
      <c r="F437" t="s">
        <v>2034</v>
      </c>
      <c r="G437" t="s">
        <v>2588</v>
      </c>
      <c r="H437" t="s">
        <v>1674</v>
      </c>
      <c r="I437" t="s">
        <v>240</v>
      </c>
      <c r="J437" t="s">
        <v>46</v>
      </c>
      <c r="K437" t="s">
        <v>29</v>
      </c>
      <c r="L437" t="s">
        <v>30</v>
      </c>
      <c r="M437">
        <v>188</v>
      </c>
      <c r="N437" t="s">
        <v>32</v>
      </c>
      <c r="O437" t="s">
        <v>32</v>
      </c>
      <c r="Q437" t="s">
        <v>32</v>
      </c>
      <c r="S437" t="s">
        <v>32</v>
      </c>
      <c r="U437" t="s">
        <v>32</v>
      </c>
      <c r="V437" t="s">
        <v>32</v>
      </c>
      <c r="W437" t="s">
        <v>32</v>
      </c>
      <c r="X437" t="s">
        <v>32</v>
      </c>
      <c r="Y437" t="s">
        <v>32</v>
      </c>
      <c r="AA437" t="s">
        <v>32</v>
      </c>
      <c r="AB437" t="s">
        <v>32</v>
      </c>
      <c r="AE437" t="s">
        <v>32</v>
      </c>
      <c r="AH437" t="s">
        <v>32</v>
      </c>
      <c r="AK437" t="s">
        <v>32</v>
      </c>
      <c r="AN437" t="s">
        <v>32</v>
      </c>
      <c r="AO437" t="s">
        <v>32</v>
      </c>
      <c r="AR437">
        <v>0</v>
      </c>
      <c r="AU437" t="s">
        <v>32</v>
      </c>
      <c r="AV437">
        <v>8150490</v>
      </c>
      <c r="AW437" t="s">
        <v>32</v>
      </c>
      <c r="AX437" t="s">
        <v>32</v>
      </c>
      <c r="AY437" t="s">
        <v>185</v>
      </c>
      <c r="AZ437">
        <v>30</v>
      </c>
      <c r="BA437">
        <v>8150490</v>
      </c>
      <c r="BB437">
        <v>0.16</v>
      </c>
      <c r="BC437">
        <v>1304100</v>
      </c>
      <c r="BD437" t="s">
        <v>142</v>
      </c>
      <c r="BE437">
        <v>0</v>
      </c>
      <c r="BF437">
        <v>0</v>
      </c>
      <c r="BG437">
        <v>40800</v>
      </c>
      <c r="BH437">
        <v>40800</v>
      </c>
      <c r="BI437">
        <v>0</v>
      </c>
      <c r="BJ437">
        <v>1385700</v>
      </c>
      <c r="BK437" t="s">
        <v>25</v>
      </c>
      <c r="BL437" t="s">
        <v>1010</v>
      </c>
      <c r="BM437">
        <v>30</v>
      </c>
      <c r="BN437">
        <v>8150490</v>
      </c>
      <c r="BO437">
        <v>0.04</v>
      </c>
      <c r="BP437">
        <v>326100</v>
      </c>
      <c r="BQ437">
        <v>0</v>
      </c>
      <c r="BR437" t="s">
        <v>1438</v>
      </c>
      <c r="BS437">
        <v>0</v>
      </c>
      <c r="BT437" t="s">
        <v>1438</v>
      </c>
      <c r="BU437">
        <v>0</v>
      </c>
      <c r="BV437" t="s">
        <v>25</v>
      </c>
      <c r="BW437" t="s">
        <v>189</v>
      </c>
      <c r="BX437">
        <v>30</v>
      </c>
      <c r="BY437">
        <v>8150490</v>
      </c>
      <c r="BZ437">
        <v>6.9599999999999995E-2</v>
      </c>
      <c r="CA437" t="s">
        <v>1439</v>
      </c>
      <c r="CB437" t="s">
        <v>227</v>
      </c>
      <c r="CC437" t="s">
        <v>1440</v>
      </c>
      <c r="CD437">
        <v>567300</v>
      </c>
      <c r="CE437">
        <v>30</v>
      </c>
      <c r="CF437" t="s">
        <v>635</v>
      </c>
      <c r="CG437">
        <v>8150490</v>
      </c>
      <c r="CH437">
        <v>0.04</v>
      </c>
      <c r="CI437">
        <v>326100</v>
      </c>
      <c r="CJ437">
        <v>8150490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 t="s">
        <v>88</v>
      </c>
      <c r="CT437" t="s">
        <v>1441</v>
      </c>
      <c r="CU437" t="s">
        <v>1442</v>
      </c>
    </row>
    <row r="438" spans="1:99">
      <c r="A438" t="s">
        <v>1431</v>
      </c>
      <c r="B438" t="s">
        <v>397</v>
      </c>
      <c r="C438" t="s">
        <v>2589</v>
      </c>
      <c r="D438" t="s">
        <v>2590</v>
      </c>
      <c r="E438" t="s">
        <v>2591</v>
      </c>
      <c r="F438" t="s">
        <v>1644</v>
      </c>
      <c r="G438" t="s">
        <v>2592</v>
      </c>
      <c r="H438" t="s">
        <v>2593</v>
      </c>
      <c r="I438" t="s">
        <v>682</v>
      </c>
      <c r="J438" t="s">
        <v>484</v>
      </c>
      <c r="K438" t="s">
        <v>29</v>
      </c>
      <c r="L438" t="s">
        <v>30</v>
      </c>
      <c r="M438">
        <v>107</v>
      </c>
      <c r="N438" t="s">
        <v>32</v>
      </c>
      <c r="O438" t="s">
        <v>32</v>
      </c>
      <c r="Q438" t="s">
        <v>32</v>
      </c>
      <c r="S438" t="s">
        <v>32</v>
      </c>
      <c r="U438" t="s">
        <v>32</v>
      </c>
      <c r="V438" t="s">
        <v>32</v>
      </c>
      <c r="W438" t="s">
        <v>32</v>
      </c>
      <c r="X438" t="s">
        <v>32</v>
      </c>
      <c r="Y438" t="s">
        <v>32</v>
      </c>
      <c r="AA438" t="s">
        <v>88</v>
      </c>
      <c r="AB438" t="s">
        <v>32</v>
      </c>
      <c r="AE438" t="s">
        <v>32</v>
      </c>
      <c r="AH438" t="s">
        <v>32</v>
      </c>
      <c r="AK438" t="s">
        <v>32</v>
      </c>
      <c r="AN438" t="s">
        <v>32</v>
      </c>
      <c r="AO438" t="s">
        <v>32</v>
      </c>
      <c r="AR438">
        <v>0</v>
      </c>
      <c r="AU438" t="s">
        <v>32</v>
      </c>
      <c r="AV438">
        <v>1785595</v>
      </c>
      <c r="AW438" t="s">
        <v>32</v>
      </c>
      <c r="AX438" t="s">
        <v>32</v>
      </c>
      <c r="AY438" t="s">
        <v>317</v>
      </c>
      <c r="AZ438">
        <v>15</v>
      </c>
      <c r="BA438">
        <v>1136694</v>
      </c>
      <c r="BB438">
        <v>0.16</v>
      </c>
      <c r="BC438">
        <v>181900</v>
      </c>
      <c r="BD438" t="s">
        <v>142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181900</v>
      </c>
      <c r="BK438" t="s">
        <v>25</v>
      </c>
      <c r="BL438" t="s">
        <v>1010</v>
      </c>
      <c r="BM438">
        <v>15</v>
      </c>
      <c r="BN438">
        <v>1136694</v>
      </c>
      <c r="BO438">
        <v>0.04</v>
      </c>
      <c r="BP438">
        <v>45500</v>
      </c>
      <c r="BQ438">
        <v>0</v>
      </c>
      <c r="BR438" t="s">
        <v>1438</v>
      </c>
      <c r="BS438">
        <v>0</v>
      </c>
      <c r="BT438" t="s">
        <v>1438</v>
      </c>
      <c r="BU438">
        <v>0</v>
      </c>
      <c r="BV438" t="s">
        <v>25</v>
      </c>
      <c r="BW438" t="s">
        <v>189</v>
      </c>
      <c r="BX438">
        <v>15</v>
      </c>
      <c r="BY438">
        <v>1136694</v>
      </c>
      <c r="BZ438">
        <v>6.9599999999999995E-2</v>
      </c>
      <c r="CA438" t="s">
        <v>1439</v>
      </c>
      <c r="CB438" t="s">
        <v>312</v>
      </c>
      <c r="CC438" t="s">
        <v>1440</v>
      </c>
      <c r="CD438">
        <v>79200</v>
      </c>
      <c r="CE438">
        <v>15</v>
      </c>
      <c r="CF438" t="s">
        <v>466</v>
      </c>
      <c r="CG438">
        <v>1136694</v>
      </c>
      <c r="CH438">
        <v>0.04</v>
      </c>
      <c r="CI438">
        <v>45500</v>
      </c>
      <c r="CJ438">
        <v>1136694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 t="s">
        <v>88</v>
      </c>
      <c r="CT438" t="s">
        <v>1441</v>
      </c>
      <c r="CU438" t="s">
        <v>1442</v>
      </c>
    </row>
    <row r="439" spans="1:99">
      <c r="A439" t="s">
        <v>1431</v>
      </c>
      <c r="B439" t="s">
        <v>397</v>
      </c>
      <c r="C439" t="s">
        <v>2589</v>
      </c>
      <c r="D439" t="s">
        <v>2590</v>
      </c>
      <c r="E439" t="s">
        <v>2591</v>
      </c>
      <c r="F439" t="s">
        <v>1644</v>
      </c>
      <c r="G439" t="s">
        <v>2592</v>
      </c>
      <c r="H439" t="s">
        <v>2593</v>
      </c>
      <c r="I439" t="s">
        <v>682</v>
      </c>
      <c r="J439" t="s">
        <v>484</v>
      </c>
      <c r="K439" t="s">
        <v>29</v>
      </c>
      <c r="L439" t="s">
        <v>30</v>
      </c>
      <c r="M439">
        <v>98</v>
      </c>
      <c r="N439" t="s">
        <v>32</v>
      </c>
      <c r="O439" t="s">
        <v>32</v>
      </c>
      <c r="Q439" t="s">
        <v>32</v>
      </c>
      <c r="S439" t="s">
        <v>32</v>
      </c>
      <c r="U439" t="s">
        <v>32</v>
      </c>
      <c r="V439" t="s">
        <v>32</v>
      </c>
      <c r="W439" t="s">
        <v>32</v>
      </c>
      <c r="X439" t="s">
        <v>32</v>
      </c>
      <c r="Y439" t="s">
        <v>32</v>
      </c>
      <c r="AA439" t="s">
        <v>88</v>
      </c>
      <c r="AB439" t="s">
        <v>32</v>
      </c>
      <c r="AE439" t="s">
        <v>32</v>
      </c>
      <c r="AH439" t="s">
        <v>32</v>
      </c>
      <c r="AK439" t="s">
        <v>32</v>
      </c>
      <c r="AN439" t="s">
        <v>32</v>
      </c>
      <c r="AO439" t="s">
        <v>88</v>
      </c>
      <c r="AR439">
        <v>0</v>
      </c>
      <c r="AU439" t="s">
        <v>32</v>
      </c>
      <c r="AV439">
        <v>1785595</v>
      </c>
      <c r="AW439" t="s">
        <v>32</v>
      </c>
      <c r="AX439" t="s">
        <v>32</v>
      </c>
      <c r="AY439" t="s">
        <v>317</v>
      </c>
      <c r="AZ439">
        <v>15</v>
      </c>
      <c r="BA439">
        <v>1131768</v>
      </c>
      <c r="BB439">
        <v>0.16</v>
      </c>
      <c r="BC439">
        <v>181100</v>
      </c>
      <c r="BD439" t="s">
        <v>142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181100</v>
      </c>
      <c r="BK439" t="s">
        <v>25</v>
      </c>
      <c r="BL439" t="s">
        <v>1010</v>
      </c>
      <c r="BM439">
        <v>15</v>
      </c>
      <c r="BN439">
        <v>1131768</v>
      </c>
      <c r="BO439">
        <v>0.04</v>
      </c>
      <c r="BP439">
        <v>45300</v>
      </c>
      <c r="BQ439">
        <v>0</v>
      </c>
      <c r="BR439" t="s">
        <v>1438</v>
      </c>
      <c r="BS439">
        <v>0</v>
      </c>
      <c r="BT439" t="s">
        <v>1438</v>
      </c>
      <c r="BU439">
        <v>0</v>
      </c>
      <c r="BV439" t="s">
        <v>25</v>
      </c>
      <c r="BW439" t="s">
        <v>189</v>
      </c>
      <c r="BX439">
        <v>15</v>
      </c>
      <c r="BY439">
        <v>1131768</v>
      </c>
      <c r="BZ439">
        <v>6.9599999999999995E-2</v>
      </c>
      <c r="CA439" t="s">
        <v>1439</v>
      </c>
      <c r="CB439" t="s">
        <v>312</v>
      </c>
      <c r="CC439" t="s">
        <v>1440</v>
      </c>
      <c r="CD439">
        <v>78800</v>
      </c>
      <c r="CE439">
        <v>15</v>
      </c>
      <c r="CF439" t="s">
        <v>466</v>
      </c>
      <c r="CG439">
        <v>1131768</v>
      </c>
      <c r="CH439">
        <v>0.04</v>
      </c>
      <c r="CI439">
        <v>45300</v>
      </c>
      <c r="CJ439">
        <v>1131768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 t="s">
        <v>88</v>
      </c>
      <c r="CT439" t="s">
        <v>1441</v>
      </c>
      <c r="CU439" t="s">
        <v>1442</v>
      </c>
    </row>
    <row r="440" spans="1:99">
      <c r="A440" t="s">
        <v>1431</v>
      </c>
      <c r="B440" t="s">
        <v>34</v>
      </c>
      <c r="C440" t="s">
        <v>2594</v>
      </c>
      <c r="D440" t="s">
        <v>2595</v>
      </c>
      <c r="E440" t="s">
        <v>1241</v>
      </c>
      <c r="F440" t="s">
        <v>1555</v>
      </c>
      <c r="G440" t="s">
        <v>1479</v>
      </c>
      <c r="H440" t="s">
        <v>2596</v>
      </c>
      <c r="I440" t="s">
        <v>240</v>
      </c>
      <c r="J440" t="s">
        <v>46</v>
      </c>
      <c r="K440" t="s">
        <v>29</v>
      </c>
      <c r="L440" t="s">
        <v>30</v>
      </c>
      <c r="M440">
        <v>216</v>
      </c>
      <c r="N440" t="s">
        <v>32</v>
      </c>
      <c r="O440" t="s">
        <v>32</v>
      </c>
      <c r="Q440" t="s">
        <v>32</v>
      </c>
      <c r="S440" t="s">
        <v>32</v>
      </c>
      <c r="U440" t="s">
        <v>32</v>
      </c>
      <c r="V440" t="s">
        <v>32</v>
      </c>
      <c r="W440" t="s">
        <v>32</v>
      </c>
      <c r="X440" t="s">
        <v>32</v>
      </c>
      <c r="Y440" t="s">
        <v>32</v>
      </c>
      <c r="AA440" t="s">
        <v>88</v>
      </c>
      <c r="AB440" t="s">
        <v>32</v>
      </c>
      <c r="AE440" t="s">
        <v>32</v>
      </c>
      <c r="AH440" t="s">
        <v>32</v>
      </c>
      <c r="AK440" t="s">
        <v>32</v>
      </c>
      <c r="AN440" t="s">
        <v>32</v>
      </c>
      <c r="AO440" t="s">
        <v>32</v>
      </c>
      <c r="AR440">
        <v>0</v>
      </c>
      <c r="AU440" t="s">
        <v>32</v>
      </c>
      <c r="AV440">
        <v>2074908</v>
      </c>
      <c r="AW440" t="s">
        <v>32</v>
      </c>
      <c r="AX440" t="s">
        <v>32</v>
      </c>
      <c r="AY440" t="s">
        <v>317</v>
      </c>
      <c r="AZ440">
        <v>30</v>
      </c>
      <c r="BA440">
        <v>2951824</v>
      </c>
      <c r="BB440">
        <v>0.16</v>
      </c>
      <c r="BC440">
        <v>472300</v>
      </c>
      <c r="BD440" t="s">
        <v>142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472300</v>
      </c>
      <c r="BK440" t="s">
        <v>25</v>
      </c>
      <c r="BL440" t="s">
        <v>1010</v>
      </c>
      <c r="BM440">
        <v>30</v>
      </c>
      <c r="BN440">
        <v>2951824</v>
      </c>
      <c r="BO440">
        <v>0.04</v>
      </c>
      <c r="BP440">
        <v>118100</v>
      </c>
      <c r="BQ440">
        <v>0</v>
      </c>
      <c r="BR440" t="s">
        <v>1438</v>
      </c>
      <c r="BS440">
        <v>0</v>
      </c>
      <c r="BT440" t="s">
        <v>1438</v>
      </c>
      <c r="BU440">
        <v>0</v>
      </c>
      <c r="BV440" t="s">
        <v>25</v>
      </c>
      <c r="BW440" t="s">
        <v>189</v>
      </c>
      <c r="BX440">
        <v>30</v>
      </c>
      <c r="BY440">
        <v>2951824</v>
      </c>
      <c r="BZ440">
        <v>6.9599999999999995E-2</v>
      </c>
      <c r="CA440" t="s">
        <v>1439</v>
      </c>
      <c r="CB440" t="s">
        <v>227</v>
      </c>
      <c r="CC440" t="s">
        <v>1440</v>
      </c>
      <c r="CD440">
        <v>205500</v>
      </c>
      <c r="CE440">
        <v>30</v>
      </c>
      <c r="CF440" t="s">
        <v>635</v>
      </c>
      <c r="CG440">
        <v>2951824</v>
      </c>
      <c r="CH440">
        <v>0.04</v>
      </c>
      <c r="CI440">
        <v>118100</v>
      </c>
      <c r="CJ440">
        <v>2951824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 t="s">
        <v>88</v>
      </c>
      <c r="CT440" t="s">
        <v>1441</v>
      </c>
      <c r="CU440" t="s">
        <v>1442</v>
      </c>
    </row>
    <row r="441" spans="1:99">
      <c r="A441" t="s">
        <v>1431</v>
      </c>
      <c r="B441" t="s">
        <v>34</v>
      </c>
      <c r="C441" t="s">
        <v>2597</v>
      </c>
      <c r="D441" t="s">
        <v>2598</v>
      </c>
      <c r="E441" t="s">
        <v>1483</v>
      </c>
      <c r="F441" t="s">
        <v>992</v>
      </c>
      <c r="G441" t="s">
        <v>1455</v>
      </c>
      <c r="H441" t="s">
        <v>1608</v>
      </c>
      <c r="I441" t="s">
        <v>240</v>
      </c>
      <c r="J441" t="s">
        <v>46</v>
      </c>
      <c r="K441" t="s">
        <v>29</v>
      </c>
      <c r="L441" t="s">
        <v>30</v>
      </c>
      <c r="M441">
        <v>9</v>
      </c>
      <c r="N441" t="s">
        <v>32</v>
      </c>
      <c r="O441" t="s">
        <v>32</v>
      </c>
      <c r="Q441" t="s">
        <v>40</v>
      </c>
      <c r="R441">
        <v>46080</v>
      </c>
      <c r="S441" t="s">
        <v>32</v>
      </c>
      <c r="U441" t="s">
        <v>32</v>
      </c>
      <c r="V441" t="s">
        <v>32</v>
      </c>
      <c r="W441" t="s">
        <v>32</v>
      </c>
      <c r="X441" t="s">
        <v>32</v>
      </c>
      <c r="Y441" t="s">
        <v>32</v>
      </c>
      <c r="AA441" t="s">
        <v>32</v>
      </c>
      <c r="AB441" t="s">
        <v>32</v>
      </c>
      <c r="AE441" t="s">
        <v>32</v>
      </c>
      <c r="AH441" t="s">
        <v>32</v>
      </c>
      <c r="AK441" t="s">
        <v>32</v>
      </c>
      <c r="AN441" t="s">
        <v>32</v>
      </c>
      <c r="AO441" t="s">
        <v>32</v>
      </c>
      <c r="AR441">
        <v>0</v>
      </c>
      <c r="AU441" t="s">
        <v>32</v>
      </c>
      <c r="AV441">
        <v>1956650</v>
      </c>
      <c r="AW441" t="s">
        <v>32</v>
      </c>
      <c r="AX441" t="s">
        <v>32</v>
      </c>
      <c r="AY441" t="s">
        <v>317</v>
      </c>
      <c r="AZ441">
        <v>4</v>
      </c>
      <c r="BA441">
        <v>260887</v>
      </c>
      <c r="BB441">
        <v>0.16</v>
      </c>
      <c r="BC441">
        <v>41800</v>
      </c>
      <c r="BD441" t="s">
        <v>142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41800</v>
      </c>
      <c r="BK441" t="s">
        <v>25</v>
      </c>
      <c r="BL441" t="s">
        <v>885</v>
      </c>
      <c r="BM441">
        <v>4</v>
      </c>
      <c r="BN441">
        <v>260887</v>
      </c>
      <c r="BO441">
        <v>0.04</v>
      </c>
      <c r="BP441">
        <v>10500</v>
      </c>
      <c r="BQ441">
        <v>0</v>
      </c>
      <c r="BR441" t="s">
        <v>1438</v>
      </c>
      <c r="BS441">
        <v>0</v>
      </c>
      <c r="BT441" t="s">
        <v>1438</v>
      </c>
      <c r="BU441">
        <v>0</v>
      </c>
      <c r="BV441" t="s">
        <v>25</v>
      </c>
      <c r="BW441" t="s">
        <v>189</v>
      </c>
      <c r="BX441">
        <v>4</v>
      </c>
      <c r="BY441">
        <v>260887</v>
      </c>
      <c r="BZ441">
        <v>6.9599999999999995E-2</v>
      </c>
      <c r="CA441" t="s">
        <v>1439</v>
      </c>
      <c r="CB441" t="s">
        <v>227</v>
      </c>
      <c r="CC441" t="s">
        <v>1440</v>
      </c>
      <c r="CD441">
        <v>18200</v>
      </c>
      <c r="CE441">
        <v>4</v>
      </c>
      <c r="CF441" t="s">
        <v>635</v>
      </c>
      <c r="CG441">
        <v>260887</v>
      </c>
      <c r="CH441">
        <v>0.04</v>
      </c>
      <c r="CI441">
        <v>10500</v>
      </c>
      <c r="CJ441">
        <v>260887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 t="s">
        <v>88</v>
      </c>
      <c r="CT441" t="s">
        <v>1441</v>
      </c>
      <c r="CU441" t="s">
        <v>1442</v>
      </c>
    </row>
    <row r="442" spans="1:99">
      <c r="A442" t="s">
        <v>1431</v>
      </c>
      <c r="B442" t="s">
        <v>397</v>
      </c>
      <c r="C442" t="s">
        <v>2599</v>
      </c>
      <c r="D442" t="s">
        <v>2600</v>
      </c>
      <c r="E442" t="s">
        <v>1487</v>
      </c>
      <c r="F442" t="s">
        <v>2601</v>
      </c>
      <c r="G442" t="s">
        <v>1640</v>
      </c>
      <c r="H442" t="s">
        <v>1474</v>
      </c>
      <c r="I442" t="s">
        <v>240</v>
      </c>
      <c r="J442" t="s">
        <v>46</v>
      </c>
      <c r="K442" t="s">
        <v>29</v>
      </c>
      <c r="L442" t="s">
        <v>30</v>
      </c>
      <c r="M442">
        <v>0</v>
      </c>
      <c r="N442" t="s">
        <v>32</v>
      </c>
      <c r="O442" t="s">
        <v>32</v>
      </c>
      <c r="Q442" t="s">
        <v>32</v>
      </c>
      <c r="S442" t="s">
        <v>32</v>
      </c>
      <c r="U442" t="s">
        <v>32</v>
      </c>
      <c r="V442" t="s">
        <v>32</v>
      </c>
      <c r="W442" t="s">
        <v>32</v>
      </c>
      <c r="X442" t="s">
        <v>32</v>
      </c>
      <c r="Y442" t="s">
        <v>32</v>
      </c>
      <c r="AA442" t="s">
        <v>32</v>
      </c>
      <c r="AB442" t="s">
        <v>37</v>
      </c>
      <c r="AC442">
        <v>46054</v>
      </c>
      <c r="AD442">
        <v>46054</v>
      </c>
      <c r="AE442" t="s">
        <v>32</v>
      </c>
      <c r="AH442" t="s">
        <v>32</v>
      </c>
      <c r="AK442" t="s">
        <v>32</v>
      </c>
      <c r="AN442" t="s">
        <v>32</v>
      </c>
      <c r="AO442" t="s">
        <v>32</v>
      </c>
      <c r="AR442">
        <v>0</v>
      </c>
      <c r="AU442" t="s">
        <v>32</v>
      </c>
      <c r="AV442">
        <v>1750905</v>
      </c>
      <c r="AW442" t="s">
        <v>32</v>
      </c>
      <c r="AX442" t="s">
        <v>32</v>
      </c>
      <c r="AY442" t="s">
        <v>356</v>
      </c>
      <c r="AZ442">
        <v>1</v>
      </c>
      <c r="BA442">
        <v>58364</v>
      </c>
      <c r="BB442">
        <v>0.16</v>
      </c>
      <c r="BC442">
        <v>9400</v>
      </c>
      <c r="BD442" t="s">
        <v>142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9400</v>
      </c>
      <c r="BK442" t="s">
        <v>25</v>
      </c>
      <c r="BL442" t="s">
        <v>1064</v>
      </c>
      <c r="BM442">
        <v>1</v>
      </c>
      <c r="BN442">
        <v>58364</v>
      </c>
      <c r="BO442">
        <v>0</v>
      </c>
      <c r="BP442">
        <v>0</v>
      </c>
      <c r="BQ442">
        <v>0</v>
      </c>
      <c r="BR442" t="s">
        <v>1438</v>
      </c>
      <c r="BS442">
        <v>0</v>
      </c>
      <c r="BT442" t="s">
        <v>1438</v>
      </c>
      <c r="BU442">
        <v>0</v>
      </c>
      <c r="BV442" t="s">
        <v>25</v>
      </c>
      <c r="BW442" t="s">
        <v>189</v>
      </c>
      <c r="BX442">
        <v>1</v>
      </c>
      <c r="BY442">
        <v>58364</v>
      </c>
      <c r="BZ442">
        <v>0</v>
      </c>
      <c r="CA442" t="s">
        <v>1439</v>
      </c>
      <c r="CB442" t="s">
        <v>227</v>
      </c>
      <c r="CC442" t="s">
        <v>1440</v>
      </c>
      <c r="CD442">
        <v>0</v>
      </c>
      <c r="CE442">
        <v>1</v>
      </c>
      <c r="CF442" t="s">
        <v>635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 t="s">
        <v>88</v>
      </c>
      <c r="CT442" t="s">
        <v>1441</v>
      </c>
      <c r="CU442" t="s">
        <v>1442</v>
      </c>
    </row>
    <row r="443" spans="1:99">
      <c r="A443" t="s">
        <v>1431</v>
      </c>
      <c r="B443" t="s">
        <v>397</v>
      </c>
      <c r="C443" t="s">
        <v>2599</v>
      </c>
      <c r="D443" t="s">
        <v>2600</v>
      </c>
      <c r="E443" t="s">
        <v>1487</v>
      </c>
      <c r="F443" t="s">
        <v>2601</v>
      </c>
      <c r="G443" t="s">
        <v>1640</v>
      </c>
      <c r="H443" t="s">
        <v>1474</v>
      </c>
      <c r="I443" t="s">
        <v>240</v>
      </c>
      <c r="J443" t="s">
        <v>46</v>
      </c>
      <c r="K443" t="s">
        <v>29</v>
      </c>
      <c r="L443" t="s">
        <v>30</v>
      </c>
      <c r="M443">
        <v>210</v>
      </c>
      <c r="N443" t="s">
        <v>32</v>
      </c>
      <c r="O443" t="s">
        <v>32</v>
      </c>
      <c r="Q443" t="s">
        <v>32</v>
      </c>
      <c r="S443" t="s">
        <v>32</v>
      </c>
      <c r="U443" t="s">
        <v>32</v>
      </c>
      <c r="V443" t="s">
        <v>32</v>
      </c>
      <c r="W443" t="s">
        <v>32</v>
      </c>
      <c r="X443" t="s">
        <v>32</v>
      </c>
      <c r="Y443" t="s">
        <v>32</v>
      </c>
      <c r="AA443" t="s">
        <v>88</v>
      </c>
      <c r="AB443" t="s">
        <v>32</v>
      </c>
      <c r="AE443" t="s">
        <v>32</v>
      </c>
      <c r="AH443" t="s">
        <v>32</v>
      </c>
      <c r="AK443" t="s">
        <v>32</v>
      </c>
      <c r="AN443" t="s">
        <v>32</v>
      </c>
      <c r="AO443" t="s">
        <v>32</v>
      </c>
      <c r="AR443">
        <v>0</v>
      </c>
      <c r="AU443" t="s">
        <v>32</v>
      </c>
      <c r="AV443">
        <v>1750905</v>
      </c>
      <c r="AW443" t="s">
        <v>32</v>
      </c>
      <c r="AX443" t="s">
        <v>32</v>
      </c>
      <c r="AY443" t="s">
        <v>356</v>
      </c>
      <c r="AZ443">
        <v>29</v>
      </c>
      <c r="BA443">
        <v>2051478</v>
      </c>
      <c r="BB443">
        <v>0.16</v>
      </c>
      <c r="BC443">
        <v>328300</v>
      </c>
      <c r="BD443" t="s">
        <v>142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328300</v>
      </c>
      <c r="BK443" t="s">
        <v>25</v>
      </c>
      <c r="BL443" t="s">
        <v>1064</v>
      </c>
      <c r="BM443">
        <v>29</v>
      </c>
      <c r="BN443">
        <v>2051478</v>
      </c>
      <c r="BO443">
        <v>0.04</v>
      </c>
      <c r="BP443">
        <v>82100</v>
      </c>
      <c r="BQ443">
        <v>0</v>
      </c>
      <c r="BR443" t="s">
        <v>1438</v>
      </c>
      <c r="BS443">
        <v>0</v>
      </c>
      <c r="BT443" t="s">
        <v>1438</v>
      </c>
      <c r="BU443">
        <v>0</v>
      </c>
      <c r="BV443" t="s">
        <v>25</v>
      </c>
      <c r="BW443" t="s">
        <v>189</v>
      </c>
      <c r="BX443">
        <v>29</v>
      </c>
      <c r="BY443">
        <v>2051478</v>
      </c>
      <c r="BZ443">
        <v>6.9599999999999995E-2</v>
      </c>
      <c r="CA443" t="s">
        <v>1439</v>
      </c>
      <c r="CB443" t="s">
        <v>227</v>
      </c>
      <c r="CC443" t="s">
        <v>1440</v>
      </c>
      <c r="CD443">
        <v>142800</v>
      </c>
      <c r="CE443">
        <v>29</v>
      </c>
      <c r="CF443" t="s">
        <v>635</v>
      </c>
      <c r="CG443">
        <v>2051478</v>
      </c>
      <c r="CH443">
        <v>0.04</v>
      </c>
      <c r="CI443">
        <v>82100</v>
      </c>
      <c r="CJ443">
        <v>2051478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 t="s">
        <v>88</v>
      </c>
      <c r="CT443" t="s">
        <v>1441</v>
      </c>
      <c r="CU443" t="s">
        <v>1442</v>
      </c>
    </row>
    <row r="444" spans="1:99">
      <c r="A444" t="s">
        <v>1431</v>
      </c>
      <c r="B444" t="s">
        <v>34</v>
      </c>
      <c r="C444" t="s">
        <v>2602</v>
      </c>
      <c r="D444" t="s">
        <v>2603</v>
      </c>
      <c r="E444" t="s">
        <v>2041</v>
      </c>
      <c r="F444" t="s">
        <v>2604</v>
      </c>
      <c r="G444" t="s">
        <v>2030</v>
      </c>
      <c r="H444" t="s">
        <v>1716</v>
      </c>
      <c r="I444" t="s">
        <v>240</v>
      </c>
      <c r="J444" t="s">
        <v>46</v>
      </c>
      <c r="K444" t="s">
        <v>29</v>
      </c>
      <c r="L444" t="s">
        <v>30</v>
      </c>
      <c r="M444">
        <v>251</v>
      </c>
      <c r="N444" t="s">
        <v>32</v>
      </c>
      <c r="O444" t="s">
        <v>32</v>
      </c>
      <c r="Q444" t="s">
        <v>32</v>
      </c>
      <c r="S444" t="s">
        <v>32</v>
      </c>
      <c r="U444" t="s">
        <v>32</v>
      </c>
      <c r="V444" t="s">
        <v>32</v>
      </c>
      <c r="W444" t="s">
        <v>32</v>
      </c>
      <c r="X444" t="s">
        <v>32</v>
      </c>
      <c r="Y444" t="s">
        <v>32</v>
      </c>
      <c r="AA444" t="s">
        <v>88</v>
      </c>
      <c r="AB444" t="s">
        <v>32</v>
      </c>
      <c r="AE444" t="s">
        <v>32</v>
      </c>
      <c r="AH444" t="s">
        <v>32</v>
      </c>
      <c r="AK444" t="s">
        <v>32</v>
      </c>
      <c r="AN444" t="s">
        <v>32</v>
      </c>
      <c r="AO444" t="s">
        <v>32</v>
      </c>
      <c r="AR444">
        <v>0</v>
      </c>
      <c r="AU444" t="s">
        <v>32</v>
      </c>
      <c r="AV444">
        <v>1750905</v>
      </c>
      <c r="AW444" t="s">
        <v>32</v>
      </c>
      <c r="AX444" t="s">
        <v>32</v>
      </c>
      <c r="AY444" t="s">
        <v>317</v>
      </c>
      <c r="AZ444">
        <v>30</v>
      </c>
      <c r="BA444">
        <v>2570051</v>
      </c>
      <c r="BB444">
        <v>0.16</v>
      </c>
      <c r="BC444">
        <v>411300</v>
      </c>
      <c r="BD444" t="s">
        <v>142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411300</v>
      </c>
      <c r="BK444" t="s">
        <v>25</v>
      </c>
      <c r="BL444" t="s">
        <v>1010</v>
      </c>
      <c r="BM444">
        <v>30</v>
      </c>
      <c r="BN444">
        <v>2570051</v>
      </c>
      <c r="BO444">
        <v>0.04</v>
      </c>
      <c r="BP444">
        <v>102900</v>
      </c>
      <c r="BQ444">
        <v>0</v>
      </c>
      <c r="BR444" t="s">
        <v>1438</v>
      </c>
      <c r="BS444">
        <v>0</v>
      </c>
      <c r="BT444" t="s">
        <v>1438</v>
      </c>
      <c r="BU444">
        <v>0</v>
      </c>
      <c r="BV444" t="s">
        <v>25</v>
      </c>
      <c r="BW444" t="s">
        <v>189</v>
      </c>
      <c r="BX444">
        <v>30</v>
      </c>
      <c r="BY444">
        <v>2570051</v>
      </c>
      <c r="BZ444">
        <v>6.9599999999999995E-2</v>
      </c>
      <c r="CA444" t="s">
        <v>1439</v>
      </c>
      <c r="CB444" t="s">
        <v>227</v>
      </c>
      <c r="CC444" t="s">
        <v>1440</v>
      </c>
      <c r="CD444">
        <v>178900</v>
      </c>
      <c r="CE444">
        <v>30</v>
      </c>
      <c r="CF444" t="s">
        <v>635</v>
      </c>
      <c r="CG444">
        <v>2570051</v>
      </c>
      <c r="CH444">
        <v>0.04</v>
      </c>
      <c r="CI444">
        <v>102900</v>
      </c>
      <c r="CJ444">
        <v>2570051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 t="s">
        <v>88</v>
      </c>
      <c r="CT444" t="s">
        <v>1441</v>
      </c>
      <c r="CU444" t="s">
        <v>1442</v>
      </c>
    </row>
    <row r="445" spans="1:99">
      <c r="A445" t="s">
        <v>1431</v>
      </c>
      <c r="B445" t="s">
        <v>34</v>
      </c>
      <c r="C445" t="s">
        <v>2605</v>
      </c>
      <c r="D445" t="s">
        <v>2606</v>
      </c>
      <c r="E445" t="s">
        <v>2607</v>
      </c>
      <c r="F445" t="s">
        <v>1886</v>
      </c>
      <c r="G445" t="s">
        <v>2553</v>
      </c>
      <c r="H445" t="s">
        <v>2608</v>
      </c>
      <c r="I445" t="s">
        <v>240</v>
      </c>
      <c r="J445" t="s">
        <v>46</v>
      </c>
      <c r="K445" t="s">
        <v>29</v>
      </c>
      <c r="L445" t="s">
        <v>30</v>
      </c>
      <c r="M445">
        <v>188</v>
      </c>
      <c r="N445" t="s">
        <v>32</v>
      </c>
      <c r="O445" t="s">
        <v>32</v>
      </c>
      <c r="Q445" t="s">
        <v>32</v>
      </c>
      <c r="S445" t="s">
        <v>32</v>
      </c>
      <c r="U445" t="s">
        <v>32</v>
      </c>
      <c r="V445" t="s">
        <v>32</v>
      </c>
      <c r="W445" t="s">
        <v>32</v>
      </c>
      <c r="X445" t="s">
        <v>32</v>
      </c>
      <c r="Y445" t="s">
        <v>32</v>
      </c>
      <c r="AA445" t="s">
        <v>32</v>
      </c>
      <c r="AB445" t="s">
        <v>32</v>
      </c>
      <c r="AE445" t="s">
        <v>32</v>
      </c>
      <c r="AH445" t="s">
        <v>32</v>
      </c>
      <c r="AK445" t="s">
        <v>32</v>
      </c>
      <c r="AN445" t="s">
        <v>32</v>
      </c>
      <c r="AO445" t="s">
        <v>32</v>
      </c>
      <c r="AR445">
        <v>0</v>
      </c>
      <c r="AU445" t="s">
        <v>32</v>
      </c>
      <c r="AV445">
        <v>5209465</v>
      </c>
      <c r="AW445" t="s">
        <v>32</v>
      </c>
      <c r="AX445" t="s">
        <v>32</v>
      </c>
      <c r="AY445" t="s">
        <v>356</v>
      </c>
      <c r="AZ445">
        <v>30</v>
      </c>
      <c r="BA445">
        <v>5209465</v>
      </c>
      <c r="BB445">
        <v>0.16</v>
      </c>
      <c r="BC445">
        <v>833600</v>
      </c>
      <c r="BD445" t="s">
        <v>142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833600</v>
      </c>
      <c r="BK445" t="s">
        <v>25</v>
      </c>
      <c r="BL445" t="s">
        <v>870</v>
      </c>
      <c r="BM445">
        <v>30</v>
      </c>
      <c r="BN445">
        <v>5209465</v>
      </c>
      <c r="BO445">
        <v>0.04</v>
      </c>
      <c r="BP445">
        <v>208400</v>
      </c>
      <c r="BQ445">
        <v>0</v>
      </c>
      <c r="BR445" t="s">
        <v>1438</v>
      </c>
      <c r="BS445">
        <v>0</v>
      </c>
      <c r="BT445" t="s">
        <v>1438</v>
      </c>
      <c r="BU445">
        <v>0</v>
      </c>
      <c r="BV445" t="s">
        <v>25</v>
      </c>
      <c r="BW445" t="s">
        <v>189</v>
      </c>
      <c r="BX445">
        <v>30</v>
      </c>
      <c r="BY445">
        <v>5209465</v>
      </c>
      <c r="BZ445">
        <v>6.9599999999999995E-2</v>
      </c>
      <c r="CA445" t="s">
        <v>1439</v>
      </c>
      <c r="CB445" t="s">
        <v>227</v>
      </c>
      <c r="CC445" t="s">
        <v>1440</v>
      </c>
      <c r="CD445">
        <v>362600</v>
      </c>
      <c r="CE445">
        <v>30</v>
      </c>
      <c r="CF445" t="s">
        <v>635</v>
      </c>
      <c r="CG445">
        <v>5209465</v>
      </c>
      <c r="CH445">
        <v>0.04</v>
      </c>
      <c r="CI445">
        <v>208400</v>
      </c>
      <c r="CJ445">
        <v>5209465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 t="s">
        <v>88</v>
      </c>
      <c r="CT445" t="s">
        <v>1441</v>
      </c>
      <c r="CU445" t="s">
        <v>1442</v>
      </c>
    </row>
    <row r="446" spans="1:99">
      <c r="A446" t="s">
        <v>1431</v>
      </c>
      <c r="B446" t="s">
        <v>34</v>
      </c>
      <c r="C446" t="s">
        <v>2609</v>
      </c>
      <c r="D446" t="s">
        <v>2610</v>
      </c>
      <c r="E446" t="s">
        <v>2611</v>
      </c>
      <c r="F446" t="s">
        <v>2612</v>
      </c>
      <c r="G446" t="s">
        <v>2613</v>
      </c>
      <c r="H446" t="s">
        <v>2614</v>
      </c>
      <c r="I446" t="s">
        <v>240</v>
      </c>
      <c r="J446" t="s">
        <v>46</v>
      </c>
      <c r="K446" t="s">
        <v>29</v>
      </c>
      <c r="L446" t="s">
        <v>82</v>
      </c>
      <c r="M446">
        <v>0</v>
      </c>
      <c r="N446" t="s">
        <v>32</v>
      </c>
      <c r="O446" t="s">
        <v>32</v>
      </c>
      <c r="Q446" t="s">
        <v>32</v>
      </c>
      <c r="S446" t="s">
        <v>32</v>
      </c>
      <c r="U446" t="s">
        <v>32</v>
      </c>
      <c r="V446" t="s">
        <v>32</v>
      </c>
      <c r="W446" t="s">
        <v>32</v>
      </c>
      <c r="X446" t="s">
        <v>32</v>
      </c>
      <c r="Y446" t="s">
        <v>32</v>
      </c>
      <c r="AA446" t="s">
        <v>32</v>
      </c>
      <c r="AB446" t="s">
        <v>32</v>
      </c>
      <c r="AE446" t="s">
        <v>32</v>
      </c>
      <c r="AH446" t="s">
        <v>32</v>
      </c>
      <c r="AK446" t="s">
        <v>128</v>
      </c>
      <c r="AL446">
        <v>46069</v>
      </c>
      <c r="AM446">
        <v>46075</v>
      </c>
      <c r="AN446" t="s">
        <v>32</v>
      </c>
      <c r="AO446" t="s">
        <v>32</v>
      </c>
      <c r="AR446">
        <v>0</v>
      </c>
      <c r="AU446" t="s">
        <v>32</v>
      </c>
      <c r="AV446">
        <v>5602605</v>
      </c>
      <c r="AW446" t="s">
        <v>32</v>
      </c>
      <c r="AX446" t="s">
        <v>88</v>
      </c>
      <c r="AZ446">
        <v>0</v>
      </c>
      <c r="BA446">
        <v>0</v>
      </c>
      <c r="BB446">
        <v>0</v>
      </c>
      <c r="BC446">
        <v>0</v>
      </c>
      <c r="BD446" t="s">
        <v>142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 t="s">
        <v>25</v>
      </c>
      <c r="BL446" t="s">
        <v>1071</v>
      </c>
      <c r="BM446">
        <v>7</v>
      </c>
      <c r="BN446">
        <v>1307275</v>
      </c>
      <c r="BO446">
        <v>0.04</v>
      </c>
      <c r="BP446">
        <v>52300</v>
      </c>
      <c r="BQ446">
        <v>0</v>
      </c>
      <c r="BR446" t="s">
        <v>1438</v>
      </c>
      <c r="BS446">
        <v>0</v>
      </c>
      <c r="BT446" t="s">
        <v>1438</v>
      </c>
      <c r="BU446">
        <v>0</v>
      </c>
      <c r="BV446" t="s">
        <v>25</v>
      </c>
      <c r="BW446" t="s">
        <v>189</v>
      </c>
      <c r="BX446">
        <v>7</v>
      </c>
      <c r="BY446">
        <v>1307275</v>
      </c>
      <c r="BZ446">
        <v>0</v>
      </c>
      <c r="CA446" t="s">
        <v>1592</v>
      </c>
      <c r="CB446" t="s">
        <v>227</v>
      </c>
      <c r="CC446" t="s">
        <v>1593</v>
      </c>
      <c r="CD446">
        <v>0</v>
      </c>
      <c r="CE446">
        <v>7</v>
      </c>
      <c r="CF446" t="s">
        <v>635</v>
      </c>
      <c r="CG446">
        <v>1307275</v>
      </c>
      <c r="CH446">
        <v>0.04</v>
      </c>
      <c r="CI446">
        <v>52300</v>
      </c>
      <c r="CJ446">
        <v>1307275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 t="s">
        <v>88</v>
      </c>
      <c r="CT446" t="s">
        <v>1441</v>
      </c>
      <c r="CU446" t="s">
        <v>1442</v>
      </c>
    </row>
    <row r="447" spans="1:99">
      <c r="A447" t="s">
        <v>1431</v>
      </c>
      <c r="B447" t="s">
        <v>34</v>
      </c>
      <c r="C447" t="s">
        <v>2609</v>
      </c>
      <c r="D447" t="s">
        <v>2610</v>
      </c>
      <c r="E447" t="s">
        <v>2611</v>
      </c>
      <c r="F447" t="s">
        <v>2612</v>
      </c>
      <c r="G447" t="s">
        <v>2613</v>
      </c>
      <c r="H447" t="s">
        <v>2614</v>
      </c>
      <c r="I447" t="s">
        <v>240</v>
      </c>
      <c r="J447" t="s">
        <v>46</v>
      </c>
      <c r="K447" t="s">
        <v>29</v>
      </c>
      <c r="L447" t="s">
        <v>82</v>
      </c>
      <c r="M447">
        <v>135</v>
      </c>
      <c r="N447" t="s">
        <v>32</v>
      </c>
      <c r="O447" t="s">
        <v>32</v>
      </c>
      <c r="Q447" t="s">
        <v>32</v>
      </c>
      <c r="S447" t="s">
        <v>32</v>
      </c>
      <c r="U447" t="s">
        <v>32</v>
      </c>
      <c r="V447" t="s">
        <v>32</v>
      </c>
      <c r="W447" t="s">
        <v>32</v>
      </c>
      <c r="X447" t="s">
        <v>32</v>
      </c>
      <c r="Y447" t="s">
        <v>88</v>
      </c>
      <c r="Z447">
        <v>46054</v>
      </c>
      <c r="AA447" t="s">
        <v>88</v>
      </c>
      <c r="AB447" t="s">
        <v>32</v>
      </c>
      <c r="AE447" t="s">
        <v>32</v>
      </c>
      <c r="AH447" t="s">
        <v>32</v>
      </c>
      <c r="AK447" t="s">
        <v>32</v>
      </c>
      <c r="AN447" t="s">
        <v>32</v>
      </c>
      <c r="AO447" t="s">
        <v>32</v>
      </c>
      <c r="AR447">
        <v>0</v>
      </c>
      <c r="AU447" t="s">
        <v>32</v>
      </c>
      <c r="AV447">
        <v>5602605</v>
      </c>
      <c r="AW447" t="s">
        <v>32</v>
      </c>
      <c r="AX447" t="s">
        <v>88</v>
      </c>
      <c r="AZ447">
        <v>0</v>
      </c>
      <c r="BA447">
        <v>0</v>
      </c>
      <c r="BB447">
        <v>0</v>
      </c>
      <c r="BC447">
        <v>0</v>
      </c>
      <c r="BD447" t="s">
        <v>142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 t="s">
        <v>25</v>
      </c>
      <c r="BL447" t="s">
        <v>1071</v>
      </c>
      <c r="BM447">
        <v>23</v>
      </c>
      <c r="BN447">
        <v>4482509</v>
      </c>
      <c r="BO447">
        <v>0.04</v>
      </c>
      <c r="BP447">
        <v>179400</v>
      </c>
      <c r="BQ447">
        <v>0</v>
      </c>
      <c r="BR447" t="s">
        <v>1438</v>
      </c>
      <c r="BS447">
        <v>0</v>
      </c>
      <c r="BT447" t="s">
        <v>1438</v>
      </c>
      <c r="BU447">
        <v>0</v>
      </c>
      <c r="BV447" t="s">
        <v>25</v>
      </c>
      <c r="BW447" t="s">
        <v>189</v>
      </c>
      <c r="BX447">
        <v>23</v>
      </c>
      <c r="BY447">
        <v>4482509</v>
      </c>
      <c r="BZ447">
        <v>5.2199999999999998E-3</v>
      </c>
      <c r="CA447" t="s">
        <v>1592</v>
      </c>
      <c r="CB447" t="s">
        <v>227</v>
      </c>
      <c r="CC447" t="s">
        <v>1593</v>
      </c>
      <c r="CD447">
        <v>23400</v>
      </c>
      <c r="CE447">
        <v>23</v>
      </c>
      <c r="CF447" t="s">
        <v>635</v>
      </c>
      <c r="CG447">
        <v>4482509</v>
      </c>
      <c r="CH447">
        <v>0.04</v>
      </c>
      <c r="CI447">
        <v>179400</v>
      </c>
      <c r="CJ447">
        <v>4482509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 t="s">
        <v>88</v>
      </c>
      <c r="CT447" t="s">
        <v>1441</v>
      </c>
      <c r="CU447" t="s">
        <v>1442</v>
      </c>
    </row>
    <row r="448" spans="1:99">
      <c r="A448" t="s">
        <v>1431</v>
      </c>
      <c r="B448" t="s">
        <v>34</v>
      </c>
      <c r="C448" t="s">
        <v>2615</v>
      </c>
      <c r="D448" t="s">
        <v>2616</v>
      </c>
      <c r="E448" t="s">
        <v>2617</v>
      </c>
      <c r="F448" t="s">
        <v>1785</v>
      </c>
      <c r="G448" t="s">
        <v>1590</v>
      </c>
      <c r="H448" t="s">
        <v>2618</v>
      </c>
      <c r="I448" t="s">
        <v>240</v>
      </c>
      <c r="J448" t="s">
        <v>46</v>
      </c>
      <c r="K448" t="s">
        <v>29</v>
      </c>
      <c r="L448" t="s">
        <v>30</v>
      </c>
      <c r="M448">
        <v>0</v>
      </c>
      <c r="N448" t="s">
        <v>32</v>
      </c>
      <c r="O448" t="s">
        <v>32</v>
      </c>
      <c r="Q448" t="s">
        <v>32</v>
      </c>
      <c r="S448" t="s">
        <v>32</v>
      </c>
      <c r="U448" t="s">
        <v>32</v>
      </c>
      <c r="V448" t="s">
        <v>32</v>
      </c>
      <c r="W448" t="s">
        <v>32</v>
      </c>
      <c r="X448" t="s">
        <v>32</v>
      </c>
      <c r="Y448" t="s">
        <v>32</v>
      </c>
      <c r="AA448" t="s">
        <v>32</v>
      </c>
      <c r="AB448" t="s">
        <v>37</v>
      </c>
      <c r="AC448">
        <v>46054</v>
      </c>
      <c r="AD448">
        <v>46054</v>
      </c>
      <c r="AE448" t="s">
        <v>32</v>
      </c>
      <c r="AH448" t="s">
        <v>32</v>
      </c>
      <c r="AK448" t="s">
        <v>32</v>
      </c>
      <c r="AN448" t="s">
        <v>32</v>
      </c>
      <c r="AO448" t="s">
        <v>32</v>
      </c>
      <c r="AR448">
        <v>0</v>
      </c>
      <c r="AU448" t="s">
        <v>32</v>
      </c>
      <c r="AV448">
        <v>1785595</v>
      </c>
      <c r="AW448" t="s">
        <v>32</v>
      </c>
      <c r="AX448" t="s">
        <v>32</v>
      </c>
      <c r="AY448" t="s">
        <v>317</v>
      </c>
      <c r="AZ448">
        <v>1</v>
      </c>
      <c r="BA448">
        <v>59520</v>
      </c>
      <c r="BB448">
        <v>0.16</v>
      </c>
      <c r="BC448">
        <v>9600</v>
      </c>
      <c r="BD448" t="s">
        <v>142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9600</v>
      </c>
      <c r="BK448" t="s">
        <v>25</v>
      </c>
      <c r="BL448" t="s">
        <v>1010</v>
      </c>
      <c r="BM448">
        <v>1</v>
      </c>
      <c r="BN448">
        <v>59520</v>
      </c>
      <c r="BO448">
        <v>0</v>
      </c>
      <c r="BP448">
        <v>0</v>
      </c>
      <c r="BQ448">
        <v>0</v>
      </c>
      <c r="BR448" t="s">
        <v>1438</v>
      </c>
      <c r="BS448">
        <v>0</v>
      </c>
      <c r="BT448" t="s">
        <v>1438</v>
      </c>
      <c r="BU448">
        <v>0</v>
      </c>
      <c r="BV448" t="s">
        <v>25</v>
      </c>
      <c r="BW448" t="s">
        <v>189</v>
      </c>
      <c r="BX448">
        <v>1</v>
      </c>
      <c r="BY448">
        <v>59520</v>
      </c>
      <c r="BZ448">
        <v>0</v>
      </c>
      <c r="CA448" t="s">
        <v>1439</v>
      </c>
      <c r="CB448" t="s">
        <v>227</v>
      </c>
      <c r="CC448" t="s">
        <v>1440</v>
      </c>
      <c r="CD448">
        <v>0</v>
      </c>
      <c r="CE448">
        <v>1</v>
      </c>
      <c r="CF448" t="s">
        <v>635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 t="s">
        <v>88</v>
      </c>
      <c r="CT448" t="s">
        <v>1441</v>
      </c>
      <c r="CU448" t="s">
        <v>1442</v>
      </c>
    </row>
    <row r="449" spans="1:99">
      <c r="A449" t="s">
        <v>1431</v>
      </c>
      <c r="B449" t="s">
        <v>34</v>
      </c>
      <c r="C449" t="s">
        <v>2615</v>
      </c>
      <c r="D449" t="s">
        <v>2616</v>
      </c>
      <c r="E449" t="s">
        <v>2617</v>
      </c>
      <c r="F449" t="s">
        <v>1785</v>
      </c>
      <c r="G449" t="s">
        <v>1590</v>
      </c>
      <c r="H449" t="s">
        <v>2618</v>
      </c>
      <c r="I449" t="s">
        <v>240</v>
      </c>
      <c r="J449" t="s">
        <v>46</v>
      </c>
      <c r="K449" t="s">
        <v>29</v>
      </c>
      <c r="L449" t="s">
        <v>30</v>
      </c>
      <c r="M449">
        <v>0</v>
      </c>
      <c r="N449" t="s">
        <v>32</v>
      </c>
      <c r="O449" t="s">
        <v>32</v>
      </c>
      <c r="Q449" t="s">
        <v>32</v>
      </c>
      <c r="S449" t="s">
        <v>32</v>
      </c>
      <c r="U449" t="s">
        <v>32</v>
      </c>
      <c r="V449" t="s">
        <v>32</v>
      </c>
      <c r="W449" t="s">
        <v>32</v>
      </c>
      <c r="X449" t="s">
        <v>32</v>
      </c>
      <c r="Y449" t="s">
        <v>32</v>
      </c>
      <c r="AA449" t="s">
        <v>32</v>
      </c>
      <c r="AB449" t="s">
        <v>37</v>
      </c>
      <c r="AC449">
        <v>46079</v>
      </c>
      <c r="AD449">
        <v>46079</v>
      </c>
      <c r="AE449" t="s">
        <v>32</v>
      </c>
      <c r="AH449" t="s">
        <v>32</v>
      </c>
      <c r="AK449" t="s">
        <v>32</v>
      </c>
      <c r="AN449" t="s">
        <v>32</v>
      </c>
      <c r="AO449" t="s">
        <v>32</v>
      </c>
      <c r="AR449">
        <v>0</v>
      </c>
      <c r="AU449" t="s">
        <v>32</v>
      </c>
      <c r="AV449">
        <v>1785595</v>
      </c>
      <c r="AW449" t="s">
        <v>32</v>
      </c>
      <c r="AX449" t="s">
        <v>32</v>
      </c>
      <c r="AY449" t="s">
        <v>317</v>
      </c>
      <c r="AZ449">
        <v>1</v>
      </c>
      <c r="BA449">
        <v>59520</v>
      </c>
      <c r="BB449">
        <v>0.16</v>
      </c>
      <c r="BC449">
        <v>9600</v>
      </c>
      <c r="BD449" t="s">
        <v>142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9600</v>
      </c>
      <c r="BK449" t="s">
        <v>25</v>
      </c>
      <c r="BL449" t="s">
        <v>1010</v>
      </c>
      <c r="BM449">
        <v>1</v>
      </c>
      <c r="BN449">
        <v>59520</v>
      </c>
      <c r="BO449">
        <v>0</v>
      </c>
      <c r="BP449">
        <v>0</v>
      </c>
      <c r="BQ449">
        <v>0</v>
      </c>
      <c r="BR449" t="s">
        <v>1438</v>
      </c>
      <c r="BS449">
        <v>0</v>
      </c>
      <c r="BT449" t="s">
        <v>1438</v>
      </c>
      <c r="BU449">
        <v>0</v>
      </c>
      <c r="BV449" t="s">
        <v>25</v>
      </c>
      <c r="BW449" t="s">
        <v>189</v>
      </c>
      <c r="BX449">
        <v>1</v>
      </c>
      <c r="BY449">
        <v>59520</v>
      </c>
      <c r="BZ449">
        <v>0</v>
      </c>
      <c r="CA449" t="s">
        <v>1439</v>
      </c>
      <c r="CB449" t="s">
        <v>227</v>
      </c>
      <c r="CC449" t="s">
        <v>1440</v>
      </c>
      <c r="CD449">
        <v>0</v>
      </c>
      <c r="CE449">
        <v>1</v>
      </c>
      <c r="CF449" t="s">
        <v>635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 t="s">
        <v>88</v>
      </c>
      <c r="CT449" t="s">
        <v>1441</v>
      </c>
      <c r="CU449" t="s">
        <v>1442</v>
      </c>
    </row>
    <row r="450" spans="1:99">
      <c r="A450" t="s">
        <v>1431</v>
      </c>
      <c r="B450" t="s">
        <v>34</v>
      </c>
      <c r="C450" t="s">
        <v>2615</v>
      </c>
      <c r="D450" t="s">
        <v>2616</v>
      </c>
      <c r="E450" t="s">
        <v>2617</v>
      </c>
      <c r="F450" t="s">
        <v>1785</v>
      </c>
      <c r="G450" t="s">
        <v>1590</v>
      </c>
      <c r="H450" t="s">
        <v>2618</v>
      </c>
      <c r="I450" t="s">
        <v>240</v>
      </c>
      <c r="J450" t="s">
        <v>46</v>
      </c>
      <c r="K450" t="s">
        <v>29</v>
      </c>
      <c r="L450" t="s">
        <v>30</v>
      </c>
      <c r="M450">
        <v>211</v>
      </c>
      <c r="N450" t="s">
        <v>32</v>
      </c>
      <c r="O450" t="s">
        <v>32</v>
      </c>
      <c r="Q450" t="s">
        <v>32</v>
      </c>
      <c r="S450" t="s">
        <v>40</v>
      </c>
      <c r="T450">
        <v>46081</v>
      </c>
      <c r="U450" t="s">
        <v>32</v>
      </c>
      <c r="V450" t="s">
        <v>32</v>
      </c>
      <c r="W450" t="s">
        <v>32</v>
      </c>
      <c r="X450" t="s">
        <v>32</v>
      </c>
      <c r="Y450" t="s">
        <v>32</v>
      </c>
      <c r="AA450" t="s">
        <v>88</v>
      </c>
      <c r="AB450" t="s">
        <v>32</v>
      </c>
      <c r="AE450" t="s">
        <v>32</v>
      </c>
      <c r="AH450" t="s">
        <v>32</v>
      </c>
      <c r="AK450" t="s">
        <v>32</v>
      </c>
      <c r="AN450" t="s">
        <v>32</v>
      </c>
      <c r="AO450" t="s">
        <v>32</v>
      </c>
      <c r="AR450">
        <v>0</v>
      </c>
      <c r="AU450" t="s">
        <v>32</v>
      </c>
      <c r="AV450">
        <v>1785595</v>
      </c>
      <c r="AW450" t="s">
        <v>32</v>
      </c>
      <c r="AX450" t="s">
        <v>32</v>
      </c>
      <c r="AY450" t="s">
        <v>317</v>
      </c>
      <c r="AZ450">
        <v>28</v>
      </c>
      <c r="BA450">
        <v>2932330</v>
      </c>
      <c r="BB450">
        <v>0.16</v>
      </c>
      <c r="BC450">
        <v>469200</v>
      </c>
      <c r="BD450" t="s">
        <v>142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469200</v>
      </c>
      <c r="BK450" t="s">
        <v>25</v>
      </c>
      <c r="BL450" t="s">
        <v>1010</v>
      </c>
      <c r="BM450">
        <v>28</v>
      </c>
      <c r="BN450">
        <v>2932330</v>
      </c>
      <c r="BO450">
        <v>0.04</v>
      </c>
      <c r="BP450">
        <v>117300</v>
      </c>
      <c r="BQ450">
        <v>0</v>
      </c>
      <c r="BR450" t="s">
        <v>1438</v>
      </c>
      <c r="BS450">
        <v>0</v>
      </c>
      <c r="BT450" t="s">
        <v>1438</v>
      </c>
      <c r="BU450">
        <v>0</v>
      </c>
      <c r="BV450" t="s">
        <v>25</v>
      </c>
      <c r="BW450" t="s">
        <v>189</v>
      </c>
      <c r="BX450">
        <v>28</v>
      </c>
      <c r="BY450">
        <v>2932330</v>
      </c>
      <c r="BZ450">
        <v>6.9599999999999995E-2</v>
      </c>
      <c r="CA450" t="s">
        <v>1439</v>
      </c>
      <c r="CB450" t="s">
        <v>227</v>
      </c>
      <c r="CC450" t="s">
        <v>1440</v>
      </c>
      <c r="CD450">
        <v>204100</v>
      </c>
      <c r="CE450">
        <v>28</v>
      </c>
      <c r="CF450" t="s">
        <v>635</v>
      </c>
      <c r="CG450">
        <v>3700418</v>
      </c>
      <c r="CH450">
        <v>0.04</v>
      </c>
      <c r="CI450">
        <v>148100</v>
      </c>
      <c r="CJ450">
        <v>3700418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 t="s">
        <v>88</v>
      </c>
      <c r="CT450" t="s">
        <v>1441</v>
      </c>
      <c r="CU450" t="s">
        <v>1442</v>
      </c>
    </row>
    <row r="451" spans="1:99">
      <c r="A451" t="s">
        <v>1431</v>
      </c>
      <c r="B451" t="s">
        <v>34</v>
      </c>
      <c r="C451" t="s">
        <v>2619</v>
      </c>
      <c r="D451" t="s">
        <v>2620</v>
      </c>
      <c r="E451" t="s">
        <v>2621</v>
      </c>
      <c r="F451" t="s">
        <v>774</v>
      </c>
      <c r="G451" t="s">
        <v>1436</v>
      </c>
      <c r="H451" t="s">
        <v>2341</v>
      </c>
      <c r="I451" t="s">
        <v>240</v>
      </c>
      <c r="J451" t="s">
        <v>46</v>
      </c>
      <c r="K451" t="s">
        <v>29</v>
      </c>
      <c r="L451" t="s">
        <v>30</v>
      </c>
      <c r="M451">
        <v>203</v>
      </c>
      <c r="N451" t="s">
        <v>32</v>
      </c>
      <c r="O451" t="s">
        <v>32</v>
      </c>
      <c r="Q451" t="s">
        <v>32</v>
      </c>
      <c r="S451" t="s">
        <v>32</v>
      </c>
      <c r="U451" t="s">
        <v>32</v>
      </c>
      <c r="V451" t="s">
        <v>32</v>
      </c>
      <c r="W451" t="s">
        <v>32</v>
      </c>
      <c r="X451" t="s">
        <v>32</v>
      </c>
      <c r="Y451" t="s">
        <v>32</v>
      </c>
      <c r="AA451" t="s">
        <v>88</v>
      </c>
      <c r="AB451" t="s">
        <v>32</v>
      </c>
      <c r="AE451" t="s">
        <v>32</v>
      </c>
      <c r="AH451" t="s">
        <v>32</v>
      </c>
      <c r="AK451" t="s">
        <v>32</v>
      </c>
      <c r="AN451" t="s">
        <v>32</v>
      </c>
      <c r="AO451" t="s">
        <v>32</v>
      </c>
      <c r="AR451">
        <v>0</v>
      </c>
      <c r="AU451" t="s">
        <v>32</v>
      </c>
      <c r="AV451">
        <v>1915447</v>
      </c>
      <c r="AW451" t="s">
        <v>32</v>
      </c>
      <c r="AX451" t="s">
        <v>32</v>
      </c>
      <c r="AY451" t="s">
        <v>185</v>
      </c>
      <c r="AZ451">
        <v>30</v>
      </c>
      <c r="BA451">
        <v>2112434</v>
      </c>
      <c r="BB451">
        <v>0.16</v>
      </c>
      <c r="BC451">
        <v>338000</v>
      </c>
      <c r="BD451" t="s">
        <v>142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338000</v>
      </c>
      <c r="BK451" t="s">
        <v>25</v>
      </c>
      <c r="BL451" t="s">
        <v>885</v>
      </c>
      <c r="BM451">
        <v>30</v>
      </c>
      <c r="BN451">
        <v>2112434</v>
      </c>
      <c r="BO451">
        <v>0.04</v>
      </c>
      <c r="BP451">
        <v>84500</v>
      </c>
      <c r="BQ451">
        <v>0</v>
      </c>
      <c r="BR451" t="s">
        <v>1438</v>
      </c>
      <c r="BS451">
        <v>0</v>
      </c>
      <c r="BT451" t="s">
        <v>1438</v>
      </c>
      <c r="BU451">
        <v>0</v>
      </c>
      <c r="BV451" t="s">
        <v>25</v>
      </c>
      <c r="BW451" t="s">
        <v>189</v>
      </c>
      <c r="BX451">
        <v>30</v>
      </c>
      <c r="BY451">
        <v>2112434</v>
      </c>
      <c r="BZ451">
        <v>4.3499999999999997E-2</v>
      </c>
      <c r="CA451" t="s">
        <v>2622</v>
      </c>
      <c r="CB451" t="s">
        <v>227</v>
      </c>
      <c r="CC451" t="s">
        <v>2623</v>
      </c>
      <c r="CD451">
        <v>91900</v>
      </c>
      <c r="CE451">
        <v>30</v>
      </c>
      <c r="CF451" t="s">
        <v>635</v>
      </c>
      <c r="CG451">
        <v>2112434</v>
      </c>
      <c r="CH451">
        <v>0.04</v>
      </c>
      <c r="CI451">
        <v>84500</v>
      </c>
      <c r="CJ451">
        <v>2112434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 t="s">
        <v>88</v>
      </c>
      <c r="CT451" t="s">
        <v>1441</v>
      </c>
      <c r="CU451" t="s">
        <v>1442</v>
      </c>
    </row>
    <row r="452" spans="1:99">
      <c r="A452" t="s">
        <v>1431</v>
      </c>
      <c r="B452" t="s">
        <v>34</v>
      </c>
      <c r="C452" t="s">
        <v>2624</v>
      </c>
      <c r="D452" t="s">
        <v>2625</v>
      </c>
      <c r="E452" t="s">
        <v>2626</v>
      </c>
      <c r="F452" t="s">
        <v>1555</v>
      </c>
      <c r="G452" t="s">
        <v>2553</v>
      </c>
      <c r="H452" t="s">
        <v>1978</v>
      </c>
      <c r="I452" t="s">
        <v>240</v>
      </c>
      <c r="J452" t="s">
        <v>46</v>
      </c>
      <c r="K452" t="s">
        <v>29</v>
      </c>
      <c r="L452" t="s">
        <v>30</v>
      </c>
      <c r="M452">
        <v>90</v>
      </c>
      <c r="N452" t="s">
        <v>32</v>
      </c>
      <c r="O452" t="s">
        <v>32</v>
      </c>
      <c r="Q452" t="s">
        <v>32</v>
      </c>
      <c r="S452" t="s">
        <v>40</v>
      </c>
      <c r="T452">
        <v>46067</v>
      </c>
      <c r="U452" t="s">
        <v>32</v>
      </c>
      <c r="V452" t="s">
        <v>32</v>
      </c>
      <c r="W452" t="s">
        <v>32</v>
      </c>
      <c r="X452" t="s">
        <v>32</v>
      </c>
      <c r="Y452" t="s">
        <v>88</v>
      </c>
      <c r="Z452">
        <v>46054</v>
      </c>
      <c r="AA452" t="s">
        <v>88</v>
      </c>
      <c r="AB452" t="s">
        <v>32</v>
      </c>
      <c r="AE452" t="s">
        <v>32</v>
      </c>
      <c r="AH452" t="s">
        <v>32</v>
      </c>
      <c r="AK452" t="s">
        <v>32</v>
      </c>
      <c r="AN452" t="s">
        <v>32</v>
      </c>
      <c r="AO452" t="s">
        <v>32</v>
      </c>
      <c r="AR452">
        <v>0</v>
      </c>
      <c r="AU452" t="s">
        <v>32</v>
      </c>
      <c r="AV452">
        <v>3639331</v>
      </c>
      <c r="AW452" t="s">
        <v>32</v>
      </c>
      <c r="AX452" t="s">
        <v>32</v>
      </c>
      <c r="AY452" t="s">
        <v>356</v>
      </c>
      <c r="AZ452">
        <v>14</v>
      </c>
      <c r="BA452">
        <v>1819665</v>
      </c>
      <c r="BB452">
        <v>0.16</v>
      </c>
      <c r="BC452">
        <v>291200</v>
      </c>
      <c r="BD452" t="s">
        <v>142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291200</v>
      </c>
      <c r="BK452" t="s">
        <v>25</v>
      </c>
      <c r="BL452" t="s">
        <v>1010</v>
      </c>
      <c r="BM452">
        <v>14</v>
      </c>
      <c r="BN452">
        <v>1819665</v>
      </c>
      <c r="BO452">
        <v>0.04</v>
      </c>
      <c r="BP452">
        <v>72800</v>
      </c>
      <c r="BQ452">
        <v>0</v>
      </c>
      <c r="BR452" t="s">
        <v>1438</v>
      </c>
      <c r="BS452">
        <v>0</v>
      </c>
      <c r="BT452" t="s">
        <v>1438</v>
      </c>
      <c r="BU452">
        <v>0</v>
      </c>
      <c r="BV452" t="s">
        <v>25</v>
      </c>
      <c r="BW452" t="s">
        <v>189</v>
      </c>
      <c r="BX452">
        <v>14</v>
      </c>
      <c r="BY452">
        <v>1819665</v>
      </c>
      <c r="BZ452">
        <v>6.9599999999999995E-2</v>
      </c>
      <c r="CA452" t="s">
        <v>1439</v>
      </c>
      <c r="CB452" t="s">
        <v>227</v>
      </c>
      <c r="CC452" t="s">
        <v>1440</v>
      </c>
      <c r="CD452">
        <v>126700</v>
      </c>
      <c r="CE452">
        <v>14</v>
      </c>
      <c r="CF452" t="s">
        <v>635</v>
      </c>
      <c r="CG452">
        <v>3576014</v>
      </c>
      <c r="CH452">
        <v>0.04</v>
      </c>
      <c r="CI452">
        <v>143100</v>
      </c>
      <c r="CJ452">
        <v>3576014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 t="s">
        <v>88</v>
      </c>
      <c r="CT452" t="s">
        <v>1441</v>
      </c>
      <c r="CU452" t="s">
        <v>1442</v>
      </c>
    </row>
    <row r="453" spans="1:99">
      <c r="A453" t="s">
        <v>1431</v>
      </c>
      <c r="B453" t="s">
        <v>397</v>
      </c>
      <c r="C453" t="s">
        <v>2627</v>
      </c>
      <c r="D453" t="s">
        <v>2628</v>
      </c>
      <c r="E453" t="s">
        <v>404</v>
      </c>
      <c r="F453" t="s">
        <v>2629</v>
      </c>
      <c r="G453" t="s">
        <v>2630</v>
      </c>
      <c r="H453" t="s">
        <v>2066</v>
      </c>
      <c r="I453" t="s">
        <v>240</v>
      </c>
      <c r="J453" t="s">
        <v>46</v>
      </c>
      <c r="K453" t="s">
        <v>29</v>
      </c>
      <c r="L453" t="s">
        <v>30</v>
      </c>
      <c r="M453">
        <v>0</v>
      </c>
      <c r="N453" t="s">
        <v>32</v>
      </c>
      <c r="O453" t="s">
        <v>32</v>
      </c>
      <c r="Q453" t="s">
        <v>32</v>
      </c>
      <c r="S453" t="s">
        <v>32</v>
      </c>
      <c r="U453" t="s">
        <v>32</v>
      </c>
      <c r="V453" t="s">
        <v>32</v>
      </c>
      <c r="W453" t="s">
        <v>32</v>
      </c>
      <c r="X453" t="s">
        <v>32</v>
      </c>
      <c r="Y453" t="s">
        <v>32</v>
      </c>
      <c r="AA453" t="s">
        <v>32</v>
      </c>
      <c r="AB453" t="s">
        <v>32</v>
      </c>
      <c r="AE453" t="s">
        <v>32</v>
      </c>
      <c r="AH453" t="s">
        <v>32</v>
      </c>
      <c r="AK453" t="s">
        <v>128</v>
      </c>
      <c r="AL453">
        <v>46058</v>
      </c>
      <c r="AM453">
        <v>46058</v>
      </c>
      <c r="AN453" t="s">
        <v>32</v>
      </c>
      <c r="AO453" t="s">
        <v>32</v>
      </c>
      <c r="AR453">
        <v>0</v>
      </c>
      <c r="AU453" t="s">
        <v>32</v>
      </c>
      <c r="AV453">
        <v>1750905</v>
      </c>
      <c r="AW453" t="s">
        <v>32</v>
      </c>
      <c r="AX453" t="s">
        <v>32</v>
      </c>
      <c r="AY453" t="s">
        <v>356</v>
      </c>
      <c r="AZ453">
        <v>1</v>
      </c>
      <c r="BA453">
        <v>58364</v>
      </c>
      <c r="BB453">
        <v>0.16</v>
      </c>
      <c r="BC453">
        <v>9400</v>
      </c>
      <c r="BD453" t="s">
        <v>142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9400</v>
      </c>
      <c r="BK453" t="s">
        <v>25</v>
      </c>
      <c r="BL453" t="s">
        <v>1064</v>
      </c>
      <c r="BM453">
        <v>1</v>
      </c>
      <c r="BN453">
        <v>58364</v>
      </c>
      <c r="BO453">
        <v>0.04</v>
      </c>
      <c r="BP453">
        <v>2400</v>
      </c>
      <c r="BQ453">
        <v>0</v>
      </c>
      <c r="BR453" t="s">
        <v>1438</v>
      </c>
      <c r="BS453">
        <v>0</v>
      </c>
      <c r="BT453" t="s">
        <v>1438</v>
      </c>
      <c r="BU453">
        <v>0</v>
      </c>
      <c r="BV453" t="s">
        <v>25</v>
      </c>
      <c r="BW453" t="s">
        <v>189</v>
      </c>
      <c r="BX453">
        <v>1</v>
      </c>
      <c r="BY453">
        <v>58364</v>
      </c>
      <c r="BZ453">
        <v>0</v>
      </c>
      <c r="CA453" t="s">
        <v>1439</v>
      </c>
      <c r="CB453" t="s">
        <v>227</v>
      </c>
      <c r="CC453" t="s">
        <v>1440</v>
      </c>
      <c r="CD453">
        <v>0</v>
      </c>
      <c r="CE453">
        <v>1</v>
      </c>
      <c r="CF453" t="s">
        <v>635</v>
      </c>
      <c r="CG453">
        <v>58364</v>
      </c>
      <c r="CH453">
        <v>0.04</v>
      </c>
      <c r="CI453">
        <v>2400</v>
      </c>
      <c r="CJ453">
        <v>58364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 t="s">
        <v>88</v>
      </c>
      <c r="CT453" t="s">
        <v>1441</v>
      </c>
      <c r="CU453" t="s">
        <v>1442</v>
      </c>
    </row>
    <row r="454" spans="1:99">
      <c r="A454" t="s">
        <v>1431</v>
      </c>
      <c r="B454" t="s">
        <v>397</v>
      </c>
      <c r="C454" t="s">
        <v>2627</v>
      </c>
      <c r="D454" t="s">
        <v>2628</v>
      </c>
      <c r="E454" t="s">
        <v>404</v>
      </c>
      <c r="F454" t="s">
        <v>2629</v>
      </c>
      <c r="G454" t="s">
        <v>2630</v>
      </c>
      <c r="H454" t="s">
        <v>2066</v>
      </c>
      <c r="I454" t="s">
        <v>240</v>
      </c>
      <c r="J454" t="s">
        <v>46</v>
      </c>
      <c r="K454" t="s">
        <v>29</v>
      </c>
      <c r="L454" t="s">
        <v>30</v>
      </c>
      <c r="M454">
        <v>0</v>
      </c>
      <c r="N454" t="s">
        <v>32</v>
      </c>
      <c r="O454" t="s">
        <v>32</v>
      </c>
      <c r="Q454" t="s">
        <v>32</v>
      </c>
      <c r="S454" t="s">
        <v>32</v>
      </c>
      <c r="U454" t="s">
        <v>32</v>
      </c>
      <c r="V454" t="s">
        <v>32</v>
      </c>
      <c r="W454" t="s">
        <v>32</v>
      </c>
      <c r="X454" t="s">
        <v>32</v>
      </c>
      <c r="Y454" t="s">
        <v>32</v>
      </c>
      <c r="AA454" t="s">
        <v>32</v>
      </c>
      <c r="AB454" t="s">
        <v>32</v>
      </c>
      <c r="AE454" t="s">
        <v>32</v>
      </c>
      <c r="AH454" t="s">
        <v>32</v>
      </c>
      <c r="AK454" t="s">
        <v>128</v>
      </c>
      <c r="AL454">
        <v>46079</v>
      </c>
      <c r="AM454">
        <v>46081</v>
      </c>
      <c r="AN454" t="s">
        <v>32</v>
      </c>
      <c r="AO454" t="s">
        <v>32</v>
      </c>
      <c r="AR454">
        <v>0</v>
      </c>
      <c r="AU454" t="s">
        <v>32</v>
      </c>
      <c r="AV454">
        <v>1750905</v>
      </c>
      <c r="AW454" t="s">
        <v>32</v>
      </c>
      <c r="AX454" t="s">
        <v>32</v>
      </c>
      <c r="AY454" t="s">
        <v>356</v>
      </c>
      <c r="AZ454">
        <v>3</v>
      </c>
      <c r="BA454">
        <v>175091</v>
      </c>
      <c r="BB454">
        <v>0.16</v>
      </c>
      <c r="BC454">
        <v>28100</v>
      </c>
      <c r="BD454" t="s">
        <v>142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28100</v>
      </c>
      <c r="BK454" t="s">
        <v>25</v>
      </c>
      <c r="BL454" t="s">
        <v>1064</v>
      </c>
      <c r="BM454">
        <v>3</v>
      </c>
      <c r="BN454">
        <v>175091</v>
      </c>
      <c r="BO454">
        <v>0.04</v>
      </c>
      <c r="BP454">
        <v>7100</v>
      </c>
      <c r="BQ454">
        <v>0</v>
      </c>
      <c r="BR454" t="s">
        <v>1438</v>
      </c>
      <c r="BS454">
        <v>0</v>
      </c>
      <c r="BT454" t="s">
        <v>1438</v>
      </c>
      <c r="BU454">
        <v>0</v>
      </c>
      <c r="BV454" t="s">
        <v>25</v>
      </c>
      <c r="BW454" t="s">
        <v>189</v>
      </c>
      <c r="BX454">
        <v>3</v>
      </c>
      <c r="BY454">
        <v>175091</v>
      </c>
      <c r="BZ454">
        <v>0</v>
      </c>
      <c r="CA454" t="s">
        <v>1439</v>
      </c>
      <c r="CB454" t="s">
        <v>227</v>
      </c>
      <c r="CC454" t="s">
        <v>1440</v>
      </c>
      <c r="CD454">
        <v>0</v>
      </c>
      <c r="CE454">
        <v>3</v>
      </c>
      <c r="CF454" t="s">
        <v>635</v>
      </c>
      <c r="CG454">
        <v>175091</v>
      </c>
      <c r="CH454">
        <v>0.04</v>
      </c>
      <c r="CI454">
        <v>7100</v>
      </c>
      <c r="CJ454">
        <v>175091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 t="s">
        <v>88</v>
      </c>
      <c r="CT454" t="s">
        <v>1441</v>
      </c>
      <c r="CU454" t="s">
        <v>1442</v>
      </c>
    </row>
    <row r="455" spans="1:99">
      <c r="A455" t="s">
        <v>1431</v>
      </c>
      <c r="B455" t="s">
        <v>397</v>
      </c>
      <c r="C455" t="s">
        <v>2627</v>
      </c>
      <c r="D455" t="s">
        <v>2628</v>
      </c>
      <c r="E455" t="s">
        <v>404</v>
      </c>
      <c r="F455" t="s">
        <v>2629</v>
      </c>
      <c r="G455" t="s">
        <v>2630</v>
      </c>
      <c r="H455" t="s">
        <v>2066</v>
      </c>
      <c r="I455" t="s">
        <v>240</v>
      </c>
      <c r="J455" t="s">
        <v>46</v>
      </c>
      <c r="K455" t="s">
        <v>29</v>
      </c>
      <c r="L455" t="s">
        <v>30</v>
      </c>
      <c r="M455">
        <v>195</v>
      </c>
      <c r="N455" t="s">
        <v>32</v>
      </c>
      <c r="O455" t="s">
        <v>32</v>
      </c>
      <c r="Q455" t="s">
        <v>32</v>
      </c>
      <c r="S455" t="s">
        <v>40</v>
      </c>
      <c r="T455">
        <v>46081</v>
      </c>
      <c r="U455" t="s">
        <v>32</v>
      </c>
      <c r="V455" t="s">
        <v>32</v>
      </c>
      <c r="W455" t="s">
        <v>32</v>
      </c>
      <c r="X455" t="s">
        <v>32</v>
      </c>
      <c r="Y455" t="s">
        <v>32</v>
      </c>
      <c r="AA455" t="s">
        <v>88</v>
      </c>
      <c r="AB455" t="s">
        <v>32</v>
      </c>
      <c r="AE455" t="s">
        <v>32</v>
      </c>
      <c r="AH455" t="s">
        <v>32</v>
      </c>
      <c r="AK455" t="s">
        <v>32</v>
      </c>
      <c r="AN455" t="s">
        <v>32</v>
      </c>
      <c r="AO455" t="s">
        <v>32</v>
      </c>
      <c r="AR455">
        <v>0</v>
      </c>
      <c r="AU455" t="s">
        <v>32</v>
      </c>
      <c r="AV455">
        <v>1750905</v>
      </c>
      <c r="AW455" t="s">
        <v>32</v>
      </c>
      <c r="AX455" t="s">
        <v>32</v>
      </c>
      <c r="AY455" t="s">
        <v>356</v>
      </c>
      <c r="AZ455">
        <v>26</v>
      </c>
      <c r="BA455">
        <v>2515069</v>
      </c>
      <c r="BB455">
        <v>0.16</v>
      </c>
      <c r="BC455">
        <v>402500</v>
      </c>
      <c r="BD455" t="s">
        <v>142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402500</v>
      </c>
      <c r="BK455" t="s">
        <v>25</v>
      </c>
      <c r="BL455" t="s">
        <v>1064</v>
      </c>
      <c r="BM455">
        <v>26</v>
      </c>
      <c r="BN455">
        <v>2515069</v>
      </c>
      <c r="BO455">
        <v>0.04</v>
      </c>
      <c r="BP455">
        <v>100700</v>
      </c>
      <c r="BQ455">
        <v>0</v>
      </c>
      <c r="BR455" t="s">
        <v>1438</v>
      </c>
      <c r="BS455">
        <v>0</v>
      </c>
      <c r="BT455" t="s">
        <v>1438</v>
      </c>
      <c r="BU455">
        <v>0</v>
      </c>
      <c r="BV455" t="s">
        <v>25</v>
      </c>
      <c r="BW455" t="s">
        <v>189</v>
      </c>
      <c r="BX455">
        <v>26</v>
      </c>
      <c r="BY455">
        <v>2515069</v>
      </c>
      <c r="BZ455">
        <v>6.9599999999999995E-2</v>
      </c>
      <c r="CA455" t="s">
        <v>1439</v>
      </c>
      <c r="CB455" t="s">
        <v>227</v>
      </c>
      <c r="CC455" t="s">
        <v>1440</v>
      </c>
      <c r="CD455">
        <v>175100</v>
      </c>
      <c r="CE455">
        <v>26</v>
      </c>
      <c r="CF455" t="s">
        <v>635</v>
      </c>
      <c r="CG455">
        <v>3235087</v>
      </c>
      <c r="CH455">
        <v>0.04</v>
      </c>
      <c r="CI455">
        <v>129500</v>
      </c>
      <c r="CJ455">
        <v>3235087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 t="s">
        <v>88</v>
      </c>
      <c r="CT455" t="s">
        <v>1441</v>
      </c>
      <c r="CU455" t="s">
        <v>1442</v>
      </c>
    </row>
    <row r="456" spans="1:99">
      <c r="A456" t="s">
        <v>1431</v>
      </c>
      <c r="B456" t="s">
        <v>397</v>
      </c>
      <c r="C456" t="s">
        <v>2631</v>
      </c>
      <c r="D456" t="s">
        <v>2632</v>
      </c>
      <c r="E456" t="s">
        <v>2633</v>
      </c>
      <c r="F456" t="s">
        <v>2634</v>
      </c>
      <c r="G456" t="s">
        <v>2635</v>
      </c>
      <c r="H456" t="s">
        <v>1503</v>
      </c>
      <c r="I456" t="s">
        <v>240</v>
      </c>
      <c r="J456" t="s">
        <v>46</v>
      </c>
      <c r="K456" t="s">
        <v>29</v>
      </c>
      <c r="L456" t="s">
        <v>30</v>
      </c>
      <c r="M456">
        <v>0</v>
      </c>
      <c r="N456" t="s">
        <v>32</v>
      </c>
      <c r="O456" t="s">
        <v>32</v>
      </c>
      <c r="Q456" t="s">
        <v>32</v>
      </c>
      <c r="S456" t="s">
        <v>32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AA456" t="s">
        <v>32</v>
      </c>
      <c r="AB456" t="s">
        <v>37</v>
      </c>
      <c r="AC456">
        <v>46069</v>
      </c>
      <c r="AD456">
        <v>46069</v>
      </c>
      <c r="AE456" t="s">
        <v>32</v>
      </c>
      <c r="AH456" t="s">
        <v>32</v>
      </c>
      <c r="AK456" t="s">
        <v>32</v>
      </c>
      <c r="AN456" t="s">
        <v>32</v>
      </c>
      <c r="AO456" t="s">
        <v>32</v>
      </c>
      <c r="AR456">
        <v>0</v>
      </c>
      <c r="AU456" t="s">
        <v>32</v>
      </c>
      <c r="AV456">
        <v>2074908</v>
      </c>
      <c r="AW456" t="s">
        <v>32</v>
      </c>
      <c r="AX456" t="s">
        <v>32</v>
      </c>
      <c r="AY456" t="s">
        <v>317</v>
      </c>
      <c r="AZ456">
        <v>1</v>
      </c>
      <c r="BA456">
        <v>69164</v>
      </c>
      <c r="BB456">
        <v>0.16</v>
      </c>
      <c r="BC456">
        <v>11100</v>
      </c>
      <c r="BD456" t="s">
        <v>142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11100</v>
      </c>
      <c r="BK456" t="s">
        <v>25</v>
      </c>
      <c r="BL456" t="s">
        <v>1064</v>
      </c>
      <c r="BM456">
        <v>1</v>
      </c>
      <c r="BN456">
        <v>69164</v>
      </c>
      <c r="BO456">
        <v>0</v>
      </c>
      <c r="BP456">
        <v>0</v>
      </c>
      <c r="BQ456">
        <v>0</v>
      </c>
      <c r="BR456" t="s">
        <v>1438</v>
      </c>
      <c r="BS456">
        <v>0</v>
      </c>
      <c r="BT456" t="s">
        <v>1438</v>
      </c>
      <c r="BU456">
        <v>0</v>
      </c>
      <c r="BV456" t="s">
        <v>25</v>
      </c>
      <c r="BW456" t="s">
        <v>189</v>
      </c>
      <c r="BX456">
        <v>1</v>
      </c>
      <c r="BY456">
        <v>69164</v>
      </c>
      <c r="BZ456">
        <v>0</v>
      </c>
      <c r="CA456" t="s">
        <v>1439</v>
      </c>
      <c r="CB456" t="s">
        <v>227</v>
      </c>
      <c r="CC456" t="s">
        <v>1440</v>
      </c>
      <c r="CD456">
        <v>0</v>
      </c>
      <c r="CE456">
        <v>1</v>
      </c>
      <c r="CF456" t="s">
        <v>635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 t="s">
        <v>88</v>
      </c>
      <c r="CT456" t="s">
        <v>1441</v>
      </c>
      <c r="CU456" t="s">
        <v>1442</v>
      </c>
    </row>
    <row r="457" spans="1:99">
      <c r="A457" t="s">
        <v>1431</v>
      </c>
      <c r="B457" t="s">
        <v>397</v>
      </c>
      <c r="C457" t="s">
        <v>2631</v>
      </c>
      <c r="D457" t="s">
        <v>2632</v>
      </c>
      <c r="E457" t="s">
        <v>2633</v>
      </c>
      <c r="F457" t="s">
        <v>2634</v>
      </c>
      <c r="G457" t="s">
        <v>2635</v>
      </c>
      <c r="H457" t="s">
        <v>1503</v>
      </c>
      <c r="I457" t="s">
        <v>240</v>
      </c>
      <c r="J457" t="s">
        <v>46</v>
      </c>
      <c r="K457" t="s">
        <v>29</v>
      </c>
      <c r="L457" t="s">
        <v>30</v>
      </c>
      <c r="M457">
        <v>0</v>
      </c>
      <c r="N457" t="s">
        <v>32</v>
      </c>
      <c r="O457" t="s">
        <v>32</v>
      </c>
      <c r="Q457" t="s">
        <v>32</v>
      </c>
      <c r="S457" t="s">
        <v>32</v>
      </c>
      <c r="U457" t="s">
        <v>32</v>
      </c>
      <c r="V457" t="s">
        <v>32</v>
      </c>
      <c r="W457" t="s">
        <v>32</v>
      </c>
      <c r="X457" t="s">
        <v>32</v>
      </c>
      <c r="Y457" t="s">
        <v>32</v>
      </c>
      <c r="AA457" t="s">
        <v>32</v>
      </c>
      <c r="AB457" t="s">
        <v>37</v>
      </c>
      <c r="AC457">
        <v>46079</v>
      </c>
      <c r="AD457">
        <v>46081</v>
      </c>
      <c r="AE457" t="s">
        <v>32</v>
      </c>
      <c r="AH457" t="s">
        <v>32</v>
      </c>
      <c r="AK457" t="s">
        <v>32</v>
      </c>
      <c r="AN457" t="s">
        <v>32</v>
      </c>
      <c r="AO457" t="s">
        <v>32</v>
      </c>
      <c r="AR457">
        <v>0</v>
      </c>
      <c r="AU457" t="s">
        <v>32</v>
      </c>
      <c r="AV457">
        <v>2074908</v>
      </c>
      <c r="AW457" t="s">
        <v>32</v>
      </c>
      <c r="AX457" t="s">
        <v>32</v>
      </c>
      <c r="AY457" t="s">
        <v>317</v>
      </c>
      <c r="AZ457">
        <v>3</v>
      </c>
      <c r="BA457">
        <v>207491</v>
      </c>
      <c r="BB457">
        <v>0.16</v>
      </c>
      <c r="BC457">
        <v>33200</v>
      </c>
      <c r="BD457" t="s">
        <v>142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33200</v>
      </c>
      <c r="BK457" t="s">
        <v>25</v>
      </c>
      <c r="BL457" t="s">
        <v>1064</v>
      </c>
      <c r="BM457">
        <v>3</v>
      </c>
      <c r="BN457">
        <v>207491</v>
      </c>
      <c r="BO457">
        <v>0</v>
      </c>
      <c r="BP457">
        <v>0</v>
      </c>
      <c r="BQ457">
        <v>0</v>
      </c>
      <c r="BR457" t="s">
        <v>1438</v>
      </c>
      <c r="BS457">
        <v>0</v>
      </c>
      <c r="BT457" t="s">
        <v>1438</v>
      </c>
      <c r="BU457">
        <v>0</v>
      </c>
      <c r="BV457" t="s">
        <v>25</v>
      </c>
      <c r="BW457" t="s">
        <v>189</v>
      </c>
      <c r="BX457">
        <v>3</v>
      </c>
      <c r="BY457">
        <v>207491</v>
      </c>
      <c r="BZ457">
        <v>0</v>
      </c>
      <c r="CA457" t="s">
        <v>1439</v>
      </c>
      <c r="CB457" t="s">
        <v>227</v>
      </c>
      <c r="CC457" t="s">
        <v>1440</v>
      </c>
      <c r="CD457">
        <v>0</v>
      </c>
      <c r="CE457">
        <v>3</v>
      </c>
      <c r="CF457" t="s">
        <v>635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 t="s">
        <v>88</v>
      </c>
      <c r="CT457" t="s">
        <v>1441</v>
      </c>
      <c r="CU457" t="s">
        <v>1442</v>
      </c>
    </row>
    <row r="458" spans="1:99">
      <c r="A458" t="s">
        <v>1431</v>
      </c>
      <c r="B458" t="s">
        <v>397</v>
      </c>
      <c r="C458" t="s">
        <v>2631</v>
      </c>
      <c r="D458" t="s">
        <v>2632</v>
      </c>
      <c r="E458" t="s">
        <v>2633</v>
      </c>
      <c r="F458" t="s">
        <v>2634</v>
      </c>
      <c r="G458" t="s">
        <v>2635</v>
      </c>
      <c r="H458" t="s">
        <v>1503</v>
      </c>
      <c r="I458" t="s">
        <v>240</v>
      </c>
      <c r="J458" t="s">
        <v>46</v>
      </c>
      <c r="K458" t="s">
        <v>29</v>
      </c>
      <c r="L458" t="s">
        <v>30</v>
      </c>
      <c r="M458">
        <v>195</v>
      </c>
      <c r="N458" t="s">
        <v>32</v>
      </c>
      <c r="O458" t="s">
        <v>32</v>
      </c>
      <c r="Q458" t="s">
        <v>32</v>
      </c>
      <c r="S458" t="s">
        <v>40</v>
      </c>
      <c r="T458">
        <v>46081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AA458" t="s">
        <v>88</v>
      </c>
      <c r="AB458" t="s">
        <v>32</v>
      </c>
      <c r="AE458" t="s">
        <v>32</v>
      </c>
      <c r="AH458" t="s">
        <v>32</v>
      </c>
      <c r="AK458" t="s">
        <v>32</v>
      </c>
      <c r="AN458" t="s">
        <v>32</v>
      </c>
      <c r="AO458" t="s">
        <v>32</v>
      </c>
      <c r="AR458">
        <v>0</v>
      </c>
      <c r="AU458" t="s">
        <v>32</v>
      </c>
      <c r="AV458">
        <v>2074908</v>
      </c>
      <c r="AW458" t="s">
        <v>32</v>
      </c>
      <c r="AX458" t="s">
        <v>32</v>
      </c>
      <c r="AY458" t="s">
        <v>317</v>
      </c>
      <c r="AZ458">
        <v>26</v>
      </c>
      <c r="BA458">
        <v>2984106</v>
      </c>
      <c r="BB458">
        <v>0.16</v>
      </c>
      <c r="BC458">
        <v>477500</v>
      </c>
      <c r="BD458" t="s">
        <v>142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477500</v>
      </c>
      <c r="BK458" t="s">
        <v>25</v>
      </c>
      <c r="BL458" t="s">
        <v>1064</v>
      </c>
      <c r="BM458">
        <v>26</v>
      </c>
      <c r="BN458">
        <v>2984106</v>
      </c>
      <c r="BO458">
        <v>0.04</v>
      </c>
      <c r="BP458">
        <v>119400</v>
      </c>
      <c r="BQ458">
        <v>0</v>
      </c>
      <c r="BR458" t="s">
        <v>1438</v>
      </c>
      <c r="BS458">
        <v>0</v>
      </c>
      <c r="BT458" t="s">
        <v>1438</v>
      </c>
      <c r="BU458">
        <v>0</v>
      </c>
      <c r="BV458" t="s">
        <v>25</v>
      </c>
      <c r="BW458" t="s">
        <v>189</v>
      </c>
      <c r="BX458">
        <v>26</v>
      </c>
      <c r="BY458">
        <v>2984106</v>
      </c>
      <c r="BZ458">
        <v>6.9599999999999995E-2</v>
      </c>
      <c r="CA458" t="s">
        <v>1439</v>
      </c>
      <c r="CB458" t="s">
        <v>227</v>
      </c>
      <c r="CC458" t="s">
        <v>1440</v>
      </c>
      <c r="CD458">
        <v>207700</v>
      </c>
      <c r="CE458">
        <v>26</v>
      </c>
      <c r="CF458" t="s">
        <v>635</v>
      </c>
      <c r="CG458">
        <v>3706002</v>
      </c>
      <c r="CH458">
        <v>0.04</v>
      </c>
      <c r="CI458">
        <v>148300</v>
      </c>
      <c r="CJ458">
        <v>3706002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 t="s">
        <v>88</v>
      </c>
      <c r="CT458" t="s">
        <v>1441</v>
      </c>
      <c r="CU458" t="s">
        <v>1442</v>
      </c>
    </row>
    <row r="459" spans="1:99">
      <c r="A459" t="s">
        <v>1431</v>
      </c>
      <c r="B459" t="s">
        <v>34</v>
      </c>
      <c r="C459" t="s">
        <v>2636</v>
      </c>
      <c r="D459" t="s">
        <v>2637</v>
      </c>
      <c r="E459" t="s">
        <v>1517</v>
      </c>
      <c r="F459" t="s">
        <v>2638</v>
      </c>
      <c r="G459" t="s">
        <v>1451</v>
      </c>
      <c r="H459" t="s">
        <v>1558</v>
      </c>
      <c r="I459" t="s">
        <v>240</v>
      </c>
      <c r="J459" t="s">
        <v>46</v>
      </c>
      <c r="K459" t="s">
        <v>29</v>
      </c>
      <c r="L459" t="s">
        <v>30</v>
      </c>
      <c r="M459">
        <v>0</v>
      </c>
      <c r="N459" t="s">
        <v>32</v>
      </c>
      <c r="O459" t="s">
        <v>32</v>
      </c>
      <c r="Q459" t="s">
        <v>32</v>
      </c>
      <c r="S459" t="s">
        <v>32</v>
      </c>
      <c r="U459" t="s">
        <v>32</v>
      </c>
      <c r="V459" t="s">
        <v>32</v>
      </c>
      <c r="W459" t="s">
        <v>32</v>
      </c>
      <c r="X459" t="s">
        <v>32</v>
      </c>
      <c r="Y459" t="s">
        <v>32</v>
      </c>
      <c r="AA459" t="s">
        <v>32</v>
      </c>
      <c r="AB459" t="s">
        <v>32</v>
      </c>
      <c r="AE459" t="s">
        <v>1492</v>
      </c>
      <c r="AF459">
        <v>46054</v>
      </c>
      <c r="AG459">
        <v>46055</v>
      </c>
      <c r="AH459" t="s">
        <v>32</v>
      </c>
      <c r="AK459" t="s">
        <v>32</v>
      </c>
      <c r="AN459" t="s">
        <v>32</v>
      </c>
      <c r="AO459" t="s">
        <v>32</v>
      </c>
      <c r="AR459">
        <v>0</v>
      </c>
      <c r="AU459" t="s">
        <v>32</v>
      </c>
      <c r="AV459">
        <v>1785595</v>
      </c>
      <c r="AW459" t="s">
        <v>32</v>
      </c>
      <c r="AX459" t="s">
        <v>32</v>
      </c>
      <c r="AY459" t="s">
        <v>317</v>
      </c>
      <c r="AZ459">
        <v>2</v>
      </c>
      <c r="BA459">
        <v>175970</v>
      </c>
      <c r="BB459">
        <v>0.16</v>
      </c>
      <c r="BC459">
        <v>28200</v>
      </c>
      <c r="BD459" t="s">
        <v>142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28200</v>
      </c>
      <c r="BK459" t="s">
        <v>25</v>
      </c>
      <c r="BL459" t="s">
        <v>1010</v>
      </c>
      <c r="BM459">
        <v>2</v>
      </c>
      <c r="BN459">
        <v>175970</v>
      </c>
      <c r="BO459">
        <v>0.04</v>
      </c>
      <c r="BP459">
        <v>7100</v>
      </c>
      <c r="BQ459">
        <v>0</v>
      </c>
      <c r="BR459" t="s">
        <v>1438</v>
      </c>
      <c r="BS459">
        <v>0</v>
      </c>
      <c r="BT459" t="s">
        <v>1438</v>
      </c>
      <c r="BU459">
        <v>0</v>
      </c>
      <c r="BV459" t="s">
        <v>25</v>
      </c>
      <c r="BW459" t="s">
        <v>189</v>
      </c>
      <c r="BX459">
        <v>2</v>
      </c>
      <c r="BY459">
        <v>175970</v>
      </c>
      <c r="BZ459">
        <v>0</v>
      </c>
      <c r="CA459" t="s">
        <v>1439</v>
      </c>
      <c r="CB459" t="s">
        <v>227</v>
      </c>
      <c r="CC459" t="s">
        <v>1440</v>
      </c>
      <c r="CD459">
        <v>0</v>
      </c>
      <c r="CE459">
        <v>2</v>
      </c>
      <c r="CF459" t="s">
        <v>635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 t="s">
        <v>88</v>
      </c>
      <c r="CT459" t="s">
        <v>1441</v>
      </c>
      <c r="CU459" t="s">
        <v>1442</v>
      </c>
    </row>
    <row r="460" spans="1:99">
      <c r="A460" t="s">
        <v>1431</v>
      </c>
      <c r="B460" t="s">
        <v>34</v>
      </c>
      <c r="C460" t="s">
        <v>2636</v>
      </c>
      <c r="D460" t="s">
        <v>2637</v>
      </c>
      <c r="E460" t="s">
        <v>1517</v>
      </c>
      <c r="F460" t="s">
        <v>2638</v>
      </c>
      <c r="G460" t="s">
        <v>1451</v>
      </c>
      <c r="H460" t="s">
        <v>1558</v>
      </c>
      <c r="I460" t="s">
        <v>240</v>
      </c>
      <c r="J460" t="s">
        <v>46</v>
      </c>
      <c r="K460" t="s">
        <v>29</v>
      </c>
      <c r="L460" t="s">
        <v>30</v>
      </c>
      <c r="M460">
        <v>0</v>
      </c>
      <c r="N460" t="s">
        <v>32</v>
      </c>
      <c r="O460" t="s">
        <v>32</v>
      </c>
      <c r="Q460" t="s">
        <v>32</v>
      </c>
      <c r="S460" t="s">
        <v>32</v>
      </c>
      <c r="U460" t="s">
        <v>32</v>
      </c>
      <c r="V460" t="s">
        <v>32</v>
      </c>
      <c r="W460" t="s">
        <v>32</v>
      </c>
      <c r="X460" t="s">
        <v>32</v>
      </c>
      <c r="Y460" t="s">
        <v>32</v>
      </c>
      <c r="AA460" t="s">
        <v>32</v>
      </c>
      <c r="AB460" t="s">
        <v>37</v>
      </c>
      <c r="AC460">
        <v>46069</v>
      </c>
      <c r="AD460">
        <v>46069</v>
      </c>
      <c r="AE460" t="s">
        <v>32</v>
      </c>
      <c r="AH460" t="s">
        <v>32</v>
      </c>
      <c r="AK460" t="s">
        <v>32</v>
      </c>
      <c r="AN460" t="s">
        <v>32</v>
      </c>
      <c r="AO460" t="s">
        <v>32</v>
      </c>
      <c r="AR460">
        <v>0</v>
      </c>
      <c r="AU460" t="s">
        <v>32</v>
      </c>
      <c r="AV460">
        <v>1785595</v>
      </c>
      <c r="AW460" t="s">
        <v>32</v>
      </c>
      <c r="AX460" t="s">
        <v>32</v>
      </c>
      <c r="AY460" t="s">
        <v>317</v>
      </c>
      <c r="AZ460">
        <v>1</v>
      </c>
      <c r="BA460">
        <v>59520</v>
      </c>
      <c r="BB460">
        <v>0.16</v>
      </c>
      <c r="BC460">
        <v>9600</v>
      </c>
      <c r="BD460" t="s">
        <v>142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9600</v>
      </c>
      <c r="BK460" t="s">
        <v>25</v>
      </c>
      <c r="BL460" t="s">
        <v>1010</v>
      </c>
      <c r="BM460">
        <v>1</v>
      </c>
      <c r="BN460">
        <v>59520</v>
      </c>
      <c r="BO460">
        <v>0</v>
      </c>
      <c r="BP460">
        <v>0</v>
      </c>
      <c r="BQ460">
        <v>0</v>
      </c>
      <c r="BR460" t="s">
        <v>1438</v>
      </c>
      <c r="BS460">
        <v>0</v>
      </c>
      <c r="BT460" t="s">
        <v>1438</v>
      </c>
      <c r="BU460">
        <v>0</v>
      </c>
      <c r="BV460" t="s">
        <v>25</v>
      </c>
      <c r="BW460" t="s">
        <v>189</v>
      </c>
      <c r="BX460">
        <v>1</v>
      </c>
      <c r="BY460">
        <v>59520</v>
      </c>
      <c r="BZ460">
        <v>0</v>
      </c>
      <c r="CA460" t="s">
        <v>1439</v>
      </c>
      <c r="CB460" t="s">
        <v>227</v>
      </c>
      <c r="CC460" t="s">
        <v>1440</v>
      </c>
      <c r="CD460">
        <v>0</v>
      </c>
      <c r="CE460">
        <v>1</v>
      </c>
      <c r="CF460" t="s">
        <v>635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 t="s">
        <v>88</v>
      </c>
      <c r="CT460" t="s">
        <v>1441</v>
      </c>
      <c r="CU460" t="s">
        <v>1442</v>
      </c>
    </row>
    <row r="461" spans="1:99">
      <c r="A461" t="s">
        <v>1431</v>
      </c>
      <c r="B461" t="s">
        <v>34</v>
      </c>
      <c r="C461" t="s">
        <v>2636</v>
      </c>
      <c r="D461" t="s">
        <v>2637</v>
      </c>
      <c r="E461" t="s">
        <v>1517</v>
      </c>
      <c r="F461" t="s">
        <v>2638</v>
      </c>
      <c r="G461" t="s">
        <v>1451</v>
      </c>
      <c r="H461" t="s">
        <v>1558</v>
      </c>
      <c r="I461" t="s">
        <v>240</v>
      </c>
      <c r="J461" t="s">
        <v>46</v>
      </c>
      <c r="K461" t="s">
        <v>29</v>
      </c>
      <c r="L461" t="s">
        <v>30</v>
      </c>
      <c r="M461">
        <v>195</v>
      </c>
      <c r="N461" t="s">
        <v>32</v>
      </c>
      <c r="O461" t="s">
        <v>32</v>
      </c>
      <c r="Q461" t="s">
        <v>32</v>
      </c>
      <c r="S461" t="s">
        <v>32</v>
      </c>
      <c r="U461" t="s">
        <v>32</v>
      </c>
      <c r="V461" t="s">
        <v>32</v>
      </c>
      <c r="W461" t="s">
        <v>32</v>
      </c>
      <c r="X461" t="s">
        <v>32</v>
      </c>
      <c r="Y461" t="s">
        <v>32</v>
      </c>
      <c r="AA461" t="s">
        <v>88</v>
      </c>
      <c r="AB461" t="s">
        <v>32</v>
      </c>
      <c r="AE461" t="s">
        <v>32</v>
      </c>
      <c r="AH461" t="s">
        <v>32</v>
      </c>
      <c r="AK461" t="s">
        <v>32</v>
      </c>
      <c r="AN461" t="s">
        <v>32</v>
      </c>
      <c r="AO461" t="s">
        <v>32</v>
      </c>
      <c r="AR461">
        <v>0</v>
      </c>
      <c r="AU461" t="s">
        <v>32</v>
      </c>
      <c r="AV461">
        <v>1785595</v>
      </c>
      <c r="AW461" t="s">
        <v>32</v>
      </c>
      <c r="AX461" t="s">
        <v>32</v>
      </c>
      <c r="AY461" t="s">
        <v>317</v>
      </c>
      <c r="AZ461">
        <v>27</v>
      </c>
      <c r="BA461">
        <v>2192252</v>
      </c>
      <c r="BB461">
        <v>0.16</v>
      </c>
      <c r="BC461">
        <v>350800</v>
      </c>
      <c r="BD461" t="s">
        <v>142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350800</v>
      </c>
      <c r="BK461" t="s">
        <v>25</v>
      </c>
      <c r="BL461" t="s">
        <v>1010</v>
      </c>
      <c r="BM461">
        <v>27</v>
      </c>
      <c r="BN461">
        <v>2192252</v>
      </c>
      <c r="BO461">
        <v>0.04</v>
      </c>
      <c r="BP461">
        <v>87700</v>
      </c>
      <c r="BQ461">
        <v>0</v>
      </c>
      <c r="BR461" t="s">
        <v>1438</v>
      </c>
      <c r="BS461">
        <v>0</v>
      </c>
      <c r="BT461" t="s">
        <v>1438</v>
      </c>
      <c r="BU461">
        <v>0</v>
      </c>
      <c r="BV461" t="s">
        <v>25</v>
      </c>
      <c r="BW461" t="s">
        <v>189</v>
      </c>
      <c r="BX461">
        <v>27</v>
      </c>
      <c r="BY461">
        <v>2192252</v>
      </c>
      <c r="BZ461">
        <v>6.9599999999999995E-2</v>
      </c>
      <c r="CA461" t="s">
        <v>1439</v>
      </c>
      <c r="CB461" t="s">
        <v>227</v>
      </c>
      <c r="CC461" t="s">
        <v>1440</v>
      </c>
      <c r="CD461">
        <v>152600</v>
      </c>
      <c r="CE461">
        <v>27</v>
      </c>
      <c r="CF461" t="s">
        <v>635</v>
      </c>
      <c r="CG461">
        <v>2192252</v>
      </c>
      <c r="CH461">
        <v>0.04</v>
      </c>
      <c r="CI461">
        <v>87700</v>
      </c>
      <c r="CJ461">
        <v>2192252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 t="s">
        <v>88</v>
      </c>
      <c r="CT461" t="s">
        <v>1441</v>
      </c>
      <c r="CU461" t="s">
        <v>1442</v>
      </c>
    </row>
    <row r="462" spans="1:99">
      <c r="A462" t="s">
        <v>1431</v>
      </c>
      <c r="B462" t="s">
        <v>34</v>
      </c>
      <c r="C462" t="s">
        <v>2639</v>
      </c>
      <c r="D462" t="s">
        <v>2640</v>
      </c>
      <c r="E462" t="s">
        <v>2641</v>
      </c>
      <c r="F462" t="s">
        <v>2642</v>
      </c>
      <c r="G462" t="s">
        <v>2511</v>
      </c>
      <c r="H462" t="s">
        <v>1558</v>
      </c>
      <c r="I462" t="s">
        <v>240</v>
      </c>
      <c r="J462" t="s">
        <v>46</v>
      </c>
      <c r="K462" t="s">
        <v>29</v>
      </c>
      <c r="L462" t="s">
        <v>30</v>
      </c>
      <c r="M462">
        <v>45</v>
      </c>
      <c r="N462" t="s">
        <v>32</v>
      </c>
      <c r="O462" t="s">
        <v>32</v>
      </c>
      <c r="Q462" t="s">
        <v>40</v>
      </c>
      <c r="R462">
        <v>46074</v>
      </c>
      <c r="S462" t="s">
        <v>32</v>
      </c>
      <c r="U462" t="s">
        <v>32</v>
      </c>
      <c r="V462" t="s">
        <v>32</v>
      </c>
      <c r="W462" t="s">
        <v>32</v>
      </c>
      <c r="X462" t="s">
        <v>32</v>
      </c>
      <c r="Y462" t="s">
        <v>32</v>
      </c>
      <c r="AA462" t="s">
        <v>32</v>
      </c>
      <c r="AB462" t="s">
        <v>32</v>
      </c>
      <c r="AE462" t="s">
        <v>32</v>
      </c>
      <c r="AH462" t="s">
        <v>32</v>
      </c>
      <c r="AK462" t="s">
        <v>32</v>
      </c>
      <c r="AN462" t="s">
        <v>32</v>
      </c>
      <c r="AO462" t="s">
        <v>32</v>
      </c>
      <c r="AR462">
        <v>0</v>
      </c>
      <c r="AU462" t="s">
        <v>32</v>
      </c>
      <c r="AV462">
        <v>2113182</v>
      </c>
      <c r="AW462" t="s">
        <v>32</v>
      </c>
      <c r="AX462" t="s">
        <v>32</v>
      </c>
      <c r="AY462" t="s">
        <v>356</v>
      </c>
      <c r="AZ462">
        <v>10</v>
      </c>
      <c r="BA462">
        <v>704394</v>
      </c>
      <c r="BB462">
        <v>0.16</v>
      </c>
      <c r="BC462">
        <v>112800</v>
      </c>
      <c r="BD462" t="s">
        <v>142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112800</v>
      </c>
      <c r="BK462" t="s">
        <v>25</v>
      </c>
      <c r="BL462" t="s">
        <v>1064</v>
      </c>
      <c r="BM462">
        <v>10</v>
      </c>
      <c r="BN462">
        <v>704394</v>
      </c>
      <c r="BO462">
        <v>0.04</v>
      </c>
      <c r="BP462">
        <v>28200</v>
      </c>
      <c r="BQ462">
        <v>0</v>
      </c>
      <c r="BR462" t="s">
        <v>1438</v>
      </c>
      <c r="BS462">
        <v>0</v>
      </c>
      <c r="BT462" t="s">
        <v>1438</v>
      </c>
      <c r="BU462">
        <v>0</v>
      </c>
      <c r="BV462" t="s">
        <v>25</v>
      </c>
      <c r="BW462" t="s">
        <v>189</v>
      </c>
      <c r="BX462">
        <v>10</v>
      </c>
      <c r="BY462">
        <v>704394</v>
      </c>
      <c r="BZ462">
        <v>6.9599999999999995E-2</v>
      </c>
      <c r="CA462" t="s">
        <v>1439</v>
      </c>
      <c r="CB462" t="s">
        <v>227</v>
      </c>
      <c r="CC462" t="s">
        <v>1440</v>
      </c>
      <c r="CD462">
        <v>49100</v>
      </c>
      <c r="CE462">
        <v>10</v>
      </c>
      <c r="CF462" t="s">
        <v>635</v>
      </c>
      <c r="CG462">
        <v>704394</v>
      </c>
      <c r="CH462">
        <v>0.04</v>
      </c>
      <c r="CI462">
        <v>28200</v>
      </c>
      <c r="CJ462">
        <v>704394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 t="s">
        <v>88</v>
      </c>
      <c r="CT462" t="s">
        <v>1441</v>
      </c>
      <c r="CU462" t="s">
        <v>1442</v>
      </c>
    </row>
    <row r="463" spans="1:99">
      <c r="A463" t="s">
        <v>1431</v>
      </c>
      <c r="B463" t="s">
        <v>34</v>
      </c>
      <c r="C463" t="s">
        <v>2643</v>
      </c>
      <c r="D463" t="s">
        <v>2644</v>
      </c>
      <c r="E463" t="s">
        <v>2645</v>
      </c>
      <c r="F463" t="s">
        <v>2646</v>
      </c>
      <c r="G463" t="s">
        <v>1532</v>
      </c>
      <c r="H463" t="s">
        <v>2251</v>
      </c>
      <c r="I463" t="s">
        <v>682</v>
      </c>
      <c r="J463" t="s">
        <v>484</v>
      </c>
      <c r="K463" t="s">
        <v>29</v>
      </c>
      <c r="L463" t="s">
        <v>30</v>
      </c>
      <c r="M463">
        <v>0</v>
      </c>
      <c r="N463" t="s">
        <v>32</v>
      </c>
      <c r="O463" t="s">
        <v>32</v>
      </c>
      <c r="Q463" t="s">
        <v>32</v>
      </c>
      <c r="S463" t="s">
        <v>32</v>
      </c>
      <c r="U463" t="s">
        <v>32</v>
      </c>
      <c r="V463" t="s">
        <v>32</v>
      </c>
      <c r="W463" t="s">
        <v>32</v>
      </c>
      <c r="X463" t="s">
        <v>32</v>
      </c>
      <c r="Y463" t="s">
        <v>32</v>
      </c>
      <c r="AA463" t="s">
        <v>32</v>
      </c>
      <c r="AB463" t="s">
        <v>32</v>
      </c>
      <c r="AE463" t="s">
        <v>32</v>
      </c>
      <c r="AH463" t="s">
        <v>32</v>
      </c>
      <c r="AK463" t="s">
        <v>128</v>
      </c>
      <c r="AL463">
        <v>46054</v>
      </c>
      <c r="AM463">
        <v>46060</v>
      </c>
      <c r="AN463" t="s">
        <v>32</v>
      </c>
      <c r="AO463" t="s">
        <v>32</v>
      </c>
      <c r="AR463">
        <v>0</v>
      </c>
      <c r="AU463" t="s">
        <v>32</v>
      </c>
      <c r="AV463">
        <v>3726196</v>
      </c>
      <c r="AW463" t="s">
        <v>32</v>
      </c>
      <c r="AX463" t="s">
        <v>32</v>
      </c>
      <c r="AY463" t="s">
        <v>185</v>
      </c>
      <c r="AZ463">
        <v>7</v>
      </c>
      <c r="BA463">
        <v>869446</v>
      </c>
      <c r="BB463">
        <v>0.16</v>
      </c>
      <c r="BC463">
        <v>139200</v>
      </c>
      <c r="BD463" t="s">
        <v>142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139200</v>
      </c>
      <c r="BK463" t="s">
        <v>25</v>
      </c>
      <c r="BL463" t="s">
        <v>870</v>
      </c>
      <c r="BM463">
        <v>7</v>
      </c>
      <c r="BN463">
        <v>869446</v>
      </c>
      <c r="BO463">
        <v>0.04</v>
      </c>
      <c r="BP463">
        <v>34800</v>
      </c>
      <c r="BQ463">
        <v>0</v>
      </c>
      <c r="BR463" t="s">
        <v>1438</v>
      </c>
      <c r="BS463">
        <v>0</v>
      </c>
      <c r="BT463" t="s">
        <v>1438</v>
      </c>
      <c r="BU463">
        <v>0</v>
      </c>
      <c r="BV463" t="s">
        <v>25</v>
      </c>
      <c r="BW463" t="s">
        <v>189</v>
      </c>
      <c r="BX463">
        <v>7</v>
      </c>
      <c r="BY463">
        <v>869446</v>
      </c>
      <c r="BZ463">
        <v>0</v>
      </c>
      <c r="CA463" t="s">
        <v>1439</v>
      </c>
      <c r="CB463" t="s">
        <v>312</v>
      </c>
      <c r="CC463" t="s">
        <v>1440</v>
      </c>
      <c r="CD463">
        <v>0</v>
      </c>
      <c r="CE463">
        <v>7</v>
      </c>
      <c r="CF463" t="s">
        <v>466</v>
      </c>
      <c r="CG463">
        <v>869446</v>
      </c>
      <c r="CH463">
        <v>0.04</v>
      </c>
      <c r="CI463">
        <v>34800</v>
      </c>
      <c r="CJ463">
        <v>869446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 t="s">
        <v>88</v>
      </c>
      <c r="CT463" t="s">
        <v>1441</v>
      </c>
      <c r="CU463" t="s">
        <v>1442</v>
      </c>
    </row>
    <row r="464" spans="1:99">
      <c r="A464" t="s">
        <v>1431</v>
      </c>
      <c r="B464" t="s">
        <v>34</v>
      </c>
      <c r="C464" t="s">
        <v>2643</v>
      </c>
      <c r="D464" t="s">
        <v>2644</v>
      </c>
      <c r="E464" t="s">
        <v>2645</v>
      </c>
      <c r="F464" t="s">
        <v>2646</v>
      </c>
      <c r="G464" t="s">
        <v>1532</v>
      </c>
      <c r="H464" t="s">
        <v>2251</v>
      </c>
      <c r="I464" t="s">
        <v>682</v>
      </c>
      <c r="J464" t="s">
        <v>484</v>
      </c>
      <c r="K464" t="s">
        <v>29</v>
      </c>
      <c r="L464" t="s">
        <v>30</v>
      </c>
      <c r="M464">
        <v>135</v>
      </c>
      <c r="N464" t="s">
        <v>32</v>
      </c>
      <c r="O464" t="s">
        <v>32</v>
      </c>
      <c r="Q464" t="s">
        <v>32</v>
      </c>
      <c r="S464" t="s">
        <v>32</v>
      </c>
      <c r="U464" t="s">
        <v>32</v>
      </c>
      <c r="V464" t="s">
        <v>32</v>
      </c>
      <c r="W464" t="s">
        <v>32</v>
      </c>
      <c r="X464" t="s">
        <v>32</v>
      </c>
      <c r="Y464" t="s">
        <v>88</v>
      </c>
      <c r="Z464">
        <v>46054</v>
      </c>
      <c r="AA464" t="s">
        <v>32</v>
      </c>
      <c r="AB464" t="s">
        <v>32</v>
      </c>
      <c r="AE464" t="s">
        <v>32</v>
      </c>
      <c r="AH464" t="s">
        <v>32</v>
      </c>
      <c r="AK464" t="s">
        <v>32</v>
      </c>
      <c r="AN464" t="s">
        <v>32</v>
      </c>
      <c r="AO464" t="s">
        <v>32</v>
      </c>
      <c r="AR464">
        <v>0</v>
      </c>
      <c r="AU464" t="s">
        <v>32</v>
      </c>
      <c r="AV464">
        <v>3726196</v>
      </c>
      <c r="AW464" t="s">
        <v>32</v>
      </c>
      <c r="AX464" t="s">
        <v>32</v>
      </c>
      <c r="AY464" t="s">
        <v>185</v>
      </c>
      <c r="AZ464">
        <v>23</v>
      </c>
      <c r="BA464">
        <v>2856751</v>
      </c>
      <c r="BB464">
        <v>0.16</v>
      </c>
      <c r="BC464">
        <v>457100</v>
      </c>
      <c r="BD464" t="s">
        <v>142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457100</v>
      </c>
      <c r="BK464" t="s">
        <v>25</v>
      </c>
      <c r="BL464" t="s">
        <v>870</v>
      </c>
      <c r="BM464">
        <v>23</v>
      </c>
      <c r="BN464">
        <v>2856751</v>
      </c>
      <c r="BO464">
        <v>0.04</v>
      </c>
      <c r="BP464">
        <v>114300</v>
      </c>
      <c r="BQ464">
        <v>0</v>
      </c>
      <c r="BR464" t="s">
        <v>1438</v>
      </c>
      <c r="BS464">
        <v>0</v>
      </c>
      <c r="BT464" t="s">
        <v>1438</v>
      </c>
      <c r="BU464">
        <v>0</v>
      </c>
      <c r="BV464" t="s">
        <v>25</v>
      </c>
      <c r="BW464" t="s">
        <v>189</v>
      </c>
      <c r="BX464">
        <v>23</v>
      </c>
      <c r="BY464">
        <v>2856751</v>
      </c>
      <c r="BZ464">
        <v>6.9599999999999995E-2</v>
      </c>
      <c r="CA464" t="s">
        <v>1439</v>
      </c>
      <c r="CB464" t="s">
        <v>312</v>
      </c>
      <c r="CC464" t="s">
        <v>1440</v>
      </c>
      <c r="CD464">
        <v>198900</v>
      </c>
      <c r="CE464">
        <v>23</v>
      </c>
      <c r="CF464" t="s">
        <v>466</v>
      </c>
      <c r="CG464">
        <v>2856751</v>
      </c>
      <c r="CH464">
        <v>0.04</v>
      </c>
      <c r="CI464">
        <v>114300</v>
      </c>
      <c r="CJ464">
        <v>2856751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 t="s">
        <v>88</v>
      </c>
      <c r="CT464" t="s">
        <v>1441</v>
      </c>
      <c r="CU464" t="s">
        <v>1442</v>
      </c>
    </row>
    <row r="465" spans="1:99">
      <c r="A465" t="s">
        <v>1431</v>
      </c>
      <c r="B465" t="s">
        <v>34</v>
      </c>
      <c r="C465" t="s">
        <v>2647</v>
      </c>
      <c r="D465" t="s">
        <v>2648</v>
      </c>
      <c r="E465" t="s">
        <v>1526</v>
      </c>
      <c r="F465" t="s">
        <v>1999</v>
      </c>
      <c r="G465" t="s">
        <v>1498</v>
      </c>
      <c r="H465" t="s">
        <v>1543</v>
      </c>
      <c r="I465" t="s">
        <v>240</v>
      </c>
      <c r="J465" t="s">
        <v>46</v>
      </c>
      <c r="K465" t="s">
        <v>29</v>
      </c>
      <c r="L465" t="s">
        <v>30</v>
      </c>
      <c r="M465">
        <v>225</v>
      </c>
      <c r="N465" t="s">
        <v>32</v>
      </c>
      <c r="O465" t="s">
        <v>32</v>
      </c>
      <c r="Q465" t="s">
        <v>32</v>
      </c>
      <c r="S465" t="s">
        <v>40</v>
      </c>
      <c r="T465">
        <v>46081</v>
      </c>
      <c r="U465" t="s">
        <v>32</v>
      </c>
      <c r="V465" t="s">
        <v>32</v>
      </c>
      <c r="W465" t="s">
        <v>32</v>
      </c>
      <c r="X465" t="s">
        <v>32</v>
      </c>
      <c r="Y465" t="s">
        <v>32</v>
      </c>
      <c r="AA465" t="s">
        <v>88</v>
      </c>
      <c r="AB465" t="s">
        <v>32</v>
      </c>
      <c r="AE465" t="s">
        <v>32</v>
      </c>
      <c r="AH465" t="s">
        <v>32</v>
      </c>
      <c r="AK465" t="s">
        <v>32</v>
      </c>
      <c r="AN465" t="s">
        <v>32</v>
      </c>
      <c r="AO465" t="s">
        <v>32</v>
      </c>
      <c r="AR465">
        <v>0</v>
      </c>
      <c r="AU465" t="s">
        <v>32</v>
      </c>
      <c r="AV465">
        <v>2074908</v>
      </c>
      <c r="AW465" t="s">
        <v>32</v>
      </c>
      <c r="AX465" t="s">
        <v>32</v>
      </c>
      <c r="AY465" t="s">
        <v>356</v>
      </c>
      <c r="AZ465">
        <v>30</v>
      </c>
      <c r="BA465">
        <v>3549799</v>
      </c>
      <c r="BB465">
        <v>0.16</v>
      </c>
      <c r="BC465">
        <v>568000</v>
      </c>
      <c r="BD465" t="s">
        <v>142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568000</v>
      </c>
      <c r="BK465" t="s">
        <v>25</v>
      </c>
      <c r="BL465" t="s">
        <v>1010</v>
      </c>
      <c r="BM465">
        <v>30</v>
      </c>
      <c r="BN465">
        <v>3549799</v>
      </c>
      <c r="BO465">
        <v>0.04</v>
      </c>
      <c r="BP465">
        <v>142000</v>
      </c>
      <c r="BQ465">
        <v>0</v>
      </c>
      <c r="BR465" t="s">
        <v>1438</v>
      </c>
      <c r="BS465">
        <v>0</v>
      </c>
      <c r="BT465" t="s">
        <v>1438</v>
      </c>
      <c r="BU465">
        <v>0</v>
      </c>
      <c r="BV465" t="s">
        <v>25</v>
      </c>
      <c r="BW465" t="s">
        <v>189</v>
      </c>
      <c r="BX465">
        <v>30</v>
      </c>
      <c r="BY465">
        <v>3549799</v>
      </c>
      <c r="BZ465">
        <v>6.9599999999999995E-2</v>
      </c>
      <c r="CA465" t="s">
        <v>1439</v>
      </c>
      <c r="CB465" t="s">
        <v>227</v>
      </c>
      <c r="CC465" t="s">
        <v>1440</v>
      </c>
      <c r="CD465">
        <v>247100</v>
      </c>
      <c r="CE465">
        <v>30</v>
      </c>
      <c r="CF465" t="s">
        <v>635</v>
      </c>
      <c r="CG465">
        <v>3565766</v>
      </c>
      <c r="CH465">
        <v>0.04</v>
      </c>
      <c r="CI465">
        <v>142700</v>
      </c>
      <c r="CJ465">
        <v>3565766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 t="s">
        <v>88</v>
      </c>
      <c r="CT465" t="s">
        <v>1441</v>
      </c>
      <c r="CU465" t="s">
        <v>1442</v>
      </c>
    </row>
    <row r="466" spans="1:99">
      <c r="A466" t="s">
        <v>1431</v>
      </c>
      <c r="B466" t="s">
        <v>34</v>
      </c>
      <c r="C466" t="s">
        <v>2649</v>
      </c>
      <c r="D466" t="s">
        <v>2650</v>
      </c>
      <c r="E466" t="s">
        <v>1920</v>
      </c>
      <c r="F466" t="s">
        <v>1657</v>
      </c>
      <c r="G466" t="s">
        <v>2651</v>
      </c>
      <c r="H466" t="s">
        <v>1734</v>
      </c>
      <c r="I466" t="s">
        <v>240</v>
      </c>
      <c r="J466" t="s">
        <v>46</v>
      </c>
      <c r="K466" t="s">
        <v>29</v>
      </c>
      <c r="L466" t="s">
        <v>30</v>
      </c>
      <c r="M466">
        <v>218</v>
      </c>
      <c r="N466" t="s">
        <v>32</v>
      </c>
      <c r="O466" t="s">
        <v>32</v>
      </c>
      <c r="Q466" t="s">
        <v>32</v>
      </c>
      <c r="S466" t="s">
        <v>32</v>
      </c>
      <c r="U466" t="s">
        <v>32</v>
      </c>
      <c r="V466" t="s">
        <v>32</v>
      </c>
      <c r="W466" t="s">
        <v>32</v>
      </c>
      <c r="X466" t="s">
        <v>32</v>
      </c>
      <c r="Y466" t="s">
        <v>32</v>
      </c>
      <c r="AA466" t="s">
        <v>88</v>
      </c>
      <c r="AB466" t="s">
        <v>32</v>
      </c>
      <c r="AE466" t="s">
        <v>32</v>
      </c>
      <c r="AH466" t="s">
        <v>32</v>
      </c>
      <c r="AK466" t="s">
        <v>32</v>
      </c>
      <c r="AN466" t="s">
        <v>32</v>
      </c>
      <c r="AO466" t="s">
        <v>32</v>
      </c>
      <c r="AR466">
        <v>0</v>
      </c>
      <c r="AU466" t="s">
        <v>32</v>
      </c>
      <c r="AV466">
        <v>2074908</v>
      </c>
      <c r="AW466" t="s">
        <v>32</v>
      </c>
      <c r="AX466" t="s">
        <v>32</v>
      </c>
      <c r="AY466" t="s">
        <v>317</v>
      </c>
      <c r="AZ466">
        <v>30</v>
      </c>
      <c r="BA466">
        <v>3195371</v>
      </c>
      <c r="BB466">
        <v>0.16</v>
      </c>
      <c r="BC466">
        <v>511300</v>
      </c>
      <c r="BD466" t="s">
        <v>142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511300</v>
      </c>
      <c r="BK466" t="s">
        <v>25</v>
      </c>
      <c r="BL466" t="s">
        <v>1010</v>
      </c>
      <c r="BM466">
        <v>30</v>
      </c>
      <c r="BN466">
        <v>3195371</v>
      </c>
      <c r="BO466">
        <v>0.04</v>
      </c>
      <c r="BP466">
        <v>127900</v>
      </c>
      <c r="BQ466">
        <v>0</v>
      </c>
      <c r="BR466" t="s">
        <v>1438</v>
      </c>
      <c r="BS466">
        <v>0</v>
      </c>
      <c r="BT466" t="s">
        <v>1438</v>
      </c>
      <c r="BU466">
        <v>0</v>
      </c>
      <c r="BV466" t="s">
        <v>25</v>
      </c>
      <c r="BW466" t="s">
        <v>189</v>
      </c>
      <c r="BX466">
        <v>30</v>
      </c>
      <c r="BY466">
        <v>3195371</v>
      </c>
      <c r="BZ466">
        <v>6.9599999999999995E-2</v>
      </c>
      <c r="CA466" t="s">
        <v>1439</v>
      </c>
      <c r="CB466" t="s">
        <v>227</v>
      </c>
      <c r="CC466" t="s">
        <v>1440</v>
      </c>
      <c r="CD466">
        <v>222400</v>
      </c>
      <c r="CE466">
        <v>30</v>
      </c>
      <c r="CF466" t="s">
        <v>635</v>
      </c>
      <c r="CG466">
        <v>2949702</v>
      </c>
      <c r="CH466">
        <v>0.04</v>
      </c>
      <c r="CI466">
        <v>118000</v>
      </c>
      <c r="CJ466">
        <v>2949702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 t="s">
        <v>88</v>
      </c>
      <c r="CT466" t="s">
        <v>1441</v>
      </c>
      <c r="CU466" t="s">
        <v>1442</v>
      </c>
    </row>
    <row r="467" spans="1:99">
      <c r="A467" t="s">
        <v>1431</v>
      </c>
      <c r="B467" t="s">
        <v>34</v>
      </c>
      <c r="C467" t="s">
        <v>2652</v>
      </c>
      <c r="D467" t="s">
        <v>2653</v>
      </c>
      <c r="E467" t="s">
        <v>2654</v>
      </c>
      <c r="F467" t="s">
        <v>1303</v>
      </c>
      <c r="G467" t="s">
        <v>1854</v>
      </c>
      <c r="H467" t="s">
        <v>2655</v>
      </c>
      <c r="I467" t="s">
        <v>99</v>
      </c>
      <c r="J467" t="s">
        <v>226</v>
      </c>
      <c r="K467" t="s">
        <v>29</v>
      </c>
      <c r="L467" t="s">
        <v>30</v>
      </c>
      <c r="M467">
        <v>0</v>
      </c>
      <c r="N467" t="s">
        <v>32</v>
      </c>
      <c r="O467" t="s">
        <v>32</v>
      </c>
      <c r="Q467" t="s">
        <v>32</v>
      </c>
      <c r="S467" t="s">
        <v>32</v>
      </c>
      <c r="U467" t="s">
        <v>32</v>
      </c>
      <c r="V467" t="s">
        <v>32</v>
      </c>
      <c r="W467" t="s">
        <v>32</v>
      </c>
      <c r="X467" t="s">
        <v>32</v>
      </c>
      <c r="Y467" t="s">
        <v>32</v>
      </c>
      <c r="AA467" t="s">
        <v>32</v>
      </c>
      <c r="AB467" t="s">
        <v>32</v>
      </c>
      <c r="AE467" t="s">
        <v>32</v>
      </c>
      <c r="AH467" t="s">
        <v>32</v>
      </c>
      <c r="AK467" t="s">
        <v>128</v>
      </c>
      <c r="AL467">
        <v>46069</v>
      </c>
      <c r="AM467">
        <v>46073</v>
      </c>
      <c r="AN467" t="s">
        <v>32</v>
      </c>
      <c r="AO467" t="s">
        <v>32</v>
      </c>
      <c r="AR467">
        <v>0</v>
      </c>
      <c r="AU467" t="s">
        <v>32</v>
      </c>
      <c r="AV467">
        <v>1750905</v>
      </c>
      <c r="AW467" t="s">
        <v>32</v>
      </c>
      <c r="AX467" t="s">
        <v>32</v>
      </c>
      <c r="AY467" t="s">
        <v>317</v>
      </c>
      <c r="AZ467">
        <v>5</v>
      </c>
      <c r="BA467">
        <v>291818</v>
      </c>
      <c r="BB467">
        <v>0.16</v>
      </c>
      <c r="BC467">
        <v>46700</v>
      </c>
      <c r="BD467" t="s">
        <v>142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46700</v>
      </c>
      <c r="BK467" t="s">
        <v>25</v>
      </c>
      <c r="BL467" t="s">
        <v>1010</v>
      </c>
      <c r="BM467">
        <v>5</v>
      </c>
      <c r="BN467">
        <v>291818</v>
      </c>
      <c r="BO467">
        <v>0.04</v>
      </c>
      <c r="BP467">
        <v>11700</v>
      </c>
      <c r="BQ467">
        <v>0</v>
      </c>
      <c r="BR467" t="s">
        <v>1438</v>
      </c>
      <c r="BS467">
        <v>0</v>
      </c>
      <c r="BT467" t="s">
        <v>1438</v>
      </c>
      <c r="BU467">
        <v>0</v>
      </c>
      <c r="BV467" t="s">
        <v>25</v>
      </c>
      <c r="BW467" t="s">
        <v>189</v>
      </c>
      <c r="BX467">
        <v>5</v>
      </c>
      <c r="BY467">
        <v>291818</v>
      </c>
      <c r="BZ467">
        <v>0</v>
      </c>
      <c r="CA467" t="s">
        <v>1592</v>
      </c>
      <c r="CB467" t="s">
        <v>389</v>
      </c>
      <c r="CC467" t="s">
        <v>1593</v>
      </c>
      <c r="CD467">
        <v>0</v>
      </c>
      <c r="CE467">
        <v>5</v>
      </c>
      <c r="CF467" t="s">
        <v>749</v>
      </c>
      <c r="CG467">
        <v>291818</v>
      </c>
      <c r="CH467">
        <v>0.04</v>
      </c>
      <c r="CI467">
        <v>11700</v>
      </c>
      <c r="CJ467">
        <v>291818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 t="s">
        <v>88</v>
      </c>
      <c r="CT467" t="s">
        <v>1441</v>
      </c>
      <c r="CU467" t="s">
        <v>1442</v>
      </c>
    </row>
    <row r="468" spans="1:99">
      <c r="A468" t="s">
        <v>1431</v>
      </c>
      <c r="B468" t="s">
        <v>34</v>
      </c>
      <c r="C468" t="s">
        <v>2652</v>
      </c>
      <c r="D468" t="s">
        <v>2653</v>
      </c>
      <c r="E468" t="s">
        <v>2654</v>
      </c>
      <c r="F468" t="s">
        <v>1303</v>
      </c>
      <c r="G468" t="s">
        <v>1854</v>
      </c>
      <c r="H468" t="s">
        <v>2655</v>
      </c>
      <c r="I468" t="s">
        <v>99</v>
      </c>
      <c r="J468" t="s">
        <v>226</v>
      </c>
      <c r="K468" t="s">
        <v>29</v>
      </c>
      <c r="L468" t="s">
        <v>30</v>
      </c>
      <c r="M468">
        <v>135</v>
      </c>
      <c r="N468" t="s">
        <v>32</v>
      </c>
      <c r="O468" t="s">
        <v>32</v>
      </c>
      <c r="Q468" t="s">
        <v>32</v>
      </c>
      <c r="S468" t="s">
        <v>32</v>
      </c>
      <c r="U468" t="s">
        <v>32</v>
      </c>
      <c r="V468" t="s">
        <v>32</v>
      </c>
      <c r="W468" t="s">
        <v>32</v>
      </c>
      <c r="X468" t="s">
        <v>32</v>
      </c>
      <c r="Y468" t="s">
        <v>32</v>
      </c>
      <c r="AA468" t="s">
        <v>32</v>
      </c>
      <c r="AB468" t="s">
        <v>32</v>
      </c>
      <c r="AE468" t="s">
        <v>32</v>
      </c>
      <c r="AH468" t="s">
        <v>32</v>
      </c>
      <c r="AK468" t="s">
        <v>32</v>
      </c>
      <c r="AN468" t="s">
        <v>32</v>
      </c>
      <c r="AO468" t="s">
        <v>32</v>
      </c>
      <c r="AR468">
        <v>0</v>
      </c>
      <c r="AU468" t="s">
        <v>32</v>
      </c>
      <c r="AV468">
        <v>1750905</v>
      </c>
      <c r="AW468" t="s">
        <v>32</v>
      </c>
      <c r="AX468" t="s">
        <v>32</v>
      </c>
      <c r="AY468" t="s">
        <v>317</v>
      </c>
      <c r="AZ468">
        <v>25</v>
      </c>
      <c r="BA468">
        <v>1459088</v>
      </c>
      <c r="BB468">
        <v>0.16</v>
      </c>
      <c r="BC468">
        <v>233500</v>
      </c>
      <c r="BD468" t="s">
        <v>142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233500</v>
      </c>
      <c r="BK468" t="s">
        <v>25</v>
      </c>
      <c r="BL468" t="s">
        <v>1010</v>
      </c>
      <c r="BM468">
        <v>25</v>
      </c>
      <c r="BN468">
        <v>1459088</v>
      </c>
      <c r="BO468">
        <v>0.04</v>
      </c>
      <c r="BP468">
        <v>58400</v>
      </c>
      <c r="BQ468">
        <v>0</v>
      </c>
      <c r="BR468" t="s">
        <v>1438</v>
      </c>
      <c r="BS468">
        <v>0</v>
      </c>
      <c r="BT468" t="s">
        <v>1438</v>
      </c>
      <c r="BU468">
        <v>0</v>
      </c>
      <c r="BV468" t="s">
        <v>25</v>
      </c>
      <c r="BW468" t="s">
        <v>189</v>
      </c>
      <c r="BX468">
        <v>25</v>
      </c>
      <c r="BY468">
        <v>1459088</v>
      </c>
      <c r="BZ468">
        <v>5.2199999999999998E-3</v>
      </c>
      <c r="CA468" t="s">
        <v>1592</v>
      </c>
      <c r="CB468" t="s">
        <v>389</v>
      </c>
      <c r="CC468" t="s">
        <v>1593</v>
      </c>
      <c r="CD468">
        <v>7700</v>
      </c>
      <c r="CE468">
        <v>25</v>
      </c>
      <c r="CF468" t="s">
        <v>749</v>
      </c>
      <c r="CG468">
        <v>1459088</v>
      </c>
      <c r="CH468">
        <v>0.04</v>
      </c>
      <c r="CI468">
        <v>58400</v>
      </c>
      <c r="CJ468">
        <v>1459088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 t="s">
        <v>88</v>
      </c>
      <c r="CT468" t="s">
        <v>1441</v>
      </c>
      <c r="CU468" t="s">
        <v>1442</v>
      </c>
    </row>
    <row r="469" spans="1:99">
      <c r="A469" t="s">
        <v>1431</v>
      </c>
      <c r="B469" t="s">
        <v>34</v>
      </c>
      <c r="C469" t="s">
        <v>2656</v>
      </c>
      <c r="D469" t="s">
        <v>2657</v>
      </c>
      <c r="E469" t="s">
        <v>1601</v>
      </c>
      <c r="F469" t="s">
        <v>1506</v>
      </c>
      <c r="G469" t="s">
        <v>2658</v>
      </c>
      <c r="H469" t="s">
        <v>1781</v>
      </c>
      <c r="I469" t="s">
        <v>682</v>
      </c>
      <c r="J469" t="s">
        <v>484</v>
      </c>
      <c r="K469" t="s">
        <v>29</v>
      </c>
      <c r="L469" t="s">
        <v>30</v>
      </c>
      <c r="M469">
        <v>180</v>
      </c>
      <c r="N469" t="s">
        <v>32</v>
      </c>
      <c r="O469" t="s">
        <v>32</v>
      </c>
      <c r="Q469" t="s">
        <v>32</v>
      </c>
      <c r="S469" t="s">
        <v>32</v>
      </c>
      <c r="U469" t="s">
        <v>32</v>
      </c>
      <c r="V469" t="s">
        <v>32</v>
      </c>
      <c r="W469" t="s">
        <v>32</v>
      </c>
      <c r="X469" t="s">
        <v>32</v>
      </c>
      <c r="Y469" t="s">
        <v>32</v>
      </c>
      <c r="AA469" t="s">
        <v>32</v>
      </c>
      <c r="AB469" t="s">
        <v>32</v>
      </c>
      <c r="AE469" t="s">
        <v>32</v>
      </c>
      <c r="AH469" t="s">
        <v>32</v>
      </c>
      <c r="AK469" t="s">
        <v>32</v>
      </c>
      <c r="AN469" t="s">
        <v>32</v>
      </c>
      <c r="AO469" t="s">
        <v>32</v>
      </c>
      <c r="AR469">
        <v>0</v>
      </c>
      <c r="AU469" t="s">
        <v>32</v>
      </c>
      <c r="AV469">
        <v>5676577</v>
      </c>
      <c r="AW469" t="s">
        <v>32</v>
      </c>
      <c r="AX469" t="s">
        <v>32</v>
      </c>
      <c r="AY469" t="s">
        <v>317</v>
      </c>
      <c r="AZ469">
        <v>30</v>
      </c>
      <c r="BA469">
        <v>5676577</v>
      </c>
      <c r="BB469">
        <v>0.16</v>
      </c>
      <c r="BC469">
        <v>908300</v>
      </c>
      <c r="BD469" t="s">
        <v>142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908300</v>
      </c>
      <c r="BK469" t="s">
        <v>25</v>
      </c>
      <c r="BL469" t="s">
        <v>1071</v>
      </c>
      <c r="BM469">
        <v>30</v>
      </c>
      <c r="BN469">
        <v>5676577</v>
      </c>
      <c r="BO469">
        <v>0.04</v>
      </c>
      <c r="BP469">
        <v>227100</v>
      </c>
      <c r="BQ469">
        <v>0</v>
      </c>
      <c r="BR469" t="s">
        <v>1438</v>
      </c>
      <c r="BS469">
        <v>0</v>
      </c>
      <c r="BT469" t="s">
        <v>1438</v>
      </c>
      <c r="BU469">
        <v>0</v>
      </c>
      <c r="BV469" t="s">
        <v>25</v>
      </c>
      <c r="BW469" t="s">
        <v>189</v>
      </c>
      <c r="BX469">
        <v>30</v>
      </c>
      <c r="BY469">
        <v>5676577</v>
      </c>
      <c r="BZ469">
        <v>6.9599999999999995E-2</v>
      </c>
      <c r="CA469" t="s">
        <v>1439</v>
      </c>
      <c r="CB469" t="s">
        <v>312</v>
      </c>
      <c r="CC469" t="s">
        <v>1440</v>
      </c>
      <c r="CD469">
        <v>395100</v>
      </c>
      <c r="CE469">
        <v>30</v>
      </c>
      <c r="CF469" t="s">
        <v>466</v>
      </c>
      <c r="CG469">
        <v>5676577</v>
      </c>
      <c r="CH469">
        <v>0.04</v>
      </c>
      <c r="CI469">
        <v>227100</v>
      </c>
      <c r="CJ469">
        <v>5676577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 t="s">
        <v>88</v>
      </c>
      <c r="CT469" t="s">
        <v>1441</v>
      </c>
      <c r="CU469" t="s">
        <v>1442</v>
      </c>
    </row>
    <row r="470" spans="1:99">
      <c r="A470" t="s">
        <v>1431</v>
      </c>
      <c r="B470" t="s">
        <v>34</v>
      </c>
      <c r="C470" t="s">
        <v>2659</v>
      </c>
      <c r="D470" t="s">
        <v>2660</v>
      </c>
      <c r="E470" t="s">
        <v>2661</v>
      </c>
      <c r="F470" t="s">
        <v>564</v>
      </c>
      <c r="G470" t="s">
        <v>2662</v>
      </c>
      <c r="H470" t="s">
        <v>1437</v>
      </c>
      <c r="I470" t="s">
        <v>682</v>
      </c>
      <c r="J470" t="s">
        <v>484</v>
      </c>
      <c r="K470" t="s">
        <v>29</v>
      </c>
      <c r="L470" t="s">
        <v>30</v>
      </c>
      <c r="M470">
        <v>0</v>
      </c>
      <c r="N470" t="s">
        <v>32</v>
      </c>
      <c r="O470" t="s">
        <v>32</v>
      </c>
      <c r="Q470" t="s">
        <v>32</v>
      </c>
      <c r="S470" t="s">
        <v>32</v>
      </c>
      <c r="U470" t="s">
        <v>32</v>
      </c>
      <c r="V470" t="s">
        <v>32</v>
      </c>
      <c r="W470" t="s">
        <v>32</v>
      </c>
      <c r="X470" t="s">
        <v>32</v>
      </c>
      <c r="Y470" t="s">
        <v>32</v>
      </c>
      <c r="AA470" t="s">
        <v>32</v>
      </c>
      <c r="AB470" t="s">
        <v>32</v>
      </c>
      <c r="AE470" t="s">
        <v>32</v>
      </c>
      <c r="AH470" t="s">
        <v>32</v>
      </c>
      <c r="AK470" t="s">
        <v>128</v>
      </c>
      <c r="AL470">
        <v>46054</v>
      </c>
      <c r="AM470">
        <v>46056</v>
      </c>
      <c r="AN470" t="s">
        <v>32</v>
      </c>
      <c r="AO470" t="s">
        <v>32</v>
      </c>
      <c r="AR470">
        <v>0</v>
      </c>
      <c r="AU470" t="s">
        <v>32</v>
      </c>
      <c r="AV470">
        <v>2891569</v>
      </c>
      <c r="AW470" t="s">
        <v>32</v>
      </c>
      <c r="AX470" t="s">
        <v>32</v>
      </c>
      <c r="AY470" t="s">
        <v>317</v>
      </c>
      <c r="AZ470">
        <v>3</v>
      </c>
      <c r="BA470">
        <v>289157</v>
      </c>
      <c r="BB470">
        <v>0.16</v>
      </c>
      <c r="BC470">
        <v>46300</v>
      </c>
      <c r="BD470" t="s">
        <v>142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46300</v>
      </c>
      <c r="BK470" t="s">
        <v>25</v>
      </c>
      <c r="BL470" t="s">
        <v>1000</v>
      </c>
      <c r="BM470">
        <v>3</v>
      </c>
      <c r="BN470">
        <v>289157</v>
      </c>
      <c r="BO470">
        <v>0.04</v>
      </c>
      <c r="BP470">
        <v>11600</v>
      </c>
      <c r="BQ470">
        <v>0</v>
      </c>
      <c r="BR470" t="s">
        <v>1438</v>
      </c>
      <c r="BS470">
        <v>0</v>
      </c>
      <c r="BT470" t="s">
        <v>1438</v>
      </c>
      <c r="BU470">
        <v>0</v>
      </c>
      <c r="BV470" t="s">
        <v>25</v>
      </c>
      <c r="BW470" t="s">
        <v>189</v>
      </c>
      <c r="BX470">
        <v>3</v>
      </c>
      <c r="BY470">
        <v>289157</v>
      </c>
      <c r="BZ470">
        <v>0</v>
      </c>
      <c r="CA470" t="s">
        <v>1439</v>
      </c>
      <c r="CB470" t="s">
        <v>312</v>
      </c>
      <c r="CC470" t="s">
        <v>1440</v>
      </c>
      <c r="CD470">
        <v>0</v>
      </c>
      <c r="CE470">
        <v>3</v>
      </c>
      <c r="CF470" t="s">
        <v>466</v>
      </c>
      <c r="CG470">
        <v>289157</v>
      </c>
      <c r="CH470">
        <v>0.04</v>
      </c>
      <c r="CI470">
        <v>11600</v>
      </c>
      <c r="CJ470">
        <v>289157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 t="s">
        <v>88</v>
      </c>
      <c r="CT470" t="s">
        <v>1441</v>
      </c>
      <c r="CU470" t="s">
        <v>1442</v>
      </c>
    </row>
    <row r="471" spans="1:99">
      <c r="A471" t="s">
        <v>1431</v>
      </c>
      <c r="B471" t="s">
        <v>34</v>
      </c>
      <c r="C471" t="s">
        <v>2659</v>
      </c>
      <c r="D471" t="s">
        <v>2660</v>
      </c>
      <c r="E471" t="s">
        <v>2661</v>
      </c>
      <c r="F471" t="s">
        <v>564</v>
      </c>
      <c r="G471" t="s">
        <v>2662</v>
      </c>
      <c r="H471" t="s">
        <v>1437</v>
      </c>
      <c r="I471" t="s">
        <v>682</v>
      </c>
      <c r="J471" t="s">
        <v>484</v>
      </c>
      <c r="K471" t="s">
        <v>29</v>
      </c>
      <c r="L471" t="s">
        <v>30</v>
      </c>
      <c r="M471">
        <v>0</v>
      </c>
      <c r="N471" t="s">
        <v>32</v>
      </c>
      <c r="O471" t="s">
        <v>32</v>
      </c>
      <c r="Q471" t="s">
        <v>32</v>
      </c>
      <c r="S471" t="s">
        <v>32</v>
      </c>
      <c r="U471" t="s">
        <v>32</v>
      </c>
      <c r="V471" t="s">
        <v>32</v>
      </c>
      <c r="W471" t="s">
        <v>32</v>
      </c>
      <c r="X471" t="s">
        <v>32</v>
      </c>
      <c r="Y471" t="s">
        <v>32</v>
      </c>
      <c r="AA471" t="s">
        <v>32</v>
      </c>
      <c r="AB471" t="s">
        <v>37</v>
      </c>
      <c r="AC471">
        <v>46057</v>
      </c>
      <c r="AD471">
        <v>46057</v>
      </c>
      <c r="AE471" t="s">
        <v>32</v>
      </c>
      <c r="AH471" t="s">
        <v>32</v>
      </c>
      <c r="AK471" t="s">
        <v>32</v>
      </c>
      <c r="AN471" t="s">
        <v>32</v>
      </c>
      <c r="AO471" t="s">
        <v>32</v>
      </c>
      <c r="AR471">
        <v>0</v>
      </c>
      <c r="AU471" t="s">
        <v>32</v>
      </c>
      <c r="AV471">
        <v>2891569</v>
      </c>
      <c r="AW471" t="s">
        <v>32</v>
      </c>
      <c r="AX471" t="s">
        <v>32</v>
      </c>
      <c r="AY471" t="s">
        <v>317</v>
      </c>
      <c r="AZ471">
        <v>1</v>
      </c>
      <c r="BA471">
        <v>96386</v>
      </c>
      <c r="BB471">
        <v>0.16</v>
      </c>
      <c r="BC471">
        <v>15500</v>
      </c>
      <c r="BD471" t="s">
        <v>142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15500</v>
      </c>
      <c r="BK471" t="s">
        <v>25</v>
      </c>
      <c r="BL471" t="s">
        <v>1000</v>
      </c>
      <c r="BM471">
        <v>1</v>
      </c>
      <c r="BN471">
        <v>96386</v>
      </c>
      <c r="BO471">
        <v>0</v>
      </c>
      <c r="BP471">
        <v>0</v>
      </c>
      <c r="BQ471">
        <v>0</v>
      </c>
      <c r="BR471" t="s">
        <v>1438</v>
      </c>
      <c r="BS471">
        <v>0</v>
      </c>
      <c r="BT471" t="s">
        <v>1438</v>
      </c>
      <c r="BU471">
        <v>0</v>
      </c>
      <c r="BV471" t="s">
        <v>25</v>
      </c>
      <c r="BW471" t="s">
        <v>189</v>
      </c>
      <c r="BX471">
        <v>1</v>
      </c>
      <c r="BY471">
        <v>96386</v>
      </c>
      <c r="BZ471">
        <v>0</v>
      </c>
      <c r="CA471" t="s">
        <v>1439</v>
      </c>
      <c r="CB471" t="s">
        <v>312</v>
      </c>
      <c r="CC471" t="s">
        <v>1440</v>
      </c>
      <c r="CD471">
        <v>0</v>
      </c>
      <c r="CE471">
        <v>1</v>
      </c>
      <c r="CF471" t="s">
        <v>466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 t="s">
        <v>88</v>
      </c>
      <c r="CT471" t="s">
        <v>1441</v>
      </c>
      <c r="CU471" t="s">
        <v>1442</v>
      </c>
    </row>
    <row r="472" spans="1:99">
      <c r="A472" t="s">
        <v>1431</v>
      </c>
      <c r="B472" t="s">
        <v>34</v>
      </c>
      <c r="C472" t="s">
        <v>2659</v>
      </c>
      <c r="D472" t="s">
        <v>2660</v>
      </c>
      <c r="E472" t="s">
        <v>2661</v>
      </c>
      <c r="F472" t="s">
        <v>564</v>
      </c>
      <c r="G472" t="s">
        <v>2662</v>
      </c>
      <c r="H472" t="s">
        <v>1437</v>
      </c>
      <c r="I472" t="s">
        <v>682</v>
      </c>
      <c r="J472" t="s">
        <v>484</v>
      </c>
      <c r="K472" t="s">
        <v>29</v>
      </c>
      <c r="L472" t="s">
        <v>30</v>
      </c>
      <c r="M472">
        <v>170</v>
      </c>
      <c r="N472" t="s">
        <v>32</v>
      </c>
      <c r="O472" t="s">
        <v>32</v>
      </c>
      <c r="Q472" t="s">
        <v>32</v>
      </c>
      <c r="S472" t="s">
        <v>32</v>
      </c>
      <c r="U472" t="s">
        <v>32</v>
      </c>
      <c r="V472" t="s">
        <v>32</v>
      </c>
      <c r="W472" t="s">
        <v>32</v>
      </c>
      <c r="X472" t="s">
        <v>32</v>
      </c>
      <c r="Y472" t="s">
        <v>32</v>
      </c>
      <c r="AA472" t="s">
        <v>88</v>
      </c>
      <c r="AB472" t="s">
        <v>32</v>
      </c>
      <c r="AE472" t="s">
        <v>32</v>
      </c>
      <c r="AH472" t="s">
        <v>32</v>
      </c>
      <c r="AK472" t="s">
        <v>32</v>
      </c>
      <c r="AN472" t="s">
        <v>32</v>
      </c>
      <c r="AO472" t="s">
        <v>32</v>
      </c>
      <c r="AR472">
        <v>0</v>
      </c>
      <c r="AU472" t="s">
        <v>32</v>
      </c>
      <c r="AV472">
        <v>2891569</v>
      </c>
      <c r="AW472" t="s">
        <v>32</v>
      </c>
      <c r="AX472" t="s">
        <v>32</v>
      </c>
      <c r="AY472" t="s">
        <v>317</v>
      </c>
      <c r="AZ472">
        <v>26</v>
      </c>
      <c r="BA472">
        <v>3483157</v>
      </c>
      <c r="BB472">
        <v>0.16</v>
      </c>
      <c r="BC472">
        <v>557400</v>
      </c>
      <c r="BD472" t="s">
        <v>142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557400</v>
      </c>
      <c r="BK472" t="s">
        <v>25</v>
      </c>
      <c r="BL472" t="s">
        <v>1000</v>
      </c>
      <c r="BM472">
        <v>26</v>
      </c>
      <c r="BN472">
        <v>3483157</v>
      </c>
      <c r="BO472">
        <v>0.04</v>
      </c>
      <c r="BP472">
        <v>139400</v>
      </c>
      <c r="BQ472">
        <v>0</v>
      </c>
      <c r="BR472" t="s">
        <v>1438</v>
      </c>
      <c r="BS472">
        <v>0</v>
      </c>
      <c r="BT472" t="s">
        <v>1438</v>
      </c>
      <c r="BU472">
        <v>0</v>
      </c>
      <c r="BV472" t="s">
        <v>25</v>
      </c>
      <c r="BW472" t="s">
        <v>189</v>
      </c>
      <c r="BX472">
        <v>26</v>
      </c>
      <c r="BY472">
        <v>3483157</v>
      </c>
      <c r="BZ472">
        <v>6.9599999999999995E-2</v>
      </c>
      <c r="CA472" t="s">
        <v>1439</v>
      </c>
      <c r="CB472" t="s">
        <v>312</v>
      </c>
      <c r="CC472" t="s">
        <v>1440</v>
      </c>
      <c r="CD472">
        <v>242500</v>
      </c>
      <c r="CE472">
        <v>26</v>
      </c>
      <c r="CF472" t="s">
        <v>466</v>
      </c>
      <c r="CG472">
        <v>3483157</v>
      </c>
      <c r="CH472">
        <v>0.04</v>
      </c>
      <c r="CI472">
        <v>139400</v>
      </c>
      <c r="CJ472">
        <v>3483157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 t="s">
        <v>88</v>
      </c>
      <c r="CT472" t="s">
        <v>1441</v>
      </c>
      <c r="CU472" t="s">
        <v>1442</v>
      </c>
    </row>
    <row r="473" spans="1:99">
      <c r="A473" t="s">
        <v>1431</v>
      </c>
      <c r="B473" t="s">
        <v>34</v>
      </c>
      <c r="C473" t="s">
        <v>2663</v>
      </c>
      <c r="D473" t="s">
        <v>2664</v>
      </c>
      <c r="E473" t="s">
        <v>2665</v>
      </c>
      <c r="F473" t="s">
        <v>1601</v>
      </c>
      <c r="G473" t="s">
        <v>2666</v>
      </c>
      <c r="H473" t="s">
        <v>1558</v>
      </c>
      <c r="I473" t="s">
        <v>240</v>
      </c>
      <c r="J473" t="s">
        <v>46</v>
      </c>
      <c r="K473" t="s">
        <v>29</v>
      </c>
      <c r="L473" t="s">
        <v>30</v>
      </c>
      <c r="M473">
        <v>229</v>
      </c>
      <c r="N473" t="s">
        <v>32</v>
      </c>
      <c r="O473" t="s">
        <v>32</v>
      </c>
      <c r="Q473" t="s">
        <v>32</v>
      </c>
      <c r="S473" t="s">
        <v>40</v>
      </c>
      <c r="T473">
        <v>46081</v>
      </c>
      <c r="U473" t="s">
        <v>32</v>
      </c>
      <c r="V473" t="s">
        <v>32</v>
      </c>
      <c r="W473" t="s">
        <v>32</v>
      </c>
      <c r="X473" t="s">
        <v>32</v>
      </c>
      <c r="Y473" t="s">
        <v>32</v>
      </c>
      <c r="AA473" t="s">
        <v>88</v>
      </c>
      <c r="AB473" t="s">
        <v>32</v>
      </c>
      <c r="AE473" t="s">
        <v>32</v>
      </c>
      <c r="AH473" t="s">
        <v>32</v>
      </c>
      <c r="AK473" t="s">
        <v>32</v>
      </c>
      <c r="AN473" t="s">
        <v>32</v>
      </c>
      <c r="AO473" t="s">
        <v>32</v>
      </c>
      <c r="AR473">
        <v>0</v>
      </c>
      <c r="AU473" t="s">
        <v>32</v>
      </c>
      <c r="AV473">
        <v>2970185</v>
      </c>
      <c r="AW473" t="s">
        <v>32</v>
      </c>
      <c r="AX473" t="s">
        <v>32</v>
      </c>
      <c r="AY473" t="s">
        <v>185</v>
      </c>
      <c r="AZ473">
        <v>30</v>
      </c>
      <c r="BA473">
        <v>5409291</v>
      </c>
      <c r="BB473">
        <v>0.16</v>
      </c>
      <c r="BC473">
        <v>865500</v>
      </c>
      <c r="BD473" t="s">
        <v>142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865500</v>
      </c>
      <c r="BK473" t="s">
        <v>25</v>
      </c>
      <c r="BL473" t="s">
        <v>870</v>
      </c>
      <c r="BM473">
        <v>30</v>
      </c>
      <c r="BN473">
        <v>5409291</v>
      </c>
      <c r="BO473">
        <v>0.04</v>
      </c>
      <c r="BP473">
        <v>216400</v>
      </c>
      <c r="BQ473">
        <v>0</v>
      </c>
      <c r="BR473" t="s">
        <v>1438</v>
      </c>
      <c r="BS473">
        <v>0</v>
      </c>
      <c r="BT473" t="s">
        <v>1438</v>
      </c>
      <c r="BU473">
        <v>0</v>
      </c>
      <c r="BV473" t="s">
        <v>25</v>
      </c>
      <c r="BW473" t="s">
        <v>189</v>
      </c>
      <c r="BX473">
        <v>30</v>
      </c>
      <c r="BY473">
        <v>5409291</v>
      </c>
      <c r="BZ473">
        <v>6.9599999999999995E-2</v>
      </c>
      <c r="CA473" t="s">
        <v>1439</v>
      </c>
      <c r="CB473" t="s">
        <v>227</v>
      </c>
      <c r="CC473" t="s">
        <v>1440</v>
      </c>
      <c r="CD473">
        <v>376500</v>
      </c>
      <c r="CE473">
        <v>30</v>
      </c>
      <c r="CF473" t="s">
        <v>635</v>
      </c>
      <c r="CG473">
        <v>6934507</v>
      </c>
      <c r="CH473">
        <v>0.04</v>
      </c>
      <c r="CI473">
        <v>277400</v>
      </c>
      <c r="CJ473">
        <v>6934507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 t="s">
        <v>88</v>
      </c>
      <c r="CT473" t="s">
        <v>1441</v>
      </c>
      <c r="CU473" t="s">
        <v>1442</v>
      </c>
    </row>
    <row r="474" spans="1:99">
      <c r="A474" t="s">
        <v>1431</v>
      </c>
      <c r="B474" t="s">
        <v>34</v>
      </c>
      <c r="C474" t="s">
        <v>2667</v>
      </c>
      <c r="D474" t="s">
        <v>2668</v>
      </c>
      <c r="E474" t="s">
        <v>2420</v>
      </c>
      <c r="F474" t="s">
        <v>1511</v>
      </c>
      <c r="G474" t="s">
        <v>1436</v>
      </c>
      <c r="H474" t="s">
        <v>1498</v>
      </c>
      <c r="I474" t="s">
        <v>240</v>
      </c>
      <c r="J474" t="s">
        <v>46</v>
      </c>
      <c r="K474" t="s">
        <v>29</v>
      </c>
      <c r="L474" t="s">
        <v>30</v>
      </c>
      <c r="M474">
        <v>180</v>
      </c>
      <c r="N474" t="s">
        <v>32</v>
      </c>
      <c r="O474" t="s">
        <v>32</v>
      </c>
      <c r="Q474" t="s">
        <v>32</v>
      </c>
      <c r="S474" t="s">
        <v>32</v>
      </c>
      <c r="U474" t="s">
        <v>32</v>
      </c>
      <c r="V474" t="s">
        <v>32</v>
      </c>
      <c r="W474" t="s">
        <v>32</v>
      </c>
      <c r="X474" t="s">
        <v>32</v>
      </c>
      <c r="Y474" t="s">
        <v>88</v>
      </c>
      <c r="Z474">
        <v>46054</v>
      </c>
      <c r="AA474" t="s">
        <v>32</v>
      </c>
      <c r="AB474" t="s">
        <v>32</v>
      </c>
      <c r="AE474" t="s">
        <v>32</v>
      </c>
      <c r="AH474" t="s">
        <v>32</v>
      </c>
      <c r="AK474" t="s">
        <v>32</v>
      </c>
      <c r="AN474" t="s">
        <v>32</v>
      </c>
      <c r="AO474" t="s">
        <v>32</v>
      </c>
      <c r="AR474">
        <v>0</v>
      </c>
      <c r="AU474" t="s">
        <v>32</v>
      </c>
      <c r="AV474">
        <v>8601766</v>
      </c>
      <c r="AW474" t="s">
        <v>32</v>
      </c>
      <c r="AX474" t="s">
        <v>32</v>
      </c>
      <c r="AY474" t="s">
        <v>185</v>
      </c>
      <c r="AZ474">
        <v>30</v>
      </c>
      <c r="BA474">
        <v>8601766</v>
      </c>
      <c r="BB474">
        <v>0.16</v>
      </c>
      <c r="BC474">
        <v>1376300</v>
      </c>
      <c r="BD474" t="s">
        <v>142</v>
      </c>
      <c r="BE474">
        <v>0</v>
      </c>
      <c r="BF474">
        <v>0</v>
      </c>
      <c r="BG474">
        <v>43100</v>
      </c>
      <c r="BH474">
        <v>43100</v>
      </c>
      <c r="BI474">
        <v>0</v>
      </c>
      <c r="BJ474">
        <v>1462500</v>
      </c>
      <c r="BK474" t="s">
        <v>25</v>
      </c>
      <c r="BL474" t="s">
        <v>1071</v>
      </c>
      <c r="BM474">
        <v>30</v>
      </c>
      <c r="BN474">
        <v>8601766</v>
      </c>
      <c r="BO474">
        <v>0.04</v>
      </c>
      <c r="BP474">
        <v>344100</v>
      </c>
      <c r="BQ474">
        <v>0</v>
      </c>
      <c r="BR474" t="s">
        <v>1438</v>
      </c>
      <c r="BS474">
        <v>0</v>
      </c>
      <c r="BT474" t="s">
        <v>1438</v>
      </c>
      <c r="BU474">
        <v>0</v>
      </c>
      <c r="BV474" t="s">
        <v>25</v>
      </c>
      <c r="BW474" t="s">
        <v>189</v>
      </c>
      <c r="BX474">
        <v>30</v>
      </c>
      <c r="BY474">
        <v>8601766</v>
      </c>
      <c r="BZ474">
        <v>6.9599999999999995E-2</v>
      </c>
      <c r="CA474" t="s">
        <v>1439</v>
      </c>
      <c r="CB474" t="s">
        <v>227</v>
      </c>
      <c r="CC474" t="s">
        <v>1440</v>
      </c>
      <c r="CD474">
        <v>598700</v>
      </c>
      <c r="CE474">
        <v>30</v>
      </c>
      <c r="CF474" t="s">
        <v>635</v>
      </c>
      <c r="CG474">
        <v>8601766</v>
      </c>
      <c r="CH474">
        <v>0.04</v>
      </c>
      <c r="CI474">
        <v>344100</v>
      </c>
      <c r="CJ474">
        <v>8601766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 t="s">
        <v>88</v>
      </c>
      <c r="CT474" t="s">
        <v>1441</v>
      </c>
      <c r="CU474" t="s">
        <v>1442</v>
      </c>
    </row>
    <row r="475" spans="1:99">
      <c r="A475" t="s">
        <v>1431</v>
      </c>
      <c r="B475" t="s">
        <v>34</v>
      </c>
      <c r="C475" t="s">
        <v>2669</v>
      </c>
      <c r="D475" t="s">
        <v>2670</v>
      </c>
      <c r="E475" t="s">
        <v>2011</v>
      </c>
      <c r="F475" t="s">
        <v>1853</v>
      </c>
      <c r="G475" t="s">
        <v>2671</v>
      </c>
      <c r="H475" t="s">
        <v>1968</v>
      </c>
      <c r="I475" t="s">
        <v>240</v>
      </c>
      <c r="J475" t="s">
        <v>46</v>
      </c>
      <c r="K475" t="s">
        <v>29</v>
      </c>
      <c r="L475" t="s">
        <v>30</v>
      </c>
      <c r="M475">
        <v>127</v>
      </c>
      <c r="N475" t="s">
        <v>32</v>
      </c>
      <c r="O475" t="s">
        <v>32</v>
      </c>
      <c r="Q475" t="s">
        <v>32</v>
      </c>
      <c r="S475" t="s">
        <v>40</v>
      </c>
      <c r="T475">
        <v>46068</v>
      </c>
      <c r="U475" t="s">
        <v>32</v>
      </c>
      <c r="V475" t="s">
        <v>32</v>
      </c>
      <c r="W475" t="s">
        <v>32</v>
      </c>
      <c r="X475" t="s">
        <v>32</v>
      </c>
      <c r="Y475" t="s">
        <v>32</v>
      </c>
      <c r="AA475" t="s">
        <v>88</v>
      </c>
      <c r="AB475" t="s">
        <v>32</v>
      </c>
      <c r="AE475" t="s">
        <v>32</v>
      </c>
      <c r="AH475" t="s">
        <v>32</v>
      </c>
      <c r="AK475" t="s">
        <v>32</v>
      </c>
      <c r="AN475" t="s">
        <v>32</v>
      </c>
      <c r="AO475" t="s">
        <v>32</v>
      </c>
      <c r="AR475">
        <v>0</v>
      </c>
      <c r="AU475" t="s">
        <v>32</v>
      </c>
      <c r="AV475">
        <v>2970185</v>
      </c>
      <c r="AW475" t="s">
        <v>32</v>
      </c>
      <c r="AX475" t="s">
        <v>32</v>
      </c>
      <c r="AY475" t="s">
        <v>317</v>
      </c>
      <c r="AZ475">
        <v>15</v>
      </c>
      <c r="BA475">
        <v>3188494</v>
      </c>
      <c r="BB475">
        <v>0.16</v>
      </c>
      <c r="BC475">
        <v>510200</v>
      </c>
      <c r="BD475" t="s">
        <v>142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510200</v>
      </c>
      <c r="BK475" t="s">
        <v>25</v>
      </c>
      <c r="BL475" t="s">
        <v>1491</v>
      </c>
      <c r="BM475">
        <v>15</v>
      </c>
      <c r="BN475">
        <v>3188494</v>
      </c>
      <c r="BO475">
        <v>0.04</v>
      </c>
      <c r="BP475">
        <v>127600</v>
      </c>
      <c r="BQ475">
        <v>0</v>
      </c>
      <c r="BR475" t="s">
        <v>1438</v>
      </c>
      <c r="BS475">
        <v>0</v>
      </c>
      <c r="BT475" t="s">
        <v>1438</v>
      </c>
      <c r="BU475">
        <v>0</v>
      </c>
      <c r="BV475" t="s">
        <v>25</v>
      </c>
      <c r="BW475" t="s">
        <v>189</v>
      </c>
      <c r="BX475">
        <v>15</v>
      </c>
      <c r="BY475">
        <v>3188494</v>
      </c>
      <c r="BZ475">
        <v>6.9599999999999995E-2</v>
      </c>
      <c r="CA475" t="s">
        <v>1439</v>
      </c>
      <c r="CB475" t="s">
        <v>227</v>
      </c>
      <c r="CC475" t="s">
        <v>1440</v>
      </c>
      <c r="CD475">
        <v>222000</v>
      </c>
      <c r="CE475">
        <v>15</v>
      </c>
      <c r="CF475" t="s">
        <v>635</v>
      </c>
      <c r="CG475">
        <v>4171872</v>
      </c>
      <c r="CH475">
        <v>0.04</v>
      </c>
      <c r="CI475">
        <v>166900</v>
      </c>
      <c r="CJ475">
        <v>4171872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 t="s">
        <v>88</v>
      </c>
      <c r="CT475" t="s">
        <v>1441</v>
      </c>
      <c r="CU475" t="s">
        <v>1442</v>
      </c>
    </row>
    <row r="476" spans="1:99">
      <c r="A476" t="s">
        <v>1431</v>
      </c>
      <c r="B476" t="s">
        <v>34</v>
      </c>
      <c r="C476" t="s">
        <v>2672</v>
      </c>
      <c r="D476" t="s">
        <v>2673</v>
      </c>
      <c r="E476" t="s">
        <v>2395</v>
      </c>
      <c r="F476" t="s">
        <v>1435</v>
      </c>
      <c r="G476" t="s">
        <v>1489</v>
      </c>
      <c r="H476" t="s">
        <v>1519</v>
      </c>
      <c r="I476" t="s">
        <v>240</v>
      </c>
      <c r="J476" t="s">
        <v>46</v>
      </c>
      <c r="K476" t="s">
        <v>29</v>
      </c>
      <c r="L476" t="s">
        <v>30</v>
      </c>
      <c r="M476">
        <v>180</v>
      </c>
      <c r="N476" t="s">
        <v>32</v>
      </c>
      <c r="O476" t="s">
        <v>32</v>
      </c>
      <c r="Q476" t="s">
        <v>32</v>
      </c>
      <c r="S476" t="s">
        <v>32</v>
      </c>
      <c r="U476" t="s">
        <v>88</v>
      </c>
      <c r="V476" t="s">
        <v>32</v>
      </c>
      <c r="W476" t="s">
        <v>32</v>
      </c>
      <c r="X476" t="s">
        <v>32</v>
      </c>
      <c r="Y476" t="s">
        <v>32</v>
      </c>
      <c r="AA476" t="s">
        <v>88</v>
      </c>
      <c r="AB476" t="s">
        <v>32</v>
      </c>
      <c r="AE476" t="s">
        <v>32</v>
      </c>
      <c r="AH476" t="s">
        <v>32</v>
      </c>
      <c r="AK476" t="s">
        <v>32</v>
      </c>
      <c r="AN476" t="s">
        <v>32</v>
      </c>
      <c r="AO476" t="s">
        <v>32</v>
      </c>
      <c r="AR476">
        <v>0</v>
      </c>
      <c r="AU476" t="s">
        <v>32</v>
      </c>
      <c r="AV476">
        <v>3415855</v>
      </c>
      <c r="AW476" t="s">
        <v>32</v>
      </c>
      <c r="AX476" t="s">
        <v>32</v>
      </c>
      <c r="AY476" t="s">
        <v>185</v>
      </c>
      <c r="AZ476">
        <v>30</v>
      </c>
      <c r="BA476">
        <v>3685694</v>
      </c>
      <c r="BB476">
        <v>0.16</v>
      </c>
      <c r="BC476">
        <v>589800</v>
      </c>
      <c r="BD476" t="s">
        <v>142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589800</v>
      </c>
      <c r="BK476" t="s">
        <v>25</v>
      </c>
      <c r="BL476" t="s">
        <v>1071</v>
      </c>
      <c r="BM476">
        <v>30</v>
      </c>
      <c r="BN476">
        <v>3685694</v>
      </c>
      <c r="BO476">
        <v>0.04</v>
      </c>
      <c r="BP476">
        <v>147500</v>
      </c>
      <c r="BQ476">
        <v>0</v>
      </c>
      <c r="BR476" t="s">
        <v>1438</v>
      </c>
      <c r="BS476">
        <v>0</v>
      </c>
      <c r="BT476" t="s">
        <v>1438</v>
      </c>
      <c r="BU476">
        <v>0</v>
      </c>
      <c r="BV476" t="s">
        <v>25</v>
      </c>
      <c r="BW476" t="s">
        <v>189</v>
      </c>
      <c r="BX476">
        <v>30</v>
      </c>
      <c r="BY476">
        <v>3685694</v>
      </c>
      <c r="BZ476">
        <v>6.9599999999999995E-2</v>
      </c>
      <c r="CA476" t="s">
        <v>1439</v>
      </c>
      <c r="CB476" t="s">
        <v>227</v>
      </c>
      <c r="CC476" t="s">
        <v>1440</v>
      </c>
      <c r="CD476">
        <v>256600</v>
      </c>
      <c r="CE476">
        <v>30</v>
      </c>
      <c r="CF476" t="s">
        <v>635</v>
      </c>
      <c r="CG476">
        <v>3589754</v>
      </c>
      <c r="CH476">
        <v>0.04</v>
      </c>
      <c r="CI476">
        <v>143600</v>
      </c>
      <c r="CJ476">
        <v>3589754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 t="s">
        <v>88</v>
      </c>
      <c r="CT476" t="s">
        <v>1441</v>
      </c>
      <c r="CU476" t="s">
        <v>1442</v>
      </c>
    </row>
    <row r="477" spans="1:99">
      <c r="A477" t="s">
        <v>1431</v>
      </c>
      <c r="B477" t="s">
        <v>34</v>
      </c>
      <c r="C477" t="s">
        <v>2674</v>
      </c>
      <c r="D477" t="s">
        <v>2675</v>
      </c>
      <c r="E477" t="s">
        <v>1526</v>
      </c>
      <c r="F477" t="s">
        <v>1823</v>
      </c>
      <c r="G477" t="s">
        <v>1436</v>
      </c>
      <c r="H477" t="s">
        <v>2410</v>
      </c>
      <c r="I477" t="s">
        <v>240</v>
      </c>
      <c r="J477" t="s">
        <v>46</v>
      </c>
      <c r="K477" t="s">
        <v>29</v>
      </c>
      <c r="L477" t="s">
        <v>30</v>
      </c>
      <c r="M477">
        <v>0</v>
      </c>
      <c r="N477" t="s">
        <v>32</v>
      </c>
      <c r="O477" t="s">
        <v>32</v>
      </c>
      <c r="Q477" t="s">
        <v>32</v>
      </c>
      <c r="S477" t="s">
        <v>32</v>
      </c>
      <c r="U477" t="s">
        <v>32</v>
      </c>
      <c r="V477" t="s">
        <v>32</v>
      </c>
      <c r="W477" t="s">
        <v>32</v>
      </c>
      <c r="X477" t="s">
        <v>32</v>
      </c>
      <c r="Y477" t="s">
        <v>32</v>
      </c>
      <c r="AA477" t="s">
        <v>32</v>
      </c>
      <c r="AB477" t="s">
        <v>37</v>
      </c>
      <c r="AC477">
        <v>46054</v>
      </c>
      <c r="AD477">
        <v>46056</v>
      </c>
      <c r="AE477" t="s">
        <v>32</v>
      </c>
      <c r="AH477" t="s">
        <v>32</v>
      </c>
      <c r="AK477" t="s">
        <v>32</v>
      </c>
      <c r="AN477" t="s">
        <v>32</v>
      </c>
      <c r="AO477" t="s">
        <v>32</v>
      </c>
      <c r="AR477">
        <v>0</v>
      </c>
      <c r="AU477" t="s">
        <v>32</v>
      </c>
      <c r="AV477">
        <v>2223339</v>
      </c>
      <c r="AW477" t="s">
        <v>32</v>
      </c>
      <c r="AX477" t="s">
        <v>32</v>
      </c>
      <c r="AY477" t="s">
        <v>356</v>
      </c>
      <c r="AZ477">
        <v>3</v>
      </c>
      <c r="BA477">
        <v>222334</v>
      </c>
      <c r="BB477">
        <v>0.16</v>
      </c>
      <c r="BC477">
        <v>35600</v>
      </c>
      <c r="BD477" t="s">
        <v>142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35600</v>
      </c>
      <c r="BK477" t="s">
        <v>25</v>
      </c>
      <c r="BL477" t="s">
        <v>1010</v>
      </c>
      <c r="BM477">
        <v>3</v>
      </c>
      <c r="BN477">
        <v>222334</v>
      </c>
      <c r="BO477">
        <v>0</v>
      </c>
      <c r="BP477">
        <v>0</v>
      </c>
      <c r="BQ477">
        <v>0</v>
      </c>
      <c r="BR477" t="s">
        <v>1438</v>
      </c>
      <c r="BS477">
        <v>0</v>
      </c>
      <c r="BT477" t="s">
        <v>1438</v>
      </c>
      <c r="BU477">
        <v>0</v>
      </c>
      <c r="BV477" t="s">
        <v>25</v>
      </c>
      <c r="BW477" t="s">
        <v>189</v>
      </c>
      <c r="BX477">
        <v>3</v>
      </c>
      <c r="BY477">
        <v>222334</v>
      </c>
      <c r="BZ477">
        <v>0</v>
      </c>
      <c r="CA477" t="s">
        <v>1439</v>
      </c>
      <c r="CB477" t="s">
        <v>227</v>
      </c>
      <c r="CC477" t="s">
        <v>1440</v>
      </c>
      <c r="CD477">
        <v>0</v>
      </c>
      <c r="CE477">
        <v>3</v>
      </c>
      <c r="CF477" t="s">
        <v>635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 t="s">
        <v>88</v>
      </c>
      <c r="CT477" t="s">
        <v>1441</v>
      </c>
      <c r="CU477" t="s">
        <v>1442</v>
      </c>
    </row>
    <row r="478" spans="1:99">
      <c r="A478" t="s">
        <v>1431</v>
      </c>
      <c r="B478" t="s">
        <v>34</v>
      </c>
      <c r="C478" t="s">
        <v>2674</v>
      </c>
      <c r="D478" t="s">
        <v>2675</v>
      </c>
      <c r="E478" t="s">
        <v>1526</v>
      </c>
      <c r="F478" t="s">
        <v>1823</v>
      </c>
      <c r="G478" t="s">
        <v>1436</v>
      </c>
      <c r="H478" t="s">
        <v>2410</v>
      </c>
      <c r="I478" t="s">
        <v>240</v>
      </c>
      <c r="J478" t="s">
        <v>46</v>
      </c>
      <c r="K478" t="s">
        <v>29</v>
      </c>
      <c r="L478" t="s">
        <v>30</v>
      </c>
      <c r="M478">
        <v>0</v>
      </c>
      <c r="N478" t="s">
        <v>32</v>
      </c>
      <c r="O478" t="s">
        <v>32</v>
      </c>
      <c r="Q478" t="s">
        <v>32</v>
      </c>
      <c r="S478" t="s">
        <v>40</v>
      </c>
      <c r="T478">
        <v>46056</v>
      </c>
      <c r="U478" t="s">
        <v>32</v>
      </c>
      <c r="V478" t="s">
        <v>32</v>
      </c>
      <c r="W478" t="s">
        <v>32</v>
      </c>
      <c r="X478" t="s">
        <v>32</v>
      </c>
      <c r="Y478" t="s">
        <v>32</v>
      </c>
      <c r="AA478" t="s">
        <v>88</v>
      </c>
      <c r="AB478" t="s">
        <v>32</v>
      </c>
      <c r="AE478" t="s">
        <v>32</v>
      </c>
      <c r="AH478" t="s">
        <v>32</v>
      </c>
      <c r="AK478" t="s">
        <v>32</v>
      </c>
      <c r="AN478" t="s">
        <v>32</v>
      </c>
      <c r="AO478" t="s">
        <v>32</v>
      </c>
      <c r="AR478">
        <v>0</v>
      </c>
      <c r="AU478" t="s">
        <v>32</v>
      </c>
      <c r="AV478">
        <v>2223339</v>
      </c>
      <c r="AW478" t="s">
        <v>32</v>
      </c>
      <c r="AX478" t="s">
        <v>32</v>
      </c>
      <c r="AY478" t="s">
        <v>356</v>
      </c>
      <c r="AZ478">
        <v>0</v>
      </c>
      <c r="BA478">
        <v>323125</v>
      </c>
      <c r="BB478">
        <v>0.16</v>
      </c>
      <c r="BC478">
        <v>51700</v>
      </c>
      <c r="BD478" t="s">
        <v>142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51700</v>
      </c>
      <c r="BK478" t="s">
        <v>25</v>
      </c>
      <c r="BL478" t="s">
        <v>1010</v>
      </c>
      <c r="BM478">
        <v>0</v>
      </c>
      <c r="BN478">
        <v>323125</v>
      </c>
      <c r="BO478">
        <v>0.04</v>
      </c>
      <c r="BP478">
        <v>13000</v>
      </c>
      <c r="BQ478">
        <v>0</v>
      </c>
      <c r="BR478" t="s">
        <v>1438</v>
      </c>
      <c r="BS478">
        <v>0</v>
      </c>
      <c r="BT478" t="s">
        <v>1438</v>
      </c>
      <c r="BU478">
        <v>0</v>
      </c>
      <c r="BV478" t="s">
        <v>25</v>
      </c>
      <c r="BW478" t="s">
        <v>189</v>
      </c>
      <c r="BX478">
        <v>0</v>
      </c>
      <c r="BY478">
        <v>323125</v>
      </c>
      <c r="BZ478">
        <v>6.9599999999999995E-2</v>
      </c>
      <c r="CA478" t="s">
        <v>1439</v>
      </c>
      <c r="CB478" t="s">
        <v>227</v>
      </c>
      <c r="CC478" t="s">
        <v>1440</v>
      </c>
      <c r="CD478">
        <v>22500</v>
      </c>
      <c r="CE478">
        <v>0</v>
      </c>
      <c r="CF478" t="s">
        <v>635</v>
      </c>
      <c r="CG478">
        <v>794357</v>
      </c>
      <c r="CH478">
        <v>0.04</v>
      </c>
      <c r="CI478">
        <v>31800</v>
      </c>
      <c r="CJ478">
        <v>794357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 t="s">
        <v>88</v>
      </c>
      <c r="CT478" t="s">
        <v>1441</v>
      </c>
      <c r="CU478" t="s">
        <v>1442</v>
      </c>
    </row>
    <row r="479" spans="1:99">
      <c r="A479" t="s">
        <v>1431</v>
      </c>
      <c r="B479" t="s">
        <v>34</v>
      </c>
      <c r="C479" t="s">
        <v>2676</v>
      </c>
      <c r="D479" t="s">
        <v>2677</v>
      </c>
      <c r="E479" t="s">
        <v>1459</v>
      </c>
      <c r="F479" t="s">
        <v>2678</v>
      </c>
      <c r="G479" t="s">
        <v>1479</v>
      </c>
      <c r="H479" t="s">
        <v>2008</v>
      </c>
      <c r="I479" t="s">
        <v>682</v>
      </c>
      <c r="J479" t="s">
        <v>484</v>
      </c>
      <c r="K479" t="s">
        <v>29</v>
      </c>
      <c r="L479" t="s">
        <v>30</v>
      </c>
      <c r="M479">
        <v>204</v>
      </c>
      <c r="N479" t="s">
        <v>32</v>
      </c>
      <c r="O479" t="s">
        <v>32</v>
      </c>
      <c r="Q479" t="s">
        <v>32</v>
      </c>
      <c r="S479" t="s">
        <v>32</v>
      </c>
      <c r="U479" t="s">
        <v>32</v>
      </c>
      <c r="V479" t="s">
        <v>32</v>
      </c>
      <c r="W479" t="s">
        <v>32</v>
      </c>
      <c r="X479" t="s">
        <v>32</v>
      </c>
      <c r="Y479" t="s">
        <v>32</v>
      </c>
      <c r="AA479" t="s">
        <v>88</v>
      </c>
      <c r="AB479" t="s">
        <v>32</v>
      </c>
      <c r="AE479" t="s">
        <v>32</v>
      </c>
      <c r="AH479" t="s">
        <v>32</v>
      </c>
      <c r="AK479" t="s">
        <v>32</v>
      </c>
      <c r="AN479" t="s">
        <v>32</v>
      </c>
      <c r="AO479" t="s">
        <v>32</v>
      </c>
      <c r="AR479">
        <v>0</v>
      </c>
      <c r="AU479" t="s">
        <v>32</v>
      </c>
      <c r="AV479">
        <v>2665550</v>
      </c>
      <c r="AW479" t="s">
        <v>32</v>
      </c>
      <c r="AX479" t="s">
        <v>32</v>
      </c>
      <c r="AY479" t="s">
        <v>356</v>
      </c>
      <c r="AZ479">
        <v>30</v>
      </c>
      <c r="BA479">
        <v>3882345</v>
      </c>
      <c r="BB479">
        <v>0.16</v>
      </c>
      <c r="BC479">
        <v>621200</v>
      </c>
      <c r="BD479" t="s">
        <v>142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621200</v>
      </c>
      <c r="BK479" t="s">
        <v>25</v>
      </c>
      <c r="BL479" t="s">
        <v>1064</v>
      </c>
      <c r="BM479">
        <v>30</v>
      </c>
      <c r="BN479">
        <v>3882345</v>
      </c>
      <c r="BO479">
        <v>0.04</v>
      </c>
      <c r="BP479">
        <v>155300</v>
      </c>
      <c r="BQ479">
        <v>0</v>
      </c>
      <c r="BR479" t="s">
        <v>1438</v>
      </c>
      <c r="BS479">
        <v>0</v>
      </c>
      <c r="BT479" t="s">
        <v>1438</v>
      </c>
      <c r="BU479">
        <v>0</v>
      </c>
      <c r="BV479" t="s">
        <v>25</v>
      </c>
      <c r="BW479" t="s">
        <v>189</v>
      </c>
      <c r="BX479">
        <v>30</v>
      </c>
      <c r="BY479">
        <v>3882345</v>
      </c>
      <c r="BZ479">
        <v>6.9599999999999995E-2</v>
      </c>
      <c r="CA479" t="s">
        <v>1439</v>
      </c>
      <c r="CB479" t="s">
        <v>312</v>
      </c>
      <c r="CC479" t="s">
        <v>1440</v>
      </c>
      <c r="CD479">
        <v>270300</v>
      </c>
      <c r="CE479">
        <v>30</v>
      </c>
      <c r="CF479" t="s">
        <v>466</v>
      </c>
      <c r="CG479">
        <v>3882345</v>
      </c>
      <c r="CH479">
        <v>0.04</v>
      </c>
      <c r="CI479">
        <v>155300</v>
      </c>
      <c r="CJ479">
        <v>3882345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 t="s">
        <v>88</v>
      </c>
      <c r="CT479" t="s">
        <v>1441</v>
      </c>
      <c r="CU479" t="s">
        <v>1442</v>
      </c>
    </row>
    <row r="480" spans="1:99">
      <c r="A480" t="s">
        <v>1431</v>
      </c>
      <c r="B480" t="s">
        <v>34</v>
      </c>
      <c r="C480" t="s">
        <v>2679</v>
      </c>
      <c r="D480" t="s">
        <v>2680</v>
      </c>
      <c r="E480" t="s">
        <v>2681</v>
      </c>
      <c r="F480" t="s">
        <v>573</v>
      </c>
      <c r="G480" t="s">
        <v>1478</v>
      </c>
      <c r="H480" t="s">
        <v>1548</v>
      </c>
      <c r="I480" t="s">
        <v>240</v>
      </c>
      <c r="J480" t="s">
        <v>46</v>
      </c>
      <c r="K480" t="s">
        <v>29</v>
      </c>
      <c r="L480" t="s">
        <v>30</v>
      </c>
      <c r="M480">
        <v>188</v>
      </c>
      <c r="N480" t="s">
        <v>32</v>
      </c>
      <c r="O480" t="s">
        <v>32</v>
      </c>
      <c r="Q480" t="s">
        <v>32</v>
      </c>
      <c r="S480" t="s">
        <v>32</v>
      </c>
      <c r="U480" t="s">
        <v>32</v>
      </c>
      <c r="V480" t="s">
        <v>32</v>
      </c>
      <c r="W480" t="s">
        <v>32</v>
      </c>
      <c r="X480" t="s">
        <v>32</v>
      </c>
      <c r="Y480" t="s">
        <v>88</v>
      </c>
      <c r="Z480">
        <v>46054</v>
      </c>
      <c r="AA480" t="s">
        <v>32</v>
      </c>
      <c r="AB480" t="s">
        <v>32</v>
      </c>
      <c r="AE480" t="s">
        <v>32</v>
      </c>
      <c r="AH480" t="s">
        <v>32</v>
      </c>
      <c r="AK480" t="s">
        <v>32</v>
      </c>
      <c r="AN480" t="s">
        <v>32</v>
      </c>
      <c r="AO480" t="s">
        <v>32</v>
      </c>
      <c r="AR480">
        <v>0</v>
      </c>
      <c r="AU480" t="s">
        <v>32</v>
      </c>
      <c r="AV480">
        <v>11201102</v>
      </c>
      <c r="AW480" t="s">
        <v>32</v>
      </c>
      <c r="AX480" t="s">
        <v>32</v>
      </c>
      <c r="AY480" t="s">
        <v>185</v>
      </c>
      <c r="AZ480">
        <v>30</v>
      </c>
      <c r="BA480">
        <v>11201102</v>
      </c>
      <c r="BB480">
        <v>0.16</v>
      </c>
      <c r="BC480">
        <v>1792200</v>
      </c>
      <c r="BD480" t="s">
        <v>142</v>
      </c>
      <c r="BE480">
        <v>0</v>
      </c>
      <c r="BF480">
        <v>0</v>
      </c>
      <c r="BG480">
        <v>56100</v>
      </c>
      <c r="BH480">
        <v>56100</v>
      </c>
      <c r="BI480">
        <v>0</v>
      </c>
      <c r="BJ480">
        <v>1904400</v>
      </c>
      <c r="BK480" t="s">
        <v>25</v>
      </c>
      <c r="BL480" t="s">
        <v>1071</v>
      </c>
      <c r="BM480">
        <v>30</v>
      </c>
      <c r="BN480">
        <v>11201102</v>
      </c>
      <c r="BO480">
        <v>0.04</v>
      </c>
      <c r="BP480">
        <v>448100</v>
      </c>
      <c r="BQ480">
        <v>0</v>
      </c>
      <c r="BR480" t="s">
        <v>1438</v>
      </c>
      <c r="BS480">
        <v>0</v>
      </c>
      <c r="BT480" t="s">
        <v>1438</v>
      </c>
      <c r="BU480">
        <v>0</v>
      </c>
      <c r="BV480" t="s">
        <v>25</v>
      </c>
      <c r="BW480" t="s">
        <v>189</v>
      </c>
      <c r="BX480">
        <v>30</v>
      </c>
      <c r="BY480">
        <v>11201102</v>
      </c>
      <c r="BZ480">
        <v>6.9599999999999995E-2</v>
      </c>
      <c r="CA480" t="s">
        <v>1439</v>
      </c>
      <c r="CB480" t="s">
        <v>227</v>
      </c>
      <c r="CC480" t="s">
        <v>1440</v>
      </c>
      <c r="CD480">
        <v>779600</v>
      </c>
      <c r="CE480">
        <v>30</v>
      </c>
      <c r="CF480" t="s">
        <v>635</v>
      </c>
      <c r="CG480">
        <v>11201102</v>
      </c>
      <c r="CH480">
        <v>0.04</v>
      </c>
      <c r="CI480">
        <v>448100</v>
      </c>
      <c r="CJ480">
        <v>11201102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 t="s">
        <v>88</v>
      </c>
      <c r="CT480" t="s">
        <v>1441</v>
      </c>
      <c r="CU480" t="s">
        <v>1442</v>
      </c>
    </row>
    <row r="481" spans="1:99">
      <c r="A481" t="s">
        <v>1431</v>
      </c>
      <c r="B481" t="s">
        <v>34</v>
      </c>
      <c r="C481" t="s">
        <v>2682</v>
      </c>
      <c r="D481" t="s">
        <v>2683</v>
      </c>
      <c r="E481" t="s">
        <v>2684</v>
      </c>
      <c r="F481" t="s">
        <v>2403</v>
      </c>
      <c r="G481" t="s">
        <v>1806</v>
      </c>
      <c r="H481" t="s">
        <v>1503</v>
      </c>
      <c r="I481" t="s">
        <v>240</v>
      </c>
      <c r="J481" t="s">
        <v>46</v>
      </c>
      <c r="K481" t="s">
        <v>29</v>
      </c>
      <c r="L481" t="s">
        <v>30</v>
      </c>
      <c r="M481">
        <v>216</v>
      </c>
      <c r="N481" t="s">
        <v>32</v>
      </c>
      <c r="O481" t="s">
        <v>32</v>
      </c>
      <c r="Q481" t="s">
        <v>32</v>
      </c>
      <c r="S481" t="s">
        <v>32</v>
      </c>
      <c r="U481" t="s">
        <v>32</v>
      </c>
      <c r="V481" t="s">
        <v>32</v>
      </c>
      <c r="W481" t="s">
        <v>32</v>
      </c>
      <c r="X481" t="s">
        <v>32</v>
      </c>
      <c r="Y481" t="s">
        <v>32</v>
      </c>
      <c r="AA481" t="s">
        <v>88</v>
      </c>
      <c r="AB481" t="s">
        <v>32</v>
      </c>
      <c r="AE481" t="s">
        <v>32</v>
      </c>
      <c r="AH481" t="s">
        <v>32</v>
      </c>
      <c r="AK481" t="s">
        <v>32</v>
      </c>
      <c r="AN481" t="s">
        <v>32</v>
      </c>
      <c r="AO481" t="s">
        <v>32</v>
      </c>
      <c r="AR481">
        <v>0</v>
      </c>
      <c r="AU481" t="s">
        <v>32</v>
      </c>
      <c r="AV481">
        <v>2223339</v>
      </c>
      <c r="AW481" t="s">
        <v>32</v>
      </c>
      <c r="AX481" t="s">
        <v>32</v>
      </c>
      <c r="AY481" t="s">
        <v>185</v>
      </c>
      <c r="AZ481">
        <v>30</v>
      </c>
      <c r="BA481">
        <v>3264484</v>
      </c>
      <c r="BB481">
        <v>0.16</v>
      </c>
      <c r="BC481">
        <v>522400</v>
      </c>
      <c r="BD481" t="s">
        <v>142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522400</v>
      </c>
      <c r="BK481" t="s">
        <v>25</v>
      </c>
      <c r="BL481" t="s">
        <v>1064</v>
      </c>
      <c r="BM481">
        <v>30</v>
      </c>
      <c r="BN481">
        <v>3264484</v>
      </c>
      <c r="BO481">
        <v>0.04</v>
      </c>
      <c r="BP481">
        <v>130600</v>
      </c>
      <c r="BQ481">
        <v>0</v>
      </c>
      <c r="BR481" t="s">
        <v>1438</v>
      </c>
      <c r="BS481">
        <v>0</v>
      </c>
      <c r="BT481" t="s">
        <v>1438</v>
      </c>
      <c r="BU481">
        <v>0</v>
      </c>
      <c r="BV481" t="s">
        <v>25</v>
      </c>
      <c r="BW481" t="s">
        <v>189</v>
      </c>
      <c r="BX481">
        <v>30</v>
      </c>
      <c r="BY481">
        <v>3264484</v>
      </c>
      <c r="BZ481">
        <v>6.9599999999999995E-2</v>
      </c>
      <c r="CA481" t="s">
        <v>1439</v>
      </c>
      <c r="CB481" t="s">
        <v>227</v>
      </c>
      <c r="CC481" t="s">
        <v>1440</v>
      </c>
      <c r="CD481">
        <v>227300</v>
      </c>
      <c r="CE481">
        <v>30</v>
      </c>
      <c r="CF481" t="s">
        <v>635</v>
      </c>
      <c r="CG481">
        <v>2839845</v>
      </c>
      <c r="CH481">
        <v>0.04</v>
      </c>
      <c r="CI481">
        <v>113600</v>
      </c>
      <c r="CJ481">
        <v>2839845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 t="s">
        <v>88</v>
      </c>
      <c r="CT481" t="s">
        <v>1441</v>
      </c>
      <c r="CU481" t="s">
        <v>1442</v>
      </c>
    </row>
    <row r="482" spans="1:99">
      <c r="A482" t="s">
        <v>1431</v>
      </c>
      <c r="B482" t="s">
        <v>34</v>
      </c>
      <c r="C482" t="s">
        <v>2685</v>
      </c>
      <c r="D482" t="s">
        <v>2686</v>
      </c>
      <c r="E482" t="s">
        <v>1459</v>
      </c>
      <c r="F482" t="s">
        <v>1823</v>
      </c>
      <c r="G482" t="s">
        <v>2687</v>
      </c>
      <c r="H482" t="s">
        <v>1558</v>
      </c>
      <c r="I482" t="s">
        <v>240</v>
      </c>
      <c r="J482" t="s">
        <v>46</v>
      </c>
      <c r="K482" t="s">
        <v>29</v>
      </c>
      <c r="L482" t="s">
        <v>30</v>
      </c>
      <c r="M482">
        <v>0</v>
      </c>
      <c r="N482" t="s">
        <v>32</v>
      </c>
      <c r="O482" t="s">
        <v>32</v>
      </c>
      <c r="Q482" t="s">
        <v>32</v>
      </c>
      <c r="S482" t="s">
        <v>32</v>
      </c>
      <c r="U482" t="s">
        <v>32</v>
      </c>
      <c r="V482" t="s">
        <v>32</v>
      </c>
      <c r="W482" t="s">
        <v>32</v>
      </c>
      <c r="X482" t="s">
        <v>32</v>
      </c>
      <c r="Y482" t="s">
        <v>32</v>
      </c>
      <c r="AA482" t="s">
        <v>32</v>
      </c>
      <c r="AB482" t="s">
        <v>32</v>
      </c>
      <c r="AE482" t="s">
        <v>32</v>
      </c>
      <c r="AH482" t="s">
        <v>32</v>
      </c>
      <c r="AK482" t="s">
        <v>128</v>
      </c>
      <c r="AL482">
        <v>46069</v>
      </c>
      <c r="AM482">
        <v>46069</v>
      </c>
      <c r="AN482" t="s">
        <v>32</v>
      </c>
      <c r="AO482" t="s">
        <v>32</v>
      </c>
      <c r="AR482">
        <v>0</v>
      </c>
      <c r="AU482" t="s">
        <v>32</v>
      </c>
      <c r="AV482">
        <v>3639331</v>
      </c>
      <c r="AW482" t="s">
        <v>32</v>
      </c>
      <c r="AX482" t="s">
        <v>32</v>
      </c>
      <c r="AY482" t="s">
        <v>317</v>
      </c>
      <c r="AZ482">
        <v>1</v>
      </c>
      <c r="BA482">
        <v>121312</v>
      </c>
      <c r="BB482">
        <v>0.16</v>
      </c>
      <c r="BC482">
        <v>19500</v>
      </c>
      <c r="BD482" t="s">
        <v>142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19500</v>
      </c>
      <c r="BK482" t="s">
        <v>25</v>
      </c>
      <c r="BL482" t="s">
        <v>1071</v>
      </c>
      <c r="BM482">
        <v>1</v>
      </c>
      <c r="BN482">
        <v>121312</v>
      </c>
      <c r="BO482">
        <v>0.04</v>
      </c>
      <c r="BP482">
        <v>4900</v>
      </c>
      <c r="BQ482">
        <v>0</v>
      </c>
      <c r="BR482" t="s">
        <v>1438</v>
      </c>
      <c r="BS482">
        <v>0</v>
      </c>
      <c r="BT482" t="s">
        <v>1438</v>
      </c>
      <c r="BU482">
        <v>0</v>
      </c>
      <c r="BV482" t="s">
        <v>25</v>
      </c>
      <c r="BW482" t="s">
        <v>189</v>
      </c>
      <c r="BX482">
        <v>1</v>
      </c>
      <c r="BY482">
        <v>121312</v>
      </c>
      <c r="BZ482">
        <v>0</v>
      </c>
      <c r="CA482" t="s">
        <v>1439</v>
      </c>
      <c r="CB482" t="s">
        <v>227</v>
      </c>
      <c r="CC482" t="s">
        <v>1440</v>
      </c>
      <c r="CD482">
        <v>0</v>
      </c>
      <c r="CE482">
        <v>1</v>
      </c>
      <c r="CF482" t="s">
        <v>635</v>
      </c>
      <c r="CG482">
        <v>121312</v>
      </c>
      <c r="CH482">
        <v>0.04</v>
      </c>
      <c r="CI482">
        <v>4900</v>
      </c>
      <c r="CJ482">
        <v>121312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 t="s">
        <v>88</v>
      </c>
      <c r="CT482" t="s">
        <v>1441</v>
      </c>
      <c r="CU482" t="s">
        <v>1442</v>
      </c>
    </row>
    <row r="483" spans="1:99">
      <c r="A483" t="s">
        <v>1431</v>
      </c>
      <c r="B483" t="s">
        <v>34</v>
      </c>
      <c r="C483" t="s">
        <v>2685</v>
      </c>
      <c r="D483" t="s">
        <v>2686</v>
      </c>
      <c r="E483" t="s">
        <v>1459</v>
      </c>
      <c r="F483" t="s">
        <v>1823</v>
      </c>
      <c r="G483" t="s">
        <v>2687</v>
      </c>
      <c r="H483" t="s">
        <v>1558</v>
      </c>
      <c r="I483" t="s">
        <v>240</v>
      </c>
      <c r="J483" t="s">
        <v>46</v>
      </c>
      <c r="K483" t="s">
        <v>29</v>
      </c>
      <c r="L483" t="s">
        <v>30</v>
      </c>
      <c r="M483">
        <v>171</v>
      </c>
      <c r="N483" t="s">
        <v>32</v>
      </c>
      <c r="O483" t="s">
        <v>32</v>
      </c>
      <c r="Q483" t="s">
        <v>32</v>
      </c>
      <c r="S483" t="s">
        <v>32</v>
      </c>
      <c r="U483" t="s">
        <v>32</v>
      </c>
      <c r="V483" t="s">
        <v>32</v>
      </c>
      <c r="W483" t="s">
        <v>32</v>
      </c>
      <c r="X483" t="s">
        <v>32</v>
      </c>
      <c r="Y483" t="s">
        <v>32</v>
      </c>
      <c r="AA483" t="s">
        <v>88</v>
      </c>
      <c r="AB483" t="s">
        <v>32</v>
      </c>
      <c r="AE483" t="s">
        <v>32</v>
      </c>
      <c r="AH483" t="s">
        <v>32</v>
      </c>
      <c r="AK483" t="s">
        <v>32</v>
      </c>
      <c r="AN483" t="s">
        <v>32</v>
      </c>
      <c r="AO483" t="s">
        <v>32</v>
      </c>
      <c r="AR483">
        <v>0</v>
      </c>
      <c r="AU483" t="s">
        <v>32</v>
      </c>
      <c r="AV483">
        <v>3639331</v>
      </c>
      <c r="AW483" t="s">
        <v>32</v>
      </c>
      <c r="AX483" t="s">
        <v>32</v>
      </c>
      <c r="AY483" t="s">
        <v>317</v>
      </c>
      <c r="AZ483">
        <v>29</v>
      </c>
      <c r="BA483">
        <v>3755406</v>
      </c>
      <c r="BB483">
        <v>0.16</v>
      </c>
      <c r="BC483">
        <v>600900</v>
      </c>
      <c r="BD483" t="s">
        <v>142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600900</v>
      </c>
      <c r="BK483" t="s">
        <v>25</v>
      </c>
      <c r="BL483" t="s">
        <v>1071</v>
      </c>
      <c r="BM483">
        <v>29</v>
      </c>
      <c r="BN483">
        <v>3755406</v>
      </c>
      <c r="BO483">
        <v>0.04</v>
      </c>
      <c r="BP483">
        <v>150300</v>
      </c>
      <c r="BQ483">
        <v>0</v>
      </c>
      <c r="BR483" t="s">
        <v>1438</v>
      </c>
      <c r="BS483">
        <v>0</v>
      </c>
      <c r="BT483" t="s">
        <v>1438</v>
      </c>
      <c r="BU483">
        <v>0</v>
      </c>
      <c r="BV483" t="s">
        <v>25</v>
      </c>
      <c r="BW483" t="s">
        <v>189</v>
      </c>
      <c r="BX483">
        <v>29</v>
      </c>
      <c r="BY483">
        <v>3755406</v>
      </c>
      <c r="BZ483">
        <v>6.9599999999999995E-2</v>
      </c>
      <c r="CA483" t="s">
        <v>1439</v>
      </c>
      <c r="CB483" t="s">
        <v>227</v>
      </c>
      <c r="CC483" t="s">
        <v>1440</v>
      </c>
      <c r="CD483">
        <v>261400</v>
      </c>
      <c r="CE483">
        <v>29</v>
      </c>
      <c r="CF483" t="s">
        <v>635</v>
      </c>
      <c r="CG483">
        <v>3755406</v>
      </c>
      <c r="CH483">
        <v>0.04</v>
      </c>
      <c r="CI483">
        <v>150300</v>
      </c>
      <c r="CJ483">
        <v>3755406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 t="s">
        <v>88</v>
      </c>
      <c r="CT483" t="s">
        <v>1441</v>
      </c>
      <c r="CU483" t="s">
        <v>1442</v>
      </c>
    </row>
    <row r="484" spans="1:99">
      <c r="A484" t="s">
        <v>1431</v>
      </c>
      <c r="B484" t="s">
        <v>34</v>
      </c>
      <c r="C484" t="s">
        <v>2688</v>
      </c>
      <c r="D484" t="s">
        <v>2689</v>
      </c>
      <c r="E484" t="s">
        <v>2690</v>
      </c>
      <c r="F484" t="s">
        <v>2691</v>
      </c>
      <c r="G484" t="s">
        <v>1738</v>
      </c>
      <c r="H484" t="s">
        <v>1558</v>
      </c>
      <c r="I484" t="s">
        <v>240</v>
      </c>
      <c r="J484" t="s">
        <v>46</v>
      </c>
      <c r="K484" t="s">
        <v>29</v>
      </c>
      <c r="L484" t="s">
        <v>30</v>
      </c>
      <c r="M484">
        <v>91</v>
      </c>
      <c r="N484" t="s">
        <v>32</v>
      </c>
      <c r="O484" t="s">
        <v>32</v>
      </c>
      <c r="Q484" t="s">
        <v>32</v>
      </c>
      <c r="S484" t="s">
        <v>40</v>
      </c>
      <c r="T484">
        <v>46063</v>
      </c>
      <c r="U484" t="s">
        <v>32</v>
      </c>
      <c r="V484" t="s">
        <v>32</v>
      </c>
      <c r="W484" t="s">
        <v>32</v>
      </c>
      <c r="X484" t="s">
        <v>32</v>
      </c>
      <c r="Y484" t="s">
        <v>32</v>
      </c>
      <c r="AA484" t="s">
        <v>88</v>
      </c>
      <c r="AB484" t="s">
        <v>32</v>
      </c>
      <c r="AE484" t="s">
        <v>32</v>
      </c>
      <c r="AH484" t="s">
        <v>32</v>
      </c>
      <c r="AK484" t="s">
        <v>32</v>
      </c>
      <c r="AN484" t="s">
        <v>32</v>
      </c>
      <c r="AO484" t="s">
        <v>32</v>
      </c>
      <c r="AR484">
        <v>0</v>
      </c>
      <c r="AU484" t="s">
        <v>32</v>
      </c>
      <c r="AV484">
        <v>2074908</v>
      </c>
      <c r="AW484" t="s">
        <v>32</v>
      </c>
      <c r="AX484" t="s">
        <v>32</v>
      </c>
      <c r="AY484" t="s">
        <v>356</v>
      </c>
      <c r="AZ484">
        <v>10</v>
      </c>
      <c r="BA484">
        <v>1583035</v>
      </c>
      <c r="BB484">
        <v>0.16</v>
      </c>
      <c r="BC484">
        <v>253300</v>
      </c>
      <c r="BD484" t="s">
        <v>142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253300</v>
      </c>
      <c r="BK484" t="s">
        <v>25</v>
      </c>
      <c r="BL484" t="s">
        <v>1000</v>
      </c>
      <c r="BM484">
        <v>10</v>
      </c>
      <c r="BN484">
        <v>1583035</v>
      </c>
      <c r="BO484">
        <v>0.04</v>
      </c>
      <c r="BP484">
        <v>63400</v>
      </c>
      <c r="BQ484">
        <v>0</v>
      </c>
      <c r="BR484" t="s">
        <v>1438</v>
      </c>
      <c r="BS484">
        <v>0</v>
      </c>
      <c r="BT484" t="s">
        <v>1438</v>
      </c>
      <c r="BU484">
        <v>0</v>
      </c>
      <c r="BV484" t="s">
        <v>25</v>
      </c>
      <c r="BW484" t="s">
        <v>189</v>
      </c>
      <c r="BX484">
        <v>10</v>
      </c>
      <c r="BY484">
        <v>1583035</v>
      </c>
      <c r="BZ484">
        <v>6.9599999999999995E-2</v>
      </c>
      <c r="CA484" t="s">
        <v>1439</v>
      </c>
      <c r="CB484" t="s">
        <v>227</v>
      </c>
      <c r="CC484" t="s">
        <v>1440</v>
      </c>
      <c r="CD484">
        <v>110200</v>
      </c>
      <c r="CE484">
        <v>10</v>
      </c>
      <c r="CF484" t="s">
        <v>635</v>
      </c>
      <c r="CG484">
        <v>1433718</v>
      </c>
      <c r="CH484">
        <v>0.04</v>
      </c>
      <c r="CI484">
        <v>57400</v>
      </c>
      <c r="CJ484">
        <v>1433718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 t="s">
        <v>88</v>
      </c>
      <c r="CT484" t="s">
        <v>1441</v>
      </c>
      <c r="CU484" t="s">
        <v>1442</v>
      </c>
    </row>
    <row r="485" spans="1:99">
      <c r="A485" t="s">
        <v>1431</v>
      </c>
      <c r="B485" t="s">
        <v>34</v>
      </c>
      <c r="C485" t="s">
        <v>2692</v>
      </c>
      <c r="D485" t="s">
        <v>2693</v>
      </c>
      <c r="E485" t="s">
        <v>1753</v>
      </c>
      <c r="F485" t="s">
        <v>2694</v>
      </c>
      <c r="G485" t="s">
        <v>2511</v>
      </c>
      <c r="H485" t="s">
        <v>2695</v>
      </c>
      <c r="I485" t="s">
        <v>203</v>
      </c>
      <c r="J485" t="s">
        <v>403</v>
      </c>
      <c r="K485" t="s">
        <v>29</v>
      </c>
      <c r="L485" t="s">
        <v>30</v>
      </c>
      <c r="M485">
        <v>0</v>
      </c>
      <c r="N485" t="s">
        <v>32</v>
      </c>
      <c r="O485" t="s">
        <v>32</v>
      </c>
      <c r="Q485" t="s">
        <v>32</v>
      </c>
      <c r="S485" t="s">
        <v>32</v>
      </c>
      <c r="U485" t="s">
        <v>32</v>
      </c>
      <c r="V485" t="s">
        <v>32</v>
      </c>
      <c r="W485" t="s">
        <v>32</v>
      </c>
      <c r="X485" t="s">
        <v>32</v>
      </c>
      <c r="Y485" t="s">
        <v>32</v>
      </c>
      <c r="AA485" t="s">
        <v>32</v>
      </c>
      <c r="AB485" t="s">
        <v>32</v>
      </c>
      <c r="AE485" t="s">
        <v>32</v>
      </c>
      <c r="AH485" t="s">
        <v>32</v>
      </c>
      <c r="AK485" t="s">
        <v>128</v>
      </c>
      <c r="AL485">
        <v>46069</v>
      </c>
      <c r="AM485">
        <v>46075</v>
      </c>
      <c r="AN485" t="s">
        <v>32</v>
      </c>
      <c r="AO485" t="s">
        <v>32</v>
      </c>
      <c r="AR485">
        <v>0</v>
      </c>
      <c r="AU485" t="s">
        <v>32</v>
      </c>
      <c r="AV485">
        <v>4476794</v>
      </c>
      <c r="AW485" t="s">
        <v>32</v>
      </c>
      <c r="AX485" t="s">
        <v>32</v>
      </c>
      <c r="AY485" t="s">
        <v>185</v>
      </c>
      <c r="AZ485">
        <v>7</v>
      </c>
      <c r="BA485">
        <v>1044586</v>
      </c>
      <c r="BB485">
        <v>0.16</v>
      </c>
      <c r="BC485">
        <v>167200</v>
      </c>
      <c r="BD485" t="s">
        <v>142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167200</v>
      </c>
      <c r="BK485" t="s">
        <v>25</v>
      </c>
      <c r="BL485" t="s">
        <v>1064</v>
      </c>
      <c r="BM485">
        <v>7</v>
      </c>
      <c r="BN485">
        <v>1044586</v>
      </c>
      <c r="BO485">
        <v>0.04</v>
      </c>
      <c r="BP485">
        <v>41800</v>
      </c>
      <c r="BQ485">
        <v>0</v>
      </c>
      <c r="BR485" t="s">
        <v>1438</v>
      </c>
      <c r="BS485">
        <v>0</v>
      </c>
      <c r="BT485" t="s">
        <v>1438</v>
      </c>
      <c r="BU485">
        <v>0</v>
      </c>
      <c r="BV485" t="s">
        <v>25</v>
      </c>
      <c r="BW485" t="s">
        <v>189</v>
      </c>
      <c r="BX485">
        <v>7</v>
      </c>
      <c r="BY485">
        <v>1044586</v>
      </c>
      <c r="BZ485">
        <v>0</v>
      </c>
      <c r="CA485" t="s">
        <v>1439</v>
      </c>
      <c r="CB485" t="s">
        <v>609</v>
      </c>
      <c r="CC485" t="s">
        <v>1440</v>
      </c>
      <c r="CD485">
        <v>0</v>
      </c>
      <c r="CE485">
        <v>7</v>
      </c>
      <c r="CF485" t="s">
        <v>1001</v>
      </c>
      <c r="CG485">
        <v>1044586</v>
      </c>
      <c r="CH485">
        <v>0.04</v>
      </c>
      <c r="CI485">
        <v>41800</v>
      </c>
      <c r="CJ485">
        <v>1044586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 t="s">
        <v>88</v>
      </c>
      <c r="CT485" t="s">
        <v>1441</v>
      </c>
      <c r="CU485" t="s">
        <v>1442</v>
      </c>
    </row>
    <row r="486" spans="1:99">
      <c r="A486" t="s">
        <v>1431</v>
      </c>
      <c r="B486" t="s">
        <v>34</v>
      </c>
      <c r="C486" t="s">
        <v>2692</v>
      </c>
      <c r="D486" t="s">
        <v>2693</v>
      </c>
      <c r="E486" t="s">
        <v>1753</v>
      </c>
      <c r="F486" t="s">
        <v>2694</v>
      </c>
      <c r="G486" t="s">
        <v>2511</v>
      </c>
      <c r="H486" t="s">
        <v>2695</v>
      </c>
      <c r="I486" t="s">
        <v>203</v>
      </c>
      <c r="J486" t="s">
        <v>403</v>
      </c>
      <c r="K486" t="s">
        <v>29</v>
      </c>
      <c r="L486" t="s">
        <v>30</v>
      </c>
      <c r="M486">
        <v>135</v>
      </c>
      <c r="N486" t="s">
        <v>32</v>
      </c>
      <c r="O486" t="s">
        <v>32</v>
      </c>
      <c r="Q486" t="s">
        <v>32</v>
      </c>
      <c r="S486" t="s">
        <v>32</v>
      </c>
      <c r="U486" t="s">
        <v>32</v>
      </c>
      <c r="V486" t="s">
        <v>32</v>
      </c>
      <c r="W486" t="s">
        <v>32</v>
      </c>
      <c r="X486" t="s">
        <v>32</v>
      </c>
      <c r="Y486" t="s">
        <v>88</v>
      </c>
      <c r="Z486">
        <v>46054</v>
      </c>
      <c r="AA486" t="s">
        <v>32</v>
      </c>
      <c r="AB486" t="s">
        <v>32</v>
      </c>
      <c r="AE486" t="s">
        <v>32</v>
      </c>
      <c r="AH486" t="s">
        <v>32</v>
      </c>
      <c r="AK486" t="s">
        <v>32</v>
      </c>
      <c r="AN486" t="s">
        <v>32</v>
      </c>
      <c r="AO486" t="s">
        <v>32</v>
      </c>
      <c r="AR486">
        <v>0</v>
      </c>
      <c r="AU486" t="s">
        <v>32</v>
      </c>
      <c r="AV486">
        <v>4476794</v>
      </c>
      <c r="AW486" t="s">
        <v>32</v>
      </c>
      <c r="AX486" t="s">
        <v>32</v>
      </c>
      <c r="AY486" t="s">
        <v>185</v>
      </c>
      <c r="AZ486">
        <v>23</v>
      </c>
      <c r="BA486">
        <v>3432209</v>
      </c>
      <c r="BB486">
        <v>0.16</v>
      </c>
      <c r="BC486">
        <v>549200</v>
      </c>
      <c r="BD486" t="s">
        <v>142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549200</v>
      </c>
      <c r="BK486" t="s">
        <v>25</v>
      </c>
      <c r="BL486" t="s">
        <v>1064</v>
      </c>
      <c r="BM486">
        <v>23</v>
      </c>
      <c r="BN486">
        <v>3432209</v>
      </c>
      <c r="BO486">
        <v>0.04</v>
      </c>
      <c r="BP486">
        <v>137300</v>
      </c>
      <c r="BQ486">
        <v>0</v>
      </c>
      <c r="BR486" t="s">
        <v>1438</v>
      </c>
      <c r="BS486">
        <v>0</v>
      </c>
      <c r="BT486" t="s">
        <v>1438</v>
      </c>
      <c r="BU486">
        <v>0</v>
      </c>
      <c r="BV486" t="s">
        <v>25</v>
      </c>
      <c r="BW486" t="s">
        <v>189</v>
      </c>
      <c r="BX486">
        <v>23</v>
      </c>
      <c r="BY486">
        <v>3432209</v>
      </c>
      <c r="BZ486">
        <v>6.9599999999999995E-2</v>
      </c>
      <c r="CA486" t="s">
        <v>1439</v>
      </c>
      <c r="CB486" t="s">
        <v>609</v>
      </c>
      <c r="CC486" t="s">
        <v>1440</v>
      </c>
      <c r="CD486">
        <v>238900</v>
      </c>
      <c r="CE486">
        <v>23</v>
      </c>
      <c r="CF486" t="s">
        <v>1001</v>
      </c>
      <c r="CG486">
        <v>3432209</v>
      </c>
      <c r="CH486">
        <v>0.04</v>
      </c>
      <c r="CI486">
        <v>137300</v>
      </c>
      <c r="CJ486">
        <v>3432209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 t="s">
        <v>88</v>
      </c>
      <c r="CT486" t="s">
        <v>1441</v>
      </c>
      <c r="CU486" t="s">
        <v>1442</v>
      </c>
    </row>
    <row r="487" spans="1:99">
      <c r="A487" t="s">
        <v>1431</v>
      </c>
      <c r="B487" t="s">
        <v>34</v>
      </c>
      <c r="C487" t="s">
        <v>2696</v>
      </c>
      <c r="D487" t="s">
        <v>2697</v>
      </c>
      <c r="E487" t="s">
        <v>2698</v>
      </c>
      <c r="F487" t="s">
        <v>1555</v>
      </c>
      <c r="G487" t="s">
        <v>1478</v>
      </c>
      <c r="H487" t="s">
        <v>1436</v>
      </c>
      <c r="I487" t="s">
        <v>240</v>
      </c>
      <c r="J487" t="s">
        <v>46</v>
      </c>
      <c r="K487" t="s">
        <v>29</v>
      </c>
      <c r="L487" t="s">
        <v>30</v>
      </c>
      <c r="M487">
        <v>178</v>
      </c>
      <c r="N487" t="s">
        <v>32</v>
      </c>
      <c r="O487" t="s">
        <v>32</v>
      </c>
      <c r="Q487" t="s">
        <v>32</v>
      </c>
      <c r="S487" t="s">
        <v>40</v>
      </c>
      <c r="T487">
        <v>46074</v>
      </c>
      <c r="U487" t="s">
        <v>32</v>
      </c>
      <c r="V487" t="s">
        <v>32</v>
      </c>
      <c r="W487" t="s">
        <v>32</v>
      </c>
      <c r="X487" t="s">
        <v>32</v>
      </c>
      <c r="Y487" t="s">
        <v>32</v>
      </c>
      <c r="AA487" t="s">
        <v>88</v>
      </c>
      <c r="AB487" t="s">
        <v>32</v>
      </c>
      <c r="AE487" t="s">
        <v>32</v>
      </c>
      <c r="AH487" t="s">
        <v>32</v>
      </c>
      <c r="AK487" t="s">
        <v>32</v>
      </c>
      <c r="AN487" t="s">
        <v>32</v>
      </c>
      <c r="AO487" t="s">
        <v>32</v>
      </c>
      <c r="AR487">
        <v>0</v>
      </c>
      <c r="AU487" t="s">
        <v>32</v>
      </c>
      <c r="AV487">
        <v>2223339</v>
      </c>
      <c r="AW487" t="s">
        <v>32</v>
      </c>
      <c r="AX487" t="s">
        <v>32</v>
      </c>
      <c r="AY487" t="s">
        <v>356</v>
      </c>
      <c r="AZ487">
        <v>21</v>
      </c>
      <c r="BA487">
        <v>3162326</v>
      </c>
      <c r="BB487">
        <v>0.16</v>
      </c>
      <c r="BC487">
        <v>506000</v>
      </c>
      <c r="BD487" t="s">
        <v>142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506000</v>
      </c>
      <c r="BK487" t="s">
        <v>25</v>
      </c>
      <c r="BL487" t="s">
        <v>1064</v>
      </c>
      <c r="BM487">
        <v>21</v>
      </c>
      <c r="BN487">
        <v>3162326</v>
      </c>
      <c r="BO487">
        <v>0.04</v>
      </c>
      <c r="BP487">
        <v>126500</v>
      </c>
      <c r="BQ487">
        <v>0</v>
      </c>
      <c r="BR487" t="s">
        <v>1438</v>
      </c>
      <c r="BS487">
        <v>0</v>
      </c>
      <c r="BT487" t="s">
        <v>1438</v>
      </c>
      <c r="BU487">
        <v>0</v>
      </c>
      <c r="BV487" t="s">
        <v>25</v>
      </c>
      <c r="BW487" t="s">
        <v>189</v>
      </c>
      <c r="BX487">
        <v>21</v>
      </c>
      <c r="BY487">
        <v>3162326</v>
      </c>
      <c r="BZ487">
        <v>6.9599999999999995E-2</v>
      </c>
      <c r="CA487" t="s">
        <v>1439</v>
      </c>
      <c r="CB487" t="s">
        <v>227</v>
      </c>
      <c r="CC487" t="s">
        <v>1440</v>
      </c>
      <c r="CD487">
        <v>220100</v>
      </c>
      <c r="CE487">
        <v>21</v>
      </c>
      <c r="CF487" t="s">
        <v>635</v>
      </c>
      <c r="CG487">
        <v>3713291</v>
      </c>
      <c r="CH487">
        <v>0.04</v>
      </c>
      <c r="CI487">
        <v>148600</v>
      </c>
      <c r="CJ487">
        <v>3713291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 t="s">
        <v>88</v>
      </c>
      <c r="CT487" t="s">
        <v>1441</v>
      </c>
      <c r="CU487" t="s">
        <v>1442</v>
      </c>
    </row>
    <row r="488" spans="1:99">
      <c r="A488" t="s">
        <v>1431</v>
      </c>
      <c r="B488" t="s">
        <v>34</v>
      </c>
      <c r="C488" t="s">
        <v>2699</v>
      </c>
      <c r="D488" t="s">
        <v>2700</v>
      </c>
      <c r="E488" t="s">
        <v>2080</v>
      </c>
      <c r="F488" t="s">
        <v>2701</v>
      </c>
      <c r="G488" t="s">
        <v>2070</v>
      </c>
      <c r="H488" t="s">
        <v>2702</v>
      </c>
      <c r="I488" t="s">
        <v>682</v>
      </c>
      <c r="J488" t="s">
        <v>484</v>
      </c>
      <c r="K488" t="s">
        <v>29</v>
      </c>
      <c r="L488" t="s">
        <v>30</v>
      </c>
      <c r="M488">
        <v>0</v>
      </c>
      <c r="N488" t="s">
        <v>32</v>
      </c>
      <c r="O488" t="s">
        <v>32</v>
      </c>
      <c r="Q488" t="s">
        <v>32</v>
      </c>
      <c r="S488" t="s">
        <v>32</v>
      </c>
      <c r="U488" t="s">
        <v>32</v>
      </c>
      <c r="V488" t="s">
        <v>32</v>
      </c>
      <c r="W488" t="s">
        <v>32</v>
      </c>
      <c r="X488" t="s">
        <v>32</v>
      </c>
      <c r="Y488" t="s">
        <v>32</v>
      </c>
      <c r="AA488" t="s">
        <v>32</v>
      </c>
      <c r="AB488" t="s">
        <v>32</v>
      </c>
      <c r="AE488" t="s">
        <v>32</v>
      </c>
      <c r="AH488" t="s">
        <v>32</v>
      </c>
      <c r="AK488" t="s">
        <v>128</v>
      </c>
      <c r="AL488">
        <v>46054</v>
      </c>
      <c r="AM488">
        <v>46058</v>
      </c>
      <c r="AN488" t="s">
        <v>32</v>
      </c>
      <c r="AO488" t="s">
        <v>32</v>
      </c>
      <c r="AR488">
        <v>0</v>
      </c>
      <c r="AU488" t="s">
        <v>32</v>
      </c>
      <c r="AV488">
        <v>2665550</v>
      </c>
      <c r="AW488" t="s">
        <v>32</v>
      </c>
      <c r="AX488" t="s">
        <v>32</v>
      </c>
      <c r="AY488" t="s">
        <v>356</v>
      </c>
      <c r="AZ488">
        <v>5</v>
      </c>
      <c r="BA488">
        <v>444259</v>
      </c>
      <c r="BB488">
        <v>0.16</v>
      </c>
      <c r="BC488">
        <v>71100</v>
      </c>
      <c r="BD488" t="s">
        <v>142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71100</v>
      </c>
      <c r="BK488" t="s">
        <v>25</v>
      </c>
      <c r="BL488" t="s">
        <v>1064</v>
      </c>
      <c r="BM488">
        <v>5</v>
      </c>
      <c r="BN488">
        <v>444259</v>
      </c>
      <c r="BO488">
        <v>0.04</v>
      </c>
      <c r="BP488">
        <v>17800</v>
      </c>
      <c r="BQ488">
        <v>0</v>
      </c>
      <c r="BR488" t="s">
        <v>1438</v>
      </c>
      <c r="BS488">
        <v>0</v>
      </c>
      <c r="BT488" t="s">
        <v>1438</v>
      </c>
      <c r="BU488">
        <v>0</v>
      </c>
      <c r="BV488" t="s">
        <v>25</v>
      </c>
      <c r="BW488" t="s">
        <v>189</v>
      </c>
      <c r="BX488">
        <v>5</v>
      </c>
      <c r="BY488">
        <v>444259</v>
      </c>
      <c r="BZ488">
        <v>0</v>
      </c>
      <c r="CA488" t="s">
        <v>1439</v>
      </c>
      <c r="CB488" t="s">
        <v>312</v>
      </c>
      <c r="CC488" t="s">
        <v>1440</v>
      </c>
      <c r="CD488">
        <v>0</v>
      </c>
      <c r="CE488">
        <v>5</v>
      </c>
      <c r="CF488" t="s">
        <v>466</v>
      </c>
      <c r="CG488">
        <v>444259</v>
      </c>
      <c r="CH488">
        <v>0.04</v>
      </c>
      <c r="CI488">
        <v>17800</v>
      </c>
      <c r="CJ488">
        <v>444259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 t="s">
        <v>88</v>
      </c>
      <c r="CT488" t="s">
        <v>1441</v>
      </c>
      <c r="CU488" t="s">
        <v>1442</v>
      </c>
    </row>
    <row r="489" spans="1:99">
      <c r="A489" t="s">
        <v>1431</v>
      </c>
      <c r="B489" t="s">
        <v>34</v>
      </c>
      <c r="C489" t="s">
        <v>2699</v>
      </c>
      <c r="D489" t="s">
        <v>2700</v>
      </c>
      <c r="E489" t="s">
        <v>2080</v>
      </c>
      <c r="F489" t="s">
        <v>2701</v>
      </c>
      <c r="G489" t="s">
        <v>2070</v>
      </c>
      <c r="H489" t="s">
        <v>2702</v>
      </c>
      <c r="I489" t="s">
        <v>682</v>
      </c>
      <c r="J489" t="s">
        <v>484</v>
      </c>
      <c r="K489" t="s">
        <v>29</v>
      </c>
      <c r="L489" t="s">
        <v>30</v>
      </c>
      <c r="M489">
        <v>163</v>
      </c>
      <c r="N489" t="s">
        <v>32</v>
      </c>
      <c r="O489" t="s">
        <v>32</v>
      </c>
      <c r="Q489" t="s">
        <v>32</v>
      </c>
      <c r="S489" t="s">
        <v>32</v>
      </c>
      <c r="U489" t="s">
        <v>32</v>
      </c>
      <c r="V489" t="s">
        <v>32</v>
      </c>
      <c r="W489" t="s">
        <v>32</v>
      </c>
      <c r="X489" t="s">
        <v>32</v>
      </c>
      <c r="Y489" t="s">
        <v>32</v>
      </c>
      <c r="AA489" t="s">
        <v>88</v>
      </c>
      <c r="AB489" t="s">
        <v>32</v>
      </c>
      <c r="AE489" t="s">
        <v>32</v>
      </c>
      <c r="AH489" t="s">
        <v>32</v>
      </c>
      <c r="AK489" t="s">
        <v>32</v>
      </c>
      <c r="AN489" t="s">
        <v>32</v>
      </c>
      <c r="AO489" t="s">
        <v>32</v>
      </c>
      <c r="AR489">
        <v>0</v>
      </c>
      <c r="AU489" t="s">
        <v>32</v>
      </c>
      <c r="AV489">
        <v>2665550</v>
      </c>
      <c r="AW489" t="s">
        <v>32</v>
      </c>
      <c r="AX489" t="s">
        <v>32</v>
      </c>
      <c r="AY489" t="s">
        <v>356</v>
      </c>
      <c r="AZ489">
        <v>25</v>
      </c>
      <c r="BA489">
        <v>3415673</v>
      </c>
      <c r="BB489">
        <v>0.16</v>
      </c>
      <c r="BC489">
        <v>546600</v>
      </c>
      <c r="BD489" t="s">
        <v>142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546600</v>
      </c>
      <c r="BK489" t="s">
        <v>25</v>
      </c>
      <c r="BL489" t="s">
        <v>1064</v>
      </c>
      <c r="BM489">
        <v>25</v>
      </c>
      <c r="BN489">
        <v>3415673</v>
      </c>
      <c r="BO489">
        <v>0.04</v>
      </c>
      <c r="BP489">
        <v>136700</v>
      </c>
      <c r="BQ489">
        <v>0</v>
      </c>
      <c r="BR489" t="s">
        <v>1438</v>
      </c>
      <c r="BS489">
        <v>0</v>
      </c>
      <c r="BT489" t="s">
        <v>1438</v>
      </c>
      <c r="BU489">
        <v>0</v>
      </c>
      <c r="BV489" t="s">
        <v>25</v>
      </c>
      <c r="BW489" t="s">
        <v>189</v>
      </c>
      <c r="BX489">
        <v>25</v>
      </c>
      <c r="BY489">
        <v>3415673</v>
      </c>
      <c r="BZ489">
        <v>6.9599999999999995E-2</v>
      </c>
      <c r="CA489" t="s">
        <v>1439</v>
      </c>
      <c r="CB489" t="s">
        <v>312</v>
      </c>
      <c r="CC489" t="s">
        <v>1440</v>
      </c>
      <c r="CD489">
        <v>237800</v>
      </c>
      <c r="CE489">
        <v>25</v>
      </c>
      <c r="CF489" t="s">
        <v>466</v>
      </c>
      <c r="CG489">
        <v>3415673</v>
      </c>
      <c r="CH489">
        <v>0.04</v>
      </c>
      <c r="CI489">
        <v>136700</v>
      </c>
      <c r="CJ489">
        <v>3415673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 t="s">
        <v>88</v>
      </c>
      <c r="CT489" t="s">
        <v>1441</v>
      </c>
      <c r="CU489" t="s">
        <v>1442</v>
      </c>
    </row>
    <row r="490" spans="1:99">
      <c r="A490" t="s">
        <v>1431</v>
      </c>
      <c r="B490" t="s">
        <v>34</v>
      </c>
      <c r="C490" t="s">
        <v>2703</v>
      </c>
      <c r="D490" t="s">
        <v>2704</v>
      </c>
      <c r="E490" t="s">
        <v>2690</v>
      </c>
      <c r="F490" t="s">
        <v>2691</v>
      </c>
      <c r="G490" t="s">
        <v>2410</v>
      </c>
      <c r="H490" t="s">
        <v>503</v>
      </c>
      <c r="I490" t="s">
        <v>240</v>
      </c>
      <c r="J490" t="s">
        <v>46</v>
      </c>
      <c r="K490" t="s">
        <v>29</v>
      </c>
      <c r="L490" t="s">
        <v>30</v>
      </c>
      <c r="M490">
        <v>123</v>
      </c>
      <c r="N490" t="s">
        <v>32</v>
      </c>
      <c r="O490" t="s">
        <v>32</v>
      </c>
      <c r="Q490" t="s">
        <v>32</v>
      </c>
      <c r="S490" t="s">
        <v>40</v>
      </c>
      <c r="T490">
        <v>46068</v>
      </c>
      <c r="U490" t="s">
        <v>32</v>
      </c>
      <c r="V490" t="s">
        <v>32</v>
      </c>
      <c r="W490" t="s">
        <v>32</v>
      </c>
      <c r="X490" t="s">
        <v>32</v>
      </c>
      <c r="Y490" t="s">
        <v>32</v>
      </c>
      <c r="AA490" t="s">
        <v>88</v>
      </c>
      <c r="AB490" t="s">
        <v>32</v>
      </c>
      <c r="AE490" t="s">
        <v>32</v>
      </c>
      <c r="AH490" t="s">
        <v>32</v>
      </c>
      <c r="AK490" t="s">
        <v>32</v>
      </c>
      <c r="AN490" t="s">
        <v>32</v>
      </c>
      <c r="AO490" t="s">
        <v>32</v>
      </c>
      <c r="AR490">
        <v>0</v>
      </c>
      <c r="AU490" t="s">
        <v>32</v>
      </c>
      <c r="AV490">
        <v>2223339</v>
      </c>
      <c r="AW490" t="s">
        <v>32</v>
      </c>
      <c r="AX490" t="s">
        <v>32</v>
      </c>
      <c r="AY490" t="s">
        <v>356</v>
      </c>
      <c r="AZ490">
        <v>15</v>
      </c>
      <c r="BA490">
        <v>2670517</v>
      </c>
      <c r="BB490">
        <v>0.16</v>
      </c>
      <c r="BC490">
        <v>427300</v>
      </c>
      <c r="BD490" t="s">
        <v>142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427300</v>
      </c>
      <c r="BK490" t="s">
        <v>25</v>
      </c>
      <c r="BL490" t="s">
        <v>726</v>
      </c>
      <c r="BM490">
        <v>15</v>
      </c>
      <c r="BN490">
        <v>2670517</v>
      </c>
      <c r="BO490">
        <v>0.04</v>
      </c>
      <c r="BP490">
        <v>106900</v>
      </c>
      <c r="BQ490">
        <v>0</v>
      </c>
      <c r="BR490" t="s">
        <v>1438</v>
      </c>
      <c r="BS490">
        <v>0</v>
      </c>
      <c r="BT490" t="s">
        <v>1438</v>
      </c>
      <c r="BU490">
        <v>0</v>
      </c>
      <c r="BV490" t="s">
        <v>25</v>
      </c>
      <c r="BW490" t="s">
        <v>189</v>
      </c>
      <c r="BX490">
        <v>15</v>
      </c>
      <c r="BY490">
        <v>2670517</v>
      </c>
      <c r="BZ490">
        <v>6.9599999999999995E-2</v>
      </c>
      <c r="CA490" t="s">
        <v>1439</v>
      </c>
      <c r="CB490" t="s">
        <v>227</v>
      </c>
      <c r="CC490" t="s">
        <v>1440</v>
      </c>
      <c r="CD490">
        <v>185900</v>
      </c>
      <c r="CE490">
        <v>15</v>
      </c>
      <c r="CF490" t="s">
        <v>635</v>
      </c>
      <c r="CG490">
        <v>2405378</v>
      </c>
      <c r="CH490">
        <v>0.04</v>
      </c>
      <c r="CI490">
        <v>96300</v>
      </c>
      <c r="CJ490">
        <v>2405378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 t="s">
        <v>88</v>
      </c>
      <c r="CT490" t="s">
        <v>1441</v>
      </c>
      <c r="CU490" t="s">
        <v>1442</v>
      </c>
    </row>
    <row r="491" spans="1:99">
      <c r="A491" t="s">
        <v>1431</v>
      </c>
      <c r="B491" t="s">
        <v>34</v>
      </c>
      <c r="C491" t="s">
        <v>2705</v>
      </c>
      <c r="D491" t="s">
        <v>2706</v>
      </c>
      <c r="E491" t="s">
        <v>1723</v>
      </c>
      <c r="F491" t="s">
        <v>1506</v>
      </c>
      <c r="G491" t="s">
        <v>1854</v>
      </c>
      <c r="H491" t="s">
        <v>1479</v>
      </c>
      <c r="I491" t="s">
        <v>682</v>
      </c>
      <c r="J491" t="s">
        <v>484</v>
      </c>
      <c r="K491" t="s">
        <v>29</v>
      </c>
      <c r="L491" t="s">
        <v>30</v>
      </c>
      <c r="M491">
        <v>180</v>
      </c>
      <c r="N491" t="s">
        <v>32</v>
      </c>
      <c r="O491" t="s">
        <v>32</v>
      </c>
      <c r="Q491" t="s">
        <v>32</v>
      </c>
      <c r="S491" t="s">
        <v>32</v>
      </c>
      <c r="U491" t="s">
        <v>32</v>
      </c>
      <c r="V491" t="s">
        <v>32</v>
      </c>
      <c r="W491" t="s">
        <v>32</v>
      </c>
      <c r="X491" t="s">
        <v>32</v>
      </c>
      <c r="Y491" t="s">
        <v>88</v>
      </c>
      <c r="Z491">
        <v>46054</v>
      </c>
      <c r="AA491" t="s">
        <v>32</v>
      </c>
      <c r="AB491" t="s">
        <v>32</v>
      </c>
      <c r="AE491" t="s">
        <v>32</v>
      </c>
      <c r="AH491" t="s">
        <v>32</v>
      </c>
      <c r="AK491" t="s">
        <v>32</v>
      </c>
      <c r="AN491" t="s">
        <v>32</v>
      </c>
      <c r="AO491" t="s">
        <v>32</v>
      </c>
      <c r="AR491">
        <v>0</v>
      </c>
      <c r="AU491" t="s">
        <v>32</v>
      </c>
      <c r="AV491">
        <v>4484143</v>
      </c>
      <c r="AW491" t="s">
        <v>32</v>
      </c>
      <c r="AX491" t="s">
        <v>32</v>
      </c>
      <c r="AY491" t="s">
        <v>317</v>
      </c>
      <c r="AZ491">
        <v>30</v>
      </c>
      <c r="BA491">
        <v>4484143</v>
      </c>
      <c r="BB491">
        <v>0.16</v>
      </c>
      <c r="BC491">
        <v>717500</v>
      </c>
      <c r="BD491" t="s">
        <v>142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717500</v>
      </c>
      <c r="BK491" t="s">
        <v>25</v>
      </c>
      <c r="BL491" t="s">
        <v>1491</v>
      </c>
      <c r="BM491">
        <v>30</v>
      </c>
      <c r="BN491">
        <v>4484143</v>
      </c>
      <c r="BO491">
        <v>0.04</v>
      </c>
      <c r="BP491">
        <v>179400</v>
      </c>
      <c r="BQ491">
        <v>0</v>
      </c>
      <c r="BR491" t="s">
        <v>1438</v>
      </c>
      <c r="BS491">
        <v>0</v>
      </c>
      <c r="BT491" t="s">
        <v>1438</v>
      </c>
      <c r="BU491">
        <v>0</v>
      </c>
      <c r="BV491" t="s">
        <v>25</v>
      </c>
      <c r="BW491" t="s">
        <v>189</v>
      </c>
      <c r="BX491">
        <v>30</v>
      </c>
      <c r="BY491">
        <v>4484143</v>
      </c>
      <c r="BZ491">
        <v>6.9599999999999995E-2</v>
      </c>
      <c r="CA491" t="s">
        <v>1439</v>
      </c>
      <c r="CB491" t="s">
        <v>312</v>
      </c>
      <c r="CC491" t="s">
        <v>1440</v>
      </c>
      <c r="CD491">
        <v>312100</v>
      </c>
      <c r="CE491">
        <v>30</v>
      </c>
      <c r="CF491" t="s">
        <v>466</v>
      </c>
      <c r="CG491">
        <v>4484143</v>
      </c>
      <c r="CH491">
        <v>0.04</v>
      </c>
      <c r="CI491">
        <v>179400</v>
      </c>
      <c r="CJ491">
        <v>4484143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 t="s">
        <v>88</v>
      </c>
      <c r="CT491" t="s">
        <v>1441</v>
      </c>
      <c r="CU491" t="s">
        <v>1442</v>
      </c>
    </row>
    <row r="492" spans="1:99">
      <c r="A492" t="s">
        <v>1431</v>
      </c>
      <c r="B492" t="s">
        <v>34</v>
      </c>
      <c r="C492" t="s">
        <v>2707</v>
      </c>
      <c r="D492" t="s">
        <v>2708</v>
      </c>
      <c r="E492" t="s">
        <v>2709</v>
      </c>
      <c r="F492" t="s">
        <v>2710</v>
      </c>
      <c r="G492" t="s">
        <v>1436</v>
      </c>
      <c r="H492" t="s">
        <v>1558</v>
      </c>
      <c r="I492" t="s">
        <v>240</v>
      </c>
      <c r="J492" t="s">
        <v>46</v>
      </c>
      <c r="K492" t="s">
        <v>29</v>
      </c>
      <c r="L492" t="s">
        <v>30</v>
      </c>
      <c r="M492">
        <v>218</v>
      </c>
      <c r="N492" t="s">
        <v>32</v>
      </c>
      <c r="O492" t="s">
        <v>32</v>
      </c>
      <c r="Q492" t="s">
        <v>32</v>
      </c>
      <c r="S492" t="s">
        <v>32</v>
      </c>
      <c r="U492" t="s">
        <v>32</v>
      </c>
      <c r="V492" t="s">
        <v>32</v>
      </c>
      <c r="W492" t="s">
        <v>32</v>
      </c>
      <c r="X492" t="s">
        <v>32</v>
      </c>
      <c r="Y492" t="s">
        <v>32</v>
      </c>
      <c r="AA492" t="s">
        <v>88</v>
      </c>
      <c r="AB492" t="s">
        <v>32</v>
      </c>
      <c r="AE492" t="s">
        <v>32</v>
      </c>
      <c r="AH492" t="s">
        <v>32</v>
      </c>
      <c r="AK492" t="s">
        <v>32</v>
      </c>
      <c r="AN492" t="s">
        <v>32</v>
      </c>
      <c r="AO492" t="s">
        <v>32</v>
      </c>
      <c r="AR492">
        <v>0</v>
      </c>
      <c r="AU492" t="s">
        <v>32</v>
      </c>
      <c r="AV492">
        <v>2970185</v>
      </c>
      <c r="AW492" t="s">
        <v>32</v>
      </c>
      <c r="AX492" t="s">
        <v>32</v>
      </c>
      <c r="AY492" t="s">
        <v>356</v>
      </c>
      <c r="AZ492">
        <v>30</v>
      </c>
      <c r="BA492">
        <v>4331067</v>
      </c>
      <c r="BB492">
        <v>0.16</v>
      </c>
      <c r="BC492">
        <v>693000</v>
      </c>
      <c r="BD492" t="s">
        <v>142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693000</v>
      </c>
      <c r="BK492" t="s">
        <v>25</v>
      </c>
      <c r="BL492" t="s">
        <v>1064</v>
      </c>
      <c r="BM492">
        <v>30</v>
      </c>
      <c r="BN492">
        <v>4331067</v>
      </c>
      <c r="BO492">
        <v>0.04</v>
      </c>
      <c r="BP492">
        <v>173300</v>
      </c>
      <c r="BQ492">
        <v>0</v>
      </c>
      <c r="BR492" t="s">
        <v>1438</v>
      </c>
      <c r="BS492">
        <v>0</v>
      </c>
      <c r="BT492" t="s">
        <v>1438</v>
      </c>
      <c r="BU492">
        <v>0</v>
      </c>
      <c r="BV492" t="s">
        <v>25</v>
      </c>
      <c r="BW492" t="s">
        <v>189</v>
      </c>
      <c r="BX492">
        <v>30</v>
      </c>
      <c r="BY492">
        <v>4331067</v>
      </c>
      <c r="BZ492">
        <v>6.9599999999999995E-2</v>
      </c>
      <c r="CA492" t="s">
        <v>1439</v>
      </c>
      <c r="CB492" t="s">
        <v>227</v>
      </c>
      <c r="CC492" t="s">
        <v>1440</v>
      </c>
      <c r="CD492">
        <v>301500</v>
      </c>
      <c r="CE492">
        <v>30</v>
      </c>
      <c r="CF492" t="s">
        <v>635</v>
      </c>
      <c r="CG492">
        <v>4028022</v>
      </c>
      <c r="CH492">
        <v>0.04</v>
      </c>
      <c r="CI492">
        <v>161200</v>
      </c>
      <c r="CJ492">
        <v>4028022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 t="s">
        <v>88</v>
      </c>
      <c r="CT492" t="s">
        <v>1441</v>
      </c>
      <c r="CU492" t="s">
        <v>1442</v>
      </c>
    </row>
    <row r="493" spans="1:99">
      <c r="A493" t="s">
        <v>1431</v>
      </c>
      <c r="B493" t="s">
        <v>34</v>
      </c>
      <c r="C493" t="s">
        <v>2711</v>
      </c>
      <c r="D493" t="s">
        <v>2712</v>
      </c>
      <c r="E493" t="s">
        <v>1507</v>
      </c>
      <c r="F493" t="s">
        <v>1483</v>
      </c>
      <c r="G493" t="s">
        <v>2713</v>
      </c>
      <c r="H493" t="s">
        <v>1479</v>
      </c>
      <c r="I493" t="s">
        <v>203</v>
      </c>
      <c r="J493" t="s">
        <v>403</v>
      </c>
      <c r="K493" t="s">
        <v>29</v>
      </c>
      <c r="L493" t="s">
        <v>30</v>
      </c>
      <c r="M493">
        <v>103</v>
      </c>
      <c r="N493" t="s">
        <v>32</v>
      </c>
      <c r="O493" t="s">
        <v>32</v>
      </c>
      <c r="Q493" t="s">
        <v>32</v>
      </c>
      <c r="S493" t="s">
        <v>40</v>
      </c>
      <c r="T493">
        <v>46081</v>
      </c>
      <c r="U493" t="s">
        <v>32</v>
      </c>
      <c r="V493" t="s">
        <v>32</v>
      </c>
      <c r="W493" t="s">
        <v>32</v>
      </c>
      <c r="X493" t="s">
        <v>32</v>
      </c>
      <c r="Y493" t="s">
        <v>88</v>
      </c>
      <c r="Z493">
        <v>46054</v>
      </c>
      <c r="AA493" t="s">
        <v>88</v>
      </c>
      <c r="AB493" t="s">
        <v>32</v>
      </c>
      <c r="AE493" t="s">
        <v>32</v>
      </c>
      <c r="AH493" t="s">
        <v>32</v>
      </c>
      <c r="AK493" t="s">
        <v>32</v>
      </c>
      <c r="AN493" t="s">
        <v>32</v>
      </c>
      <c r="AO493" t="s">
        <v>32</v>
      </c>
      <c r="AR493">
        <v>0</v>
      </c>
      <c r="AU493" t="s">
        <v>32</v>
      </c>
      <c r="AV493">
        <v>1889179</v>
      </c>
      <c r="AW493" t="s">
        <v>32</v>
      </c>
      <c r="AX493" t="s">
        <v>32</v>
      </c>
      <c r="AY493" t="s">
        <v>317</v>
      </c>
      <c r="AZ493">
        <v>15</v>
      </c>
      <c r="BA493">
        <v>1024689</v>
      </c>
      <c r="BB493">
        <v>0.16</v>
      </c>
      <c r="BC493">
        <v>164000</v>
      </c>
      <c r="BD493" t="s">
        <v>142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164000</v>
      </c>
      <c r="BK493" t="s">
        <v>25</v>
      </c>
      <c r="BL493" t="s">
        <v>1000</v>
      </c>
      <c r="BM493">
        <v>15</v>
      </c>
      <c r="BN493">
        <v>1024689</v>
      </c>
      <c r="BO493">
        <v>0.04</v>
      </c>
      <c r="BP493">
        <v>41000</v>
      </c>
      <c r="BQ493">
        <v>0</v>
      </c>
      <c r="BR493" t="s">
        <v>1438</v>
      </c>
      <c r="BS493">
        <v>0</v>
      </c>
      <c r="BT493" t="s">
        <v>1438</v>
      </c>
      <c r="BU493">
        <v>0</v>
      </c>
      <c r="BV493" t="s">
        <v>25</v>
      </c>
      <c r="BW493" t="s">
        <v>189</v>
      </c>
      <c r="BX493">
        <v>15</v>
      </c>
      <c r="BY493">
        <v>1024689</v>
      </c>
      <c r="BZ493">
        <v>6.9599999999999995E-2</v>
      </c>
      <c r="CA493" t="s">
        <v>1439</v>
      </c>
      <c r="CB493" t="s">
        <v>609</v>
      </c>
      <c r="CC493" t="s">
        <v>1440</v>
      </c>
      <c r="CD493">
        <v>71400</v>
      </c>
      <c r="CE493">
        <v>15</v>
      </c>
      <c r="CF493" t="s">
        <v>1001</v>
      </c>
      <c r="CG493">
        <v>1024689</v>
      </c>
      <c r="CH493">
        <v>0.04</v>
      </c>
      <c r="CI493">
        <v>41000</v>
      </c>
      <c r="CJ493">
        <v>1024689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 t="s">
        <v>88</v>
      </c>
      <c r="CT493" t="s">
        <v>1441</v>
      </c>
      <c r="CU493" t="s">
        <v>1442</v>
      </c>
    </row>
    <row r="494" spans="1:99">
      <c r="A494" t="s">
        <v>1431</v>
      </c>
      <c r="B494" t="s">
        <v>34</v>
      </c>
      <c r="C494" t="s">
        <v>2711</v>
      </c>
      <c r="D494" t="s">
        <v>2712</v>
      </c>
      <c r="E494" t="s">
        <v>1507</v>
      </c>
      <c r="F494" t="s">
        <v>1483</v>
      </c>
      <c r="G494" t="s">
        <v>2713</v>
      </c>
      <c r="H494" t="s">
        <v>1479</v>
      </c>
      <c r="I494" t="s">
        <v>203</v>
      </c>
      <c r="J494" t="s">
        <v>403</v>
      </c>
      <c r="K494" t="s">
        <v>29</v>
      </c>
      <c r="L494" t="s">
        <v>30</v>
      </c>
      <c r="M494">
        <v>192</v>
      </c>
      <c r="N494" t="s">
        <v>32</v>
      </c>
      <c r="O494" t="s">
        <v>32</v>
      </c>
      <c r="Q494" t="s">
        <v>32</v>
      </c>
      <c r="S494" t="s">
        <v>40</v>
      </c>
      <c r="T494">
        <v>46081</v>
      </c>
      <c r="U494" t="s">
        <v>32</v>
      </c>
      <c r="V494" t="s">
        <v>32</v>
      </c>
      <c r="W494" t="s">
        <v>32</v>
      </c>
      <c r="X494" t="s">
        <v>32</v>
      </c>
      <c r="Y494" t="s">
        <v>88</v>
      </c>
      <c r="Z494">
        <v>46054</v>
      </c>
      <c r="AA494" t="s">
        <v>88</v>
      </c>
      <c r="AB494" t="s">
        <v>32</v>
      </c>
      <c r="AE494" t="s">
        <v>32</v>
      </c>
      <c r="AH494" t="s">
        <v>32</v>
      </c>
      <c r="AK494" t="s">
        <v>32</v>
      </c>
      <c r="AN494" t="s">
        <v>32</v>
      </c>
      <c r="AO494" t="s">
        <v>32</v>
      </c>
      <c r="AR494">
        <v>0</v>
      </c>
      <c r="AU494" t="s">
        <v>32</v>
      </c>
      <c r="AV494">
        <v>1889179</v>
      </c>
      <c r="AW494" t="s">
        <v>32</v>
      </c>
      <c r="AX494" t="s">
        <v>32</v>
      </c>
      <c r="AY494" t="s">
        <v>317</v>
      </c>
      <c r="AZ494">
        <v>15</v>
      </c>
      <c r="BA494">
        <v>1195814</v>
      </c>
      <c r="BB494">
        <v>0.16</v>
      </c>
      <c r="BC494">
        <v>191400</v>
      </c>
      <c r="BD494" t="s">
        <v>142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191400</v>
      </c>
      <c r="BK494" t="s">
        <v>25</v>
      </c>
      <c r="BL494" t="s">
        <v>1000</v>
      </c>
      <c r="BM494">
        <v>15</v>
      </c>
      <c r="BN494">
        <v>1195814</v>
      </c>
      <c r="BO494">
        <v>0.04</v>
      </c>
      <c r="BP494">
        <v>47900</v>
      </c>
      <c r="BQ494">
        <v>0</v>
      </c>
      <c r="BR494" t="s">
        <v>1438</v>
      </c>
      <c r="BS494">
        <v>0</v>
      </c>
      <c r="BT494" t="s">
        <v>1438</v>
      </c>
      <c r="BU494">
        <v>0</v>
      </c>
      <c r="BV494" t="s">
        <v>25</v>
      </c>
      <c r="BW494" t="s">
        <v>189</v>
      </c>
      <c r="BX494">
        <v>15</v>
      </c>
      <c r="BY494">
        <v>1195814</v>
      </c>
      <c r="BZ494">
        <v>6.9599999999999995E-2</v>
      </c>
      <c r="CA494" t="s">
        <v>1439</v>
      </c>
      <c r="CB494" t="s">
        <v>609</v>
      </c>
      <c r="CC494" t="s">
        <v>1440</v>
      </c>
      <c r="CD494">
        <v>83300</v>
      </c>
      <c r="CE494">
        <v>15</v>
      </c>
      <c r="CF494" t="s">
        <v>1001</v>
      </c>
      <c r="CG494">
        <v>1858315</v>
      </c>
      <c r="CH494">
        <v>0.04</v>
      </c>
      <c r="CI494">
        <v>74400</v>
      </c>
      <c r="CJ494">
        <v>1858315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 t="s">
        <v>88</v>
      </c>
      <c r="CT494" t="s">
        <v>1441</v>
      </c>
      <c r="CU494" t="s">
        <v>1442</v>
      </c>
    </row>
    <row r="495" spans="1:99">
      <c r="A495" t="s">
        <v>1431</v>
      </c>
      <c r="B495" t="s">
        <v>34</v>
      </c>
      <c r="C495" t="s">
        <v>2714</v>
      </c>
      <c r="D495" t="s">
        <v>2715</v>
      </c>
      <c r="E495" t="s">
        <v>2080</v>
      </c>
      <c r="F495" t="s">
        <v>2716</v>
      </c>
      <c r="G495" t="s">
        <v>2717</v>
      </c>
      <c r="H495" t="s">
        <v>1613</v>
      </c>
      <c r="I495" t="s">
        <v>682</v>
      </c>
      <c r="J495" t="s">
        <v>484</v>
      </c>
      <c r="K495" t="s">
        <v>29</v>
      </c>
      <c r="L495" t="s">
        <v>30</v>
      </c>
      <c r="M495">
        <v>205</v>
      </c>
      <c r="N495" t="s">
        <v>32</v>
      </c>
      <c r="O495" t="s">
        <v>32</v>
      </c>
      <c r="Q495" t="s">
        <v>32</v>
      </c>
      <c r="S495" t="s">
        <v>32</v>
      </c>
      <c r="U495" t="s">
        <v>32</v>
      </c>
      <c r="V495" t="s">
        <v>32</v>
      </c>
      <c r="W495" t="s">
        <v>32</v>
      </c>
      <c r="X495" t="s">
        <v>32</v>
      </c>
      <c r="Y495" t="s">
        <v>32</v>
      </c>
      <c r="AA495" t="s">
        <v>88</v>
      </c>
      <c r="AB495" t="s">
        <v>32</v>
      </c>
      <c r="AE495" t="s">
        <v>32</v>
      </c>
      <c r="AH495" t="s">
        <v>32</v>
      </c>
      <c r="AK495" t="s">
        <v>32</v>
      </c>
      <c r="AN495" t="s">
        <v>32</v>
      </c>
      <c r="AO495" t="s">
        <v>32</v>
      </c>
      <c r="AR495">
        <v>0</v>
      </c>
      <c r="AU495" t="s">
        <v>32</v>
      </c>
      <c r="AV495">
        <v>2074908</v>
      </c>
      <c r="AW495" t="s">
        <v>32</v>
      </c>
      <c r="AX495" t="s">
        <v>32</v>
      </c>
      <c r="AY495" t="s">
        <v>137</v>
      </c>
      <c r="AZ495">
        <v>30</v>
      </c>
      <c r="BA495">
        <v>2452635</v>
      </c>
      <c r="BB495">
        <v>0.16</v>
      </c>
      <c r="BC495">
        <v>392500</v>
      </c>
      <c r="BD495" t="s">
        <v>142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392500</v>
      </c>
      <c r="BK495" t="s">
        <v>25</v>
      </c>
      <c r="BL495" t="s">
        <v>870</v>
      </c>
      <c r="BM495">
        <v>30</v>
      </c>
      <c r="BN495">
        <v>2452635</v>
      </c>
      <c r="BO495">
        <v>0.04</v>
      </c>
      <c r="BP495">
        <v>98200</v>
      </c>
      <c r="BQ495">
        <v>0</v>
      </c>
      <c r="BR495" t="s">
        <v>1438</v>
      </c>
      <c r="BS495">
        <v>0</v>
      </c>
      <c r="BT495" t="s">
        <v>1438</v>
      </c>
      <c r="BU495">
        <v>0</v>
      </c>
      <c r="BV495" t="s">
        <v>25</v>
      </c>
      <c r="BW495" t="s">
        <v>189</v>
      </c>
      <c r="BX495">
        <v>30</v>
      </c>
      <c r="BY495">
        <v>2452635</v>
      </c>
      <c r="BZ495">
        <v>6.9599999999999995E-2</v>
      </c>
      <c r="CA495" t="s">
        <v>1439</v>
      </c>
      <c r="CB495" t="s">
        <v>312</v>
      </c>
      <c r="CC495" t="s">
        <v>1440</v>
      </c>
      <c r="CD495">
        <v>170800</v>
      </c>
      <c r="CE495">
        <v>30</v>
      </c>
      <c r="CF495" t="s">
        <v>466</v>
      </c>
      <c r="CG495">
        <v>2452635</v>
      </c>
      <c r="CH495">
        <v>0.04</v>
      </c>
      <c r="CI495">
        <v>98200</v>
      </c>
      <c r="CJ495">
        <v>2452635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 t="s">
        <v>88</v>
      </c>
      <c r="CT495" t="s">
        <v>1441</v>
      </c>
      <c r="CU495" t="s">
        <v>1442</v>
      </c>
    </row>
    <row r="496" spans="1:99">
      <c r="A496" t="s">
        <v>1431</v>
      </c>
      <c r="B496" t="s">
        <v>34</v>
      </c>
      <c r="C496" t="s">
        <v>2718</v>
      </c>
      <c r="D496" t="s">
        <v>2719</v>
      </c>
      <c r="E496" t="s">
        <v>2720</v>
      </c>
      <c r="F496" t="s">
        <v>1639</v>
      </c>
      <c r="G496" t="s">
        <v>2070</v>
      </c>
      <c r="H496" t="s">
        <v>2721</v>
      </c>
      <c r="I496" t="s">
        <v>240</v>
      </c>
      <c r="J496" t="s">
        <v>46</v>
      </c>
      <c r="K496" t="s">
        <v>29</v>
      </c>
      <c r="L496" t="s">
        <v>30</v>
      </c>
      <c r="M496">
        <v>0</v>
      </c>
      <c r="N496" t="s">
        <v>32</v>
      </c>
      <c r="O496" t="s">
        <v>32</v>
      </c>
      <c r="Q496" t="s">
        <v>32</v>
      </c>
      <c r="S496" t="s">
        <v>32</v>
      </c>
      <c r="U496" t="s">
        <v>32</v>
      </c>
      <c r="V496" t="s">
        <v>32</v>
      </c>
      <c r="W496" t="s">
        <v>32</v>
      </c>
      <c r="X496" t="s">
        <v>32</v>
      </c>
      <c r="Y496" t="s">
        <v>32</v>
      </c>
      <c r="AA496" t="s">
        <v>32</v>
      </c>
      <c r="AB496" t="s">
        <v>37</v>
      </c>
      <c r="AC496">
        <v>46054</v>
      </c>
      <c r="AD496">
        <v>46054</v>
      </c>
      <c r="AE496" t="s">
        <v>32</v>
      </c>
      <c r="AH496" t="s">
        <v>32</v>
      </c>
      <c r="AK496" t="s">
        <v>32</v>
      </c>
      <c r="AN496" t="s">
        <v>32</v>
      </c>
      <c r="AO496" t="s">
        <v>32</v>
      </c>
      <c r="AR496">
        <v>0</v>
      </c>
      <c r="AU496" t="s">
        <v>32</v>
      </c>
      <c r="AV496">
        <v>2223339</v>
      </c>
      <c r="AW496" t="s">
        <v>32</v>
      </c>
      <c r="AX496" t="s">
        <v>32</v>
      </c>
      <c r="AY496" t="s">
        <v>317</v>
      </c>
      <c r="AZ496">
        <v>1</v>
      </c>
      <c r="BA496">
        <v>74112</v>
      </c>
      <c r="BB496">
        <v>0.16</v>
      </c>
      <c r="BC496">
        <v>11900</v>
      </c>
      <c r="BD496" t="s">
        <v>142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11900</v>
      </c>
      <c r="BK496" t="s">
        <v>25</v>
      </c>
      <c r="BL496" t="s">
        <v>1010</v>
      </c>
      <c r="BM496">
        <v>1</v>
      </c>
      <c r="BN496">
        <v>74112</v>
      </c>
      <c r="BO496">
        <v>0</v>
      </c>
      <c r="BP496">
        <v>0</v>
      </c>
      <c r="BQ496">
        <v>0</v>
      </c>
      <c r="BR496" t="s">
        <v>1438</v>
      </c>
      <c r="BS496">
        <v>0</v>
      </c>
      <c r="BT496" t="s">
        <v>1438</v>
      </c>
      <c r="BU496">
        <v>0</v>
      </c>
      <c r="BV496" t="s">
        <v>25</v>
      </c>
      <c r="BW496" t="s">
        <v>189</v>
      </c>
      <c r="BX496">
        <v>1</v>
      </c>
      <c r="BY496">
        <v>74112</v>
      </c>
      <c r="BZ496">
        <v>0</v>
      </c>
      <c r="CA496" t="s">
        <v>1439</v>
      </c>
      <c r="CB496" t="s">
        <v>227</v>
      </c>
      <c r="CC496" t="s">
        <v>1440</v>
      </c>
      <c r="CD496">
        <v>0</v>
      </c>
      <c r="CE496">
        <v>1</v>
      </c>
      <c r="CF496" t="s">
        <v>635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 t="s">
        <v>88</v>
      </c>
      <c r="CT496" t="s">
        <v>1441</v>
      </c>
      <c r="CU496" t="s">
        <v>1442</v>
      </c>
    </row>
    <row r="497" spans="1:99">
      <c r="A497" t="s">
        <v>1431</v>
      </c>
      <c r="B497" t="s">
        <v>34</v>
      </c>
      <c r="C497" t="s">
        <v>2718</v>
      </c>
      <c r="D497" t="s">
        <v>2719</v>
      </c>
      <c r="E497" t="s">
        <v>2720</v>
      </c>
      <c r="F497" t="s">
        <v>1639</v>
      </c>
      <c r="G497" t="s">
        <v>2070</v>
      </c>
      <c r="H497" t="s">
        <v>2721</v>
      </c>
      <c r="I497" t="s">
        <v>240</v>
      </c>
      <c r="J497" t="s">
        <v>46</v>
      </c>
      <c r="K497" t="s">
        <v>29</v>
      </c>
      <c r="L497" t="s">
        <v>30</v>
      </c>
      <c r="M497">
        <v>0</v>
      </c>
      <c r="N497" t="s">
        <v>32</v>
      </c>
      <c r="O497" t="s">
        <v>32</v>
      </c>
      <c r="Q497" t="s">
        <v>32</v>
      </c>
      <c r="S497" t="s">
        <v>32</v>
      </c>
      <c r="U497" t="s">
        <v>32</v>
      </c>
      <c r="V497" t="s">
        <v>32</v>
      </c>
      <c r="W497" t="s">
        <v>32</v>
      </c>
      <c r="X497" t="s">
        <v>32</v>
      </c>
      <c r="Y497" t="s">
        <v>32</v>
      </c>
      <c r="AA497" t="s">
        <v>32</v>
      </c>
      <c r="AB497" t="s">
        <v>37</v>
      </c>
      <c r="AC497">
        <v>46069</v>
      </c>
      <c r="AD497">
        <v>46074</v>
      </c>
      <c r="AE497" t="s">
        <v>32</v>
      </c>
      <c r="AH497" t="s">
        <v>32</v>
      </c>
      <c r="AK497" t="s">
        <v>32</v>
      </c>
      <c r="AN497" t="s">
        <v>32</v>
      </c>
      <c r="AO497" t="s">
        <v>32</v>
      </c>
      <c r="AR497">
        <v>0</v>
      </c>
      <c r="AU497" t="s">
        <v>32</v>
      </c>
      <c r="AV497">
        <v>2223339</v>
      </c>
      <c r="AW497" t="s">
        <v>32</v>
      </c>
      <c r="AX497" t="s">
        <v>32</v>
      </c>
      <c r="AY497" t="s">
        <v>317</v>
      </c>
      <c r="AZ497">
        <v>6</v>
      </c>
      <c r="BA497">
        <v>444668</v>
      </c>
      <c r="BB497">
        <v>0.16</v>
      </c>
      <c r="BC497">
        <v>71200</v>
      </c>
      <c r="BD497" t="s">
        <v>142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71200</v>
      </c>
      <c r="BK497" t="s">
        <v>25</v>
      </c>
      <c r="BL497" t="s">
        <v>1010</v>
      </c>
      <c r="BM497">
        <v>6</v>
      </c>
      <c r="BN497">
        <v>444668</v>
      </c>
      <c r="BO497">
        <v>0</v>
      </c>
      <c r="BP497">
        <v>0</v>
      </c>
      <c r="BQ497">
        <v>0</v>
      </c>
      <c r="BR497" t="s">
        <v>1438</v>
      </c>
      <c r="BS497">
        <v>0</v>
      </c>
      <c r="BT497" t="s">
        <v>1438</v>
      </c>
      <c r="BU497">
        <v>0</v>
      </c>
      <c r="BV497" t="s">
        <v>25</v>
      </c>
      <c r="BW497" t="s">
        <v>189</v>
      </c>
      <c r="BX497">
        <v>6</v>
      </c>
      <c r="BY497">
        <v>444668</v>
      </c>
      <c r="BZ497">
        <v>0</v>
      </c>
      <c r="CA497" t="s">
        <v>1439</v>
      </c>
      <c r="CB497" t="s">
        <v>227</v>
      </c>
      <c r="CC497" t="s">
        <v>1440</v>
      </c>
      <c r="CD497">
        <v>0</v>
      </c>
      <c r="CE497">
        <v>6</v>
      </c>
      <c r="CF497" t="s">
        <v>635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 t="s">
        <v>88</v>
      </c>
      <c r="CT497" t="s">
        <v>1441</v>
      </c>
      <c r="CU497" t="s">
        <v>1442</v>
      </c>
    </row>
    <row r="498" spans="1:99">
      <c r="A498" t="s">
        <v>1431</v>
      </c>
      <c r="B498" t="s">
        <v>34</v>
      </c>
      <c r="C498" t="s">
        <v>2718</v>
      </c>
      <c r="D498" t="s">
        <v>2719</v>
      </c>
      <c r="E498" t="s">
        <v>2720</v>
      </c>
      <c r="F498" t="s">
        <v>1639</v>
      </c>
      <c r="G498" t="s">
        <v>2070</v>
      </c>
      <c r="H498" t="s">
        <v>2721</v>
      </c>
      <c r="I498" t="s">
        <v>240</v>
      </c>
      <c r="J498" t="s">
        <v>46</v>
      </c>
      <c r="K498" t="s">
        <v>29</v>
      </c>
      <c r="L498" t="s">
        <v>30</v>
      </c>
      <c r="M498">
        <v>122</v>
      </c>
      <c r="N498" t="s">
        <v>32</v>
      </c>
      <c r="O498" t="s">
        <v>32</v>
      </c>
      <c r="Q498" t="s">
        <v>32</v>
      </c>
      <c r="S498" t="s">
        <v>40</v>
      </c>
      <c r="T498">
        <v>46074</v>
      </c>
      <c r="U498" t="s">
        <v>32</v>
      </c>
      <c r="V498" t="s">
        <v>32</v>
      </c>
      <c r="W498" t="s">
        <v>32</v>
      </c>
      <c r="X498" t="s">
        <v>32</v>
      </c>
      <c r="Y498" t="s">
        <v>32</v>
      </c>
      <c r="AA498" t="s">
        <v>88</v>
      </c>
      <c r="AB498" t="s">
        <v>32</v>
      </c>
      <c r="AE498" t="s">
        <v>32</v>
      </c>
      <c r="AH498" t="s">
        <v>32</v>
      </c>
      <c r="AK498" t="s">
        <v>32</v>
      </c>
      <c r="AN498" t="s">
        <v>32</v>
      </c>
      <c r="AO498" t="s">
        <v>32</v>
      </c>
      <c r="AR498">
        <v>0</v>
      </c>
      <c r="AU498" t="s">
        <v>32</v>
      </c>
      <c r="AV498">
        <v>2223339</v>
      </c>
      <c r="AW498" t="s">
        <v>32</v>
      </c>
      <c r="AX498" t="s">
        <v>32</v>
      </c>
      <c r="AY498" t="s">
        <v>317</v>
      </c>
      <c r="AZ498">
        <v>14</v>
      </c>
      <c r="BA498">
        <v>2191197</v>
      </c>
      <c r="BB498">
        <v>0.16</v>
      </c>
      <c r="BC498">
        <v>350600</v>
      </c>
      <c r="BD498" t="s">
        <v>142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350600</v>
      </c>
      <c r="BK498" t="s">
        <v>25</v>
      </c>
      <c r="BL498" t="s">
        <v>1010</v>
      </c>
      <c r="BM498">
        <v>14</v>
      </c>
      <c r="BN498">
        <v>2191197</v>
      </c>
      <c r="BO498">
        <v>0.04</v>
      </c>
      <c r="BP498">
        <v>87700</v>
      </c>
      <c r="BQ498">
        <v>0</v>
      </c>
      <c r="BR498" t="s">
        <v>1438</v>
      </c>
      <c r="BS498">
        <v>0</v>
      </c>
      <c r="BT498" t="s">
        <v>1438</v>
      </c>
      <c r="BU498">
        <v>0</v>
      </c>
      <c r="BV498" t="s">
        <v>25</v>
      </c>
      <c r="BW498" t="s">
        <v>189</v>
      </c>
      <c r="BX498">
        <v>14</v>
      </c>
      <c r="BY498">
        <v>2191197</v>
      </c>
      <c r="BZ498">
        <v>6.9599999999999995E-2</v>
      </c>
      <c r="CA498" t="s">
        <v>1439</v>
      </c>
      <c r="CB498" t="s">
        <v>227</v>
      </c>
      <c r="CC498" t="s">
        <v>1440</v>
      </c>
      <c r="CD498">
        <v>152600</v>
      </c>
      <c r="CE498">
        <v>14</v>
      </c>
      <c r="CF498" t="s">
        <v>635</v>
      </c>
      <c r="CG498">
        <v>2685692</v>
      </c>
      <c r="CH498">
        <v>0.04</v>
      </c>
      <c r="CI498">
        <v>107500</v>
      </c>
      <c r="CJ498">
        <v>2685692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 t="s">
        <v>88</v>
      </c>
      <c r="CT498" t="s">
        <v>1441</v>
      </c>
      <c r="CU498" t="s">
        <v>1442</v>
      </c>
    </row>
    <row r="499" spans="1:99">
      <c r="A499" t="s">
        <v>1431</v>
      </c>
      <c r="B499" t="s">
        <v>34</v>
      </c>
      <c r="C499" t="s">
        <v>2722</v>
      </c>
      <c r="D499" t="s">
        <v>2723</v>
      </c>
      <c r="E499" t="s">
        <v>2077</v>
      </c>
      <c r="F499" t="s">
        <v>2724</v>
      </c>
      <c r="G499" t="s">
        <v>1479</v>
      </c>
      <c r="H499" t="s">
        <v>2725</v>
      </c>
      <c r="I499" t="s">
        <v>240</v>
      </c>
      <c r="J499" t="s">
        <v>46</v>
      </c>
      <c r="K499" t="s">
        <v>29</v>
      </c>
      <c r="L499" t="s">
        <v>30</v>
      </c>
      <c r="M499">
        <v>222</v>
      </c>
      <c r="N499" t="s">
        <v>32</v>
      </c>
      <c r="O499" t="s">
        <v>32</v>
      </c>
      <c r="Q499" t="s">
        <v>32</v>
      </c>
      <c r="S499" t="s">
        <v>32</v>
      </c>
      <c r="U499" t="s">
        <v>32</v>
      </c>
      <c r="V499" t="s">
        <v>32</v>
      </c>
      <c r="W499" t="s">
        <v>32</v>
      </c>
      <c r="X499" t="s">
        <v>32</v>
      </c>
      <c r="Y499" t="s">
        <v>32</v>
      </c>
      <c r="AA499" t="s">
        <v>88</v>
      </c>
      <c r="AB499" t="s">
        <v>32</v>
      </c>
      <c r="AE499" t="s">
        <v>32</v>
      </c>
      <c r="AH499" t="s">
        <v>32</v>
      </c>
      <c r="AK499" t="s">
        <v>32</v>
      </c>
      <c r="AN499" t="s">
        <v>32</v>
      </c>
      <c r="AO499" t="s">
        <v>32</v>
      </c>
      <c r="AR499">
        <v>0</v>
      </c>
      <c r="AU499" t="s">
        <v>32</v>
      </c>
      <c r="AV499">
        <v>2223339</v>
      </c>
      <c r="AW499" t="s">
        <v>32</v>
      </c>
      <c r="AX499" t="s">
        <v>32</v>
      </c>
      <c r="AY499" t="s">
        <v>317</v>
      </c>
      <c r="AZ499">
        <v>30</v>
      </c>
      <c r="BA499">
        <v>3162196</v>
      </c>
      <c r="BB499">
        <v>0.16</v>
      </c>
      <c r="BC499">
        <v>506000</v>
      </c>
      <c r="BD499" t="s">
        <v>142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506000</v>
      </c>
      <c r="BK499" t="s">
        <v>25</v>
      </c>
      <c r="BL499" t="s">
        <v>885</v>
      </c>
      <c r="BM499">
        <v>30</v>
      </c>
      <c r="BN499">
        <v>3162196</v>
      </c>
      <c r="BO499">
        <v>0.04</v>
      </c>
      <c r="BP499">
        <v>126500</v>
      </c>
      <c r="BQ499">
        <v>0</v>
      </c>
      <c r="BR499" t="s">
        <v>1438</v>
      </c>
      <c r="BS499">
        <v>0</v>
      </c>
      <c r="BT499" t="s">
        <v>1438</v>
      </c>
      <c r="BU499">
        <v>0</v>
      </c>
      <c r="BV499" t="s">
        <v>25</v>
      </c>
      <c r="BW499" t="s">
        <v>189</v>
      </c>
      <c r="BX499">
        <v>30</v>
      </c>
      <c r="BY499">
        <v>3162196</v>
      </c>
      <c r="BZ499">
        <v>6.9599999999999995E-2</v>
      </c>
      <c r="CA499" t="s">
        <v>1439</v>
      </c>
      <c r="CB499" t="s">
        <v>227</v>
      </c>
      <c r="CC499" t="s">
        <v>1440</v>
      </c>
      <c r="CD499">
        <v>220100</v>
      </c>
      <c r="CE499">
        <v>30</v>
      </c>
      <c r="CF499" t="s">
        <v>635</v>
      </c>
      <c r="CG499">
        <v>3162196</v>
      </c>
      <c r="CH499">
        <v>0.04</v>
      </c>
      <c r="CI499">
        <v>126500</v>
      </c>
      <c r="CJ499">
        <v>3162196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 t="s">
        <v>88</v>
      </c>
      <c r="CT499" t="s">
        <v>1441</v>
      </c>
      <c r="CU499" t="s">
        <v>1442</v>
      </c>
    </row>
    <row r="500" spans="1:99">
      <c r="A500" t="s">
        <v>1431</v>
      </c>
      <c r="B500" t="s">
        <v>34</v>
      </c>
      <c r="C500" t="s">
        <v>2726</v>
      </c>
      <c r="D500" t="s">
        <v>2727</v>
      </c>
      <c r="E500" t="s">
        <v>1535</v>
      </c>
      <c r="F500" t="s">
        <v>2728</v>
      </c>
      <c r="G500" t="s">
        <v>2440</v>
      </c>
      <c r="H500" t="s">
        <v>2729</v>
      </c>
      <c r="I500" t="s">
        <v>240</v>
      </c>
      <c r="J500" t="s">
        <v>46</v>
      </c>
      <c r="K500" t="s">
        <v>29</v>
      </c>
      <c r="L500" t="s">
        <v>30</v>
      </c>
      <c r="M500">
        <v>188</v>
      </c>
      <c r="N500" t="s">
        <v>32</v>
      </c>
      <c r="O500" t="s">
        <v>32</v>
      </c>
      <c r="Q500" t="s">
        <v>32</v>
      </c>
      <c r="S500" t="s">
        <v>32</v>
      </c>
      <c r="U500" t="s">
        <v>32</v>
      </c>
      <c r="V500" t="s">
        <v>32</v>
      </c>
      <c r="W500" t="s">
        <v>32</v>
      </c>
      <c r="X500" t="s">
        <v>32</v>
      </c>
      <c r="Y500" t="s">
        <v>32</v>
      </c>
      <c r="AA500" t="s">
        <v>88</v>
      </c>
      <c r="AB500" t="s">
        <v>32</v>
      </c>
      <c r="AE500" t="s">
        <v>32</v>
      </c>
      <c r="AH500" t="s">
        <v>32</v>
      </c>
      <c r="AK500" t="s">
        <v>32</v>
      </c>
      <c r="AN500" t="s">
        <v>32</v>
      </c>
      <c r="AO500" t="s">
        <v>32</v>
      </c>
      <c r="AR500">
        <v>0</v>
      </c>
      <c r="AU500" t="s">
        <v>32</v>
      </c>
      <c r="AV500">
        <v>2223339</v>
      </c>
      <c r="AW500" t="s">
        <v>32</v>
      </c>
      <c r="AX500" t="s">
        <v>32</v>
      </c>
      <c r="AY500" t="s">
        <v>185</v>
      </c>
      <c r="AZ500">
        <v>30</v>
      </c>
      <c r="BA500">
        <v>2712340</v>
      </c>
      <c r="BB500">
        <v>0.16</v>
      </c>
      <c r="BC500">
        <v>434000</v>
      </c>
      <c r="BD500" t="s">
        <v>142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434000</v>
      </c>
      <c r="BK500" t="s">
        <v>25</v>
      </c>
      <c r="BL500" t="s">
        <v>635</v>
      </c>
      <c r="BM500">
        <v>30</v>
      </c>
      <c r="BN500">
        <v>2712340</v>
      </c>
      <c r="BO500">
        <v>0.04</v>
      </c>
      <c r="BP500">
        <v>108500</v>
      </c>
      <c r="BQ500">
        <v>0</v>
      </c>
      <c r="BR500" t="s">
        <v>1438</v>
      </c>
      <c r="BS500">
        <v>0</v>
      </c>
      <c r="BT500" t="s">
        <v>1438</v>
      </c>
      <c r="BU500">
        <v>0</v>
      </c>
      <c r="BV500" t="s">
        <v>25</v>
      </c>
      <c r="BW500" t="s">
        <v>189</v>
      </c>
      <c r="BX500">
        <v>30</v>
      </c>
      <c r="BY500">
        <v>2712340</v>
      </c>
      <c r="BZ500">
        <v>6.9599999999999995E-2</v>
      </c>
      <c r="CA500" t="s">
        <v>1439</v>
      </c>
      <c r="CB500" t="s">
        <v>227</v>
      </c>
      <c r="CC500" t="s">
        <v>1440</v>
      </c>
      <c r="CD500">
        <v>188800</v>
      </c>
      <c r="CE500">
        <v>30</v>
      </c>
      <c r="CF500" t="s">
        <v>635</v>
      </c>
      <c r="CG500">
        <v>2712340</v>
      </c>
      <c r="CH500">
        <v>0.04</v>
      </c>
      <c r="CI500">
        <v>108500</v>
      </c>
      <c r="CJ500">
        <v>2712340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 t="s">
        <v>88</v>
      </c>
      <c r="CT500" t="s">
        <v>1441</v>
      </c>
      <c r="CU500" t="s">
        <v>1442</v>
      </c>
    </row>
    <row r="501" spans="1:99">
      <c r="A501" t="s">
        <v>1431</v>
      </c>
      <c r="B501" t="s">
        <v>34</v>
      </c>
      <c r="C501" t="s">
        <v>2730</v>
      </c>
      <c r="D501" t="s">
        <v>2731</v>
      </c>
      <c r="E501" t="s">
        <v>2655</v>
      </c>
      <c r="F501" t="s">
        <v>1535</v>
      </c>
      <c r="G501" t="s">
        <v>1436</v>
      </c>
      <c r="H501" t="s">
        <v>2732</v>
      </c>
      <c r="I501" t="s">
        <v>240</v>
      </c>
      <c r="J501" t="s">
        <v>46</v>
      </c>
      <c r="K501" t="s">
        <v>29</v>
      </c>
      <c r="L501" t="s">
        <v>30</v>
      </c>
      <c r="M501">
        <v>188</v>
      </c>
      <c r="N501" t="s">
        <v>32</v>
      </c>
      <c r="O501" t="s">
        <v>32</v>
      </c>
      <c r="Q501" t="s">
        <v>32</v>
      </c>
      <c r="S501" t="s">
        <v>32</v>
      </c>
      <c r="U501" t="s">
        <v>32</v>
      </c>
      <c r="V501" t="s">
        <v>32</v>
      </c>
      <c r="W501" t="s">
        <v>32</v>
      </c>
      <c r="X501" t="s">
        <v>32</v>
      </c>
      <c r="Y501" t="s">
        <v>88</v>
      </c>
      <c r="Z501">
        <v>46054</v>
      </c>
      <c r="AA501" t="s">
        <v>32</v>
      </c>
      <c r="AB501" t="s">
        <v>32</v>
      </c>
      <c r="AE501" t="s">
        <v>32</v>
      </c>
      <c r="AH501" t="s">
        <v>32</v>
      </c>
      <c r="AK501" t="s">
        <v>32</v>
      </c>
      <c r="AN501" t="s">
        <v>32</v>
      </c>
      <c r="AO501" t="s">
        <v>32</v>
      </c>
      <c r="AR501">
        <v>0</v>
      </c>
      <c r="AU501" t="s">
        <v>32</v>
      </c>
      <c r="AV501">
        <v>24711738</v>
      </c>
      <c r="AW501" t="s">
        <v>88</v>
      </c>
      <c r="AX501" t="s">
        <v>32</v>
      </c>
      <c r="AY501" t="s">
        <v>185</v>
      </c>
      <c r="AZ501">
        <v>30</v>
      </c>
      <c r="BA501">
        <v>17298217</v>
      </c>
      <c r="BB501">
        <v>0.16</v>
      </c>
      <c r="BC501">
        <v>2767800</v>
      </c>
      <c r="BD501" t="s">
        <v>142</v>
      </c>
      <c r="BE501">
        <v>0</v>
      </c>
      <c r="BF501">
        <v>0</v>
      </c>
      <c r="BG501">
        <v>86500</v>
      </c>
      <c r="BH501">
        <v>86500</v>
      </c>
      <c r="BI501">
        <v>0</v>
      </c>
      <c r="BJ501">
        <v>2940800</v>
      </c>
      <c r="BK501" t="s">
        <v>25</v>
      </c>
      <c r="BL501" t="s">
        <v>1071</v>
      </c>
      <c r="BM501">
        <v>30</v>
      </c>
      <c r="BN501">
        <v>17298217</v>
      </c>
      <c r="BO501">
        <v>0.125</v>
      </c>
      <c r="BP501">
        <v>2162300</v>
      </c>
      <c r="BQ501">
        <v>0</v>
      </c>
      <c r="BR501" t="s">
        <v>1438</v>
      </c>
      <c r="BS501">
        <v>0</v>
      </c>
      <c r="BT501" t="s">
        <v>1438</v>
      </c>
      <c r="BU501">
        <v>0</v>
      </c>
      <c r="BV501" t="s">
        <v>25</v>
      </c>
      <c r="BW501" t="s">
        <v>189</v>
      </c>
      <c r="BX501">
        <v>30</v>
      </c>
      <c r="BY501">
        <v>17298217</v>
      </c>
      <c r="BZ501">
        <v>6.9599999999999995E-2</v>
      </c>
      <c r="CA501" t="s">
        <v>1439</v>
      </c>
      <c r="CB501" t="s">
        <v>227</v>
      </c>
      <c r="CC501" t="s">
        <v>1440</v>
      </c>
      <c r="CD501">
        <v>1204000</v>
      </c>
      <c r="CE501">
        <v>30</v>
      </c>
      <c r="CF501" t="s">
        <v>635</v>
      </c>
      <c r="CG501">
        <v>17298217</v>
      </c>
      <c r="CH501">
        <v>0.04</v>
      </c>
      <c r="CI501">
        <v>692000</v>
      </c>
      <c r="CJ501">
        <v>17298217</v>
      </c>
      <c r="CK501">
        <v>0.02</v>
      </c>
      <c r="CL501">
        <v>346000</v>
      </c>
      <c r="CM501">
        <v>0.03</v>
      </c>
      <c r="CN501">
        <v>519000</v>
      </c>
      <c r="CO501">
        <v>0</v>
      </c>
      <c r="CP501">
        <v>0</v>
      </c>
      <c r="CQ501">
        <v>0</v>
      </c>
      <c r="CR501">
        <v>0</v>
      </c>
      <c r="CS501" t="s">
        <v>32</v>
      </c>
      <c r="CT501" t="s">
        <v>1441</v>
      </c>
      <c r="CU501" t="s">
        <v>1442</v>
      </c>
    </row>
    <row r="502" spans="1:99">
      <c r="A502" t="s">
        <v>1431</v>
      </c>
      <c r="B502" t="s">
        <v>34</v>
      </c>
      <c r="C502" t="s">
        <v>2733</v>
      </c>
      <c r="D502" t="s">
        <v>2734</v>
      </c>
      <c r="E502" t="s">
        <v>1620</v>
      </c>
      <c r="F502" t="s">
        <v>2655</v>
      </c>
      <c r="G502" t="s">
        <v>2735</v>
      </c>
      <c r="H502" t="s">
        <v>1558</v>
      </c>
      <c r="I502" t="s">
        <v>240</v>
      </c>
      <c r="J502" t="s">
        <v>46</v>
      </c>
      <c r="K502" t="s">
        <v>29</v>
      </c>
      <c r="L502" t="s">
        <v>30</v>
      </c>
      <c r="M502">
        <v>34</v>
      </c>
      <c r="N502" t="s">
        <v>32</v>
      </c>
      <c r="O502" t="s">
        <v>32</v>
      </c>
      <c r="Q502" t="s">
        <v>32</v>
      </c>
      <c r="S502" t="s">
        <v>40</v>
      </c>
      <c r="T502">
        <v>46056</v>
      </c>
      <c r="U502" t="s">
        <v>32</v>
      </c>
      <c r="V502" t="s">
        <v>32</v>
      </c>
      <c r="W502" t="s">
        <v>32</v>
      </c>
      <c r="X502" t="s">
        <v>32</v>
      </c>
      <c r="Y502" t="s">
        <v>32</v>
      </c>
      <c r="AA502" t="s">
        <v>88</v>
      </c>
      <c r="AB502" t="s">
        <v>32</v>
      </c>
      <c r="AE502" t="s">
        <v>32</v>
      </c>
      <c r="AH502" t="s">
        <v>32</v>
      </c>
      <c r="AK502" t="s">
        <v>32</v>
      </c>
      <c r="AN502" t="s">
        <v>32</v>
      </c>
      <c r="AO502" t="s">
        <v>32</v>
      </c>
      <c r="AR502">
        <v>0</v>
      </c>
      <c r="AU502" t="s">
        <v>32</v>
      </c>
      <c r="AV502">
        <v>2970185</v>
      </c>
      <c r="AW502" t="s">
        <v>32</v>
      </c>
      <c r="AX502" t="s">
        <v>32</v>
      </c>
      <c r="AY502" t="s">
        <v>185</v>
      </c>
      <c r="AZ502">
        <v>3</v>
      </c>
      <c r="BA502">
        <v>1414888</v>
      </c>
      <c r="BB502">
        <v>0.16</v>
      </c>
      <c r="BC502">
        <v>226400</v>
      </c>
      <c r="BD502" t="s">
        <v>142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226400</v>
      </c>
      <c r="BK502" t="s">
        <v>25</v>
      </c>
      <c r="BL502" t="s">
        <v>1010</v>
      </c>
      <c r="BM502">
        <v>3</v>
      </c>
      <c r="BN502">
        <v>1414888</v>
      </c>
      <c r="BO502">
        <v>0.125</v>
      </c>
      <c r="BP502">
        <v>176900</v>
      </c>
      <c r="BQ502">
        <v>0</v>
      </c>
      <c r="BR502" t="s">
        <v>1438</v>
      </c>
      <c r="BS502">
        <v>0</v>
      </c>
      <c r="BT502" t="s">
        <v>1438</v>
      </c>
      <c r="BU502">
        <v>0</v>
      </c>
      <c r="BV502" t="s">
        <v>25</v>
      </c>
      <c r="BW502" t="s">
        <v>189</v>
      </c>
      <c r="BX502">
        <v>3</v>
      </c>
      <c r="BY502">
        <v>1414888</v>
      </c>
      <c r="BZ502">
        <v>6.9599999999999995E-2</v>
      </c>
      <c r="CA502" t="s">
        <v>1439</v>
      </c>
      <c r="CB502" t="s">
        <v>227</v>
      </c>
      <c r="CC502" t="s">
        <v>1440</v>
      </c>
      <c r="CD502">
        <v>98500</v>
      </c>
      <c r="CE502">
        <v>3</v>
      </c>
      <c r="CF502" t="s">
        <v>635</v>
      </c>
      <c r="CG502">
        <v>2281837</v>
      </c>
      <c r="CH502">
        <v>0.04</v>
      </c>
      <c r="CI502">
        <v>91300</v>
      </c>
      <c r="CJ502">
        <v>2281837</v>
      </c>
      <c r="CK502">
        <v>0.02</v>
      </c>
      <c r="CL502">
        <v>45700</v>
      </c>
      <c r="CM502">
        <v>0.03</v>
      </c>
      <c r="CN502">
        <v>68500</v>
      </c>
      <c r="CO502">
        <v>0</v>
      </c>
      <c r="CP502">
        <v>0</v>
      </c>
      <c r="CQ502">
        <v>0</v>
      </c>
      <c r="CR502">
        <v>0</v>
      </c>
      <c r="CS502" t="s">
        <v>88</v>
      </c>
      <c r="CT502" t="s">
        <v>1441</v>
      </c>
      <c r="CU502" t="s">
        <v>1442</v>
      </c>
    </row>
    <row r="503" spans="1:99">
      <c r="A503" t="s">
        <v>1431</v>
      </c>
      <c r="B503" t="s">
        <v>34</v>
      </c>
      <c r="C503" t="s">
        <v>2736</v>
      </c>
      <c r="D503" t="s">
        <v>2737</v>
      </c>
      <c r="E503" t="s">
        <v>449</v>
      </c>
      <c r="F503" t="s">
        <v>1482</v>
      </c>
      <c r="G503" t="s">
        <v>2738</v>
      </c>
      <c r="H503" t="s">
        <v>1437</v>
      </c>
      <c r="I503" t="s">
        <v>240</v>
      </c>
      <c r="J503" t="s">
        <v>46</v>
      </c>
      <c r="K503" t="s">
        <v>29</v>
      </c>
      <c r="L503" t="s">
        <v>30</v>
      </c>
      <c r="M503">
        <v>0</v>
      </c>
      <c r="N503" t="s">
        <v>32</v>
      </c>
      <c r="O503" t="s">
        <v>32</v>
      </c>
      <c r="Q503" t="s">
        <v>32</v>
      </c>
      <c r="S503" t="s">
        <v>32</v>
      </c>
      <c r="U503" t="s">
        <v>32</v>
      </c>
      <c r="V503" t="s">
        <v>32</v>
      </c>
      <c r="W503" t="s">
        <v>32</v>
      </c>
      <c r="X503" t="s">
        <v>32</v>
      </c>
      <c r="Y503" t="s">
        <v>32</v>
      </c>
      <c r="AA503" t="s">
        <v>32</v>
      </c>
      <c r="AB503" t="s">
        <v>32</v>
      </c>
      <c r="AE503" t="s">
        <v>32</v>
      </c>
      <c r="AH503" t="s">
        <v>32</v>
      </c>
      <c r="AK503" t="s">
        <v>128</v>
      </c>
      <c r="AL503">
        <v>46054</v>
      </c>
      <c r="AM503">
        <v>46060</v>
      </c>
      <c r="AN503" t="s">
        <v>32</v>
      </c>
      <c r="AO503" t="s">
        <v>32</v>
      </c>
      <c r="AR503">
        <v>0</v>
      </c>
      <c r="AU503" t="s">
        <v>32</v>
      </c>
      <c r="AV503">
        <v>11650406</v>
      </c>
      <c r="AW503" t="s">
        <v>32</v>
      </c>
      <c r="AX503" t="s">
        <v>32</v>
      </c>
      <c r="AY503" t="s">
        <v>185</v>
      </c>
      <c r="AZ503">
        <v>7</v>
      </c>
      <c r="BA503">
        <v>2718429</v>
      </c>
      <c r="BB503">
        <v>0.16</v>
      </c>
      <c r="BC503">
        <v>435000</v>
      </c>
      <c r="BD503" t="s">
        <v>142</v>
      </c>
      <c r="BE503">
        <v>0</v>
      </c>
      <c r="BF503">
        <v>0</v>
      </c>
      <c r="BG503">
        <v>13600</v>
      </c>
      <c r="BH503">
        <v>13600</v>
      </c>
      <c r="BI503">
        <v>0</v>
      </c>
      <c r="BJ503">
        <v>462200</v>
      </c>
      <c r="BK503" t="s">
        <v>25</v>
      </c>
      <c r="BL503" t="s">
        <v>1071</v>
      </c>
      <c r="BM503">
        <v>7</v>
      </c>
      <c r="BN503">
        <v>2718429</v>
      </c>
      <c r="BO503">
        <v>0.04</v>
      </c>
      <c r="BP503">
        <v>108800</v>
      </c>
      <c r="BQ503">
        <v>0</v>
      </c>
      <c r="BR503" t="s">
        <v>1438</v>
      </c>
      <c r="BS503">
        <v>0</v>
      </c>
      <c r="BT503" t="s">
        <v>1438</v>
      </c>
      <c r="BU503">
        <v>0</v>
      </c>
      <c r="BV503" t="s">
        <v>25</v>
      </c>
      <c r="BW503" t="s">
        <v>189</v>
      </c>
      <c r="BX503">
        <v>7</v>
      </c>
      <c r="BY503">
        <v>2718429</v>
      </c>
      <c r="BZ503">
        <v>0</v>
      </c>
      <c r="CA503" t="s">
        <v>1439</v>
      </c>
      <c r="CB503" t="s">
        <v>227</v>
      </c>
      <c r="CC503" t="s">
        <v>1440</v>
      </c>
      <c r="CD503">
        <v>0</v>
      </c>
      <c r="CE503">
        <v>7</v>
      </c>
      <c r="CF503" t="s">
        <v>635</v>
      </c>
      <c r="CG503">
        <v>2718429</v>
      </c>
      <c r="CH503">
        <v>0.04</v>
      </c>
      <c r="CI503">
        <v>108800</v>
      </c>
      <c r="CJ503">
        <v>2718429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 t="s">
        <v>88</v>
      </c>
      <c r="CT503" t="s">
        <v>1441</v>
      </c>
      <c r="CU503" t="s">
        <v>1442</v>
      </c>
    </row>
    <row r="504" spans="1:99">
      <c r="A504" t="s">
        <v>1431</v>
      </c>
      <c r="B504" t="s">
        <v>34</v>
      </c>
      <c r="C504" t="s">
        <v>2736</v>
      </c>
      <c r="D504" t="s">
        <v>2737</v>
      </c>
      <c r="E504" t="s">
        <v>449</v>
      </c>
      <c r="F504" t="s">
        <v>1482</v>
      </c>
      <c r="G504" t="s">
        <v>2738</v>
      </c>
      <c r="H504" t="s">
        <v>1437</v>
      </c>
      <c r="I504" t="s">
        <v>240</v>
      </c>
      <c r="J504" t="s">
        <v>46</v>
      </c>
      <c r="K504" t="s">
        <v>29</v>
      </c>
      <c r="L504" t="s">
        <v>30</v>
      </c>
      <c r="M504">
        <v>135</v>
      </c>
      <c r="N504" t="s">
        <v>32</v>
      </c>
      <c r="O504" t="s">
        <v>32</v>
      </c>
      <c r="Q504" t="s">
        <v>32</v>
      </c>
      <c r="S504" t="s">
        <v>32</v>
      </c>
      <c r="U504" t="s">
        <v>32</v>
      </c>
      <c r="V504" t="s">
        <v>32</v>
      </c>
      <c r="W504" t="s">
        <v>32</v>
      </c>
      <c r="X504" t="s">
        <v>32</v>
      </c>
      <c r="Y504" t="s">
        <v>88</v>
      </c>
      <c r="Z504">
        <v>46054</v>
      </c>
      <c r="AA504" t="s">
        <v>32</v>
      </c>
      <c r="AB504" t="s">
        <v>32</v>
      </c>
      <c r="AE504" t="s">
        <v>32</v>
      </c>
      <c r="AH504" t="s">
        <v>32</v>
      </c>
      <c r="AK504" t="s">
        <v>32</v>
      </c>
      <c r="AN504" t="s">
        <v>32</v>
      </c>
      <c r="AO504" t="s">
        <v>32</v>
      </c>
      <c r="AR504">
        <v>0</v>
      </c>
      <c r="AU504" t="s">
        <v>32</v>
      </c>
      <c r="AV504">
        <v>11650406</v>
      </c>
      <c r="AW504" t="s">
        <v>32</v>
      </c>
      <c r="AX504" t="s">
        <v>32</v>
      </c>
      <c r="AY504" t="s">
        <v>185</v>
      </c>
      <c r="AZ504">
        <v>23</v>
      </c>
      <c r="BA504">
        <v>8931978</v>
      </c>
      <c r="BB504">
        <v>0.16</v>
      </c>
      <c r="BC504">
        <v>1429200</v>
      </c>
      <c r="BD504" t="s">
        <v>142</v>
      </c>
      <c r="BE504">
        <v>0</v>
      </c>
      <c r="BF504">
        <v>0</v>
      </c>
      <c r="BG504">
        <v>44700</v>
      </c>
      <c r="BH504">
        <v>44700</v>
      </c>
      <c r="BI504">
        <v>0</v>
      </c>
      <c r="BJ504">
        <v>1518600</v>
      </c>
      <c r="BK504" t="s">
        <v>25</v>
      </c>
      <c r="BL504" t="s">
        <v>1071</v>
      </c>
      <c r="BM504">
        <v>23</v>
      </c>
      <c r="BN504">
        <v>8931978</v>
      </c>
      <c r="BO504">
        <v>0.04</v>
      </c>
      <c r="BP504">
        <v>357300</v>
      </c>
      <c r="BQ504">
        <v>0</v>
      </c>
      <c r="BR504" t="s">
        <v>1438</v>
      </c>
      <c r="BS504">
        <v>0</v>
      </c>
      <c r="BT504" t="s">
        <v>1438</v>
      </c>
      <c r="BU504">
        <v>0</v>
      </c>
      <c r="BV504" t="s">
        <v>25</v>
      </c>
      <c r="BW504" t="s">
        <v>189</v>
      </c>
      <c r="BX504">
        <v>23</v>
      </c>
      <c r="BY504">
        <v>8931978</v>
      </c>
      <c r="BZ504">
        <v>6.9599999999999995E-2</v>
      </c>
      <c r="CA504" t="s">
        <v>1439</v>
      </c>
      <c r="CB504" t="s">
        <v>227</v>
      </c>
      <c r="CC504" t="s">
        <v>1440</v>
      </c>
      <c r="CD504">
        <v>621700</v>
      </c>
      <c r="CE504">
        <v>23</v>
      </c>
      <c r="CF504" t="s">
        <v>635</v>
      </c>
      <c r="CG504">
        <v>8931978</v>
      </c>
      <c r="CH504">
        <v>0.04</v>
      </c>
      <c r="CI504">
        <v>357300</v>
      </c>
      <c r="CJ504">
        <v>8931978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 t="s">
        <v>88</v>
      </c>
      <c r="CT504" t="s">
        <v>1441</v>
      </c>
      <c r="CU504" t="s">
        <v>1442</v>
      </c>
    </row>
    <row r="505" spans="1:99">
      <c r="A505" t="s">
        <v>1431</v>
      </c>
      <c r="B505" t="s">
        <v>34</v>
      </c>
      <c r="C505" t="s">
        <v>2739</v>
      </c>
      <c r="D505" t="s">
        <v>2740</v>
      </c>
      <c r="E505" t="s">
        <v>1566</v>
      </c>
      <c r="F505" t="s">
        <v>1551</v>
      </c>
      <c r="G505" t="s">
        <v>2741</v>
      </c>
      <c r="H505" t="s">
        <v>1558</v>
      </c>
      <c r="I505" t="s">
        <v>682</v>
      </c>
      <c r="J505" t="s">
        <v>484</v>
      </c>
      <c r="K505" t="s">
        <v>29</v>
      </c>
      <c r="L505" t="s">
        <v>30</v>
      </c>
      <c r="M505">
        <v>0</v>
      </c>
      <c r="N505" t="s">
        <v>32</v>
      </c>
      <c r="O505" t="s">
        <v>32</v>
      </c>
      <c r="Q505" t="s">
        <v>32</v>
      </c>
      <c r="S505" t="s">
        <v>32</v>
      </c>
      <c r="U505" t="s">
        <v>32</v>
      </c>
      <c r="V505" t="s">
        <v>32</v>
      </c>
      <c r="W505" t="s">
        <v>32</v>
      </c>
      <c r="X505" t="s">
        <v>32</v>
      </c>
      <c r="Y505" t="s">
        <v>32</v>
      </c>
      <c r="AA505" t="s">
        <v>32</v>
      </c>
      <c r="AB505" t="s">
        <v>32</v>
      </c>
      <c r="AE505" t="s">
        <v>32</v>
      </c>
      <c r="AH505" t="s">
        <v>32</v>
      </c>
      <c r="AK505" t="s">
        <v>128</v>
      </c>
      <c r="AL505">
        <v>46069</v>
      </c>
      <c r="AM505">
        <v>46073</v>
      </c>
      <c r="AN505" t="s">
        <v>32</v>
      </c>
      <c r="AO505" t="s">
        <v>32</v>
      </c>
      <c r="AR505">
        <v>0</v>
      </c>
      <c r="AU505" t="s">
        <v>32</v>
      </c>
      <c r="AV505">
        <v>2056650</v>
      </c>
      <c r="AW505" t="s">
        <v>32</v>
      </c>
      <c r="AX505" t="s">
        <v>32</v>
      </c>
      <c r="AY505" t="s">
        <v>137</v>
      </c>
      <c r="AZ505">
        <v>5</v>
      </c>
      <c r="BA505">
        <v>342775</v>
      </c>
      <c r="BB505">
        <v>0.16</v>
      </c>
      <c r="BC505">
        <v>54900</v>
      </c>
      <c r="BD505" t="s">
        <v>142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54900</v>
      </c>
      <c r="BK505" t="s">
        <v>25</v>
      </c>
      <c r="BL505" t="s">
        <v>1010</v>
      </c>
      <c r="BM505">
        <v>5</v>
      </c>
      <c r="BN505">
        <v>342775</v>
      </c>
      <c r="BO505">
        <v>0.04</v>
      </c>
      <c r="BP505">
        <v>13800</v>
      </c>
      <c r="BQ505">
        <v>0</v>
      </c>
      <c r="BR505" t="s">
        <v>1438</v>
      </c>
      <c r="BS505">
        <v>0</v>
      </c>
      <c r="BT505" t="s">
        <v>1438</v>
      </c>
      <c r="BU505">
        <v>0</v>
      </c>
      <c r="BV505" t="s">
        <v>25</v>
      </c>
      <c r="BW505" t="s">
        <v>189</v>
      </c>
      <c r="BX505">
        <v>5</v>
      </c>
      <c r="BY505">
        <v>342775</v>
      </c>
      <c r="BZ505">
        <v>0</v>
      </c>
      <c r="CA505" t="s">
        <v>1439</v>
      </c>
      <c r="CB505" t="s">
        <v>312</v>
      </c>
      <c r="CC505" t="s">
        <v>1440</v>
      </c>
      <c r="CD505">
        <v>0</v>
      </c>
      <c r="CE505">
        <v>5</v>
      </c>
      <c r="CF505" t="s">
        <v>466</v>
      </c>
      <c r="CG505">
        <v>342775</v>
      </c>
      <c r="CH505">
        <v>0.04</v>
      </c>
      <c r="CI505">
        <v>13800</v>
      </c>
      <c r="CJ505">
        <v>342775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 t="s">
        <v>88</v>
      </c>
      <c r="CT505" t="s">
        <v>1441</v>
      </c>
      <c r="CU505" t="s">
        <v>1442</v>
      </c>
    </row>
    <row r="506" spans="1:99">
      <c r="A506" t="s">
        <v>1431</v>
      </c>
      <c r="B506" t="s">
        <v>34</v>
      </c>
      <c r="C506" t="s">
        <v>2739</v>
      </c>
      <c r="D506" t="s">
        <v>2740</v>
      </c>
      <c r="E506" t="s">
        <v>1566</v>
      </c>
      <c r="F506" t="s">
        <v>1551</v>
      </c>
      <c r="G506" t="s">
        <v>2741</v>
      </c>
      <c r="H506" t="s">
        <v>1558</v>
      </c>
      <c r="I506" t="s">
        <v>682</v>
      </c>
      <c r="J506" t="s">
        <v>484</v>
      </c>
      <c r="K506" t="s">
        <v>29</v>
      </c>
      <c r="L506" t="s">
        <v>30</v>
      </c>
      <c r="M506">
        <v>169</v>
      </c>
      <c r="N506" t="s">
        <v>32</v>
      </c>
      <c r="O506" t="s">
        <v>32</v>
      </c>
      <c r="Q506" t="s">
        <v>32</v>
      </c>
      <c r="S506" t="s">
        <v>32</v>
      </c>
      <c r="U506" t="s">
        <v>32</v>
      </c>
      <c r="V506" t="s">
        <v>32</v>
      </c>
      <c r="W506" t="s">
        <v>32</v>
      </c>
      <c r="X506" t="s">
        <v>32</v>
      </c>
      <c r="Y506" t="s">
        <v>32</v>
      </c>
      <c r="AA506" t="s">
        <v>88</v>
      </c>
      <c r="AB506" t="s">
        <v>32</v>
      </c>
      <c r="AE506" t="s">
        <v>32</v>
      </c>
      <c r="AH506" t="s">
        <v>32</v>
      </c>
      <c r="AK506" t="s">
        <v>32</v>
      </c>
      <c r="AN506" t="s">
        <v>32</v>
      </c>
      <c r="AO506" t="s">
        <v>32</v>
      </c>
      <c r="AR506">
        <v>0</v>
      </c>
      <c r="AU506" t="s">
        <v>32</v>
      </c>
      <c r="AV506">
        <v>2056650</v>
      </c>
      <c r="AW506" t="s">
        <v>32</v>
      </c>
      <c r="AX506" t="s">
        <v>32</v>
      </c>
      <c r="AY506" t="s">
        <v>137</v>
      </c>
      <c r="AZ506">
        <v>25</v>
      </c>
      <c r="BA506">
        <v>2257626</v>
      </c>
      <c r="BB506">
        <v>0.16</v>
      </c>
      <c r="BC506">
        <v>361300</v>
      </c>
      <c r="BD506" t="s">
        <v>142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361300</v>
      </c>
      <c r="BK506" t="s">
        <v>25</v>
      </c>
      <c r="BL506" t="s">
        <v>1010</v>
      </c>
      <c r="BM506">
        <v>25</v>
      </c>
      <c r="BN506">
        <v>2257626</v>
      </c>
      <c r="BO506">
        <v>0.04</v>
      </c>
      <c r="BP506">
        <v>90400</v>
      </c>
      <c r="BQ506">
        <v>0</v>
      </c>
      <c r="BR506" t="s">
        <v>1438</v>
      </c>
      <c r="BS506">
        <v>0</v>
      </c>
      <c r="BT506" t="s">
        <v>1438</v>
      </c>
      <c r="BU506">
        <v>0</v>
      </c>
      <c r="BV506" t="s">
        <v>25</v>
      </c>
      <c r="BW506" t="s">
        <v>189</v>
      </c>
      <c r="BX506">
        <v>25</v>
      </c>
      <c r="BY506">
        <v>2257626</v>
      </c>
      <c r="BZ506">
        <v>6.9599999999999995E-2</v>
      </c>
      <c r="CA506" t="s">
        <v>1439</v>
      </c>
      <c r="CB506" t="s">
        <v>312</v>
      </c>
      <c r="CC506" t="s">
        <v>1440</v>
      </c>
      <c r="CD506">
        <v>157200</v>
      </c>
      <c r="CE506">
        <v>25</v>
      </c>
      <c r="CF506" t="s">
        <v>466</v>
      </c>
      <c r="CG506">
        <v>2187606</v>
      </c>
      <c r="CH506">
        <v>0.04</v>
      </c>
      <c r="CI506">
        <v>87600</v>
      </c>
      <c r="CJ506">
        <v>2187606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 t="s">
        <v>88</v>
      </c>
      <c r="CT506" t="s">
        <v>1441</v>
      </c>
      <c r="CU506" t="s">
        <v>1442</v>
      </c>
    </row>
    <row r="507" spans="1:99">
      <c r="A507" t="s">
        <v>1431</v>
      </c>
      <c r="B507" t="s">
        <v>34</v>
      </c>
      <c r="C507" t="s">
        <v>2742</v>
      </c>
      <c r="D507" t="s">
        <v>2743</v>
      </c>
      <c r="E507" t="s">
        <v>2744</v>
      </c>
      <c r="F507" t="s">
        <v>1977</v>
      </c>
      <c r="G507" t="s">
        <v>2745</v>
      </c>
      <c r="H507" t="s">
        <v>2746</v>
      </c>
      <c r="I507" t="s">
        <v>240</v>
      </c>
      <c r="J507" t="s">
        <v>46</v>
      </c>
      <c r="K507" t="s">
        <v>29</v>
      </c>
      <c r="L507" t="s">
        <v>30</v>
      </c>
      <c r="M507">
        <v>45</v>
      </c>
      <c r="N507" t="s">
        <v>32</v>
      </c>
      <c r="O507" t="s">
        <v>32</v>
      </c>
      <c r="Q507" t="s">
        <v>40</v>
      </c>
      <c r="R507">
        <v>46074</v>
      </c>
      <c r="S507" t="s">
        <v>32</v>
      </c>
      <c r="U507" t="s">
        <v>32</v>
      </c>
      <c r="V507" t="s">
        <v>32</v>
      </c>
      <c r="W507" t="s">
        <v>32</v>
      </c>
      <c r="X507" t="s">
        <v>32</v>
      </c>
      <c r="Y507" t="s">
        <v>32</v>
      </c>
      <c r="AA507" t="s">
        <v>32</v>
      </c>
      <c r="AB507" t="s">
        <v>32</v>
      </c>
      <c r="AE507" t="s">
        <v>32</v>
      </c>
      <c r="AH507" t="s">
        <v>32</v>
      </c>
      <c r="AK507" t="s">
        <v>32</v>
      </c>
      <c r="AN507" t="s">
        <v>32</v>
      </c>
      <c r="AO507" t="s">
        <v>32</v>
      </c>
      <c r="AR507">
        <v>0</v>
      </c>
      <c r="AU507" t="s">
        <v>32</v>
      </c>
      <c r="AV507">
        <v>2113182</v>
      </c>
      <c r="AW507" t="s">
        <v>32</v>
      </c>
      <c r="AX507" t="s">
        <v>32</v>
      </c>
      <c r="AY507" t="s">
        <v>137</v>
      </c>
      <c r="AZ507">
        <v>10</v>
      </c>
      <c r="BA507">
        <v>704394</v>
      </c>
      <c r="BB507">
        <v>0.16</v>
      </c>
      <c r="BC507">
        <v>112800</v>
      </c>
      <c r="BD507" t="s">
        <v>142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112800</v>
      </c>
      <c r="BK507" t="s">
        <v>25</v>
      </c>
      <c r="BL507" t="s">
        <v>1010</v>
      </c>
      <c r="BM507">
        <v>10</v>
      </c>
      <c r="BN507">
        <v>704394</v>
      </c>
      <c r="BO507">
        <v>0.04</v>
      </c>
      <c r="BP507">
        <v>28200</v>
      </c>
      <c r="BQ507">
        <v>0</v>
      </c>
      <c r="BR507" t="s">
        <v>1438</v>
      </c>
      <c r="BS507">
        <v>0</v>
      </c>
      <c r="BT507" t="s">
        <v>1438</v>
      </c>
      <c r="BU507">
        <v>0</v>
      </c>
      <c r="BV507" t="s">
        <v>25</v>
      </c>
      <c r="BW507" t="s">
        <v>189</v>
      </c>
      <c r="BX507">
        <v>10</v>
      </c>
      <c r="BY507">
        <v>704394</v>
      </c>
      <c r="BZ507">
        <v>6.9599999999999995E-2</v>
      </c>
      <c r="CA507" t="s">
        <v>1439</v>
      </c>
      <c r="CB507" t="s">
        <v>227</v>
      </c>
      <c r="CC507" t="s">
        <v>1440</v>
      </c>
      <c r="CD507">
        <v>49100</v>
      </c>
      <c r="CE507">
        <v>10</v>
      </c>
      <c r="CF507" t="s">
        <v>635</v>
      </c>
      <c r="CG507">
        <v>704394</v>
      </c>
      <c r="CH507">
        <v>0.04</v>
      </c>
      <c r="CI507">
        <v>28200</v>
      </c>
      <c r="CJ507">
        <v>704394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 t="s">
        <v>88</v>
      </c>
      <c r="CT507" t="s">
        <v>1441</v>
      </c>
      <c r="CU507" t="s">
        <v>1442</v>
      </c>
    </row>
    <row r="508" spans="1:99">
      <c r="A508" t="s">
        <v>1431</v>
      </c>
      <c r="B508" t="s">
        <v>34</v>
      </c>
      <c r="C508" t="s">
        <v>2747</v>
      </c>
      <c r="D508" t="s">
        <v>2748</v>
      </c>
      <c r="E508" t="s">
        <v>1827</v>
      </c>
      <c r="F508" t="s">
        <v>1487</v>
      </c>
      <c r="G508" t="s">
        <v>1798</v>
      </c>
      <c r="H508" t="s">
        <v>1558</v>
      </c>
      <c r="I508" t="s">
        <v>682</v>
      </c>
      <c r="J508" t="s">
        <v>484</v>
      </c>
      <c r="K508" t="s">
        <v>29</v>
      </c>
      <c r="L508" t="s">
        <v>30</v>
      </c>
      <c r="M508">
        <v>0</v>
      </c>
      <c r="N508" t="s">
        <v>32</v>
      </c>
      <c r="O508" t="s">
        <v>32</v>
      </c>
      <c r="Q508" t="s">
        <v>32</v>
      </c>
      <c r="S508" t="s">
        <v>32</v>
      </c>
      <c r="U508" t="s">
        <v>32</v>
      </c>
      <c r="V508" t="s">
        <v>32</v>
      </c>
      <c r="W508" t="s">
        <v>32</v>
      </c>
      <c r="X508" t="s">
        <v>32</v>
      </c>
      <c r="Y508" t="s">
        <v>32</v>
      </c>
      <c r="AA508" t="s">
        <v>32</v>
      </c>
      <c r="AB508" t="s">
        <v>32</v>
      </c>
      <c r="AE508" t="s">
        <v>32</v>
      </c>
      <c r="AH508" t="s">
        <v>32</v>
      </c>
      <c r="AK508" t="s">
        <v>128</v>
      </c>
      <c r="AL508">
        <v>46069</v>
      </c>
      <c r="AM508">
        <v>46075</v>
      </c>
      <c r="AN508" t="s">
        <v>32</v>
      </c>
      <c r="AO508" t="s">
        <v>32</v>
      </c>
      <c r="AR508">
        <v>0</v>
      </c>
      <c r="AU508" t="s">
        <v>32</v>
      </c>
      <c r="AV508">
        <v>5408090</v>
      </c>
      <c r="AW508" t="s">
        <v>32</v>
      </c>
      <c r="AX508" t="s">
        <v>32</v>
      </c>
      <c r="AY508" t="s">
        <v>356</v>
      </c>
      <c r="AZ508">
        <v>7</v>
      </c>
      <c r="BA508">
        <v>1261888</v>
      </c>
      <c r="BB508">
        <v>0.16</v>
      </c>
      <c r="BC508">
        <v>202000</v>
      </c>
      <c r="BD508" t="s">
        <v>142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202000</v>
      </c>
      <c r="BK508" t="s">
        <v>25</v>
      </c>
      <c r="BL508" t="s">
        <v>1010</v>
      </c>
      <c r="BM508">
        <v>7</v>
      </c>
      <c r="BN508">
        <v>1261888</v>
      </c>
      <c r="BO508">
        <v>0.04</v>
      </c>
      <c r="BP508">
        <v>50500</v>
      </c>
      <c r="BQ508">
        <v>0</v>
      </c>
      <c r="BR508" t="s">
        <v>1438</v>
      </c>
      <c r="BS508">
        <v>0</v>
      </c>
      <c r="BT508" t="s">
        <v>1438</v>
      </c>
      <c r="BU508">
        <v>0</v>
      </c>
      <c r="BV508" t="s">
        <v>25</v>
      </c>
      <c r="BW508" t="s">
        <v>189</v>
      </c>
      <c r="BX508">
        <v>7</v>
      </c>
      <c r="BY508">
        <v>1261888</v>
      </c>
      <c r="BZ508">
        <v>0</v>
      </c>
      <c r="CA508" t="s">
        <v>1439</v>
      </c>
      <c r="CB508" t="s">
        <v>312</v>
      </c>
      <c r="CC508" t="s">
        <v>1440</v>
      </c>
      <c r="CD508">
        <v>0</v>
      </c>
      <c r="CE508">
        <v>7</v>
      </c>
      <c r="CF508" t="s">
        <v>466</v>
      </c>
      <c r="CG508">
        <v>1261888</v>
      </c>
      <c r="CH508">
        <v>0.04</v>
      </c>
      <c r="CI508">
        <v>50500</v>
      </c>
      <c r="CJ508">
        <v>1261888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 t="s">
        <v>88</v>
      </c>
      <c r="CT508" t="s">
        <v>1441</v>
      </c>
      <c r="CU508" t="s">
        <v>1442</v>
      </c>
    </row>
    <row r="509" spans="1:99">
      <c r="A509" t="s">
        <v>1431</v>
      </c>
      <c r="B509" t="s">
        <v>34</v>
      </c>
      <c r="C509" t="s">
        <v>2747</v>
      </c>
      <c r="D509" t="s">
        <v>2748</v>
      </c>
      <c r="E509" t="s">
        <v>1827</v>
      </c>
      <c r="F509" t="s">
        <v>1487</v>
      </c>
      <c r="G509" t="s">
        <v>1798</v>
      </c>
      <c r="H509" t="s">
        <v>1558</v>
      </c>
      <c r="I509" t="s">
        <v>682</v>
      </c>
      <c r="J509" t="s">
        <v>484</v>
      </c>
      <c r="K509" t="s">
        <v>29</v>
      </c>
      <c r="L509" t="s">
        <v>30</v>
      </c>
      <c r="M509">
        <v>135</v>
      </c>
      <c r="N509" t="s">
        <v>32</v>
      </c>
      <c r="O509" t="s">
        <v>32</v>
      </c>
      <c r="Q509" t="s">
        <v>32</v>
      </c>
      <c r="S509" t="s">
        <v>32</v>
      </c>
      <c r="U509" t="s">
        <v>32</v>
      </c>
      <c r="V509" t="s">
        <v>32</v>
      </c>
      <c r="W509" t="s">
        <v>32</v>
      </c>
      <c r="X509" t="s">
        <v>32</v>
      </c>
      <c r="Y509" t="s">
        <v>88</v>
      </c>
      <c r="Z509">
        <v>46054</v>
      </c>
      <c r="AA509" t="s">
        <v>32</v>
      </c>
      <c r="AB509" t="s">
        <v>32</v>
      </c>
      <c r="AE509" t="s">
        <v>32</v>
      </c>
      <c r="AH509" t="s">
        <v>32</v>
      </c>
      <c r="AK509" t="s">
        <v>32</v>
      </c>
      <c r="AN509" t="s">
        <v>32</v>
      </c>
      <c r="AO509" t="s">
        <v>32</v>
      </c>
      <c r="AR509">
        <v>0</v>
      </c>
      <c r="AU509" t="s">
        <v>32</v>
      </c>
      <c r="AV509">
        <v>5408090</v>
      </c>
      <c r="AW509" t="s">
        <v>32</v>
      </c>
      <c r="AX509" t="s">
        <v>32</v>
      </c>
      <c r="AY509" t="s">
        <v>356</v>
      </c>
      <c r="AZ509">
        <v>23</v>
      </c>
      <c r="BA509">
        <v>4146203</v>
      </c>
      <c r="BB509">
        <v>0.16</v>
      </c>
      <c r="BC509">
        <v>663400</v>
      </c>
      <c r="BD509" t="s">
        <v>142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663400</v>
      </c>
      <c r="BK509" t="s">
        <v>25</v>
      </c>
      <c r="BL509" t="s">
        <v>1010</v>
      </c>
      <c r="BM509">
        <v>23</v>
      </c>
      <c r="BN509">
        <v>4146203</v>
      </c>
      <c r="BO509">
        <v>0.04</v>
      </c>
      <c r="BP509">
        <v>165900</v>
      </c>
      <c r="BQ509">
        <v>0</v>
      </c>
      <c r="BR509" t="s">
        <v>1438</v>
      </c>
      <c r="BS509">
        <v>0</v>
      </c>
      <c r="BT509" t="s">
        <v>1438</v>
      </c>
      <c r="BU509">
        <v>0</v>
      </c>
      <c r="BV509" t="s">
        <v>25</v>
      </c>
      <c r="BW509" t="s">
        <v>189</v>
      </c>
      <c r="BX509">
        <v>23</v>
      </c>
      <c r="BY509">
        <v>4146203</v>
      </c>
      <c r="BZ509">
        <v>6.9599999999999995E-2</v>
      </c>
      <c r="CA509" t="s">
        <v>1439</v>
      </c>
      <c r="CB509" t="s">
        <v>312</v>
      </c>
      <c r="CC509" t="s">
        <v>1440</v>
      </c>
      <c r="CD509">
        <v>288600</v>
      </c>
      <c r="CE509">
        <v>23</v>
      </c>
      <c r="CF509" t="s">
        <v>466</v>
      </c>
      <c r="CG509">
        <v>4146203</v>
      </c>
      <c r="CH509">
        <v>0.04</v>
      </c>
      <c r="CI509">
        <v>165900</v>
      </c>
      <c r="CJ509">
        <v>4146203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 t="s">
        <v>88</v>
      </c>
      <c r="CT509" t="s">
        <v>1441</v>
      </c>
      <c r="CU509" t="s">
        <v>1442</v>
      </c>
    </row>
    <row r="510" spans="1:99">
      <c r="A510" t="s">
        <v>1431</v>
      </c>
      <c r="B510" t="s">
        <v>34</v>
      </c>
      <c r="C510" t="s">
        <v>2749</v>
      </c>
      <c r="D510" t="s">
        <v>2750</v>
      </c>
      <c r="E510" t="s">
        <v>1823</v>
      </c>
      <c r="F510" t="s">
        <v>2751</v>
      </c>
      <c r="G510" t="s">
        <v>1503</v>
      </c>
      <c r="H510" t="s">
        <v>1543</v>
      </c>
      <c r="I510" t="s">
        <v>682</v>
      </c>
      <c r="J510" t="s">
        <v>484</v>
      </c>
      <c r="K510" t="s">
        <v>29</v>
      </c>
      <c r="L510" t="s">
        <v>30</v>
      </c>
      <c r="M510">
        <v>123</v>
      </c>
      <c r="N510" t="s">
        <v>32</v>
      </c>
      <c r="O510" t="s">
        <v>32</v>
      </c>
      <c r="Q510" t="s">
        <v>32</v>
      </c>
      <c r="S510" t="s">
        <v>40</v>
      </c>
      <c r="T510">
        <v>46067</v>
      </c>
      <c r="U510" t="s">
        <v>32</v>
      </c>
      <c r="V510" t="s">
        <v>32</v>
      </c>
      <c r="W510" t="s">
        <v>32</v>
      </c>
      <c r="X510" t="s">
        <v>32</v>
      </c>
      <c r="Y510" t="s">
        <v>32</v>
      </c>
      <c r="AA510" t="s">
        <v>88</v>
      </c>
      <c r="AB510" t="s">
        <v>32</v>
      </c>
      <c r="AE510" t="s">
        <v>32</v>
      </c>
      <c r="AH510" t="s">
        <v>32</v>
      </c>
      <c r="AK510" t="s">
        <v>32</v>
      </c>
      <c r="AN510" t="s">
        <v>32</v>
      </c>
      <c r="AO510" t="s">
        <v>32</v>
      </c>
      <c r="AR510">
        <v>0</v>
      </c>
      <c r="AU510" t="s">
        <v>32</v>
      </c>
      <c r="AV510">
        <v>2056650</v>
      </c>
      <c r="AW510" t="s">
        <v>32</v>
      </c>
      <c r="AX510" t="s">
        <v>32</v>
      </c>
      <c r="AY510" t="s">
        <v>317</v>
      </c>
      <c r="AZ510">
        <v>14</v>
      </c>
      <c r="BA510">
        <v>2265192</v>
      </c>
      <c r="BB510">
        <v>0.16</v>
      </c>
      <c r="BC510">
        <v>362500</v>
      </c>
      <c r="BD510" t="s">
        <v>142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362500</v>
      </c>
      <c r="BK510" t="s">
        <v>25</v>
      </c>
      <c r="BL510" t="s">
        <v>885</v>
      </c>
      <c r="BM510">
        <v>14</v>
      </c>
      <c r="BN510">
        <v>2265192</v>
      </c>
      <c r="BO510">
        <v>0.04</v>
      </c>
      <c r="BP510">
        <v>90700</v>
      </c>
      <c r="BQ510">
        <v>0</v>
      </c>
      <c r="BR510" t="s">
        <v>1438</v>
      </c>
      <c r="BS510">
        <v>0</v>
      </c>
      <c r="BT510" t="s">
        <v>1438</v>
      </c>
      <c r="BU510">
        <v>0</v>
      </c>
      <c r="BV510" t="s">
        <v>25</v>
      </c>
      <c r="BW510" t="s">
        <v>189</v>
      </c>
      <c r="BX510">
        <v>14</v>
      </c>
      <c r="BY510">
        <v>2265192</v>
      </c>
      <c r="BZ510">
        <v>6.9599999999999995E-2</v>
      </c>
      <c r="CA510" t="s">
        <v>1439</v>
      </c>
      <c r="CB510" t="s">
        <v>312</v>
      </c>
      <c r="CC510" t="s">
        <v>1440</v>
      </c>
      <c r="CD510">
        <v>157700</v>
      </c>
      <c r="CE510">
        <v>14</v>
      </c>
      <c r="CF510" t="s">
        <v>466</v>
      </c>
      <c r="CG510">
        <v>3033977</v>
      </c>
      <c r="CH510">
        <v>0.04</v>
      </c>
      <c r="CI510">
        <v>121400</v>
      </c>
      <c r="CJ510">
        <v>3033977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 t="s">
        <v>88</v>
      </c>
      <c r="CT510" t="s">
        <v>1441</v>
      </c>
      <c r="CU510" t="s">
        <v>1442</v>
      </c>
    </row>
    <row r="511" spans="1:99">
      <c r="A511" t="s">
        <v>1431</v>
      </c>
      <c r="B511" t="s">
        <v>34</v>
      </c>
      <c r="C511" t="s">
        <v>2752</v>
      </c>
      <c r="D511" t="s">
        <v>2753</v>
      </c>
      <c r="E511" t="s">
        <v>2754</v>
      </c>
      <c r="F511" t="s">
        <v>1555</v>
      </c>
      <c r="G511" t="s">
        <v>1537</v>
      </c>
      <c r="H511" t="s">
        <v>1498</v>
      </c>
      <c r="I511" t="s">
        <v>240</v>
      </c>
      <c r="J511" t="s">
        <v>46</v>
      </c>
      <c r="K511" t="s">
        <v>29</v>
      </c>
      <c r="L511" t="s">
        <v>30</v>
      </c>
      <c r="M511">
        <v>0</v>
      </c>
      <c r="N511" t="s">
        <v>32</v>
      </c>
      <c r="O511" t="s">
        <v>32</v>
      </c>
      <c r="Q511" t="s">
        <v>32</v>
      </c>
      <c r="S511" t="s">
        <v>32</v>
      </c>
      <c r="U511" t="s">
        <v>32</v>
      </c>
      <c r="V511" t="s">
        <v>32</v>
      </c>
      <c r="W511" t="s">
        <v>32</v>
      </c>
      <c r="X511" t="s">
        <v>32</v>
      </c>
      <c r="Y511" t="s">
        <v>32</v>
      </c>
      <c r="AA511" t="s">
        <v>32</v>
      </c>
      <c r="AB511" t="s">
        <v>32</v>
      </c>
      <c r="AE511" t="s">
        <v>32</v>
      </c>
      <c r="AH511" t="s">
        <v>32</v>
      </c>
      <c r="AK511" t="s">
        <v>128</v>
      </c>
      <c r="AL511">
        <v>46069</v>
      </c>
      <c r="AM511">
        <v>46075</v>
      </c>
      <c r="AN511" t="s">
        <v>32</v>
      </c>
      <c r="AO511" t="s">
        <v>32</v>
      </c>
      <c r="AR511">
        <v>0</v>
      </c>
      <c r="AU511" t="s">
        <v>32</v>
      </c>
      <c r="AV511">
        <v>9203890</v>
      </c>
      <c r="AW511" t="s">
        <v>32</v>
      </c>
      <c r="AX511" t="s">
        <v>32</v>
      </c>
      <c r="AY511" t="s">
        <v>356</v>
      </c>
      <c r="AZ511">
        <v>7</v>
      </c>
      <c r="BA511">
        <v>2147575</v>
      </c>
      <c r="BB511">
        <v>0.16</v>
      </c>
      <c r="BC511">
        <v>343700</v>
      </c>
      <c r="BD511" t="s">
        <v>142</v>
      </c>
      <c r="BE511">
        <v>0</v>
      </c>
      <c r="BF511">
        <v>0</v>
      </c>
      <c r="BG511">
        <v>10800</v>
      </c>
      <c r="BH511">
        <v>10800</v>
      </c>
      <c r="BI511">
        <v>0</v>
      </c>
      <c r="BJ511">
        <v>365300</v>
      </c>
      <c r="BK511" t="s">
        <v>25</v>
      </c>
      <c r="BL511" t="s">
        <v>1071</v>
      </c>
      <c r="BM511">
        <v>7</v>
      </c>
      <c r="BN511">
        <v>2147575</v>
      </c>
      <c r="BO511">
        <v>0.04</v>
      </c>
      <c r="BP511">
        <v>86000</v>
      </c>
      <c r="BQ511">
        <v>0</v>
      </c>
      <c r="BR511" t="s">
        <v>1438</v>
      </c>
      <c r="BS511">
        <v>0</v>
      </c>
      <c r="BT511" t="s">
        <v>1438</v>
      </c>
      <c r="BU511">
        <v>0</v>
      </c>
      <c r="BV511" t="s">
        <v>25</v>
      </c>
      <c r="BW511" t="s">
        <v>189</v>
      </c>
      <c r="BX511">
        <v>7</v>
      </c>
      <c r="BY511">
        <v>2147575</v>
      </c>
      <c r="BZ511">
        <v>0</v>
      </c>
      <c r="CA511" t="s">
        <v>1439</v>
      </c>
      <c r="CB511" t="s">
        <v>227</v>
      </c>
      <c r="CC511" t="s">
        <v>1440</v>
      </c>
      <c r="CD511">
        <v>0</v>
      </c>
      <c r="CE511">
        <v>7</v>
      </c>
      <c r="CF511" t="s">
        <v>635</v>
      </c>
      <c r="CG511">
        <v>2147575</v>
      </c>
      <c r="CH511">
        <v>0.04</v>
      </c>
      <c r="CI511">
        <v>86000</v>
      </c>
      <c r="CJ511">
        <v>2147575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 t="s">
        <v>88</v>
      </c>
      <c r="CT511" t="s">
        <v>1441</v>
      </c>
      <c r="CU511" t="s">
        <v>1442</v>
      </c>
    </row>
    <row r="512" spans="1:99">
      <c r="A512" t="s">
        <v>1431</v>
      </c>
      <c r="B512" t="s">
        <v>34</v>
      </c>
      <c r="C512" t="s">
        <v>2752</v>
      </c>
      <c r="D512" t="s">
        <v>2753</v>
      </c>
      <c r="E512" t="s">
        <v>2754</v>
      </c>
      <c r="F512" t="s">
        <v>1555</v>
      </c>
      <c r="G512" t="s">
        <v>1537</v>
      </c>
      <c r="H512" t="s">
        <v>1498</v>
      </c>
      <c r="I512" t="s">
        <v>240</v>
      </c>
      <c r="J512" t="s">
        <v>46</v>
      </c>
      <c r="K512" t="s">
        <v>29</v>
      </c>
      <c r="L512" t="s">
        <v>30</v>
      </c>
      <c r="M512">
        <v>135</v>
      </c>
      <c r="N512" t="s">
        <v>32</v>
      </c>
      <c r="O512" t="s">
        <v>32</v>
      </c>
      <c r="Q512" t="s">
        <v>32</v>
      </c>
      <c r="S512" t="s">
        <v>32</v>
      </c>
      <c r="U512" t="s">
        <v>32</v>
      </c>
      <c r="V512" t="s">
        <v>32</v>
      </c>
      <c r="W512" t="s">
        <v>32</v>
      </c>
      <c r="X512" t="s">
        <v>32</v>
      </c>
      <c r="Y512" t="s">
        <v>88</v>
      </c>
      <c r="Z512">
        <v>46054</v>
      </c>
      <c r="AA512" t="s">
        <v>32</v>
      </c>
      <c r="AB512" t="s">
        <v>32</v>
      </c>
      <c r="AE512" t="s">
        <v>32</v>
      </c>
      <c r="AH512" t="s">
        <v>32</v>
      </c>
      <c r="AK512" t="s">
        <v>32</v>
      </c>
      <c r="AN512" t="s">
        <v>32</v>
      </c>
      <c r="AO512" t="s">
        <v>32</v>
      </c>
      <c r="AR512">
        <v>0</v>
      </c>
      <c r="AU512" t="s">
        <v>32</v>
      </c>
      <c r="AV512">
        <v>9203890</v>
      </c>
      <c r="AW512" t="s">
        <v>32</v>
      </c>
      <c r="AX512" t="s">
        <v>32</v>
      </c>
      <c r="AY512" t="s">
        <v>356</v>
      </c>
      <c r="AZ512">
        <v>23</v>
      </c>
      <c r="BA512">
        <v>7056316</v>
      </c>
      <c r="BB512">
        <v>0.16</v>
      </c>
      <c r="BC512">
        <v>1129100</v>
      </c>
      <c r="BD512" t="s">
        <v>142</v>
      </c>
      <c r="BE512">
        <v>0</v>
      </c>
      <c r="BF512">
        <v>0</v>
      </c>
      <c r="BG512">
        <v>35300</v>
      </c>
      <c r="BH512">
        <v>35300</v>
      </c>
      <c r="BI512">
        <v>0</v>
      </c>
      <c r="BJ512">
        <v>1199700</v>
      </c>
      <c r="BK512" t="s">
        <v>25</v>
      </c>
      <c r="BL512" t="s">
        <v>1071</v>
      </c>
      <c r="BM512">
        <v>23</v>
      </c>
      <c r="BN512">
        <v>7056316</v>
      </c>
      <c r="BO512">
        <v>0.04</v>
      </c>
      <c r="BP512">
        <v>282300</v>
      </c>
      <c r="BQ512">
        <v>0</v>
      </c>
      <c r="BR512" t="s">
        <v>1438</v>
      </c>
      <c r="BS512">
        <v>0</v>
      </c>
      <c r="BT512" t="s">
        <v>1438</v>
      </c>
      <c r="BU512">
        <v>0</v>
      </c>
      <c r="BV512" t="s">
        <v>25</v>
      </c>
      <c r="BW512" t="s">
        <v>189</v>
      </c>
      <c r="BX512">
        <v>23</v>
      </c>
      <c r="BY512">
        <v>7056316</v>
      </c>
      <c r="BZ512">
        <v>6.9599999999999995E-2</v>
      </c>
      <c r="CA512" t="s">
        <v>1439</v>
      </c>
      <c r="CB512" t="s">
        <v>227</v>
      </c>
      <c r="CC512" t="s">
        <v>1440</v>
      </c>
      <c r="CD512">
        <v>491200</v>
      </c>
      <c r="CE512">
        <v>23</v>
      </c>
      <c r="CF512" t="s">
        <v>635</v>
      </c>
      <c r="CG512">
        <v>7056316</v>
      </c>
      <c r="CH512">
        <v>0.04</v>
      </c>
      <c r="CI512">
        <v>282300</v>
      </c>
      <c r="CJ512">
        <v>7056316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 t="s">
        <v>88</v>
      </c>
      <c r="CT512" t="s">
        <v>1441</v>
      </c>
      <c r="CU512" t="s">
        <v>1442</v>
      </c>
    </row>
    <row r="513" spans="1:99">
      <c r="A513" t="s">
        <v>1431</v>
      </c>
      <c r="B513" t="s">
        <v>34</v>
      </c>
      <c r="C513" t="s">
        <v>2755</v>
      </c>
      <c r="D513" t="s">
        <v>2756</v>
      </c>
      <c r="E513" t="s">
        <v>2757</v>
      </c>
      <c r="F513" t="s">
        <v>2142</v>
      </c>
      <c r="G513" t="s">
        <v>2758</v>
      </c>
      <c r="H513" t="s">
        <v>2759</v>
      </c>
      <c r="I513" t="s">
        <v>682</v>
      </c>
      <c r="J513" t="s">
        <v>484</v>
      </c>
      <c r="K513" t="s">
        <v>29</v>
      </c>
      <c r="L513" t="s">
        <v>30</v>
      </c>
      <c r="M513">
        <v>257</v>
      </c>
      <c r="N513" t="s">
        <v>32</v>
      </c>
      <c r="O513" t="s">
        <v>32</v>
      </c>
      <c r="Q513" t="s">
        <v>32</v>
      </c>
      <c r="S513" t="s">
        <v>32</v>
      </c>
      <c r="U513" t="s">
        <v>32</v>
      </c>
      <c r="V513" t="s">
        <v>32</v>
      </c>
      <c r="W513" t="s">
        <v>32</v>
      </c>
      <c r="X513" t="s">
        <v>32</v>
      </c>
      <c r="Y513" t="s">
        <v>32</v>
      </c>
      <c r="AA513" t="s">
        <v>88</v>
      </c>
      <c r="AB513" t="s">
        <v>32</v>
      </c>
      <c r="AE513" t="s">
        <v>32</v>
      </c>
      <c r="AH513" t="s">
        <v>32</v>
      </c>
      <c r="AK513" t="s">
        <v>32</v>
      </c>
      <c r="AN513" t="s">
        <v>32</v>
      </c>
      <c r="AO513" t="s">
        <v>32</v>
      </c>
      <c r="AR513">
        <v>0</v>
      </c>
      <c r="AU513" t="s">
        <v>32</v>
      </c>
      <c r="AV513">
        <v>1750905</v>
      </c>
      <c r="AW513" t="s">
        <v>32</v>
      </c>
      <c r="AX513" t="s">
        <v>32</v>
      </c>
      <c r="AY513" t="s">
        <v>317</v>
      </c>
      <c r="AZ513">
        <v>30</v>
      </c>
      <c r="BA513">
        <v>2545380</v>
      </c>
      <c r="BB513">
        <v>0.16</v>
      </c>
      <c r="BC513">
        <v>407300</v>
      </c>
      <c r="BD513" t="s">
        <v>142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407300</v>
      </c>
      <c r="BK513" t="s">
        <v>25</v>
      </c>
      <c r="BL513" t="s">
        <v>1010</v>
      </c>
      <c r="BM513">
        <v>30</v>
      </c>
      <c r="BN513">
        <v>2545380</v>
      </c>
      <c r="BO513">
        <v>0.04</v>
      </c>
      <c r="BP513">
        <v>101900</v>
      </c>
      <c r="BQ513">
        <v>0</v>
      </c>
      <c r="BR513" t="s">
        <v>1438</v>
      </c>
      <c r="BS513">
        <v>0</v>
      </c>
      <c r="BT513" t="s">
        <v>1438</v>
      </c>
      <c r="BU513">
        <v>0</v>
      </c>
      <c r="BV513" t="s">
        <v>25</v>
      </c>
      <c r="BW513" t="s">
        <v>189</v>
      </c>
      <c r="BX513">
        <v>30</v>
      </c>
      <c r="BY513">
        <v>2545380</v>
      </c>
      <c r="BZ513">
        <v>6.9599999999999995E-2</v>
      </c>
      <c r="CA513" t="s">
        <v>1439</v>
      </c>
      <c r="CB513" t="s">
        <v>312</v>
      </c>
      <c r="CC513" t="s">
        <v>1440</v>
      </c>
      <c r="CD513">
        <v>177200</v>
      </c>
      <c r="CE513">
        <v>30</v>
      </c>
      <c r="CF513" t="s">
        <v>466</v>
      </c>
      <c r="CG513">
        <v>2545380</v>
      </c>
      <c r="CH513">
        <v>0.04</v>
      </c>
      <c r="CI513">
        <v>101900</v>
      </c>
      <c r="CJ513">
        <v>2545380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 t="s">
        <v>88</v>
      </c>
      <c r="CT513" t="s">
        <v>1441</v>
      </c>
      <c r="CU513" t="s">
        <v>1442</v>
      </c>
    </row>
    <row r="514" spans="1:99">
      <c r="A514" t="s">
        <v>1431</v>
      </c>
      <c r="B514" t="s">
        <v>34</v>
      </c>
      <c r="C514" t="s">
        <v>2760</v>
      </c>
      <c r="D514" t="s">
        <v>2761</v>
      </c>
      <c r="E514" t="s">
        <v>1555</v>
      </c>
      <c r="F514" t="s">
        <v>1483</v>
      </c>
      <c r="G514" t="s">
        <v>2410</v>
      </c>
      <c r="H514" t="s">
        <v>2762</v>
      </c>
      <c r="I514" t="s">
        <v>682</v>
      </c>
      <c r="J514" t="s">
        <v>484</v>
      </c>
      <c r="K514" t="s">
        <v>29</v>
      </c>
      <c r="L514" t="s">
        <v>30</v>
      </c>
      <c r="M514">
        <v>0</v>
      </c>
      <c r="N514" t="s">
        <v>32</v>
      </c>
      <c r="O514" t="s">
        <v>32</v>
      </c>
      <c r="Q514" t="s">
        <v>32</v>
      </c>
      <c r="S514" t="s">
        <v>32</v>
      </c>
      <c r="U514" t="s">
        <v>32</v>
      </c>
      <c r="V514" t="s">
        <v>32</v>
      </c>
      <c r="W514" t="s">
        <v>32</v>
      </c>
      <c r="X514" t="s">
        <v>32</v>
      </c>
      <c r="Y514" t="s">
        <v>32</v>
      </c>
      <c r="AA514" t="s">
        <v>32</v>
      </c>
      <c r="AB514" t="s">
        <v>37</v>
      </c>
      <c r="AC514">
        <v>46054</v>
      </c>
      <c r="AD514">
        <v>46054</v>
      </c>
      <c r="AE514" t="s">
        <v>32</v>
      </c>
      <c r="AH514" t="s">
        <v>32</v>
      </c>
      <c r="AK514" t="s">
        <v>32</v>
      </c>
      <c r="AN514" t="s">
        <v>32</v>
      </c>
      <c r="AO514" t="s">
        <v>32</v>
      </c>
      <c r="AR514">
        <v>0</v>
      </c>
      <c r="AU514" t="s">
        <v>32</v>
      </c>
      <c r="AV514">
        <v>2056650</v>
      </c>
      <c r="AW514" t="s">
        <v>32</v>
      </c>
      <c r="AX514" t="s">
        <v>32</v>
      </c>
      <c r="AY514" t="s">
        <v>317</v>
      </c>
      <c r="AZ514">
        <v>1</v>
      </c>
      <c r="BA514">
        <v>68555</v>
      </c>
      <c r="BB514">
        <v>0.16</v>
      </c>
      <c r="BC514">
        <v>11000</v>
      </c>
      <c r="BD514" t="s">
        <v>142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11000</v>
      </c>
      <c r="BK514" t="s">
        <v>25</v>
      </c>
      <c r="BL514" t="s">
        <v>1491</v>
      </c>
      <c r="BM514">
        <v>1</v>
      </c>
      <c r="BN514">
        <v>68555</v>
      </c>
      <c r="BO514">
        <v>0</v>
      </c>
      <c r="BP514">
        <v>0</v>
      </c>
      <c r="BQ514">
        <v>0</v>
      </c>
      <c r="BR514" t="s">
        <v>1438</v>
      </c>
      <c r="BS514">
        <v>0</v>
      </c>
      <c r="BT514" t="s">
        <v>1438</v>
      </c>
      <c r="BU514">
        <v>0</v>
      </c>
      <c r="BV514" t="s">
        <v>25</v>
      </c>
      <c r="BW514" t="s">
        <v>189</v>
      </c>
      <c r="BX514">
        <v>1</v>
      </c>
      <c r="BY514">
        <v>68555</v>
      </c>
      <c r="BZ514">
        <v>0</v>
      </c>
      <c r="CA514" t="s">
        <v>1439</v>
      </c>
      <c r="CB514" t="s">
        <v>312</v>
      </c>
      <c r="CC514" t="s">
        <v>1440</v>
      </c>
      <c r="CD514">
        <v>0</v>
      </c>
      <c r="CE514">
        <v>1</v>
      </c>
      <c r="CF514" t="s">
        <v>466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 t="s">
        <v>88</v>
      </c>
      <c r="CT514" t="s">
        <v>1441</v>
      </c>
      <c r="CU514" t="s">
        <v>1442</v>
      </c>
    </row>
    <row r="515" spans="1:99">
      <c r="A515" t="s">
        <v>1431</v>
      </c>
      <c r="B515" t="s">
        <v>34</v>
      </c>
      <c r="C515" t="s">
        <v>2760</v>
      </c>
      <c r="D515" t="s">
        <v>2761</v>
      </c>
      <c r="E515" t="s">
        <v>1555</v>
      </c>
      <c r="F515" t="s">
        <v>1483</v>
      </c>
      <c r="G515" t="s">
        <v>2410</v>
      </c>
      <c r="H515" t="s">
        <v>2762</v>
      </c>
      <c r="I515" t="s">
        <v>682</v>
      </c>
      <c r="J515" t="s">
        <v>484</v>
      </c>
      <c r="K515" t="s">
        <v>29</v>
      </c>
      <c r="L515" t="s">
        <v>30</v>
      </c>
      <c r="M515">
        <v>205</v>
      </c>
      <c r="N515" t="s">
        <v>32</v>
      </c>
      <c r="O515" t="s">
        <v>32</v>
      </c>
      <c r="Q515" t="s">
        <v>32</v>
      </c>
      <c r="S515" t="s">
        <v>32</v>
      </c>
      <c r="U515" t="s">
        <v>32</v>
      </c>
      <c r="V515" t="s">
        <v>32</v>
      </c>
      <c r="W515" t="s">
        <v>32</v>
      </c>
      <c r="X515" t="s">
        <v>32</v>
      </c>
      <c r="Y515" t="s">
        <v>32</v>
      </c>
      <c r="AA515" t="s">
        <v>88</v>
      </c>
      <c r="AB515" t="s">
        <v>32</v>
      </c>
      <c r="AE515" t="s">
        <v>32</v>
      </c>
      <c r="AH515" t="s">
        <v>32</v>
      </c>
      <c r="AK515" t="s">
        <v>32</v>
      </c>
      <c r="AN515" t="s">
        <v>32</v>
      </c>
      <c r="AO515" t="s">
        <v>32</v>
      </c>
      <c r="AR515">
        <v>0</v>
      </c>
      <c r="AU515" t="s">
        <v>32</v>
      </c>
      <c r="AV515">
        <v>2056650</v>
      </c>
      <c r="AW515" t="s">
        <v>32</v>
      </c>
      <c r="AX515" t="s">
        <v>32</v>
      </c>
      <c r="AY515" t="s">
        <v>317</v>
      </c>
      <c r="AZ515">
        <v>29</v>
      </c>
      <c r="BA515">
        <v>2434575</v>
      </c>
      <c r="BB515">
        <v>0.16</v>
      </c>
      <c r="BC515">
        <v>389600</v>
      </c>
      <c r="BD515" t="s">
        <v>142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389600</v>
      </c>
      <c r="BK515" t="s">
        <v>25</v>
      </c>
      <c r="BL515" t="s">
        <v>1491</v>
      </c>
      <c r="BM515">
        <v>29</v>
      </c>
      <c r="BN515">
        <v>2434575</v>
      </c>
      <c r="BO515">
        <v>0.04</v>
      </c>
      <c r="BP515">
        <v>97400</v>
      </c>
      <c r="BQ515">
        <v>0</v>
      </c>
      <c r="BR515" t="s">
        <v>1438</v>
      </c>
      <c r="BS515">
        <v>0</v>
      </c>
      <c r="BT515" t="s">
        <v>1438</v>
      </c>
      <c r="BU515">
        <v>0</v>
      </c>
      <c r="BV515" t="s">
        <v>25</v>
      </c>
      <c r="BW515" t="s">
        <v>189</v>
      </c>
      <c r="BX515">
        <v>29</v>
      </c>
      <c r="BY515">
        <v>2434575</v>
      </c>
      <c r="BZ515">
        <v>6.9599999999999995E-2</v>
      </c>
      <c r="CA515" t="s">
        <v>1439</v>
      </c>
      <c r="CB515" t="s">
        <v>312</v>
      </c>
      <c r="CC515" t="s">
        <v>1440</v>
      </c>
      <c r="CD515">
        <v>169500</v>
      </c>
      <c r="CE515">
        <v>29</v>
      </c>
      <c r="CF515" t="s">
        <v>466</v>
      </c>
      <c r="CG515">
        <v>2304913</v>
      </c>
      <c r="CH515">
        <v>0.04</v>
      </c>
      <c r="CI515">
        <v>92200</v>
      </c>
      <c r="CJ515">
        <v>2304913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 t="s">
        <v>88</v>
      </c>
      <c r="CT515" t="s">
        <v>1441</v>
      </c>
      <c r="CU515" t="s">
        <v>1442</v>
      </c>
    </row>
    <row r="516" spans="1:99">
      <c r="A516" t="s">
        <v>1431</v>
      </c>
      <c r="B516" t="s">
        <v>34</v>
      </c>
      <c r="C516" t="s">
        <v>2763</v>
      </c>
      <c r="D516" t="s">
        <v>2764</v>
      </c>
      <c r="E516" t="s">
        <v>2765</v>
      </c>
      <c r="F516" t="s">
        <v>2310</v>
      </c>
      <c r="G516" t="s">
        <v>1543</v>
      </c>
      <c r="H516" t="s">
        <v>1489</v>
      </c>
      <c r="I516" t="s">
        <v>682</v>
      </c>
      <c r="J516" t="s">
        <v>484</v>
      </c>
      <c r="K516" t="s">
        <v>29</v>
      </c>
      <c r="L516" t="s">
        <v>30</v>
      </c>
      <c r="M516">
        <v>199</v>
      </c>
      <c r="N516" t="s">
        <v>32</v>
      </c>
      <c r="O516" t="s">
        <v>32</v>
      </c>
      <c r="Q516" t="s">
        <v>32</v>
      </c>
      <c r="S516" t="s">
        <v>32</v>
      </c>
      <c r="U516" t="s">
        <v>32</v>
      </c>
      <c r="V516" t="s">
        <v>32</v>
      </c>
      <c r="W516" t="s">
        <v>32</v>
      </c>
      <c r="X516" t="s">
        <v>32</v>
      </c>
      <c r="Y516" t="s">
        <v>32</v>
      </c>
      <c r="AA516" t="s">
        <v>88</v>
      </c>
      <c r="AB516" t="s">
        <v>32</v>
      </c>
      <c r="AE516" t="s">
        <v>32</v>
      </c>
      <c r="AH516" t="s">
        <v>32</v>
      </c>
      <c r="AK516" t="s">
        <v>32</v>
      </c>
      <c r="AN516" t="s">
        <v>32</v>
      </c>
      <c r="AO516" t="s">
        <v>32</v>
      </c>
      <c r="AR516">
        <v>0</v>
      </c>
      <c r="AU516" t="s">
        <v>32</v>
      </c>
      <c r="AV516">
        <v>2223339</v>
      </c>
      <c r="AW516" t="s">
        <v>32</v>
      </c>
      <c r="AX516" t="s">
        <v>32</v>
      </c>
      <c r="AY516" t="s">
        <v>137</v>
      </c>
      <c r="AZ516">
        <v>30</v>
      </c>
      <c r="BA516">
        <v>2702349</v>
      </c>
      <c r="BB516">
        <v>0.16</v>
      </c>
      <c r="BC516">
        <v>432400</v>
      </c>
      <c r="BD516" t="s">
        <v>142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432400</v>
      </c>
      <c r="BK516" t="s">
        <v>25</v>
      </c>
      <c r="BL516" t="s">
        <v>1064</v>
      </c>
      <c r="BM516">
        <v>30</v>
      </c>
      <c r="BN516">
        <v>2702349</v>
      </c>
      <c r="BO516">
        <v>0.04</v>
      </c>
      <c r="BP516">
        <v>108100</v>
      </c>
      <c r="BQ516">
        <v>0</v>
      </c>
      <c r="BR516" t="s">
        <v>1438</v>
      </c>
      <c r="BS516">
        <v>0</v>
      </c>
      <c r="BT516" t="s">
        <v>1438</v>
      </c>
      <c r="BU516">
        <v>0</v>
      </c>
      <c r="BV516" t="s">
        <v>25</v>
      </c>
      <c r="BW516" t="s">
        <v>189</v>
      </c>
      <c r="BX516">
        <v>30</v>
      </c>
      <c r="BY516">
        <v>2702349</v>
      </c>
      <c r="BZ516">
        <v>6.9599999999999995E-2</v>
      </c>
      <c r="CA516" t="s">
        <v>1439</v>
      </c>
      <c r="CB516" t="s">
        <v>312</v>
      </c>
      <c r="CC516" t="s">
        <v>1440</v>
      </c>
      <c r="CD516">
        <v>188100</v>
      </c>
      <c r="CE516">
        <v>30</v>
      </c>
      <c r="CF516" t="s">
        <v>466</v>
      </c>
      <c r="CG516">
        <v>2552294</v>
      </c>
      <c r="CH516">
        <v>0.04</v>
      </c>
      <c r="CI516">
        <v>102100</v>
      </c>
      <c r="CJ516">
        <v>2552294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 t="s">
        <v>88</v>
      </c>
      <c r="CT516" t="s">
        <v>1441</v>
      </c>
      <c r="CU516" t="s">
        <v>1442</v>
      </c>
    </row>
    <row r="517" spans="1:99">
      <c r="A517" t="s">
        <v>1431</v>
      </c>
      <c r="B517" t="s">
        <v>34</v>
      </c>
      <c r="C517" t="s">
        <v>2766</v>
      </c>
      <c r="D517" t="s">
        <v>2767</v>
      </c>
      <c r="E517" t="s">
        <v>1555</v>
      </c>
      <c r="F517" t="s">
        <v>1483</v>
      </c>
      <c r="G517" t="s">
        <v>2768</v>
      </c>
      <c r="H517" t="s">
        <v>1468</v>
      </c>
      <c r="I517" t="s">
        <v>203</v>
      </c>
      <c r="J517" t="s">
        <v>403</v>
      </c>
      <c r="K517" t="s">
        <v>29</v>
      </c>
      <c r="L517" t="s">
        <v>30</v>
      </c>
      <c r="M517">
        <v>201</v>
      </c>
      <c r="N517" t="s">
        <v>32</v>
      </c>
      <c r="O517" t="s">
        <v>32</v>
      </c>
      <c r="Q517" t="s">
        <v>32</v>
      </c>
      <c r="S517" t="s">
        <v>32</v>
      </c>
      <c r="U517" t="s">
        <v>32</v>
      </c>
      <c r="V517" t="s">
        <v>32</v>
      </c>
      <c r="W517" t="s">
        <v>32</v>
      </c>
      <c r="X517" t="s">
        <v>32</v>
      </c>
      <c r="Y517" t="s">
        <v>32</v>
      </c>
      <c r="AA517" t="s">
        <v>88</v>
      </c>
      <c r="AB517" t="s">
        <v>32</v>
      </c>
      <c r="AE517" t="s">
        <v>32</v>
      </c>
      <c r="AH517" t="s">
        <v>32</v>
      </c>
      <c r="AK517" t="s">
        <v>32</v>
      </c>
      <c r="AN517" t="s">
        <v>32</v>
      </c>
      <c r="AO517" t="s">
        <v>32</v>
      </c>
      <c r="AR517">
        <v>0</v>
      </c>
      <c r="AU517" t="s">
        <v>32</v>
      </c>
      <c r="AV517">
        <v>3534205</v>
      </c>
      <c r="AW517" t="s">
        <v>32</v>
      </c>
      <c r="AX517" t="s">
        <v>32</v>
      </c>
      <c r="AY517" t="s">
        <v>185</v>
      </c>
      <c r="AZ517">
        <v>30</v>
      </c>
      <c r="BA517">
        <v>3955901</v>
      </c>
      <c r="BB517">
        <v>0.16</v>
      </c>
      <c r="BC517">
        <v>633000</v>
      </c>
      <c r="BD517" t="s">
        <v>142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633000</v>
      </c>
      <c r="BK517" t="s">
        <v>25</v>
      </c>
      <c r="BL517" t="s">
        <v>1491</v>
      </c>
      <c r="BM517">
        <v>30</v>
      </c>
      <c r="BN517">
        <v>3955901</v>
      </c>
      <c r="BO517">
        <v>0.04</v>
      </c>
      <c r="BP517">
        <v>158300</v>
      </c>
      <c r="BQ517">
        <v>0</v>
      </c>
      <c r="BR517" t="s">
        <v>1438</v>
      </c>
      <c r="BS517">
        <v>0</v>
      </c>
      <c r="BT517" t="s">
        <v>1438</v>
      </c>
      <c r="BU517">
        <v>0</v>
      </c>
      <c r="BV517" t="s">
        <v>25</v>
      </c>
      <c r="BW517" t="s">
        <v>189</v>
      </c>
      <c r="BX517">
        <v>30</v>
      </c>
      <c r="BY517">
        <v>3955901</v>
      </c>
      <c r="BZ517">
        <v>6.9599999999999995E-2</v>
      </c>
      <c r="CA517" t="s">
        <v>1439</v>
      </c>
      <c r="CB517" t="s">
        <v>609</v>
      </c>
      <c r="CC517" t="s">
        <v>1440</v>
      </c>
      <c r="CD517">
        <v>275400</v>
      </c>
      <c r="CE517">
        <v>30</v>
      </c>
      <c r="CF517" t="s">
        <v>1001</v>
      </c>
      <c r="CG517">
        <v>3955901</v>
      </c>
      <c r="CH517">
        <v>0.04</v>
      </c>
      <c r="CI517">
        <v>158300</v>
      </c>
      <c r="CJ517">
        <v>3955901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 t="s">
        <v>88</v>
      </c>
      <c r="CT517" t="s">
        <v>1441</v>
      </c>
      <c r="CU517" t="s">
        <v>1442</v>
      </c>
    </row>
    <row r="518" spans="1:99">
      <c r="A518" t="s">
        <v>1431</v>
      </c>
      <c r="B518" t="s">
        <v>34</v>
      </c>
      <c r="C518" t="s">
        <v>2769</v>
      </c>
      <c r="D518" t="s">
        <v>2770</v>
      </c>
      <c r="E518" t="s">
        <v>510</v>
      </c>
      <c r="F518" t="s">
        <v>2771</v>
      </c>
      <c r="G518" t="s">
        <v>1436</v>
      </c>
      <c r="H518" t="s">
        <v>1498</v>
      </c>
      <c r="I518" t="s">
        <v>682</v>
      </c>
      <c r="J518" t="s">
        <v>484</v>
      </c>
      <c r="K518" t="s">
        <v>29</v>
      </c>
      <c r="L518" t="s">
        <v>30</v>
      </c>
      <c r="M518">
        <v>205</v>
      </c>
      <c r="N518" t="s">
        <v>32</v>
      </c>
      <c r="O518" t="s">
        <v>32</v>
      </c>
      <c r="Q518" t="s">
        <v>32</v>
      </c>
      <c r="S518" t="s">
        <v>32</v>
      </c>
      <c r="U518" t="s">
        <v>32</v>
      </c>
      <c r="V518" t="s">
        <v>32</v>
      </c>
      <c r="W518" t="s">
        <v>32</v>
      </c>
      <c r="X518" t="s">
        <v>32</v>
      </c>
      <c r="Y518" t="s">
        <v>32</v>
      </c>
      <c r="AA518" t="s">
        <v>88</v>
      </c>
      <c r="AB518" t="s">
        <v>32</v>
      </c>
      <c r="AE518" t="s">
        <v>32</v>
      </c>
      <c r="AH518" t="s">
        <v>32</v>
      </c>
      <c r="AK518" t="s">
        <v>32</v>
      </c>
      <c r="AN518" t="s">
        <v>32</v>
      </c>
      <c r="AO518" t="s">
        <v>32</v>
      </c>
      <c r="AR518">
        <v>0</v>
      </c>
      <c r="AU518" t="s">
        <v>32</v>
      </c>
      <c r="AV518">
        <v>2056650</v>
      </c>
      <c r="AW518" t="s">
        <v>32</v>
      </c>
      <c r="AX518" t="s">
        <v>32</v>
      </c>
      <c r="AY518" t="s">
        <v>185</v>
      </c>
      <c r="AZ518">
        <v>30</v>
      </c>
      <c r="BA518">
        <v>2544653</v>
      </c>
      <c r="BB518">
        <v>0.16</v>
      </c>
      <c r="BC518">
        <v>407200</v>
      </c>
      <c r="BD518" t="s">
        <v>142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407200</v>
      </c>
      <c r="BK518" t="s">
        <v>25</v>
      </c>
      <c r="BL518" t="s">
        <v>1010</v>
      </c>
      <c r="BM518">
        <v>30</v>
      </c>
      <c r="BN518">
        <v>2544653</v>
      </c>
      <c r="BO518">
        <v>0.04</v>
      </c>
      <c r="BP518">
        <v>101800</v>
      </c>
      <c r="BQ518">
        <v>0</v>
      </c>
      <c r="BR518" t="s">
        <v>1438</v>
      </c>
      <c r="BS518">
        <v>0</v>
      </c>
      <c r="BT518" t="s">
        <v>1438</v>
      </c>
      <c r="BU518">
        <v>0</v>
      </c>
      <c r="BV518" t="s">
        <v>25</v>
      </c>
      <c r="BW518" t="s">
        <v>189</v>
      </c>
      <c r="BX518">
        <v>30</v>
      </c>
      <c r="BY518">
        <v>2544653</v>
      </c>
      <c r="BZ518">
        <v>6.9599999999999995E-2</v>
      </c>
      <c r="CA518" t="s">
        <v>1439</v>
      </c>
      <c r="CB518" t="s">
        <v>312</v>
      </c>
      <c r="CC518" t="s">
        <v>1440</v>
      </c>
      <c r="CD518">
        <v>177200</v>
      </c>
      <c r="CE518">
        <v>30</v>
      </c>
      <c r="CF518" t="s">
        <v>466</v>
      </c>
      <c r="CG518">
        <v>2373468</v>
      </c>
      <c r="CH518">
        <v>0.04</v>
      </c>
      <c r="CI518">
        <v>95000</v>
      </c>
      <c r="CJ518">
        <v>2373468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 t="s">
        <v>88</v>
      </c>
      <c r="CT518" t="s">
        <v>1441</v>
      </c>
      <c r="CU518" t="s">
        <v>1442</v>
      </c>
    </row>
    <row r="519" spans="1:99">
      <c r="A519" t="s">
        <v>1431</v>
      </c>
      <c r="B519" t="s">
        <v>34</v>
      </c>
      <c r="C519" t="s">
        <v>2772</v>
      </c>
      <c r="D519" t="s">
        <v>2773</v>
      </c>
      <c r="E519" t="s">
        <v>2011</v>
      </c>
      <c r="F519" t="s">
        <v>2774</v>
      </c>
      <c r="G519" t="s">
        <v>1489</v>
      </c>
      <c r="H519" t="s">
        <v>1781</v>
      </c>
      <c r="I519" t="s">
        <v>240</v>
      </c>
      <c r="J519" t="s">
        <v>46</v>
      </c>
      <c r="K519" t="s">
        <v>29</v>
      </c>
      <c r="L519" t="s">
        <v>30</v>
      </c>
      <c r="M519">
        <v>188</v>
      </c>
      <c r="N519" t="s">
        <v>32</v>
      </c>
      <c r="O519" t="s">
        <v>32</v>
      </c>
      <c r="Q519" t="s">
        <v>32</v>
      </c>
      <c r="S519" t="s">
        <v>32</v>
      </c>
      <c r="U519" t="s">
        <v>32</v>
      </c>
      <c r="V519" t="s">
        <v>32</v>
      </c>
      <c r="W519" t="s">
        <v>32</v>
      </c>
      <c r="X519" t="s">
        <v>32</v>
      </c>
      <c r="Y519" t="s">
        <v>88</v>
      </c>
      <c r="Z519">
        <v>46054</v>
      </c>
      <c r="AA519" t="s">
        <v>32</v>
      </c>
      <c r="AB519" t="s">
        <v>32</v>
      </c>
      <c r="AE519" t="s">
        <v>32</v>
      </c>
      <c r="AH519" t="s">
        <v>32</v>
      </c>
      <c r="AK519" t="s">
        <v>32</v>
      </c>
      <c r="AN519" t="s">
        <v>32</v>
      </c>
      <c r="AO519" t="s">
        <v>32</v>
      </c>
      <c r="AR519">
        <v>0</v>
      </c>
      <c r="AU519" t="s">
        <v>32</v>
      </c>
      <c r="AV519">
        <v>7262840</v>
      </c>
      <c r="AW519" t="s">
        <v>32</v>
      </c>
      <c r="AX519" t="s">
        <v>32</v>
      </c>
      <c r="AY519" t="s">
        <v>317</v>
      </c>
      <c r="AZ519">
        <v>30</v>
      </c>
      <c r="BA519">
        <v>14394928</v>
      </c>
      <c r="BB519">
        <v>0.16</v>
      </c>
      <c r="BC519">
        <v>2303200</v>
      </c>
      <c r="BD519" t="s">
        <v>142</v>
      </c>
      <c r="BE519">
        <v>0</v>
      </c>
      <c r="BF519">
        <v>0</v>
      </c>
      <c r="BG519">
        <v>72000</v>
      </c>
      <c r="BH519">
        <v>72000</v>
      </c>
      <c r="BI519">
        <v>0</v>
      </c>
      <c r="BJ519">
        <v>2447200</v>
      </c>
      <c r="BK519" t="s">
        <v>25</v>
      </c>
      <c r="BL519" t="s">
        <v>1064</v>
      </c>
      <c r="BM519">
        <v>30</v>
      </c>
      <c r="BN519">
        <v>14394928</v>
      </c>
      <c r="BO519">
        <v>0.125</v>
      </c>
      <c r="BP519">
        <v>1799400</v>
      </c>
      <c r="BQ519">
        <v>0</v>
      </c>
      <c r="BR519" t="s">
        <v>1438</v>
      </c>
      <c r="BS519">
        <v>0</v>
      </c>
      <c r="BT519" t="s">
        <v>1438</v>
      </c>
      <c r="BU519">
        <v>0</v>
      </c>
      <c r="BV519" t="s">
        <v>25</v>
      </c>
      <c r="BW519" t="s">
        <v>189</v>
      </c>
      <c r="BX519">
        <v>30</v>
      </c>
      <c r="BY519">
        <v>14394928</v>
      </c>
      <c r="BZ519">
        <v>5.2199999999999998E-3</v>
      </c>
      <c r="CA519" t="s">
        <v>1592</v>
      </c>
      <c r="CB519" t="s">
        <v>227</v>
      </c>
      <c r="CC519" t="s">
        <v>1593</v>
      </c>
      <c r="CD519">
        <v>75200</v>
      </c>
      <c r="CE519">
        <v>30</v>
      </c>
      <c r="CF519" t="s">
        <v>635</v>
      </c>
      <c r="CG519">
        <v>7262840</v>
      </c>
      <c r="CH519">
        <v>0.04</v>
      </c>
      <c r="CI519">
        <v>290600</v>
      </c>
      <c r="CJ519">
        <v>7262840</v>
      </c>
      <c r="CK519">
        <v>0.02</v>
      </c>
      <c r="CL519">
        <v>145300</v>
      </c>
      <c r="CM519">
        <v>0.03</v>
      </c>
      <c r="CN519">
        <v>217900</v>
      </c>
      <c r="CO519">
        <v>0</v>
      </c>
      <c r="CP519">
        <v>0</v>
      </c>
      <c r="CQ519">
        <v>0</v>
      </c>
      <c r="CR519">
        <v>0</v>
      </c>
      <c r="CS519" t="s">
        <v>88</v>
      </c>
      <c r="CT519" t="s">
        <v>1441</v>
      </c>
      <c r="CU519" t="s">
        <v>1442</v>
      </c>
    </row>
    <row r="520" spans="1:99">
      <c r="A520" t="s">
        <v>1431</v>
      </c>
      <c r="B520" t="s">
        <v>34</v>
      </c>
      <c r="C520" t="s">
        <v>2775</v>
      </c>
      <c r="D520" t="s">
        <v>2776</v>
      </c>
      <c r="E520" t="s">
        <v>2777</v>
      </c>
      <c r="F520" t="s">
        <v>1511</v>
      </c>
      <c r="G520" t="s">
        <v>1436</v>
      </c>
      <c r="H520" t="s">
        <v>1798</v>
      </c>
      <c r="I520" t="s">
        <v>682</v>
      </c>
      <c r="J520" t="s">
        <v>484</v>
      </c>
      <c r="K520" t="s">
        <v>29</v>
      </c>
      <c r="L520" t="s">
        <v>30</v>
      </c>
      <c r="M520">
        <v>0</v>
      </c>
      <c r="N520" t="s">
        <v>32</v>
      </c>
      <c r="O520" t="s">
        <v>32</v>
      </c>
      <c r="Q520" t="s">
        <v>32</v>
      </c>
      <c r="S520" t="s">
        <v>32</v>
      </c>
      <c r="U520" t="s">
        <v>32</v>
      </c>
      <c r="V520" t="s">
        <v>32</v>
      </c>
      <c r="W520" t="s">
        <v>32</v>
      </c>
      <c r="X520" t="s">
        <v>32</v>
      </c>
      <c r="Y520" t="s">
        <v>32</v>
      </c>
      <c r="AA520" t="s">
        <v>32</v>
      </c>
      <c r="AB520" t="s">
        <v>37</v>
      </c>
      <c r="AC520">
        <v>46054</v>
      </c>
      <c r="AD520">
        <v>46054</v>
      </c>
      <c r="AE520" t="s">
        <v>32</v>
      </c>
      <c r="AH520" t="s">
        <v>32</v>
      </c>
      <c r="AK520" t="s">
        <v>32</v>
      </c>
      <c r="AN520" t="s">
        <v>32</v>
      </c>
      <c r="AO520" t="s">
        <v>32</v>
      </c>
      <c r="AR520">
        <v>0</v>
      </c>
      <c r="AU520" t="s">
        <v>32</v>
      </c>
      <c r="AV520">
        <v>1785595</v>
      </c>
      <c r="AW520" t="s">
        <v>32</v>
      </c>
      <c r="AX520" t="s">
        <v>32</v>
      </c>
      <c r="AY520" t="s">
        <v>356</v>
      </c>
      <c r="AZ520">
        <v>1</v>
      </c>
      <c r="BA520">
        <v>59520</v>
      </c>
      <c r="BB520">
        <v>0.16</v>
      </c>
      <c r="BC520">
        <v>9600</v>
      </c>
      <c r="BD520" t="s">
        <v>142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9600</v>
      </c>
      <c r="BK520" t="s">
        <v>25</v>
      </c>
      <c r="BL520" t="s">
        <v>1064</v>
      </c>
      <c r="BM520">
        <v>1</v>
      </c>
      <c r="BN520">
        <v>59520</v>
      </c>
      <c r="BO520">
        <v>0</v>
      </c>
      <c r="BP520">
        <v>0</v>
      </c>
      <c r="BQ520">
        <v>0</v>
      </c>
      <c r="BR520" t="s">
        <v>1438</v>
      </c>
      <c r="BS520">
        <v>0</v>
      </c>
      <c r="BT520" t="s">
        <v>1438</v>
      </c>
      <c r="BU520">
        <v>0</v>
      </c>
      <c r="BV520" t="s">
        <v>25</v>
      </c>
      <c r="BW520" t="s">
        <v>189</v>
      </c>
      <c r="BX520">
        <v>1</v>
      </c>
      <c r="BY520">
        <v>59520</v>
      </c>
      <c r="BZ520">
        <v>0</v>
      </c>
      <c r="CA520" t="s">
        <v>1439</v>
      </c>
      <c r="CB520" t="s">
        <v>312</v>
      </c>
      <c r="CC520" t="s">
        <v>1440</v>
      </c>
      <c r="CD520">
        <v>0</v>
      </c>
      <c r="CE520">
        <v>1</v>
      </c>
      <c r="CF520" t="s">
        <v>466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 t="s">
        <v>88</v>
      </c>
      <c r="CT520" t="s">
        <v>1441</v>
      </c>
      <c r="CU520" t="s">
        <v>1442</v>
      </c>
    </row>
    <row r="521" spans="1:99">
      <c r="A521" t="s">
        <v>1431</v>
      </c>
      <c r="B521" t="s">
        <v>34</v>
      </c>
      <c r="C521" t="s">
        <v>2775</v>
      </c>
      <c r="D521" t="s">
        <v>2776</v>
      </c>
      <c r="E521" t="s">
        <v>2777</v>
      </c>
      <c r="F521" t="s">
        <v>1511</v>
      </c>
      <c r="G521" t="s">
        <v>1436</v>
      </c>
      <c r="H521" t="s">
        <v>1798</v>
      </c>
      <c r="I521" t="s">
        <v>682</v>
      </c>
      <c r="J521" t="s">
        <v>484</v>
      </c>
      <c r="K521" t="s">
        <v>29</v>
      </c>
      <c r="L521" t="s">
        <v>30</v>
      </c>
      <c r="M521">
        <v>0</v>
      </c>
      <c r="N521" t="s">
        <v>32</v>
      </c>
      <c r="O521" t="s">
        <v>32</v>
      </c>
      <c r="Q521" t="s">
        <v>32</v>
      </c>
      <c r="S521" t="s">
        <v>32</v>
      </c>
      <c r="U521" t="s">
        <v>32</v>
      </c>
      <c r="V521" t="s">
        <v>32</v>
      </c>
      <c r="W521" t="s">
        <v>32</v>
      </c>
      <c r="X521" t="s">
        <v>32</v>
      </c>
      <c r="Y521" t="s">
        <v>32</v>
      </c>
      <c r="AA521" t="s">
        <v>32</v>
      </c>
      <c r="AB521" t="s">
        <v>32</v>
      </c>
      <c r="AE521" t="s">
        <v>32</v>
      </c>
      <c r="AH521" t="s">
        <v>32</v>
      </c>
      <c r="AK521" t="s">
        <v>128</v>
      </c>
      <c r="AL521">
        <v>46069</v>
      </c>
      <c r="AM521">
        <v>46069</v>
      </c>
      <c r="AN521" t="s">
        <v>32</v>
      </c>
      <c r="AO521" t="s">
        <v>32</v>
      </c>
      <c r="AR521">
        <v>0</v>
      </c>
      <c r="AU521" t="s">
        <v>32</v>
      </c>
      <c r="AV521">
        <v>1785595</v>
      </c>
      <c r="AW521" t="s">
        <v>32</v>
      </c>
      <c r="AX521" t="s">
        <v>32</v>
      </c>
      <c r="AY521" t="s">
        <v>356</v>
      </c>
      <c r="AZ521">
        <v>1</v>
      </c>
      <c r="BA521">
        <v>59520</v>
      </c>
      <c r="BB521">
        <v>0.16</v>
      </c>
      <c r="BC521">
        <v>9600</v>
      </c>
      <c r="BD521" t="s">
        <v>142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9600</v>
      </c>
      <c r="BK521" t="s">
        <v>25</v>
      </c>
      <c r="BL521" t="s">
        <v>1064</v>
      </c>
      <c r="BM521">
        <v>1</v>
      </c>
      <c r="BN521">
        <v>59520</v>
      </c>
      <c r="BO521">
        <v>0.04</v>
      </c>
      <c r="BP521">
        <v>2400</v>
      </c>
      <c r="BQ521">
        <v>0</v>
      </c>
      <c r="BR521" t="s">
        <v>1438</v>
      </c>
      <c r="BS521">
        <v>0</v>
      </c>
      <c r="BT521" t="s">
        <v>1438</v>
      </c>
      <c r="BU521">
        <v>0</v>
      </c>
      <c r="BV521" t="s">
        <v>25</v>
      </c>
      <c r="BW521" t="s">
        <v>189</v>
      </c>
      <c r="BX521">
        <v>1</v>
      </c>
      <c r="BY521">
        <v>59520</v>
      </c>
      <c r="BZ521">
        <v>0</v>
      </c>
      <c r="CA521" t="s">
        <v>1439</v>
      </c>
      <c r="CB521" t="s">
        <v>312</v>
      </c>
      <c r="CC521" t="s">
        <v>1440</v>
      </c>
      <c r="CD521">
        <v>0</v>
      </c>
      <c r="CE521">
        <v>1</v>
      </c>
      <c r="CF521" t="s">
        <v>466</v>
      </c>
      <c r="CG521">
        <v>59520</v>
      </c>
      <c r="CH521">
        <v>0.04</v>
      </c>
      <c r="CI521">
        <v>2400</v>
      </c>
      <c r="CJ521">
        <v>59520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 t="s">
        <v>88</v>
      </c>
      <c r="CT521" t="s">
        <v>1441</v>
      </c>
      <c r="CU521" t="s">
        <v>1442</v>
      </c>
    </row>
    <row r="522" spans="1:99">
      <c r="A522" t="s">
        <v>1431</v>
      </c>
      <c r="B522" t="s">
        <v>34</v>
      </c>
      <c r="C522" t="s">
        <v>2775</v>
      </c>
      <c r="D522" t="s">
        <v>2776</v>
      </c>
      <c r="E522" t="s">
        <v>2777</v>
      </c>
      <c r="F522" t="s">
        <v>1511</v>
      </c>
      <c r="G522" t="s">
        <v>1436</v>
      </c>
      <c r="H522" t="s">
        <v>1798</v>
      </c>
      <c r="I522" t="s">
        <v>682</v>
      </c>
      <c r="J522" t="s">
        <v>484</v>
      </c>
      <c r="K522" t="s">
        <v>29</v>
      </c>
      <c r="L522" t="s">
        <v>30</v>
      </c>
      <c r="M522">
        <v>194</v>
      </c>
      <c r="N522" t="s">
        <v>32</v>
      </c>
      <c r="O522" t="s">
        <v>32</v>
      </c>
      <c r="Q522" t="s">
        <v>32</v>
      </c>
      <c r="S522" t="s">
        <v>32</v>
      </c>
      <c r="U522" t="s">
        <v>32</v>
      </c>
      <c r="V522" t="s">
        <v>32</v>
      </c>
      <c r="W522" t="s">
        <v>32</v>
      </c>
      <c r="X522" t="s">
        <v>32</v>
      </c>
      <c r="Y522" t="s">
        <v>32</v>
      </c>
      <c r="AA522" t="s">
        <v>88</v>
      </c>
      <c r="AB522" t="s">
        <v>32</v>
      </c>
      <c r="AE522" t="s">
        <v>32</v>
      </c>
      <c r="AH522" t="s">
        <v>32</v>
      </c>
      <c r="AK522" t="s">
        <v>32</v>
      </c>
      <c r="AN522" t="s">
        <v>32</v>
      </c>
      <c r="AO522" t="s">
        <v>32</v>
      </c>
      <c r="AR522">
        <v>0</v>
      </c>
      <c r="AU522" t="s">
        <v>32</v>
      </c>
      <c r="AV522">
        <v>1785595</v>
      </c>
      <c r="AW522" t="s">
        <v>32</v>
      </c>
      <c r="AX522" t="s">
        <v>32</v>
      </c>
      <c r="AY522" t="s">
        <v>356</v>
      </c>
      <c r="AZ522">
        <v>28</v>
      </c>
      <c r="BA522">
        <v>1935613</v>
      </c>
      <c r="BB522">
        <v>0.16</v>
      </c>
      <c r="BC522">
        <v>309700</v>
      </c>
      <c r="BD522" t="s">
        <v>142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309700</v>
      </c>
      <c r="BK522" t="s">
        <v>25</v>
      </c>
      <c r="BL522" t="s">
        <v>1064</v>
      </c>
      <c r="BM522">
        <v>28</v>
      </c>
      <c r="BN522">
        <v>1935613</v>
      </c>
      <c r="BO522">
        <v>0.04</v>
      </c>
      <c r="BP522">
        <v>77500</v>
      </c>
      <c r="BQ522">
        <v>0</v>
      </c>
      <c r="BR522" t="s">
        <v>1438</v>
      </c>
      <c r="BS522">
        <v>0</v>
      </c>
      <c r="BT522" t="s">
        <v>1438</v>
      </c>
      <c r="BU522">
        <v>0</v>
      </c>
      <c r="BV522" t="s">
        <v>25</v>
      </c>
      <c r="BW522" t="s">
        <v>189</v>
      </c>
      <c r="BX522">
        <v>28</v>
      </c>
      <c r="BY522">
        <v>1935613</v>
      </c>
      <c r="BZ522">
        <v>6.9599999999999995E-2</v>
      </c>
      <c r="CA522" t="s">
        <v>1439</v>
      </c>
      <c r="CB522" t="s">
        <v>312</v>
      </c>
      <c r="CC522" t="s">
        <v>1440</v>
      </c>
      <c r="CD522">
        <v>134800</v>
      </c>
      <c r="CE522">
        <v>28</v>
      </c>
      <c r="CF522" t="s">
        <v>466</v>
      </c>
      <c r="CG522">
        <v>1935613</v>
      </c>
      <c r="CH522">
        <v>0.04</v>
      </c>
      <c r="CI522">
        <v>77500</v>
      </c>
      <c r="CJ522">
        <v>1935613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 t="s">
        <v>88</v>
      </c>
      <c r="CT522" t="s">
        <v>1441</v>
      </c>
      <c r="CU522" t="s">
        <v>1442</v>
      </c>
    </row>
    <row r="523" spans="1:99">
      <c r="A523" t="s">
        <v>1431</v>
      </c>
      <c r="B523" t="s">
        <v>34</v>
      </c>
      <c r="C523" t="s">
        <v>2778</v>
      </c>
      <c r="D523" t="s">
        <v>2779</v>
      </c>
      <c r="E523" t="s">
        <v>2780</v>
      </c>
      <c r="F523" t="s">
        <v>2310</v>
      </c>
      <c r="G523" t="s">
        <v>2781</v>
      </c>
      <c r="H523" t="s">
        <v>1543</v>
      </c>
      <c r="I523" t="s">
        <v>240</v>
      </c>
      <c r="J523" t="s">
        <v>46</v>
      </c>
      <c r="K523" t="s">
        <v>29</v>
      </c>
      <c r="L523" t="s">
        <v>30</v>
      </c>
      <c r="M523">
        <v>214</v>
      </c>
      <c r="N523" t="s">
        <v>32</v>
      </c>
      <c r="O523" t="s">
        <v>32</v>
      </c>
      <c r="Q523" t="s">
        <v>32</v>
      </c>
      <c r="S523" t="s">
        <v>32</v>
      </c>
      <c r="U523" t="s">
        <v>32</v>
      </c>
      <c r="V523" t="s">
        <v>32</v>
      </c>
      <c r="W523" t="s">
        <v>32</v>
      </c>
      <c r="X523" t="s">
        <v>32</v>
      </c>
      <c r="Y523" t="s">
        <v>32</v>
      </c>
      <c r="AA523" t="s">
        <v>88</v>
      </c>
      <c r="AB523" t="s">
        <v>32</v>
      </c>
      <c r="AE523" t="s">
        <v>32</v>
      </c>
      <c r="AH523" t="s">
        <v>32</v>
      </c>
      <c r="AK523" t="s">
        <v>32</v>
      </c>
      <c r="AN523" t="s">
        <v>32</v>
      </c>
      <c r="AO523" t="s">
        <v>32</v>
      </c>
      <c r="AR523">
        <v>0</v>
      </c>
      <c r="AU523" t="s">
        <v>32</v>
      </c>
      <c r="AV523">
        <v>2223339</v>
      </c>
      <c r="AW523" t="s">
        <v>32</v>
      </c>
      <c r="AX523" t="s">
        <v>32</v>
      </c>
      <c r="AY523" t="s">
        <v>185</v>
      </c>
      <c r="AZ523">
        <v>30</v>
      </c>
      <c r="BA523">
        <v>3060826</v>
      </c>
      <c r="BB523">
        <v>0.16</v>
      </c>
      <c r="BC523">
        <v>489800</v>
      </c>
      <c r="BD523" t="s">
        <v>142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489800</v>
      </c>
      <c r="BK523" t="s">
        <v>25</v>
      </c>
      <c r="BL523" t="s">
        <v>1491</v>
      </c>
      <c r="BM523">
        <v>30</v>
      </c>
      <c r="BN523">
        <v>3060826</v>
      </c>
      <c r="BO523">
        <v>0.04</v>
      </c>
      <c r="BP523">
        <v>122500</v>
      </c>
      <c r="BQ523">
        <v>0</v>
      </c>
      <c r="BR523" t="s">
        <v>1438</v>
      </c>
      <c r="BS523">
        <v>0</v>
      </c>
      <c r="BT523" t="s">
        <v>1438</v>
      </c>
      <c r="BU523">
        <v>0</v>
      </c>
      <c r="BV523" t="s">
        <v>25</v>
      </c>
      <c r="BW523" t="s">
        <v>189</v>
      </c>
      <c r="BX523">
        <v>30</v>
      </c>
      <c r="BY523">
        <v>3060826</v>
      </c>
      <c r="BZ523">
        <v>6.9599999999999995E-2</v>
      </c>
      <c r="CA523" t="s">
        <v>1439</v>
      </c>
      <c r="CB523" t="s">
        <v>227</v>
      </c>
      <c r="CC523" t="s">
        <v>1440</v>
      </c>
      <c r="CD523">
        <v>213100</v>
      </c>
      <c r="CE523">
        <v>30</v>
      </c>
      <c r="CF523" t="s">
        <v>635</v>
      </c>
      <c r="CG523">
        <v>2976528</v>
      </c>
      <c r="CH523">
        <v>0.04</v>
      </c>
      <c r="CI523">
        <v>119100</v>
      </c>
      <c r="CJ523">
        <v>2976528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 t="s">
        <v>88</v>
      </c>
      <c r="CT523" t="s">
        <v>1441</v>
      </c>
      <c r="CU523" t="s">
        <v>1442</v>
      </c>
    </row>
    <row r="524" spans="1:99">
      <c r="A524" t="s">
        <v>1431</v>
      </c>
      <c r="B524" t="s">
        <v>34</v>
      </c>
      <c r="C524" t="s">
        <v>2782</v>
      </c>
      <c r="D524" t="s">
        <v>2783</v>
      </c>
      <c r="E524" t="s">
        <v>2784</v>
      </c>
      <c r="F524" t="s">
        <v>1496</v>
      </c>
      <c r="G524" t="s">
        <v>2511</v>
      </c>
      <c r="H524" t="s">
        <v>1468</v>
      </c>
      <c r="I524" t="s">
        <v>240</v>
      </c>
      <c r="J524" t="s">
        <v>46</v>
      </c>
      <c r="K524" t="s">
        <v>29</v>
      </c>
      <c r="L524" t="s">
        <v>30</v>
      </c>
      <c r="M524">
        <v>69</v>
      </c>
      <c r="N524" t="s">
        <v>32</v>
      </c>
      <c r="O524" t="s">
        <v>32</v>
      </c>
      <c r="Q524" t="s">
        <v>32</v>
      </c>
      <c r="S524" t="s">
        <v>40</v>
      </c>
      <c r="T524">
        <v>46060</v>
      </c>
      <c r="U524" t="s">
        <v>32</v>
      </c>
      <c r="V524" t="s">
        <v>32</v>
      </c>
      <c r="W524" t="s">
        <v>32</v>
      </c>
      <c r="X524" t="s">
        <v>32</v>
      </c>
      <c r="Y524" t="s">
        <v>32</v>
      </c>
      <c r="AA524" t="s">
        <v>88</v>
      </c>
      <c r="AB524" t="s">
        <v>32</v>
      </c>
      <c r="AE524" t="s">
        <v>32</v>
      </c>
      <c r="AH524" t="s">
        <v>32</v>
      </c>
      <c r="AK524" t="s">
        <v>32</v>
      </c>
      <c r="AN524" t="s">
        <v>32</v>
      </c>
      <c r="AO524" t="s">
        <v>32</v>
      </c>
      <c r="AR524">
        <v>0</v>
      </c>
      <c r="AU524" t="s">
        <v>32</v>
      </c>
      <c r="AV524">
        <v>2891569</v>
      </c>
      <c r="AW524" t="s">
        <v>32</v>
      </c>
      <c r="AX524" t="s">
        <v>32</v>
      </c>
      <c r="AY524" t="s">
        <v>185</v>
      </c>
      <c r="AZ524">
        <v>7</v>
      </c>
      <c r="BA524">
        <v>1886552</v>
      </c>
      <c r="BB524">
        <v>0.16</v>
      </c>
      <c r="BC524">
        <v>301900</v>
      </c>
      <c r="BD524" t="s">
        <v>142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301900</v>
      </c>
      <c r="BK524" t="s">
        <v>25</v>
      </c>
      <c r="BL524" t="s">
        <v>870</v>
      </c>
      <c r="BM524">
        <v>7</v>
      </c>
      <c r="BN524">
        <v>1886552</v>
      </c>
      <c r="BO524">
        <v>0.04</v>
      </c>
      <c r="BP524">
        <v>75500</v>
      </c>
      <c r="BQ524">
        <v>0</v>
      </c>
      <c r="BR524" t="s">
        <v>1438</v>
      </c>
      <c r="BS524">
        <v>0</v>
      </c>
      <c r="BT524" t="s">
        <v>1438</v>
      </c>
      <c r="BU524">
        <v>0</v>
      </c>
      <c r="BV524" t="s">
        <v>25</v>
      </c>
      <c r="BW524" t="s">
        <v>189</v>
      </c>
      <c r="BX524">
        <v>7</v>
      </c>
      <c r="BY524">
        <v>1886552</v>
      </c>
      <c r="BZ524">
        <v>6.9599999999999995E-2</v>
      </c>
      <c r="CA524" t="s">
        <v>1439</v>
      </c>
      <c r="CB524" t="s">
        <v>227</v>
      </c>
      <c r="CC524" t="s">
        <v>1440</v>
      </c>
      <c r="CD524">
        <v>131400</v>
      </c>
      <c r="CE524">
        <v>7</v>
      </c>
      <c r="CF524" t="s">
        <v>635</v>
      </c>
      <c r="CG524">
        <v>2353890</v>
      </c>
      <c r="CH524">
        <v>0.04</v>
      </c>
      <c r="CI524">
        <v>94200</v>
      </c>
      <c r="CJ524">
        <v>2353890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 t="s">
        <v>88</v>
      </c>
      <c r="CT524" t="s">
        <v>1441</v>
      </c>
      <c r="CU524" t="s">
        <v>1442</v>
      </c>
    </row>
    <row r="525" spans="1:99">
      <c r="A525" t="s">
        <v>1431</v>
      </c>
      <c r="B525" t="s">
        <v>34</v>
      </c>
      <c r="C525" t="s">
        <v>2785</v>
      </c>
      <c r="D525" t="s">
        <v>2786</v>
      </c>
      <c r="E525" t="s">
        <v>2787</v>
      </c>
      <c r="F525" t="s">
        <v>2788</v>
      </c>
      <c r="G525" t="s">
        <v>2789</v>
      </c>
      <c r="H525" t="s">
        <v>1757</v>
      </c>
      <c r="I525" t="s">
        <v>682</v>
      </c>
      <c r="J525" t="s">
        <v>484</v>
      </c>
      <c r="K525" t="s">
        <v>29</v>
      </c>
      <c r="L525" t="s">
        <v>30</v>
      </c>
      <c r="M525">
        <v>205</v>
      </c>
      <c r="N525" t="s">
        <v>32</v>
      </c>
      <c r="O525" t="s">
        <v>32</v>
      </c>
      <c r="Q525" t="s">
        <v>32</v>
      </c>
      <c r="S525" t="s">
        <v>32</v>
      </c>
      <c r="U525" t="s">
        <v>32</v>
      </c>
      <c r="V525" t="s">
        <v>32</v>
      </c>
      <c r="W525" t="s">
        <v>32</v>
      </c>
      <c r="X525" t="s">
        <v>32</v>
      </c>
      <c r="Y525" t="s">
        <v>32</v>
      </c>
      <c r="AA525" t="s">
        <v>88</v>
      </c>
      <c r="AB525" t="s">
        <v>32</v>
      </c>
      <c r="AE525" t="s">
        <v>32</v>
      </c>
      <c r="AH525" t="s">
        <v>32</v>
      </c>
      <c r="AK525" t="s">
        <v>32</v>
      </c>
      <c r="AN525" t="s">
        <v>32</v>
      </c>
      <c r="AO525" t="s">
        <v>32</v>
      </c>
      <c r="AR525">
        <v>0</v>
      </c>
      <c r="AU525" t="s">
        <v>32</v>
      </c>
      <c r="AV525">
        <v>2665550</v>
      </c>
      <c r="AW525" t="s">
        <v>32</v>
      </c>
      <c r="AX525" t="s">
        <v>32</v>
      </c>
      <c r="AY525" t="s">
        <v>185</v>
      </c>
      <c r="AZ525">
        <v>30</v>
      </c>
      <c r="BA525">
        <v>3076166</v>
      </c>
      <c r="BB525">
        <v>0.16</v>
      </c>
      <c r="BC525">
        <v>492200</v>
      </c>
      <c r="BD525" t="s">
        <v>142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492200</v>
      </c>
      <c r="BK525" t="s">
        <v>25</v>
      </c>
      <c r="BL525" t="s">
        <v>1071</v>
      </c>
      <c r="BM525">
        <v>30</v>
      </c>
      <c r="BN525">
        <v>3076166</v>
      </c>
      <c r="BO525">
        <v>0.04</v>
      </c>
      <c r="BP525">
        <v>123100</v>
      </c>
      <c r="BQ525">
        <v>0</v>
      </c>
      <c r="BR525" t="s">
        <v>1438</v>
      </c>
      <c r="BS525">
        <v>0</v>
      </c>
      <c r="BT525" t="s">
        <v>1438</v>
      </c>
      <c r="BU525">
        <v>0</v>
      </c>
      <c r="BV525" t="s">
        <v>25</v>
      </c>
      <c r="BW525" t="s">
        <v>189</v>
      </c>
      <c r="BX525">
        <v>30</v>
      </c>
      <c r="BY525">
        <v>3076166</v>
      </c>
      <c r="BZ525">
        <v>6.9599999999999995E-2</v>
      </c>
      <c r="CA525" t="s">
        <v>1439</v>
      </c>
      <c r="CB525" t="s">
        <v>312</v>
      </c>
      <c r="CC525" t="s">
        <v>1440</v>
      </c>
      <c r="CD525">
        <v>214200</v>
      </c>
      <c r="CE525">
        <v>30</v>
      </c>
      <c r="CF525" t="s">
        <v>466</v>
      </c>
      <c r="CG525">
        <v>3076166</v>
      </c>
      <c r="CH525">
        <v>0.04</v>
      </c>
      <c r="CI525">
        <v>123100</v>
      </c>
      <c r="CJ525">
        <v>3076166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 t="s">
        <v>88</v>
      </c>
      <c r="CT525" t="s">
        <v>1441</v>
      </c>
      <c r="CU525" t="s">
        <v>1442</v>
      </c>
    </row>
    <row r="526" spans="1:99">
      <c r="A526" t="s">
        <v>1431</v>
      </c>
      <c r="B526" t="s">
        <v>397</v>
      </c>
      <c r="C526" t="s">
        <v>2790</v>
      </c>
      <c r="D526" t="s">
        <v>2791</v>
      </c>
      <c r="E526" t="s">
        <v>1303</v>
      </c>
      <c r="F526" t="s">
        <v>2792</v>
      </c>
      <c r="G526" t="s">
        <v>1436</v>
      </c>
      <c r="H526" t="s">
        <v>1437</v>
      </c>
      <c r="I526" t="s">
        <v>240</v>
      </c>
      <c r="J526" t="s">
        <v>46</v>
      </c>
      <c r="K526" t="s">
        <v>29</v>
      </c>
      <c r="L526" t="s">
        <v>30</v>
      </c>
      <c r="M526">
        <v>33</v>
      </c>
      <c r="N526" t="s">
        <v>32</v>
      </c>
      <c r="O526" t="s">
        <v>32</v>
      </c>
      <c r="Q526" t="s">
        <v>32</v>
      </c>
      <c r="S526" t="s">
        <v>40</v>
      </c>
      <c r="T526">
        <v>46056</v>
      </c>
      <c r="U526" t="s">
        <v>32</v>
      </c>
      <c r="V526" t="s">
        <v>32</v>
      </c>
      <c r="W526" t="s">
        <v>32</v>
      </c>
      <c r="X526" t="s">
        <v>32</v>
      </c>
      <c r="Y526" t="s">
        <v>32</v>
      </c>
      <c r="AA526" t="s">
        <v>88</v>
      </c>
      <c r="AB526" t="s">
        <v>32</v>
      </c>
      <c r="AE526" t="s">
        <v>32</v>
      </c>
      <c r="AH526" t="s">
        <v>32</v>
      </c>
      <c r="AK526" t="s">
        <v>32</v>
      </c>
      <c r="AN526" t="s">
        <v>32</v>
      </c>
      <c r="AO526" t="s">
        <v>32</v>
      </c>
      <c r="AR526">
        <v>0</v>
      </c>
      <c r="AU526" t="s">
        <v>32</v>
      </c>
      <c r="AV526">
        <v>2074908</v>
      </c>
      <c r="AW526" t="s">
        <v>32</v>
      </c>
      <c r="AX526" t="s">
        <v>32</v>
      </c>
      <c r="AY526" t="s">
        <v>185</v>
      </c>
      <c r="AZ526">
        <v>3</v>
      </c>
      <c r="BA526">
        <v>996180</v>
      </c>
      <c r="BB526">
        <v>0.16</v>
      </c>
      <c r="BC526">
        <v>159400</v>
      </c>
      <c r="BD526" t="s">
        <v>142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159400</v>
      </c>
      <c r="BK526" t="s">
        <v>25</v>
      </c>
      <c r="BL526" t="s">
        <v>1071</v>
      </c>
      <c r="BM526">
        <v>3</v>
      </c>
      <c r="BN526">
        <v>996180</v>
      </c>
      <c r="BO526">
        <v>0.125</v>
      </c>
      <c r="BP526">
        <v>124600</v>
      </c>
      <c r="BQ526">
        <v>0</v>
      </c>
      <c r="BR526" t="s">
        <v>1438</v>
      </c>
      <c r="BS526">
        <v>0</v>
      </c>
      <c r="BT526" t="s">
        <v>1438</v>
      </c>
      <c r="BU526">
        <v>0</v>
      </c>
      <c r="BV526" t="s">
        <v>25</v>
      </c>
      <c r="BW526" t="s">
        <v>189</v>
      </c>
      <c r="BX526">
        <v>3</v>
      </c>
      <c r="BY526">
        <v>996180</v>
      </c>
      <c r="BZ526">
        <v>6.9599999999999995E-2</v>
      </c>
      <c r="CA526" t="s">
        <v>1439</v>
      </c>
      <c r="CB526" t="s">
        <v>227</v>
      </c>
      <c r="CC526" t="s">
        <v>1440</v>
      </c>
      <c r="CD526">
        <v>69400</v>
      </c>
      <c r="CE526">
        <v>3</v>
      </c>
      <c r="CF526" t="s">
        <v>635</v>
      </c>
      <c r="CG526">
        <v>1807808</v>
      </c>
      <c r="CH526">
        <v>0.04</v>
      </c>
      <c r="CI526">
        <v>72400</v>
      </c>
      <c r="CJ526">
        <v>1807808</v>
      </c>
      <c r="CK526">
        <v>0.02</v>
      </c>
      <c r="CL526">
        <v>36200</v>
      </c>
      <c r="CM526">
        <v>0.03</v>
      </c>
      <c r="CN526">
        <v>54300</v>
      </c>
      <c r="CO526">
        <v>0</v>
      </c>
      <c r="CP526">
        <v>0</v>
      </c>
      <c r="CQ526">
        <v>0</v>
      </c>
      <c r="CR526">
        <v>0</v>
      </c>
      <c r="CS526" t="s">
        <v>88</v>
      </c>
      <c r="CT526" t="s">
        <v>1441</v>
      </c>
      <c r="CU526" t="s">
        <v>1442</v>
      </c>
    </row>
    <row r="527" spans="1:99">
      <c r="A527" t="s">
        <v>1431</v>
      </c>
      <c r="B527" t="s">
        <v>34</v>
      </c>
      <c r="C527" t="s">
        <v>2793</v>
      </c>
      <c r="D527" t="s">
        <v>2794</v>
      </c>
      <c r="E527" t="s">
        <v>1487</v>
      </c>
      <c r="F527" t="s">
        <v>1511</v>
      </c>
      <c r="G527" t="s">
        <v>2219</v>
      </c>
      <c r="H527" t="s">
        <v>2410</v>
      </c>
      <c r="I527" t="s">
        <v>682</v>
      </c>
      <c r="J527" t="s">
        <v>484</v>
      </c>
      <c r="K527" t="s">
        <v>29</v>
      </c>
      <c r="L527" t="s">
        <v>30</v>
      </c>
      <c r="M527">
        <v>0</v>
      </c>
      <c r="N527" t="s">
        <v>32</v>
      </c>
      <c r="O527" t="s">
        <v>32</v>
      </c>
      <c r="Q527" t="s">
        <v>32</v>
      </c>
      <c r="S527" t="s">
        <v>32</v>
      </c>
      <c r="U527" t="s">
        <v>32</v>
      </c>
      <c r="V527" t="s">
        <v>32</v>
      </c>
      <c r="W527" t="s">
        <v>32</v>
      </c>
      <c r="X527" t="s">
        <v>32</v>
      </c>
      <c r="Y527" t="s">
        <v>32</v>
      </c>
      <c r="AA527" t="s">
        <v>32</v>
      </c>
      <c r="AB527" t="s">
        <v>37</v>
      </c>
      <c r="AC527">
        <v>46054</v>
      </c>
      <c r="AD527">
        <v>46054</v>
      </c>
      <c r="AE527" t="s">
        <v>32</v>
      </c>
      <c r="AH527" t="s">
        <v>32</v>
      </c>
      <c r="AK527" t="s">
        <v>32</v>
      </c>
      <c r="AN527" t="s">
        <v>32</v>
      </c>
      <c r="AO527" t="s">
        <v>32</v>
      </c>
      <c r="AR527">
        <v>0</v>
      </c>
      <c r="AU527" t="s">
        <v>32</v>
      </c>
      <c r="AV527">
        <v>2223339</v>
      </c>
      <c r="AW527" t="s">
        <v>32</v>
      </c>
      <c r="AX527" t="s">
        <v>32</v>
      </c>
      <c r="AY527" t="s">
        <v>317</v>
      </c>
      <c r="AZ527">
        <v>1</v>
      </c>
      <c r="BA527">
        <v>74112</v>
      </c>
      <c r="BB527">
        <v>0.16</v>
      </c>
      <c r="BC527">
        <v>11900</v>
      </c>
      <c r="BD527" t="s">
        <v>142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11900</v>
      </c>
      <c r="BK527" t="s">
        <v>25</v>
      </c>
      <c r="BL527" t="s">
        <v>1010</v>
      </c>
      <c r="BM527">
        <v>1</v>
      </c>
      <c r="BN527">
        <v>74112</v>
      </c>
      <c r="BO527">
        <v>0</v>
      </c>
      <c r="BP527">
        <v>0</v>
      </c>
      <c r="BQ527">
        <v>0</v>
      </c>
      <c r="BR527" t="s">
        <v>1438</v>
      </c>
      <c r="BS527">
        <v>0</v>
      </c>
      <c r="BT527" t="s">
        <v>1438</v>
      </c>
      <c r="BU527">
        <v>0</v>
      </c>
      <c r="BV527" t="s">
        <v>25</v>
      </c>
      <c r="BW527" t="s">
        <v>189</v>
      </c>
      <c r="BX527">
        <v>1</v>
      </c>
      <c r="BY527">
        <v>74112</v>
      </c>
      <c r="BZ527">
        <v>0</v>
      </c>
      <c r="CA527" t="s">
        <v>1439</v>
      </c>
      <c r="CB527" t="s">
        <v>312</v>
      </c>
      <c r="CC527" t="s">
        <v>1440</v>
      </c>
      <c r="CD527">
        <v>0</v>
      </c>
      <c r="CE527">
        <v>1</v>
      </c>
      <c r="CF527" t="s">
        <v>466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 t="s">
        <v>88</v>
      </c>
      <c r="CT527" t="s">
        <v>1441</v>
      </c>
      <c r="CU527" t="s">
        <v>1442</v>
      </c>
    </row>
    <row r="528" spans="1:99">
      <c r="A528" t="s">
        <v>1431</v>
      </c>
      <c r="B528" t="s">
        <v>34</v>
      </c>
      <c r="C528" t="s">
        <v>2793</v>
      </c>
      <c r="D528" t="s">
        <v>2794</v>
      </c>
      <c r="E528" t="s">
        <v>1487</v>
      </c>
      <c r="F528" t="s">
        <v>1511</v>
      </c>
      <c r="G528" t="s">
        <v>2219</v>
      </c>
      <c r="H528" t="s">
        <v>2410</v>
      </c>
      <c r="I528" t="s">
        <v>682</v>
      </c>
      <c r="J528" t="s">
        <v>484</v>
      </c>
      <c r="K528" t="s">
        <v>29</v>
      </c>
      <c r="L528" t="s">
        <v>30</v>
      </c>
      <c r="M528">
        <v>211</v>
      </c>
      <c r="N528" t="s">
        <v>32</v>
      </c>
      <c r="O528" t="s">
        <v>32</v>
      </c>
      <c r="Q528" t="s">
        <v>32</v>
      </c>
      <c r="S528" t="s">
        <v>40</v>
      </c>
      <c r="T528">
        <v>46081</v>
      </c>
      <c r="U528" t="s">
        <v>32</v>
      </c>
      <c r="V528" t="s">
        <v>32</v>
      </c>
      <c r="W528" t="s">
        <v>32</v>
      </c>
      <c r="X528" t="s">
        <v>32</v>
      </c>
      <c r="Y528" t="s">
        <v>32</v>
      </c>
      <c r="AA528" t="s">
        <v>88</v>
      </c>
      <c r="AB528" t="s">
        <v>32</v>
      </c>
      <c r="AE528" t="s">
        <v>32</v>
      </c>
      <c r="AH528" t="s">
        <v>32</v>
      </c>
      <c r="AK528" t="s">
        <v>32</v>
      </c>
      <c r="AN528" t="s">
        <v>32</v>
      </c>
      <c r="AO528" t="s">
        <v>32</v>
      </c>
      <c r="AR528">
        <v>0</v>
      </c>
      <c r="AU528" t="s">
        <v>32</v>
      </c>
      <c r="AV528">
        <v>2223339</v>
      </c>
      <c r="AW528" t="s">
        <v>32</v>
      </c>
      <c r="AX528" t="s">
        <v>32</v>
      </c>
      <c r="AY528" t="s">
        <v>317</v>
      </c>
      <c r="AZ528">
        <v>29</v>
      </c>
      <c r="BA528">
        <v>3332691</v>
      </c>
      <c r="BB528">
        <v>0.16</v>
      </c>
      <c r="BC528">
        <v>533300</v>
      </c>
      <c r="BD528" t="s">
        <v>142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533300</v>
      </c>
      <c r="BK528" t="s">
        <v>25</v>
      </c>
      <c r="BL528" t="s">
        <v>1010</v>
      </c>
      <c r="BM528">
        <v>29</v>
      </c>
      <c r="BN528">
        <v>3332691</v>
      </c>
      <c r="BO528">
        <v>0.04</v>
      </c>
      <c r="BP528">
        <v>133400</v>
      </c>
      <c r="BQ528">
        <v>0</v>
      </c>
      <c r="BR528" t="s">
        <v>1438</v>
      </c>
      <c r="BS528">
        <v>0</v>
      </c>
      <c r="BT528" t="s">
        <v>1438</v>
      </c>
      <c r="BU528">
        <v>0</v>
      </c>
      <c r="BV528" t="s">
        <v>25</v>
      </c>
      <c r="BW528" t="s">
        <v>189</v>
      </c>
      <c r="BX528">
        <v>29</v>
      </c>
      <c r="BY528">
        <v>3332691</v>
      </c>
      <c r="BZ528">
        <v>6.9599999999999995E-2</v>
      </c>
      <c r="CA528" t="s">
        <v>1439</v>
      </c>
      <c r="CB528" t="s">
        <v>312</v>
      </c>
      <c r="CC528" t="s">
        <v>1440</v>
      </c>
      <c r="CD528">
        <v>232000</v>
      </c>
      <c r="CE528">
        <v>29</v>
      </c>
      <c r="CF528" t="s">
        <v>466</v>
      </c>
      <c r="CG528">
        <v>3381750</v>
      </c>
      <c r="CH528">
        <v>0.04</v>
      </c>
      <c r="CI528">
        <v>135300</v>
      </c>
      <c r="CJ528">
        <v>3381750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 t="s">
        <v>88</v>
      </c>
      <c r="CT528" t="s">
        <v>1441</v>
      </c>
      <c r="CU528" t="s">
        <v>1442</v>
      </c>
    </row>
    <row r="529" spans="1:99">
      <c r="A529" t="s">
        <v>1431</v>
      </c>
      <c r="B529" t="s">
        <v>34</v>
      </c>
      <c r="C529" t="s">
        <v>2795</v>
      </c>
      <c r="D529" t="s">
        <v>2796</v>
      </c>
      <c r="E529" t="s">
        <v>2142</v>
      </c>
      <c r="F529" t="s">
        <v>2125</v>
      </c>
      <c r="G529" t="s">
        <v>1479</v>
      </c>
      <c r="H529" t="s">
        <v>1928</v>
      </c>
      <c r="I529" t="s">
        <v>240</v>
      </c>
      <c r="J529" t="s">
        <v>46</v>
      </c>
      <c r="K529" t="s">
        <v>29</v>
      </c>
      <c r="L529" t="s">
        <v>30</v>
      </c>
      <c r="M529">
        <v>0</v>
      </c>
      <c r="N529" t="s">
        <v>32</v>
      </c>
      <c r="O529" t="s">
        <v>32</v>
      </c>
      <c r="Q529" t="s">
        <v>32</v>
      </c>
      <c r="S529" t="s">
        <v>32</v>
      </c>
      <c r="U529" t="s">
        <v>32</v>
      </c>
      <c r="V529" t="s">
        <v>32</v>
      </c>
      <c r="W529" t="s">
        <v>32</v>
      </c>
      <c r="X529" t="s">
        <v>32</v>
      </c>
      <c r="Y529" t="s">
        <v>32</v>
      </c>
      <c r="AA529" t="s">
        <v>32</v>
      </c>
      <c r="AB529" t="s">
        <v>32</v>
      </c>
      <c r="AE529" t="s">
        <v>32</v>
      </c>
      <c r="AH529" t="s">
        <v>32</v>
      </c>
      <c r="AK529" t="s">
        <v>128</v>
      </c>
      <c r="AL529">
        <v>46054</v>
      </c>
      <c r="AM529">
        <v>46054</v>
      </c>
      <c r="AN529" t="s">
        <v>32</v>
      </c>
      <c r="AO529" t="s">
        <v>32</v>
      </c>
      <c r="AR529">
        <v>0</v>
      </c>
      <c r="AU529" t="s">
        <v>32</v>
      </c>
      <c r="AV529">
        <v>3235758</v>
      </c>
      <c r="AW529" t="s">
        <v>32</v>
      </c>
      <c r="AX529" t="s">
        <v>32</v>
      </c>
      <c r="AY529" t="s">
        <v>137</v>
      </c>
      <c r="AZ529">
        <v>1</v>
      </c>
      <c r="BA529">
        <v>107859</v>
      </c>
      <c r="BB529">
        <v>0.16</v>
      </c>
      <c r="BC529">
        <v>17300</v>
      </c>
      <c r="BD529" t="s">
        <v>142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17300</v>
      </c>
      <c r="BK529" t="s">
        <v>25</v>
      </c>
      <c r="BL529" t="s">
        <v>635</v>
      </c>
      <c r="BM529">
        <v>1</v>
      </c>
      <c r="BN529">
        <v>107859</v>
      </c>
      <c r="BO529">
        <v>0.04</v>
      </c>
      <c r="BP529">
        <v>4400</v>
      </c>
      <c r="BQ529">
        <v>0</v>
      </c>
      <c r="BR529" t="s">
        <v>1438</v>
      </c>
      <c r="BS529">
        <v>0</v>
      </c>
      <c r="BT529" t="s">
        <v>1438</v>
      </c>
      <c r="BU529">
        <v>0</v>
      </c>
      <c r="BV529" t="s">
        <v>25</v>
      </c>
      <c r="BW529" t="s">
        <v>189</v>
      </c>
      <c r="BX529">
        <v>1</v>
      </c>
      <c r="BY529">
        <v>107859</v>
      </c>
      <c r="BZ529">
        <v>0</v>
      </c>
      <c r="CA529" t="s">
        <v>1439</v>
      </c>
      <c r="CB529" t="s">
        <v>227</v>
      </c>
      <c r="CC529" t="s">
        <v>1440</v>
      </c>
      <c r="CD529">
        <v>0</v>
      </c>
      <c r="CE529">
        <v>1</v>
      </c>
      <c r="CF529" t="s">
        <v>635</v>
      </c>
      <c r="CG529">
        <v>107859</v>
      </c>
      <c r="CH529">
        <v>0.04</v>
      </c>
      <c r="CI529">
        <v>4400</v>
      </c>
      <c r="CJ529">
        <v>107859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 t="s">
        <v>88</v>
      </c>
      <c r="CT529" t="s">
        <v>1441</v>
      </c>
      <c r="CU529" t="s">
        <v>1442</v>
      </c>
    </row>
    <row r="530" spans="1:99">
      <c r="A530" t="s">
        <v>1431</v>
      </c>
      <c r="B530" t="s">
        <v>34</v>
      </c>
      <c r="C530" t="s">
        <v>2795</v>
      </c>
      <c r="D530" t="s">
        <v>2796</v>
      </c>
      <c r="E530" t="s">
        <v>2142</v>
      </c>
      <c r="F530" t="s">
        <v>2125</v>
      </c>
      <c r="G530" t="s">
        <v>1479</v>
      </c>
      <c r="H530" t="s">
        <v>1928</v>
      </c>
      <c r="I530" t="s">
        <v>240</v>
      </c>
      <c r="J530" t="s">
        <v>46</v>
      </c>
      <c r="K530" t="s">
        <v>29</v>
      </c>
      <c r="L530" t="s">
        <v>30</v>
      </c>
      <c r="M530">
        <v>180</v>
      </c>
      <c r="N530" t="s">
        <v>32</v>
      </c>
      <c r="O530" t="s">
        <v>32</v>
      </c>
      <c r="Q530" t="s">
        <v>32</v>
      </c>
      <c r="S530" t="s">
        <v>32</v>
      </c>
      <c r="U530" t="s">
        <v>32</v>
      </c>
      <c r="V530" t="s">
        <v>32</v>
      </c>
      <c r="W530" t="s">
        <v>32</v>
      </c>
      <c r="X530" t="s">
        <v>88</v>
      </c>
      <c r="Y530" t="s">
        <v>32</v>
      </c>
      <c r="AA530" t="s">
        <v>32</v>
      </c>
      <c r="AB530" t="s">
        <v>32</v>
      </c>
      <c r="AE530" t="s">
        <v>32</v>
      </c>
      <c r="AH530" t="s">
        <v>32</v>
      </c>
      <c r="AK530" t="s">
        <v>32</v>
      </c>
      <c r="AN530" t="s">
        <v>32</v>
      </c>
      <c r="AO530" t="s">
        <v>32</v>
      </c>
      <c r="AR530">
        <v>0</v>
      </c>
      <c r="AU530" t="s">
        <v>32</v>
      </c>
      <c r="AV530">
        <v>3235758</v>
      </c>
      <c r="AW530" t="s">
        <v>32</v>
      </c>
      <c r="AX530" t="s">
        <v>32</v>
      </c>
      <c r="AY530" t="s">
        <v>137</v>
      </c>
      <c r="AZ530">
        <v>29</v>
      </c>
      <c r="BA530">
        <v>3127900</v>
      </c>
      <c r="BB530">
        <v>0.16</v>
      </c>
      <c r="BC530">
        <v>500500</v>
      </c>
      <c r="BD530" t="s">
        <v>142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500500</v>
      </c>
      <c r="BK530" t="s">
        <v>185</v>
      </c>
      <c r="BL530" t="s">
        <v>635</v>
      </c>
      <c r="BM530">
        <v>29</v>
      </c>
      <c r="BN530">
        <v>3127900</v>
      </c>
      <c r="BO530">
        <v>0.04</v>
      </c>
      <c r="BP530">
        <v>125200</v>
      </c>
      <c r="BQ530">
        <v>0</v>
      </c>
      <c r="BR530" t="s">
        <v>1438</v>
      </c>
      <c r="BS530">
        <v>0</v>
      </c>
      <c r="BT530" t="s">
        <v>1438</v>
      </c>
      <c r="BU530">
        <v>0</v>
      </c>
      <c r="BV530" t="s">
        <v>25</v>
      </c>
      <c r="BW530" t="s">
        <v>189</v>
      </c>
      <c r="BX530">
        <v>29</v>
      </c>
      <c r="BY530">
        <v>3127900</v>
      </c>
      <c r="BZ530">
        <v>6.9599999999999995E-2</v>
      </c>
      <c r="CA530" t="s">
        <v>1439</v>
      </c>
      <c r="CB530" t="s">
        <v>227</v>
      </c>
      <c r="CC530" t="s">
        <v>1440</v>
      </c>
      <c r="CD530">
        <v>217800</v>
      </c>
      <c r="CE530">
        <v>29</v>
      </c>
      <c r="CF530" t="s">
        <v>635</v>
      </c>
      <c r="CG530">
        <v>3127900</v>
      </c>
      <c r="CH530">
        <v>0.04</v>
      </c>
      <c r="CI530">
        <v>125200</v>
      </c>
      <c r="CJ530">
        <v>3127900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 t="s">
        <v>88</v>
      </c>
      <c r="CT530" t="s">
        <v>1441</v>
      </c>
      <c r="CU530" t="s">
        <v>1442</v>
      </c>
    </row>
    <row r="531" spans="1:99">
      <c r="A531" t="s">
        <v>1431</v>
      </c>
      <c r="B531" t="s">
        <v>34</v>
      </c>
      <c r="C531" t="s">
        <v>2797</v>
      </c>
      <c r="D531" t="s">
        <v>2798</v>
      </c>
      <c r="E531" t="s">
        <v>2799</v>
      </c>
      <c r="F531" t="s">
        <v>1620</v>
      </c>
      <c r="G531" t="s">
        <v>2800</v>
      </c>
      <c r="H531" t="s">
        <v>1558</v>
      </c>
      <c r="I531" t="s">
        <v>240</v>
      </c>
      <c r="J531" t="s">
        <v>46</v>
      </c>
      <c r="K531" t="s">
        <v>29</v>
      </c>
      <c r="L531" t="s">
        <v>82</v>
      </c>
      <c r="M531">
        <v>222</v>
      </c>
      <c r="N531" t="s">
        <v>32</v>
      </c>
      <c r="O531" t="s">
        <v>32</v>
      </c>
      <c r="Q531" t="s">
        <v>32</v>
      </c>
      <c r="S531" t="s">
        <v>32</v>
      </c>
      <c r="U531" t="s">
        <v>32</v>
      </c>
      <c r="V531" t="s">
        <v>32</v>
      </c>
      <c r="W531" t="s">
        <v>32</v>
      </c>
      <c r="X531" t="s">
        <v>32</v>
      </c>
      <c r="Y531" t="s">
        <v>88</v>
      </c>
      <c r="Z531">
        <v>46054</v>
      </c>
      <c r="AA531" t="s">
        <v>88</v>
      </c>
      <c r="AB531" t="s">
        <v>32</v>
      </c>
      <c r="AE531" t="s">
        <v>32</v>
      </c>
      <c r="AH531" t="s">
        <v>32</v>
      </c>
      <c r="AK531" t="s">
        <v>32</v>
      </c>
      <c r="AN531" t="s">
        <v>32</v>
      </c>
      <c r="AO531" t="s">
        <v>32</v>
      </c>
      <c r="AR531">
        <v>0</v>
      </c>
      <c r="AU531" t="s">
        <v>32</v>
      </c>
      <c r="AV531">
        <v>2469610</v>
      </c>
      <c r="AW531" t="s">
        <v>32</v>
      </c>
      <c r="AX531" t="s">
        <v>32</v>
      </c>
      <c r="AZ531">
        <v>0</v>
      </c>
      <c r="BA531">
        <v>0</v>
      </c>
      <c r="BB531">
        <v>0</v>
      </c>
      <c r="BC531">
        <v>0</v>
      </c>
      <c r="BD531" t="s">
        <v>142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 t="s">
        <v>25</v>
      </c>
      <c r="BL531" t="s">
        <v>885</v>
      </c>
      <c r="BM531">
        <v>30</v>
      </c>
      <c r="BN531">
        <v>3543891</v>
      </c>
      <c r="BO531">
        <v>0.04</v>
      </c>
      <c r="BP531">
        <v>141800</v>
      </c>
      <c r="BQ531">
        <v>0</v>
      </c>
      <c r="BR531" t="s">
        <v>1438</v>
      </c>
      <c r="BS531">
        <v>0</v>
      </c>
      <c r="BT531" t="s">
        <v>1438</v>
      </c>
      <c r="BU531">
        <v>0</v>
      </c>
      <c r="BV531" t="s">
        <v>25</v>
      </c>
      <c r="BW531" t="s">
        <v>189</v>
      </c>
      <c r="BX531">
        <v>30</v>
      </c>
      <c r="BY531">
        <v>3543891</v>
      </c>
      <c r="BZ531">
        <v>6.9599999999999995E-2</v>
      </c>
      <c r="CA531" t="s">
        <v>1439</v>
      </c>
      <c r="CB531" t="s">
        <v>227</v>
      </c>
      <c r="CC531" t="s">
        <v>1440</v>
      </c>
      <c r="CD531">
        <v>246700</v>
      </c>
      <c r="CE531">
        <v>30</v>
      </c>
      <c r="CF531" t="s">
        <v>635</v>
      </c>
      <c r="CG531">
        <v>3543891</v>
      </c>
      <c r="CH531">
        <v>0.04</v>
      </c>
      <c r="CI531">
        <v>141800</v>
      </c>
      <c r="CJ531">
        <v>3543891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 t="s">
        <v>88</v>
      </c>
      <c r="CT531" t="s">
        <v>1441</v>
      </c>
      <c r="CU531" t="s">
        <v>1442</v>
      </c>
    </row>
    <row r="532" spans="1:99">
      <c r="A532" t="s">
        <v>1431</v>
      </c>
      <c r="B532" t="s">
        <v>34</v>
      </c>
      <c r="C532" t="s">
        <v>2801</v>
      </c>
      <c r="D532" t="s">
        <v>2802</v>
      </c>
      <c r="E532" t="s">
        <v>2629</v>
      </c>
      <c r="F532" t="s">
        <v>1913</v>
      </c>
      <c r="G532" t="s">
        <v>1570</v>
      </c>
      <c r="H532" t="s">
        <v>1552</v>
      </c>
      <c r="I532" t="s">
        <v>240</v>
      </c>
      <c r="J532" t="s">
        <v>46</v>
      </c>
      <c r="K532" t="s">
        <v>29</v>
      </c>
      <c r="L532" t="s">
        <v>30</v>
      </c>
      <c r="M532">
        <v>180</v>
      </c>
      <c r="N532" t="s">
        <v>32</v>
      </c>
      <c r="O532" t="s">
        <v>32</v>
      </c>
      <c r="Q532" t="s">
        <v>32</v>
      </c>
      <c r="S532" t="s">
        <v>32</v>
      </c>
      <c r="U532" t="s">
        <v>32</v>
      </c>
      <c r="V532" t="s">
        <v>32</v>
      </c>
      <c r="W532" t="s">
        <v>32</v>
      </c>
      <c r="X532" t="s">
        <v>32</v>
      </c>
      <c r="Y532" t="s">
        <v>88</v>
      </c>
      <c r="Z532">
        <v>46054</v>
      </c>
      <c r="AA532" t="s">
        <v>32</v>
      </c>
      <c r="AB532" t="s">
        <v>32</v>
      </c>
      <c r="AE532" t="s">
        <v>32</v>
      </c>
      <c r="AH532" t="s">
        <v>32</v>
      </c>
      <c r="AK532" t="s">
        <v>32</v>
      </c>
      <c r="AN532" t="s">
        <v>32</v>
      </c>
      <c r="AO532" t="s">
        <v>32</v>
      </c>
      <c r="AR532">
        <v>0</v>
      </c>
      <c r="AU532" t="s">
        <v>32</v>
      </c>
      <c r="AV532">
        <v>6384779</v>
      </c>
      <c r="AW532" t="s">
        <v>32</v>
      </c>
      <c r="AX532" t="s">
        <v>32</v>
      </c>
      <c r="AY532" t="s">
        <v>185</v>
      </c>
      <c r="AZ532">
        <v>30</v>
      </c>
      <c r="BA532">
        <v>6384779</v>
      </c>
      <c r="BB532">
        <v>0.16</v>
      </c>
      <c r="BC532">
        <v>1021600</v>
      </c>
      <c r="BD532" t="s">
        <v>142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1021600</v>
      </c>
      <c r="BK532" t="s">
        <v>25</v>
      </c>
      <c r="BL532" t="s">
        <v>635</v>
      </c>
      <c r="BM532">
        <v>30</v>
      </c>
      <c r="BN532">
        <v>6384779</v>
      </c>
      <c r="BO532">
        <v>0.04</v>
      </c>
      <c r="BP532">
        <v>255400</v>
      </c>
      <c r="BQ532">
        <v>0</v>
      </c>
      <c r="BR532" t="s">
        <v>1438</v>
      </c>
      <c r="BS532">
        <v>0</v>
      </c>
      <c r="BT532" t="s">
        <v>1438</v>
      </c>
      <c r="BU532">
        <v>0</v>
      </c>
      <c r="BV532" t="s">
        <v>25</v>
      </c>
      <c r="BW532" t="s">
        <v>189</v>
      </c>
      <c r="BX532">
        <v>30</v>
      </c>
      <c r="BY532">
        <v>6384779</v>
      </c>
      <c r="BZ532">
        <v>6.9599999999999995E-2</v>
      </c>
      <c r="CA532" t="s">
        <v>1439</v>
      </c>
      <c r="CB532" t="s">
        <v>227</v>
      </c>
      <c r="CC532" t="s">
        <v>1440</v>
      </c>
      <c r="CD532">
        <v>444400</v>
      </c>
      <c r="CE532">
        <v>30</v>
      </c>
      <c r="CF532" t="s">
        <v>635</v>
      </c>
      <c r="CG532">
        <v>6384779</v>
      </c>
      <c r="CH532">
        <v>0.04</v>
      </c>
      <c r="CI532">
        <v>255400</v>
      </c>
      <c r="CJ532">
        <v>6384779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 t="s">
        <v>88</v>
      </c>
      <c r="CT532" t="s">
        <v>1441</v>
      </c>
      <c r="CU532" t="s">
        <v>1442</v>
      </c>
    </row>
    <row r="533" spans="1:99">
      <c r="A533" t="s">
        <v>1431</v>
      </c>
      <c r="B533" t="s">
        <v>34</v>
      </c>
      <c r="C533" t="s">
        <v>2803</v>
      </c>
      <c r="D533" t="s">
        <v>2804</v>
      </c>
      <c r="E533" t="s">
        <v>1616</v>
      </c>
      <c r="F533" t="s">
        <v>1620</v>
      </c>
      <c r="G533" t="s">
        <v>1489</v>
      </c>
      <c r="H533" t="s">
        <v>1558</v>
      </c>
      <c r="I533" t="s">
        <v>240</v>
      </c>
      <c r="J533" t="s">
        <v>46</v>
      </c>
      <c r="K533" t="s">
        <v>29</v>
      </c>
      <c r="L533" t="s">
        <v>30</v>
      </c>
      <c r="M533">
        <v>0</v>
      </c>
      <c r="N533" t="s">
        <v>32</v>
      </c>
      <c r="O533" t="s">
        <v>32</v>
      </c>
      <c r="Q533" t="s">
        <v>32</v>
      </c>
      <c r="S533" t="s">
        <v>32</v>
      </c>
      <c r="U533" t="s">
        <v>32</v>
      </c>
      <c r="V533" t="s">
        <v>32</v>
      </c>
      <c r="W533" t="s">
        <v>32</v>
      </c>
      <c r="X533" t="s">
        <v>32</v>
      </c>
      <c r="Y533" t="s">
        <v>32</v>
      </c>
      <c r="AA533" t="s">
        <v>32</v>
      </c>
      <c r="AB533" t="s">
        <v>32</v>
      </c>
      <c r="AE533" t="s">
        <v>32</v>
      </c>
      <c r="AH533" t="s">
        <v>32</v>
      </c>
      <c r="AK533" t="s">
        <v>128</v>
      </c>
      <c r="AL533">
        <v>46069</v>
      </c>
      <c r="AM533">
        <v>46073</v>
      </c>
      <c r="AN533" t="s">
        <v>32</v>
      </c>
      <c r="AO533" t="s">
        <v>32</v>
      </c>
      <c r="AR533">
        <v>0</v>
      </c>
      <c r="AU533" t="s">
        <v>32</v>
      </c>
      <c r="AV533">
        <v>8367173</v>
      </c>
      <c r="AW533" t="s">
        <v>32</v>
      </c>
      <c r="AX533" t="s">
        <v>32</v>
      </c>
      <c r="AY533" t="s">
        <v>185</v>
      </c>
      <c r="AZ533">
        <v>5</v>
      </c>
      <c r="BA533">
        <v>1394529</v>
      </c>
      <c r="BB533">
        <v>0.16</v>
      </c>
      <c r="BC533">
        <v>223200</v>
      </c>
      <c r="BD533" t="s">
        <v>142</v>
      </c>
      <c r="BE533">
        <v>0</v>
      </c>
      <c r="BF533">
        <v>0</v>
      </c>
      <c r="BG533">
        <v>7000</v>
      </c>
      <c r="BH533">
        <v>7000</v>
      </c>
      <c r="BI533">
        <v>0</v>
      </c>
      <c r="BJ533">
        <v>237200</v>
      </c>
      <c r="BK533" t="s">
        <v>25</v>
      </c>
      <c r="BL533" t="s">
        <v>1071</v>
      </c>
      <c r="BM533">
        <v>5</v>
      </c>
      <c r="BN533">
        <v>1394529</v>
      </c>
      <c r="BO533">
        <v>0.04</v>
      </c>
      <c r="BP533">
        <v>55800</v>
      </c>
      <c r="BQ533">
        <v>0</v>
      </c>
      <c r="BR533" t="s">
        <v>1438</v>
      </c>
      <c r="BS533">
        <v>0</v>
      </c>
      <c r="BT533" t="s">
        <v>1438</v>
      </c>
      <c r="BU533">
        <v>0</v>
      </c>
      <c r="BV533" t="s">
        <v>25</v>
      </c>
      <c r="BW533" t="s">
        <v>189</v>
      </c>
      <c r="BX533">
        <v>5</v>
      </c>
      <c r="BY533">
        <v>1394529</v>
      </c>
      <c r="BZ533">
        <v>0</v>
      </c>
      <c r="CA533" t="s">
        <v>1439</v>
      </c>
      <c r="CB533" t="s">
        <v>227</v>
      </c>
      <c r="CC533" t="s">
        <v>1440</v>
      </c>
      <c r="CD533">
        <v>0</v>
      </c>
      <c r="CE533">
        <v>5</v>
      </c>
      <c r="CF533" t="s">
        <v>635</v>
      </c>
      <c r="CG533">
        <v>1394529</v>
      </c>
      <c r="CH533">
        <v>0.04</v>
      </c>
      <c r="CI533">
        <v>55800</v>
      </c>
      <c r="CJ533">
        <v>1394529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 t="s">
        <v>88</v>
      </c>
      <c r="CT533" t="s">
        <v>1441</v>
      </c>
      <c r="CU533" t="s">
        <v>1442</v>
      </c>
    </row>
    <row r="534" spans="1:99">
      <c r="A534" t="s">
        <v>1431</v>
      </c>
      <c r="B534" t="s">
        <v>34</v>
      </c>
      <c r="C534" t="s">
        <v>2803</v>
      </c>
      <c r="D534" t="s">
        <v>2804</v>
      </c>
      <c r="E534" t="s">
        <v>1616</v>
      </c>
      <c r="F534" t="s">
        <v>1620</v>
      </c>
      <c r="G534" t="s">
        <v>1489</v>
      </c>
      <c r="H534" t="s">
        <v>1558</v>
      </c>
      <c r="I534" t="s">
        <v>240</v>
      </c>
      <c r="J534" t="s">
        <v>46</v>
      </c>
      <c r="K534" t="s">
        <v>29</v>
      </c>
      <c r="L534" t="s">
        <v>30</v>
      </c>
      <c r="M534">
        <v>135</v>
      </c>
      <c r="N534" t="s">
        <v>32</v>
      </c>
      <c r="O534" t="s">
        <v>32</v>
      </c>
      <c r="Q534" t="s">
        <v>32</v>
      </c>
      <c r="S534" t="s">
        <v>32</v>
      </c>
      <c r="U534" t="s">
        <v>32</v>
      </c>
      <c r="V534" t="s">
        <v>32</v>
      </c>
      <c r="W534" t="s">
        <v>32</v>
      </c>
      <c r="X534" t="s">
        <v>32</v>
      </c>
      <c r="Y534" t="s">
        <v>88</v>
      </c>
      <c r="Z534">
        <v>46054</v>
      </c>
      <c r="AA534" t="s">
        <v>32</v>
      </c>
      <c r="AB534" t="s">
        <v>32</v>
      </c>
      <c r="AE534" t="s">
        <v>32</v>
      </c>
      <c r="AH534" t="s">
        <v>32</v>
      </c>
      <c r="AK534" t="s">
        <v>32</v>
      </c>
      <c r="AN534" t="s">
        <v>32</v>
      </c>
      <c r="AO534" t="s">
        <v>32</v>
      </c>
      <c r="AR534">
        <v>0</v>
      </c>
      <c r="AU534" t="s">
        <v>32</v>
      </c>
      <c r="AV534">
        <v>8367173</v>
      </c>
      <c r="AW534" t="s">
        <v>32</v>
      </c>
      <c r="AX534" t="s">
        <v>32</v>
      </c>
      <c r="AY534" t="s">
        <v>185</v>
      </c>
      <c r="AZ534">
        <v>25</v>
      </c>
      <c r="BA534">
        <v>6972645</v>
      </c>
      <c r="BB534">
        <v>0.16</v>
      </c>
      <c r="BC534">
        <v>1115700</v>
      </c>
      <c r="BD534" t="s">
        <v>142</v>
      </c>
      <c r="BE534">
        <v>0</v>
      </c>
      <c r="BF534">
        <v>0</v>
      </c>
      <c r="BG534">
        <v>34900</v>
      </c>
      <c r="BH534">
        <v>34900</v>
      </c>
      <c r="BI534">
        <v>0</v>
      </c>
      <c r="BJ534">
        <v>1185500</v>
      </c>
      <c r="BK534" t="s">
        <v>25</v>
      </c>
      <c r="BL534" t="s">
        <v>1071</v>
      </c>
      <c r="BM534">
        <v>25</v>
      </c>
      <c r="BN534">
        <v>6972645</v>
      </c>
      <c r="BO534">
        <v>0.04</v>
      </c>
      <c r="BP534">
        <v>279000</v>
      </c>
      <c r="BQ534">
        <v>0</v>
      </c>
      <c r="BR534" t="s">
        <v>1438</v>
      </c>
      <c r="BS534">
        <v>0</v>
      </c>
      <c r="BT534" t="s">
        <v>1438</v>
      </c>
      <c r="BU534">
        <v>0</v>
      </c>
      <c r="BV534" t="s">
        <v>25</v>
      </c>
      <c r="BW534" t="s">
        <v>189</v>
      </c>
      <c r="BX534">
        <v>25</v>
      </c>
      <c r="BY534">
        <v>6972645</v>
      </c>
      <c r="BZ534">
        <v>6.9599999999999995E-2</v>
      </c>
      <c r="CA534" t="s">
        <v>1439</v>
      </c>
      <c r="CB534" t="s">
        <v>227</v>
      </c>
      <c r="CC534" t="s">
        <v>1440</v>
      </c>
      <c r="CD534">
        <v>485300</v>
      </c>
      <c r="CE534">
        <v>25</v>
      </c>
      <c r="CF534" t="s">
        <v>635</v>
      </c>
      <c r="CG534">
        <v>6972645</v>
      </c>
      <c r="CH534">
        <v>0.04</v>
      </c>
      <c r="CI534">
        <v>279000</v>
      </c>
      <c r="CJ534">
        <v>6972645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 t="s">
        <v>88</v>
      </c>
      <c r="CT534" t="s">
        <v>1441</v>
      </c>
      <c r="CU534" t="s">
        <v>1442</v>
      </c>
    </row>
    <row r="535" spans="1:99">
      <c r="A535" t="s">
        <v>1431</v>
      </c>
      <c r="B535" t="s">
        <v>34</v>
      </c>
      <c r="C535" t="s">
        <v>2805</v>
      </c>
      <c r="D535" t="s">
        <v>2806</v>
      </c>
      <c r="E535" t="s">
        <v>778</v>
      </c>
      <c r="F535" t="s">
        <v>1483</v>
      </c>
      <c r="G535" t="s">
        <v>1479</v>
      </c>
      <c r="H535" t="s">
        <v>2807</v>
      </c>
      <c r="I535" t="s">
        <v>240</v>
      </c>
      <c r="J535" t="s">
        <v>46</v>
      </c>
      <c r="K535" t="s">
        <v>29</v>
      </c>
      <c r="L535" t="s">
        <v>30</v>
      </c>
      <c r="M535">
        <v>180</v>
      </c>
      <c r="N535" t="s">
        <v>32</v>
      </c>
      <c r="O535" t="s">
        <v>32</v>
      </c>
      <c r="Q535" t="s">
        <v>32</v>
      </c>
      <c r="S535" t="s">
        <v>32</v>
      </c>
      <c r="U535" t="s">
        <v>32</v>
      </c>
      <c r="V535" t="s">
        <v>32</v>
      </c>
      <c r="W535" t="s">
        <v>32</v>
      </c>
      <c r="X535" t="s">
        <v>32</v>
      </c>
      <c r="Y535" t="s">
        <v>32</v>
      </c>
      <c r="AA535" t="s">
        <v>32</v>
      </c>
      <c r="AB535" t="s">
        <v>32</v>
      </c>
      <c r="AE535" t="s">
        <v>32</v>
      </c>
      <c r="AH535" t="s">
        <v>32</v>
      </c>
      <c r="AK535" t="s">
        <v>32</v>
      </c>
      <c r="AN535" t="s">
        <v>32</v>
      </c>
      <c r="AO535" t="s">
        <v>32</v>
      </c>
      <c r="AR535">
        <v>0</v>
      </c>
      <c r="AU535" t="s">
        <v>32</v>
      </c>
      <c r="AV535">
        <v>16882380</v>
      </c>
      <c r="AW535" t="s">
        <v>32</v>
      </c>
      <c r="AX535" t="s">
        <v>32</v>
      </c>
      <c r="AY535" t="s">
        <v>185</v>
      </c>
      <c r="AZ535">
        <v>30</v>
      </c>
      <c r="BA535">
        <v>16882380</v>
      </c>
      <c r="BB535">
        <v>0.16</v>
      </c>
      <c r="BC535">
        <v>2701200</v>
      </c>
      <c r="BD535" t="s">
        <v>142</v>
      </c>
      <c r="BE535">
        <v>0</v>
      </c>
      <c r="BF535">
        <v>0</v>
      </c>
      <c r="BG535">
        <v>84500</v>
      </c>
      <c r="BH535">
        <v>84500</v>
      </c>
      <c r="BI535">
        <v>0</v>
      </c>
      <c r="BJ535">
        <v>2870200</v>
      </c>
      <c r="BK535" t="s">
        <v>25</v>
      </c>
      <c r="BL535" t="s">
        <v>1071</v>
      </c>
      <c r="BM535">
        <v>30</v>
      </c>
      <c r="BN535">
        <v>16882380</v>
      </c>
      <c r="BO535">
        <v>0.125</v>
      </c>
      <c r="BP535">
        <v>2110300</v>
      </c>
      <c r="BQ535">
        <v>0</v>
      </c>
      <c r="BR535" t="s">
        <v>1438</v>
      </c>
      <c r="BS535">
        <v>0</v>
      </c>
      <c r="BT535" t="s">
        <v>1438</v>
      </c>
      <c r="BU535">
        <v>0</v>
      </c>
      <c r="BV535" t="s">
        <v>25</v>
      </c>
      <c r="BW535" t="s">
        <v>189</v>
      </c>
      <c r="BX535">
        <v>30</v>
      </c>
      <c r="BY535">
        <v>16882380</v>
      </c>
      <c r="BZ535">
        <v>6.9599999999999995E-2</v>
      </c>
      <c r="CA535" t="s">
        <v>1439</v>
      </c>
      <c r="CB535" t="s">
        <v>227</v>
      </c>
      <c r="CC535" t="s">
        <v>1440</v>
      </c>
      <c r="CD535">
        <v>1175100</v>
      </c>
      <c r="CE535">
        <v>30</v>
      </c>
      <c r="CF535" t="s">
        <v>635</v>
      </c>
      <c r="CG535">
        <v>16882380</v>
      </c>
      <c r="CH535">
        <v>0.04</v>
      </c>
      <c r="CI535">
        <v>675300</v>
      </c>
      <c r="CJ535">
        <v>16882380</v>
      </c>
      <c r="CK535">
        <v>0.02</v>
      </c>
      <c r="CL535">
        <v>337700</v>
      </c>
      <c r="CM535">
        <v>0.03</v>
      </c>
      <c r="CN535">
        <v>506500</v>
      </c>
      <c r="CO535">
        <v>0</v>
      </c>
      <c r="CP535">
        <v>0</v>
      </c>
      <c r="CQ535">
        <v>0</v>
      </c>
      <c r="CR535">
        <v>0</v>
      </c>
      <c r="CS535" t="s">
        <v>88</v>
      </c>
      <c r="CT535" t="s">
        <v>1441</v>
      </c>
      <c r="CU535" t="s">
        <v>1442</v>
      </c>
    </row>
    <row r="536" spans="1:99">
      <c r="A536" t="s">
        <v>1431</v>
      </c>
      <c r="B536" t="s">
        <v>34</v>
      </c>
      <c r="C536" t="s">
        <v>2808</v>
      </c>
      <c r="D536" t="s">
        <v>2809</v>
      </c>
      <c r="E536" t="s">
        <v>2754</v>
      </c>
      <c r="F536" t="s">
        <v>1705</v>
      </c>
      <c r="G536" t="s">
        <v>1608</v>
      </c>
      <c r="H536" t="s">
        <v>1558</v>
      </c>
      <c r="I536" t="s">
        <v>240</v>
      </c>
      <c r="J536" t="s">
        <v>46</v>
      </c>
      <c r="K536" t="s">
        <v>29</v>
      </c>
      <c r="L536" t="s">
        <v>30</v>
      </c>
      <c r="M536">
        <v>188</v>
      </c>
      <c r="N536" t="s">
        <v>32</v>
      </c>
      <c r="O536" t="s">
        <v>32</v>
      </c>
      <c r="Q536" t="s">
        <v>32</v>
      </c>
      <c r="S536" t="s">
        <v>32</v>
      </c>
      <c r="U536" t="s">
        <v>32</v>
      </c>
      <c r="V536" t="s">
        <v>32</v>
      </c>
      <c r="W536" t="s">
        <v>32</v>
      </c>
      <c r="X536" t="s">
        <v>32</v>
      </c>
      <c r="Y536" t="s">
        <v>88</v>
      </c>
      <c r="Z536">
        <v>46054</v>
      </c>
      <c r="AA536" t="s">
        <v>32</v>
      </c>
      <c r="AB536" t="s">
        <v>32</v>
      </c>
      <c r="AE536" t="s">
        <v>32</v>
      </c>
      <c r="AH536" t="s">
        <v>32</v>
      </c>
      <c r="AK536" t="s">
        <v>32</v>
      </c>
      <c r="AN536" t="s">
        <v>32</v>
      </c>
      <c r="AO536" t="s">
        <v>32</v>
      </c>
      <c r="AR536">
        <v>0</v>
      </c>
      <c r="AU536" t="s">
        <v>32</v>
      </c>
      <c r="AV536">
        <v>24711738</v>
      </c>
      <c r="AW536" t="s">
        <v>88</v>
      </c>
      <c r="AX536" t="s">
        <v>32</v>
      </c>
      <c r="AY536" t="s">
        <v>185</v>
      </c>
      <c r="AZ536">
        <v>30</v>
      </c>
      <c r="BA536">
        <v>17298217</v>
      </c>
      <c r="BB536">
        <v>0.16</v>
      </c>
      <c r="BC536">
        <v>2767800</v>
      </c>
      <c r="BD536" t="s">
        <v>142</v>
      </c>
      <c r="BE536">
        <v>0</v>
      </c>
      <c r="BF536">
        <v>0</v>
      </c>
      <c r="BG536">
        <v>86500</v>
      </c>
      <c r="BH536">
        <v>86500</v>
      </c>
      <c r="BI536">
        <v>0</v>
      </c>
      <c r="BJ536">
        <v>2940800</v>
      </c>
      <c r="BK536" t="s">
        <v>25</v>
      </c>
      <c r="BL536" t="s">
        <v>1071</v>
      </c>
      <c r="BM536">
        <v>30</v>
      </c>
      <c r="BN536">
        <v>17298217</v>
      </c>
      <c r="BO536">
        <v>0.125</v>
      </c>
      <c r="BP536">
        <v>2162300</v>
      </c>
      <c r="BQ536">
        <v>0</v>
      </c>
      <c r="BR536" t="s">
        <v>1438</v>
      </c>
      <c r="BS536">
        <v>0</v>
      </c>
      <c r="BT536" t="s">
        <v>1438</v>
      </c>
      <c r="BU536">
        <v>0</v>
      </c>
      <c r="BV536" t="s">
        <v>25</v>
      </c>
      <c r="BW536" t="s">
        <v>189</v>
      </c>
      <c r="BX536">
        <v>30</v>
      </c>
      <c r="BY536">
        <v>17298217</v>
      </c>
      <c r="BZ536">
        <v>6.9599999999999995E-2</v>
      </c>
      <c r="CA536" t="s">
        <v>1439</v>
      </c>
      <c r="CB536" t="s">
        <v>227</v>
      </c>
      <c r="CC536" t="s">
        <v>1440</v>
      </c>
      <c r="CD536">
        <v>1204000</v>
      </c>
      <c r="CE536">
        <v>30</v>
      </c>
      <c r="CF536" t="s">
        <v>635</v>
      </c>
      <c r="CG536">
        <v>17298217</v>
      </c>
      <c r="CH536">
        <v>0.04</v>
      </c>
      <c r="CI536">
        <v>692000</v>
      </c>
      <c r="CJ536">
        <v>17298217</v>
      </c>
      <c r="CK536">
        <v>0.02</v>
      </c>
      <c r="CL536">
        <v>346000</v>
      </c>
      <c r="CM536">
        <v>0.03</v>
      </c>
      <c r="CN536">
        <v>519000</v>
      </c>
      <c r="CO536">
        <v>0</v>
      </c>
      <c r="CP536">
        <v>0</v>
      </c>
      <c r="CQ536">
        <v>0</v>
      </c>
      <c r="CR536">
        <v>0</v>
      </c>
      <c r="CS536" t="s">
        <v>32</v>
      </c>
      <c r="CT536" t="s">
        <v>1441</v>
      </c>
      <c r="CU536" t="s">
        <v>1442</v>
      </c>
    </row>
    <row r="537" spans="1:99">
      <c r="A537" t="s">
        <v>1431</v>
      </c>
      <c r="B537" t="s">
        <v>34</v>
      </c>
      <c r="C537" t="s">
        <v>2810</v>
      </c>
      <c r="D537" t="s">
        <v>2811</v>
      </c>
      <c r="E537" t="s">
        <v>1144</v>
      </c>
      <c r="F537" t="s">
        <v>1977</v>
      </c>
      <c r="G537" t="s">
        <v>1489</v>
      </c>
      <c r="H537" t="s">
        <v>1965</v>
      </c>
      <c r="I537" t="s">
        <v>240</v>
      </c>
      <c r="J537" t="s">
        <v>46</v>
      </c>
      <c r="K537" t="s">
        <v>29</v>
      </c>
      <c r="L537" t="s">
        <v>30</v>
      </c>
      <c r="M537">
        <v>180</v>
      </c>
      <c r="N537" t="s">
        <v>32</v>
      </c>
      <c r="O537" t="s">
        <v>32</v>
      </c>
      <c r="Q537" t="s">
        <v>32</v>
      </c>
      <c r="S537" t="s">
        <v>32</v>
      </c>
      <c r="U537" t="s">
        <v>32</v>
      </c>
      <c r="V537" t="s">
        <v>32</v>
      </c>
      <c r="W537" t="s">
        <v>32</v>
      </c>
      <c r="X537" t="s">
        <v>32</v>
      </c>
      <c r="Y537" t="s">
        <v>32</v>
      </c>
      <c r="AA537" t="s">
        <v>32</v>
      </c>
      <c r="AB537" t="s">
        <v>32</v>
      </c>
      <c r="AE537" t="s">
        <v>32</v>
      </c>
      <c r="AH537" t="s">
        <v>32</v>
      </c>
      <c r="AK537" t="s">
        <v>32</v>
      </c>
      <c r="AN537" t="s">
        <v>32</v>
      </c>
      <c r="AO537" t="s">
        <v>32</v>
      </c>
      <c r="AR537">
        <v>0</v>
      </c>
      <c r="AU537" t="s">
        <v>32</v>
      </c>
      <c r="AV537">
        <v>7189330</v>
      </c>
      <c r="AW537" t="s">
        <v>32</v>
      </c>
      <c r="AX537" t="s">
        <v>32</v>
      </c>
      <c r="AY537" t="s">
        <v>185</v>
      </c>
      <c r="AZ537">
        <v>30</v>
      </c>
      <c r="BA537">
        <v>7189330</v>
      </c>
      <c r="BB537">
        <v>0.16</v>
      </c>
      <c r="BC537">
        <v>1150300</v>
      </c>
      <c r="BD537" t="s">
        <v>142</v>
      </c>
      <c r="BE537">
        <v>0</v>
      </c>
      <c r="BF537">
        <v>0</v>
      </c>
      <c r="BG537">
        <v>36000</v>
      </c>
      <c r="BH537">
        <v>36000</v>
      </c>
      <c r="BI537">
        <v>0</v>
      </c>
      <c r="BJ537">
        <v>1222300</v>
      </c>
      <c r="BK537" t="s">
        <v>25</v>
      </c>
      <c r="BL537" t="s">
        <v>1064</v>
      </c>
      <c r="BM537">
        <v>30</v>
      </c>
      <c r="BN537">
        <v>7189330</v>
      </c>
      <c r="BO537">
        <v>0.04</v>
      </c>
      <c r="BP537">
        <v>287600</v>
      </c>
      <c r="BQ537">
        <v>0</v>
      </c>
      <c r="BR537" t="s">
        <v>1438</v>
      </c>
      <c r="BS537">
        <v>0</v>
      </c>
      <c r="BT537" t="s">
        <v>1438</v>
      </c>
      <c r="BU537">
        <v>0</v>
      </c>
      <c r="BV537" t="s">
        <v>25</v>
      </c>
      <c r="BW537" t="s">
        <v>189</v>
      </c>
      <c r="BX537">
        <v>30</v>
      </c>
      <c r="BY537">
        <v>7189330</v>
      </c>
      <c r="BZ537">
        <v>6.9599999999999995E-2</v>
      </c>
      <c r="CA537" t="s">
        <v>1439</v>
      </c>
      <c r="CB537" t="s">
        <v>227</v>
      </c>
      <c r="CC537" t="s">
        <v>1440</v>
      </c>
      <c r="CD537">
        <v>500400</v>
      </c>
      <c r="CE537">
        <v>30</v>
      </c>
      <c r="CF537" t="s">
        <v>635</v>
      </c>
      <c r="CG537">
        <v>7189330</v>
      </c>
      <c r="CH537">
        <v>0.04</v>
      </c>
      <c r="CI537">
        <v>287600</v>
      </c>
      <c r="CJ537">
        <v>7189330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 t="s">
        <v>88</v>
      </c>
      <c r="CT537" t="s">
        <v>1441</v>
      </c>
      <c r="CU537" t="s">
        <v>1442</v>
      </c>
    </row>
    <row r="538" spans="1:99">
      <c r="A538" t="s">
        <v>1431</v>
      </c>
      <c r="B538" t="s">
        <v>34</v>
      </c>
      <c r="C538" t="s">
        <v>2812</v>
      </c>
      <c r="D538" t="s">
        <v>2813</v>
      </c>
      <c r="E538" t="s">
        <v>1210</v>
      </c>
      <c r="F538" t="s">
        <v>968</v>
      </c>
      <c r="G538" t="s">
        <v>2814</v>
      </c>
      <c r="H538" t="s">
        <v>2815</v>
      </c>
      <c r="I538" t="s">
        <v>240</v>
      </c>
      <c r="J538" t="s">
        <v>46</v>
      </c>
      <c r="K538" t="s">
        <v>29</v>
      </c>
      <c r="L538" t="s">
        <v>30</v>
      </c>
      <c r="M538">
        <v>180</v>
      </c>
      <c r="N538" t="s">
        <v>32</v>
      </c>
      <c r="O538" t="s">
        <v>32</v>
      </c>
      <c r="Q538" t="s">
        <v>32</v>
      </c>
      <c r="S538" t="s">
        <v>32</v>
      </c>
      <c r="U538" t="s">
        <v>32</v>
      </c>
      <c r="V538" t="s">
        <v>32</v>
      </c>
      <c r="W538" t="s">
        <v>32</v>
      </c>
      <c r="X538" t="s">
        <v>32</v>
      </c>
      <c r="Y538" t="s">
        <v>88</v>
      </c>
      <c r="Z538">
        <v>46054</v>
      </c>
      <c r="AA538" t="s">
        <v>32</v>
      </c>
      <c r="AB538" t="s">
        <v>32</v>
      </c>
      <c r="AE538" t="s">
        <v>32</v>
      </c>
      <c r="AH538" t="s">
        <v>32</v>
      </c>
      <c r="AK538" t="s">
        <v>32</v>
      </c>
      <c r="AN538" t="s">
        <v>32</v>
      </c>
      <c r="AO538" t="s">
        <v>32</v>
      </c>
      <c r="AR538">
        <v>0</v>
      </c>
      <c r="AU538" t="s">
        <v>32</v>
      </c>
      <c r="AV538">
        <v>3761020</v>
      </c>
      <c r="AW538" t="s">
        <v>32</v>
      </c>
      <c r="AX538" t="s">
        <v>32</v>
      </c>
      <c r="AY538" t="s">
        <v>185</v>
      </c>
      <c r="AZ538">
        <v>30</v>
      </c>
      <c r="BA538">
        <v>3761020</v>
      </c>
      <c r="BB538">
        <v>0.16</v>
      </c>
      <c r="BC538">
        <v>601800</v>
      </c>
      <c r="BD538" t="s">
        <v>142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601800</v>
      </c>
      <c r="BK538" t="s">
        <v>25</v>
      </c>
      <c r="BL538" t="s">
        <v>1064</v>
      </c>
      <c r="BM538">
        <v>30</v>
      </c>
      <c r="BN538">
        <v>3761020</v>
      </c>
      <c r="BO538">
        <v>0.04</v>
      </c>
      <c r="BP538">
        <v>150500</v>
      </c>
      <c r="BQ538">
        <v>0</v>
      </c>
      <c r="BR538" t="s">
        <v>1438</v>
      </c>
      <c r="BS538">
        <v>0</v>
      </c>
      <c r="BT538" t="s">
        <v>1438</v>
      </c>
      <c r="BU538">
        <v>0</v>
      </c>
      <c r="BV538" t="s">
        <v>25</v>
      </c>
      <c r="BW538" t="s">
        <v>189</v>
      </c>
      <c r="BX538">
        <v>30</v>
      </c>
      <c r="BY538">
        <v>3761020</v>
      </c>
      <c r="BZ538">
        <v>6.9599999999999995E-2</v>
      </c>
      <c r="CA538" t="s">
        <v>1439</v>
      </c>
      <c r="CB538" t="s">
        <v>227</v>
      </c>
      <c r="CC538" t="s">
        <v>1440</v>
      </c>
      <c r="CD538">
        <v>261800</v>
      </c>
      <c r="CE538">
        <v>30</v>
      </c>
      <c r="CF538" t="s">
        <v>635</v>
      </c>
      <c r="CG538">
        <v>3761020</v>
      </c>
      <c r="CH538">
        <v>0.04</v>
      </c>
      <c r="CI538">
        <v>150500</v>
      </c>
      <c r="CJ538">
        <v>3761020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 t="s">
        <v>88</v>
      </c>
      <c r="CT538" t="s">
        <v>1441</v>
      </c>
      <c r="CU538" t="s">
        <v>1442</v>
      </c>
    </row>
    <row r="539" spans="1:99">
      <c r="A539" t="s">
        <v>1431</v>
      </c>
      <c r="B539" t="s">
        <v>34</v>
      </c>
      <c r="C539" t="s">
        <v>2816</v>
      </c>
      <c r="D539" t="s">
        <v>2817</v>
      </c>
      <c r="E539" t="s">
        <v>2818</v>
      </c>
      <c r="F539" t="s">
        <v>2819</v>
      </c>
      <c r="G539" t="s">
        <v>2136</v>
      </c>
      <c r="H539" t="s">
        <v>1558</v>
      </c>
      <c r="I539" t="s">
        <v>240</v>
      </c>
      <c r="J539" t="s">
        <v>46</v>
      </c>
      <c r="K539" t="s">
        <v>29</v>
      </c>
      <c r="L539" t="s">
        <v>30</v>
      </c>
      <c r="M539">
        <v>210</v>
      </c>
      <c r="N539" t="s">
        <v>32</v>
      </c>
      <c r="O539" t="s">
        <v>32</v>
      </c>
      <c r="Q539" t="s">
        <v>32</v>
      </c>
      <c r="S539" t="s">
        <v>32</v>
      </c>
      <c r="U539" t="s">
        <v>32</v>
      </c>
      <c r="V539" t="s">
        <v>32</v>
      </c>
      <c r="W539" t="s">
        <v>32</v>
      </c>
      <c r="X539" t="s">
        <v>32</v>
      </c>
      <c r="Y539" t="s">
        <v>32</v>
      </c>
      <c r="AA539" t="s">
        <v>88</v>
      </c>
      <c r="AB539" t="s">
        <v>32</v>
      </c>
      <c r="AE539" t="s">
        <v>32</v>
      </c>
      <c r="AH539" t="s">
        <v>32</v>
      </c>
      <c r="AK539" t="s">
        <v>32</v>
      </c>
      <c r="AN539" t="s">
        <v>32</v>
      </c>
      <c r="AO539" t="s">
        <v>32</v>
      </c>
      <c r="AR539">
        <v>0</v>
      </c>
      <c r="AU539" t="s">
        <v>32</v>
      </c>
      <c r="AV539">
        <v>2891569</v>
      </c>
      <c r="AW539" t="s">
        <v>32</v>
      </c>
      <c r="AX539" t="s">
        <v>32</v>
      </c>
      <c r="AY539" t="s">
        <v>185</v>
      </c>
      <c r="AZ539">
        <v>30</v>
      </c>
      <c r="BA539">
        <v>3550059</v>
      </c>
      <c r="BB539">
        <v>0.16</v>
      </c>
      <c r="BC539">
        <v>568100</v>
      </c>
      <c r="BD539" t="s">
        <v>142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568100</v>
      </c>
      <c r="BK539" t="s">
        <v>25</v>
      </c>
      <c r="BL539" t="s">
        <v>1010</v>
      </c>
      <c r="BM539">
        <v>30</v>
      </c>
      <c r="BN539">
        <v>3550059</v>
      </c>
      <c r="BO539">
        <v>0.04</v>
      </c>
      <c r="BP539">
        <v>142100</v>
      </c>
      <c r="BQ539">
        <v>0</v>
      </c>
      <c r="BR539" t="s">
        <v>1438</v>
      </c>
      <c r="BS539">
        <v>0</v>
      </c>
      <c r="BT539" t="s">
        <v>1438</v>
      </c>
      <c r="BU539">
        <v>0</v>
      </c>
      <c r="BV539" t="s">
        <v>25</v>
      </c>
      <c r="BW539" t="s">
        <v>189</v>
      </c>
      <c r="BX539">
        <v>30</v>
      </c>
      <c r="BY539">
        <v>3550059</v>
      </c>
      <c r="BZ539">
        <v>6.9599999999999995E-2</v>
      </c>
      <c r="CA539" t="s">
        <v>1439</v>
      </c>
      <c r="CB539" t="s">
        <v>227</v>
      </c>
      <c r="CC539" t="s">
        <v>1440</v>
      </c>
      <c r="CD539">
        <v>247100</v>
      </c>
      <c r="CE539">
        <v>30</v>
      </c>
      <c r="CF539" t="s">
        <v>635</v>
      </c>
      <c r="CG539">
        <v>3550059</v>
      </c>
      <c r="CH539">
        <v>0.04</v>
      </c>
      <c r="CI539">
        <v>142100</v>
      </c>
      <c r="CJ539">
        <v>3550059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 t="s">
        <v>88</v>
      </c>
      <c r="CT539" t="s">
        <v>1441</v>
      </c>
      <c r="CU539" t="s">
        <v>1442</v>
      </c>
    </row>
    <row r="540" spans="1:99">
      <c r="A540" t="s">
        <v>1431</v>
      </c>
      <c r="B540" t="s">
        <v>34</v>
      </c>
      <c r="C540" t="s">
        <v>2820</v>
      </c>
      <c r="D540" t="s">
        <v>2821</v>
      </c>
      <c r="E540" t="s">
        <v>2822</v>
      </c>
      <c r="F540" t="s">
        <v>667</v>
      </c>
      <c r="G540" t="s">
        <v>1489</v>
      </c>
      <c r="H540" t="s">
        <v>2823</v>
      </c>
      <c r="I540" t="s">
        <v>682</v>
      </c>
      <c r="J540" t="s">
        <v>484</v>
      </c>
      <c r="K540" t="s">
        <v>29</v>
      </c>
      <c r="L540" t="s">
        <v>30</v>
      </c>
      <c r="M540">
        <v>0</v>
      </c>
      <c r="N540" t="s">
        <v>32</v>
      </c>
      <c r="O540" t="s">
        <v>32</v>
      </c>
      <c r="Q540" t="s">
        <v>32</v>
      </c>
      <c r="S540" t="s">
        <v>32</v>
      </c>
      <c r="U540" t="s">
        <v>32</v>
      </c>
      <c r="V540" t="s">
        <v>32</v>
      </c>
      <c r="W540" t="s">
        <v>32</v>
      </c>
      <c r="X540" t="s">
        <v>32</v>
      </c>
      <c r="Y540" t="s">
        <v>32</v>
      </c>
      <c r="AA540" t="s">
        <v>32</v>
      </c>
      <c r="AB540" t="s">
        <v>32</v>
      </c>
      <c r="AE540" t="s">
        <v>32</v>
      </c>
      <c r="AH540" t="s">
        <v>32</v>
      </c>
      <c r="AK540" t="s">
        <v>128</v>
      </c>
      <c r="AL540">
        <v>46069</v>
      </c>
      <c r="AM540">
        <v>46075</v>
      </c>
      <c r="AN540" t="s">
        <v>32</v>
      </c>
      <c r="AO540" t="s">
        <v>32</v>
      </c>
      <c r="AR540">
        <v>0</v>
      </c>
      <c r="AU540" t="s">
        <v>32</v>
      </c>
      <c r="AV540">
        <v>4613967</v>
      </c>
      <c r="AW540" t="s">
        <v>32</v>
      </c>
      <c r="AX540" t="s">
        <v>32</v>
      </c>
      <c r="AY540" t="s">
        <v>356</v>
      </c>
      <c r="AZ540">
        <v>7</v>
      </c>
      <c r="BA540">
        <v>1076593</v>
      </c>
      <c r="BB540">
        <v>0.16</v>
      </c>
      <c r="BC540">
        <v>172300</v>
      </c>
      <c r="BD540" t="s">
        <v>142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172300</v>
      </c>
      <c r="BK540" t="s">
        <v>25</v>
      </c>
      <c r="BL540" t="s">
        <v>1071</v>
      </c>
      <c r="BM540">
        <v>7</v>
      </c>
      <c r="BN540">
        <v>1076593</v>
      </c>
      <c r="BO540">
        <v>0.04</v>
      </c>
      <c r="BP540">
        <v>43100</v>
      </c>
      <c r="BQ540">
        <v>0</v>
      </c>
      <c r="BR540" t="s">
        <v>1438</v>
      </c>
      <c r="BS540">
        <v>0</v>
      </c>
      <c r="BT540" t="s">
        <v>1438</v>
      </c>
      <c r="BU540">
        <v>0</v>
      </c>
      <c r="BV540" t="s">
        <v>25</v>
      </c>
      <c r="BW540" t="s">
        <v>189</v>
      </c>
      <c r="BX540">
        <v>7</v>
      </c>
      <c r="BY540">
        <v>1076593</v>
      </c>
      <c r="BZ540">
        <v>0</v>
      </c>
      <c r="CA540" t="s">
        <v>1439</v>
      </c>
      <c r="CB540" t="s">
        <v>312</v>
      </c>
      <c r="CC540" t="s">
        <v>1440</v>
      </c>
      <c r="CD540">
        <v>0</v>
      </c>
      <c r="CE540">
        <v>7</v>
      </c>
      <c r="CF540" t="s">
        <v>466</v>
      </c>
      <c r="CG540">
        <v>1076593</v>
      </c>
      <c r="CH540">
        <v>0.04</v>
      </c>
      <c r="CI540">
        <v>43100</v>
      </c>
      <c r="CJ540">
        <v>1076593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 t="s">
        <v>88</v>
      </c>
      <c r="CT540" t="s">
        <v>1441</v>
      </c>
      <c r="CU540" t="s">
        <v>1442</v>
      </c>
    </row>
    <row r="541" spans="1:99">
      <c r="A541" t="s">
        <v>1431</v>
      </c>
      <c r="B541" t="s">
        <v>34</v>
      </c>
      <c r="C541" t="s">
        <v>2820</v>
      </c>
      <c r="D541" t="s">
        <v>2821</v>
      </c>
      <c r="E541" t="s">
        <v>2822</v>
      </c>
      <c r="F541" t="s">
        <v>667</v>
      </c>
      <c r="G541" t="s">
        <v>1489</v>
      </c>
      <c r="H541" t="s">
        <v>2823</v>
      </c>
      <c r="I541" t="s">
        <v>682</v>
      </c>
      <c r="J541" t="s">
        <v>484</v>
      </c>
      <c r="K541" t="s">
        <v>29</v>
      </c>
      <c r="L541" t="s">
        <v>30</v>
      </c>
      <c r="M541">
        <v>135</v>
      </c>
      <c r="N541" t="s">
        <v>32</v>
      </c>
      <c r="O541" t="s">
        <v>32</v>
      </c>
      <c r="Q541" t="s">
        <v>32</v>
      </c>
      <c r="S541" t="s">
        <v>32</v>
      </c>
      <c r="U541" t="s">
        <v>32</v>
      </c>
      <c r="V541" t="s">
        <v>32</v>
      </c>
      <c r="W541" t="s">
        <v>32</v>
      </c>
      <c r="X541" t="s">
        <v>32</v>
      </c>
      <c r="Y541" t="s">
        <v>88</v>
      </c>
      <c r="Z541">
        <v>46054</v>
      </c>
      <c r="AA541" t="s">
        <v>32</v>
      </c>
      <c r="AB541" t="s">
        <v>32</v>
      </c>
      <c r="AE541" t="s">
        <v>32</v>
      </c>
      <c r="AH541" t="s">
        <v>32</v>
      </c>
      <c r="AK541" t="s">
        <v>32</v>
      </c>
      <c r="AN541" t="s">
        <v>32</v>
      </c>
      <c r="AO541" t="s">
        <v>32</v>
      </c>
      <c r="AR541">
        <v>0</v>
      </c>
      <c r="AU541" t="s">
        <v>32</v>
      </c>
      <c r="AV541">
        <v>4613967</v>
      </c>
      <c r="AW541" t="s">
        <v>32</v>
      </c>
      <c r="AX541" t="s">
        <v>32</v>
      </c>
      <c r="AY541" t="s">
        <v>356</v>
      </c>
      <c r="AZ541">
        <v>23</v>
      </c>
      <c r="BA541">
        <v>3537375</v>
      </c>
      <c r="BB541">
        <v>0.16</v>
      </c>
      <c r="BC541">
        <v>566000</v>
      </c>
      <c r="BD541" t="s">
        <v>142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566000</v>
      </c>
      <c r="BK541" t="s">
        <v>25</v>
      </c>
      <c r="BL541" t="s">
        <v>1071</v>
      </c>
      <c r="BM541">
        <v>23</v>
      </c>
      <c r="BN541">
        <v>3537375</v>
      </c>
      <c r="BO541">
        <v>0.04</v>
      </c>
      <c r="BP541">
        <v>141500</v>
      </c>
      <c r="BQ541">
        <v>0</v>
      </c>
      <c r="BR541" t="s">
        <v>1438</v>
      </c>
      <c r="BS541">
        <v>0</v>
      </c>
      <c r="BT541" t="s">
        <v>1438</v>
      </c>
      <c r="BU541">
        <v>0</v>
      </c>
      <c r="BV541" t="s">
        <v>25</v>
      </c>
      <c r="BW541" t="s">
        <v>189</v>
      </c>
      <c r="BX541">
        <v>23</v>
      </c>
      <c r="BY541">
        <v>3537375</v>
      </c>
      <c r="BZ541">
        <v>6.9599999999999995E-2</v>
      </c>
      <c r="CA541" t="s">
        <v>1439</v>
      </c>
      <c r="CB541" t="s">
        <v>312</v>
      </c>
      <c r="CC541" t="s">
        <v>1440</v>
      </c>
      <c r="CD541">
        <v>246300</v>
      </c>
      <c r="CE541">
        <v>23</v>
      </c>
      <c r="CF541" t="s">
        <v>466</v>
      </c>
      <c r="CG541">
        <v>3537375</v>
      </c>
      <c r="CH541">
        <v>0.04</v>
      </c>
      <c r="CI541">
        <v>141500</v>
      </c>
      <c r="CJ541">
        <v>3537375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 t="s">
        <v>88</v>
      </c>
      <c r="CT541" t="s">
        <v>1441</v>
      </c>
      <c r="CU541" t="s">
        <v>1442</v>
      </c>
    </row>
    <row r="542" spans="1:99">
      <c r="A542" t="s">
        <v>1431</v>
      </c>
      <c r="B542" t="s">
        <v>34</v>
      </c>
      <c r="C542" t="s">
        <v>2824</v>
      </c>
      <c r="D542" t="s">
        <v>2825</v>
      </c>
      <c r="E542" t="s">
        <v>2125</v>
      </c>
      <c r="F542" t="s">
        <v>1972</v>
      </c>
      <c r="G542" t="s">
        <v>2082</v>
      </c>
      <c r="H542" t="s">
        <v>2826</v>
      </c>
      <c r="I542" t="s">
        <v>240</v>
      </c>
      <c r="J542" t="s">
        <v>46</v>
      </c>
      <c r="K542" t="s">
        <v>29</v>
      </c>
      <c r="L542" t="s">
        <v>30</v>
      </c>
      <c r="M542">
        <v>0</v>
      </c>
      <c r="N542" t="s">
        <v>32</v>
      </c>
      <c r="O542" t="s">
        <v>32</v>
      </c>
      <c r="Q542" t="s">
        <v>32</v>
      </c>
      <c r="S542" t="s">
        <v>32</v>
      </c>
      <c r="U542" t="s">
        <v>32</v>
      </c>
      <c r="V542" t="s">
        <v>32</v>
      </c>
      <c r="W542" t="s">
        <v>32</v>
      </c>
      <c r="X542" t="s">
        <v>32</v>
      </c>
      <c r="Y542" t="s">
        <v>32</v>
      </c>
      <c r="AA542" t="s">
        <v>32</v>
      </c>
      <c r="AB542" t="s">
        <v>32</v>
      </c>
      <c r="AE542" t="s">
        <v>32</v>
      </c>
      <c r="AH542" t="s">
        <v>32</v>
      </c>
      <c r="AK542" t="s">
        <v>74</v>
      </c>
      <c r="AL542">
        <v>46054</v>
      </c>
      <c r="AM542">
        <v>46054</v>
      </c>
      <c r="AN542" t="s">
        <v>32</v>
      </c>
      <c r="AO542" t="s">
        <v>32</v>
      </c>
      <c r="AR542">
        <v>0</v>
      </c>
      <c r="AU542" t="s">
        <v>32</v>
      </c>
      <c r="AV542">
        <v>8150490</v>
      </c>
      <c r="AW542" t="s">
        <v>32</v>
      </c>
      <c r="AX542" t="s">
        <v>32</v>
      </c>
      <c r="AY542" t="s">
        <v>317</v>
      </c>
      <c r="AZ542">
        <v>1</v>
      </c>
      <c r="BA542">
        <v>271683</v>
      </c>
      <c r="BB542">
        <v>0.16</v>
      </c>
      <c r="BC542">
        <v>43500</v>
      </c>
      <c r="BD542" t="s">
        <v>142</v>
      </c>
      <c r="BE542">
        <v>0</v>
      </c>
      <c r="BF542">
        <v>0</v>
      </c>
      <c r="BG542">
        <v>1400</v>
      </c>
      <c r="BH542">
        <v>1400</v>
      </c>
      <c r="BI542">
        <v>0</v>
      </c>
      <c r="BJ542">
        <v>46300</v>
      </c>
      <c r="BK542" t="s">
        <v>25</v>
      </c>
      <c r="BL542" t="s">
        <v>1071</v>
      </c>
      <c r="BM542">
        <v>1</v>
      </c>
      <c r="BN542">
        <v>271683</v>
      </c>
      <c r="BO542">
        <v>0.125</v>
      </c>
      <c r="BP542">
        <v>34000</v>
      </c>
      <c r="BQ542">
        <v>0</v>
      </c>
      <c r="BR542" t="s">
        <v>1438</v>
      </c>
      <c r="BS542">
        <v>0</v>
      </c>
      <c r="BT542" t="s">
        <v>1438</v>
      </c>
      <c r="BU542">
        <v>0</v>
      </c>
      <c r="BV542" t="s">
        <v>25</v>
      </c>
      <c r="BW542" t="s">
        <v>189</v>
      </c>
      <c r="BX542">
        <v>1</v>
      </c>
      <c r="BY542">
        <v>271683</v>
      </c>
      <c r="BZ542">
        <v>0</v>
      </c>
      <c r="CA542" t="s">
        <v>1592</v>
      </c>
      <c r="CB542" t="s">
        <v>227</v>
      </c>
      <c r="CC542" t="s">
        <v>1593</v>
      </c>
      <c r="CD542">
        <v>0</v>
      </c>
      <c r="CE542">
        <v>1</v>
      </c>
      <c r="CF542" t="s">
        <v>635</v>
      </c>
      <c r="CG542">
        <v>271683</v>
      </c>
      <c r="CH542">
        <v>0.04</v>
      </c>
      <c r="CI542">
        <v>10900</v>
      </c>
      <c r="CJ542">
        <v>271683</v>
      </c>
      <c r="CK542">
        <v>0.02</v>
      </c>
      <c r="CL542">
        <v>5500</v>
      </c>
      <c r="CM542">
        <v>0.03</v>
      </c>
      <c r="CN542">
        <v>8200</v>
      </c>
      <c r="CO542">
        <v>0</v>
      </c>
      <c r="CP542">
        <v>0</v>
      </c>
      <c r="CQ542">
        <v>0</v>
      </c>
      <c r="CR542">
        <v>0</v>
      </c>
      <c r="CS542" t="s">
        <v>88</v>
      </c>
      <c r="CT542" t="s">
        <v>1441</v>
      </c>
      <c r="CU542" t="s">
        <v>1442</v>
      </c>
    </row>
    <row r="543" spans="1:99">
      <c r="A543" t="s">
        <v>1431</v>
      </c>
      <c r="B543" t="s">
        <v>34</v>
      </c>
      <c r="C543" t="s">
        <v>2824</v>
      </c>
      <c r="D543" t="s">
        <v>2825</v>
      </c>
      <c r="E543" t="s">
        <v>2125</v>
      </c>
      <c r="F543" t="s">
        <v>1972</v>
      </c>
      <c r="G543" t="s">
        <v>2082</v>
      </c>
      <c r="H543" t="s">
        <v>2826</v>
      </c>
      <c r="I543" t="s">
        <v>240</v>
      </c>
      <c r="J543" t="s">
        <v>46</v>
      </c>
      <c r="K543" t="s">
        <v>29</v>
      </c>
      <c r="L543" t="s">
        <v>30</v>
      </c>
      <c r="M543">
        <v>0</v>
      </c>
      <c r="N543" t="s">
        <v>32</v>
      </c>
      <c r="O543" t="s">
        <v>32</v>
      </c>
      <c r="Q543" t="s">
        <v>32</v>
      </c>
      <c r="S543" t="s">
        <v>32</v>
      </c>
      <c r="U543" t="s">
        <v>32</v>
      </c>
      <c r="V543" t="s">
        <v>32</v>
      </c>
      <c r="W543" t="s">
        <v>32</v>
      </c>
      <c r="X543" t="s">
        <v>32</v>
      </c>
      <c r="Y543" t="s">
        <v>32</v>
      </c>
      <c r="AA543" t="s">
        <v>32</v>
      </c>
      <c r="AB543" t="s">
        <v>32</v>
      </c>
      <c r="AE543" t="s">
        <v>1492</v>
      </c>
      <c r="AF543">
        <v>46057</v>
      </c>
      <c r="AG543">
        <v>46059</v>
      </c>
      <c r="AH543" t="s">
        <v>32</v>
      </c>
      <c r="AK543" t="s">
        <v>32</v>
      </c>
      <c r="AN543" t="s">
        <v>32</v>
      </c>
      <c r="AO543" t="s">
        <v>32</v>
      </c>
      <c r="AR543">
        <v>0</v>
      </c>
      <c r="AU543" t="s">
        <v>32</v>
      </c>
      <c r="AV543">
        <v>8150490</v>
      </c>
      <c r="AW543" t="s">
        <v>32</v>
      </c>
      <c r="AX543" t="s">
        <v>32</v>
      </c>
      <c r="AY543" t="s">
        <v>317</v>
      </c>
      <c r="AZ543">
        <v>3</v>
      </c>
      <c r="BA543">
        <v>680278</v>
      </c>
      <c r="BB543">
        <v>0.16</v>
      </c>
      <c r="BC543">
        <v>108900</v>
      </c>
      <c r="BD543" t="s">
        <v>142</v>
      </c>
      <c r="BE543">
        <v>0</v>
      </c>
      <c r="BF543">
        <v>0</v>
      </c>
      <c r="BG543">
        <v>3500</v>
      </c>
      <c r="BH543">
        <v>3500</v>
      </c>
      <c r="BI543">
        <v>0</v>
      </c>
      <c r="BJ543">
        <v>115900</v>
      </c>
      <c r="BK543" t="s">
        <v>25</v>
      </c>
      <c r="BL543" t="s">
        <v>1071</v>
      </c>
      <c r="BM543">
        <v>3</v>
      </c>
      <c r="BN543">
        <v>680278</v>
      </c>
      <c r="BO543">
        <v>0.125</v>
      </c>
      <c r="BP543">
        <v>85100</v>
      </c>
      <c r="BQ543">
        <v>0</v>
      </c>
      <c r="BR543" t="s">
        <v>1438</v>
      </c>
      <c r="BS543">
        <v>0</v>
      </c>
      <c r="BT543" t="s">
        <v>1438</v>
      </c>
      <c r="BU543">
        <v>0</v>
      </c>
      <c r="BV543" t="s">
        <v>25</v>
      </c>
      <c r="BW543" t="s">
        <v>189</v>
      </c>
      <c r="BX543">
        <v>3</v>
      </c>
      <c r="BY543">
        <v>680278</v>
      </c>
      <c r="BZ543">
        <v>0</v>
      </c>
      <c r="CA543" t="s">
        <v>1592</v>
      </c>
      <c r="CB543" t="s">
        <v>227</v>
      </c>
      <c r="CC543" t="s">
        <v>1593</v>
      </c>
      <c r="CD543">
        <v>0</v>
      </c>
      <c r="CE543">
        <v>3</v>
      </c>
      <c r="CF543" t="s">
        <v>635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 t="s">
        <v>88</v>
      </c>
      <c r="CT543" t="s">
        <v>1441</v>
      </c>
      <c r="CU543" t="s">
        <v>1442</v>
      </c>
    </row>
    <row r="544" spans="1:99">
      <c r="A544" t="s">
        <v>1431</v>
      </c>
      <c r="B544" t="s">
        <v>34</v>
      </c>
      <c r="C544" t="s">
        <v>2824</v>
      </c>
      <c r="D544" t="s">
        <v>2825</v>
      </c>
      <c r="E544" t="s">
        <v>2125</v>
      </c>
      <c r="F544" t="s">
        <v>1972</v>
      </c>
      <c r="G544" t="s">
        <v>2082</v>
      </c>
      <c r="H544" t="s">
        <v>2826</v>
      </c>
      <c r="I544" t="s">
        <v>240</v>
      </c>
      <c r="J544" t="s">
        <v>46</v>
      </c>
      <c r="K544" t="s">
        <v>29</v>
      </c>
      <c r="L544" t="s">
        <v>30</v>
      </c>
      <c r="M544">
        <v>164</v>
      </c>
      <c r="N544" t="s">
        <v>32</v>
      </c>
      <c r="O544" t="s">
        <v>32</v>
      </c>
      <c r="Q544" t="s">
        <v>32</v>
      </c>
      <c r="S544" t="s">
        <v>32</v>
      </c>
      <c r="U544" t="s">
        <v>32</v>
      </c>
      <c r="V544" t="s">
        <v>32</v>
      </c>
      <c r="W544" t="s">
        <v>32</v>
      </c>
      <c r="X544" t="s">
        <v>32</v>
      </c>
      <c r="Y544" t="s">
        <v>32</v>
      </c>
      <c r="AA544" t="s">
        <v>32</v>
      </c>
      <c r="AB544" t="s">
        <v>32</v>
      </c>
      <c r="AE544" t="s">
        <v>32</v>
      </c>
      <c r="AH544" t="s">
        <v>32</v>
      </c>
      <c r="AK544" t="s">
        <v>32</v>
      </c>
      <c r="AN544" t="s">
        <v>32</v>
      </c>
      <c r="AO544" t="s">
        <v>32</v>
      </c>
      <c r="AR544">
        <v>0</v>
      </c>
      <c r="AU544" t="s">
        <v>32</v>
      </c>
      <c r="AV544">
        <v>8150490</v>
      </c>
      <c r="AW544" t="s">
        <v>32</v>
      </c>
      <c r="AX544" t="s">
        <v>32</v>
      </c>
      <c r="AY544" t="s">
        <v>317</v>
      </c>
      <c r="AZ544">
        <v>26</v>
      </c>
      <c r="BA544">
        <v>15140255</v>
      </c>
      <c r="BB544">
        <v>0.16</v>
      </c>
      <c r="BC544">
        <v>2422500</v>
      </c>
      <c r="BD544" t="s">
        <v>142</v>
      </c>
      <c r="BE544">
        <v>0</v>
      </c>
      <c r="BF544">
        <v>0</v>
      </c>
      <c r="BG544">
        <v>75800</v>
      </c>
      <c r="BH544">
        <v>75800</v>
      </c>
      <c r="BI544">
        <v>0</v>
      </c>
      <c r="BJ544">
        <v>2574100</v>
      </c>
      <c r="BK544" t="s">
        <v>25</v>
      </c>
      <c r="BL544" t="s">
        <v>1071</v>
      </c>
      <c r="BM544">
        <v>26</v>
      </c>
      <c r="BN544">
        <v>15140255</v>
      </c>
      <c r="BO544">
        <v>0.125</v>
      </c>
      <c r="BP544">
        <v>1892600</v>
      </c>
      <c r="BQ544">
        <v>0</v>
      </c>
      <c r="BR544" t="s">
        <v>1438</v>
      </c>
      <c r="BS544">
        <v>0</v>
      </c>
      <c r="BT544" t="s">
        <v>1438</v>
      </c>
      <c r="BU544">
        <v>0</v>
      </c>
      <c r="BV544" t="s">
        <v>25</v>
      </c>
      <c r="BW544" t="s">
        <v>189</v>
      </c>
      <c r="BX544">
        <v>26</v>
      </c>
      <c r="BY544">
        <v>15140255</v>
      </c>
      <c r="BZ544">
        <v>5.2199999999999998E-3</v>
      </c>
      <c r="CA544" t="s">
        <v>1592</v>
      </c>
      <c r="CB544" t="s">
        <v>227</v>
      </c>
      <c r="CC544" t="s">
        <v>1593</v>
      </c>
      <c r="CD544">
        <v>79100</v>
      </c>
      <c r="CE544">
        <v>26</v>
      </c>
      <c r="CF544" t="s">
        <v>635</v>
      </c>
      <c r="CG544">
        <v>7063758</v>
      </c>
      <c r="CH544">
        <v>0.04</v>
      </c>
      <c r="CI544">
        <v>282600</v>
      </c>
      <c r="CJ544">
        <v>7063758</v>
      </c>
      <c r="CK544">
        <v>0.02</v>
      </c>
      <c r="CL544">
        <v>141300</v>
      </c>
      <c r="CM544">
        <v>0.03</v>
      </c>
      <c r="CN544">
        <v>212000</v>
      </c>
      <c r="CO544">
        <v>0</v>
      </c>
      <c r="CP544">
        <v>0</v>
      </c>
      <c r="CQ544">
        <v>0</v>
      </c>
      <c r="CR544">
        <v>0</v>
      </c>
      <c r="CS544" t="s">
        <v>88</v>
      </c>
      <c r="CT544" t="s">
        <v>1441</v>
      </c>
      <c r="CU544" t="s">
        <v>1442</v>
      </c>
    </row>
    <row r="545" spans="1:99">
      <c r="A545" t="s">
        <v>1431</v>
      </c>
      <c r="B545" t="s">
        <v>34</v>
      </c>
      <c r="C545" t="s">
        <v>2827</v>
      </c>
      <c r="D545" t="s">
        <v>2828</v>
      </c>
      <c r="E545" t="s">
        <v>1620</v>
      </c>
      <c r="F545" t="s">
        <v>1644</v>
      </c>
      <c r="G545" t="s">
        <v>1478</v>
      </c>
      <c r="H545" t="s">
        <v>1994</v>
      </c>
      <c r="I545" t="s">
        <v>240</v>
      </c>
      <c r="J545" t="s">
        <v>46</v>
      </c>
      <c r="K545" t="s">
        <v>29</v>
      </c>
      <c r="L545" t="s">
        <v>30</v>
      </c>
      <c r="M545">
        <v>0</v>
      </c>
      <c r="N545" t="s">
        <v>32</v>
      </c>
      <c r="O545" t="s">
        <v>32</v>
      </c>
      <c r="Q545" t="s">
        <v>32</v>
      </c>
      <c r="S545" t="s">
        <v>32</v>
      </c>
      <c r="U545" t="s">
        <v>32</v>
      </c>
      <c r="V545" t="s">
        <v>32</v>
      </c>
      <c r="W545" t="s">
        <v>32</v>
      </c>
      <c r="X545" t="s">
        <v>32</v>
      </c>
      <c r="Y545" t="s">
        <v>32</v>
      </c>
      <c r="AA545" t="s">
        <v>32</v>
      </c>
      <c r="AB545" t="s">
        <v>37</v>
      </c>
      <c r="AC545">
        <v>46054</v>
      </c>
      <c r="AD545">
        <v>46054</v>
      </c>
      <c r="AE545" t="s">
        <v>32</v>
      </c>
      <c r="AH545" t="s">
        <v>32</v>
      </c>
      <c r="AK545" t="s">
        <v>32</v>
      </c>
      <c r="AN545" t="s">
        <v>32</v>
      </c>
      <c r="AO545" t="s">
        <v>32</v>
      </c>
      <c r="AR545">
        <v>0</v>
      </c>
      <c r="AU545" t="s">
        <v>32</v>
      </c>
      <c r="AV545">
        <v>2223339</v>
      </c>
      <c r="AW545" t="s">
        <v>32</v>
      </c>
      <c r="AX545" t="s">
        <v>32</v>
      </c>
      <c r="AY545" t="s">
        <v>356</v>
      </c>
      <c r="AZ545">
        <v>1</v>
      </c>
      <c r="BA545">
        <v>74112</v>
      </c>
      <c r="BB545">
        <v>0.16</v>
      </c>
      <c r="BC545">
        <v>11900</v>
      </c>
      <c r="BD545" t="s">
        <v>142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11900</v>
      </c>
      <c r="BK545" t="s">
        <v>25</v>
      </c>
      <c r="BL545" t="s">
        <v>1064</v>
      </c>
      <c r="BM545">
        <v>1</v>
      </c>
      <c r="BN545">
        <v>74112</v>
      </c>
      <c r="BO545">
        <v>0</v>
      </c>
      <c r="BP545">
        <v>0</v>
      </c>
      <c r="BQ545">
        <v>0</v>
      </c>
      <c r="BR545" t="s">
        <v>1438</v>
      </c>
      <c r="BS545">
        <v>0</v>
      </c>
      <c r="BT545" t="s">
        <v>1438</v>
      </c>
      <c r="BU545">
        <v>0</v>
      </c>
      <c r="BV545" t="s">
        <v>25</v>
      </c>
      <c r="BW545" t="s">
        <v>189</v>
      </c>
      <c r="BX545">
        <v>1</v>
      </c>
      <c r="BY545">
        <v>74112</v>
      </c>
      <c r="BZ545">
        <v>0</v>
      </c>
      <c r="CA545" t="s">
        <v>1439</v>
      </c>
      <c r="CB545" t="s">
        <v>227</v>
      </c>
      <c r="CC545" t="s">
        <v>1440</v>
      </c>
      <c r="CD545">
        <v>0</v>
      </c>
      <c r="CE545">
        <v>1</v>
      </c>
      <c r="CF545" t="s">
        <v>635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 t="s">
        <v>88</v>
      </c>
      <c r="CT545" t="s">
        <v>1441</v>
      </c>
      <c r="CU545" t="s">
        <v>1442</v>
      </c>
    </row>
    <row r="546" spans="1:99">
      <c r="A546" t="s">
        <v>1431</v>
      </c>
      <c r="B546" t="s">
        <v>34</v>
      </c>
      <c r="C546" t="s">
        <v>2827</v>
      </c>
      <c r="D546" t="s">
        <v>2828</v>
      </c>
      <c r="E546" t="s">
        <v>1620</v>
      </c>
      <c r="F546" t="s">
        <v>1644</v>
      </c>
      <c r="G546" t="s">
        <v>1478</v>
      </c>
      <c r="H546" t="s">
        <v>1994</v>
      </c>
      <c r="I546" t="s">
        <v>240</v>
      </c>
      <c r="J546" t="s">
        <v>46</v>
      </c>
      <c r="K546" t="s">
        <v>29</v>
      </c>
      <c r="L546" t="s">
        <v>30</v>
      </c>
      <c r="M546">
        <v>210</v>
      </c>
      <c r="N546" t="s">
        <v>32</v>
      </c>
      <c r="O546" t="s">
        <v>32</v>
      </c>
      <c r="Q546" t="s">
        <v>32</v>
      </c>
      <c r="S546" t="s">
        <v>32</v>
      </c>
      <c r="U546" t="s">
        <v>32</v>
      </c>
      <c r="V546" t="s">
        <v>32</v>
      </c>
      <c r="W546" t="s">
        <v>32</v>
      </c>
      <c r="X546" t="s">
        <v>32</v>
      </c>
      <c r="Y546" t="s">
        <v>32</v>
      </c>
      <c r="AA546" t="s">
        <v>88</v>
      </c>
      <c r="AB546" t="s">
        <v>32</v>
      </c>
      <c r="AE546" t="s">
        <v>32</v>
      </c>
      <c r="AH546" t="s">
        <v>32</v>
      </c>
      <c r="AK546" t="s">
        <v>32</v>
      </c>
      <c r="AN546" t="s">
        <v>32</v>
      </c>
      <c r="AO546" t="s">
        <v>32</v>
      </c>
      <c r="AR546">
        <v>0</v>
      </c>
      <c r="AU546" t="s">
        <v>32</v>
      </c>
      <c r="AV546">
        <v>2223339</v>
      </c>
      <c r="AW546" t="s">
        <v>32</v>
      </c>
      <c r="AX546" t="s">
        <v>32</v>
      </c>
      <c r="AY546" t="s">
        <v>356</v>
      </c>
      <c r="AZ546">
        <v>29</v>
      </c>
      <c r="BA546">
        <v>2719971</v>
      </c>
      <c r="BB546">
        <v>0.16</v>
      </c>
      <c r="BC546">
        <v>435200</v>
      </c>
      <c r="BD546" t="s">
        <v>142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435200</v>
      </c>
      <c r="BK546" t="s">
        <v>25</v>
      </c>
      <c r="BL546" t="s">
        <v>1064</v>
      </c>
      <c r="BM546">
        <v>29</v>
      </c>
      <c r="BN546">
        <v>2719971</v>
      </c>
      <c r="BO546">
        <v>0.04</v>
      </c>
      <c r="BP546">
        <v>108800</v>
      </c>
      <c r="BQ546">
        <v>0</v>
      </c>
      <c r="BR546" t="s">
        <v>1438</v>
      </c>
      <c r="BS546">
        <v>0</v>
      </c>
      <c r="BT546" t="s">
        <v>1438</v>
      </c>
      <c r="BU546">
        <v>0</v>
      </c>
      <c r="BV546" t="s">
        <v>25</v>
      </c>
      <c r="BW546" t="s">
        <v>189</v>
      </c>
      <c r="BX546">
        <v>29</v>
      </c>
      <c r="BY546">
        <v>2719971</v>
      </c>
      <c r="BZ546">
        <v>6.9599999999999995E-2</v>
      </c>
      <c r="CA546" t="s">
        <v>1439</v>
      </c>
      <c r="CB546" t="s">
        <v>227</v>
      </c>
      <c r="CC546" t="s">
        <v>1440</v>
      </c>
      <c r="CD546">
        <v>189400</v>
      </c>
      <c r="CE546">
        <v>29</v>
      </c>
      <c r="CF546" t="s">
        <v>635</v>
      </c>
      <c r="CG546">
        <v>2719971</v>
      </c>
      <c r="CH546">
        <v>0.04</v>
      </c>
      <c r="CI546">
        <v>108800</v>
      </c>
      <c r="CJ546">
        <v>2719971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 t="s">
        <v>88</v>
      </c>
      <c r="CT546" t="s">
        <v>1441</v>
      </c>
      <c r="CU546" t="s">
        <v>1442</v>
      </c>
    </row>
    <row r="547" spans="1:99">
      <c r="A547" t="s">
        <v>1431</v>
      </c>
      <c r="B547" t="s">
        <v>34</v>
      </c>
      <c r="C547" t="s">
        <v>2829</v>
      </c>
      <c r="D547" t="s">
        <v>2830</v>
      </c>
      <c r="E547" t="s">
        <v>2831</v>
      </c>
      <c r="F547" t="s">
        <v>1507</v>
      </c>
      <c r="G547" t="s">
        <v>1806</v>
      </c>
      <c r="H547" t="s">
        <v>1489</v>
      </c>
      <c r="I547" t="s">
        <v>240</v>
      </c>
      <c r="J547" t="s">
        <v>46</v>
      </c>
      <c r="K547" t="s">
        <v>29</v>
      </c>
      <c r="L547" t="s">
        <v>30</v>
      </c>
      <c r="M547">
        <v>45</v>
      </c>
      <c r="N547" t="s">
        <v>32</v>
      </c>
      <c r="O547" t="s">
        <v>32</v>
      </c>
      <c r="Q547" t="s">
        <v>40</v>
      </c>
      <c r="R547">
        <v>46074</v>
      </c>
      <c r="S547" t="s">
        <v>32</v>
      </c>
      <c r="U547" t="s">
        <v>32</v>
      </c>
      <c r="V547" t="s">
        <v>32</v>
      </c>
      <c r="W547" t="s">
        <v>32</v>
      </c>
      <c r="X547" t="s">
        <v>32</v>
      </c>
      <c r="Y547" t="s">
        <v>32</v>
      </c>
      <c r="AA547" t="s">
        <v>32</v>
      </c>
      <c r="AB547" t="s">
        <v>32</v>
      </c>
      <c r="AE547" t="s">
        <v>32</v>
      </c>
      <c r="AH547" t="s">
        <v>32</v>
      </c>
      <c r="AK547" t="s">
        <v>32</v>
      </c>
      <c r="AN547" t="s">
        <v>32</v>
      </c>
      <c r="AO547" t="s">
        <v>32</v>
      </c>
      <c r="AR547">
        <v>0</v>
      </c>
      <c r="AU547" t="s">
        <v>32</v>
      </c>
      <c r="AV547">
        <v>2113182</v>
      </c>
      <c r="AW547" t="s">
        <v>32</v>
      </c>
      <c r="AX547" t="s">
        <v>32</v>
      </c>
      <c r="AY547" t="s">
        <v>317</v>
      </c>
      <c r="AZ547">
        <v>10</v>
      </c>
      <c r="BA547">
        <v>704394</v>
      </c>
      <c r="BB547">
        <v>0.16</v>
      </c>
      <c r="BC547">
        <v>112800</v>
      </c>
      <c r="BD547" t="s">
        <v>142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112800</v>
      </c>
      <c r="BK547" t="s">
        <v>25</v>
      </c>
      <c r="BL547" t="s">
        <v>635</v>
      </c>
      <c r="BM547">
        <v>10</v>
      </c>
      <c r="BN547">
        <v>704394</v>
      </c>
      <c r="BO547">
        <v>0.04</v>
      </c>
      <c r="BP547">
        <v>28200</v>
      </c>
      <c r="BQ547">
        <v>0</v>
      </c>
      <c r="BR547" t="s">
        <v>1438</v>
      </c>
      <c r="BS547">
        <v>0</v>
      </c>
      <c r="BT547" t="s">
        <v>1438</v>
      </c>
      <c r="BU547">
        <v>0</v>
      </c>
      <c r="BV547" t="s">
        <v>25</v>
      </c>
      <c r="BW547" t="s">
        <v>189</v>
      </c>
      <c r="BX547">
        <v>10</v>
      </c>
      <c r="BY547">
        <v>704394</v>
      </c>
      <c r="BZ547">
        <v>6.9599999999999995E-2</v>
      </c>
      <c r="CA547" t="s">
        <v>1439</v>
      </c>
      <c r="CB547" t="s">
        <v>227</v>
      </c>
      <c r="CC547" t="s">
        <v>1440</v>
      </c>
      <c r="CD547">
        <v>49100</v>
      </c>
      <c r="CE547">
        <v>10</v>
      </c>
      <c r="CF547" t="s">
        <v>635</v>
      </c>
      <c r="CG547">
        <v>704394</v>
      </c>
      <c r="CH547">
        <v>0.04</v>
      </c>
      <c r="CI547">
        <v>28200</v>
      </c>
      <c r="CJ547">
        <v>704394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 t="s">
        <v>88</v>
      </c>
      <c r="CT547" t="s">
        <v>1441</v>
      </c>
      <c r="CU547" t="s">
        <v>1442</v>
      </c>
    </row>
    <row r="548" spans="1:99">
      <c r="A548" t="s">
        <v>1431</v>
      </c>
      <c r="B548" t="s">
        <v>34</v>
      </c>
      <c r="C548" t="s">
        <v>2832</v>
      </c>
      <c r="D548" t="s">
        <v>2833</v>
      </c>
      <c r="E548" t="s">
        <v>2403</v>
      </c>
      <c r="F548" t="s">
        <v>1882</v>
      </c>
      <c r="G548" t="s">
        <v>1790</v>
      </c>
      <c r="H548" t="s">
        <v>1558</v>
      </c>
      <c r="I548" t="s">
        <v>240</v>
      </c>
      <c r="J548" t="s">
        <v>46</v>
      </c>
      <c r="K548" t="s">
        <v>29</v>
      </c>
      <c r="L548" t="s">
        <v>30</v>
      </c>
      <c r="M548">
        <v>207</v>
      </c>
      <c r="N548" t="s">
        <v>32</v>
      </c>
      <c r="O548" t="s">
        <v>32</v>
      </c>
      <c r="Q548" t="s">
        <v>32</v>
      </c>
      <c r="S548" t="s">
        <v>32</v>
      </c>
      <c r="U548" t="s">
        <v>32</v>
      </c>
      <c r="V548" t="s">
        <v>32</v>
      </c>
      <c r="W548" t="s">
        <v>32</v>
      </c>
      <c r="X548" t="s">
        <v>32</v>
      </c>
      <c r="Y548" t="s">
        <v>32</v>
      </c>
      <c r="AA548" t="s">
        <v>88</v>
      </c>
      <c r="AB548" t="s">
        <v>32</v>
      </c>
      <c r="AE548" t="s">
        <v>32</v>
      </c>
      <c r="AH548" t="s">
        <v>32</v>
      </c>
      <c r="AK548" t="s">
        <v>32</v>
      </c>
      <c r="AN548" t="s">
        <v>32</v>
      </c>
      <c r="AO548" t="s">
        <v>32</v>
      </c>
      <c r="AR548">
        <v>0</v>
      </c>
      <c r="AU548" t="s">
        <v>32</v>
      </c>
      <c r="AV548">
        <v>1785595</v>
      </c>
      <c r="AW548" t="s">
        <v>32</v>
      </c>
      <c r="AX548" t="s">
        <v>32</v>
      </c>
      <c r="AY548" t="s">
        <v>185</v>
      </c>
      <c r="AZ548">
        <v>30</v>
      </c>
      <c r="BA548">
        <v>2099090</v>
      </c>
      <c r="BB548">
        <v>0.16</v>
      </c>
      <c r="BC548">
        <v>335900</v>
      </c>
      <c r="BD548" t="s">
        <v>142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335900</v>
      </c>
      <c r="BK548" t="s">
        <v>25</v>
      </c>
      <c r="BL548" t="s">
        <v>1071</v>
      </c>
      <c r="BM548">
        <v>30</v>
      </c>
      <c r="BN548">
        <v>2099090</v>
      </c>
      <c r="BO548">
        <v>0.04</v>
      </c>
      <c r="BP548">
        <v>84000</v>
      </c>
      <c r="BQ548">
        <v>0</v>
      </c>
      <c r="BR548" t="s">
        <v>1438</v>
      </c>
      <c r="BS548">
        <v>0</v>
      </c>
      <c r="BT548" t="s">
        <v>1438</v>
      </c>
      <c r="BU548">
        <v>0</v>
      </c>
      <c r="BV548" t="s">
        <v>25</v>
      </c>
      <c r="BW548" t="s">
        <v>189</v>
      </c>
      <c r="BX548">
        <v>30</v>
      </c>
      <c r="BY548">
        <v>2099090</v>
      </c>
      <c r="BZ548">
        <v>6.9599999999999995E-2</v>
      </c>
      <c r="CA548" t="s">
        <v>1439</v>
      </c>
      <c r="CB548" t="s">
        <v>227</v>
      </c>
      <c r="CC548" t="s">
        <v>1440</v>
      </c>
      <c r="CD548">
        <v>146100</v>
      </c>
      <c r="CE548">
        <v>30</v>
      </c>
      <c r="CF548" t="s">
        <v>635</v>
      </c>
      <c r="CG548">
        <v>2099090</v>
      </c>
      <c r="CH548">
        <v>0.04</v>
      </c>
      <c r="CI548">
        <v>84000</v>
      </c>
      <c r="CJ548">
        <v>2099090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 t="s">
        <v>88</v>
      </c>
      <c r="CT548" t="s">
        <v>1441</v>
      </c>
      <c r="CU548" t="s">
        <v>1442</v>
      </c>
    </row>
    <row r="549" spans="1:99">
      <c r="A549" t="s">
        <v>1431</v>
      </c>
      <c r="B549" t="s">
        <v>34</v>
      </c>
      <c r="C549" t="s">
        <v>2834</v>
      </c>
      <c r="D549" t="s">
        <v>2835</v>
      </c>
      <c r="E549" t="s">
        <v>2581</v>
      </c>
      <c r="F549" t="s">
        <v>1526</v>
      </c>
      <c r="G549" t="s">
        <v>1552</v>
      </c>
      <c r="H549" t="s">
        <v>1558</v>
      </c>
      <c r="I549" t="s">
        <v>240</v>
      </c>
      <c r="J549" t="s">
        <v>46</v>
      </c>
      <c r="K549" t="s">
        <v>29</v>
      </c>
      <c r="L549" t="s">
        <v>30</v>
      </c>
      <c r="M549">
        <v>0</v>
      </c>
      <c r="N549" t="s">
        <v>32</v>
      </c>
      <c r="O549" t="s">
        <v>32</v>
      </c>
      <c r="Q549" t="s">
        <v>32</v>
      </c>
      <c r="S549" t="s">
        <v>32</v>
      </c>
      <c r="U549" t="s">
        <v>32</v>
      </c>
      <c r="V549" t="s">
        <v>32</v>
      </c>
      <c r="W549" t="s">
        <v>32</v>
      </c>
      <c r="X549" t="s">
        <v>32</v>
      </c>
      <c r="Y549" t="s">
        <v>32</v>
      </c>
      <c r="AA549" t="s">
        <v>32</v>
      </c>
      <c r="AB549" t="s">
        <v>32</v>
      </c>
      <c r="AE549" t="s">
        <v>32</v>
      </c>
      <c r="AH549" t="s">
        <v>32</v>
      </c>
      <c r="AK549" t="s">
        <v>128</v>
      </c>
      <c r="AL549">
        <v>46079</v>
      </c>
      <c r="AM549">
        <v>46081</v>
      </c>
      <c r="AN549" t="s">
        <v>32</v>
      </c>
      <c r="AO549" t="s">
        <v>32</v>
      </c>
      <c r="AR549">
        <v>0</v>
      </c>
      <c r="AU549" t="s">
        <v>32</v>
      </c>
      <c r="AV549">
        <v>4024292</v>
      </c>
      <c r="AW549" t="s">
        <v>32</v>
      </c>
      <c r="AX549" t="s">
        <v>32</v>
      </c>
      <c r="AY549" t="s">
        <v>317</v>
      </c>
      <c r="AZ549">
        <v>3</v>
      </c>
      <c r="BA549">
        <v>402430</v>
      </c>
      <c r="BB549">
        <v>0.16</v>
      </c>
      <c r="BC549">
        <v>64400</v>
      </c>
      <c r="BD549" t="s">
        <v>142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64400</v>
      </c>
      <c r="BK549" t="s">
        <v>25</v>
      </c>
      <c r="BL549" t="s">
        <v>885</v>
      </c>
      <c r="BM549">
        <v>3</v>
      </c>
      <c r="BN549">
        <v>402430</v>
      </c>
      <c r="BO549">
        <v>0.04</v>
      </c>
      <c r="BP549">
        <v>16100</v>
      </c>
      <c r="BQ549">
        <v>0</v>
      </c>
      <c r="BR549" t="s">
        <v>1438</v>
      </c>
      <c r="BS549">
        <v>0</v>
      </c>
      <c r="BT549" t="s">
        <v>1438</v>
      </c>
      <c r="BU549">
        <v>0</v>
      </c>
      <c r="BV549" t="s">
        <v>25</v>
      </c>
      <c r="BW549" t="s">
        <v>189</v>
      </c>
      <c r="BX549">
        <v>3</v>
      </c>
      <c r="BY549">
        <v>402430</v>
      </c>
      <c r="BZ549">
        <v>0</v>
      </c>
      <c r="CA549" t="s">
        <v>1439</v>
      </c>
      <c r="CB549" t="s">
        <v>227</v>
      </c>
      <c r="CC549" t="s">
        <v>1440</v>
      </c>
      <c r="CD549">
        <v>0</v>
      </c>
      <c r="CE549">
        <v>3</v>
      </c>
      <c r="CF549" t="s">
        <v>635</v>
      </c>
      <c r="CG549">
        <v>402430</v>
      </c>
      <c r="CH549">
        <v>0.04</v>
      </c>
      <c r="CI549">
        <v>16100</v>
      </c>
      <c r="CJ549">
        <v>402430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 t="s">
        <v>88</v>
      </c>
      <c r="CT549" t="s">
        <v>1441</v>
      </c>
      <c r="CU549" t="s">
        <v>1442</v>
      </c>
    </row>
    <row r="550" spans="1:99">
      <c r="A550" t="s">
        <v>1431</v>
      </c>
      <c r="B550" t="s">
        <v>34</v>
      </c>
      <c r="C550" t="s">
        <v>2834</v>
      </c>
      <c r="D550" t="s">
        <v>2835</v>
      </c>
      <c r="E550" t="s">
        <v>2581</v>
      </c>
      <c r="F550" t="s">
        <v>1526</v>
      </c>
      <c r="G550" t="s">
        <v>1552</v>
      </c>
      <c r="H550" t="s">
        <v>1558</v>
      </c>
      <c r="I550" t="s">
        <v>240</v>
      </c>
      <c r="J550" t="s">
        <v>46</v>
      </c>
      <c r="K550" t="s">
        <v>29</v>
      </c>
      <c r="L550" t="s">
        <v>30</v>
      </c>
      <c r="M550">
        <v>164</v>
      </c>
      <c r="N550" t="s">
        <v>32</v>
      </c>
      <c r="O550" t="s">
        <v>32</v>
      </c>
      <c r="Q550" t="s">
        <v>32</v>
      </c>
      <c r="S550" t="s">
        <v>40</v>
      </c>
      <c r="T550">
        <v>46081</v>
      </c>
      <c r="U550" t="s">
        <v>32</v>
      </c>
      <c r="V550" t="s">
        <v>32</v>
      </c>
      <c r="W550" t="s">
        <v>32</v>
      </c>
      <c r="X550" t="s">
        <v>32</v>
      </c>
      <c r="Y550" t="s">
        <v>32</v>
      </c>
      <c r="AA550" t="s">
        <v>88</v>
      </c>
      <c r="AB550" t="s">
        <v>32</v>
      </c>
      <c r="AE550" t="s">
        <v>32</v>
      </c>
      <c r="AH550" t="s">
        <v>32</v>
      </c>
      <c r="AK550" t="s">
        <v>32</v>
      </c>
      <c r="AN550" t="s">
        <v>32</v>
      </c>
      <c r="AO550" t="s">
        <v>32</v>
      </c>
      <c r="AR550">
        <v>0</v>
      </c>
      <c r="AU550" t="s">
        <v>32</v>
      </c>
      <c r="AV550">
        <v>4024292</v>
      </c>
      <c r="AW550" t="s">
        <v>32</v>
      </c>
      <c r="AX550" t="s">
        <v>32</v>
      </c>
      <c r="AY550" t="s">
        <v>317</v>
      </c>
      <c r="AZ550">
        <v>27</v>
      </c>
      <c r="BA550">
        <v>3756006</v>
      </c>
      <c r="BB550">
        <v>0.16</v>
      </c>
      <c r="BC550">
        <v>601000</v>
      </c>
      <c r="BD550" t="s">
        <v>142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601000</v>
      </c>
      <c r="BK550" t="s">
        <v>25</v>
      </c>
      <c r="BL550" t="s">
        <v>885</v>
      </c>
      <c r="BM550">
        <v>27</v>
      </c>
      <c r="BN550">
        <v>3756006</v>
      </c>
      <c r="BO550">
        <v>0.04</v>
      </c>
      <c r="BP550">
        <v>150300</v>
      </c>
      <c r="BQ550">
        <v>0</v>
      </c>
      <c r="BR550" t="s">
        <v>1438</v>
      </c>
      <c r="BS550">
        <v>0</v>
      </c>
      <c r="BT550" t="s">
        <v>1438</v>
      </c>
      <c r="BU550">
        <v>0</v>
      </c>
      <c r="BV550" t="s">
        <v>25</v>
      </c>
      <c r="BW550" t="s">
        <v>189</v>
      </c>
      <c r="BX550">
        <v>27</v>
      </c>
      <c r="BY550">
        <v>3756006</v>
      </c>
      <c r="BZ550">
        <v>6.9599999999999995E-2</v>
      </c>
      <c r="CA550" t="s">
        <v>1439</v>
      </c>
      <c r="CB550" t="s">
        <v>227</v>
      </c>
      <c r="CC550" t="s">
        <v>1440</v>
      </c>
      <c r="CD550">
        <v>261500</v>
      </c>
      <c r="CE550">
        <v>27</v>
      </c>
      <c r="CF550" t="s">
        <v>635</v>
      </c>
      <c r="CG550">
        <v>4428063</v>
      </c>
      <c r="CH550">
        <v>0.04</v>
      </c>
      <c r="CI550">
        <v>177200</v>
      </c>
      <c r="CJ550">
        <v>4428063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 t="s">
        <v>88</v>
      </c>
      <c r="CT550" t="s">
        <v>1441</v>
      </c>
      <c r="CU550" t="s">
        <v>1442</v>
      </c>
    </row>
    <row r="551" spans="1:99">
      <c r="A551" t="s">
        <v>1431</v>
      </c>
      <c r="B551" t="s">
        <v>34</v>
      </c>
      <c r="C551" t="s">
        <v>2836</v>
      </c>
      <c r="D551" t="s">
        <v>2837</v>
      </c>
      <c r="E551" t="s">
        <v>1517</v>
      </c>
      <c r="F551" t="s">
        <v>1028</v>
      </c>
      <c r="G551" t="s">
        <v>1537</v>
      </c>
      <c r="H551" t="s">
        <v>2838</v>
      </c>
      <c r="I551" t="s">
        <v>240</v>
      </c>
      <c r="J551" t="s">
        <v>46</v>
      </c>
      <c r="K551" t="s">
        <v>29</v>
      </c>
      <c r="L551" t="s">
        <v>30</v>
      </c>
      <c r="M551">
        <v>188</v>
      </c>
      <c r="N551" t="s">
        <v>32</v>
      </c>
      <c r="O551" t="s">
        <v>32</v>
      </c>
      <c r="Q551" t="s">
        <v>32</v>
      </c>
      <c r="S551" t="s">
        <v>32</v>
      </c>
      <c r="U551" t="s">
        <v>32</v>
      </c>
      <c r="V551" t="s">
        <v>32</v>
      </c>
      <c r="W551" t="s">
        <v>32</v>
      </c>
      <c r="X551" t="s">
        <v>32</v>
      </c>
      <c r="Y551" t="s">
        <v>32</v>
      </c>
      <c r="AA551" t="s">
        <v>32</v>
      </c>
      <c r="AB551" t="s">
        <v>32</v>
      </c>
      <c r="AE551" t="s">
        <v>32</v>
      </c>
      <c r="AH551" t="s">
        <v>32</v>
      </c>
      <c r="AK551" t="s">
        <v>32</v>
      </c>
      <c r="AN551" t="s">
        <v>32</v>
      </c>
      <c r="AO551" t="s">
        <v>32</v>
      </c>
      <c r="AR551">
        <v>0</v>
      </c>
      <c r="AU551" t="s">
        <v>32</v>
      </c>
      <c r="AV551">
        <v>41554091</v>
      </c>
      <c r="AW551" t="s">
        <v>88</v>
      </c>
      <c r="AX551" t="s">
        <v>32</v>
      </c>
      <c r="AY551" t="s">
        <v>393</v>
      </c>
      <c r="AZ551">
        <v>30</v>
      </c>
      <c r="BA551">
        <v>29087864</v>
      </c>
      <c r="BB551">
        <v>0.16</v>
      </c>
      <c r="BC551">
        <v>4654100</v>
      </c>
      <c r="BD551" t="s">
        <v>142</v>
      </c>
      <c r="BE551">
        <v>0</v>
      </c>
      <c r="BF551">
        <v>0</v>
      </c>
      <c r="BG551">
        <v>145500</v>
      </c>
      <c r="BH551">
        <v>203700</v>
      </c>
      <c r="BI551">
        <v>0</v>
      </c>
      <c r="BJ551">
        <v>5003300</v>
      </c>
      <c r="BK551" t="s">
        <v>25</v>
      </c>
      <c r="BL551" t="s">
        <v>187</v>
      </c>
      <c r="BM551">
        <v>30</v>
      </c>
      <c r="BN551">
        <v>29087864</v>
      </c>
      <c r="BO551">
        <v>0.125</v>
      </c>
      <c r="BP551">
        <v>3636000</v>
      </c>
      <c r="BQ551">
        <v>0</v>
      </c>
      <c r="BR551" t="s">
        <v>1438</v>
      </c>
      <c r="BS551">
        <v>0</v>
      </c>
      <c r="BT551" t="s">
        <v>1438</v>
      </c>
      <c r="BU551">
        <v>0</v>
      </c>
      <c r="BV551" t="s">
        <v>25</v>
      </c>
      <c r="BW551" t="s">
        <v>189</v>
      </c>
      <c r="BX551">
        <v>30</v>
      </c>
      <c r="BY551">
        <v>29087864</v>
      </c>
      <c r="BZ551">
        <v>6.9599999999999995E-2</v>
      </c>
      <c r="CA551" t="s">
        <v>1439</v>
      </c>
      <c r="CB551" t="s">
        <v>227</v>
      </c>
      <c r="CC551" t="s">
        <v>1440</v>
      </c>
      <c r="CD551">
        <v>2024600</v>
      </c>
      <c r="CE551">
        <v>30</v>
      </c>
      <c r="CF551" t="s">
        <v>635</v>
      </c>
      <c r="CG551">
        <v>29087864</v>
      </c>
      <c r="CH551">
        <v>0.04</v>
      </c>
      <c r="CI551">
        <v>1163600</v>
      </c>
      <c r="CJ551">
        <v>29087864</v>
      </c>
      <c r="CK551">
        <v>0.02</v>
      </c>
      <c r="CL551">
        <v>581800</v>
      </c>
      <c r="CM551">
        <v>0.03</v>
      </c>
      <c r="CN551">
        <v>872700</v>
      </c>
      <c r="CO551">
        <v>0</v>
      </c>
      <c r="CP551">
        <v>0</v>
      </c>
      <c r="CQ551">
        <v>0</v>
      </c>
      <c r="CR551">
        <v>0</v>
      </c>
      <c r="CS551" t="s">
        <v>32</v>
      </c>
      <c r="CT551" t="s">
        <v>1441</v>
      </c>
      <c r="CU551" t="s">
        <v>1442</v>
      </c>
    </row>
    <row r="552" spans="1:99">
      <c r="A552" t="s">
        <v>1431</v>
      </c>
      <c r="B552" t="s">
        <v>34</v>
      </c>
      <c r="C552" t="s">
        <v>2839</v>
      </c>
      <c r="D552" t="s">
        <v>2840</v>
      </c>
      <c r="E552" t="s">
        <v>1471</v>
      </c>
      <c r="F552" t="s">
        <v>2115</v>
      </c>
      <c r="G552" t="s">
        <v>1742</v>
      </c>
      <c r="H552" t="s">
        <v>1474</v>
      </c>
      <c r="I552" t="s">
        <v>240</v>
      </c>
      <c r="J552" t="s">
        <v>46</v>
      </c>
      <c r="K552" t="s">
        <v>29</v>
      </c>
      <c r="L552" t="s">
        <v>30</v>
      </c>
      <c r="M552">
        <v>188</v>
      </c>
      <c r="N552" t="s">
        <v>32</v>
      </c>
      <c r="O552" t="s">
        <v>32</v>
      </c>
      <c r="Q552" t="s">
        <v>32</v>
      </c>
      <c r="S552" t="s">
        <v>32</v>
      </c>
      <c r="U552" t="s">
        <v>32</v>
      </c>
      <c r="V552" t="s">
        <v>32</v>
      </c>
      <c r="W552" t="s">
        <v>32</v>
      </c>
      <c r="X552" t="s">
        <v>32</v>
      </c>
      <c r="Y552" t="s">
        <v>88</v>
      </c>
      <c r="Z552">
        <v>46054</v>
      </c>
      <c r="AA552" t="s">
        <v>32</v>
      </c>
      <c r="AB552" t="s">
        <v>32</v>
      </c>
      <c r="AE552" t="s">
        <v>32</v>
      </c>
      <c r="AH552" t="s">
        <v>32</v>
      </c>
      <c r="AK552" t="s">
        <v>32</v>
      </c>
      <c r="AN552" t="s">
        <v>32</v>
      </c>
      <c r="AO552" t="s">
        <v>32</v>
      </c>
      <c r="AR552">
        <v>0</v>
      </c>
      <c r="AU552" t="s">
        <v>32</v>
      </c>
      <c r="AV552">
        <v>2382840</v>
      </c>
      <c r="AW552" t="s">
        <v>32</v>
      </c>
      <c r="AX552" t="s">
        <v>32</v>
      </c>
      <c r="AY552" t="s">
        <v>317</v>
      </c>
      <c r="AZ552">
        <v>30</v>
      </c>
      <c r="BA552">
        <v>2382840</v>
      </c>
      <c r="BB552">
        <v>0.16</v>
      </c>
      <c r="BC552">
        <v>381300</v>
      </c>
      <c r="BD552" t="s">
        <v>142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381300</v>
      </c>
      <c r="BK552" t="s">
        <v>25</v>
      </c>
      <c r="BL552" t="s">
        <v>870</v>
      </c>
      <c r="BM552">
        <v>30</v>
      </c>
      <c r="BN552">
        <v>2382840</v>
      </c>
      <c r="BO552">
        <v>0.04</v>
      </c>
      <c r="BP552">
        <v>95400</v>
      </c>
      <c r="BQ552">
        <v>0</v>
      </c>
      <c r="BR552" t="s">
        <v>1438</v>
      </c>
      <c r="BS552">
        <v>0</v>
      </c>
      <c r="BT552" t="s">
        <v>1438</v>
      </c>
      <c r="BU552">
        <v>0</v>
      </c>
      <c r="BV552" t="s">
        <v>25</v>
      </c>
      <c r="BW552" t="s">
        <v>189</v>
      </c>
      <c r="BX552">
        <v>30</v>
      </c>
      <c r="BY552">
        <v>2382840</v>
      </c>
      <c r="BZ552">
        <v>5.2199999999999998E-3</v>
      </c>
      <c r="CA552" t="s">
        <v>1592</v>
      </c>
      <c r="CB552" t="s">
        <v>227</v>
      </c>
      <c r="CC552" t="s">
        <v>1593</v>
      </c>
      <c r="CD552">
        <v>12500</v>
      </c>
      <c r="CE552">
        <v>30</v>
      </c>
      <c r="CF552" t="s">
        <v>635</v>
      </c>
      <c r="CG552">
        <v>2382840</v>
      </c>
      <c r="CH552">
        <v>0.04</v>
      </c>
      <c r="CI552">
        <v>95400</v>
      </c>
      <c r="CJ552">
        <v>2382840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 t="s">
        <v>88</v>
      </c>
      <c r="CT552" t="s">
        <v>1441</v>
      </c>
      <c r="CU552" t="s">
        <v>1442</v>
      </c>
    </row>
    <row r="553" spans="1:99">
      <c r="A553" t="s">
        <v>1431</v>
      </c>
      <c r="B553" t="s">
        <v>34</v>
      </c>
      <c r="C553" t="s">
        <v>2841</v>
      </c>
      <c r="D553" t="s">
        <v>2842</v>
      </c>
      <c r="E553" t="s">
        <v>2843</v>
      </c>
      <c r="F553" t="s">
        <v>926</v>
      </c>
      <c r="G553" t="s">
        <v>1489</v>
      </c>
      <c r="H553" t="s">
        <v>1543</v>
      </c>
      <c r="I553" t="s">
        <v>362</v>
      </c>
      <c r="J553" t="s">
        <v>405</v>
      </c>
      <c r="K553" t="s">
        <v>29</v>
      </c>
      <c r="L553" t="s">
        <v>30</v>
      </c>
      <c r="M553">
        <v>63</v>
      </c>
      <c r="N553" t="s">
        <v>32</v>
      </c>
      <c r="O553" t="s">
        <v>32</v>
      </c>
      <c r="Q553" t="s">
        <v>40</v>
      </c>
      <c r="R553">
        <v>46072</v>
      </c>
      <c r="S553" t="s">
        <v>32</v>
      </c>
      <c r="U553" t="s">
        <v>32</v>
      </c>
      <c r="V553" t="s">
        <v>32</v>
      </c>
      <c r="W553" t="s">
        <v>32</v>
      </c>
      <c r="X553" t="s">
        <v>32</v>
      </c>
      <c r="Y553" t="s">
        <v>32</v>
      </c>
      <c r="AA553" t="s">
        <v>32</v>
      </c>
      <c r="AB553" t="s">
        <v>32</v>
      </c>
      <c r="AE553" t="s">
        <v>32</v>
      </c>
      <c r="AH553" t="s">
        <v>32</v>
      </c>
      <c r="AK553" t="s">
        <v>32</v>
      </c>
      <c r="AN553" t="s">
        <v>32</v>
      </c>
      <c r="AO553" t="s">
        <v>32</v>
      </c>
      <c r="AR553">
        <v>0</v>
      </c>
      <c r="AU553" t="s">
        <v>32</v>
      </c>
      <c r="AV553">
        <v>11201102</v>
      </c>
      <c r="AW553" t="s">
        <v>32</v>
      </c>
      <c r="AX553" t="s">
        <v>32</v>
      </c>
      <c r="AY553" t="s">
        <v>356</v>
      </c>
      <c r="AZ553">
        <v>12</v>
      </c>
      <c r="BA553">
        <v>4480441</v>
      </c>
      <c r="BB553">
        <v>0.16</v>
      </c>
      <c r="BC553">
        <v>716900</v>
      </c>
      <c r="BD553" t="s">
        <v>142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716900</v>
      </c>
      <c r="BK553" t="s">
        <v>25</v>
      </c>
      <c r="BL553" t="s">
        <v>870</v>
      </c>
      <c r="BM553">
        <v>12</v>
      </c>
      <c r="BN553">
        <v>4480441</v>
      </c>
      <c r="BO553">
        <v>0.04</v>
      </c>
      <c r="BP553">
        <v>179300</v>
      </c>
      <c r="BQ553">
        <v>0</v>
      </c>
      <c r="BR553" t="s">
        <v>1438</v>
      </c>
      <c r="BS553">
        <v>0</v>
      </c>
      <c r="BT553" t="s">
        <v>1438</v>
      </c>
      <c r="BU553">
        <v>0</v>
      </c>
      <c r="BV553" t="s">
        <v>25</v>
      </c>
      <c r="BW553" t="s">
        <v>189</v>
      </c>
      <c r="BX553">
        <v>12</v>
      </c>
      <c r="BY553">
        <v>4480441</v>
      </c>
      <c r="BZ553">
        <v>6.9599999999999995E-2</v>
      </c>
      <c r="CA553" t="s">
        <v>1439</v>
      </c>
      <c r="CB553" t="s">
        <v>2844</v>
      </c>
      <c r="CC553" t="s">
        <v>1440</v>
      </c>
      <c r="CD553">
        <v>311900</v>
      </c>
      <c r="CE553">
        <v>12</v>
      </c>
      <c r="CF553" t="s">
        <v>1072</v>
      </c>
      <c r="CG553">
        <v>4480441</v>
      </c>
      <c r="CH553">
        <v>0.04</v>
      </c>
      <c r="CI553">
        <v>179300</v>
      </c>
      <c r="CJ553">
        <v>4480441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 t="s">
        <v>88</v>
      </c>
      <c r="CT553" t="s">
        <v>1441</v>
      </c>
      <c r="CU553" t="s">
        <v>1442</v>
      </c>
    </row>
    <row r="554" spans="1:99">
      <c r="A554" t="s">
        <v>1431</v>
      </c>
      <c r="B554" t="s">
        <v>34</v>
      </c>
      <c r="C554" t="s">
        <v>2845</v>
      </c>
      <c r="D554" t="s">
        <v>2846</v>
      </c>
      <c r="E554" t="s">
        <v>2847</v>
      </c>
      <c r="F554" t="s">
        <v>2698</v>
      </c>
      <c r="G554" t="s">
        <v>2440</v>
      </c>
      <c r="H554" t="s">
        <v>1706</v>
      </c>
      <c r="I554" t="s">
        <v>240</v>
      </c>
      <c r="J554" t="s">
        <v>46</v>
      </c>
      <c r="K554" t="s">
        <v>29</v>
      </c>
      <c r="L554" t="s">
        <v>30</v>
      </c>
      <c r="M554">
        <v>0</v>
      </c>
      <c r="N554" t="s">
        <v>32</v>
      </c>
      <c r="O554" t="s">
        <v>32</v>
      </c>
      <c r="Q554" t="s">
        <v>32</v>
      </c>
      <c r="S554" t="s">
        <v>32</v>
      </c>
      <c r="U554" t="s">
        <v>32</v>
      </c>
      <c r="V554" t="s">
        <v>32</v>
      </c>
      <c r="W554" t="s">
        <v>32</v>
      </c>
      <c r="X554" t="s">
        <v>32</v>
      </c>
      <c r="Y554" t="s">
        <v>32</v>
      </c>
      <c r="AA554" t="s">
        <v>32</v>
      </c>
      <c r="AB554" t="s">
        <v>37</v>
      </c>
      <c r="AC554">
        <v>46058</v>
      </c>
      <c r="AD554">
        <v>46059</v>
      </c>
      <c r="AE554" t="s">
        <v>32</v>
      </c>
      <c r="AH554" t="s">
        <v>32</v>
      </c>
      <c r="AK554" t="s">
        <v>32</v>
      </c>
      <c r="AN554" t="s">
        <v>32</v>
      </c>
      <c r="AO554" t="s">
        <v>32</v>
      </c>
      <c r="AR554">
        <v>0</v>
      </c>
      <c r="AU554" t="s">
        <v>32</v>
      </c>
      <c r="AV554">
        <v>2223339</v>
      </c>
      <c r="AW554" t="s">
        <v>32</v>
      </c>
      <c r="AX554" t="s">
        <v>32</v>
      </c>
      <c r="AY554" t="s">
        <v>137</v>
      </c>
      <c r="AZ554">
        <v>2</v>
      </c>
      <c r="BA554">
        <v>148223</v>
      </c>
      <c r="BB554">
        <v>0.16</v>
      </c>
      <c r="BC554">
        <v>23800</v>
      </c>
      <c r="BD554" t="s">
        <v>142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23800</v>
      </c>
      <c r="BK554" t="s">
        <v>25</v>
      </c>
      <c r="BL554" t="s">
        <v>1064</v>
      </c>
      <c r="BM554">
        <v>2</v>
      </c>
      <c r="BN554">
        <v>148223</v>
      </c>
      <c r="BO554">
        <v>0</v>
      </c>
      <c r="BP554">
        <v>0</v>
      </c>
      <c r="BQ554">
        <v>0</v>
      </c>
      <c r="BR554" t="s">
        <v>1438</v>
      </c>
      <c r="BS554">
        <v>0</v>
      </c>
      <c r="BT554" t="s">
        <v>1438</v>
      </c>
      <c r="BU554">
        <v>0</v>
      </c>
      <c r="BV554" t="s">
        <v>25</v>
      </c>
      <c r="BW554" t="s">
        <v>189</v>
      </c>
      <c r="BX554">
        <v>2</v>
      </c>
      <c r="BY554">
        <v>148223</v>
      </c>
      <c r="BZ554">
        <v>0</v>
      </c>
      <c r="CA554" t="s">
        <v>1439</v>
      </c>
      <c r="CB554" t="s">
        <v>227</v>
      </c>
      <c r="CC554" t="s">
        <v>1440</v>
      </c>
      <c r="CD554">
        <v>0</v>
      </c>
      <c r="CE554">
        <v>2</v>
      </c>
      <c r="CF554" t="s">
        <v>635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 t="s">
        <v>88</v>
      </c>
      <c r="CT554" t="s">
        <v>1441</v>
      </c>
      <c r="CU554" t="s">
        <v>1442</v>
      </c>
    </row>
    <row r="555" spans="1:99">
      <c r="A555" t="s">
        <v>1431</v>
      </c>
      <c r="B555" t="s">
        <v>34</v>
      </c>
      <c r="C555" t="s">
        <v>2845</v>
      </c>
      <c r="D555" t="s">
        <v>2846</v>
      </c>
      <c r="E555" t="s">
        <v>2847</v>
      </c>
      <c r="F555" t="s">
        <v>2698</v>
      </c>
      <c r="G555" t="s">
        <v>2440</v>
      </c>
      <c r="H555" t="s">
        <v>1706</v>
      </c>
      <c r="I555" t="s">
        <v>240</v>
      </c>
      <c r="J555" t="s">
        <v>46</v>
      </c>
      <c r="K555" t="s">
        <v>29</v>
      </c>
      <c r="L555" t="s">
        <v>30</v>
      </c>
      <c r="M555">
        <v>38</v>
      </c>
      <c r="N555" t="s">
        <v>32</v>
      </c>
      <c r="O555" t="s">
        <v>32</v>
      </c>
      <c r="Q555" t="s">
        <v>32</v>
      </c>
      <c r="S555" t="s">
        <v>40</v>
      </c>
      <c r="T555">
        <v>46060</v>
      </c>
      <c r="U555" t="s">
        <v>32</v>
      </c>
      <c r="V555" t="s">
        <v>32</v>
      </c>
      <c r="W555" t="s">
        <v>32</v>
      </c>
      <c r="X555" t="s">
        <v>32</v>
      </c>
      <c r="Y555" t="s">
        <v>32</v>
      </c>
      <c r="AA555" t="s">
        <v>88</v>
      </c>
      <c r="AB555" t="s">
        <v>32</v>
      </c>
      <c r="AE555" t="s">
        <v>32</v>
      </c>
      <c r="AH555" t="s">
        <v>32</v>
      </c>
      <c r="AK555" t="s">
        <v>32</v>
      </c>
      <c r="AN555" t="s">
        <v>32</v>
      </c>
      <c r="AO555" t="s">
        <v>32</v>
      </c>
      <c r="AR555">
        <v>0</v>
      </c>
      <c r="AU555" t="s">
        <v>32</v>
      </c>
      <c r="AV555">
        <v>2223339</v>
      </c>
      <c r="AW555" t="s">
        <v>32</v>
      </c>
      <c r="AX555" t="s">
        <v>32</v>
      </c>
      <c r="AY555" t="s">
        <v>137</v>
      </c>
      <c r="AZ555">
        <v>5</v>
      </c>
      <c r="BA555">
        <v>761763</v>
      </c>
      <c r="BB555">
        <v>0.16</v>
      </c>
      <c r="BC555">
        <v>121900</v>
      </c>
      <c r="BD555" t="s">
        <v>142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121900</v>
      </c>
      <c r="BK555" t="s">
        <v>25</v>
      </c>
      <c r="BL555" t="s">
        <v>1064</v>
      </c>
      <c r="BM555">
        <v>5</v>
      </c>
      <c r="BN555">
        <v>761763</v>
      </c>
      <c r="BO555">
        <v>0.04</v>
      </c>
      <c r="BP555">
        <v>30500</v>
      </c>
      <c r="BQ555">
        <v>0</v>
      </c>
      <c r="BR555" t="s">
        <v>1438</v>
      </c>
      <c r="BS555">
        <v>0</v>
      </c>
      <c r="BT555" t="s">
        <v>1438</v>
      </c>
      <c r="BU555">
        <v>0</v>
      </c>
      <c r="BV555" t="s">
        <v>25</v>
      </c>
      <c r="BW555" t="s">
        <v>189</v>
      </c>
      <c r="BX555">
        <v>5</v>
      </c>
      <c r="BY555">
        <v>761763</v>
      </c>
      <c r="BZ555">
        <v>6.9599999999999995E-2</v>
      </c>
      <c r="CA555" t="s">
        <v>1439</v>
      </c>
      <c r="CB555" t="s">
        <v>227</v>
      </c>
      <c r="CC555" t="s">
        <v>1440</v>
      </c>
      <c r="CD555">
        <v>53100</v>
      </c>
      <c r="CE555">
        <v>5</v>
      </c>
      <c r="CF555" t="s">
        <v>635</v>
      </c>
      <c r="CG555">
        <v>806594</v>
      </c>
      <c r="CH555">
        <v>0.04</v>
      </c>
      <c r="CI555">
        <v>32300</v>
      </c>
      <c r="CJ555">
        <v>806594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 t="s">
        <v>88</v>
      </c>
      <c r="CT555" t="s">
        <v>1441</v>
      </c>
      <c r="CU555" t="s">
        <v>1442</v>
      </c>
    </row>
    <row r="556" spans="1:99">
      <c r="A556" t="s">
        <v>1431</v>
      </c>
      <c r="B556" t="s">
        <v>34</v>
      </c>
      <c r="C556" t="s">
        <v>2848</v>
      </c>
      <c r="D556" t="s">
        <v>2849</v>
      </c>
      <c r="E556" t="s">
        <v>263</v>
      </c>
      <c r="F556" t="s">
        <v>2850</v>
      </c>
      <c r="G556" t="s">
        <v>1742</v>
      </c>
      <c r="H556" t="s">
        <v>2511</v>
      </c>
      <c r="I556" t="s">
        <v>240</v>
      </c>
      <c r="J556" t="s">
        <v>46</v>
      </c>
      <c r="K556" t="s">
        <v>29</v>
      </c>
      <c r="L556" t="s">
        <v>30</v>
      </c>
      <c r="M556">
        <v>212</v>
      </c>
      <c r="N556" t="s">
        <v>32</v>
      </c>
      <c r="O556" t="s">
        <v>32</v>
      </c>
      <c r="Q556" t="s">
        <v>32</v>
      </c>
      <c r="S556" t="s">
        <v>32</v>
      </c>
      <c r="U556" t="s">
        <v>32</v>
      </c>
      <c r="V556" t="s">
        <v>32</v>
      </c>
      <c r="W556" t="s">
        <v>32</v>
      </c>
      <c r="X556" t="s">
        <v>32</v>
      </c>
      <c r="Y556" t="s">
        <v>32</v>
      </c>
      <c r="AA556" t="s">
        <v>88</v>
      </c>
      <c r="AB556" t="s">
        <v>32</v>
      </c>
      <c r="AE556" t="s">
        <v>32</v>
      </c>
      <c r="AH556" t="s">
        <v>32</v>
      </c>
      <c r="AK556" t="s">
        <v>32</v>
      </c>
      <c r="AN556" t="s">
        <v>32</v>
      </c>
      <c r="AO556" t="s">
        <v>32</v>
      </c>
      <c r="AR556">
        <v>0</v>
      </c>
      <c r="AU556" t="s">
        <v>32</v>
      </c>
      <c r="AV556">
        <v>1898887</v>
      </c>
      <c r="AW556" t="s">
        <v>32</v>
      </c>
      <c r="AX556" t="s">
        <v>32</v>
      </c>
      <c r="AY556" t="s">
        <v>356</v>
      </c>
      <c r="AZ556">
        <v>30</v>
      </c>
      <c r="BA556">
        <v>2157827</v>
      </c>
      <c r="BB556">
        <v>0.16</v>
      </c>
      <c r="BC556">
        <v>345300</v>
      </c>
      <c r="BD556" t="s">
        <v>142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345300</v>
      </c>
      <c r="BK556" t="s">
        <v>25</v>
      </c>
      <c r="BL556" t="s">
        <v>885</v>
      </c>
      <c r="BM556">
        <v>30</v>
      </c>
      <c r="BN556">
        <v>2157827</v>
      </c>
      <c r="BO556">
        <v>0.04</v>
      </c>
      <c r="BP556">
        <v>86400</v>
      </c>
      <c r="BQ556">
        <v>0</v>
      </c>
      <c r="BR556" t="s">
        <v>1438</v>
      </c>
      <c r="BS556">
        <v>0</v>
      </c>
      <c r="BT556" t="s">
        <v>1438</v>
      </c>
      <c r="BU556">
        <v>0</v>
      </c>
      <c r="BV556" t="s">
        <v>25</v>
      </c>
      <c r="BW556" t="s">
        <v>189</v>
      </c>
      <c r="BX556">
        <v>30</v>
      </c>
      <c r="BY556">
        <v>2157827</v>
      </c>
      <c r="BZ556">
        <v>2.436E-2</v>
      </c>
      <c r="CA556" t="s">
        <v>1772</v>
      </c>
      <c r="CB556" t="s">
        <v>227</v>
      </c>
      <c r="CC556" t="s">
        <v>1773</v>
      </c>
      <c r="CD556">
        <v>52600</v>
      </c>
      <c r="CE556">
        <v>30</v>
      </c>
      <c r="CF556" t="s">
        <v>635</v>
      </c>
      <c r="CG556">
        <v>2157827</v>
      </c>
      <c r="CH556">
        <v>0.04</v>
      </c>
      <c r="CI556">
        <v>86400</v>
      </c>
      <c r="CJ556">
        <v>2157827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 t="s">
        <v>88</v>
      </c>
      <c r="CT556" t="s">
        <v>1441</v>
      </c>
      <c r="CU556" t="s">
        <v>1442</v>
      </c>
    </row>
    <row r="557" spans="1:99">
      <c r="A557" t="s">
        <v>1431</v>
      </c>
      <c r="B557" t="s">
        <v>34</v>
      </c>
      <c r="C557" t="s">
        <v>2851</v>
      </c>
      <c r="D557" t="s">
        <v>2852</v>
      </c>
      <c r="E557" t="s">
        <v>2568</v>
      </c>
      <c r="F557" t="s">
        <v>734</v>
      </c>
      <c r="G557" t="s">
        <v>2319</v>
      </c>
      <c r="H557" t="s">
        <v>1558</v>
      </c>
      <c r="I557" t="s">
        <v>240</v>
      </c>
      <c r="J557" t="s">
        <v>46</v>
      </c>
      <c r="K557" t="s">
        <v>29</v>
      </c>
      <c r="L557" t="s">
        <v>30</v>
      </c>
      <c r="M557">
        <v>226</v>
      </c>
      <c r="N557" t="s">
        <v>32</v>
      </c>
      <c r="O557" t="s">
        <v>32</v>
      </c>
      <c r="Q557" t="s">
        <v>32</v>
      </c>
      <c r="S557" t="s">
        <v>32</v>
      </c>
      <c r="U557" t="s">
        <v>32</v>
      </c>
      <c r="V557" t="s">
        <v>32</v>
      </c>
      <c r="W557" t="s">
        <v>32</v>
      </c>
      <c r="X557" t="s">
        <v>32</v>
      </c>
      <c r="Y557" t="s">
        <v>32</v>
      </c>
      <c r="AA557" t="s">
        <v>88</v>
      </c>
      <c r="AB557" t="s">
        <v>32</v>
      </c>
      <c r="AE557" t="s">
        <v>32</v>
      </c>
      <c r="AH557" t="s">
        <v>32</v>
      </c>
      <c r="AK557" t="s">
        <v>32</v>
      </c>
      <c r="AN557" t="s">
        <v>32</v>
      </c>
      <c r="AO557" t="s">
        <v>32</v>
      </c>
      <c r="AR557">
        <v>0</v>
      </c>
      <c r="AU557" t="s">
        <v>32</v>
      </c>
      <c r="AV557">
        <v>2078522</v>
      </c>
      <c r="AW557" t="s">
        <v>32</v>
      </c>
      <c r="AX557" t="s">
        <v>32</v>
      </c>
      <c r="AY557" t="s">
        <v>356</v>
      </c>
      <c r="AZ557">
        <v>30</v>
      </c>
      <c r="BA557">
        <v>2663343</v>
      </c>
      <c r="BB557">
        <v>0.16</v>
      </c>
      <c r="BC557">
        <v>426200</v>
      </c>
      <c r="BD557" t="s">
        <v>142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426200</v>
      </c>
      <c r="BK557" t="s">
        <v>25</v>
      </c>
      <c r="BL557" t="s">
        <v>885</v>
      </c>
      <c r="BM557">
        <v>30</v>
      </c>
      <c r="BN557">
        <v>2663343</v>
      </c>
      <c r="BO557">
        <v>0.04</v>
      </c>
      <c r="BP557">
        <v>106600</v>
      </c>
      <c r="BQ557">
        <v>0</v>
      </c>
      <c r="BR557" t="s">
        <v>1438</v>
      </c>
      <c r="BS557">
        <v>0</v>
      </c>
      <c r="BT557" t="s">
        <v>1438</v>
      </c>
      <c r="BU557">
        <v>0</v>
      </c>
      <c r="BV557" t="s">
        <v>25</v>
      </c>
      <c r="BW557" t="s">
        <v>189</v>
      </c>
      <c r="BX557">
        <v>30</v>
      </c>
      <c r="BY557">
        <v>2663343</v>
      </c>
      <c r="BZ557">
        <v>2.436E-2</v>
      </c>
      <c r="CA557" t="s">
        <v>1772</v>
      </c>
      <c r="CB557" t="s">
        <v>227</v>
      </c>
      <c r="CC557" t="s">
        <v>1773</v>
      </c>
      <c r="CD557">
        <v>64900</v>
      </c>
      <c r="CE557">
        <v>30</v>
      </c>
      <c r="CF557" t="s">
        <v>635</v>
      </c>
      <c r="CG557">
        <v>2663343</v>
      </c>
      <c r="CH557">
        <v>0.04</v>
      </c>
      <c r="CI557">
        <v>106600</v>
      </c>
      <c r="CJ557">
        <v>2663343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 t="s">
        <v>88</v>
      </c>
      <c r="CT557" t="s">
        <v>1441</v>
      </c>
      <c r="CU557" t="s">
        <v>1442</v>
      </c>
    </row>
    <row r="558" spans="1:99">
      <c r="A558" t="s">
        <v>1431</v>
      </c>
      <c r="B558" t="s">
        <v>34</v>
      </c>
      <c r="C558" t="s">
        <v>2853</v>
      </c>
      <c r="D558" t="s">
        <v>2854</v>
      </c>
      <c r="E558" t="s">
        <v>2460</v>
      </c>
      <c r="F558" t="s">
        <v>2855</v>
      </c>
      <c r="G558" t="s">
        <v>2856</v>
      </c>
      <c r="H558" t="s">
        <v>1498</v>
      </c>
      <c r="I558" t="s">
        <v>240</v>
      </c>
      <c r="J558" t="s">
        <v>46</v>
      </c>
      <c r="K558" t="s">
        <v>29</v>
      </c>
      <c r="L558" t="s">
        <v>30</v>
      </c>
      <c r="M558">
        <v>180</v>
      </c>
      <c r="N558" t="s">
        <v>32</v>
      </c>
      <c r="O558" t="s">
        <v>32</v>
      </c>
      <c r="Q558" t="s">
        <v>32</v>
      </c>
      <c r="S558" t="s">
        <v>32</v>
      </c>
      <c r="U558" t="s">
        <v>32</v>
      </c>
      <c r="V558" t="s">
        <v>32</v>
      </c>
      <c r="W558" t="s">
        <v>32</v>
      </c>
      <c r="X558" t="s">
        <v>32</v>
      </c>
      <c r="Y558" t="s">
        <v>32</v>
      </c>
      <c r="AA558" t="s">
        <v>88</v>
      </c>
      <c r="AB558" t="s">
        <v>32</v>
      </c>
      <c r="AE558" t="s">
        <v>32</v>
      </c>
      <c r="AH558" t="s">
        <v>32</v>
      </c>
      <c r="AK558" t="s">
        <v>32</v>
      </c>
      <c r="AN558" t="s">
        <v>32</v>
      </c>
      <c r="AO558" t="s">
        <v>32</v>
      </c>
      <c r="AR558">
        <v>0</v>
      </c>
      <c r="AU558" t="s">
        <v>32</v>
      </c>
      <c r="AV558">
        <v>3503370</v>
      </c>
      <c r="AW558" t="s">
        <v>32</v>
      </c>
      <c r="AX558" t="s">
        <v>32</v>
      </c>
      <c r="AY558" t="s">
        <v>137</v>
      </c>
      <c r="AZ558">
        <v>30</v>
      </c>
      <c r="BA558">
        <v>3659429</v>
      </c>
      <c r="BB558">
        <v>0.16</v>
      </c>
      <c r="BC558">
        <v>585600</v>
      </c>
      <c r="BD558" t="s">
        <v>142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585600</v>
      </c>
      <c r="BK558" t="s">
        <v>25</v>
      </c>
      <c r="BL558" t="s">
        <v>885</v>
      </c>
      <c r="BM558">
        <v>30</v>
      </c>
      <c r="BN558">
        <v>3659429</v>
      </c>
      <c r="BO558">
        <v>0.04</v>
      </c>
      <c r="BP558">
        <v>146400</v>
      </c>
      <c r="BQ558">
        <v>0</v>
      </c>
      <c r="BR558" t="s">
        <v>1438</v>
      </c>
      <c r="BS558">
        <v>0</v>
      </c>
      <c r="BT558" t="s">
        <v>1438</v>
      </c>
      <c r="BU558">
        <v>0</v>
      </c>
      <c r="BV558" t="s">
        <v>25</v>
      </c>
      <c r="BW558" t="s">
        <v>189</v>
      </c>
      <c r="BX558">
        <v>30</v>
      </c>
      <c r="BY558">
        <v>3659429</v>
      </c>
      <c r="BZ558">
        <v>6.9599999999999995E-2</v>
      </c>
      <c r="CA558" t="s">
        <v>1439</v>
      </c>
      <c r="CB558" t="s">
        <v>227</v>
      </c>
      <c r="CC558" t="s">
        <v>1440</v>
      </c>
      <c r="CD558">
        <v>254700</v>
      </c>
      <c r="CE558">
        <v>30</v>
      </c>
      <c r="CF558" t="s">
        <v>635</v>
      </c>
      <c r="CG558">
        <v>3659429</v>
      </c>
      <c r="CH558">
        <v>0.04</v>
      </c>
      <c r="CI558">
        <v>146400</v>
      </c>
      <c r="CJ558">
        <v>3659429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 t="s">
        <v>88</v>
      </c>
      <c r="CT558" t="s">
        <v>1441</v>
      </c>
      <c r="CU558" t="s">
        <v>1442</v>
      </c>
    </row>
    <row r="559" spans="1:99">
      <c r="A559" t="s">
        <v>1431</v>
      </c>
      <c r="B559" t="s">
        <v>34</v>
      </c>
      <c r="C559" t="s">
        <v>2857</v>
      </c>
      <c r="D559" t="s">
        <v>2858</v>
      </c>
      <c r="E559" t="s">
        <v>2859</v>
      </c>
      <c r="F559" t="s">
        <v>1616</v>
      </c>
      <c r="G559" t="s">
        <v>2860</v>
      </c>
      <c r="H559" t="s">
        <v>1757</v>
      </c>
      <c r="I559" t="s">
        <v>240</v>
      </c>
      <c r="J559" t="s">
        <v>46</v>
      </c>
      <c r="K559" t="s">
        <v>29</v>
      </c>
      <c r="L559" t="s">
        <v>30</v>
      </c>
      <c r="M559">
        <v>219</v>
      </c>
      <c r="N559" t="s">
        <v>32</v>
      </c>
      <c r="O559" t="s">
        <v>32</v>
      </c>
      <c r="Q559" t="s">
        <v>32</v>
      </c>
      <c r="S559" t="s">
        <v>32</v>
      </c>
      <c r="U559" t="s">
        <v>32</v>
      </c>
      <c r="V559" t="s">
        <v>32</v>
      </c>
      <c r="W559" t="s">
        <v>32</v>
      </c>
      <c r="X559" t="s">
        <v>32</v>
      </c>
      <c r="Y559" t="s">
        <v>32</v>
      </c>
      <c r="AA559" t="s">
        <v>88</v>
      </c>
      <c r="AB559" t="s">
        <v>32</v>
      </c>
      <c r="AE559" t="s">
        <v>32</v>
      </c>
      <c r="AH559" t="s">
        <v>32</v>
      </c>
      <c r="AK559" t="s">
        <v>32</v>
      </c>
      <c r="AN559" t="s">
        <v>32</v>
      </c>
      <c r="AO559" t="s">
        <v>32</v>
      </c>
      <c r="AR559">
        <v>0</v>
      </c>
      <c r="AU559" t="s">
        <v>32</v>
      </c>
      <c r="AV559">
        <v>2665550</v>
      </c>
      <c r="AW559" t="s">
        <v>32</v>
      </c>
      <c r="AX559" t="s">
        <v>32</v>
      </c>
      <c r="AY559" t="s">
        <v>317</v>
      </c>
      <c r="AZ559">
        <v>30</v>
      </c>
      <c r="BA559">
        <v>3630035</v>
      </c>
      <c r="BB559">
        <v>0.16</v>
      </c>
      <c r="BC559">
        <v>580900</v>
      </c>
      <c r="BD559" t="s">
        <v>142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580900</v>
      </c>
      <c r="BK559" t="s">
        <v>25</v>
      </c>
      <c r="BL559" t="s">
        <v>1010</v>
      </c>
      <c r="BM559">
        <v>30</v>
      </c>
      <c r="BN559">
        <v>3630035</v>
      </c>
      <c r="BO559">
        <v>0.04</v>
      </c>
      <c r="BP559">
        <v>145300</v>
      </c>
      <c r="BQ559">
        <v>0</v>
      </c>
      <c r="BR559" t="s">
        <v>1438</v>
      </c>
      <c r="BS559">
        <v>0</v>
      </c>
      <c r="BT559" t="s">
        <v>1438</v>
      </c>
      <c r="BU559">
        <v>0</v>
      </c>
      <c r="BV559" t="s">
        <v>25</v>
      </c>
      <c r="BW559" t="s">
        <v>189</v>
      </c>
      <c r="BX559">
        <v>30</v>
      </c>
      <c r="BY559">
        <v>3630035</v>
      </c>
      <c r="BZ559">
        <v>6.9599999999999995E-2</v>
      </c>
      <c r="CA559" t="s">
        <v>1439</v>
      </c>
      <c r="CB559" t="s">
        <v>227</v>
      </c>
      <c r="CC559" t="s">
        <v>1440</v>
      </c>
      <c r="CD559">
        <v>252700</v>
      </c>
      <c r="CE559">
        <v>30</v>
      </c>
      <c r="CF559" t="s">
        <v>635</v>
      </c>
      <c r="CG559">
        <v>3630035</v>
      </c>
      <c r="CH559">
        <v>0.04</v>
      </c>
      <c r="CI559">
        <v>145300</v>
      </c>
      <c r="CJ559">
        <v>3630035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 t="s">
        <v>88</v>
      </c>
      <c r="CT559" t="s">
        <v>1441</v>
      </c>
      <c r="CU559" t="s">
        <v>1442</v>
      </c>
    </row>
    <row r="560" spans="1:99">
      <c r="A560" t="s">
        <v>1431</v>
      </c>
      <c r="B560" t="s">
        <v>34</v>
      </c>
      <c r="C560" t="s">
        <v>2861</v>
      </c>
      <c r="D560" t="s">
        <v>2862</v>
      </c>
      <c r="E560" t="s">
        <v>1551</v>
      </c>
      <c r="F560" t="s">
        <v>1952</v>
      </c>
      <c r="G560" t="s">
        <v>1474</v>
      </c>
      <c r="H560" t="s">
        <v>1558</v>
      </c>
      <c r="I560" t="s">
        <v>240</v>
      </c>
      <c r="J560" t="s">
        <v>46</v>
      </c>
      <c r="K560" t="s">
        <v>29</v>
      </c>
      <c r="L560" t="s">
        <v>30</v>
      </c>
      <c r="M560">
        <v>217</v>
      </c>
      <c r="N560" t="s">
        <v>32</v>
      </c>
      <c r="O560" t="s">
        <v>32</v>
      </c>
      <c r="Q560" t="s">
        <v>32</v>
      </c>
      <c r="S560" t="s">
        <v>32</v>
      </c>
      <c r="U560" t="s">
        <v>32</v>
      </c>
      <c r="V560" t="s">
        <v>32</v>
      </c>
      <c r="W560" t="s">
        <v>32</v>
      </c>
      <c r="X560" t="s">
        <v>32</v>
      </c>
      <c r="Y560" t="s">
        <v>88</v>
      </c>
      <c r="Z560">
        <v>46054</v>
      </c>
      <c r="AA560" t="s">
        <v>88</v>
      </c>
      <c r="AB560" t="s">
        <v>32</v>
      </c>
      <c r="AE560" t="s">
        <v>32</v>
      </c>
      <c r="AH560" t="s">
        <v>32</v>
      </c>
      <c r="AK560" t="s">
        <v>32</v>
      </c>
      <c r="AN560" t="s">
        <v>32</v>
      </c>
      <c r="AO560" t="s">
        <v>32</v>
      </c>
      <c r="AR560">
        <v>0</v>
      </c>
      <c r="AU560" t="s">
        <v>32</v>
      </c>
      <c r="AV560">
        <v>3050412</v>
      </c>
      <c r="AW560" t="s">
        <v>32</v>
      </c>
      <c r="AX560" t="s">
        <v>32</v>
      </c>
      <c r="AY560" t="s">
        <v>356</v>
      </c>
      <c r="AZ560">
        <v>30</v>
      </c>
      <c r="BA560">
        <v>3561703</v>
      </c>
      <c r="BB560">
        <v>0.16</v>
      </c>
      <c r="BC560">
        <v>569900</v>
      </c>
      <c r="BD560" t="s">
        <v>142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569900</v>
      </c>
      <c r="BK560" t="s">
        <v>25</v>
      </c>
      <c r="BL560" t="s">
        <v>635</v>
      </c>
      <c r="BM560">
        <v>30</v>
      </c>
      <c r="BN560">
        <v>3561703</v>
      </c>
      <c r="BO560">
        <v>0.04</v>
      </c>
      <c r="BP560">
        <v>142500</v>
      </c>
      <c r="BQ560">
        <v>0</v>
      </c>
      <c r="BR560" t="s">
        <v>1438</v>
      </c>
      <c r="BS560">
        <v>0</v>
      </c>
      <c r="BT560" t="s">
        <v>1438</v>
      </c>
      <c r="BU560">
        <v>0</v>
      </c>
      <c r="BV560" t="s">
        <v>25</v>
      </c>
      <c r="BW560" t="s">
        <v>189</v>
      </c>
      <c r="BX560">
        <v>30</v>
      </c>
      <c r="BY560">
        <v>3561703</v>
      </c>
      <c r="BZ560">
        <v>6.9599999999999995E-2</v>
      </c>
      <c r="CA560" t="s">
        <v>1439</v>
      </c>
      <c r="CB560" t="s">
        <v>227</v>
      </c>
      <c r="CC560" t="s">
        <v>1440</v>
      </c>
      <c r="CD560">
        <v>247900</v>
      </c>
      <c r="CE560">
        <v>30</v>
      </c>
      <c r="CF560" t="s">
        <v>635</v>
      </c>
      <c r="CG560">
        <v>3561703</v>
      </c>
      <c r="CH560">
        <v>0.04</v>
      </c>
      <c r="CI560">
        <v>142500</v>
      </c>
      <c r="CJ560">
        <v>3561703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 t="s">
        <v>88</v>
      </c>
      <c r="CT560" t="s">
        <v>1441</v>
      </c>
      <c r="CU560" t="s">
        <v>1442</v>
      </c>
    </row>
    <row r="561" spans="1:99">
      <c r="A561" t="s">
        <v>1431</v>
      </c>
      <c r="B561" t="s">
        <v>34</v>
      </c>
      <c r="C561" t="s">
        <v>2863</v>
      </c>
      <c r="D561" t="s">
        <v>2864</v>
      </c>
      <c r="E561" t="s">
        <v>2865</v>
      </c>
      <c r="F561" t="s">
        <v>2866</v>
      </c>
      <c r="G561" t="s">
        <v>1473</v>
      </c>
      <c r="H561" t="s">
        <v>1498</v>
      </c>
      <c r="I561" t="s">
        <v>240</v>
      </c>
      <c r="J561" t="s">
        <v>46</v>
      </c>
      <c r="K561" t="s">
        <v>29</v>
      </c>
      <c r="L561" t="s">
        <v>30</v>
      </c>
      <c r="M561">
        <v>229</v>
      </c>
      <c r="N561" t="s">
        <v>32</v>
      </c>
      <c r="O561" t="s">
        <v>32</v>
      </c>
      <c r="Q561" t="s">
        <v>32</v>
      </c>
      <c r="S561" t="s">
        <v>40</v>
      </c>
      <c r="T561">
        <v>46081</v>
      </c>
      <c r="U561" t="s">
        <v>32</v>
      </c>
      <c r="V561" t="s">
        <v>32</v>
      </c>
      <c r="W561" t="s">
        <v>32</v>
      </c>
      <c r="X561" t="s">
        <v>32</v>
      </c>
      <c r="Y561" t="s">
        <v>32</v>
      </c>
      <c r="AA561" t="s">
        <v>88</v>
      </c>
      <c r="AB561" t="s">
        <v>32</v>
      </c>
      <c r="AE561" t="s">
        <v>32</v>
      </c>
      <c r="AH561" t="s">
        <v>32</v>
      </c>
      <c r="AK561" t="s">
        <v>32</v>
      </c>
      <c r="AN561" t="s">
        <v>32</v>
      </c>
      <c r="AO561" t="s">
        <v>32</v>
      </c>
      <c r="AR561">
        <v>0</v>
      </c>
      <c r="AU561" t="s">
        <v>32</v>
      </c>
      <c r="AV561">
        <v>1785595</v>
      </c>
      <c r="AW561" t="s">
        <v>32</v>
      </c>
      <c r="AX561" t="s">
        <v>32</v>
      </c>
      <c r="AY561" t="s">
        <v>317</v>
      </c>
      <c r="AZ561">
        <v>30</v>
      </c>
      <c r="BA561">
        <v>2967739</v>
      </c>
      <c r="BB561">
        <v>0.16</v>
      </c>
      <c r="BC561">
        <v>474900</v>
      </c>
      <c r="BD561" t="s">
        <v>142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474900</v>
      </c>
      <c r="BK561" t="s">
        <v>25</v>
      </c>
      <c r="BL561" t="s">
        <v>1010</v>
      </c>
      <c r="BM561">
        <v>30</v>
      </c>
      <c r="BN561">
        <v>2967739</v>
      </c>
      <c r="BO561">
        <v>0.04</v>
      </c>
      <c r="BP561">
        <v>118800</v>
      </c>
      <c r="BQ561">
        <v>0</v>
      </c>
      <c r="BR561" t="s">
        <v>1438</v>
      </c>
      <c r="BS561">
        <v>0</v>
      </c>
      <c r="BT561" t="s">
        <v>1438</v>
      </c>
      <c r="BU561">
        <v>0</v>
      </c>
      <c r="BV561" t="s">
        <v>25</v>
      </c>
      <c r="BW561" t="s">
        <v>189</v>
      </c>
      <c r="BX561">
        <v>30</v>
      </c>
      <c r="BY561">
        <v>2967739</v>
      </c>
      <c r="BZ561">
        <v>6.9599999999999995E-2</v>
      </c>
      <c r="CA561" t="s">
        <v>1439</v>
      </c>
      <c r="CB561" t="s">
        <v>227</v>
      </c>
      <c r="CC561" t="s">
        <v>1440</v>
      </c>
      <c r="CD561">
        <v>206600</v>
      </c>
      <c r="CE561">
        <v>30</v>
      </c>
      <c r="CF561" t="s">
        <v>635</v>
      </c>
      <c r="CG561">
        <v>3484962</v>
      </c>
      <c r="CH561">
        <v>0.04</v>
      </c>
      <c r="CI561">
        <v>139400</v>
      </c>
      <c r="CJ561">
        <v>3484962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 t="s">
        <v>88</v>
      </c>
      <c r="CT561" t="s">
        <v>1441</v>
      </c>
      <c r="CU561" t="s">
        <v>1442</v>
      </c>
    </row>
    <row r="562" spans="1:99">
      <c r="A562" t="s">
        <v>1431</v>
      </c>
      <c r="B562" t="s">
        <v>34</v>
      </c>
      <c r="C562" t="s">
        <v>2867</v>
      </c>
      <c r="D562" t="s">
        <v>2868</v>
      </c>
      <c r="E562" t="s">
        <v>1644</v>
      </c>
      <c r="F562" t="s">
        <v>2869</v>
      </c>
      <c r="G562" t="s">
        <v>2870</v>
      </c>
      <c r="H562" t="s">
        <v>2871</v>
      </c>
      <c r="I562" t="s">
        <v>240</v>
      </c>
      <c r="J562" t="s">
        <v>46</v>
      </c>
      <c r="K562" t="s">
        <v>29</v>
      </c>
      <c r="L562" t="s">
        <v>30</v>
      </c>
      <c r="M562">
        <v>224</v>
      </c>
      <c r="N562" t="s">
        <v>32</v>
      </c>
      <c r="O562" t="s">
        <v>32</v>
      </c>
      <c r="Q562" t="s">
        <v>32</v>
      </c>
      <c r="S562" t="s">
        <v>32</v>
      </c>
      <c r="U562" t="s">
        <v>32</v>
      </c>
      <c r="V562" t="s">
        <v>32</v>
      </c>
      <c r="W562" t="s">
        <v>32</v>
      </c>
      <c r="X562" t="s">
        <v>32</v>
      </c>
      <c r="Y562" t="s">
        <v>32</v>
      </c>
      <c r="AA562" t="s">
        <v>88</v>
      </c>
      <c r="AB562" t="s">
        <v>32</v>
      </c>
      <c r="AE562" t="s">
        <v>32</v>
      </c>
      <c r="AH562" t="s">
        <v>32</v>
      </c>
      <c r="AK562" t="s">
        <v>32</v>
      </c>
      <c r="AN562" t="s">
        <v>32</v>
      </c>
      <c r="AO562" t="s">
        <v>32</v>
      </c>
      <c r="AR562">
        <v>0</v>
      </c>
      <c r="AU562" t="s">
        <v>32</v>
      </c>
      <c r="AV562">
        <v>2970185</v>
      </c>
      <c r="AW562" t="s">
        <v>32</v>
      </c>
      <c r="AX562" t="s">
        <v>32</v>
      </c>
      <c r="AY562" t="s">
        <v>317</v>
      </c>
      <c r="AZ562">
        <v>30</v>
      </c>
      <c r="BA562">
        <v>4129279</v>
      </c>
      <c r="BB562">
        <v>0.16</v>
      </c>
      <c r="BC562">
        <v>660700</v>
      </c>
      <c r="BD562" t="s">
        <v>142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660700</v>
      </c>
      <c r="BK562" t="s">
        <v>25</v>
      </c>
      <c r="BL562" t="s">
        <v>1010</v>
      </c>
      <c r="BM562">
        <v>30</v>
      </c>
      <c r="BN562">
        <v>4129279</v>
      </c>
      <c r="BO562">
        <v>0.04</v>
      </c>
      <c r="BP562">
        <v>165200</v>
      </c>
      <c r="BQ562">
        <v>0</v>
      </c>
      <c r="BR562" t="s">
        <v>1438</v>
      </c>
      <c r="BS562">
        <v>0</v>
      </c>
      <c r="BT562" t="s">
        <v>1438</v>
      </c>
      <c r="BU562">
        <v>0</v>
      </c>
      <c r="BV562" t="s">
        <v>25</v>
      </c>
      <c r="BW562" t="s">
        <v>189</v>
      </c>
      <c r="BX562">
        <v>30</v>
      </c>
      <c r="BY562">
        <v>4129279</v>
      </c>
      <c r="BZ562">
        <v>6.9599999999999995E-2</v>
      </c>
      <c r="CA562" t="s">
        <v>1439</v>
      </c>
      <c r="CB562" t="s">
        <v>227</v>
      </c>
      <c r="CC562" t="s">
        <v>1440</v>
      </c>
      <c r="CD562">
        <v>287400</v>
      </c>
      <c r="CE562">
        <v>30</v>
      </c>
      <c r="CF562" t="s">
        <v>635</v>
      </c>
      <c r="CG562">
        <v>4129279</v>
      </c>
      <c r="CH562">
        <v>0.04</v>
      </c>
      <c r="CI562">
        <v>165200</v>
      </c>
      <c r="CJ562">
        <v>4129279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 t="s">
        <v>88</v>
      </c>
      <c r="CT562" t="s">
        <v>1441</v>
      </c>
      <c r="CU562" t="s">
        <v>1442</v>
      </c>
    </row>
    <row r="563" spans="1:99">
      <c r="A563" t="s">
        <v>1431</v>
      </c>
      <c r="B563" t="s">
        <v>34</v>
      </c>
      <c r="C563" t="s">
        <v>2872</v>
      </c>
      <c r="D563" t="s">
        <v>2873</v>
      </c>
      <c r="E563" t="s">
        <v>1145</v>
      </c>
      <c r="F563" t="s">
        <v>1506</v>
      </c>
      <c r="G563" t="s">
        <v>2874</v>
      </c>
      <c r="H563" t="s">
        <v>2856</v>
      </c>
      <c r="I563" t="s">
        <v>240</v>
      </c>
      <c r="J563" t="s">
        <v>46</v>
      </c>
      <c r="K563" t="s">
        <v>29</v>
      </c>
      <c r="L563" t="s">
        <v>30</v>
      </c>
      <c r="M563">
        <v>0</v>
      </c>
      <c r="N563" t="s">
        <v>32</v>
      </c>
      <c r="O563" t="s">
        <v>32</v>
      </c>
      <c r="Q563" t="s">
        <v>32</v>
      </c>
      <c r="S563" t="s">
        <v>32</v>
      </c>
      <c r="U563" t="s">
        <v>32</v>
      </c>
      <c r="V563" t="s">
        <v>32</v>
      </c>
      <c r="W563" t="s">
        <v>32</v>
      </c>
      <c r="X563" t="s">
        <v>32</v>
      </c>
      <c r="Y563" t="s">
        <v>32</v>
      </c>
      <c r="AA563" t="s">
        <v>32</v>
      </c>
      <c r="AB563" t="s">
        <v>37</v>
      </c>
      <c r="AC563">
        <v>46057</v>
      </c>
      <c r="AD563">
        <v>46058</v>
      </c>
      <c r="AE563" t="s">
        <v>32</v>
      </c>
      <c r="AH563" t="s">
        <v>32</v>
      </c>
      <c r="AK563" t="s">
        <v>32</v>
      </c>
      <c r="AN563" t="s">
        <v>32</v>
      </c>
      <c r="AO563" t="s">
        <v>32</v>
      </c>
      <c r="AR563">
        <v>0</v>
      </c>
      <c r="AU563" t="s">
        <v>32</v>
      </c>
      <c r="AV563">
        <v>2223339</v>
      </c>
      <c r="AW563" t="s">
        <v>32</v>
      </c>
      <c r="AX563" t="s">
        <v>32</v>
      </c>
      <c r="AY563" t="s">
        <v>137</v>
      </c>
      <c r="AZ563">
        <v>2</v>
      </c>
      <c r="BA563">
        <v>148223</v>
      </c>
      <c r="BB563">
        <v>0.16</v>
      </c>
      <c r="BC563">
        <v>23800</v>
      </c>
      <c r="BD563" t="s">
        <v>142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23800</v>
      </c>
      <c r="BK563" t="s">
        <v>25</v>
      </c>
      <c r="BL563" t="s">
        <v>885</v>
      </c>
      <c r="BM563">
        <v>2</v>
      </c>
      <c r="BN563">
        <v>148223</v>
      </c>
      <c r="BO563">
        <v>0</v>
      </c>
      <c r="BP563">
        <v>0</v>
      </c>
      <c r="BQ563">
        <v>0</v>
      </c>
      <c r="BR563" t="s">
        <v>1438</v>
      </c>
      <c r="BS563">
        <v>0</v>
      </c>
      <c r="BT563" t="s">
        <v>1438</v>
      </c>
      <c r="BU563">
        <v>0</v>
      </c>
      <c r="BV563" t="s">
        <v>25</v>
      </c>
      <c r="BW563" t="s">
        <v>189</v>
      </c>
      <c r="BX563">
        <v>2</v>
      </c>
      <c r="BY563">
        <v>148223</v>
      </c>
      <c r="BZ563">
        <v>0</v>
      </c>
      <c r="CA563" t="s">
        <v>1439</v>
      </c>
      <c r="CB563" t="s">
        <v>227</v>
      </c>
      <c r="CC563" t="s">
        <v>1440</v>
      </c>
      <c r="CD563">
        <v>0</v>
      </c>
      <c r="CE563">
        <v>2</v>
      </c>
      <c r="CF563" t="s">
        <v>635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 t="s">
        <v>88</v>
      </c>
      <c r="CT563" t="s">
        <v>1441</v>
      </c>
      <c r="CU563" t="s">
        <v>1442</v>
      </c>
    </row>
    <row r="564" spans="1:99">
      <c r="A564" t="s">
        <v>1431</v>
      </c>
      <c r="B564" t="s">
        <v>34</v>
      </c>
      <c r="C564" t="s">
        <v>2872</v>
      </c>
      <c r="D564" t="s">
        <v>2873</v>
      </c>
      <c r="E564" t="s">
        <v>1145</v>
      </c>
      <c r="F564" t="s">
        <v>1506</v>
      </c>
      <c r="G564" t="s">
        <v>2874</v>
      </c>
      <c r="H564" t="s">
        <v>2856</v>
      </c>
      <c r="I564" t="s">
        <v>240</v>
      </c>
      <c r="J564" t="s">
        <v>46</v>
      </c>
      <c r="K564" t="s">
        <v>29</v>
      </c>
      <c r="L564" t="s">
        <v>30</v>
      </c>
      <c r="M564">
        <v>159</v>
      </c>
      <c r="N564" t="s">
        <v>32</v>
      </c>
      <c r="O564" t="s">
        <v>32</v>
      </c>
      <c r="Q564" t="s">
        <v>32</v>
      </c>
      <c r="S564" t="s">
        <v>40</v>
      </c>
      <c r="T564">
        <v>46074</v>
      </c>
      <c r="U564" t="s">
        <v>32</v>
      </c>
      <c r="V564" t="s">
        <v>32</v>
      </c>
      <c r="W564" t="s">
        <v>32</v>
      </c>
      <c r="X564" t="s">
        <v>32</v>
      </c>
      <c r="Y564" t="s">
        <v>32</v>
      </c>
      <c r="AA564" t="s">
        <v>88</v>
      </c>
      <c r="AB564" t="s">
        <v>32</v>
      </c>
      <c r="AE564" t="s">
        <v>32</v>
      </c>
      <c r="AH564" t="s">
        <v>32</v>
      </c>
      <c r="AK564" t="s">
        <v>32</v>
      </c>
      <c r="AN564" t="s">
        <v>32</v>
      </c>
      <c r="AO564" t="s">
        <v>32</v>
      </c>
      <c r="AR564">
        <v>0</v>
      </c>
      <c r="AU564" t="s">
        <v>32</v>
      </c>
      <c r="AV564">
        <v>2223339</v>
      </c>
      <c r="AW564" t="s">
        <v>32</v>
      </c>
      <c r="AX564" t="s">
        <v>32</v>
      </c>
      <c r="AY564" t="s">
        <v>137</v>
      </c>
      <c r="AZ564">
        <v>19</v>
      </c>
      <c r="BA564">
        <v>2616953</v>
      </c>
      <c r="BB564">
        <v>0.16</v>
      </c>
      <c r="BC564">
        <v>418800</v>
      </c>
      <c r="BD564" t="s">
        <v>142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418800</v>
      </c>
      <c r="BK564" t="s">
        <v>25</v>
      </c>
      <c r="BL564" t="s">
        <v>885</v>
      </c>
      <c r="BM564">
        <v>19</v>
      </c>
      <c r="BN564">
        <v>2616953</v>
      </c>
      <c r="BO564">
        <v>0.04</v>
      </c>
      <c r="BP564">
        <v>104700</v>
      </c>
      <c r="BQ564">
        <v>0</v>
      </c>
      <c r="BR564" t="s">
        <v>1438</v>
      </c>
      <c r="BS564">
        <v>0</v>
      </c>
      <c r="BT564" t="s">
        <v>1438</v>
      </c>
      <c r="BU564">
        <v>0</v>
      </c>
      <c r="BV564" t="s">
        <v>25</v>
      </c>
      <c r="BW564" t="s">
        <v>189</v>
      </c>
      <c r="BX564">
        <v>19</v>
      </c>
      <c r="BY564">
        <v>2616953</v>
      </c>
      <c r="BZ564">
        <v>6.9599999999999995E-2</v>
      </c>
      <c r="CA564" t="s">
        <v>1439</v>
      </c>
      <c r="CB564" t="s">
        <v>227</v>
      </c>
      <c r="CC564" t="s">
        <v>1440</v>
      </c>
      <c r="CD564">
        <v>182200</v>
      </c>
      <c r="CE564">
        <v>19</v>
      </c>
      <c r="CF564" t="s">
        <v>635</v>
      </c>
      <c r="CG564">
        <v>2813686</v>
      </c>
      <c r="CH564">
        <v>0.04</v>
      </c>
      <c r="CI564">
        <v>112600</v>
      </c>
      <c r="CJ564">
        <v>2813686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 t="s">
        <v>88</v>
      </c>
      <c r="CT564" t="s">
        <v>1441</v>
      </c>
      <c r="CU564" t="s">
        <v>1442</v>
      </c>
    </row>
    <row r="565" spans="1:99">
      <c r="A565" t="s">
        <v>1431</v>
      </c>
      <c r="B565" t="s">
        <v>34</v>
      </c>
      <c r="C565" t="s">
        <v>2875</v>
      </c>
      <c r="D565" t="s">
        <v>2876</v>
      </c>
      <c r="E565" t="s">
        <v>1517</v>
      </c>
      <c r="F565" t="s">
        <v>2250</v>
      </c>
      <c r="G565" t="s">
        <v>1859</v>
      </c>
      <c r="H565" t="s">
        <v>2046</v>
      </c>
      <c r="I565" t="s">
        <v>240</v>
      </c>
      <c r="J565" t="s">
        <v>46</v>
      </c>
      <c r="K565" t="s">
        <v>29</v>
      </c>
      <c r="L565" t="s">
        <v>30</v>
      </c>
      <c r="M565">
        <v>188</v>
      </c>
      <c r="N565" t="s">
        <v>32</v>
      </c>
      <c r="O565" t="s">
        <v>32</v>
      </c>
      <c r="Q565" t="s">
        <v>32</v>
      </c>
      <c r="S565" t="s">
        <v>32</v>
      </c>
      <c r="U565" t="s">
        <v>32</v>
      </c>
      <c r="V565" t="s">
        <v>32</v>
      </c>
      <c r="W565" t="s">
        <v>32</v>
      </c>
      <c r="X565" t="s">
        <v>32</v>
      </c>
      <c r="Y565" t="s">
        <v>88</v>
      </c>
      <c r="Z565">
        <v>46054</v>
      </c>
      <c r="AA565" t="s">
        <v>32</v>
      </c>
      <c r="AB565" t="s">
        <v>32</v>
      </c>
      <c r="AE565" t="s">
        <v>32</v>
      </c>
      <c r="AH565" t="s">
        <v>32</v>
      </c>
      <c r="AK565" t="s">
        <v>32</v>
      </c>
      <c r="AN565" t="s">
        <v>32</v>
      </c>
      <c r="AO565" t="s">
        <v>32</v>
      </c>
      <c r="AR565">
        <v>0</v>
      </c>
      <c r="AU565" t="s">
        <v>32</v>
      </c>
      <c r="AV565">
        <v>8352209</v>
      </c>
      <c r="AW565" t="s">
        <v>32</v>
      </c>
      <c r="AX565" t="s">
        <v>32</v>
      </c>
      <c r="AY565" t="s">
        <v>137</v>
      </c>
      <c r="AZ565">
        <v>30</v>
      </c>
      <c r="BA565">
        <v>16487612</v>
      </c>
      <c r="BB565">
        <v>0.16</v>
      </c>
      <c r="BC565">
        <v>2638100</v>
      </c>
      <c r="BD565" t="s">
        <v>142</v>
      </c>
      <c r="BE565">
        <v>0</v>
      </c>
      <c r="BF565">
        <v>0</v>
      </c>
      <c r="BG565">
        <v>82500</v>
      </c>
      <c r="BH565">
        <v>82500</v>
      </c>
      <c r="BI565">
        <v>0</v>
      </c>
      <c r="BJ565">
        <v>2803100</v>
      </c>
      <c r="BK565" t="s">
        <v>25</v>
      </c>
      <c r="BL565" t="s">
        <v>1071</v>
      </c>
      <c r="BM565">
        <v>30</v>
      </c>
      <c r="BN565">
        <v>16487612</v>
      </c>
      <c r="BO565">
        <v>0.125</v>
      </c>
      <c r="BP565">
        <v>2061000</v>
      </c>
      <c r="BQ565">
        <v>0</v>
      </c>
      <c r="BR565" t="s">
        <v>1438</v>
      </c>
      <c r="BS565">
        <v>0</v>
      </c>
      <c r="BT565" t="s">
        <v>1438</v>
      </c>
      <c r="BU565">
        <v>0</v>
      </c>
      <c r="BV565" t="s">
        <v>25</v>
      </c>
      <c r="BW565" t="s">
        <v>189</v>
      </c>
      <c r="BX565">
        <v>30</v>
      </c>
      <c r="BY565">
        <v>16487612</v>
      </c>
      <c r="BZ565">
        <v>5.2199999999999998E-3</v>
      </c>
      <c r="CA565" t="s">
        <v>1592</v>
      </c>
      <c r="CB565" t="s">
        <v>227</v>
      </c>
      <c r="CC565" t="s">
        <v>1593</v>
      </c>
      <c r="CD565">
        <v>86100</v>
      </c>
      <c r="CE565">
        <v>30</v>
      </c>
      <c r="CF565" t="s">
        <v>635</v>
      </c>
      <c r="CG565">
        <v>8352209</v>
      </c>
      <c r="CH565">
        <v>0.04</v>
      </c>
      <c r="CI565">
        <v>334100</v>
      </c>
      <c r="CJ565">
        <v>8352209</v>
      </c>
      <c r="CK565">
        <v>0.02</v>
      </c>
      <c r="CL565">
        <v>167100</v>
      </c>
      <c r="CM565">
        <v>0.03</v>
      </c>
      <c r="CN565">
        <v>250600</v>
      </c>
      <c r="CO565">
        <v>0</v>
      </c>
      <c r="CP565">
        <v>0</v>
      </c>
      <c r="CQ565">
        <v>0</v>
      </c>
      <c r="CR565">
        <v>0</v>
      </c>
      <c r="CS565" t="s">
        <v>88</v>
      </c>
      <c r="CT565" t="s">
        <v>1441</v>
      </c>
      <c r="CU565" t="s">
        <v>1442</v>
      </c>
    </row>
    <row r="566" spans="1:99">
      <c r="A566" t="s">
        <v>1431</v>
      </c>
      <c r="B566" t="s">
        <v>34</v>
      </c>
      <c r="C566" t="s">
        <v>2877</v>
      </c>
      <c r="D566" t="s">
        <v>2878</v>
      </c>
      <c r="E566" t="s">
        <v>2879</v>
      </c>
      <c r="F566" t="s">
        <v>647</v>
      </c>
      <c r="G566" t="s">
        <v>1532</v>
      </c>
      <c r="H566" t="s">
        <v>2355</v>
      </c>
      <c r="I566" t="s">
        <v>240</v>
      </c>
      <c r="J566" t="s">
        <v>46</v>
      </c>
      <c r="K566" t="s">
        <v>29</v>
      </c>
      <c r="L566" t="s">
        <v>30</v>
      </c>
      <c r="M566">
        <v>252</v>
      </c>
      <c r="N566" t="s">
        <v>32</v>
      </c>
      <c r="O566" t="s">
        <v>32</v>
      </c>
      <c r="Q566" t="s">
        <v>32</v>
      </c>
      <c r="S566" t="s">
        <v>32</v>
      </c>
      <c r="U566" t="s">
        <v>32</v>
      </c>
      <c r="V566" t="s">
        <v>32</v>
      </c>
      <c r="W566" t="s">
        <v>32</v>
      </c>
      <c r="X566" t="s">
        <v>32</v>
      </c>
      <c r="Y566" t="s">
        <v>32</v>
      </c>
      <c r="AA566" t="s">
        <v>88</v>
      </c>
      <c r="AB566" t="s">
        <v>32</v>
      </c>
      <c r="AE566" t="s">
        <v>32</v>
      </c>
      <c r="AH566" t="s">
        <v>32</v>
      </c>
      <c r="AK566" t="s">
        <v>32</v>
      </c>
      <c r="AN566" t="s">
        <v>32</v>
      </c>
      <c r="AO566" t="s">
        <v>32</v>
      </c>
      <c r="AR566">
        <v>0</v>
      </c>
      <c r="AU566" t="s">
        <v>32</v>
      </c>
      <c r="AV566">
        <v>1750905</v>
      </c>
      <c r="AW566" t="s">
        <v>32</v>
      </c>
      <c r="AX566" t="s">
        <v>32</v>
      </c>
      <c r="AY566" t="s">
        <v>137</v>
      </c>
      <c r="AZ566">
        <v>30</v>
      </c>
      <c r="BA566">
        <v>2771406</v>
      </c>
      <c r="BB566">
        <v>0.16</v>
      </c>
      <c r="BC566">
        <v>443500</v>
      </c>
      <c r="BD566" t="s">
        <v>142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443500</v>
      </c>
      <c r="BK566" t="s">
        <v>25</v>
      </c>
      <c r="BL566" t="s">
        <v>635</v>
      </c>
      <c r="BM566">
        <v>30</v>
      </c>
      <c r="BN566">
        <v>2771406</v>
      </c>
      <c r="BO566">
        <v>0.04</v>
      </c>
      <c r="BP566">
        <v>110900</v>
      </c>
      <c r="BQ566">
        <v>0</v>
      </c>
      <c r="BR566" t="s">
        <v>1438</v>
      </c>
      <c r="BS566">
        <v>0</v>
      </c>
      <c r="BT566" t="s">
        <v>1438</v>
      </c>
      <c r="BU566">
        <v>0</v>
      </c>
      <c r="BV566" t="s">
        <v>25</v>
      </c>
      <c r="BW566" t="s">
        <v>189</v>
      </c>
      <c r="BX566">
        <v>30</v>
      </c>
      <c r="BY566">
        <v>2771406</v>
      </c>
      <c r="BZ566">
        <v>6.9599999999999995E-2</v>
      </c>
      <c r="CA566" t="s">
        <v>1439</v>
      </c>
      <c r="CB566" t="s">
        <v>227</v>
      </c>
      <c r="CC566" t="s">
        <v>1440</v>
      </c>
      <c r="CD566">
        <v>192900</v>
      </c>
      <c r="CE566">
        <v>30</v>
      </c>
      <c r="CF566" t="s">
        <v>635</v>
      </c>
      <c r="CG566">
        <v>2771406</v>
      </c>
      <c r="CH566">
        <v>0.04</v>
      </c>
      <c r="CI566">
        <v>110900</v>
      </c>
      <c r="CJ566">
        <v>2771406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 t="s">
        <v>88</v>
      </c>
      <c r="CT566" t="s">
        <v>1441</v>
      </c>
      <c r="CU566" t="s">
        <v>1442</v>
      </c>
    </row>
    <row r="567" spans="1:99">
      <c r="A567" t="s">
        <v>1431</v>
      </c>
      <c r="B567" t="s">
        <v>34</v>
      </c>
      <c r="C567" t="s">
        <v>2880</v>
      </c>
      <c r="D567" t="s">
        <v>2881</v>
      </c>
      <c r="E567" t="s">
        <v>1090</v>
      </c>
      <c r="F567" t="s">
        <v>2882</v>
      </c>
      <c r="G567" t="s">
        <v>2046</v>
      </c>
      <c r="H567" t="s">
        <v>1558</v>
      </c>
      <c r="I567" t="s">
        <v>240</v>
      </c>
      <c r="J567" t="s">
        <v>46</v>
      </c>
      <c r="K567" t="s">
        <v>29</v>
      </c>
      <c r="L567" t="s">
        <v>30</v>
      </c>
      <c r="M567">
        <v>72</v>
      </c>
      <c r="N567" t="s">
        <v>32</v>
      </c>
      <c r="O567" t="s">
        <v>32</v>
      </c>
      <c r="Q567" t="s">
        <v>40</v>
      </c>
      <c r="R567">
        <v>46071</v>
      </c>
      <c r="S567" t="s">
        <v>32</v>
      </c>
      <c r="U567" t="s">
        <v>32</v>
      </c>
      <c r="V567" t="s">
        <v>32</v>
      </c>
      <c r="W567" t="s">
        <v>32</v>
      </c>
      <c r="X567" t="s">
        <v>32</v>
      </c>
      <c r="Y567" t="s">
        <v>32</v>
      </c>
      <c r="AA567" t="s">
        <v>32</v>
      </c>
      <c r="AB567" t="s">
        <v>32</v>
      </c>
      <c r="AE567" t="s">
        <v>32</v>
      </c>
      <c r="AH567" t="s">
        <v>32</v>
      </c>
      <c r="AK567" t="s">
        <v>32</v>
      </c>
      <c r="AN567" t="s">
        <v>32</v>
      </c>
      <c r="AO567" t="s">
        <v>32</v>
      </c>
      <c r="AR567">
        <v>0</v>
      </c>
      <c r="AU567" t="s">
        <v>32</v>
      </c>
      <c r="AV567">
        <v>7262840</v>
      </c>
      <c r="AW567" t="s">
        <v>32</v>
      </c>
      <c r="AX567" t="s">
        <v>88</v>
      </c>
      <c r="AY567" t="s">
        <v>356</v>
      </c>
      <c r="AZ567">
        <v>13</v>
      </c>
      <c r="BA567">
        <v>3147231</v>
      </c>
      <c r="BB567">
        <v>0.16</v>
      </c>
      <c r="BC567">
        <v>503600</v>
      </c>
      <c r="BD567" t="s">
        <v>142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503600</v>
      </c>
      <c r="BK567" t="s">
        <v>25</v>
      </c>
      <c r="BL567" t="s">
        <v>1071</v>
      </c>
      <c r="BM567">
        <v>13</v>
      </c>
      <c r="BN567">
        <v>3147231</v>
      </c>
      <c r="BO567">
        <v>0.04</v>
      </c>
      <c r="BP567">
        <v>125900</v>
      </c>
      <c r="BQ567">
        <v>0</v>
      </c>
      <c r="BR567" t="s">
        <v>1438</v>
      </c>
      <c r="BS567">
        <v>0</v>
      </c>
      <c r="BT567" t="s">
        <v>1438</v>
      </c>
      <c r="BU567">
        <v>0</v>
      </c>
      <c r="BV567" t="s">
        <v>25</v>
      </c>
      <c r="BW567" t="s">
        <v>189</v>
      </c>
      <c r="BX567">
        <v>13</v>
      </c>
      <c r="BY567">
        <v>3147231</v>
      </c>
      <c r="BZ567">
        <v>6.9599999999999995E-2</v>
      </c>
      <c r="CA567" t="s">
        <v>1439</v>
      </c>
      <c r="CB567" t="s">
        <v>227</v>
      </c>
      <c r="CC567" t="s">
        <v>1440</v>
      </c>
      <c r="CD567">
        <v>219100</v>
      </c>
      <c r="CE567">
        <v>13</v>
      </c>
      <c r="CF567" t="s">
        <v>635</v>
      </c>
      <c r="CG567">
        <v>3147231</v>
      </c>
      <c r="CH567">
        <v>0.04</v>
      </c>
      <c r="CI567">
        <v>125900</v>
      </c>
      <c r="CJ567">
        <v>3147231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 t="s">
        <v>88</v>
      </c>
      <c r="CT567" t="s">
        <v>1441</v>
      </c>
      <c r="CU567" t="s">
        <v>1442</v>
      </c>
    </row>
    <row r="568" spans="1:99">
      <c r="A568" t="s">
        <v>1431</v>
      </c>
      <c r="B568" t="s">
        <v>34</v>
      </c>
      <c r="C568" t="s">
        <v>2883</v>
      </c>
      <c r="D568" t="s">
        <v>2884</v>
      </c>
      <c r="E568" t="s">
        <v>1999</v>
      </c>
      <c r="F568" t="s">
        <v>1587</v>
      </c>
      <c r="G568" t="s">
        <v>2713</v>
      </c>
      <c r="H568" t="s">
        <v>2838</v>
      </c>
      <c r="I568" t="s">
        <v>240</v>
      </c>
      <c r="J568" t="s">
        <v>46</v>
      </c>
      <c r="K568" t="s">
        <v>29</v>
      </c>
      <c r="L568" t="s">
        <v>30</v>
      </c>
      <c r="M568">
        <v>180</v>
      </c>
      <c r="N568" t="s">
        <v>32</v>
      </c>
      <c r="O568" t="s">
        <v>32</v>
      </c>
      <c r="Q568" t="s">
        <v>32</v>
      </c>
      <c r="S568" t="s">
        <v>32</v>
      </c>
      <c r="U568" t="s">
        <v>32</v>
      </c>
      <c r="V568" t="s">
        <v>32</v>
      </c>
      <c r="W568" t="s">
        <v>32</v>
      </c>
      <c r="X568" t="s">
        <v>32</v>
      </c>
      <c r="Y568" t="s">
        <v>88</v>
      </c>
      <c r="Z568">
        <v>46054</v>
      </c>
      <c r="AA568" t="s">
        <v>32</v>
      </c>
      <c r="AB568" t="s">
        <v>32</v>
      </c>
      <c r="AE568" t="s">
        <v>32</v>
      </c>
      <c r="AH568" t="s">
        <v>32</v>
      </c>
      <c r="AK568" t="s">
        <v>32</v>
      </c>
      <c r="AN568" t="s">
        <v>32</v>
      </c>
      <c r="AO568" t="s">
        <v>32</v>
      </c>
      <c r="AR568">
        <v>0</v>
      </c>
      <c r="AU568" t="s">
        <v>32</v>
      </c>
      <c r="AV568">
        <v>4024292</v>
      </c>
      <c r="AW568" t="s">
        <v>32</v>
      </c>
      <c r="AX568" t="s">
        <v>32</v>
      </c>
      <c r="AY568" t="s">
        <v>185</v>
      </c>
      <c r="AZ568">
        <v>30</v>
      </c>
      <c r="BA568">
        <v>4024292</v>
      </c>
      <c r="BB568">
        <v>0.16</v>
      </c>
      <c r="BC568">
        <v>643900</v>
      </c>
      <c r="BD568" t="s">
        <v>142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643900</v>
      </c>
      <c r="BK568" t="s">
        <v>25</v>
      </c>
      <c r="BL568" t="s">
        <v>635</v>
      </c>
      <c r="BM568">
        <v>30</v>
      </c>
      <c r="BN568">
        <v>4024292</v>
      </c>
      <c r="BO568">
        <v>0.04</v>
      </c>
      <c r="BP568">
        <v>161000</v>
      </c>
      <c r="BQ568">
        <v>0</v>
      </c>
      <c r="BR568" t="s">
        <v>1438</v>
      </c>
      <c r="BS568">
        <v>0</v>
      </c>
      <c r="BT568" t="s">
        <v>1438</v>
      </c>
      <c r="BU568">
        <v>0</v>
      </c>
      <c r="BV568" t="s">
        <v>25</v>
      </c>
      <c r="BW568" t="s">
        <v>189</v>
      </c>
      <c r="BX568">
        <v>30</v>
      </c>
      <c r="BY568">
        <v>4024292</v>
      </c>
      <c r="BZ568">
        <v>6.9599999999999995E-2</v>
      </c>
      <c r="CA568" t="s">
        <v>1439</v>
      </c>
      <c r="CB568" t="s">
        <v>227</v>
      </c>
      <c r="CC568" t="s">
        <v>1440</v>
      </c>
      <c r="CD568">
        <v>280100</v>
      </c>
      <c r="CE568">
        <v>30</v>
      </c>
      <c r="CF568" t="s">
        <v>635</v>
      </c>
      <c r="CG568">
        <v>4024292</v>
      </c>
      <c r="CH568">
        <v>0.04</v>
      </c>
      <c r="CI568">
        <v>161000</v>
      </c>
      <c r="CJ568">
        <v>4024292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 t="s">
        <v>88</v>
      </c>
      <c r="CT568" t="s">
        <v>1441</v>
      </c>
      <c r="CU568" t="s">
        <v>1442</v>
      </c>
    </row>
    <row r="569" spans="1:99">
      <c r="A569" t="s">
        <v>1431</v>
      </c>
      <c r="B569" t="s">
        <v>34</v>
      </c>
      <c r="C569" t="s">
        <v>2885</v>
      </c>
      <c r="D569" t="s">
        <v>2886</v>
      </c>
      <c r="E569" t="s">
        <v>2887</v>
      </c>
      <c r="F569" t="s">
        <v>2081</v>
      </c>
      <c r="G569" t="s">
        <v>2070</v>
      </c>
      <c r="H569" t="s">
        <v>2512</v>
      </c>
      <c r="I569" t="s">
        <v>240</v>
      </c>
      <c r="J569" t="s">
        <v>46</v>
      </c>
      <c r="K569" t="s">
        <v>29</v>
      </c>
      <c r="L569" t="s">
        <v>30</v>
      </c>
      <c r="M569">
        <v>188</v>
      </c>
      <c r="N569" t="s">
        <v>32</v>
      </c>
      <c r="O569" t="s">
        <v>32</v>
      </c>
      <c r="Q569" t="s">
        <v>32</v>
      </c>
      <c r="S569" t="s">
        <v>32</v>
      </c>
      <c r="U569" t="s">
        <v>32</v>
      </c>
      <c r="V569" t="s">
        <v>32</v>
      </c>
      <c r="W569" t="s">
        <v>32</v>
      </c>
      <c r="X569" t="s">
        <v>32</v>
      </c>
      <c r="Y569" t="s">
        <v>88</v>
      </c>
      <c r="Z569">
        <v>46054</v>
      </c>
      <c r="AA569" t="s">
        <v>32</v>
      </c>
      <c r="AB569" t="s">
        <v>32</v>
      </c>
      <c r="AE569" t="s">
        <v>32</v>
      </c>
      <c r="AH569" t="s">
        <v>32</v>
      </c>
      <c r="AK569" t="s">
        <v>32</v>
      </c>
      <c r="AN569" t="s">
        <v>32</v>
      </c>
      <c r="AO569" t="s">
        <v>32</v>
      </c>
      <c r="AR569">
        <v>0</v>
      </c>
      <c r="AU569" t="s">
        <v>32</v>
      </c>
      <c r="AV569">
        <v>5209465</v>
      </c>
      <c r="AW569" t="s">
        <v>32</v>
      </c>
      <c r="AX569" t="s">
        <v>32</v>
      </c>
      <c r="AY569" t="s">
        <v>317</v>
      </c>
      <c r="AZ569">
        <v>30</v>
      </c>
      <c r="BA569">
        <v>5209465</v>
      </c>
      <c r="BB569">
        <v>0.16</v>
      </c>
      <c r="BC569">
        <v>833600</v>
      </c>
      <c r="BD569" t="s">
        <v>142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833600</v>
      </c>
      <c r="BK569" t="s">
        <v>25</v>
      </c>
      <c r="BL569" t="s">
        <v>1071</v>
      </c>
      <c r="BM569">
        <v>30</v>
      </c>
      <c r="BN569">
        <v>5209465</v>
      </c>
      <c r="BO569">
        <v>0.04</v>
      </c>
      <c r="BP569">
        <v>208400</v>
      </c>
      <c r="BQ569">
        <v>0</v>
      </c>
      <c r="BR569" t="s">
        <v>1438</v>
      </c>
      <c r="BS569">
        <v>0</v>
      </c>
      <c r="BT569" t="s">
        <v>1438</v>
      </c>
      <c r="BU569">
        <v>0</v>
      </c>
      <c r="BV569" t="s">
        <v>25</v>
      </c>
      <c r="BW569" t="s">
        <v>189</v>
      </c>
      <c r="BX569">
        <v>30</v>
      </c>
      <c r="BY569">
        <v>5209465</v>
      </c>
      <c r="BZ569">
        <v>5.2199999999999998E-3</v>
      </c>
      <c r="CA569" t="s">
        <v>1592</v>
      </c>
      <c r="CB569" t="s">
        <v>227</v>
      </c>
      <c r="CC569" t="s">
        <v>1593</v>
      </c>
      <c r="CD569">
        <v>27200</v>
      </c>
      <c r="CE569">
        <v>30</v>
      </c>
      <c r="CF569" t="s">
        <v>635</v>
      </c>
      <c r="CG569">
        <v>5209465</v>
      </c>
      <c r="CH569">
        <v>0.04</v>
      </c>
      <c r="CI569">
        <v>208400</v>
      </c>
      <c r="CJ569">
        <v>5209465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 t="s">
        <v>88</v>
      </c>
      <c r="CT569" t="s">
        <v>1441</v>
      </c>
      <c r="CU569" t="s">
        <v>1442</v>
      </c>
    </row>
    <row r="570" spans="1:99">
      <c r="A570" t="s">
        <v>1431</v>
      </c>
      <c r="B570" t="s">
        <v>34</v>
      </c>
      <c r="C570" t="s">
        <v>2888</v>
      </c>
      <c r="D570" t="s">
        <v>2889</v>
      </c>
      <c r="E570" t="s">
        <v>2890</v>
      </c>
      <c r="F570" t="s">
        <v>2891</v>
      </c>
      <c r="G570" t="s">
        <v>2892</v>
      </c>
      <c r="H570" t="s">
        <v>1519</v>
      </c>
      <c r="I570" t="s">
        <v>682</v>
      </c>
      <c r="J570" t="s">
        <v>484</v>
      </c>
      <c r="K570" t="s">
        <v>29</v>
      </c>
      <c r="L570" t="s">
        <v>30</v>
      </c>
      <c r="M570">
        <v>0</v>
      </c>
      <c r="N570" t="s">
        <v>32</v>
      </c>
      <c r="O570" t="s">
        <v>32</v>
      </c>
      <c r="Q570" t="s">
        <v>32</v>
      </c>
      <c r="S570" t="s">
        <v>32</v>
      </c>
      <c r="U570" t="s">
        <v>32</v>
      </c>
      <c r="V570" t="s">
        <v>32</v>
      </c>
      <c r="W570" t="s">
        <v>32</v>
      </c>
      <c r="X570" t="s">
        <v>32</v>
      </c>
      <c r="Y570" t="s">
        <v>32</v>
      </c>
      <c r="AA570" t="s">
        <v>32</v>
      </c>
      <c r="AB570" t="s">
        <v>32</v>
      </c>
      <c r="AE570" t="s">
        <v>32</v>
      </c>
      <c r="AH570" t="s">
        <v>32</v>
      </c>
      <c r="AK570" t="s">
        <v>128</v>
      </c>
      <c r="AL570">
        <v>46054</v>
      </c>
      <c r="AM570">
        <v>46054</v>
      </c>
      <c r="AN570" t="s">
        <v>32</v>
      </c>
      <c r="AO570" t="s">
        <v>32</v>
      </c>
      <c r="AR570">
        <v>0</v>
      </c>
      <c r="AU570" t="s">
        <v>32</v>
      </c>
      <c r="AV570">
        <v>2223339</v>
      </c>
      <c r="AW570" t="s">
        <v>32</v>
      </c>
      <c r="AX570" t="s">
        <v>88</v>
      </c>
      <c r="AY570" t="s">
        <v>317</v>
      </c>
      <c r="AZ570">
        <v>1</v>
      </c>
      <c r="BA570">
        <v>74112</v>
      </c>
      <c r="BB570">
        <v>0.16</v>
      </c>
      <c r="BC570">
        <v>11900</v>
      </c>
      <c r="BD570" t="s">
        <v>142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11900</v>
      </c>
      <c r="BK570" t="s">
        <v>25</v>
      </c>
      <c r="BL570" t="s">
        <v>1010</v>
      </c>
      <c r="BM570">
        <v>1</v>
      </c>
      <c r="BN570">
        <v>74112</v>
      </c>
      <c r="BO570">
        <v>0.04</v>
      </c>
      <c r="BP570">
        <v>3000</v>
      </c>
      <c r="BQ570">
        <v>0</v>
      </c>
      <c r="BR570" t="s">
        <v>1438</v>
      </c>
      <c r="BS570">
        <v>0</v>
      </c>
      <c r="BT570" t="s">
        <v>1438</v>
      </c>
      <c r="BU570">
        <v>0</v>
      </c>
      <c r="BV570" t="s">
        <v>25</v>
      </c>
      <c r="BW570" t="s">
        <v>189</v>
      </c>
      <c r="BX570">
        <v>1</v>
      </c>
      <c r="BY570">
        <v>74112</v>
      </c>
      <c r="BZ570">
        <v>0</v>
      </c>
      <c r="CA570" t="s">
        <v>1439</v>
      </c>
      <c r="CB570" t="s">
        <v>312</v>
      </c>
      <c r="CC570" t="s">
        <v>1440</v>
      </c>
      <c r="CD570">
        <v>0</v>
      </c>
      <c r="CE570">
        <v>1</v>
      </c>
      <c r="CF570" t="s">
        <v>466</v>
      </c>
      <c r="CG570">
        <v>74112</v>
      </c>
      <c r="CH570">
        <v>0.04</v>
      </c>
      <c r="CI570">
        <v>3000</v>
      </c>
      <c r="CJ570">
        <v>74112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 t="s">
        <v>88</v>
      </c>
      <c r="CT570" t="s">
        <v>1441</v>
      </c>
      <c r="CU570" t="s">
        <v>1442</v>
      </c>
    </row>
    <row r="571" spans="1:99">
      <c r="A571" t="s">
        <v>1431</v>
      </c>
      <c r="B571" t="s">
        <v>34</v>
      </c>
      <c r="C571" t="s">
        <v>2888</v>
      </c>
      <c r="D571" t="s">
        <v>2889</v>
      </c>
      <c r="E571" t="s">
        <v>2890</v>
      </c>
      <c r="F571" t="s">
        <v>2891</v>
      </c>
      <c r="G571" t="s">
        <v>2892</v>
      </c>
      <c r="H571" t="s">
        <v>1519</v>
      </c>
      <c r="I571" t="s">
        <v>682</v>
      </c>
      <c r="J571" t="s">
        <v>484</v>
      </c>
      <c r="K571" t="s">
        <v>29</v>
      </c>
      <c r="L571" t="s">
        <v>30</v>
      </c>
      <c r="M571">
        <v>0</v>
      </c>
      <c r="N571" t="s">
        <v>32</v>
      </c>
      <c r="O571" t="s">
        <v>32</v>
      </c>
      <c r="Q571" t="s">
        <v>32</v>
      </c>
      <c r="S571" t="s">
        <v>32</v>
      </c>
      <c r="U571" t="s">
        <v>32</v>
      </c>
      <c r="V571" t="s">
        <v>32</v>
      </c>
      <c r="W571" t="s">
        <v>32</v>
      </c>
      <c r="X571" t="s">
        <v>32</v>
      </c>
      <c r="Y571" t="s">
        <v>32</v>
      </c>
      <c r="AA571" t="s">
        <v>32</v>
      </c>
      <c r="AB571" t="s">
        <v>32</v>
      </c>
      <c r="AE571" t="s">
        <v>1492</v>
      </c>
      <c r="AF571">
        <v>46056</v>
      </c>
      <c r="AG571">
        <v>46056</v>
      </c>
      <c r="AH571" t="s">
        <v>32</v>
      </c>
      <c r="AK571" t="s">
        <v>32</v>
      </c>
      <c r="AN571" t="s">
        <v>32</v>
      </c>
      <c r="AO571" t="s">
        <v>32</v>
      </c>
      <c r="AR571">
        <v>0</v>
      </c>
      <c r="AU571" t="s">
        <v>32</v>
      </c>
      <c r="AV571">
        <v>2223339</v>
      </c>
      <c r="AW571" t="s">
        <v>32</v>
      </c>
      <c r="AX571" t="s">
        <v>88</v>
      </c>
      <c r="AY571" t="s">
        <v>317</v>
      </c>
      <c r="AZ571">
        <v>1</v>
      </c>
      <c r="BA571">
        <v>87005</v>
      </c>
      <c r="BB571">
        <v>0.16</v>
      </c>
      <c r="BC571">
        <v>14000</v>
      </c>
      <c r="BD571" t="s">
        <v>142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14000</v>
      </c>
      <c r="BK571" t="s">
        <v>25</v>
      </c>
      <c r="BL571" t="s">
        <v>1010</v>
      </c>
      <c r="BM571">
        <v>1</v>
      </c>
      <c r="BN571">
        <v>87005</v>
      </c>
      <c r="BO571">
        <v>0.04</v>
      </c>
      <c r="BP571">
        <v>3500</v>
      </c>
      <c r="BQ571">
        <v>0</v>
      </c>
      <c r="BR571" t="s">
        <v>1438</v>
      </c>
      <c r="BS571">
        <v>0</v>
      </c>
      <c r="BT571" t="s">
        <v>1438</v>
      </c>
      <c r="BU571">
        <v>0</v>
      </c>
      <c r="BV571" t="s">
        <v>25</v>
      </c>
      <c r="BW571" t="s">
        <v>189</v>
      </c>
      <c r="BX571">
        <v>1</v>
      </c>
      <c r="BY571">
        <v>87005</v>
      </c>
      <c r="BZ571">
        <v>0</v>
      </c>
      <c r="CA571" t="s">
        <v>1439</v>
      </c>
      <c r="CB571" t="s">
        <v>312</v>
      </c>
      <c r="CC571" t="s">
        <v>1440</v>
      </c>
      <c r="CD571">
        <v>0</v>
      </c>
      <c r="CE571">
        <v>1</v>
      </c>
      <c r="CF571" t="s">
        <v>466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 t="s">
        <v>88</v>
      </c>
      <c r="CT571" t="s">
        <v>1441</v>
      </c>
      <c r="CU571" t="s">
        <v>1442</v>
      </c>
    </row>
    <row r="572" spans="1:99">
      <c r="A572" t="s">
        <v>1431</v>
      </c>
      <c r="B572" t="s">
        <v>34</v>
      </c>
      <c r="C572" t="s">
        <v>2888</v>
      </c>
      <c r="D572" t="s">
        <v>2889</v>
      </c>
      <c r="E572" t="s">
        <v>2890</v>
      </c>
      <c r="F572" t="s">
        <v>2891</v>
      </c>
      <c r="G572" t="s">
        <v>2892</v>
      </c>
      <c r="H572" t="s">
        <v>1519</v>
      </c>
      <c r="I572" t="s">
        <v>682</v>
      </c>
      <c r="J572" t="s">
        <v>484</v>
      </c>
      <c r="K572" t="s">
        <v>29</v>
      </c>
      <c r="L572" t="s">
        <v>30</v>
      </c>
      <c r="M572">
        <v>0</v>
      </c>
      <c r="N572" t="s">
        <v>32</v>
      </c>
      <c r="O572" t="s">
        <v>32</v>
      </c>
      <c r="Q572" t="s">
        <v>32</v>
      </c>
      <c r="S572" t="s">
        <v>32</v>
      </c>
      <c r="U572" t="s">
        <v>32</v>
      </c>
      <c r="V572" t="s">
        <v>32</v>
      </c>
      <c r="W572" t="s">
        <v>32</v>
      </c>
      <c r="X572" t="s">
        <v>32</v>
      </c>
      <c r="Y572" t="s">
        <v>32</v>
      </c>
      <c r="AA572" t="s">
        <v>32</v>
      </c>
      <c r="AB572" t="s">
        <v>37</v>
      </c>
      <c r="AC572">
        <v>46069</v>
      </c>
      <c r="AD572">
        <v>46069</v>
      </c>
      <c r="AE572" t="s">
        <v>32</v>
      </c>
      <c r="AH572" t="s">
        <v>32</v>
      </c>
      <c r="AK572" t="s">
        <v>32</v>
      </c>
      <c r="AN572" t="s">
        <v>32</v>
      </c>
      <c r="AO572" t="s">
        <v>32</v>
      </c>
      <c r="AR572">
        <v>0</v>
      </c>
      <c r="AU572" t="s">
        <v>32</v>
      </c>
      <c r="AV572">
        <v>2223339</v>
      </c>
      <c r="AW572" t="s">
        <v>32</v>
      </c>
      <c r="AX572" t="s">
        <v>88</v>
      </c>
      <c r="AY572" t="s">
        <v>317</v>
      </c>
      <c r="AZ572">
        <v>1</v>
      </c>
      <c r="BA572">
        <v>74112</v>
      </c>
      <c r="BB572">
        <v>0.16</v>
      </c>
      <c r="BC572">
        <v>11900</v>
      </c>
      <c r="BD572" t="s">
        <v>142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11900</v>
      </c>
      <c r="BK572" t="s">
        <v>25</v>
      </c>
      <c r="BL572" t="s">
        <v>1010</v>
      </c>
      <c r="BM572">
        <v>1</v>
      </c>
      <c r="BN572">
        <v>74112</v>
      </c>
      <c r="BO572">
        <v>0</v>
      </c>
      <c r="BP572">
        <v>0</v>
      </c>
      <c r="BQ572">
        <v>0</v>
      </c>
      <c r="BR572" t="s">
        <v>1438</v>
      </c>
      <c r="BS572">
        <v>0</v>
      </c>
      <c r="BT572" t="s">
        <v>1438</v>
      </c>
      <c r="BU572">
        <v>0</v>
      </c>
      <c r="BV572" t="s">
        <v>25</v>
      </c>
      <c r="BW572" t="s">
        <v>189</v>
      </c>
      <c r="BX572">
        <v>1</v>
      </c>
      <c r="BY572">
        <v>74112</v>
      </c>
      <c r="BZ572">
        <v>0</v>
      </c>
      <c r="CA572" t="s">
        <v>1439</v>
      </c>
      <c r="CB572" t="s">
        <v>312</v>
      </c>
      <c r="CC572" t="s">
        <v>1440</v>
      </c>
      <c r="CD572">
        <v>0</v>
      </c>
      <c r="CE572">
        <v>1</v>
      </c>
      <c r="CF572" t="s">
        <v>466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 t="s">
        <v>88</v>
      </c>
      <c r="CT572" t="s">
        <v>1441</v>
      </c>
      <c r="CU572" t="s">
        <v>1442</v>
      </c>
    </row>
    <row r="573" spans="1:99">
      <c r="A573" t="s">
        <v>1431</v>
      </c>
      <c r="B573" t="s">
        <v>34</v>
      </c>
      <c r="C573" t="s">
        <v>2888</v>
      </c>
      <c r="D573" t="s">
        <v>2889</v>
      </c>
      <c r="E573" t="s">
        <v>2890</v>
      </c>
      <c r="F573" t="s">
        <v>2891</v>
      </c>
      <c r="G573" t="s">
        <v>2892</v>
      </c>
      <c r="H573" t="s">
        <v>1519</v>
      </c>
      <c r="I573" t="s">
        <v>682</v>
      </c>
      <c r="J573" t="s">
        <v>484</v>
      </c>
      <c r="K573" t="s">
        <v>29</v>
      </c>
      <c r="L573" t="s">
        <v>30</v>
      </c>
      <c r="M573">
        <v>0</v>
      </c>
      <c r="N573" t="s">
        <v>32</v>
      </c>
      <c r="O573" t="s">
        <v>32</v>
      </c>
      <c r="Q573" t="s">
        <v>32</v>
      </c>
      <c r="S573" t="s">
        <v>32</v>
      </c>
      <c r="U573" t="s">
        <v>32</v>
      </c>
      <c r="V573" t="s">
        <v>32</v>
      </c>
      <c r="W573" t="s">
        <v>32</v>
      </c>
      <c r="X573" t="s">
        <v>32</v>
      </c>
      <c r="Y573" t="s">
        <v>32</v>
      </c>
      <c r="AA573" t="s">
        <v>32</v>
      </c>
      <c r="AB573" t="s">
        <v>32</v>
      </c>
      <c r="AE573" t="s">
        <v>32</v>
      </c>
      <c r="AH573" t="s">
        <v>32</v>
      </c>
      <c r="AK573" t="s">
        <v>128</v>
      </c>
      <c r="AL573">
        <v>46076</v>
      </c>
      <c r="AM573">
        <v>46080</v>
      </c>
      <c r="AN573" t="s">
        <v>32</v>
      </c>
      <c r="AO573" t="s">
        <v>32</v>
      </c>
      <c r="AR573">
        <v>0</v>
      </c>
      <c r="AU573" t="s">
        <v>32</v>
      </c>
      <c r="AV573">
        <v>2223339</v>
      </c>
      <c r="AW573" t="s">
        <v>32</v>
      </c>
      <c r="AX573" t="s">
        <v>88</v>
      </c>
      <c r="AY573" t="s">
        <v>317</v>
      </c>
      <c r="AZ573">
        <v>5</v>
      </c>
      <c r="BA573">
        <v>370557</v>
      </c>
      <c r="BB573">
        <v>0.16</v>
      </c>
      <c r="BC573">
        <v>59300</v>
      </c>
      <c r="BD573" t="s">
        <v>142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59300</v>
      </c>
      <c r="BK573" t="s">
        <v>25</v>
      </c>
      <c r="BL573" t="s">
        <v>1010</v>
      </c>
      <c r="BM573">
        <v>5</v>
      </c>
      <c r="BN573">
        <v>370557</v>
      </c>
      <c r="BO573">
        <v>0.04</v>
      </c>
      <c r="BP573">
        <v>14900</v>
      </c>
      <c r="BQ573">
        <v>0</v>
      </c>
      <c r="BR573" t="s">
        <v>1438</v>
      </c>
      <c r="BS573">
        <v>0</v>
      </c>
      <c r="BT573" t="s">
        <v>1438</v>
      </c>
      <c r="BU573">
        <v>0</v>
      </c>
      <c r="BV573" t="s">
        <v>25</v>
      </c>
      <c r="BW573" t="s">
        <v>189</v>
      </c>
      <c r="BX573">
        <v>5</v>
      </c>
      <c r="BY573">
        <v>370557</v>
      </c>
      <c r="BZ573">
        <v>0</v>
      </c>
      <c r="CA573" t="s">
        <v>1439</v>
      </c>
      <c r="CB573" t="s">
        <v>312</v>
      </c>
      <c r="CC573" t="s">
        <v>1440</v>
      </c>
      <c r="CD573">
        <v>0</v>
      </c>
      <c r="CE573">
        <v>5</v>
      </c>
      <c r="CF573" t="s">
        <v>466</v>
      </c>
      <c r="CG573">
        <v>370557</v>
      </c>
      <c r="CH573">
        <v>0.04</v>
      </c>
      <c r="CI573">
        <v>14900</v>
      </c>
      <c r="CJ573">
        <v>370557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 t="s">
        <v>88</v>
      </c>
      <c r="CT573" t="s">
        <v>1441</v>
      </c>
      <c r="CU573" t="s">
        <v>1442</v>
      </c>
    </row>
    <row r="574" spans="1:99">
      <c r="A574" t="s">
        <v>1431</v>
      </c>
      <c r="B574" t="s">
        <v>34</v>
      </c>
      <c r="C574" t="s">
        <v>2888</v>
      </c>
      <c r="D574" t="s">
        <v>2889</v>
      </c>
      <c r="E574" t="s">
        <v>2890</v>
      </c>
      <c r="F574" t="s">
        <v>2891</v>
      </c>
      <c r="G574" t="s">
        <v>2892</v>
      </c>
      <c r="H574" t="s">
        <v>1519</v>
      </c>
      <c r="I574" t="s">
        <v>682</v>
      </c>
      <c r="J574" t="s">
        <v>484</v>
      </c>
      <c r="K574" t="s">
        <v>29</v>
      </c>
      <c r="L574" t="s">
        <v>30</v>
      </c>
      <c r="M574">
        <v>145</v>
      </c>
      <c r="N574" t="s">
        <v>32</v>
      </c>
      <c r="O574" t="s">
        <v>32</v>
      </c>
      <c r="Q574" t="s">
        <v>32</v>
      </c>
      <c r="S574" t="s">
        <v>40</v>
      </c>
      <c r="T574">
        <v>46081</v>
      </c>
      <c r="U574" t="s">
        <v>32</v>
      </c>
      <c r="V574" t="s">
        <v>32</v>
      </c>
      <c r="W574" t="s">
        <v>32</v>
      </c>
      <c r="X574" t="s">
        <v>32</v>
      </c>
      <c r="Y574" t="s">
        <v>32</v>
      </c>
      <c r="AA574" t="s">
        <v>88</v>
      </c>
      <c r="AB574" t="s">
        <v>32</v>
      </c>
      <c r="AE574" t="s">
        <v>32</v>
      </c>
      <c r="AH574" t="s">
        <v>32</v>
      </c>
      <c r="AK574" t="s">
        <v>32</v>
      </c>
      <c r="AN574" t="s">
        <v>32</v>
      </c>
      <c r="AO574" t="s">
        <v>32</v>
      </c>
      <c r="AR574">
        <v>0</v>
      </c>
      <c r="AU574" t="s">
        <v>32</v>
      </c>
      <c r="AV574">
        <v>2223339</v>
      </c>
      <c r="AW574" t="s">
        <v>32</v>
      </c>
      <c r="AX574" t="s">
        <v>88</v>
      </c>
      <c r="AY574" t="s">
        <v>317</v>
      </c>
      <c r="AZ574">
        <v>22</v>
      </c>
      <c r="BA574">
        <v>3548197</v>
      </c>
      <c r="BB574">
        <v>0.16</v>
      </c>
      <c r="BC574">
        <v>567800</v>
      </c>
      <c r="BD574" t="s">
        <v>142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567800</v>
      </c>
      <c r="BK574" t="s">
        <v>25</v>
      </c>
      <c r="BL574" t="s">
        <v>1010</v>
      </c>
      <c r="BM574">
        <v>22</v>
      </c>
      <c r="BN574">
        <v>3548197</v>
      </c>
      <c r="BO574">
        <v>0.04</v>
      </c>
      <c r="BP574">
        <v>142000</v>
      </c>
      <c r="BQ574">
        <v>0</v>
      </c>
      <c r="BR574" t="s">
        <v>1438</v>
      </c>
      <c r="BS574">
        <v>0</v>
      </c>
      <c r="BT574" t="s">
        <v>1438</v>
      </c>
      <c r="BU574">
        <v>0</v>
      </c>
      <c r="BV574" t="s">
        <v>25</v>
      </c>
      <c r="BW574" t="s">
        <v>189</v>
      </c>
      <c r="BX574">
        <v>22</v>
      </c>
      <c r="BY574">
        <v>3548197</v>
      </c>
      <c r="BZ574">
        <v>6.9599999999999995E-2</v>
      </c>
      <c r="CA574" t="s">
        <v>1439</v>
      </c>
      <c r="CB574" t="s">
        <v>312</v>
      </c>
      <c r="CC574" t="s">
        <v>1440</v>
      </c>
      <c r="CD574">
        <v>247000</v>
      </c>
      <c r="CE574">
        <v>22</v>
      </c>
      <c r="CF574" t="s">
        <v>466</v>
      </c>
      <c r="CG574">
        <v>5256886</v>
      </c>
      <c r="CH574">
        <v>0.04</v>
      </c>
      <c r="CI574">
        <v>210300</v>
      </c>
      <c r="CJ574">
        <v>5256886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 t="s">
        <v>88</v>
      </c>
      <c r="CT574" t="s">
        <v>1441</v>
      </c>
      <c r="CU574" t="s">
        <v>1442</v>
      </c>
    </row>
    <row r="575" spans="1:99">
      <c r="A575" t="s">
        <v>1431</v>
      </c>
      <c r="B575" t="s">
        <v>34</v>
      </c>
      <c r="C575" t="s">
        <v>2893</v>
      </c>
      <c r="D575" t="s">
        <v>2894</v>
      </c>
      <c r="E575" t="s">
        <v>2895</v>
      </c>
      <c r="F575" t="s">
        <v>1506</v>
      </c>
      <c r="G575" t="s">
        <v>1798</v>
      </c>
      <c r="H575" t="s">
        <v>1558</v>
      </c>
      <c r="I575" t="s">
        <v>240</v>
      </c>
      <c r="J575" t="s">
        <v>46</v>
      </c>
      <c r="K575" t="s">
        <v>29</v>
      </c>
      <c r="L575" t="s">
        <v>30</v>
      </c>
      <c r="M575">
        <v>218</v>
      </c>
      <c r="N575" t="s">
        <v>32</v>
      </c>
      <c r="O575" t="s">
        <v>32</v>
      </c>
      <c r="Q575" t="s">
        <v>32</v>
      </c>
      <c r="S575" t="s">
        <v>32</v>
      </c>
      <c r="U575" t="s">
        <v>32</v>
      </c>
      <c r="V575" t="s">
        <v>32</v>
      </c>
      <c r="W575" t="s">
        <v>32</v>
      </c>
      <c r="X575" t="s">
        <v>32</v>
      </c>
      <c r="Y575" t="s">
        <v>32</v>
      </c>
      <c r="AA575" t="s">
        <v>88</v>
      </c>
      <c r="AB575" t="s">
        <v>32</v>
      </c>
      <c r="AE575" t="s">
        <v>32</v>
      </c>
      <c r="AH575" t="s">
        <v>32</v>
      </c>
      <c r="AK575" t="s">
        <v>32</v>
      </c>
      <c r="AN575" t="s">
        <v>32</v>
      </c>
      <c r="AO575" t="s">
        <v>32</v>
      </c>
      <c r="AR575">
        <v>0</v>
      </c>
      <c r="AU575" t="s">
        <v>32</v>
      </c>
      <c r="AV575">
        <v>2074908</v>
      </c>
      <c r="AW575" t="s">
        <v>32</v>
      </c>
      <c r="AX575" t="s">
        <v>32</v>
      </c>
      <c r="AY575" t="s">
        <v>317</v>
      </c>
      <c r="AZ575">
        <v>30</v>
      </c>
      <c r="BA575">
        <v>3335771</v>
      </c>
      <c r="BB575">
        <v>0.16</v>
      </c>
      <c r="BC575">
        <v>533800</v>
      </c>
      <c r="BD575" t="s">
        <v>142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533800</v>
      </c>
      <c r="BK575" t="s">
        <v>25</v>
      </c>
      <c r="BL575" t="s">
        <v>1064</v>
      </c>
      <c r="BM575">
        <v>30</v>
      </c>
      <c r="BN575">
        <v>3335771</v>
      </c>
      <c r="BO575">
        <v>0.04</v>
      </c>
      <c r="BP575">
        <v>133500</v>
      </c>
      <c r="BQ575">
        <v>0</v>
      </c>
      <c r="BR575" t="s">
        <v>1438</v>
      </c>
      <c r="BS575">
        <v>0</v>
      </c>
      <c r="BT575" t="s">
        <v>1438</v>
      </c>
      <c r="BU575">
        <v>0</v>
      </c>
      <c r="BV575" t="s">
        <v>25</v>
      </c>
      <c r="BW575" t="s">
        <v>189</v>
      </c>
      <c r="BX575">
        <v>30</v>
      </c>
      <c r="BY575">
        <v>3335771</v>
      </c>
      <c r="BZ575">
        <v>6.9599999999999995E-2</v>
      </c>
      <c r="CA575" t="s">
        <v>1439</v>
      </c>
      <c r="CB575" t="s">
        <v>227</v>
      </c>
      <c r="CC575" t="s">
        <v>1440</v>
      </c>
      <c r="CD575">
        <v>232200</v>
      </c>
      <c r="CE575">
        <v>30</v>
      </c>
      <c r="CF575" t="s">
        <v>635</v>
      </c>
      <c r="CG575">
        <v>2949702</v>
      </c>
      <c r="CH575">
        <v>0.04</v>
      </c>
      <c r="CI575">
        <v>118000</v>
      </c>
      <c r="CJ575">
        <v>2949702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 t="s">
        <v>88</v>
      </c>
      <c r="CT575" t="s">
        <v>1441</v>
      </c>
      <c r="CU575" t="s">
        <v>1442</v>
      </c>
    </row>
    <row r="576" spans="1:99">
      <c r="A576" t="s">
        <v>1431</v>
      </c>
      <c r="B576" t="s">
        <v>34</v>
      </c>
      <c r="C576" t="s">
        <v>2896</v>
      </c>
      <c r="D576" t="s">
        <v>2897</v>
      </c>
      <c r="E576" t="s">
        <v>2898</v>
      </c>
      <c r="F576" t="s">
        <v>2899</v>
      </c>
      <c r="G576" t="s">
        <v>1584</v>
      </c>
      <c r="H576" t="s">
        <v>1598</v>
      </c>
      <c r="I576" t="s">
        <v>682</v>
      </c>
      <c r="J576" t="s">
        <v>484</v>
      </c>
      <c r="K576" t="s">
        <v>29</v>
      </c>
      <c r="L576" t="s">
        <v>30</v>
      </c>
      <c r="M576">
        <v>205</v>
      </c>
      <c r="N576" t="s">
        <v>32</v>
      </c>
      <c r="O576" t="s">
        <v>32</v>
      </c>
      <c r="Q576" t="s">
        <v>32</v>
      </c>
      <c r="S576" t="s">
        <v>32</v>
      </c>
      <c r="U576" t="s">
        <v>32</v>
      </c>
      <c r="V576" t="s">
        <v>32</v>
      </c>
      <c r="W576" t="s">
        <v>32</v>
      </c>
      <c r="X576" t="s">
        <v>32</v>
      </c>
      <c r="Y576" t="s">
        <v>32</v>
      </c>
      <c r="AA576" t="s">
        <v>88</v>
      </c>
      <c r="AB576" t="s">
        <v>32</v>
      </c>
      <c r="AE576" t="s">
        <v>32</v>
      </c>
      <c r="AH576" t="s">
        <v>32</v>
      </c>
      <c r="AK576" t="s">
        <v>32</v>
      </c>
      <c r="AN576" t="s">
        <v>32</v>
      </c>
      <c r="AO576" t="s">
        <v>32</v>
      </c>
      <c r="AR576">
        <v>0</v>
      </c>
      <c r="AU576" t="s">
        <v>32</v>
      </c>
      <c r="AV576">
        <v>2970185</v>
      </c>
      <c r="AW576" t="s">
        <v>32</v>
      </c>
      <c r="AX576" t="s">
        <v>32</v>
      </c>
      <c r="AY576" t="s">
        <v>317</v>
      </c>
      <c r="AZ576">
        <v>30</v>
      </c>
      <c r="BA576">
        <v>3427729</v>
      </c>
      <c r="BB576">
        <v>0.16</v>
      </c>
      <c r="BC576">
        <v>548500</v>
      </c>
      <c r="BD576" t="s">
        <v>142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548500</v>
      </c>
      <c r="BK576" t="s">
        <v>25</v>
      </c>
      <c r="BL576" t="s">
        <v>1064</v>
      </c>
      <c r="BM576">
        <v>30</v>
      </c>
      <c r="BN576">
        <v>3427729</v>
      </c>
      <c r="BO576">
        <v>0.04</v>
      </c>
      <c r="BP576">
        <v>137200</v>
      </c>
      <c r="BQ576">
        <v>0</v>
      </c>
      <c r="BR576" t="s">
        <v>1438</v>
      </c>
      <c r="BS576">
        <v>0</v>
      </c>
      <c r="BT576" t="s">
        <v>1438</v>
      </c>
      <c r="BU576">
        <v>0</v>
      </c>
      <c r="BV576" t="s">
        <v>25</v>
      </c>
      <c r="BW576" t="s">
        <v>189</v>
      </c>
      <c r="BX576">
        <v>30</v>
      </c>
      <c r="BY576">
        <v>3427729</v>
      </c>
      <c r="BZ576">
        <v>6.9599999999999995E-2</v>
      </c>
      <c r="CA576" t="s">
        <v>1439</v>
      </c>
      <c r="CB576" t="s">
        <v>312</v>
      </c>
      <c r="CC576" t="s">
        <v>1440</v>
      </c>
      <c r="CD576">
        <v>238600</v>
      </c>
      <c r="CE576">
        <v>30</v>
      </c>
      <c r="CF576" t="s">
        <v>466</v>
      </c>
      <c r="CG576">
        <v>3427729</v>
      </c>
      <c r="CH576">
        <v>0.04</v>
      </c>
      <c r="CI576">
        <v>137200</v>
      </c>
      <c r="CJ576">
        <v>3427729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 t="s">
        <v>88</v>
      </c>
      <c r="CT576" t="s">
        <v>1441</v>
      </c>
      <c r="CU576" t="s">
        <v>1442</v>
      </c>
    </row>
    <row r="577" spans="1:99">
      <c r="A577" t="s">
        <v>1431</v>
      </c>
      <c r="B577" t="s">
        <v>34</v>
      </c>
      <c r="C577" t="s">
        <v>2900</v>
      </c>
      <c r="D577" t="s">
        <v>2901</v>
      </c>
      <c r="E577" t="s">
        <v>2902</v>
      </c>
      <c r="F577" t="s">
        <v>2903</v>
      </c>
      <c r="G577" t="s">
        <v>2070</v>
      </c>
      <c r="H577" t="s">
        <v>1468</v>
      </c>
      <c r="I577" t="s">
        <v>240</v>
      </c>
      <c r="J577" t="s">
        <v>46</v>
      </c>
      <c r="K577" t="s">
        <v>29</v>
      </c>
      <c r="L577" t="s">
        <v>30</v>
      </c>
      <c r="M577">
        <v>175</v>
      </c>
      <c r="N577" t="s">
        <v>32</v>
      </c>
      <c r="O577" t="s">
        <v>32</v>
      </c>
      <c r="Q577" t="s">
        <v>32</v>
      </c>
      <c r="S577" t="s">
        <v>40</v>
      </c>
      <c r="T577">
        <v>46074</v>
      </c>
      <c r="U577" t="s">
        <v>32</v>
      </c>
      <c r="V577" t="s">
        <v>32</v>
      </c>
      <c r="W577" t="s">
        <v>32</v>
      </c>
      <c r="X577" t="s">
        <v>32</v>
      </c>
      <c r="Y577" t="s">
        <v>32</v>
      </c>
      <c r="AA577" t="s">
        <v>88</v>
      </c>
      <c r="AB577" t="s">
        <v>32</v>
      </c>
      <c r="AE577" t="s">
        <v>32</v>
      </c>
      <c r="AH577" t="s">
        <v>32</v>
      </c>
      <c r="AK577" t="s">
        <v>32</v>
      </c>
      <c r="AN577" t="s">
        <v>32</v>
      </c>
      <c r="AO577" t="s">
        <v>32</v>
      </c>
      <c r="AR577">
        <v>0</v>
      </c>
      <c r="AU577" t="s">
        <v>32</v>
      </c>
      <c r="AV577">
        <v>2223339</v>
      </c>
      <c r="AW577" t="s">
        <v>32</v>
      </c>
      <c r="AX577" t="s">
        <v>32</v>
      </c>
      <c r="AY577" t="s">
        <v>317</v>
      </c>
      <c r="AZ577">
        <v>21</v>
      </c>
      <c r="BA577">
        <v>3062549</v>
      </c>
      <c r="BB577">
        <v>0.16</v>
      </c>
      <c r="BC577">
        <v>490100</v>
      </c>
      <c r="BD577" t="s">
        <v>142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490100</v>
      </c>
      <c r="BK577" t="s">
        <v>25</v>
      </c>
      <c r="BL577" t="s">
        <v>1071</v>
      </c>
      <c r="BM577">
        <v>21</v>
      </c>
      <c r="BN577">
        <v>3062549</v>
      </c>
      <c r="BO577">
        <v>0.04</v>
      </c>
      <c r="BP577">
        <v>122600</v>
      </c>
      <c r="BQ577">
        <v>0</v>
      </c>
      <c r="BR577" t="s">
        <v>1438</v>
      </c>
      <c r="BS577">
        <v>0</v>
      </c>
      <c r="BT577" t="s">
        <v>1438</v>
      </c>
      <c r="BU577">
        <v>0</v>
      </c>
      <c r="BV577" t="s">
        <v>25</v>
      </c>
      <c r="BW577" t="s">
        <v>189</v>
      </c>
      <c r="BX577">
        <v>21</v>
      </c>
      <c r="BY577">
        <v>3062549</v>
      </c>
      <c r="BZ577">
        <v>6.9599999999999995E-2</v>
      </c>
      <c r="CA577" t="s">
        <v>1439</v>
      </c>
      <c r="CB577" t="s">
        <v>227</v>
      </c>
      <c r="CC577" t="s">
        <v>1440</v>
      </c>
      <c r="CD577">
        <v>213200</v>
      </c>
      <c r="CE577">
        <v>21</v>
      </c>
      <c r="CF577" t="s">
        <v>635</v>
      </c>
      <c r="CG577">
        <v>3711045</v>
      </c>
      <c r="CH577">
        <v>0.04</v>
      </c>
      <c r="CI577">
        <v>148500</v>
      </c>
      <c r="CJ577">
        <v>3711045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 t="s">
        <v>88</v>
      </c>
      <c r="CT577" t="s">
        <v>1441</v>
      </c>
      <c r="CU577" t="s">
        <v>1442</v>
      </c>
    </row>
    <row r="578" spans="1:99">
      <c r="A578" t="s">
        <v>1431</v>
      </c>
      <c r="B578" t="s">
        <v>34</v>
      </c>
      <c r="C578" t="s">
        <v>2904</v>
      </c>
      <c r="D578" t="s">
        <v>2905</v>
      </c>
      <c r="E578" t="s">
        <v>1471</v>
      </c>
      <c r="F578" t="s">
        <v>2906</v>
      </c>
      <c r="G578" t="s">
        <v>2907</v>
      </c>
      <c r="H578" t="s">
        <v>2908</v>
      </c>
      <c r="I578" t="s">
        <v>682</v>
      </c>
      <c r="J578" t="s">
        <v>484</v>
      </c>
      <c r="K578" t="s">
        <v>29</v>
      </c>
      <c r="L578" t="s">
        <v>30</v>
      </c>
      <c r="M578">
        <v>0</v>
      </c>
      <c r="N578" t="s">
        <v>32</v>
      </c>
      <c r="O578" t="s">
        <v>32</v>
      </c>
      <c r="Q578" t="s">
        <v>32</v>
      </c>
      <c r="S578" t="s">
        <v>32</v>
      </c>
      <c r="U578" t="s">
        <v>32</v>
      </c>
      <c r="V578" t="s">
        <v>32</v>
      </c>
      <c r="W578" t="s">
        <v>32</v>
      </c>
      <c r="X578" t="s">
        <v>32</v>
      </c>
      <c r="Y578" t="s">
        <v>32</v>
      </c>
      <c r="AA578" t="s">
        <v>32</v>
      </c>
      <c r="AB578" t="s">
        <v>32</v>
      </c>
      <c r="AE578" t="s">
        <v>32</v>
      </c>
      <c r="AH578" t="s">
        <v>32</v>
      </c>
      <c r="AK578" t="s">
        <v>128</v>
      </c>
      <c r="AL578">
        <v>46069</v>
      </c>
      <c r="AM578">
        <v>46073</v>
      </c>
      <c r="AN578" t="s">
        <v>32</v>
      </c>
      <c r="AO578" t="s">
        <v>32</v>
      </c>
      <c r="AR578">
        <v>0</v>
      </c>
      <c r="AU578" t="s">
        <v>32</v>
      </c>
      <c r="AV578">
        <v>2223339</v>
      </c>
      <c r="AW578" t="s">
        <v>32</v>
      </c>
      <c r="AX578" t="s">
        <v>32</v>
      </c>
      <c r="AY578" t="s">
        <v>317</v>
      </c>
      <c r="AZ578">
        <v>5</v>
      </c>
      <c r="BA578">
        <v>370557</v>
      </c>
      <c r="BB578">
        <v>0.16</v>
      </c>
      <c r="BC578">
        <v>59300</v>
      </c>
      <c r="BD578" t="s">
        <v>142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59300</v>
      </c>
      <c r="BK578" t="s">
        <v>25</v>
      </c>
      <c r="BL578" t="s">
        <v>1064</v>
      </c>
      <c r="BM578">
        <v>5</v>
      </c>
      <c r="BN578">
        <v>370557</v>
      </c>
      <c r="BO578">
        <v>0.04</v>
      </c>
      <c r="BP578">
        <v>14900</v>
      </c>
      <c r="BQ578">
        <v>0</v>
      </c>
      <c r="BR578" t="s">
        <v>1438</v>
      </c>
      <c r="BS578">
        <v>0</v>
      </c>
      <c r="BT578" t="s">
        <v>1438</v>
      </c>
      <c r="BU578">
        <v>0</v>
      </c>
      <c r="BV578" t="s">
        <v>25</v>
      </c>
      <c r="BW578" t="s">
        <v>189</v>
      </c>
      <c r="BX578">
        <v>5</v>
      </c>
      <c r="BY578">
        <v>370557</v>
      </c>
      <c r="BZ578">
        <v>0</v>
      </c>
      <c r="CA578" t="s">
        <v>1439</v>
      </c>
      <c r="CB578" t="s">
        <v>312</v>
      </c>
      <c r="CC578" t="s">
        <v>1440</v>
      </c>
      <c r="CD578">
        <v>0</v>
      </c>
      <c r="CE578">
        <v>5</v>
      </c>
      <c r="CF578" t="s">
        <v>466</v>
      </c>
      <c r="CG578">
        <v>370557</v>
      </c>
      <c r="CH578">
        <v>0.04</v>
      </c>
      <c r="CI578">
        <v>14900</v>
      </c>
      <c r="CJ578">
        <v>370557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 t="s">
        <v>88</v>
      </c>
      <c r="CT578" t="s">
        <v>1441</v>
      </c>
      <c r="CU578" t="s">
        <v>1442</v>
      </c>
    </row>
    <row r="579" spans="1:99">
      <c r="A579" t="s">
        <v>1431</v>
      </c>
      <c r="B579" t="s">
        <v>34</v>
      </c>
      <c r="C579" t="s">
        <v>2904</v>
      </c>
      <c r="D579" t="s">
        <v>2905</v>
      </c>
      <c r="E579" t="s">
        <v>1471</v>
      </c>
      <c r="F579" t="s">
        <v>2906</v>
      </c>
      <c r="G579" t="s">
        <v>2907</v>
      </c>
      <c r="H579" t="s">
        <v>2908</v>
      </c>
      <c r="I579" t="s">
        <v>682</v>
      </c>
      <c r="J579" t="s">
        <v>484</v>
      </c>
      <c r="K579" t="s">
        <v>29</v>
      </c>
      <c r="L579" t="s">
        <v>30</v>
      </c>
      <c r="M579">
        <v>152</v>
      </c>
      <c r="N579" t="s">
        <v>32</v>
      </c>
      <c r="O579" t="s">
        <v>32</v>
      </c>
      <c r="Q579" t="s">
        <v>32</v>
      </c>
      <c r="S579" t="s">
        <v>32</v>
      </c>
      <c r="U579" t="s">
        <v>32</v>
      </c>
      <c r="V579" t="s">
        <v>32</v>
      </c>
      <c r="W579" t="s">
        <v>32</v>
      </c>
      <c r="X579" t="s">
        <v>32</v>
      </c>
      <c r="Y579" t="s">
        <v>32</v>
      </c>
      <c r="AA579" t="s">
        <v>88</v>
      </c>
      <c r="AB579" t="s">
        <v>32</v>
      </c>
      <c r="AE579" t="s">
        <v>32</v>
      </c>
      <c r="AH579" t="s">
        <v>32</v>
      </c>
      <c r="AK579" t="s">
        <v>32</v>
      </c>
      <c r="AN579" t="s">
        <v>32</v>
      </c>
      <c r="AO579" t="s">
        <v>32</v>
      </c>
      <c r="AR579">
        <v>0</v>
      </c>
      <c r="AU579" t="s">
        <v>32</v>
      </c>
      <c r="AV579">
        <v>2223339</v>
      </c>
      <c r="AW579" t="s">
        <v>32</v>
      </c>
      <c r="AX579" t="s">
        <v>32</v>
      </c>
      <c r="AY579" t="s">
        <v>317</v>
      </c>
      <c r="AZ579">
        <v>25</v>
      </c>
      <c r="BA579">
        <v>2234402</v>
      </c>
      <c r="BB579">
        <v>0.16</v>
      </c>
      <c r="BC579">
        <v>357600</v>
      </c>
      <c r="BD579" t="s">
        <v>142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357600</v>
      </c>
      <c r="BK579" t="s">
        <v>25</v>
      </c>
      <c r="BL579" t="s">
        <v>1064</v>
      </c>
      <c r="BM579">
        <v>25</v>
      </c>
      <c r="BN579">
        <v>2234402</v>
      </c>
      <c r="BO579">
        <v>0.04</v>
      </c>
      <c r="BP579">
        <v>89400</v>
      </c>
      <c r="BQ579">
        <v>0</v>
      </c>
      <c r="BR579" t="s">
        <v>1438</v>
      </c>
      <c r="BS579">
        <v>0</v>
      </c>
      <c r="BT579" t="s">
        <v>1438</v>
      </c>
      <c r="BU579">
        <v>0</v>
      </c>
      <c r="BV579" t="s">
        <v>25</v>
      </c>
      <c r="BW579" t="s">
        <v>189</v>
      </c>
      <c r="BX579">
        <v>25</v>
      </c>
      <c r="BY579">
        <v>2234402</v>
      </c>
      <c r="BZ579">
        <v>6.9599999999999995E-2</v>
      </c>
      <c r="CA579" t="s">
        <v>1439</v>
      </c>
      <c r="CB579" t="s">
        <v>312</v>
      </c>
      <c r="CC579" t="s">
        <v>1440</v>
      </c>
      <c r="CD579">
        <v>155600</v>
      </c>
      <c r="CE579">
        <v>25</v>
      </c>
      <c r="CF579" t="s">
        <v>466</v>
      </c>
      <c r="CG579">
        <v>2156471</v>
      </c>
      <c r="CH579">
        <v>0.04</v>
      </c>
      <c r="CI579">
        <v>86300</v>
      </c>
      <c r="CJ579">
        <v>2156471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 t="s">
        <v>88</v>
      </c>
      <c r="CT579" t="s">
        <v>1441</v>
      </c>
      <c r="CU579" t="s">
        <v>1442</v>
      </c>
    </row>
    <row r="580" spans="1:99">
      <c r="A580" t="s">
        <v>1431</v>
      </c>
      <c r="B580" t="s">
        <v>34</v>
      </c>
      <c r="C580" t="s">
        <v>2909</v>
      </c>
      <c r="D580" t="s">
        <v>2910</v>
      </c>
      <c r="E580" t="s">
        <v>1853</v>
      </c>
      <c r="F580" t="s">
        <v>2911</v>
      </c>
      <c r="G580" t="s">
        <v>1489</v>
      </c>
      <c r="H580" t="s">
        <v>1479</v>
      </c>
      <c r="I580" t="s">
        <v>240</v>
      </c>
      <c r="J580" t="s">
        <v>46</v>
      </c>
      <c r="K580" t="s">
        <v>29</v>
      </c>
      <c r="L580" t="s">
        <v>30</v>
      </c>
      <c r="M580">
        <v>68</v>
      </c>
      <c r="N580" t="s">
        <v>32</v>
      </c>
      <c r="O580" t="s">
        <v>32</v>
      </c>
      <c r="Q580" t="s">
        <v>32</v>
      </c>
      <c r="S580" t="s">
        <v>40</v>
      </c>
      <c r="T580">
        <v>46060</v>
      </c>
      <c r="U580" t="s">
        <v>32</v>
      </c>
      <c r="V580" t="s">
        <v>32</v>
      </c>
      <c r="W580" t="s">
        <v>32</v>
      </c>
      <c r="X580" t="s">
        <v>32</v>
      </c>
      <c r="Y580" t="s">
        <v>32</v>
      </c>
      <c r="AA580" t="s">
        <v>88</v>
      </c>
      <c r="AB580" t="s">
        <v>32</v>
      </c>
      <c r="AE580" t="s">
        <v>32</v>
      </c>
      <c r="AH580" t="s">
        <v>32</v>
      </c>
      <c r="AK580" t="s">
        <v>32</v>
      </c>
      <c r="AN580" t="s">
        <v>32</v>
      </c>
      <c r="AO580" t="s">
        <v>32</v>
      </c>
      <c r="AR580">
        <v>0</v>
      </c>
      <c r="AU580" t="s">
        <v>32</v>
      </c>
      <c r="AV580">
        <v>2223339</v>
      </c>
      <c r="AW580" t="s">
        <v>32</v>
      </c>
      <c r="AX580" t="s">
        <v>32</v>
      </c>
      <c r="AY580" t="s">
        <v>317</v>
      </c>
      <c r="AZ580">
        <v>7</v>
      </c>
      <c r="BA580">
        <v>1808619</v>
      </c>
      <c r="BB580">
        <v>0.16</v>
      </c>
      <c r="BC580">
        <v>289400</v>
      </c>
      <c r="BD580" t="s">
        <v>142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289400</v>
      </c>
      <c r="BK580" t="s">
        <v>25</v>
      </c>
      <c r="BL580" t="s">
        <v>1010</v>
      </c>
      <c r="BM580">
        <v>7</v>
      </c>
      <c r="BN580">
        <v>1808619</v>
      </c>
      <c r="BO580">
        <v>0.04</v>
      </c>
      <c r="BP580">
        <v>72400</v>
      </c>
      <c r="BQ580">
        <v>0</v>
      </c>
      <c r="BR580" t="s">
        <v>1438</v>
      </c>
      <c r="BS580">
        <v>0</v>
      </c>
      <c r="BT580" t="s">
        <v>1438</v>
      </c>
      <c r="BU580">
        <v>0</v>
      </c>
      <c r="BV580" t="s">
        <v>25</v>
      </c>
      <c r="BW580" t="s">
        <v>189</v>
      </c>
      <c r="BX580">
        <v>7</v>
      </c>
      <c r="BY580">
        <v>1808619</v>
      </c>
      <c r="BZ580">
        <v>6.9599999999999995E-2</v>
      </c>
      <c r="CA580" t="s">
        <v>1439</v>
      </c>
      <c r="CB580" t="s">
        <v>227</v>
      </c>
      <c r="CC580" t="s">
        <v>1440</v>
      </c>
      <c r="CD580">
        <v>125900</v>
      </c>
      <c r="CE580">
        <v>7</v>
      </c>
      <c r="CF580" t="s">
        <v>635</v>
      </c>
      <c r="CG580">
        <v>2878789</v>
      </c>
      <c r="CH580">
        <v>0.04</v>
      </c>
      <c r="CI580">
        <v>115200</v>
      </c>
      <c r="CJ580">
        <v>2878789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 t="s">
        <v>88</v>
      </c>
      <c r="CT580" t="s">
        <v>1441</v>
      </c>
      <c r="CU580" t="s">
        <v>1442</v>
      </c>
    </row>
    <row r="581" spans="1:99">
      <c r="A581" t="s">
        <v>1431</v>
      </c>
      <c r="B581" t="s">
        <v>34</v>
      </c>
      <c r="C581" t="s">
        <v>2912</v>
      </c>
      <c r="D581" t="s">
        <v>2913</v>
      </c>
      <c r="E581" t="s">
        <v>1864</v>
      </c>
      <c r="F581" t="s">
        <v>1561</v>
      </c>
      <c r="G581" t="s">
        <v>2914</v>
      </c>
      <c r="H581" t="s">
        <v>1468</v>
      </c>
      <c r="I581" t="s">
        <v>682</v>
      </c>
      <c r="J581" t="s">
        <v>484</v>
      </c>
      <c r="K581" t="s">
        <v>29</v>
      </c>
      <c r="L581" t="s">
        <v>30</v>
      </c>
      <c r="M581">
        <v>0</v>
      </c>
      <c r="N581" t="s">
        <v>32</v>
      </c>
      <c r="O581" t="s">
        <v>32</v>
      </c>
      <c r="Q581" t="s">
        <v>32</v>
      </c>
      <c r="S581" t="s">
        <v>32</v>
      </c>
      <c r="U581" t="s">
        <v>32</v>
      </c>
      <c r="V581" t="s">
        <v>32</v>
      </c>
      <c r="W581" t="s">
        <v>32</v>
      </c>
      <c r="X581" t="s">
        <v>32</v>
      </c>
      <c r="Y581" t="s">
        <v>32</v>
      </c>
      <c r="AA581" t="s">
        <v>32</v>
      </c>
      <c r="AB581" t="s">
        <v>32</v>
      </c>
      <c r="AE581" t="s">
        <v>1492</v>
      </c>
      <c r="AF581">
        <v>46054</v>
      </c>
      <c r="AG581">
        <v>46054</v>
      </c>
      <c r="AH581" t="s">
        <v>32</v>
      </c>
      <c r="AK581" t="s">
        <v>32</v>
      </c>
      <c r="AN581" t="s">
        <v>32</v>
      </c>
      <c r="AO581" t="s">
        <v>32</v>
      </c>
      <c r="AR581">
        <v>0</v>
      </c>
      <c r="AU581" t="s">
        <v>32</v>
      </c>
      <c r="AV581">
        <v>3140434</v>
      </c>
      <c r="AW581" t="s">
        <v>32</v>
      </c>
      <c r="AX581" t="s">
        <v>32</v>
      </c>
      <c r="AY581" t="s">
        <v>317</v>
      </c>
      <c r="AZ581">
        <v>1</v>
      </c>
      <c r="BA581">
        <v>99923</v>
      </c>
      <c r="BB581">
        <v>0.16</v>
      </c>
      <c r="BC581">
        <v>16000</v>
      </c>
      <c r="BD581" t="s">
        <v>142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16000</v>
      </c>
      <c r="BK581" t="s">
        <v>25</v>
      </c>
      <c r="BL581" t="s">
        <v>1071</v>
      </c>
      <c r="BM581">
        <v>1</v>
      </c>
      <c r="BN581">
        <v>99923</v>
      </c>
      <c r="BO581">
        <v>0.04</v>
      </c>
      <c r="BP581">
        <v>4000</v>
      </c>
      <c r="BQ581">
        <v>0</v>
      </c>
      <c r="BR581" t="s">
        <v>1438</v>
      </c>
      <c r="BS581">
        <v>0</v>
      </c>
      <c r="BT581" t="s">
        <v>1438</v>
      </c>
      <c r="BU581">
        <v>0</v>
      </c>
      <c r="BV581" t="s">
        <v>25</v>
      </c>
      <c r="BW581" t="s">
        <v>189</v>
      </c>
      <c r="BX581">
        <v>1</v>
      </c>
      <c r="BY581">
        <v>99923</v>
      </c>
      <c r="BZ581">
        <v>0</v>
      </c>
      <c r="CA581" t="s">
        <v>1439</v>
      </c>
      <c r="CB581" t="s">
        <v>312</v>
      </c>
      <c r="CC581" t="s">
        <v>1440</v>
      </c>
      <c r="CD581">
        <v>0</v>
      </c>
      <c r="CE581">
        <v>1</v>
      </c>
      <c r="CF581" t="s">
        <v>466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 t="s">
        <v>88</v>
      </c>
      <c r="CT581" t="s">
        <v>1441</v>
      </c>
      <c r="CU581" t="s">
        <v>1442</v>
      </c>
    </row>
    <row r="582" spans="1:99">
      <c r="A582" t="s">
        <v>1431</v>
      </c>
      <c r="B582" t="s">
        <v>34</v>
      </c>
      <c r="C582" t="s">
        <v>2912</v>
      </c>
      <c r="D582" t="s">
        <v>2913</v>
      </c>
      <c r="E582" t="s">
        <v>1864</v>
      </c>
      <c r="F582" t="s">
        <v>1561</v>
      </c>
      <c r="G582" t="s">
        <v>2914</v>
      </c>
      <c r="H582" t="s">
        <v>1468</v>
      </c>
      <c r="I582" t="s">
        <v>682</v>
      </c>
      <c r="J582" t="s">
        <v>484</v>
      </c>
      <c r="K582" t="s">
        <v>29</v>
      </c>
      <c r="L582" t="s">
        <v>30</v>
      </c>
      <c r="M582">
        <v>0</v>
      </c>
      <c r="N582" t="s">
        <v>32</v>
      </c>
      <c r="O582" t="s">
        <v>32</v>
      </c>
      <c r="Q582" t="s">
        <v>32</v>
      </c>
      <c r="S582" t="s">
        <v>32</v>
      </c>
      <c r="U582" t="s">
        <v>32</v>
      </c>
      <c r="V582" t="s">
        <v>32</v>
      </c>
      <c r="W582" t="s">
        <v>32</v>
      </c>
      <c r="X582" t="s">
        <v>32</v>
      </c>
      <c r="Y582" t="s">
        <v>32</v>
      </c>
      <c r="AA582" t="s">
        <v>32</v>
      </c>
      <c r="AB582" t="s">
        <v>32</v>
      </c>
      <c r="AE582" t="s">
        <v>32</v>
      </c>
      <c r="AH582" t="s">
        <v>32</v>
      </c>
      <c r="AK582" t="s">
        <v>128</v>
      </c>
      <c r="AL582">
        <v>46069</v>
      </c>
      <c r="AM582">
        <v>46075</v>
      </c>
      <c r="AN582" t="s">
        <v>32</v>
      </c>
      <c r="AO582" t="s">
        <v>32</v>
      </c>
      <c r="AR582">
        <v>0</v>
      </c>
      <c r="AU582" t="s">
        <v>32</v>
      </c>
      <c r="AV582">
        <v>3140434</v>
      </c>
      <c r="AW582" t="s">
        <v>32</v>
      </c>
      <c r="AX582" t="s">
        <v>32</v>
      </c>
      <c r="AY582" t="s">
        <v>317</v>
      </c>
      <c r="AZ582">
        <v>7</v>
      </c>
      <c r="BA582">
        <v>732768</v>
      </c>
      <c r="BB582">
        <v>0.16</v>
      </c>
      <c r="BC582">
        <v>117300</v>
      </c>
      <c r="BD582" t="s">
        <v>142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117300</v>
      </c>
      <c r="BK582" t="s">
        <v>25</v>
      </c>
      <c r="BL582" t="s">
        <v>1071</v>
      </c>
      <c r="BM582">
        <v>7</v>
      </c>
      <c r="BN582">
        <v>732768</v>
      </c>
      <c r="BO582">
        <v>0.04</v>
      </c>
      <c r="BP582">
        <v>29400</v>
      </c>
      <c r="BQ582">
        <v>0</v>
      </c>
      <c r="BR582" t="s">
        <v>1438</v>
      </c>
      <c r="BS582">
        <v>0</v>
      </c>
      <c r="BT582" t="s">
        <v>1438</v>
      </c>
      <c r="BU582">
        <v>0</v>
      </c>
      <c r="BV582" t="s">
        <v>25</v>
      </c>
      <c r="BW582" t="s">
        <v>189</v>
      </c>
      <c r="BX582">
        <v>7</v>
      </c>
      <c r="BY582">
        <v>732768</v>
      </c>
      <c r="BZ582">
        <v>0</v>
      </c>
      <c r="CA582" t="s">
        <v>1439</v>
      </c>
      <c r="CB582" t="s">
        <v>312</v>
      </c>
      <c r="CC582" t="s">
        <v>1440</v>
      </c>
      <c r="CD582">
        <v>0</v>
      </c>
      <c r="CE582">
        <v>7</v>
      </c>
      <c r="CF582" t="s">
        <v>466</v>
      </c>
      <c r="CG582">
        <v>732768</v>
      </c>
      <c r="CH582">
        <v>0.04</v>
      </c>
      <c r="CI582">
        <v>29400</v>
      </c>
      <c r="CJ582">
        <v>732768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 t="s">
        <v>88</v>
      </c>
      <c r="CT582" t="s">
        <v>1441</v>
      </c>
      <c r="CU582" t="s">
        <v>1442</v>
      </c>
    </row>
    <row r="583" spans="1:99">
      <c r="A583" t="s">
        <v>1431</v>
      </c>
      <c r="B583" t="s">
        <v>34</v>
      </c>
      <c r="C583" t="s">
        <v>2912</v>
      </c>
      <c r="D583" t="s">
        <v>2913</v>
      </c>
      <c r="E583" t="s">
        <v>1864</v>
      </c>
      <c r="F583" t="s">
        <v>1561</v>
      </c>
      <c r="G583" t="s">
        <v>2914</v>
      </c>
      <c r="H583" t="s">
        <v>1468</v>
      </c>
      <c r="I583" t="s">
        <v>682</v>
      </c>
      <c r="J583" t="s">
        <v>484</v>
      </c>
      <c r="K583" t="s">
        <v>29</v>
      </c>
      <c r="L583" t="s">
        <v>30</v>
      </c>
      <c r="M583">
        <v>135</v>
      </c>
      <c r="N583" t="s">
        <v>32</v>
      </c>
      <c r="O583" t="s">
        <v>32</v>
      </c>
      <c r="Q583" t="s">
        <v>32</v>
      </c>
      <c r="S583" t="s">
        <v>32</v>
      </c>
      <c r="U583" t="s">
        <v>32</v>
      </c>
      <c r="V583" t="s">
        <v>32</v>
      </c>
      <c r="W583" t="s">
        <v>32</v>
      </c>
      <c r="X583" t="s">
        <v>32</v>
      </c>
      <c r="Y583" t="s">
        <v>88</v>
      </c>
      <c r="Z583">
        <v>46054</v>
      </c>
      <c r="AA583" t="s">
        <v>32</v>
      </c>
      <c r="AB583" t="s">
        <v>32</v>
      </c>
      <c r="AE583" t="s">
        <v>32</v>
      </c>
      <c r="AH583" t="s">
        <v>32</v>
      </c>
      <c r="AK583" t="s">
        <v>32</v>
      </c>
      <c r="AN583" t="s">
        <v>32</v>
      </c>
      <c r="AO583" t="s">
        <v>32</v>
      </c>
      <c r="AR583">
        <v>0</v>
      </c>
      <c r="AU583" t="s">
        <v>32</v>
      </c>
      <c r="AV583">
        <v>3140434</v>
      </c>
      <c r="AW583" t="s">
        <v>32</v>
      </c>
      <c r="AX583" t="s">
        <v>32</v>
      </c>
      <c r="AY583" t="s">
        <v>317</v>
      </c>
      <c r="AZ583">
        <v>22</v>
      </c>
      <c r="BA583">
        <v>2302985</v>
      </c>
      <c r="BB583">
        <v>0.16</v>
      </c>
      <c r="BC583">
        <v>368500</v>
      </c>
      <c r="BD583" t="s">
        <v>142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368500</v>
      </c>
      <c r="BK583" t="s">
        <v>25</v>
      </c>
      <c r="BL583" t="s">
        <v>1071</v>
      </c>
      <c r="BM583">
        <v>22</v>
      </c>
      <c r="BN583">
        <v>2302985</v>
      </c>
      <c r="BO583">
        <v>0.04</v>
      </c>
      <c r="BP583">
        <v>92200</v>
      </c>
      <c r="BQ583">
        <v>0</v>
      </c>
      <c r="BR583" t="s">
        <v>1438</v>
      </c>
      <c r="BS583">
        <v>0</v>
      </c>
      <c r="BT583" t="s">
        <v>1438</v>
      </c>
      <c r="BU583">
        <v>0</v>
      </c>
      <c r="BV583" t="s">
        <v>25</v>
      </c>
      <c r="BW583" t="s">
        <v>189</v>
      </c>
      <c r="BX583">
        <v>22</v>
      </c>
      <c r="BY583">
        <v>2302985</v>
      </c>
      <c r="BZ583">
        <v>6.9599999999999995E-2</v>
      </c>
      <c r="CA583" t="s">
        <v>1439</v>
      </c>
      <c r="CB583" t="s">
        <v>312</v>
      </c>
      <c r="CC583" t="s">
        <v>1440</v>
      </c>
      <c r="CD583">
        <v>160300</v>
      </c>
      <c r="CE583">
        <v>22</v>
      </c>
      <c r="CF583" t="s">
        <v>466</v>
      </c>
      <c r="CG583">
        <v>2302985</v>
      </c>
      <c r="CH583">
        <v>0.04</v>
      </c>
      <c r="CI583">
        <v>92200</v>
      </c>
      <c r="CJ583">
        <v>2302985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 t="s">
        <v>88</v>
      </c>
      <c r="CT583" t="s">
        <v>1441</v>
      </c>
      <c r="CU583" t="s">
        <v>1442</v>
      </c>
    </row>
    <row r="584" spans="1:99">
      <c r="A584" t="s">
        <v>1431</v>
      </c>
      <c r="B584" t="s">
        <v>34</v>
      </c>
      <c r="C584" t="s">
        <v>2915</v>
      </c>
      <c r="D584" t="s">
        <v>2916</v>
      </c>
      <c r="E584" t="s">
        <v>2917</v>
      </c>
      <c r="F584" t="s">
        <v>1487</v>
      </c>
      <c r="G584" t="s">
        <v>2918</v>
      </c>
      <c r="H584" t="s">
        <v>1503</v>
      </c>
      <c r="I584" t="s">
        <v>240</v>
      </c>
      <c r="J584" t="s">
        <v>46</v>
      </c>
      <c r="K584" t="s">
        <v>29</v>
      </c>
      <c r="L584" t="s">
        <v>30</v>
      </c>
      <c r="M584">
        <v>0</v>
      </c>
      <c r="N584" t="s">
        <v>32</v>
      </c>
      <c r="O584" t="s">
        <v>32</v>
      </c>
      <c r="Q584" t="s">
        <v>32</v>
      </c>
      <c r="S584" t="s">
        <v>32</v>
      </c>
      <c r="U584" t="s">
        <v>32</v>
      </c>
      <c r="V584" t="s">
        <v>32</v>
      </c>
      <c r="W584" t="s">
        <v>32</v>
      </c>
      <c r="X584" t="s">
        <v>32</v>
      </c>
      <c r="Y584" t="s">
        <v>32</v>
      </c>
      <c r="AA584" t="s">
        <v>32</v>
      </c>
      <c r="AB584" t="s">
        <v>32</v>
      </c>
      <c r="AE584" t="s">
        <v>32</v>
      </c>
      <c r="AH584" t="s">
        <v>32</v>
      </c>
      <c r="AK584" t="s">
        <v>32</v>
      </c>
      <c r="AN584" t="s">
        <v>32</v>
      </c>
      <c r="AO584" t="s">
        <v>32</v>
      </c>
      <c r="AR584">
        <v>3</v>
      </c>
      <c r="AS584">
        <v>46054</v>
      </c>
      <c r="AT584">
        <v>46056</v>
      </c>
      <c r="AU584" t="s">
        <v>32</v>
      </c>
      <c r="AV584">
        <v>1785595</v>
      </c>
      <c r="AW584" t="s">
        <v>32</v>
      </c>
      <c r="AX584" t="s">
        <v>32</v>
      </c>
      <c r="AY584" t="s">
        <v>317</v>
      </c>
      <c r="AZ584">
        <v>3</v>
      </c>
      <c r="BA584">
        <v>258303</v>
      </c>
      <c r="BB584">
        <v>0.16</v>
      </c>
      <c r="BC584">
        <v>41400</v>
      </c>
      <c r="BD584" t="s">
        <v>142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41400</v>
      </c>
      <c r="BK584" t="s">
        <v>25</v>
      </c>
      <c r="BL584" t="s">
        <v>885</v>
      </c>
      <c r="BM584">
        <v>3</v>
      </c>
      <c r="BN584">
        <v>258303</v>
      </c>
      <c r="BO584">
        <v>0.04</v>
      </c>
      <c r="BP584">
        <v>10400</v>
      </c>
      <c r="BQ584">
        <v>0</v>
      </c>
      <c r="BR584" t="s">
        <v>1438</v>
      </c>
      <c r="BS584">
        <v>0</v>
      </c>
      <c r="BT584" t="s">
        <v>1438</v>
      </c>
      <c r="BU584">
        <v>0</v>
      </c>
      <c r="BV584" t="s">
        <v>25</v>
      </c>
      <c r="BW584" t="s">
        <v>189</v>
      </c>
      <c r="BX584">
        <v>3</v>
      </c>
      <c r="BY584">
        <v>258303</v>
      </c>
      <c r="BZ584">
        <v>0</v>
      </c>
      <c r="CA584" t="s">
        <v>1439</v>
      </c>
      <c r="CB584" t="s">
        <v>227</v>
      </c>
      <c r="CC584" t="s">
        <v>1440</v>
      </c>
      <c r="CD584">
        <v>0</v>
      </c>
      <c r="CE584">
        <v>3</v>
      </c>
      <c r="CF584" t="s">
        <v>635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 t="s">
        <v>88</v>
      </c>
      <c r="CT584" t="s">
        <v>1441</v>
      </c>
      <c r="CU584" t="s">
        <v>1442</v>
      </c>
    </row>
    <row r="585" spans="1:99">
      <c r="A585" t="s">
        <v>1431</v>
      </c>
      <c r="B585" t="s">
        <v>34</v>
      </c>
      <c r="C585" t="s">
        <v>2915</v>
      </c>
      <c r="D585" t="s">
        <v>2916</v>
      </c>
      <c r="E585" t="s">
        <v>2917</v>
      </c>
      <c r="F585" t="s">
        <v>1487</v>
      </c>
      <c r="G585" t="s">
        <v>2918</v>
      </c>
      <c r="H585" t="s">
        <v>1503</v>
      </c>
      <c r="I585" t="s">
        <v>240</v>
      </c>
      <c r="J585" t="s">
        <v>46</v>
      </c>
      <c r="K585" t="s">
        <v>29</v>
      </c>
      <c r="L585" t="s">
        <v>30</v>
      </c>
      <c r="M585">
        <v>148</v>
      </c>
      <c r="N585" t="s">
        <v>32</v>
      </c>
      <c r="O585" t="s">
        <v>32</v>
      </c>
      <c r="Q585" t="s">
        <v>32</v>
      </c>
      <c r="S585" t="s">
        <v>40</v>
      </c>
      <c r="T585">
        <v>46074</v>
      </c>
      <c r="U585" t="s">
        <v>32</v>
      </c>
      <c r="V585" t="s">
        <v>32</v>
      </c>
      <c r="W585" t="s">
        <v>32</v>
      </c>
      <c r="X585" t="s">
        <v>32</v>
      </c>
      <c r="Y585" t="s">
        <v>32</v>
      </c>
      <c r="AA585" t="s">
        <v>88</v>
      </c>
      <c r="AB585" t="s">
        <v>32</v>
      </c>
      <c r="AE585" t="s">
        <v>32</v>
      </c>
      <c r="AH585" t="s">
        <v>32</v>
      </c>
      <c r="AK585" t="s">
        <v>32</v>
      </c>
      <c r="AN585" t="s">
        <v>32</v>
      </c>
      <c r="AO585" t="s">
        <v>32</v>
      </c>
      <c r="AR585">
        <v>0</v>
      </c>
      <c r="AU585" t="s">
        <v>32</v>
      </c>
      <c r="AV585">
        <v>1785595</v>
      </c>
      <c r="AW585" t="s">
        <v>32</v>
      </c>
      <c r="AX585" t="s">
        <v>32</v>
      </c>
      <c r="AY585" t="s">
        <v>317</v>
      </c>
      <c r="AZ585">
        <v>18</v>
      </c>
      <c r="BA585">
        <v>1862162</v>
      </c>
      <c r="BB585">
        <v>0.16</v>
      </c>
      <c r="BC585">
        <v>298000</v>
      </c>
      <c r="BD585" t="s">
        <v>142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298000</v>
      </c>
      <c r="BK585" t="s">
        <v>25</v>
      </c>
      <c r="BL585" t="s">
        <v>885</v>
      </c>
      <c r="BM585">
        <v>18</v>
      </c>
      <c r="BN585">
        <v>1862162</v>
      </c>
      <c r="BO585">
        <v>0.04</v>
      </c>
      <c r="BP585">
        <v>74500</v>
      </c>
      <c r="BQ585">
        <v>0</v>
      </c>
      <c r="BR585" t="s">
        <v>1438</v>
      </c>
      <c r="BS585">
        <v>0</v>
      </c>
      <c r="BT585" t="s">
        <v>1438</v>
      </c>
      <c r="BU585">
        <v>0</v>
      </c>
      <c r="BV585" t="s">
        <v>25</v>
      </c>
      <c r="BW585" t="s">
        <v>189</v>
      </c>
      <c r="BX585">
        <v>18</v>
      </c>
      <c r="BY585">
        <v>1862162</v>
      </c>
      <c r="BZ585">
        <v>6.9599999999999995E-2</v>
      </c>
      <c r="CA585" t="s">
        <v>1439</v>
      </c>
      <c r="CB585" t="s">
        <v>227</v>
      </c>
      <c r="CC585" t="s">
        <v>1440</v>
      </c>
      <c r="CD585">
        <v>129700</v>
      </c>
      <c r="CE585">
        <v>18</v>
      </c>
      <c r="CF585" t="s">
        <v>635</v>
      </c>
      <c r="CG585">
        <v>2278942</v>
      </c>
      <c r="CH585">
        <v>0.04</v>
      </c>
      <c r="CI585">
        <v>91200</v>
      </c>
      <c r="CJ585">
        <v>2278942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 t="s">
        <v>88</v>
      </c>
      <c r="CT585" t="s">
        <v>1441</v>
      </c>
      <c r="CU585" t="s">
        <v>1442</v>
      </c>
    </row>
    <row r="586" spans="1:99">
      <c r="A586" t="s">
        <v>1431</v>
      </c>
      <c r="B586" t="s">
        <v>34</v>
      </c>
      <c r="C586" t="s">
        <v>2919</v>
      </c>
      <c r="D586" t="s">
        <v>2920</v>
      </c>
      <c r="E586" t="s">
        <v>1459</v>
      </c>
      <c r="F586" t="s">
        <v>2921</v>
      </c>
      <c r="G586" t="s">
        <v>1489</v>
      </c>
      <c r="H586" t="s">
        <v>1503</v>
      </c>
      <c r="I586" t="s">
        <v>240</v>
      </c>
      <c r="J586" t="s">
        <v>46</v>
      </c>
      <c r="K586" t="s">
        <v>29</v>
      </c>
      <c r="L586" t="s">
        <v>30</v>
      </c>
      <c r="M586">
        <v>0</v>
      </c>
      <c r="N586" t="s">
        <v>32</v>
      </c>
      <c r="O586" t="s">
        <v>32</v>
      </c>
      <c r="Q586" t="s">
        <v>32</v>
      </c>
      <c r="S586" t="s">
        <v>32</v>
      </c>
      <c r="U586" t="s">
        <v>32</v>
      </c>
      <c r="V586" t="s">
        <v>32</v>
      </c>
      <c r="W586" t="s">
        <v>32</v>
      </c>
      <c r="X586" t="s">
        <v>32</v>
      </c>
      <c r="Y586" t="s">
        <v>32</v>
      </c>
      <c r="AA586" t="s">
        <v>32</v>
      </c>
      <c r="AB586" t="s">
        <v>37</v>
      </c>
      <c r="AC586">
        <v>46054</v>
      </c>
      <c r="AD586">
        <v>46054</v>
      </c>
      <c r="AE586" t="s">
        <v>32</v>
      </c>
      <c r="AH586" t="s">
        <v>32</v>
      </c>
      <c r="AK586" t="s">
        <v>32</v>
      </c>
      <c r="AN586" t="s">
        <v>32</v>
      </c>
      <c r="AO586" t="s">
        <v>32</v>
      </c>
      <c r="AR586">
        <v>0</v>
      </c>
      <c r="AU586" t="s">
        <v>32</v>
      </c>
      <c r="AV586">
        <v>1750905</v>
      </c>
      <c r="AW586" t="s">
        <v>32</v>
      </c>
      <c r="AX586" t="s">
        <v>32</v>
      </c>
      <c r="AY586" t="s">
        <v>317</v>
      </c>
      <c r="AZ586">
        <v>1</v>
      </c>
      <c r="BA586">
        <v>58364</v>
      </c>
      <c r="BB586">
        <v>0.16</v>
      </c>
      <c r="BC586">
        <v>9400</v>
      </c>
      <c r="BD586" t="s">
        <v>142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9400</v>
      </c>
      <c r="BK586" t="s">
        <v>25</v>
      </c>
      <c r="BL586" t="s">
        <v>1010</v>
      </c>
      <c r="BM586">
        <v>1</v>
      </c>
      <c r="BN586">
        <v>58364</v>
      </c>
      <c r="BO586">
        <v>0</v>
      </c>
      <c r="BP586">
        <v>0</v>
      </c>
      <c r="BQ586">
        <v>0</v>
      </c>
      <c r="BR586" t="s">
        <v>1438</v>
      </c>
      <c r="BS586">
        <v>0</v>
      </c>
      <c r="BT586" t="s">
        <v>1438</v>
      </c>
      <c r="BU586">
        <v>0</v>
      </c>
      <c r="BV586" t="s">
        <v>25</v>
      </c>
      <c r="BW586" t="s">
        <v>189</v>
      </c>
      <c r="BX586">
        <v>1</v>
      </c>
      <c r="BY586">
        <v>58364</v>
      </c>
      <c r="BZ586">
        <v>0</v>
      </c>
      <c r="CA586" t="s">
        <v>1439</v>
      </c>
      <c r="CB586" t="s">
        <v>227</v>
      </c>
      <c r="CC586" t="s">
        <v>1440</v>
      </c>
      <c r="CD586">
        <v>0</v>
      </c>
      <c r="CE586">
        <v>1</v>
      </c>
      <c r="CF586" t="s">
        <v>635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 t="s">
        <v>88</v>
      </c>
      <c r="CT586" t="s">
        <v>1441</v>
      </c>
      <c r="CU586" t="s">
        <v>1442</v>
      </c>
    </row>
    <row r="587" spans="1:99">
      <c r="A587" t="s">
        <v>1431</v>
      </c>
      <c r="B587" t="s">
        <v>34</v>
      </c>
      <c r="C587" t="s">
        <v>2919</v>
      </c>
      <c r="D587" t="s">
        <v>2920</v>
      </c>
      <c r="E587" t="s">
        <v>1459</v>
      </c>
      <c r="F587" t="s">
        <v>2921</v>
      </c>
      <c r="G587" t="s">
        <v>1489</v>
      </c>
      <c r="H587" t="s">
        <v>1503</v>
      </c>
      <c r="I587" t="s">
        <v>240</v>
      </c>
      <c r="J587" t="s">
        <v>46</v>
      </c>
      <c r="K587" t="s">
        <v>29</v>
      </c>
      <c r="L587" t="s">
        <v>30</v>
      </c>
      <c r="M587">
        <v>0</v>
      </c>
      <c r="N587" t="s">
        <v>32</v>
      </c>
      <c r="O587" t="s">
        <v>32</v>
      </c>
      <c r="Q587" t="s">
        <v>32</v>
      </c>
      <c r="S587" t="s">
        <v>32</v>
      </c>
      <c r="U587" t="s">
        <v>32</v>
      </c>
      <c r="V587" t="s">
        <v>32</v>
      </c>
      <c r="W587" t="s">
        <v>32</v>
      </c>
      <c r="X587" t="s">
        <v>32</v>
      </c>
      <c r="Y587" t="s">
        <v>32</v>
      </c>
      <c r="AA587" t="s">
        <v>32</v>
      </c>
      <c r="AB587" t="s">
        <v>32</v>
      </c>
      <c r="AE587" t="s">
        <v>1492</v>
      </c>
      <c r="AF587">
        <v>46058</v>
      </c>
      <c r="AG587">
        <v>46059</v>
      </c>
      <c r="AH587" t="s">
        <v>32</v>
      </c>
      <c r="AK587" t="s">
        <v>32</v>
      </c>
      <c r="AN587" t="s">
        <v>32</v>
      </c>
      <c r="AO587" t="s">
        <v>32</v>
      </c>
      <c r="AR587">
        <v>0</v>
      </c>
      <c r="AU587" t="s">
        <v>32</v>
      </c>
      <c r="AV587">
        <v>1750905</v>
      </c>
      <c r="AW587" t="s">
        <v>32</v>
      </c>
      <c r="AX587" t="s">
        <v>32</v>
      </c>
      <c r="AY587" t="s">
        <v>317</v>
      </c>
      <c r="AZ587">
        <v>2</v>
      </c>
      <c r="BA587">
        <v>203264</v>
      </c>
      <c r="BB587">
        <v>0.16</v>
      </c>
      <c r="BC587">
        <v>32600</v>
      </c>
      <c r="BD587" t="s">
        <v>142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32600</v>
      </c>
      <c r="BK587" t="s">
        <v>25</v>
      </c>
      <c r="BL587" t="s">
        <v>1010</v>
      </c>
      <c r="BM587">
        <v>2</v>
      </c>
      <c r="BN587">
        <v>203264</v>
      </c>
      <c r="BO587">
        <v>0.04</v>
      </c>
      <c r="BP587">
        <v>8200</v>
      </c>
      <c r="BQ587">
        <v>0</v>
      </c>
      <c r="BR587" t="s">
        <v>1438</v>
      </c>
      <c r="BS587">
        <v>0</v>
      </c>
      <c r="BT587" t="s">
        <v>1438</v>
      </c>
      <c r="BU587">
        <v>0</v>
      </c>
      <c r="BV587" t="s">
        <v>25</v>
      </c>
      <c r="BW587" t="s">
        <v>189</v>
      </c>
      <c r="BX587">
        <v>2</v>
      </c>
      <c r="BY587">
        <v>203264</v>
      </c>
      <c r="BZ587">
        <v>0</v>
      </c>
      <c r="CA587" t="s">
        <v>1439</v>
      </c>
      <c r="CB587" t="s">
        <v>227</v>
      </c>
      <c r="CC587" t="s">
        <v>1440</v>
      </c>
      <c r="CD587">
        <v>0</v>
      </c>
      <c r="CE587">
        <v>2</v>
      </c>
      <c r="CF587" t="s">
        <v>635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 t="s">
        <v>88</v>
      </c>
      <c r="CT587" t="s">
        <v>1441</v>
      </c>
      <c r="CU587" t="s">
        <v>1442</v>
      </c>
    </row>
    <row r="588" spans="1:99">
      <c r="A588" t="s">
        <v>1431</v>
      </c>
      <c r="B588" t="s">
        <v>34</v>
      </c>
      <c r="C588" t="s">
        <v>2919</v>
      </c>
      <c r="D588" t="s">
        <v>2920</v>
      </c>
      <c r="E588" t="s">
        <v>1459</v>
      </c>
      <c r="F588" t="s">
        <v>2921</v>
      </c>
      <c r="G588" t="s">
        <v>1489</v>
      </c>
      <c r="H588" t="s">
        <v>1503</v>
      </c>
      <c r="I588" t="s">
        <v>240</v>
      </c>
      <c r="J588" t="s">
        <v>46</v>
      </c>
      <c r="K588" t="s">
        <v>29</v>
      </c>
      <c r="L588" t="s">
        <v>30</v>
      </c>
      <c r="M588">
        <v>196</v>
      </c>
      <c r="N588" t="s">
        <v>32</v>
      </c>
      <c r="O588" t="s">
        <v>32</v>
      </c>
      <c r="Q588" t="s">
        <v>32</v>
      </c>
      <c r="S588" t="s">
        <v>32</v>
      </c>
      <c r="U588" t="s">
        <v>32</v>
      </c>
      <c r="V588" t="s">
        <v>32</v>
      </c>
      <c r="W588" t="s">
        <v>32</v>
      </c>
      <c r="X588" t="s">
        <v>32</v>
      </c>
      <c r="Y588" t="s">
        <v>32</v>
      </c>
      <c r="AA588" t="s">
        <v>88</v>
      </c>
      <c r="AB588" t="s">
        <v>32</v>
      </c>
      <c r="AE588" t="s">
        <v>32</v>
      </c>
      <c r="AH588" t="s">
        <v>32</v>
      </c>
      <c r="AK588" t="s">
        <v>32</v>
      </c>
      <c r="AN588" t="s">
        <v>32</v>
      </c>
      <c r="AO588" t="s">
        <v>32</v>
      </c>
      <c r="AR588">
        <v>0</v>
      </c>
      <c r="AU588" t="s">
        <v>32</v>
      </c>
      <c r="AV588">
        <v>1750905</v>
      </c>
      <c r="AW588" t="s">
        <v>32</v>
      </c>
      <c r="AX588" t="s">
        <v>32</v>
      </c>
      <c r="AY588" t="s">
        <v>317</v>
      </c>
      <c r="AZ588">
        <v>27</v>
      </c>
      <c r="BA588">
        <v>2466989</v>
      </c>
      <c r="BB588">
        <v>0.16</v>
      </c>
      <c r="BC588">
        <v>394800</v>
      </c>
      <c r="BD588" t="s">
        <v>142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394800</v>
      </c>
      <c r="BK588" t="s">
        <v>25</v>
      </c>
      <c r="BL588" t="s">
        <v>1010</v>
      </c>
      <c r="BM588">
        <v>27</v>
      </c>
      <c r="BN588">
        <v>2466989</v>
      </c>
      <c r="BO588">
        <v>0.04</v>
      </c>
      <c r="BP588">
        <v>98700</v>
      </c>
      <c r="BQ588">
        <v>0</v>
      </c>
      <c r="BR588" t="s">
        <v>1438</v>
      </c>
      <c r="BS588">
        <v>0</v>
      </c>
      <c r="BT588" t="s">
        <v>1438</v>
      </c>
      <c r="BU588">
        <v>0</v>
      </c>
      <c r="BV588" t="s">
        <v>25</v>
      </c>
      <c r="BW588" t="s">
        <v>189</v>
      </c>
      <c r="BX588">
        <v>27</v>
      </c>
      <c r="BY588">
        <v>2466989</v>
      </c>
      <c r="BZ588">
        <v>6.9599999999999995E-2</v>
      </c>
      <c r="CA588" t="s">
        <v>1439</v>
      </c>
      <c r="CB588" t="s">
        <v>227</v>
      </c>
      <c r="CC588" t="s">
        <v>1440</v>
      </c>
      <c r="CD588">
        <v>171800</v>
      </c>
      <c r="CE588">
        <v>27</v>
      </c>
      <c r="CF588" t="s">
        <v>635</v>
      </c>
      <c r="CG588">
        <v>2466989</v>
      </c>
      <c r="CH588">
        <v>0.04</v>
      </c>
      <c r="CI588">
        <v>98700</v>
      </c>
      <c r="CJ588">
        <v>2466989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 t="s">
        <v>88</v>
      </c>
      <c r="CT588" t="s">
        <v>1441</v>
      </c>
      <c r="CU588" t="s">
        <v>1442</v>
      </c>
    </row>
    <row r="589" spans="1:99">
      <c r="A589" t="s">
        <v>1431</v>
      </c>
      <c r="B589" t="s">
        <v>34</v>
      </c>
      <c r="C589" t="s">
        <v>2922</v>
      </c>
      <c r="D589" t="s">
        <v>2923</v>
      </c>
      <c r="E589" t="s">
        <v>1506</v>
      </c>
      <c r="F589" t="s">
        <v>2924</v>
      </c>
      <c r="G589" t="s">
        <v>1548</v>
      </c>
      <c r="H589" t="s">
        <v>1489</v>
      </c>
      <c r="I589" t="s">
        <v>682</v>
      </c>
      <c r="J589" t="s">
        <v>484</v>
      </c>
      <c r="K589" t="s">
        <v>29</v>
      </c>
      <c r="L589" t="s">
        <v>30</v>
      </c>
      <c r="M589">
        <v>0</v>
      </c>
      <c r="N589" t="s">
        <v>32</v>
      </c>
      <c r="O589" t="s">
        <v>32</v>
      </c>
      <c r="Q589" t="s">
        <v>32</v>
      </c>
      <c r="S589" t="s">
        <v>32</v>
      </c>
      <c r="U589" t="s">
        <v>32</v>
      </c>
      <c r="V589" t="s">
        <v>32</v>
      </c>
      <c r="W589" t="s">
        <v>32</v>
      </c>
      <c r="X589" t="s">
        <v>32</v>
      </c>
      <c r="Y589" t="s">
        <v>32</v>
      </c>
      <c r="AA589" t="s">
        <v>32</v>
      </c>
      <c r="AB589" t="s">
        <v>37</v>
      </c>
      <c r="AC589">
        <v>46054</v>
      </c>
      <c r="AD589">
        <v>46054</v>
      </c>
      <c r="AE589" t="s">
        <v>32</v>
      </c>
      <c r="AH589" t="s">
        <v>32</v>
      </c>
      <c r="AK589" t="s">
        <v>32</v>
      </c>
      <c r="AN589" t="s">
        <v>32</v>
      </c>
      <c r="AO589" t="s">
        <v>32</v>
      </c>
      <c r="AR589">
        <v>0</v>
      </c>
      <c r="AU589" t="s">
        <v>32</v>
      </c>
      <c r="AV589">
        <v>2223339</v>
      </c>
      <c r="AW589" t="s">
        <v>32</v>
      </c>
      <c r="AX589" t="s">
        <v>32</v>
      </c>
      <c r="AY589" t="s">
        <v>356</v>
      </c>
      <c r="AZ589">
        <v>1</v>
      </c>
      <c r="BA589">
        <v>74112</v>
      </c>
      <c r="BB589">
        <v>0.16</v>
      </c>
      <c r="BC589">
        <v>11900</v>
      </c>
      <c r="BD589" t="s">
        <v>142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11900</v>
      </c>
      <c r="BK589" t="s">
        <v>25</v>
      </c>
      <c r="BL589" t="s">
        <v>1010</v>
      </c>
      <c r="BM589">
        <v>1</v>
      </c>
      <c r="BN589">
        <v>74112</v>
      </c>
      <c r="BO589">
        <v>0</v>
      </c>
      <c r="BP589">
        <v>0</v>
      </c>
      <c r="BQ589">
        <v>0</v>
      </c>
      <c r="BR589" t="s">
        <v>1438</v>
      </c>
      <c r="BS589">
        <v>0</v>
      </c>
      <c r="BT589" t="s">
        <v>1438</v>
      </c>
      <c r="BU589">
        <v>0</v>
      </c>
      <c r="BV589" t="s">
        <v>25</v>
      </c>
      <c r="BW589" t="s">
        <v>189</v>
      </c>
      <c r="BX589">
        <v>1</v>
      </c>
      <c r="BY589">
        <v>74112</v>
      </c>
      <c r="BZ589">
        <v>0</v>
      </c>
      <c r="CA589" t="s">
        <v>1439</v>
      </c>
      <c r="CB589" t="s">
        <v>312</v>
      </c>
      <c r="CC589" t="s">
        <v>1440</v>
      </c>
      <c r="CD589">
        <v>0</v>
      </c>
      <c r="CE589">
        <v>1</v>
      </c>
      <c r="CF589" t="s">
        <v>466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 t="s">
        <v>88</v>
      </c>
      <c r="CT589" t="s">
        <v>1441</v>
      </c>
      <c r="CU589" t="s">
        <v>1442</v>
      </c>
    </row>
    <row r="590" spans="1:99">
      <c r="A590" t="s">
        <v>1431</v>
      </c>
      <c r="B590" t="s">
        <v>34</v>
      </c>
      <c r="C590" t="s">
        <v>2922</v>
      </c>
      <c r="D590" t="s">
        <v>2923</v>
      </c>
      <c r="E590" t="s">
        <v>1506</v>
      </c>
      <c r="F590" t="s">
        <v>2924</v>
      </c>
      <c r="G590" t="s">
        <v>1548</v>
      </c>
      <c r="H590" t="s">
        <v>1489</v>
      </c>
      <c r="I590" t="s">
        <v>682</v>
      </c>
      <c r="J590" t="s">
        <v>484</v>
      </c>
      <c r="K590" t="s">
        <v>29</v>
      </c>
      <c r="L590" t="s">
        <v>30</v>
      </c>
      <c r="M590">
        <v>204</v>
      </c>
      <c r="N590" t="s">
        <v>32</v>
      </c>
      <c r="O590" t="s">
        <v>32</v>
      </c>
      <c r="Q590" t="s">
        <v>32</v>
      </c>
      <c r="S590" t="s">
        <v>32</v>
      </c>
      <c r="U590" t="s">
        <v>32</v>
      </c>
      <c r="V590" t="s">
        <v>32</v>
      </c>
      <c r="W590" t="s">
        <v>32</v>
      </c>
      <c r="X590" t="s">
        <v>32</v>
      </c>
      <c r="Y590" t="s">
        <v>32</v>
      </c>
      <c r="AA590" t="s">
        <v>88</v>
      </c>
      <c r="AB590" t="s">
        <v>32</v>
      </c>
      <c r="AE590" t="s">
        <v>32</v>
      </c>
      <c r="AH590" t="s">
        <v>32</v>
      </c>
      <c r="AK590" t="s">
        <v>32</v>
      </c>
      <c r="AN590" t="s">
        <v>32</v>
      </c>
      <c r="AO590" t="s">
        <v>32</v>
      </c>
      <c r="AR590">
        <v>0</v>
      </c>
      <c r="AU590" t="s">
        <v>32</v>
      </c>
      <c r="AV590">
        <v>2223339</v>
      </c>
      <c r="AW590" t="s">
        <v>32</v>
      </c>
      <c r="AX590" t="s">
        <v>32</v>
      </c>
      <c r="AY590" t="s">
        <v>356</v>
      </c>
      <c r="AZ590">
        <v>29</v>
      </c>
      <c r="BA590">
        <v>2549755</v>
      </c>
      <c r="BB590">
        <v>0.16</v>
      </c>
      <c r="BC590">
        <v>408000</v>
      </c>
      <c r="BD590" t="s">
        <v>142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408000</v>
      </c>
      <c r="BK590" t="s">
        <v>25</v>
      </c>
      <c r="BL590" t="s">
        <v>1010</v>
      </c>
      <c r="BM590">
        <v>29</v>
      </c>
      <c r="BN590">
        <v>2549755</v>
      </c>
      <c r="BO590">
        <v>0.04</v>
      </c>
      <c r="BP590">
        <v>102000</v>
      </c>
      <c r="BQ590">
        <v>0</v>
      </c>
      <c r="BR590" t="s">
        <v>1438</v>
      </c>
      <c r="BS590">
        <v>0</v>
      </c>
      <c r="BT590" t="s">
        <v>1438</v>
      </c>
      <c r="BU590">
        <v>0</v>
      </c>
      <c r="BV590" t="s">
        <v>25</v>
      </c>
      <c r="BW590" t="s">
        <v>189</v>
      </c>
      <c r="BX590">
        <v>29</v>
      </c>
      <c r="BY590">
        <v>2549755</v>
      </c>
      <c r="BZ590">
        <v>6.9599999999999995E-2</v>
      </c>
      <c r="CA590" t="s">
        <v>1439</v>
      </c>
      <c r="CB590" t="s">
        <v>312</v>
      </c>
      <c r="CC590" t="s">
        <v>1440</v>
      </c>
      <c r="CD590">
        <v>177500</v>
      </c>
      <c r="CE590">
        <v>29</v>
      </c>
      <c r="CF590" t="s">
        <v>466</v>
      </c>
      <c r="CG590">
        <v>2496879</v>
      </c>
      <c r="CH590">
        <v>0.04</v>
      </c>
      <c r="CI590">
        <v>99900</v>
      </c>
      <c r="CJ590">
        <v>2496879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 t="s">
        <v>88</v>
      </c>
      <c r="CT590" t="s">
        <v>1441</v>
      </c>
      <c r="CU590" t="s">
        <v>1442</v>
      </c>
    </row>
    <row r="591" spans="1:99">
      <c r="A591" t="s">
        <v>1431</v>
      </c>
      <c r="B591" t="s">
        <v>34</v>
      </c>
      <c r="C591" t="s">
        <v>2925</v>
      </c>
      <c r="D591" t="s">
        <v>2926</v>
      </c>
      <c r="E591" t="s">
        <v>1971</v>
      </c>
      <c r="F591" t="s">
        <v>2927</v>
      </c>
      <c r="G591" t="s">
        <v>2758</v>
      </c>
      <c r="H591" t="s">
        <v>1928</v>
      </c>
      <c r="I591" t="s">
        <v>240</v>
      </c>
      <c r="J591" t="s">
        <v>46</v>
      </c>
      <c r="K591" t="s">
        <v>29</v>
      </c>
      <c r="L591" t="s">
        <v>30</v>
      </c>
      <c r="M591">
        <v>32</v>
      </c>
      <c r="N591" t="s">
        <v>32</v>
      </c>
      <c r="O591" t="s">
        <v>32</v>
      </c>
      <c r="Q591" t="s">
        <v>32</v>
      </c>
      <c r="S591" t="s">
        <v>40</v>
      </c>
      <c r="T591">
        <v>46056</v>
      </c>
      <c r="U591" t="s">
        <v>32</v>
      </c>
      <c r="V591" t="s">
        <v>32</v>
      </c>
      <c r="W591" t="s">
        <v>32</v>
      </c>
      <c r="X591" t="s">
        <v>32</v>
      </c>
      <c r="Y591" t="s">
        <v>32</v>
      </c>
      <c r="AA591" t="s">
        <v>88</v>
      </c>
      <c r="AB591" t="s">
        <v>32</v>
      </c>
      <c r="AE591" t="s">
        <v>32</v>
      </c>
      <c r="AH591" t="s">
        <v>32</v>
      </c>
      <c r="AK591" t="s">
        <v>32</v>
      </c>
      <c r="AN591" t="s">
        <v>32</v>
      </c>
      <c r="AO591" t="s">
        <v>32</v>
      </c>
      <c r="AR591">
        <v>0</v>
      </c>
      <c r="AU591" t="s">
        <v>32</v>
      </c>
      <c r="AV591">
        <v>2223339</v>
      </c>
      <c r="AW591" t="s">
        <v>32</v>
      </c>
      <c r="AX591" t="s">
        <v>32</v>
      </c>
      <c r="AY591" t="s">
        <v>356</v>
      </c>
      <c r="AZ591">
        <v>3</v>
      </c>
      <c r="BA591">
        <v>1145990</v>
      </c>
      <c r="BB591">
        <v>0.16</v>
      </c>
      <c r="BC591">
        <v>183400</v>
      </c>
      <c r="BD591" t="s">
        <v>142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183400</v>
      </c>
      <c r="BK591" t="s">
        <v>25</v>
      </c>
      <c r="BL591" t="s">
        <v>1064</v>
      </c>
      <c r="BM591">
        <v>3</v>
      </c>
      <c r="BN591">
        <v>1145990</v>
      </c>
      <c r="BO591">
        <v>0.125</v>
      </c>
      <c r="BP591">
        <v>143300</v>
      </c>
      <c r="BQ591">
        <v>0</v>
      </c>
      <c r="BR591" t="s">
        <v>1438</v>
      </c>
      <c r="BS591">
        <v>0</v>
      </c>
      <c r="BT591" t="s">
        <v>1438</v>
      </c>
      <c r="BU591">
        <v>0</v>
      </c>
      <c r="BV591" t="s">
        <v>25</v>
      </c>
      <c r="BW591" t="s">
        <v>189</v>
      </c>
      <c r="BX591">
        <v>3</v>
      </c>
      <c r="BY591">
        <v>1145990</v>
      </c>
      <c r="BZ591">
        <v>6.9599999999999995E-2</v>
      </c>
      <c r="CA591" t="s">
        <v>1439</v>
      </c>
      <c r="CB591" t="s">
        <v>227</v>
      </c>
      <c r="CC591" t="s">
        <v>1440</v>
      </c>
      <c r="CD591">
        <v>79800</v>
      </c>
      <c r="CE591">
        <v>3</v>
      </c>
      <c r="CF591" t="s">
        <v>635</v>
      </c>
      <c r="CG591">
        <v>1658332</v>
      </c>
      <c r="CH591">
        <v>0.04</v>
      </c>
      <c r="CI591">
        <v>66400</v>
      </c>
      <c r="CJ591">
        <v>1658332</v>
      </c>
      <c r="CK591">
        <v>0.02</v>
      </c>
      <c r="CL591">
        <v>33200</v>
      </c>
      <c r="CM591">
        <v>0.03</v>
      </c>
      <c r="CN591">
        <v>49800</v>
      </c>
      <c r="CO591">
        <v>0</v>
      </c>
      <c r="CP591">
        <v>0</v>
      </c>
      <c r="CQ591">
        <v>0</v>
      </c>
      <c r="CR591">
        <v>0</v>
      </c>
      <c r="CS591" t="s">
        <v>88</v>
      </c>
      <c r="CT591" t="s">
        <v>1441</v>
      </c>
      <c r="CU591" t="s">
        <v>1442</v>
      </c>
    </row>
    <row r="592" spans="1:99">
      <c r="A592" t="s">
        <v>1431</v>
      </c>
      <c r="B592" t="s">
        <v>34</v>
      </c>
      <c r="C592" t="s">
        <v>2928</v>
      </c>
      <c r="D592" t="s">
        <v>2929</v>
      </c>
      <c r="E592" t="s">
        <v>1561</v>
      </c>
      <c r="F592" t="s">
        <v>1102</v>
      </c>
      <c r="G592" t="s">
        <v>2930</v>
      </c>
      <c r="H592" t="s">
        <v>1468</v>
      </c>
      <c r="I592" t="s">
        <v>682</v>
      </c>
      <c r="J592" t="s">
        <v>484</v>
      </c>
      <c r="K592" t="s">
        <v>29</v>
      </c>
      <c r="L592" t="s">
        <v>30</v>
      </c>
      <c r="M592">
        <v>45</v>
      </c>
      <c r="N592" t="s">
        <v>32</v>
      </c>
      <c r="O592" t="s">
        <v>32</v>
      </c>
      <c r="Q592" t="s">
        <v>32</v>
      </c>
      <c r="S592" t="s">
        <v>40</v>
      </c>
      <c r="T592">
        <v>46058</v>
      </c>
      <c r="U592" t="s">
        <v>32</v>
      </c>
      <c r="V592" t="s">
        <v>32</v>
      </c>
      <c r="W592" t="s">
        <v>32</v>
      </c>
      <c r="X592" t="s">
        <v>32</v>
      </c>
      <c r="Y592" t="s">
        <v>32</v>
      </c>
      <c r="AA592" t="s">
        <v>88</v>
      </c>
      <c r="AB592" t="s">
        <v>32</v>
      </c>
      <c r="AE592" t="s">
        <v>32</v>
      </c>
      <c r="AH592" t="s">
        <v>32</v>
      </c>
      <c r="AK592" t="s">
        <v>32</v>
      </c>
      <c r="AN592" t="s">
        <v>32</v>
      </c>
      <c r="AO592" t="s">
        <v>32</v>
      </c>
      <c r="AR592">
        <v>0</v>
      </c>
      <c r="AU592" t="s">
        <v>32</v>
      </c>
      <c r="AV592">
        <v>2056650</v>
      </c>
      <c r="AW592" t="s">
        <v>32</v>
      </c>
      <c r="AX592" t="s">
        <v>32</v>
      </c>
      <c r="AY592" t="s">
        <v>137</v>
      </c>
      <c r="AZ592">
        <v>5</v>
      </c>
      <c r="BA592">
        <v>577779</v>
      </c>
      <c r="BB592">
        <v>0.16</v>
      </c>
      <c r="BC592">
        <v>92500</v>
      </c>
      <c r="BD592" t="s">
        <v>142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92500</v>
      </c>
      <c r="BK592" t="s">
        <v>25</v>
      </c>
      <c r="BL592" t="s">
        <v>1010</v>
      </c>
      <c r="BM592">
        <v>5</v>
      </c>
      <c r="BN592">
        <v>577779</v>
      </c>
      <c r="BO592">
        <v>0.04</v>
      </c>
      <c r="BP592">
        <v>23200</v>
      </c>
      <c r="BQ592">
        <v>0</v>
      </c>
      <c r="BR592" t="s">
        <v>1438</v>
      </c>
      <c r="BS592">
        <v>0</v>
      </c>
      <c r="BT592" t="s">
        <v>1438</v>
      </c>
      <c r="BU592">
        <v>0</v>
      </c>
      <c r="BV592" t="s">
        <v>25</v>
      </c>
      <c r="BW592" t="s">
        <v>189</v>
      </c>
      <c r="BX592">
        <v>5</v>
      </c>
      <c r="BY592">
        <v>577779</v>
      </c>
      <c r="BZ592">
        <v>6.9599999999999995E-2</v>
      </c>
      <c r="CA592" t="s">
        <v>1439</v>
      </c>
      <c r="CB592" t="s">
        <v>312</v>
      </c>
      <c r="CC592" t="s">
        <v>1440</v>
      </c>
      <c r="CD592">
        <v>40300</v>
      </c>
      <c r="CE592">
        <v>5</v>
      </c>
      <c r="CF592" t="s">
        <v>466</v>
      </c>
      <c r="CG592">
        <v>559021</v>
      </c>
      <c r="CH592">
        <v>0.04</v>
      </c>
      <c r="CI592">
        <v>22400</v>
      </c>
      <c r="CJ592">
        <v>559021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 t="s">
        <v>88</v>
      </c>
      <c r="CT592" t="s">
        <v>1441</v>
      </c>
      <c r="CU592" t="s">
        <v>1442</v>
      </c>
    </row>
    <row r="593" spans="1:99">
      <c r="A593" t="s">
        <v>1431</v>
      </c>
      <c r="B593" t="s">
        <v>34</v>
      </c>
      <c r="C593" t="s">
        <v>2931</v>
      </c>
      <c r="D593" t="s">
        <v>2932</v>
      </c>
      <c r="E593" t="s">
        <v>1551</v>
      </c>
      <c r="F593" t="s">
        <v>1802</v>
      </c>
      <c r="G593" t="s">
        <v>1584</v>
      </c>
      <c r="H593" t="s">
        <v>2341</v>
      </c>
      <c r="I593" t="s">
        <v>240</v>
      </c>
      <c r="J593" t="s">
        <v>46</v>
      </c>
      <c r="K593" t="s">
        <v>29</v>
      </c>
      <c r="L593" t="s">
        <v>30</v>
      </c>
      <c r="M593">
        <v>204</v>
      </c>
      <c r="N593" t="s">
        <v>32</v>
      </c>
      <c r="O593" t="s">
        <v>32</v>
      </c>
      <c r="Q593" t="s">
        <v>32</v>
      </c>
      <c r="S593" t="s">
        <v>32</v>
      </c>
      <c r="U593" t="s">
        <v>32</v>
      </c>
      <c r="V593" t="s">
        <v>32</v>
      </c>
      <c r="W593" t="s">
        <v>32</v>
      </c>
      <c r="X593" t="s">
        <v>32</v>
      </c>
      <c r="Y593" t="s">
        <v>32</v>
      </c>
      <c r="AA593" t="s">
        <v>88</v>
      </c>
      <c r="AB593" t="s">
        <v>32</v>
      </c>
      <c r="AE593" t="s">
        <v>32</v>
      </c>
      <c r="AH593" t="s">
        <v>32</v>
      </c>
      <c r="AK593" t="s">
        <v>32</v>
      </c>
      <c r="AN593" t="s">
        <v>32</v>
      </c>
      <c r="AO593" t="s">
        <v>32</v>
      </c>
      <c r="AR593">
        <v>0</v>
      </c>
      <c r="AU593" t="s">
        <v>32</v>
      </c>
      <c r="AV593">
        <v>2308750</v>
      </c>
      <c r="AW593" t="s">
        <v>32</v>
      </c>
      <c r="AX593" t="s">
        <v>32</v>
      </c>
      <c r="AY593" t="s">
        <v>356</v>
      </c>
      <c r="AZ593">
        <v>30</v>
      </c>
      <c r="BA593">
        <v>2685886</v>
      </c>
      <c r="BB593">
        <v>0.16</v>
      </c>
      <c r="BC593">
        <v>429800</v>
      </c>
      <c r="BD593" t="s">
        <v>142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429800</v>
      </c>
      <c r="BK593" t="s">
        <v>25</v>
      </c>
      <c r="BL593" t="s">
        <v>1000</v>
      </c>
      <c r="BM593">
        <v>30</v>
      </c>
      <c r="BN593">
        <v>2685886</v>
      </c>
      <c r="BO593">
        <v>0.04</v>
      </c>
      <c r="BP593">
        <v>107500</v>
      </c>
      <c r="BQ593">
        <v>0</v>
      </c>
      <c r="BR593" t="s">
        <v>1438</v>
      </c>
      <c r="BS593">
        <v>0</v>
      </c>
      <c r="BT593" t="s">
        <v>1438</v>
      </c>
      <c r="BU593">
        <v>0</v>
      </c>
      <c r="BV593" t="s">
        <v>25</v>
      </c>
      <c r="BW593" t="s">
        <v>189</v>
      </c>
      <c r="BX593">
        <v>30</v>
      </c>
      <c r="BY593">
        <v>2685886</v>
      </c>
      <c r="BZ593">
        <v>6.9599999999999995E-2</v>
      </c>
      <c r="CA593" t="s">
        <v>1439</v>
      </c>
      <c r="CB593" t="s">
        <v>227</v>
      </c>
      <c r="CC593" t="s">
        <v>1440</v>
      </c>
      <c r="CD593">
        <v>187000</v>
      </c>
      <c r="CE593">
        <v>30</v>
      </c>
      <c r="CF593" t="s">
        <v>635</v>
      </c>
      <c r="CG593">
        <v>2623579</v>
      </c>
      <c r="CH593">
        <v>0.04</v>
      </c>
      <c r="CI593">
        <v>105000</v>
      </c>
      <c r="CJ593">
        <v>2623579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 t="s">
        <v>88</v>
      </c>
      <c r="CT593" t="s">
        <v>1441</v>
      </c>
      <c r="CU593" t="s">
        <v>1442</v>
      </c>
    </row>
    <row r="594" spans="1:99">
      <c r="A594" t="s">
        <v>1431</v>
      </c>
      <c r="B594" t="s">
        <v>34</v>
      </c>
      <c r="C594" t="s">
        <v>2933</v>
      </c>
      <c r="D594" t="s">
        <v>2934</v>
      </c>
      <c r="E594" t="s">
        <v>1728</v>
      </c>
      <c r="F594" t="s">
        <v>2935</v>
      </c>
      <c r="G594" t="s">
        <v>1479</v>
      </c>
      <c r="H594" t="s">
        <v>1437</v>
      </c>
      <c r="I594" t="s">
        <v>240</v>
      </c>
      <c r="J594" t="s">
        <v>46</v>
      </c>
      <c r="K594" t="s">
        <v>29</v>
      </c>
      <c r="L594" t="s">
        <v>30</v>
      </c>
      <c r="M594">
        <v>0</v>
      </c>
      <c r="N594" t="s">
        <v>32</v>
      </c>
      <c r="O594" t="s">
        <v>32</v>
      </c>
      <c r="Q594" t="s">
        <v>32</v>
      </c>
      <c r="S594" t="s">
        <v>32</v>
      </c>
      <c r="U594" t="s">
        <v>32</v>
      </c>
      <c r="V594" t="s">
        <v>32</v>
      </c>
      <c r="W594" t="s">
        <v>32</v>
      </c>
      <c r="X594" t="s">
        <v>32</v>
      </c>
      <c r="Y594" t="s">
        <v>32</v>
      </c>
      <c r="AA594" t="s">
        <v>32</v>
      </c>
      <c r="AB594" t="s">
        <v>37</v>
      </c>
      <c r="AC594">
        <v>46054</v>
      </c>
      <c r="AD594">
        <v>46055</v>
      </c>
      <c r="AE594" t="s">
        <v>32</v>
      </c>
      <c r="AH594" t="s">
        <v>32</v>
      </c>
      <c r="AK594" t="s">
        <v>32</v>
      </c>
      <c r="AN594" t="s">
        <v>32</v>
      </c>
      <c r="AO594" t="s">
        <v>32</v>
      </c>
      <c r="AR594">
        <v>0</v>
      </c>
      <c r="AU594" t="s">
        <v>32</v>
      </c>
      <c r="AV594">
        <v>2223339</v>
      </c>
      <c r="AW594" t="s">
        <v>32</v>
      </c>
      <c r="AX594" t="s">
        <v>32</v>
      </c>
      <c r="AY594" t="s">
        <v>356</v>
      </c>
      <c r="AZ594">
        <v>2</v>
      </c>
      <c r="BA594">
        <v>148223</v>
      </c>
      <c r="BB594">
        <v>0.16</v>
      </c>
      <c r="BC594">
        <v>23800</v>
      </c>
      <c r="BD594" t="s">
        <v>142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23800</v>
      </c>
      <c r="BK594" t="s">
        <v>25</v>
      </c>
      <c r="BL594" t="s">
        <v>1064</v>
      </c>
      <c r="BM594">
        <v>2</v>
      </c>
      <c r="BN594">
        <v>148223</v>
      </c>
      <c r="BO594">
        <v>0</v>
      </c>
      <c r="BP594">
        <v>0</v>
      </c>
      <c r="BQ594">
        <v>0</v>
      </c>
      <c r="BR594" t="s">
        <v>1438</v>
      </c>
      <c r="BS594">
        <v>0</v>
      </c>
      <c r="BT594" t="s">
        <v>1438</v>
      </c>
      <c r="BU594">
        <v>0</v>
      </c>
      <c r="BV594" t="s">
        <v>25</v>
      </c>
      <c r="BW594" t="s">
        <v>189</v>
      </c>
      <c r="BX594">
        <v>2</v>
      </c>
      <c r="BY594">
        <v>148223</v>
      </c>
      <c r="BZ594">
        <v>0</v>
      </c>
      <c r="CA594" t="s">
        <v>1439</v>
      </c>
      <c r="CB594" t="s">
        <v>227</v>
      </c>
      <c r="CC594" t="s">
        <v>1440</v>
      </c>
      <c r="CD594">
        <v>0</v>
      </c>
      <c r="CE594">
        <v>2</v>
      </c>
      <c r="CF594" t="s">
        <v>635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 t="s">
        <v>88</v>
      </c>
      <c r="CT594" t="s">
        <v>1441</v>
      </c>
      <c r="CU594" t="s">
        <v>1442</v>
      </c>
    </row>
    <row r="595" spans="1:99">
      <c r="A595" t="s">
        <v>1431</v>
      </c>
      <c r="B595" t="s">
        <v>34</v>
      </c>
      <c r="C595" t="s">
        <v>2933</v>
      </c>
      <c r="D595" t="s">
        <v>2934</v>
      </c>
      <c r="E595" t="s">
        <v>1728</v>
      </c>
      <c r="F595" t="s">
        <v>2935</v>
      </c>
      <c r="G595" t="s">
        <v>1479</v>
      </c>
      <c r="H595" t="s">
        <v>1437</v>
      </c>
      <c r="I595" t="s">
        <v>240</v>
      </c>
      <c r="J595" t="s">
        <v>46</v>
      </c>
      <c r="K595" t="s">
        <v>29</v>
      </c>
      <c r="L595" t="s">
        <v>30</v>
      </c>
      <c r="M595">
        <v>210</v>
      </c>
      <c r="N595" t="s">
        <v>32</v>
      </c>
      <c r="O595" t="s">
        <v>32</v>
      </c>
      <c r="Q595" t="s">
        <v>32</v>
      </c>
      <c r="S595" t="s">
        <v>32</v>
      </c>
      <c r="U595" t="s">
        <v>32</v>
      </c>
      <c r="V595" t="s">
        <v>32</v>
      </c>
      <c r="W595" t="s">
        <v>32</v>
      </c>
      <c r="X595" t="s">
        <v>32</v>
      </c>
      <c r="Y595" t="s">
        <v>32</v>
      </c>
      <c r="AA595" t="s">
        <v>88</v>
      </c>
      <c r="AB595" t="s">
        <v>32</v>
      </c>
      <c r="AE595" t="s">
        <v>32</v>
      </c>
      <c r="AH595" t="s">
        <v>32</v>
      </c>
      <c r="AK595" t="s">
        <v>32</v>
      </c>
      <c r="AN595" t="s">
        <v>32</v>
      </c>
      <c r="AO595" t="s">
        <v>32</v>
      </c>
      <c r="AR595">
        <v>0</v>
      </c>
      <c r="AU595" t="s">
        <v>32</v>
      </c>
      <c r="AV595">
        <v>2223339</v>
      </c>
      <c r="AW595" t="s">
        <v>32</v>
      </c>
      <c r="AX595" t="s">
        <v>32</v>
      </c>
      <c r="AY595" t="s">
        <v>356</v>
      </c>
      <c r="AZ595">
        <v>28</v>
      </c>
      <c r="BA595">
        <v>2854296</v>
      </c>
      <c r="BB595">
        <v>0.16</v>
      </c>
      <c r="BC595">
        <v>456700</v>
      </c>
      <c r="BD595" t="s">
        <v>142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456700</v>
      </c>
      <c r="BK595" t="s">
        <v>25</v>
      </c>
      <c r="BL595" t="s">
        <v>1064</v>
      </c>
      <c r="BM595">
        <v>28</v>
      </c>
      <c r="BN595">
        <v>2854296</v>
      </c>
      <c r="BO595">
        <v>0.04</v>
      </c>
      <c r="BP595">
        <v>114200</v>
      </c>
      <c r="BQ595">
        <v>0</v>
      </c>
      <c r="BR595" t="s">
        <v>1438</v>
      </c>
      <c r="BS595">
        <v>0</v>
      </c>
      <c r="BT595" t="s">
        <v>1438</v>
      </c>
      <c r="BU595">
        <v>0</v>
      </c>
      <c r="BV595" t="s">
        <v>25</v>
      </c>
      <c r="BW595" t="s">
        <v>189</v>
      </c>
      <c r="BX595">
        <v>28</v>
      </c>
      <c r="BY595">
        <v>2854296</v>
      </c>
      <c r="BZ595">
        <v>6.9599999999999995E-2</v>
      </c>
      <c r="CA595" t="s">
        <v>1439</v>
      </c>
      <c r="CB595" t="s">
        <v>227</v>
      </c>
      <c r="CC595" t="s">
        <v>1440</v>
      </c>
      <c r="CD595">
        <v>198700</v>
      </c>
      <c r="CE595">
        <v>28</v>
      </c>
      <c r="CF595" t="s">
        <v>635</v>
      </c>
      <c r="CG595">
        <v>2854296</v>
      </c>
      <c r="CH595">
        <v>0.04</v>
      </c>
      <c r="CI595">
        <v>114200</v>
      </c>
      <c r="CJ595">
        <v>2854296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 t="s">
        <v>88</v>
      </c>
      <c r="CT595" t="s">
        <v>1441</v>
      </c>
      <c r="CU595" t="s">
        <v>1442</v>
      </c>
    </row>
    <row r="596" spans="1:99">
      <c r="A596" t="s">
        <v>1431</v>
      </c>
      <c r="B596" t="s">
        <v>34</v>
      </c>
      <c r="C596" t="s">
        <v>2936</v>
      </c>
      <c r="D596" t="s">
        <v>2937</v>
      </c>
      <c r="E596" t="s">
        <v>2403</v>
      </c>
      <c r="F596" t="s">
        <v>1924</v>
      </c>
      <c r="G596" t="s">
        <v>1798</v>
      </c>
      <c r="H596" t="s">
        <v>1437</v>
      </c>
      <c r="I596" t="s">
        <v>240</v>
      </c>
      <c r="J596" t="s">
        <v>46</v>
      </c>
      <c r="K596" t="s">
        <v>29</v>
      </c>
      <c r="L596" t="s">
        <v>30</v>
      </c>
      <c r="M596">
        <v>218</v>
      </c>
      <c r="N596" t="s">
        <v>32</v>
      </c>
      <c r="O596" t="s">
        <v>32</v>
      </c>
      <c r="Q596" t="s">
        <v>32</v>
      </c>
      <c r="S596" t="s">
        <v>32</v>
      </c>
      <c r="U596" t="s">
        <v>32</v>
      </c>
      <c r="V596" t="s">
        <v>32</v>
      </c>
      <c r="W596" t="s">
        <v>32</v>
      </c>
      <c r="X596" t="s">
        <v>32</v>
      </c>
      <c r="Y596" t="s">
        <v>32</v>
      </c>
      <c r="AA596" t="s">
        <v>88</v>
      </c>
      <c r="AB596" t="s">
        <v>32</v>
      </c>
      <c r="AE596" t="s">
        <v>32</v>
      </c>
      <c r="AH596" t="s">
        <v>32</v>
      </c>
      <c r="AK596" t="s">
        <v>32</v>
      </c>
      <c r="AN596" t="s">
        <v>32</v>
      </c>
      <c r="AO596" t="s">
        <v>32</v>
      </c>
      <c r="AR596">
        <v>0</v>
      </c>
      <c r="AU596" t="s">
        <v>32</v>
      </c>
      <c r="AV596">
        <v>2970185</v>
      </c>
      <c r="AW596" t="s">
        <v>32</v>
      </c>
      <c r="AX596" t="s">
        <v>32</v>
      </c>
      <c r="AY596" t="s">
        <v>185</v>
      </c>
      <c r="AZ596">
        <v>30</v>
      </c>
      <c r="BA596">
        <v>4337067</v>
      </c>
      <c r="BB596">
        <v>0.16</v>
      </c>
      <c r="BC596">
        <v>694000</v>
      </c>
      <c r="BD596" t="s">
        <v>142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694000</v>
      </c>
      <c r="BK596" t="s">
        <v>25</v>
      </c>
      <c r="BL596" t="s">
        <v>1000</v>
      </c>
      <c r="BM596">
        <v>30</v>
      </c>
      <c r="BN596">
        <v>4337067</v>
      </c>
      <c r="BO596">
        <v>0.04</v>
      </c>
      <c r="BP596">
        <v>173500</v>
      </c>
      <c r="BQ596">
        <v>0</v>
      </c>
      <c r="BR596" t="s">
        <v>1438</v>
      </c>
      <c r="BS596">
        <v>0</v>
      </c>
      <c r="BT596" t="s">
        <v>1438</v>
      </c>
      <c r="BU596">
        <v>0</v>
      </c>
      <c r="BV596" t="s">
        <v>25</v>
      </c>
      <c r="BW596" t="s">
        <v>189</v>
      </c>
      <c r="BX596">
        <v>30</v>
      </c>
      <c r="BY596">
        <v>4337067</v>
      </c>
      <c r="BZ596">
        <v>6.9599999999999995E-2</v>
      </c>
      <c r="CA596" t="s">
        <v>1439</v>
      </c>
      <c r="CB596" t="s">
        <v>227</v>
      </c>
      <c r="CC596" t="s">
        <v>1440</v>
      </c>
      <c r="CD596">
        <v>301900</v>
      </c>
      <c r="CE596">
        <v>30</v>
      </c>
      <c r="CF596" t="s">
        <v>635</v>
      </c>
      <c r="CG596">
        <v>4028022</v>
      </c>
      <c r="CH596">
        <v>0.04</v>
      </c>
      <c r="CI596">
        <v>161200</v>
      </c>
      <c r="CJ596">
        <v>4028022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 t="s">
        <v>88</v>
      </c>
      <c r="CT596" t="s">
        <v>1441</v>
      </c>
      <c r="CU596" t="s">
        <v>1442</v>
      </c>
    </row>
    <row r="597" spans="1:99">
      <c r="A597" t="s">
        <v>1431</v>
      </c>
      <c r="B597" t="s">
        <v>34</v>
      </c>
      <c r="C597" t="s">
        <v>2938</v>
      </c>
      <c r="D597" t="s">
        <v>2939</v>
      </c>
      <c r="E597" t="s">
        <v>2940</v>
      </c>
      <c r="F597" t="s">
        <v>2941</v>
      </c>
      <c r="G597" t="s">
        <v>2942</v>
      </c>
      <c r="H597" t="s">
        <v>1558</v>
      </c>
      <c r="I597" t="s">
        <v>682</v>
      </c>
      <c r="J597" t="s">
        <v>484</v>
      </c>
      <c r="K597" t="s">
        <v>29</v>
      </c>
      <c r="L597" t="s">
        <v>30</v>
      </c>
      <c r="M597">
        <v>172</v>
      </c>
      <c r="N597" t="s">
        <v>32</v>
      </c>
      <c r="O597" t="s">
        <v>32</v>
      </c>
      <c r="Q597" t="s">
        <v>32</v>
      </c>
      <c r="S597" t="s">
        <v>40</v>
      </c>
      <c r="T597">
        <v>46076</v>
      </c>
      <c r="U597" t="s">
        <v>32</v>
      </c>
      <c r="V597" t="s">
        <v>32</v>
      </c>
      <c r="W597" t="s">
        <v>32</v>
      </c>
      <c r="X597" t="s">
        <v>32</v>
      </c>
      <c r="Y597" t="s">
        <v>32</v>
      </c>
      <c r="AA597" t="s">
        <v>88</v>
      </c>
      <c r="AB597" t="s">
        <v>32</v>
      </c>
      <c r="AE597" t="s">
        <v>32</v>
      </c>
      <c r="AH597" t="s">
        <v>32</v>
      </c>
      <c r="AK597" t="s">
        <v>32</v>
      </c>
      <c r="AN597" t="s">
        <v>32</v>
      </c>
      <c r="AO597" t="s">
        <v>32</v>
      </c>
      <c r="AR597">
        <v>0</v>
      </c>
      <c r="AU597" t="s">
        <v>32</v>
      </c>
      <c r="AV597">
        <v>2539029</v>
      </c>
      <c r="AW597" t="s">
        <v>32</v>
      </c>
      <c r="AX597" t="s">
        <v>32</v>
      </c>
      <c r="AY597" t="s">
        <v>317</v>
      </c>
      <c r="AZ597">
        <v>23</v>
      </c>
      <c r="BA597">
        <v>2558768</v>
      </c>
      <c r="BB597">
        <v>0.16</v>
      </c>
      <c r="BC597">
        <v>409500</v>
      </c>
      <c r="BD597" t="s">
        <v>142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409500</v>
      </c>
      <c r="BK597" t="s">
        <v>25</v>
      </c>
      <c r="BL597" t="s">
        <v>1000</v>
      </c>
      <c r="BM597">
        <v>23</v>
      </c>
      <c r="BN597">
        <v>2558768</v>
      </c>
      <c r="BO597">
        <v>0.04</v>
      </c>
      <c r="BP597">
        <v>102400</v>
      </c>
      <c r="BQ597">
        <v>0</v>
      </c>
      <c r="BR597" t="s">
        <v>1438</v>
      </c>
      <c r="BS597">
        <v>0</v>
      </c>
      <c r="BT597" t="s">
        <v>1438</v>
      </c>
      <c r="BU597">
        <v>0</v>
      </c>
      <c r="BV597" t="s">
        <v>25</v>
      </c>
      <c r="BW597" t="s">
        <v>189</v>
      </c>
      <c r="BX597">
        <v>23</v>
      </c>
      <c r="BY597">
        <v>2558768</v>
      </c>
      <c r="BZ597">
        <v>6.9599999999999995E-2</v>
      </c>
      <c r="CA597" t="s">
        <v>1439</v>
      </c>
      <c r="CB597" t="s">
        <v>312</v>
      </c>
      <c r="CC597" t="s">
        <v>1440</v>
      </c>
      <c r="CD597">
        <v>178100</v>
      </c>
      <c r="CE597">
        <v>23</v>
      </c>
      <c r="CF597" t="s">
        <v>466</v>
      </c>
      <c r="CG597">
        <v>2640046</v>
      </c>
      <c r="CH597">
        <v>0.04</v>
      </c>
      <c r="CI597">
        <v>105700</v>
      </c>
      <c r="CJ597">
        <v>2640046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 t="s">
        <v>88</v>
      </c>
      <c r="CT597" t="s">
        <v>1441</v>
      </c>
      <c r="CU597" t="s">
        <v>1442</v>
      </c>
    </row>
    <row r="598" spans="1:99">
      <c r="A598" t="s">
        <v>1431</v>
      </c>
      <c r="B598" t="s">
        <v>34</v>
      </c>
      <c r="C598" t="s">
        <v>2943</v>
      </c>
      <c r="D598" t="s">
        <v>2944</v>
      </c>
      <c r="E598" t="s">
        <v>1629</v>
      </c>
      <c r="F598" t="s">
        <v>1753</v>
      </c>
      <c r="G598" t="s">
        <v>1766</v>
      </c>
      <c r="H598" t="s">
        <v>1489</v>
      </c>
      <c r="I598" t="s">
        <v>240</v>
      </c>
      <c r="J598" t="s">
        <v>46</v>
      </c>
      <c r="K598" t="s">
        <v>29</v>
      </c>
      <c r="L598" t="s">
        <v>30</v>
      </c>
      <c r="M598">
        <v>28</v>
      </c>
      <c r="N598" t="s">
        <v>32</v>
      </c>
      <c r="O598" t="s">
        <v>32</v>
      </c>
      <c r="Q598" t="s">
        <v>32</v>
      </c>
      <c r="S598" t="s">
        <v>40</v>
      </c>
      <c r="T598">
        <v>46056</v>
      </c>
      <c r="U598" t="s">
        <v>32</v>
      </c>
      <c r="V598" t="s">
        <v>32</v>
      </c>
      <c r="W598" t="s">
        <v>32</v>
      </c>
      <c r="X598" t="s">
        <v>32</v>
      </c>
      <c r="Y598" t="s">
        <v>32</v>
      </c>
      <c r="AA598" t="s">
        <v>88</v>
      </c>
      <c r="AB598" t="s">
        <v>32</v>
      </c>
      <c r="AE598" t="s">
        <v>32</v>
      </c>
      <c r="AH598" t="s">
        <v>32</v>
      </c>
      <c r="AK598" t="s">
        <v>32</v>
      </c>
      <c r="AN598" t="s">
        <v>32</v>
      </c>
      <c r="AO598" t="s">
        <v>32</v>
      </c>
      <c r="AR598">
        <v>0</v>
      </c>
      <c r="AU598" t="s">
        <v>32</v>
      </c>
      <c r="AV598">
        <v>2223339</v>
      </c>
      <c r="AW598" t="s">
        <v>32</v>
      </c>
      <c r="AX598" t="s">
        <v>32</v>
      </c>
      <c r="AY598" t="s">
        <v>356</v>
      </c>
      <c r="AZ598">
        <v>3</v>
      </c>
      <c r="BA598">
        <v>653978</v>
      </c>
      <c r="BB598">
        <v>0.16</v>
      </c>
      <c r="BC598">
        <v>104700</v>
      </c>
      <c r="BD598" t="s">
        <v>142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104700</v>
      </c>
      <c r="BK598" t="s">
        <v>25</v>
      </c>
      <c r="BL598" t="s">
        <v>1064</v>
      </c>
      <c r="BM598">
        <v>3</v>
      </c>
      <c r="BN598">
        <v>653978</v>
      </c>
      <c r="BO598">
        <v>0.04</v>
      </c>
      <c r="BP598">
        <v>26200</v>
      </c>
      <c r="BQ598">
        <v>0</v>
      </c>
      <c r="BR598" t="s">
        <v>1438</v>
      </c>
      <c r="BS598">
        <v>0</v>
      </c>
      <c r="BT598" t="s">
        <v>1438</v>
      </c>
      <c r="BU598">
        <v>0</v>
      </c>
      <c r="BV598" t="s">
        <v>25</v>
      </c>
      <c r="BW598" t="s">
        <v>189</v>
      </c>
      <c r="BX598">
        <v>3</v>
      </c>
      <c r="BY598">
        <v>653978</v>
      </c>
      <c r="BZ598">
        <v>6.9599999999999995E-2</v>
      </c>
      <c r="CA598" t="s">
        <v>1439</v>
      </c>
      <c r="CB598" t="s">
        <v>227</v>
      </c>
      <c r="CC598" t="s">
        <v>1440</v>
      </c>
      <c r="CD598">
        <v>45600</v>
      </c>
      <c r="CE598">
        <v>3</v>
      </c>
      <c r="CF598" t="s">
        <v>635</v>
      </c>
      <c r="CG598">
        <v>583808</v>
      </c>
      <c r="CH598">
        <v>0.04</v>
      </c>
      <c r="CI598">
        <v>23400</v>
      </c>
      <c r="CJ598">
        <v>583808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 t="s">
        <v>88</v>
      </c>
      <c r="CT598" t="s">
        <v>1441</v>
      </c>
      <c r="CU598" t="s">
        <v>1442</v>
      </c>
    </row>
    <row r="599" spans="1:99">
      <c r="A599" t="s">
        <v>1431</v>
      </c>
      <c r="B599" t="s">
        <v>34</v>
      </c>
      <c r="C599" t="s">
        <v>2945</v>
      </c>
      <c r="D599" t="s">
        <v>2946</v>
      </c>
      <c r="E599" t="s">
        <v>2108</v>
      </c>
      <c r="F599" t="s">
        <v>842</v>
      </c>
      <c r="G599" t="s">
        <v>1781</v>
      </c>
      <c r="H599" t="s">
        <v>1558</v>
      </c>
      <c r="I599" t="s">
        <v>99</v>
      </c>
      <c r="J599" t="s">
        <v>226</v>
      </c>
      <c r="K599" t="s">
        <v>29</v>
      </c>
      <c r="L599" t="s">
        <v>30</v>
      </c>
      <c r="M599">
        <v>0</v>
      </c>
      <c r="N599" t="s">
        <v>32</v>
      </c>
      <c r="O599" t="s">
        <v>32</v>
      </c>
      <c r="Q599" t="s">
        <v>32</v>
      </c>
      <c r="S599" t="s">
        <v>32</v>
      </c>
      <c r="U599" t="s">
        <v>32</v>
      </c>
      <c r="V599" t="s">
        <v>32</v>
      </c>
      <c r="W599" t="s">
        <v>32</v>
      </c>
      <c r="X599" t="s">
        <v>32</v>
      </c>
      <c r="Y599" t="s">
        <v>32</v>
      </c>
      <c r="AA599" t="s">
        <v>32</v>
      </c>
      <c r="AB599" t="s">
        <v>32</v>
      </c>
      <c r="AE599" t="s">
        <v>32</v>
      </c>
      <c r="AH599" t="s">
        <v>32</v>
      </c>
      <c r="AK599" t="s">
        <v>128</v>
      </c>
      <c r="AL599">
        <v>46054</v>
      </c>
      <c r="AM599">
        <v>46081</v>
      </c>
      <c r="AN599" t="s">
        <v>32</v>
      </c>
      <c r="AO599" t="s">
        <v>32</v>
      </c>
      <c r="AR599">
        <v>0</v>
      </c>
      <c r="AU599" t="s">
        <v>32</v>
      </c>
      <c r="AV599">
        <v>1810000</v>
      </c>
      <c r="AW599" t="s">
        <v>32</v>
      </c>
      <c r="AX599" t="s">
        <v>32</v>
      </c>
      <c r="AY599" t="s">
        <v>185</v>
      </c>
      <c r="AZ599">
        <v>30</v>
      </c>
      <c r="BA599">
        <v>1810000</v>
      </c>
      <c r="BB599">
        <v>0.16</v>
      </c>
      <c r="BC599">
        <v>289600</v>
      </c>
      <c r="BD599" t="s">
        <v>142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289600</v>
      </c>
      <c r="BK599" t="s">
        <v>25</v>
      </c>
      <c r="BL599" t="s">
        <v>1071</v>
      </c>
      <c r="BM599">
        <v>30</v>
      </c>
      <c r="BN599">
        <v>1810000</v>
      </c>
      <c r="BO599">
        <v>0.04</v>
      </c>
      <c r="BP599">
        <v>72400</v>
      </c>
      <c r="BQ599">
        <v>0</v>
      </c>
      <c r="BR599" t="s">
        <v>1438</v>
      </c>
      <c r="BS599">
        <v>0</v>
      </c>
      <c r="BT599" t="s">
        <v>1438</v>
      </c>
      <c r="BU599">
        <v>0</v>
      </c>
      <c r="BV599" t="s">
        <v>25</v>
      </c>
      <c r="BW599" t="s">
        <v>189</v>
      </c>
      <c r="BX599">
        <v>30</v>
      </c>
      <c r="BY599">
        <v>1810000</v>
      </c>
      <c r="BZ599">
        <v>0</v>
      </c>
      <c r="CA599" t="s">
        <v>1592</v>
      </c>
      <c r="CB599" t="s">
        <v>389</v>
      </c>
      <c r="CC599" t="s">
        <v>1593</v>
      </c>
      <c r="CD599">
        <v>0</v>
      </c>
      <c r="CE599">
        <v>30</v>
      </c>
      <c r="CF599" t="s">
        <v>749</v>
      </c>
      <c r="CG599">
        <v>1810000</v>
      </c>
      <c r="CH599">
        <v>0.04</v>
      </c>
      <c r="CI599">
        <v>72400</v>
      </c>
      <c r="CJ599">
        <v>1810000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 t="s">
        <v>88</v>
      </c>
      <c r="CT599" t="s">
        <v>1441</v>
      </c>
      <c r="CU599" t="s">
        <v>1442</v>
      </c>
    </row>
    <row r="600" spans="1:99">
      <c r="A600" t="s">
        <v>1431</v>
      </c>
      <c r="B600" t="s">
        <v>34</v>
      </c>
      <c r="C600" t="s">
        <v>2947</v>
      </c>
      <c r="D600" t="s">
        <v>2948</v>
      </c>
      <c r="E600" t="s">
        <v>1643</v>
      </c>
      <c r="F600" t="s">
        <v>2949</v>
      </c>
      <c r="G600" t="s">
        <v>2440</v>
      </c>
      <c r="H600" t="s">
        <v>1558</v>
      </c>
      <c r="I600" t="s">
        <v>240</v>
      </c>
      <c r="J600" t="s">
        <v>46</v>
      </c>
      <c r="K600" t="s">
        <v>29</v>
      </c>
      <c r="L600" t="s">
        <v>30</v>
      </c>
      <c r="M600">
        <v>216</v>
      </c>
      <c r="N600" t="s">
        <v>32</v>
      </c>
      <c r="O600" t="s">
        <v>32</v>
      </c>
      <c r="Q600" t="s">
        <v>32</v>
      </c>
      <c r="S600" t="s">
        <v>32</v>
      </c>
      <c r="U600" t="s">
        <v>32</v>
      </c>
      <c r="V600" t="s">
        <v>32</v>
      </c>
      <c r="W600" t="s">
        <v>32</v>
      </c>
      <c r="X600" t="s">
        <v>32</v>
      </c>
      <c r="Y600" t="s">
        <v>32</v>
      </c>
      <c r="AA600" t="s">
        <v>88</v>
      </c>
      <c r="AB600" t="s">
        <v>32</v>
      </c>
      <c r="AE600" t="s">
        <v>32</v>
      </c>
      <c r="AH600" t="s">
        <v>32</v>
      </c>
      <c r="AK600" t="s">
        <v>32</v>
      </c>
      <c r="AN600" t="s">
        <v>32</v>
      </c>
      <c r="AO600" t="s">
        <v>32</v>
      </c>
      <c r="AR600">
        <v>0</v>
      </c>
      <c r="AU600" t="s">
        <v>32</v>
      </c>
      <c r="AV600">
        <v>2223339</v>
      </c>
      <c r="AW600" t="s">
        <v>32</v>
      </c>
      <c r="AX600" t="s">
        <v>32</v>
      </c>
      <c r="AY600" t="s">
        <v>185</v>
      </c>
      <c r="AZ600">
        <v>30</v>
      </c>
      <c r="BA600">
        <v>2713687</v>
      </c>
      <c r="BB600">
        <v>0.16</v>
      </c>
      <c r="BC600">
        <v>434200</v>
      </c>
      <c r="BD600" t="s">
        <v>142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434200</v>
      </c>
      <c r="BK600" t="s">
        <v>25</v>
      </c>
      <c r="BL600" t="s">
        <v>1071</v>
      </c>
      <c r="BM600">
        <v>30</v>
      </c>
      <c r="BN600">
        <v>2713687</v>
      </c>
      <c r="BO600">
        <v>0.04</v>
      </c>
      <c r="BP600">
        <v>108600</v>
      </c>
      <c r="BQ600">
        <v>0</v>
      </c>
      <c r="BR600" t="s">
        <v>1438</v>
      </c>
      <c r="BS600">
        <v>0</v>
      </c>
      <c r="BT600" t="s">
        <v>1438</v>
      </c>
      <c r="BU600">
        <v>0</v>
      </c>
      <c r="BV600" t="s">
        <v>25</v>
      </c>
      <c r="BW600" t="s">
        <v>189</v>
      </c>
      <c r="BX600">
        <v>30</v>
      </c>
      <c r="BY600">
        <v>2713687</v>
      </c>
      <c r="BZ600">
        <v>6.9599999999999995E-2</v>
      </c>
      <c r="CA600" t="s">
        <v>1439</v>
      </c>
      <c r="CB600" t="s">
        <v>227</v>
      </c>
      <c r="CC600" t="s">
        <v>1440</v>
      </c>
      <c r="CD600">
        <v>188900</v>
      </c>
      <c r="CE600">
        <v>30</v>
      </c>
      <c r="CF600" t="s">
        <v>635</v>
      </c>
      <c r="CG600">
        <v>2713687</v>
      </c>
      <c r="CH600">
        <v>0.04</v>
      </c>
      <c r="CI600">
        <v>108600</v>
      </c>
      <c r="CJ600">
        <v>2713687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 t="s">
        <v>88</v>
      </c>
      <c r="CT600" t="s">
        <v>1441</v>
      </c>
      <c r="CU600" t="s">
        <v>1442</v>
      </c>
    </row>
    <row r="601" spans="1:99">
      <c r="A601" t="s">
        <v>1431</v>
      </c>
      <c r="B601" t="s">
        <v>34</v>
      </c>
      <c r="C601" t="s">
        <v>2950</v>
      </c>
      <c r="D601" t="s">
        <v>2951</v>
      </c>
      <c r="E601" t="s">
        <v>1823</v>
      </c>
      <c r="F601" t="s">
        <v>1913</v>
      </c>
      <c r="G601" t="s">
        <v>2741</v>
      </c>
      <c r="H601" t="s">
        <v>1558</v>
      </c>
      <c r="I601" t="s">
        <v>203</v>
      </c>
      <c r="J601" t="s">
        <v>403</v>
      </c>
      <c r="K601" t="s">
        <v>29</v>
      </c>
      <c r="L601" t="s">
        <v>30</v>
      </c>
      <c r="M601">
        <v>205</v>
      </c>
      <c r="N601" t="s">
        <v>32</v>
      </c>
      <c r="O601" t="s">
        <v>32</v>
      </c>
      <c r="Q601" t="s">
        <v>32</v>
      </c>
      <c r="S601" t="s">
        <v>32</v>
      </c>
      <c r="U601" t="s">
        <v>32</v>
      </c>
      <c r="V601" t="s">
        <v>32</v>
      </c>
      <c r="W601" t="s">
        <v>32</v>
      </c>
      <c r="X601" t="s">
        <v>32</v>
      </c>
      <c r="Y601" t="s">
        <v>88</v>
      </c>
      <c r="Z601">
        <v>46054</v>
      </c>
      <c r="AA601" t="s">
        <v>88</v>
      </c>
      <c r="AB601" t="s">
        <v>32</v>
      </c>
      <c r="AE601" t="s">
        <v>32</v>
      </c>
      <c r="AH601" t="s">
        <v>32</v>
      </c>
      <c r="AK601" t="s">
        <v>32</v>
      </c>
      <c r="AN601" t="s">
        <v>32</v>
      </c>
      <c r="AO601" t="s">
        <v>32</v>
      </c>
      <c r="AR601">
        <v>0</v>
      </c>
      <c r="AU601" t="s">
        <v>32</v>
      </c>
      <c r="AV601">
        <v>2308750</v>
      </c>
      <c r="AW601" t="s">
        <v>32</v>
      </c>
      <c r="AX601" t="s">
        <v>32</v>
      </c>
      <c r="AY601" t="s">
        <v>185</v>
      </c>
      <c r="AZ601">
        <v>30</v>
      </c>
      <c r="BA601">
        <v>2703357</v>
      </c>
      <c r="BB601">
        <v>0.16</v>
      </c>
      <c r="BC601">
        <v>432600</v>
      </c>
      <c r="BD601" t="s">
        <v>142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432600</v>
      </c>
      <c r="BK601" t="s">
        <v>25</v>
      </c>
      <c r="BL601" t="s">
        <v>1000</v>
      </c>
      <c r="BM601">
        <v>30</v>
      </c>
      <c r="BN601">
        <v>2703357</v>
      </c>
      <c r="BO601">
        <v>0.04</v>
      </c>
      <c r="BP601">
        <v>108200</v>
      </c>
      <c r="BQ601">
        <v>0</v>
      </c>
      <c r="BR601" t="s">
        <v>1438</v>
      </c>
      <c r="BS601">
        <v>0</v>
      </c>
      <c r="BT601" t="s">
        <v>1438</v>
      </c>
      <c r="BU601">
        <v>0</v>
      </c>
      <c r="BV601" t="s">
        <v>25</v>
      </c>
      <c r="BW601" t="s">
        <v>189</v>
      </c>
      <c r="BX601">
        <v>30</v>
      </c>
      <c r="BY601">
        <v>2703357</v>
      </c>
      <c r="BZ601">
        <v>6.9599999999999995E-2</v>
      </c>
      <c r="CA601" t="s">
        <v>1439</v>
      </c>
      <c r="CB601" t="s">
        <v>609</v>
      </c>
      <c r="CC601" t="s">
        <v>1440</v>
      </c>
      <c r="CD601">
        <v>188200</v>
      </c>
      <c r="CE601">
        <v>30</v>
      </c>
      <c r="CF601" t="s">
        <v>1001</v>
      </c>
      <c r="CG601">
        <v>2636697</v>
      </c>
      <c r="CH601">
        <v>0.04</v>
      </c>
      <c r="CI601">
        <v>105500</v>
      </c>
      <c r="CJ601">
        <v>2636697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 t="s">
        <v>88</v>
      </c>
      <c r="CT601" t="s">
        <v>1441</v>
      </c>
      <c r="CU601" t="s">
        <v>1442</v>
      </c>
    </row>
    <row r="602" spans="1:99">
      <c r="A602" t="s">
        <v>1431</v>
      </c>
      <c r="B602" t="s">
        <v>34</v>
      </c>
      <c r="C602" t="s">
        <v>2952</v>
      </c>
      <c r="D602" t="s">
        <v>2953</v>
      </c>
      <c r="E602" t="s">
        <v>1535</v>
      </c>
      <c r="F602" t="s">
        <v>1526</v>
      </c>
      <c r="G602" t="s">
        <v>1631</v>
      </c>
      <c r="H602" t="s">
        <v>1558</v>
      </c>
      <c r="I602" t="s">
        <v>240</v>
      </c>
      <c r="J602" t="s">
        <v>46</v>
      </c>
      <c r="K602" t="s">
        <v>29</v>
      </c>
      <c r="L602" t="s">
        <v>30</v>
      </c>
      <c r="M602">
        <v>188</v>
      </c>
      <c r="N602" t="s">
        <v>32</v>
      </c>
      <c r="O602" t="s">
        <v>32</v>
      </c>
      <c r="Q602" t="s">
        <v>32</v>
      </c>
      <c r="S602" t="s">
        <v>32</v>
      </c>
      <c r="U602" t="s">
        <v>32</v>
      </c>
      <c r="V602" t="s">
        <v>32</v>
      </c>
      <c r="W602" t="s">
        <v>32</v>
      </c>
      <c r="X602" t="s">
        <v>32</v>
      </c>
      <c r="Y602" t="s">
        <v>32</v>
      </c>
      <c r="AA602" t="s">
        <v>32</v>
      </c>
      <c r="AB602" t="s">
        <v>32</v>
      </c>
      <c r="AE602" t="s">
        <v>32</v>
      </c>
      <c r="AH602" t="s">
        <v>32</v>
      </c>
      <c r="AK602" t="s">
        <v>32</v>
      </c>
      <c r="AN602" t="s">
        <v>32</v>
      </c>
      <c r="AO602" t="s">
        <v>32</v>
      </c>
      <c r="AR602">
        <v>0</v>
      </c>
      <c r="AU602" t="s">
        <v>32</v>
      </c>
      <c r="AV602">
        <v>16882380</v>
      </c>
      <c r="AW602" t="s">
        <v>32</v>
      </c>
      <c r="AX602" t="s">
        <v>32</v>
      </c>
      <c r="AY602" t="s">
        <v>185</v>
      </c>
      <c r="AZ602">
        <v>30</v>
      </c>
      <c r="BA602">
        <v>16882380</v>
      </c>
      <c r="BB602">
        <v>0.16</v>
      </c>
      <c r="BC602">
        <v>2701200</v>
      </c>
      <c r="BD602" t="s">
        <v>142</v>
      </c>
      <c r="BE602">
        <v>0</v>
      </c>
      <c r="BF602">
        <v>0</v>
      </c>
      <c r="BG602">
        <v>84500</v>
      </c>
      <c r="BH602">
        <v>84500</v>
      </c>
      <c r="BI602">
        <v>0</v>
      </c>
      <c r="BJ602">
        <v>2870200</v>
      </c>
      <c r="BK602" t="s">
        <v>25</v>
      </c>
      <c r="BL602" t="s">
        <v>1071</v>
      </c>
      <c r="BM602">
        <v>30</v>
      </c>
      <c r="BN602">
        <v>16882380</v>
      </c>
      <c r="BO602">
        <v>0.125</v>
      </c>
      <c r="BP602">
        <v>2110300</v>
      </c>
      <c r="BQ602">
        <v>0</v>
      </c>
      <c r="BR602" t="s">
        <v>1438</v>
      </c>
      <c r="BS602">
        <v>0</v>
      </c>
      <c r="BT602" t="s">
        <v>1438</v>
      </c>
      <c r="BU602">
        <v>0</v>
      </c>
      <c r="BV602" t="s">
        <v>25</v>
      </c>
      <c r="BW602" t="s">
        <v>189</v>
      </c>
      <c r="BX602">
        <v>30</v>
      </c>
      <c r="BY602">
        <v>16882380</v>
      </c>
      <c r="BZ602">
        <v>5.2199999999999998E-3</v>
      </c>
      <c r="CA602" t="s">
        <v>1592</v>
      </c>
      <c r="CB602" t="s">
        <v>227</v>
      </c>
      <c r="CC602" t="s">
        <v>1593</v>
      </c>
      <c r="CD602">
        <v>88200</v>
      </c>
      <c r="CE602">
        <v>30</v>
      </c>
      <c r="CF602" t="s">
        <v>635</v>
      </c>
      <c r="CG602">
        <v>16882380</v>
      </c>
      <c r="CH602">
        <v>0.04</v>
      </c>
      <c r="CI602">
        <v>675300</v>
      </c>
      <c r="CJ602">
        <v>16882380</v>
      </c>
      <c r="CK602">
        <v>0.02</v>
      </c>
      <c r="CL602">
        <v>337700</v>
      </c>
      <c r="CM602">
        <v>0.03</v>
      </c>
      <c r="CN602">
        <v>506500</v>
      </c>
      <c r="CO602">
        <v>0</v>
      </c>
      <c r="CP602">
        <v>0</v>
      </c>
      <c r="CQ602">
        <v>0</v>
      </c>
      <c r="CR602">
        <v>0</v>
      </c>
      <c r="CS602" t="s">
        <v>88</v>
      </c>
      <c r="CT602" t="s">
        <v>1441</v>
      </c>
      <c r="CU602" t="s">
        <v>1442</v>
      </c>
    </row>
    <row r="603" spans="1:99">
      <c r="A603" t="s">
        <v>1431</v>
      </c>
      <c r="B603" t="s">
        <v>34</v>
      </c>
      <c r="C603" t="s">
        <v>2954</v>
      </c>
      <c r="D603" t="s">
        <v>2955</v>
      </c>
      <c r="E603" t="s">
        <v>2956</v>
      </c>
      <c r="F603" t="s">
        <v>1597</v>
      </c>
      <c r="G603" t="s">
        <v>2957</v>
      </c>
      <c r="H603" t="s">
        <v>1558</v>
      </c>
      <c r="I603" t="s">
        <v>682</v>
      </c>
      <c r="J603" t="s">
        <v>484</v>
      </c>
      <c r="K603" t="s">
        <v>29</v>
      </c>
      <c r="L603" t="s">
        <v>30</v>
      </c>
      <c r="M603">
        <v>0</v>
      </c>
      <c r="N603" t="s">
        <v>32</v>
      </c>
      <c r="O603" t="s">
        <v>32</v>
      </c>
      <c r="Q603" t="s">
        <v>32</v>
      </c>
      <c r="S603" t="s">
        <v>32</v>
      </c>
      <c r="U603" t="s">
        <v>32</v>
      </c>
      <c r="V603" t="s">
        <v>32</v>
      </c>
      <c r="W603" t="s">
        <v>32</v>
      </c>
      <c r="X603" t="s">
        <v>32</v>
      </c>
      <c r="Y603" t="s">
        <v>32</v>
      </c>
      <c r="AA603" t="s">
        <v>32</v>
      </c>
      <c r="AB603" t="s">
        <v>32</v>
      </c>
      <c r="AE603" t="s">
        <v>32</v>
      </c>
      <c r="AH603" t="s">
        <v>32</v>
      </c>
      <c r="AK603" t="s">
        <v>128</v>
      </c>
      <c r="AL603">
        <v>46069</v>
      </c>
      <c r="AM603">
        <v>46075</v>
      </c>
      <c r="AN603" t="s">
        <v>32</v>
      </c>
      <c r="AO603" t="s">
        <v>32</v>
      </c>
      <c r="AR603">
        <v>0</v>
      </c>
      <c r="AU603" t="s">
        <v>32</v>
      </c>
      <c r="AV603">
        <v>3050412</v>
      </c>
      <c r="AW603" t="s">
        <v>32</v>
      </c>
      <c r="AX603" t="s">
        <v>32</v>
      </c>
      <c r="AY603" t="s">
        <v>317</v>
      </c>
      <c r="AZ603">
        <v>7</v>
      </c>
      <c r="BA603">
        <v>711763</v>
      </c>
      <c r="BB603">
        <v>0.16</v>
      </c>
      <c r="BC603">
        <v>113900</v>
      </c>
      <c r="BD603" t="s">
        <v>142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113900</v>
      </c>
      <c r="BK603" t="s">
        <v>25</v>
      </c>
      <c r="BL603" t="s">
        <v>1010</v>
      </c>
      <c r="BM603">
        <v>7</v>
      </c>
      <c r="BN603">
        <v>711763</v>
      </c>
      <c r="BO603">
        <v>0.04</v>
      </c>
      <c r="BP603">
        <v>28500</v>
      </c>
      <c r="BQ603">
        <v>0</v>
      </c>
      <c r="BR603" t="s">
        <v>1438</v>
      </c>
      <c r="BS603">
        <v>0</v>
      </c>
      <c r="BT603" t="s">
        <v>1438</v>
      </c>
      <c r="BU603">
        <v>0</v>
      </c>
      <c r="BV603" t="s">
        <v>25</v>
      </c>
      <c r="BW603" t="s">
        <v>189</v>
      </c>
      <c r="BX603">
        <v>7</v>
      </c>
      <c r="BY603">
        <v>711763</v>
      </c>
      <c r="BZ603">
        <v>0</v>
      </c>
      <c r="CA603" t="s">
        <v>1439</v>
      </c>
      <c r="CB603" t="s">
        <v>312</v>
      </c>
      <c r="CC603" t="s">
        <v>1440</v>
      </c>
      <c r="CD603">
        <v>0</v>
      </c>
      <c r="CE603">
        <v>7</v>
      </c>
      <c r="CF603" t="s">
        <v>466</v>
      </c>
      <c r="CG603">
        <v>711763</v>
      </c>
      <c r="CH603">
        <v>0.04</v>
      </c>
      <c r="CI603">
        <v>28500</v>
      </c>
      <c r="CJ603">
        <v>711763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 t="s">
        <v>88</v>
      </c>
      <c r="CT603" t="s">
        <v>1441</v>
      </c>
      <c r="CU603" t="s">
        <v>1442</v>
      </c>
    </row>
    <row r="604" spans="1:99">
      <c r="A604" t="s">
        <v>1431</v>
      </c>
      <c r="B604" t="s">
        <v>34</v>
      </c>
      <c r="C604" t="s">
        <v>2954</v>
      </c>
      <c r="D604" t="s">
        <v>2955</v>
      </c>
      <c r="E604" t="s">
        <v>2956</v>
      </c>
      <c r="F604" t="s">
        <v>1597</v>
      </c>
      <c r="G604" t="s">
        <v>2957</v>
      </c>
      <c r="H604" t="s">
        <v>1558</v>
      </c>
      <c r="I604" t="s">
        <v>682</v>
      </c>
      <c r="J604" t="s">
        <v>484</v>
      </c>
      <c r="K604" t="s">
        <v>29</v>
      </c>
      <c r="L604" t="s">
        <v>30</v>
      </c>
      <c r="M604">
        <v>153</v>
      </c>
      <c r="N604" t="s">
        <v>32</v>
      </c>
      <c r="O604" t="s">
        <v>32</v>
      </c>
      <c r="Q604" t="s">
        <v>32</v>
      </c>
      <c r="S604" t="s">
        <v>32</v>
      </c>
      <c r="U604" t="s">
        <v>32</v>
      </c>
      <c r="V604" t="s">
        <v>32</v>
      </c>
      <c r="W604" t="s">
        <v>32</v>
      </c>
      <c r="X604" t="s">
        <v>32</v>
      </c>
      <c r="Y604" t="s">
        <v>88</v>
      </c>
      <c r="Z604">
        <v>46054</v>
      </c>
      <c r="AA604" t="s">
        <v>88</v>
      </c>
      <c r="AB604" t="s">
        <v>32</v>
      </c>
      <c r="AE604" t="s">
        <v>32</v>
      </c>
      <c r="AH604" t="s">
        <v>32</v>
      </c>
      <c r="AK604" t="s">
        <v>32</v>
      </c>
      <c r="AN604" t="s">
        <v>32</v>
      </c>
      <c r="AO604" t="s">
        <v>32</v>
      </c>
      <c r="AR604">
        <v>0</v>
      </c>
      <c r="AU604" t="s">
        <v>32</v>
      </c>
      <c r="AV604">
        <v>3050412</v>
      </c>
      <c r="AW604" t="s">
        <v>32</v>
      </c>
      <c r="AX604" t="s">
        <v>32</v>
      </c>
      <c r="AY604" t="s">
        <v>317</v>
      </c>
      <c r="AZ604">
        <v>23</v>
      </c>
      <c r="BA604">
        <v>2934743</v>
      </c>
      <c r="BB604">
        <v>0.16</v>
      </c>
      <c r="BC604">
        <v>469600</v>
      </c>
      <c r="BD604" t="s">
        <v>142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469600</v>
      </c>
      <c r="BK604" t="s">
        <v>25</v>
      </c>
      <c r="BL604" t="s">
        <v>1010</v>
      </c>
      <c r="BM604">
        <v>23</v>
      </c>
      <c r="BN604">
        <v>2934743</v>
      </c>
      <c r="BO604">
        <v>0.04</v>
      </c>
      <c r="BP604">
        <v>117400</v>
      </c>
      <c r="BQ604">
        <v>0</v>
      </c>
      <c r="BR604" t="s">
        <v>1438</v>
      </c>
      <c r="BS604">
        <v>0</v>
      </c>
      <c r="BT604" t="s">
        <v>1438</v>
      </c>
      <c r="BU604">
        <v>0</v>
      </c>
      <c r="BV604" t="s">
        <v>25</v>
      </c>
      <c r="BW604" t="s">
        <v>189</v>
      </c>
      <c r="BX604">
        <v>23</v>
      </c>
      <c r="BY604">
        <v>2934743</v>
      </c>
      <c r="BZ604">
        <v>6.9599999999999995E-2</v>
      </c>
      <c r="CA604" t="s">
        <v>1439</v>
      </c>
      <c r="CB604" t="s">
        <v>312</v>
      </c>
      <c r="CC604" t="s">
        <v>1440</v>
      </c>
      <c r="CD604">
        <v>204300</v>
      </c>
      <c r="CE604">
        <v>23</v>
      </c>
      <c r="CF604" t="s">
        <v>466</v>
      </c>
      <c r="CG604">
        <v>2650623</v>
      </c>
      <c r="CH604">
        <v>0.04</v>
      </c>
      <c r="CI604">
        <v>106100</v>
      </c>
      <c r="CJ604">
        <v>2650623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 t="s">
        <v>88</v>
      </c>
      <c r="CT604" t="s">
        <v>1441</v>
      </c>
      <c r="CU604" t="s">
        <v>1442</v>
      </c>
    </row>
    <row r="605" spans="1:99">
      <c r="A605" t="s">
        <v>1431</v>
      </c>
      <c r="B605" t="s">
        <v>34</v>
      </c>
      <c r="C605" t="s">
        <v>2958</v>
      </c>
      <c r="D605" t="s">
        <v>2959</v>
      </c>
      <c r="E605" t="s">
        <v>2960</v>
      </c>
      <c r="F605" t="s">
        <v>1776</v>
      </c>
      <c r="G605" t="s">
        <v>2095</v>
      </c>
      <c r="H605" t="s">
        <v>2961</v>
      </c>
      <c r="I605" t="s">
        <v>240</v>
      </c>
      <c r="J605" t="s">
        <v>46</v>
      </c>
      <c r="K605" t="s">
        <v>29</v>
      </c>
      <c r="L605" t="s">
        <v>30</v>
      </c>
      <c r="M605">
        <v>218</v>
      </c>
      <c r="N605" t="s">
        <v>32</v>
      </c>
      <c r="O605" t="s">
        <v>32</v>
      </c>
      <c r="Q605" t="s">
        <v>32</v>
      </c>
      <c r="S605" t="s">
        <v>32</v>
      </c>
      <c r="U605" t="s">
        <v>32</v>
      </c>
      <c r="V605" t="s">
        <v>32</v>
      </c>
      <c r="W605" t="s">
        <v>32</v>
      </c>
      <c r="X605" t="s">
        <v>32</v>
      </c>
      <c r="Y605" t="s">
        <v>32</v>
      </c>
      <c r="AA605" t="s">
        <v>88</v>
      </c>
      <c r="AB605" t="s">
        <v>32</v>
      </c>
      <c r="AE605" t="s">
        <v>32</v>
      </c>
      <c r="AH605" t="s">
        <v>32</v>
      </c>
      <c r="AK605" t="s">
        <v>32</v>
      </c>
      <c r="AN605" t="s">
        <v>32</v>
      </c>
      <c r="AO605" t="s">
        <v>32</v>
      </c>
      <c r="AR605">
        <v>0</v>
      </c>
      <c r="AU605" t="s">
        <v>32</v>
      </c>
      <c r="AV605">
        <v>2223339</v>
      </c>
      <c r="AW605" t="s">
        <v>32</v>
      </c>
      <c r="AX605" t="s">
        <v>32</v>
      </c>
      <c r="AY605" t="s">
        <v>317</v>
      </c>
      <c r="AZ605">
        <v>30</v>
      </c>
      <c r="BA605">
        <v>3160713</v>
      </c>
      <c r="BB605">
        <v>0.16</v>
      </c>
      <c r="BC605">
        <v>505800</v>
      </c>
      <c r="BD605" t="s">
        <v>142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505800</v>
      </c>
      <c r="BK605" t="s">
        <v>25</v>
      </c>
      <c r="BL605" t="s">
        <v>1010</v>
      </c>
      <c r="BM605">
        <v>30</v>
      </c>
      <c r="BN605">
        <v>3160713</v>
      </c>
      <c r="BO605">
        <v>0.04</v>
      </c>
      <c r="BP605">
        <v>126500</v>
      </c>
      <c r="BQ605">
        <v>0</v>
      </c>
      <c r="BR605" t="s">
        <v>1438</v>
      </c>
      <c r="BS605">
        <v>0</v>
      </c>
      <c r="BT605" t="s">
        <v>1438</v>
      </c>
      <c r="BU605">
        <v>0</v>
      </c>
      <c r="BV605" t="s">
        <v>25</v>
      </c>
      <c r="BW605" t="s">
        <v>189</v>
      </c>
      <c r="BX605">
        <v>30</v>
      </c>
      <c r="BY605">
        <v>3160713</v>
      </c>
      <c r="BZ605">
        <v>6.9599999999999995E-2</v>
      </c>
      <c r="CA605" t="s">
        <v>1439</v>
      </c>
      <c r="CB605" t="s">
        <v>227</v>
      </c>
      <c r="CC605" t="s">
        <v>1440</v>
      </c>
      <c r="CD605">
        <v>220000</v>
      </c>
      <c r="CE605">
        <v>30</v>
      </c>
      <c r="CF605" t="s">
        <v>635</v>
      </c>
      <c r="CG605">
        <v>3160713</v>
      </c>
      <c r="CH605">
        <v>0.04</v>
      </c>
      <c r="CI605">
        <v>126500</v>
      </c>
      <c r="CJ605">
        <v>3160713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 t="s">
        <v>88</v>
      </c>
      <c r="CT605" t="s">
        <v>1441</v>
      </c>
      <c r="CU605" t="s">
        <v>1442</v>
      </c>
    </row>
    <row r="606" spans="1:99">
      <c r="A606" t="s">
        <v>1431</v>
      </c>
      <c r="B606" t="s">
        <v>34</v>
      </c>
      <c r="C606" t="s">
        <v>2962</v>
      </c>
      <c r="D606" t="s">
        <v>2963</v>
      </c>
      <c r="E606" t="s">
        <v>1753</v>
      </c>
      <c r="F606" t="s">
        <v>2142</v>
      </c>
      <c r="G606" t="s">
        <v>2066</v>
      </c>
      <c r="H606" t="s">
        <v>2964</v>
      </c>
      <c r="I606" t="s">
        <v>240</v>
      </c>
      <c r="J606" t="s">
        <v>46</v>
      </c>
      <c r="K606" t="s">
        <v>29</v>
      </c>
      <c r="L606" t="s">
        <v>30</v>
      </c>
      <c r="M606">
        <v>180</v>
      </c>
      <c r="N606" t="s">
        <v>32</v>
      </c>
      <c r="O606" t="s">
        <v>32</v>
      </c>
      <c r="Q606" t="s">
        <v>32</v>
      </c>
      <c r="S606" t="s">
        <v>32</v>
      </c>
      <c r="U606" t="s">
        <v>32</v>
      </c>
      <c r="V606" t="s">
        <v>32</v>
      </c>
      <c r="W606" t="s">
        <v>32</v>
      </c>
      <c r="X606" t="s">
        <v>32</v>
      </c>
      <c r="Y606" t="s">
        <v>88</v>
      </c>
      <c r="Z606">
        <v>46054</v>
      </c>
      <c r="AA606" t="s">
        <v>32</v>
      </c>
      <c r="AB606" t="s">
        <v>32</v>
      </c>
      <c r="AE606" t="s">
        <v>32</v>
      </c>
      <c r="AH606" t="s">
        <v>32</v>
      </c>
      <c r="AK606" t="s">
        <v>32</v>
      </c>
      <c r="AN606" t="s">
        <v>32</v>
      </c>
      <c r="AO606" t="s">
        <v>32</v>
      </c>
      <c r="AR606">
        <v>0</v>
      </c>
      <c r="AU606" t="s">
        <v>32</v>
      </c>
      <c r="AV606">
        <v>8422300</v>
      </c>
      <c r="AW606" t="s">
        <v>32</v>
      </c>
      <c r="AX606" t="s">
        <v>32</v>
      </c>
      <c r="AY606" t="s">
        <v>317</v>
      </c>
      <c r="AZ606">
        <v>30</v>
      </c>
      <c r="BA606">
        <v>8422300</v>
      </c>
      <c r="BB606">
        <v>0.16</v>
      </c>
      <c r="BC606">
        <v>1347600</v>
      </c>
      <c r="BD606" t="s">
        <v>142</v>
      </c>
      <c r="BE606">
        <v>0</v>
      </c>
      <c r="BF606">
        <v>0</v>
      </c>
      <c r="BG606">
        <v>42200</v>
      </c>
      <c r="BH606">
        <v>42200</v>
      </c>
      <c r="BI606">
        <v>0</v>
      </c>
      <c r="BJ606">
        <v>1432000</v>
      </c>
      <c r="BK606" t="s">
        <v>25</v>
      </c>
      <c r="BL606" t="s">
        <v>1010</v>
      </c>
      <c r="BM606">
        <v>30</v>
      </c>
      <c r="BN606">
        <v>8422300</v>
      </c>
      <c r="BO606">
        <v>0.04</v>
      </c>
      <c r="BP606">
        <v>336900</v>
      </c>
      <c r="BQ606">
        <v>0</v>
      </c>
      <c r="BR606" t="s">
        <v>1438</v>
      </c>
      <c r="BS606">
        <v>0</v>
      </c>
      <c r="BT606" t="s">
        <v>1438</v>
      </c>
      <c r="BU606">
        <v>0</v>
      </c>
      <c r="BV606" t="s">
        <v>25</v>
      </c>
      <c r="BW606" t="s">
        <v>189</v>
      </c>
      <c r="BX606">
        <v>30</v>
      </c>
      <c r="BY606">
        <v>8422300</v>
      </c>
      <c r="BZ606">
        <v>6.9599999999999995E-2</v>
      </c>
      <c r="CA606" t="s">
        <v>1439</v>
      </c>
      <c r="CB606" t="s">
        <v>227</v>
      </c>
      <c r="CC606" t="s">
        <v>1440</v>
      </c>
      <c r="CD606">
        <v>586200</v>
      </c>
      <c r="CE606">
        <v>30</v>
      </c>
      <c r="CF606" t="s">
        <v>635</v>
      </c>
      <c r="CG606">
        <v>8422300</v>
      </c>
      <c r="CH606">
        <v>0.04</v>
      </c>
      <c r="CI606">
        <v>336900</v>
      </c>
      <c r="CJ606">
        <v>8422300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 t="s">
        <v>88</v>
      </c>
      <c r="CT606" t="s">
        <v>1441</v>
      </c>
      <c r="CU606" t="s">
        <v>1442</v>
      </c>
    </row>
    <row r="607" spans="1:99">
      <c r="A607" t="s">
        <v>1431</v>
      </c>
      <c r="B607" t="s">
        <v>34</v>
      </c>
      <c r="C607" t="s">
        <v>2965</v>
      </c>
      <c r="D607" t="s">
        <v>2966</v>
      </c>
      <c r="E607" t="s">
        <v>263</v>
      </c>
      <c r="F607" t="s">
        <v>1629</v>
      </c>
      <c r="G607" t="s">
        <v>1489</v>
      </c>
      <c r="H607" t="s">
        <v>1590</v>
      </c>
      <c r="I607" t="s">
        <v>682</v>
      </c>
      <c r="J607" t="s">
        <v>484</v>
      </c>
      <c r="K607" t="s">
        <v>29</v>
      </c>
      <c r="L607" t="s">
        <v>30</v>
      </c>
      <c r="M607">
        <v>0</v>
      </c>
      <c r="N607" t="s">
        <v>32</v>
      </c>
      <c r="O607" t="s">
        <v>32</v>
      </c>
      <c r="Q607" t="s">
        <v>32</v>
      </c>
      <c r="S607" t="s">
        <v>32</v>
      </c>
      <c r="U607" t="s">
        <v>32</v>
      </c>
      <c r="V607" t="s">
        <v>32</v>
      </c>
      <c r="W607" t="s">
        <v>32</v>
      </c>
      <c r="X607" t="s">
        <v>32</v>
      </c>
      <c r="Y607" t="s">
        <v>32</v>
      </c>
      <c r="AA607" t="s">
        <v>32</v>
      </c>
      <c r="AB607" t="s">
        <v>32</v>
      </c>
      <c r="AE607" t="s">
        <v>32</v>
      </c>
      <c r="AH607" t="s">
        <v>32</v>
      </c>
      <c r="AK607" t="s">
        <v>128</v>
      </c>
      <c r="AL607">
        <v>46054</v>
      </c>
      <c r="AM607">
        <v>46060</v>
      </c>
      <c r="AN607" t="s">
        <v>32</v>
      </c>
      <c r="AO607" t="s">
        <v>32</v>
      </c>
      <c r="AR607">
        <v>0</v>
      </c>
      <c r="AU607" t="s">
        <v>32</v>
      </c>
      <c r="AV607">
        <v>6384779</v>
      </c>
      <c r="AW607" t="s">
        <v>32</v>
      </c>
      <c r="AX607" t="s">
        <v>32</v>
      </c>
      <c r="AY607" t="s">
        <v>317</v>
      </c>
      <c r="AZ607">
        <v>7</v>
      </c>
      <c r="BA607">
        <v>1489782</v>
      </c>
      <c r="BB607">
        <v>0.16</v>
      </c>
      <c r="BC607">
        <v>238400</v>
      </c>
      <c r="BD607" t="s">
        <v>142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238400</v>
      </c>
      <c r="BK607" t="s">
        <v>25</v>
      </c>
      <c r="BL607" t="s">
        <v>1071</v>
      </c>
      <c r="BM607">
        <v>7</v>
      </c>
      <c r="BN607">
        <v>1489782</v>
      </c>
      <c r="BO607">
        <v>0.04</v>
      </c>
      <c r="BP607">
        <v>59600</v>
      </c>
      <c r="BQ607">
        <v>0</v>
      </c>
      <c r="BR607" t="s">
        <v>1438</v>
      </c>
      <c r="BS607">
        <v>0</v>
      </c>
      <c r="BT607" t="s">
        <v>1438</v>
      </c>
      <c r="BU607">
        <v>0</v>
      </c>
      <c r="BV607" t="s">
        <v>25</v>
      </c>
      <c r="BW607" t="s">
        <v>189</v>
      </c>
      <c r="BX607">
        <v>7</v>
      </c>
      <c r="BY607">
        <v>1489782</v>
      </c>
      <c r="BZ607">
        <v>0</v>
      </c>
      <c r="CA607" t="s">
        <v>1439</v>
      </c>
      <c r="CB607" t="s">
        <v>312</v>
      </c>
      <c r="CC607" t="s">
        <v>1440</v>
      </c>
      <c r="CD607">
        <v>0</v>
      </c>
      <c r="CE607">
        <v>7</v>
      </c>
      <c r="CF607" t="s">
        <v>466</v>
      </c>
      <c r="CG607">
        <v>1489782</v>
      </c>
      <c r="CH607">
        <v>0.04</v>
      </c>
      <c r="CI607">
        <v>59600</v>
      </c>
      <c r="CJ607">
        <v>1489782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 t="s">
        <v>88</v>
      </c>
      <c r="CT607" t="s">
        <v>1441</v>
      </c>
      <c r="CU607" t="s">
        <v>1442</v>
      </c>
    </row>
    <row r="608" spans="1:99">
      <c r="A608" t="s">
        <v>1431</v>
      </c>
      <c r="B608" t="s">
        <v>34</v>
      </c>
      <c r="C608" t="s">
        <v>2965</v>
      </c>
      <c r="D608" t="s">
        <v>2966</v>
      </c>
      <c r="E608" t="s">
        <v>263</v>
      </c>
      <c r="F608" t="s">
        <v>1629</v>
      </c>
      <c r="G608" t="s">
        <v>1489</v>
      </c>
      <c r="H608" t="s">
        <v>1590</v>
      </c>
      <c r="I608" t="s">
        <v>682</v>
      </c>
      <c r="J608" t="s">
        <v>484</v>
      </c>
      <c r="K608" t="s">
        <v>29</v>
      </c>
      <c r="L608" t="s">
        <v>30</v>
      </c>
      <c r="M608">
        <v>0</v>
      </c>
      <c r="N608" t="s">
        <v>32</v>
      </c>
      <c r="O608" t="s">
        <v>32</v>
      </c>
      <c r="Q608" t="s">
        <v>32</v>
      </c>
      <c r="S608" t="s">
        <v>32</v>
      </c>
      <c r="U608" t="s">
        <v>32</v>
      </c>
      <c r="V608" t="s">
        <v>32</v>
      </c>
      <c r="W608" t="s">
        <v>32</v>
      </c>
      <c r="X608" t="s">
        <v>32</v>
      </c>
      <c r="Y608" t="s">
        <v>32</v>
      </c>
      <c r="AA608" t="s">
        <v>32</v>
      </c>
      <c r="AB608" t="s">
        <v>37</v>
      </c>
      <c r="AC608">
        <v>46061</v>
      </c>
      <c r="AD608">
        <v>46066</v>
      </c>
      <c r="AE608" t="s">
        <v>32</v>
      </c>
      <c r="AH608" t="s">
        <v>32</v>
      </c>
      <c r="AK608" t="s">
        <v>32</v>
      </c>
      <c r="AN608" t="s">
        <v>32</v>
      </c>
      <c r="AO608" t="s">
        <v>32</v>
      </c>
      <c r="AR608">
        <v>0</v>
      </c>
      <c r="AU608" t="s">
        <v>32</v>
      </c>
      <c r="AV608">
        <v>6384779</v>
      </c>
      <c r="AW608" t="s">
        <v>32</v>
      </c>
      <c r="AX608" t="s">
        <v>32</v>
      </c>
      <c r="AY608" t="s">
        <v>317</v>
      </c>
      <c r="AZ608">
        <v>6</v>
      </c>
      <c r="BA608">
        <v>1276956</v>
      </c>
      <c r="BB608">
        <v>0.16</v>
      </c>
      <c r="BC608">
        <v>204400</v>
      </c>
      <c r="BD608" t="s">
        <v>142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204400</v>
      </c>
      <c r="BK608" t="s">
        <v>25</v>
      </c>
      <c r="BL608" t="s">
        <v>1071</v>
      </c>
      <c r="BM608">
        <v>6</v>
      </c>
      <c r="BN608">
        <v>1276956</v>
      </c>
      <c r="BO608">
        <v>0</v>
      </c>
      <c r="BP608">
        <v>0</v>
      </c>
      <c r="BQ608">
        <v>0</v>
      </c>
      <c r="BR608" t="s">
        <v>1438</v>
      </c>
      <c r="BS608">
        <v>0</v>
      </c>
      <c r="BT608" t="s">
        <v>1438</v>
      </c>
      <c r="BU608">
        <v>0</v>
      </c>
      <c r="BV608" t="s">
        <v>25</v>
      </c>
      <c r="BW608" t="s">
        <v>189</v>
      </c>
      <c r="BX608">
        <v>6</v>
      </c>
      <c r="BY608">
        <v>1276956</v>
      </c>
      <c r="BZ608">
        <v>0</v>
      </c>
      <c r="CA608" t="s">
        <v>1439</v>
      </c>
      <c r="CB608" t="s">
        <v>312</v>
      </c>
      <c r="CC608" t="s">
        <v>1440</v>
      </c>
      <c r="CD608">
        <v>0</v>
      </c>
      <c r="CE608">
        <v>6</v>
      </c>
      <c r="CF608" t="s">
        <v>466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 t="s">
        <v>88</v>
      </c>
      <c r="CT608" t="s">
        <v>1441</v>
      </c>
      <c r="CU608" t="s">
        <v>1442</v>
      </c>
    </row>
    <row r="609" spans="1:99">
      <c r="A609" t="s">
        <v>1431</v>
      </c>
      <c r="B609" t="s">
        <v>34</v>
      </c>
      <c r="C609" t="s">
        <v>2965</v>
      </c>
      <c r="D609" t="s">
        <v>2966</v>
      </c>
      <c r="E609" t="s">
        <v>263</v>
      </c>
      <c r="F609" t="s">
        <v>1629</v>
      </c>
      <c r="G609" t="s">
        <v>1489</v>
      </c>
      <c r="H609" t="s">
        <v>1590</v>
      </c>
      <c r="I609" t="s">
        <v>682</v>
      </c>
      <c r="J609" t="s">
        <v>484</v>
      </c>
      <c r="K609" t="s">
        <v>29</v>
      </c>
      <c r="L609" t="s">
        <v>30</v>
      </c>
      <c r="M609">
        <v>0</v>
      </c>
      <c r="N609" t="s">
        <v>32</v>
      </c>
      <c r="O609" t="s">
        <v>32</v>
      </c>
      <c r="Q609" t="s">
        <v>32</v>
      </c>
      <c r="S609" t="s">
        <v>32</v>
      </c>
      <c r="U609" t="s">
        <v>32</v>
      </c>
      <c r="V609" t="s">
        <v>32</v>
      </c>
      <c r="W609" t="s">
        <v>32</v>
      </c>
      <c r="X609" t="s">
        <v>32</v>
      </c>
      <c r="Y609" t="s">
        <v>32</v>
      </c>
      <c r="AA609" t="s">
        <v>32</v>
      </c>
      <c r="AB609" t="s">
        <v>37</v>
      </c>
      <c r="AC609">
        <v>46069</v>
      </c>
      <c r="AD609">
        <v>46079</v>
      </c>
      <c r="AE609" t="s">
        <v>32</v>
      </c>
      <c r="AH609" t="s">
        <v>32</v>
      </c>
      <c r="AK609" t="s">
        <v>32</v>
      </c>
      <c r="AN609" t="s">
        <v>32</v>
      </c>
      <c r="AO609" t="s">
        <v>32</v>
      </c>
      <c r="AR609">
        <v>0</v>
      </c>
      <c r="AU609" t="s">
        <v>32</v>
      </c>
      <c r="AV609">
        <v>6384779</v>
      </c>
      <c r="AW609" t="s">
        <v>32</v>
      </c>
      <c r="AX609" t="s">
        <v>32</v>
      </c>
      <c r="AY609" t="s">
        <v>317</v>
      </c>
      <c r="AZ609">
        <v>11</v>
      </c>
      <c r="BA609">
        <v>2341086</v>
      </c>
      <c r="BB609">
        <v>0.16</v>
      </c>
      <c r="BC609">
        <v>374600</v>
      </c>
      <c r="BD609" t="s">
        <v>142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374600</v>
      </c>
      <c r="BK609" t="s">
        <v>25</v>
      </c>
      <c r="BL609" t="s">
        <v>1071</v>
      </c>
      <c r="BM609">
        <v>11</v>
      </c>
      <c r="BN609">
        <v>2341086</v>
      </c>
      <c r="BO609">
        <v>0</v>
      </c>
      <c r="BP609">
        <v>0</v>
      </c>
      <c r="BQ609">
        <v>0</v>
      </c>
      <c r="BR609" t="s">
        <v>1438</v>
      </c>
      <c r="BS609">
        <v>0</v>
      </c>
      <c r="BT609" t="s">
        <v>1438</v>
      </c>
      <c r="BU609">
        <v>0</v>
      </c>
      <c r="BV609" t="s">
        <v>25</v>
      </c>
      <c r="BW609" t="s">
        <v>189</v>
      </c>
      <c r="BX609">
        <v>11</v>
      </c>
      <c r="BY609">
        <v>2341086</v>
      </c>
      <c r="BZ609">
        <v>0</v>
      </c>
      <c r="CA609" t="s">
        <v>1439</v>
      </c>
      <c r="CB609" t="s">
        <v>312</v>
      </c>
      <c r="CC609" t="s">
        <v>1440</v>
      </c>
      <c r="CD609">
        <v>0</v>
      </c>
      <c r="CE609">
        <v>11</v>
      </c>
      <c r="CF609" t="s">
        <v>466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 t="s">
        <v>88</v>
      </c>
      <c r="CT609" t="s">
        <v>1441</v>
      </c>
      <c r="CU609" t="s">
        <v>1442</v>
      </c>
    </row>
    <row r="610" spans="1:99">
      <c r="A610" t="s">
        <v>1431</v>
      </c>
      <c r="B610" t="s">
        <v>34</v>
      </c>
      <c r="C610" t="s">
        <v>2965</v>
      </c>
      <c r="D610" t="s">
        <v>2966</v>
      </c>
      <c r="E610" t="s">
        <v>263</v>
      </c>
      <c r="F610" t="s">
        <v>1629</v>
      </c>
      <c r="G610" t="s">
        <v>1489</v>
      </c>
      <c r="H610" t="s">
        <v>1590</v>
      </c>
      <c r="I610" t="s">
        <v>682</v>
      </c>
      <c r="J610" t="s">
        <v>484</v>
      </c>
      <c r="K610" t="s">
        <v>29</v>
      </c>
      <c r="L610" t="s">
        <v>30</v>
      </c>
      <c r="M610">
        <v>9</v>
      </c>
      <c r="N610" t="s">
        <v>32</v>
      </c>
      <c r="O610" t="s">
        <v>32</v>
      </c>
      <c r="Q610" t="s">
        <v>32</v>
      </c>
      <c r="S610" t="s">
        <v>32</v>
      </c>
      <c r="U610" t="s">
        <v>32</v>
      </c>
      <c r="V610" t="s">
        <v>32</v>
      </c>
      <c r="W610" t="s">
        <v>32</v>
      </c>
      <c r="X610" t="s">
        <v>32</v>
      </c>
      <c r="Y610" t="s">
        <v>32</v>
      </c>
      <c r="AA610" t="s">
        <v>32</v>
      </c>
      <c r="AB610" t="s">
        <v>32</v>
      </c>
      <c r="AE610" t="s">
        <v>32</v>
      </c>
      <c r="AH610" t="s">
        <v>32</v>
      </c>
      <c r="AK610" t="s">
        <v>32</v>
      </c>
      <c r="AN610" t="s">
        <v>32</v>
      </c>
      <c r="AO610" t="s">
        <v>32</v>
      </c>
      <c r="AR610">
        <v>0</v>
      </c>
      <c r="AU610" t="s">
        <v>32</v>
      </c>
      <c r="AV610">
        <v>6384779</v>
      </c>
      <c r="AW610" t="s">
        <v>32</v>
      </c>
      <c r="AX610" t="s">
        <v>32</v>
      </c>
      <c r="AY610" t="s">
        <v>317</v>
      </c>
      <c r="AZ610">
        <v>6</v>
      </c>
      <c r="BA610">
        <v>1276956</v>
      </c>
      <c r="BB610">
        <v>0.16</v>
      </c>
      <c r="BC610">
        <v>204400</v>
      </c>
      <c r="BD610" t="s">
        <v>142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204400</v>
      </c>
      <c r="BK610" t="s">
        <v>25</v>
      </c>
      <c r="BL610" t="s">
        <v>1071</v>
      </c>
      <c r="BM610">
        <v>6</v>
      </c>
      <c r="BN610">
        <v>1276956</v>
      </c>
      <c r="BO610">
        <v>0.04</v>
      </c>
      <c r="BP610">
        <v>51100</v>
      </c>
      <c r="BQ610">
        <v>0</v>
      </c>
      <c r="BR610" t="s">
        <v>1438</v>
      </c>
      <c r="BS610">
        <v>0</v>
      </c>
      <c r="BT610" t="s">
        <v>1438</v>
      </c>
      <c r="BU610">
        <v>0</v>
      </c>
      <c r="BV610" t="s">
        <v>25</v>
      </c>
      <c r="BW610" t="s">
        <v>189</v>
      </c>
      <c r="BX610">
        <v>6</v>
      </c>
      <c r="BY610">
        <v>1276956</v>
      </c>
      <c r="BZ610">
        <v>6.9599999999999995E-2</v>
      </c>
      <c r="CA610" t="s">
        <v>1439</v>
      </c>
      <c r="CB610" t="s">
        <v>312</v>
      </c>
      <c r="CC610" t="s">
        <v>1440</v>
      </c>
      <c r="CD610">
        <v>88900</v>
      </c>
      <c r="CE610">
        <v>6</v>
      </c>
      <c r="CF610" t="s">
        <v>466</v>
      </c>
      <c r="CG610">
        <v>1276956</v>
      </c>
      <c r="CH610">
        <v>0.04</v>
      </c>
      <c r="CI610">
        <v>51100</v>
      </c>
      <c r="CJ610">
        <v>1276956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 t="s">
        <v>88</v>
      </c>
      <c r="CT610" t="s">
        <v>1441</v>
      </c>
      <c r="CU610" t="s">
        <v>1442</v>
      </c>
    </row>
    <row r="611" spans="1:99">
      <c r="A611" t="s">
        <v>1431</v>
      </c>
      <c r="B611" t="s">
        <v>34</v>
      </c>
      <c r="C611" t="s">
        <v>2967</v>
      </c>
      <c r="D611" t="s">
        <v>2968</v>
      </c>
      <c r="E611" t="s">
        <v>2142</v>
      </c>
      <c r="F611" t="s">
        <v>2969</v>
      </c>
      <c r="G611" t="s">
        <v>1584</v>
      </c>
      <c r="H611" t="s">
        <v>1558</v>
      </c>
      <c r="I611" t="s">
        <v>240</v>
      </c>
      <c r="J611" t="s">
        <v>46</v>
      </c>
      <c r="K611" t="s">
        <v>29</v>
      </c>
      <c r="L611" t="s">
        <v>30</v>
      </c>
      <c r="M611">
        <v>219</v>
      </c>
      <c r="N611" t="s">
        <v>32</v>
      </c>
      <c r="O611" t="s">
        <v>32</v>
      </c>
      <c r="Q611" t="s">
        <v>32</v>
      </c>
      <c r="S611" t="s">
        <v>32</v>
      </c>
      <c r="U611" t="s">
        <v>32</v>
      </c>
      <c r="V611" t="s">
        <v>32</v>
      </c>
      <c r="W611" t="s">
        <v>32</v>
      </c>
      <c r="X611" t="s">
        <v>32</v>
      </c>
      <c r="Y611" t="s">
        <v>32</v>
      </c>
      <c r="AA611" t="s">
        <v>88</v>
      </c>
      <c r="AB611" t="s">
        <v>32</v>
      </c>
      <c r="AE611" t="s">
        <v>32</v>
      </c>
      <c r="AH611" t="s">
        <v>32</v>
      </c>
      <c r="AK611" t="s">
        <v>32</v>
      </c>
      <c r="AN611" t="s">
        <v>32</v>
      </c>
      <c r="AO611" t="s">
        <v>32</v>
      </c>
      <c r="AR611">
        <v>0</v>
      </c>
      <c r="AU611" t="s">
        <v>32</v>
      </c>
      <c r="AV611">
        <v>2074908</v>
      </c>
      <c r="AW611" t="s">
        <v>32</v>
      </c>
      <c r="AX611" t="s">
        <v>32</v>
      </c>
      <c r="AY611" t="s">
        <v>185</v>
      </c>
      <c r="AZ611">
        <v>30</v>
      </c>
      <c r="BA611">
        <v>2825679</v>
      </c>
      <c r="BB611">
        <v>0.16</v>
      </c>
      <c r="BC611">
        <v>452200</v>
      </c>
      <c r="BD611" t="s">
        <v>142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452200</v>
      </c>
      <c r="BK611" t="s">
        <v>25</v>
      </c>
      <c r="BL611" t="s">
        <v>1010</v>
      </c>
      <c r="BM611">
        <v>30</v>
      </c>
      <c r="BN611">
        <v>2825679</v>
      </c>
      <c r="BO611">
        <v>0.04</v>
      </c>
      <c r="BP611">
        <v>113100</v>
      </c>
      <c r="BQ611">
        <v>0</v>
      </c>
      <c r="BR611" t="s">
        <v>1438</v>
      </c>
      <c r="BS611">
        <v>0</v>
      </c>
      <c r="BT611" t="s">
        <v>1438</v>
      </c>
      <c r="BU611">
        <v>0</v>
      </c>
      <c r="BV611" t="s">
        <v>25</v>
      </c>
      <c r="BW611" t="s">
        <v>189</v>
      </c>
      <c r="BX611">
        <v>30</v>
      </c>
      <c r="BY611">
        <v>2825679</v>
      </c>
      <c r="BZ611">
        <v>6.9599999999999995E-2</v>
      </c>
      <c r="CA611" t="s">
        <v>1439</v>
      </c>
      <c r="CB611" t="s">
        <v>227</v>
      </c>
      <c r="CC611" t="s">
        <v>1440</v>
      </c>
      <c r="CD611">
        <v>196700</v>
      </c>
      <c r="CE611">
        <v>30</v>
      </c>
      <c r="CF611" t="s">
        <v>635</v>
      </c>
      <c r="CG611">
        <v>2825679</v>
      </c>
      <c r="CH611">
        <v>0.04</v>
      </c>
      <c r="CI611">
        <v>113100</v>
      </c>
      <c r="CJ611">
        <v>2825679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 t="s">
        <v>88</v>
      </c>
      <c r="CT611" t="s">
        <v>1441</v>
      </c>
      <c r="CU611" t="s">
        <v>1442</v>
      </c>
    </row>
    <row r="612" spans="1:99">
      <c r="A612" t="s">
        <v>1431</v>
      </c>
      <c r="B612" t="s">
        <v>34</v>
      </c>
      <c r="C612" t="s">
        <v>2970</v>
      </c>
      <c r="D612" t="s">
        <v>2971</v>
      </c>
      <c r="E612" t="s">
        <v>2972</v>
      </c>
      <c r="F612" t="s">
        <v>614</v>
      </c>
      <c r="G612" t="s">
        <v>2973</v>
      </c>
      <c r="H612" t="s">
        <v>1558</v>
      </c>
      <c r="I612" t="s">
        <v>240</v>
      </c>
      <c r="J612" t="s">
        <v>46</v>
      </c>
      <c r="K612" t="s">
        <v>29</v>
      </c>
      <c r="L612" t="s">
        <v>30</v>
      </c>
      <c r="M612">
        <v>218</v>
      </c>
      <c r="N612" t="s">
        <v>32</v>
      </c>
      <c r="O612" t="s">
        <v>32</v>
      </c>
      <c r="Q612" t="s">
        <v>32</v>
      </c>
      <c r="S612" t="s">
        <v>32</v>
      </c>
      <c r="U612" t="s">
        <v>32</v>
      </c>
      <c r="V612" t="s">
        <v>32</v>
      </c>
      <c r="W612" t="s">
        <v>32</v>
      </c>
      <c r="X612" t="s">
        <v>32</v>
      </c>
      <c r="Y612" t="s">
        <v>32</v>
      </c>
      <c r="AA612" t="s">
        <v>88</v>
      </c>
      <c r="AB612" t="s">
        <v>32</v>
      </c>
      <c r="AE612" t="s">
        <v>32</v>
      </c>
      <c r="AH612" t="s">
        <v>32</v>
      </c>
      <c r="AK612" t="s">
        <v>32</v>
      </c>
      <c r="AN612" t="s">
        <v>32</v>
      </c>
      <c r="AO612" t="s">
        <v>32</v>
      </c>
      <c r="AR612">
        <v>0</v>
      </c>
      <c r="AU612" t="s">
        <v>32</v>
      </c>
      <c r="AV612">
        <v>2074908</v>
      </c>
      <c r="AW612" t="s">
        <v>32</v>
      </c>
      <c r="AX612" t="s">
        <v>32</v>
      </c>
      <c r="AY612" t="s">
        <v>137</v>
      </c>
      <c r="AZ612">
        <v>30</v>
      </c>
      <c r="BA612">
        <v>2941214</v>
      </c>
      <c r="BB612">
        <v>0.16</v>
      </c>
      <c r="BC612">
        <v>470600</v>
      </c>
      <c r="BD612" t="s">
        <v>142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470600</v>
      </c>
      <c r="BK612" t="s">
        <v>25</v>
      </c>
      <c r="BL612" t="s">
        <v>1064</v>
      </c>
      <c r="BM612">
        <v>30</v>
      </c>
      <c r="BN612">
        <v>2941214</v>
      </c>
      <c r="BO612">
        <v>0.04</v>
      </c>
      <c r="BP612">
        <v>117700</v>
      </c>
      <c r="BQ612">
        <v>0</v>
      </c>
      <c r="BR612" t="s">
        <v>1438</v>
      </c>
      <c r="BS612">
        <v>0</v>
      </c>
      <c r="BT612" t="s">
        <v>1438</v>
      </c>
      <c r="BU612">
        <v>0</v>
      </c>
      <c r="BV612" t="s">
        <v>25</v>
      </c>
      <c r="BW612" t="s">
        <v>189</v>
      </c>
      <c r="BX612">
        <v>30</v>
      </c>
      <c r="BY612">
        <v>2941214</v>
      </c>
      <c r="BZ612">
        <v>6.9599999999999995E-2</v>
      </c>
      <c r="CA612" t="s">
        <v>1439</v>
      </c>
      <c r="CB612" t="s">
        <v>227</v>
      </c>
      <c r="CC612" t="s">
        <v>1440</v>
      </c>
      <c r="CD612">
        <v>204800</v>
      </c>
      <c r="CE612">
        <v>30</v>
      </c>
      <c r="CF612" t="s">
        <v>635</v>
      </c>
      <c r="CG612">
        <v>2941214</v>
      </c>
      <c r="CH612">
        <v>0.04</v>
      </c>
      <c r="CI612">
        <v>117700</v>
      </c>
      <c r="CJ612">
        <v>2941214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 t="s">
        <v>88</v>
      </c>
      <c r="CT612" t="s">
        <v>1441</v>
      </c>
      <c r="CU612" t="s">
        <v>1442</v>
      </c>
    </row>
    <row r="613" spans="1:99">
      <c r="A613" t="s">
        <v>1431</v>
      </c>
      <c r="B613" t="s">
        <v>34</v>
      </c>
      <c r="C613" t="s">
        <v>2974</v>
      </c>
      <c r="D613" t="s">
        <v>2975</v>
      </c>
      <c r="E613" t="s">
        <v>1648</v>
      </c>
      <c r="F613" t="s">
        <v>1551</v>
      </c>
      <c r="G613" t="s">
        <v>2976</v>
      </c>
      <c r="H613" t="s">
        <v>1436</v>
      </c>
      <c r="I613" t="s">
        <v>240</v>
      </c>
      <c r="J613" t="s">
        <v>46</v>
      </c>
      <c r="K613" t="s">
        <v>29</v>
      </c>
      <c r="L613" t="s">
        <v>30</v>
      </c>
      <c r="M613">
        <v>34</v>
      </c>
      <c r="N613" t="s">
        <v>32</v>
      </c>
      <c r="O613" t="s">
        <v>32</v>
      </c>
      <c r="Q613" t="s">
        <v>32</v>
      </c>
      <c r="S613" t="s">
        <v>40</v>
      </c>
      <c r="T613">
        <v>46056</v>
      </c>
      <c r="U613" t="s">
        <v>32</v>
      </c>
      <c r="V613" t="s">
        <v>32</v>
      </c>
      <c r="W613" t="s">
        <v>32</v>
      </c>
      <c r="X613" t="s">
        <v>32</v>
      </c>
      <c r="Y613" t="s">
        <v>32</v>
      </c>
      <c r="AA613" t="s">
        <v>88</v>
      </c>
      <c r="AB613" t="s">
        <v>32</v>
      </c>
      <c r="AE613" t="s">
        <v>32</v>
      </c>
      <c r="AH613" t="s">
        <v>32</v>
      </c>
      <c r="AK613" t="s">
        <v>32</v>
      </c>
      <c r="AN613" t="s">
        <v>32</v>
      </c>
      <c r="AO613" t="s">
        <v>32</v>
      </c>
      <c r="AR613">
        <v>0</v>
      </c>
      <c r="AU613" t="s">
        <v>32</v>
      </c>
      <c r="AV613">
        <v>2665550</v>
      </c>
      <c r="AW613" t="s">
        <v>32</v>
      </c>
      <c r="AX613" t="s">
        <v>32</v>
      </c>
      <c r="AY613" t="s">
        <v>185</v>
      </c>
      <c r="AZ613">
        <v>3</v>
      </c>
      <c r="BA613">
        <v>1251616</v>
      </c>
      <c r="BB613">
        <v>0.16</v>
      </c>
      <c r="BC613">
        <v>200300</v>
      </c>
      <c r="BD613" t="s">
        <v>142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200300</v>
      </c>
      <c r="BK613" t="s">
        <v>25</v>
      </c>
      <c r="BL613" t="s">
        <v>1064</v>
      </c>
      <c r="BM613">
        <v>3</v>
      </c>
      <c r="BN613">
        <v>1251616</v>
      </c>
      <c r="BO613">
        <v>0.125</v>
      </c>
      <c r="BP613">
        <v>156500</v>
      </c>
      <c r="BQ613">
        <v>0</v>
      </c>
      <c r="BR613" t="s">
        <v>1438</v>
      </c>
      <c r="BS613">
        <v>0</v>
      </c>
      <c r="BT613" t="s">
        <v>1438</v>
      </c>
      <c r="BU613">
        <v>0</v>
      </c>
      <c r="BV613" t="s">
        <v>25</v>
      </c>
      <c r="BW613" t="s">
        <v>189</v>
      </c>
      <c r="BX613">
        <v>3</v>
      </c>
      <c r="BY613">
        <v>1251616</v>
      </c>
      <c r="BZ613">
        <v>6.9599999999999995E-2</v>
      </c>
      <c r="CA613" t="s">
        <v>1439</v>
      </c>
      <c r="CB613" t="s">
        <v>227</v>
      </c>
      <c r="CC613" t="s">
        <v>1440</v>
      </c>
      <c r="CD613">
        <v>87200</v>
      </c>
      <c r="CE613">
        <v>3</v>
      </c>
      <c r="CF613" t="s">
        <v>635</v>
      </c>
      <c r="CG613">
        <v>1875016</v>
      </c>
      <c r="CH613">
        <v>0.04</v>
      </c>
      <c r="CI613">
        <v>75100</v>
      </c>
      <c r="CJ613">
        <v>1875016</v>
      </c>
      <c r="CK613">
        <v>0.02</v>
      </c>
      <c r="CL613">
        <v>37600</v>
      </c>
      <c r="CM613">
        <v>0.03</v>
      </c>
      <c r="CN613">
        <v>56300</v>
      </c>
      <c r="CO613">
        <v>0</v>
      </c>
      <c r="CP613">
        <v>0</v>
      </c>
      <c r="CQ613">
        <v>0</v>
      </c>
      <c r="CR613">
        <v>0</v>
      </c>
      <c r="CS613" t="s">
        <v>88</v>
      </c>
      <c r="CT613" t="s">
        <v>1441</v>
      </c>
      <c r="CU613" t="s">
        <v>1442</v>
      </c>
    </row>
    <row r="614" spans="1:99">
      <c r="A614" t="s">
        <v>1431</v>
      </c>
      <c r="B614" t="s">
        <v>34</v>
      </c>
      <c r="C614" t="s">
        <v>2977</v>
      </c>
      <c r="D614" t="s">
        <v>2978</v>
      </c>
      <c r="E614" t="s">
        <v>2979</v>
      </c>
      <c r="F614" t="s">
        <v>1562</v>
      </c>
      <c r="G614" t="s">
        <v>2194</v>
      </c>
      <c r="H614" t="s">
        <v>2046</v>
      </c>
      <c r="I614" t="s">
        <v>682</v>
      </c>
      <c r="J614" t="s">
        <v>484</v>
      </c>
      <c r="K614" t="s">
        <v>29</v>
      </c>
      <c r="L614" t="s">
        <v>30</v>
      </c>
      <c r="M614">
        <v>180</v>
      </c>
      <c r="N614" t="s">
        <v>32</v>
      </c>
      <c r="O614" t="s">
        <v>32</v>
      </c>
      <c r="Q614" t="s">
        <v>32</v>
      </c>
      <c r="S614" t="s">
        <v>32</v>
      </c>
      <c r="U614" t="s">
        <v>32</v>
      </c>
      <c r="V614" t="s">
        <v>32</v>
      </c>
      <c r="W614" t="s">
        <v>32</v>
      </c>
      <c r="X614" t="s">
        <v>32</v>
      </c>
      <c r="Y614" t="s">
        <v>88</v>
      </c>
      <c r="Z614">
        <v>46054</v>
      </c>
      <c r="AA614" t="s">
        <v>32</v>
      </c>
      <c r="AB614" t="s">
        <v>32</v>
      </c>
      <c r="AE614" t="s">
        <v>32</v>
      </c>
      <c r="AH614" t="s">
        <v>32</v>
      </c>
      <c r="AK614" t="s">
        <v>32</v>
      </c>
      <c r="AN614" t="s">
        <v>32</v>
      </c>
      <c r="AO614" t="s">
        <v>32</v>
      </c>
      <c r="AR614">
        <v>0</v>
      </c>
      <c r="AU614" t="s">
        <v>32</v>
      </c>
      <c r="AV614">
        <v>4902458</v>
      </c>
      <c r="AW614" t="s">
        <v>32</v>
      </c>
      <c r="AX614" t="s">
        <v>32</v>
      </c>
      <c r="AY614" t="s">
        <v>317</v>
      </c>
      <c r="AZ614">
        <v>30</v>
      </c>
      <c r="BA614">
        <v>4902458</v>
      </c>
      <c r="BB614">
        <v>0.16</v>
      </c>
      <c r="BC614">
        <v>784400</v>
      </c>
      <c r="BD614" t="s">
        <v>142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784400</v>
      </c>
      <c r="BK614" t="s">
        <v>25</v>
      </c>
      <c r="BL614" t="s">
        <v>1064</v>
      </c>
      <c r="BM614">
        <v>30</v>
      </c>
      <c r="BN614">
        <v>4902458</v>
      </c>
      <c r="BO614">
        <v>0.04</v>
      </c>
      <c r="BP614">
        <v>196100</v>
      </c>
      <c r="BQ614">
        <v>0</v>
      </c>
      <c r="BR614" t="s">
        <v>1438</v>
      </c>
      <c r="BS614">
        <v>0</v>
      </c>
      <c r="BT614" t="s">
        <v>1438</v>
      </c>
      <c r="BU614">
        <v>0</v>
      </c>
      <c r="BV614" t="s">
        <v>25</v>
      </c>
      <c r="BW614" t="s">
        <v>189</v>
      </c>
      <c r="BX614">
        <v>30</v>
      </c>
      <c r="BY614">
        <v>4902458</v>
      </c>
      <c r="BZ614">
        <v>6.9599999999999995E-2</v>
      </c>
      <c r="CA614" t="s">
        <v>1439</v>
      </c>
      <c r="CB614" t="s">
        <v>312</v>
      </c>
      <c r="CC614" t="s">
        <v>1440</v>
      </c>
      <c r="CD614">
        <v>341300</v>
      </c>
      <c r="CE614">
        <v>30</v>
      </c>
      <c r="CF614" t="s">
        <v>466</v>
      </c>
      <c r="CG614">
        <v>4902458</v>
      </c>
      <c r="CH614">
        <v>0.04</v>
      </c>
      <c r="CI614">
        <v>196100</v>
      </c>
      <c r="CJ614">
        <v>4902458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 t="s">
        <v>88</v>
      </c>
      <c r="CT614" t="s">
        <v>1441</v>
      </c>
      <c r="CU614" t="s">
        <v>1442</v>
      </c>
    </row>
    <row r="615" spans="1:99">
      <c r="A615" t="s">
        <v>1431</v>
      </c>
      <c r="B615" t="s">
        <v>34</v>
      </c>
      <c r="C615" t="s">
        <v>2980</v>
      </c>
      <c r="D615" t="s">
        <v>2981</v>
      </c>
      <c r="E615" t="s">
        <v>1634</v>
      </c>
      <c r="F615" t="s">
        <v>1628</v>
      </c>
      <c r="G615" t="s">
        <v>2066</v>
      </c>
      <c r="H615" t="s">
        <v>2341</v>
      </c>
      <c r="I615" t="s">
        <v>240</v>
      </c>
      <c r="J615" t="s">
        <v>46</v>
      </c>
      <c r="K615" t="s">
        <v>29</v>
      </c>
      <c r="L615" t="s">
        <v>30</v>
      </c>
      <c r="M615">
        <v>0</v>
      </c>
      <c r="N615" t="s">
        <v>32</v>
      </c>
      <c r="O615" t="s">
        <v>32</v>
      </c>
      <c r="Q615" t="s">
        <v>32</v>
      </c>
      <c r="S615" t="s">
        <v>32</v>
      </c>
      <c r="U615" t="s">
        <v>32</v>
      </c>
      <c r="V615" t="s">
        <v>32</v>
      </c>
      <c r="W615" t="s">
        <v>32</v>
      </c>
      <c r="X615" t="s">
        <v>32</v>
      </c>
      <c r="Y615" t="s">
        <v>32</v>
      </c>
      <c r="AA615" t="s">
        <v>32</v>
      </c>
      <c r="AB615" t="s">
        <v>37</v>
      </c>
      <c r="AC615">
        <v>46059</v>
      </c>
      <c r="AD615">
        <v>46060</v>
      </c>
      <c r="AE615" t="s">
        <v>32</v>
      </c>
      <c r="AH615" t="s">
        <v>32</v>
      </c>
      <c r="AK615" t="s">
        <v>32</v>
      </c>
      <c r="AN615" t="s">
        <v>32</v>
      </c>
      <c r="AO615" t="s">
        <v>32</v>
      </c>
      <c r="AR615">
        <v>0</v>
      </c>
      <c r="AU615" t="s">
        <v>32</v>
      </c>
      <c r="AV615">
        <v>1785595</v>
      </c>
      <c r="AW615" t="s">
        <v>32</v>
      </c>
      <c r="AX615" t="s">
        <v>32</v>
      </c>
      <c r="AY615" t="s">
        <v>317</v>
      </c>
      <c r="AZ615">
        <v>2</v>
      </c>
      <c r="BA615">
        <v>119040</v>
      </c>
      <c r="BB615">
        <v>0.16</v>
      </c>
      <c r="BC615">
        <v>19100</v>
      </c>
      <c r="BD615" t="s">
        <v>142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19100</v>
      </c>
      <c r="BK615" t="s">
        <v>25</v>
      </c>
      <c r="BL615" t="s">
        <v>1010</v>
      </c>
      <c r="BM615">
        <v>2</v>
      </c>
      <c r="BN615">
        <v>119040</v>
      </c>
      <c r="BO615">
        <v>0</v>
      </c>
      <c r="BP615">
        <v>0</v>
      </c>
      <c r="BQ615">
        <v>0</v>
      </c>
      <c r="BR615" t="s">
        <v>1438</v>
      </c>
      <c r="BS615">
        <v>0</v>
      </c>
      <c r="BT615" t="s">
        <v>1438</v>
      </c>
      <c r="BU615">
        <v>0</v>
      </c>
      <c r="BV615" t="s">
        <v>25</v>
      </c>
      <c r="BW615" t="s">
        <v>189</v>
      </c>
      <c r="BX615">
        <v>2</v>
      </c>
      <c r="BY615">
        <v>119040</v>
      </c>
      <c r="BZ615">
        <v>0</v>
      </c>
      <c r="CA615" t="s">
        <v>1439</v>
      </c>
      <c r="CB615" t="s">
        <v>227</v>
      </c>
      <c r="CC615" t="s">
        <v>1440</v>
      </c>
      <c r="CD615">
        <v>0</v>
      </c>
      <c r="CE615">
        <v>2</v>
      </c>
      <c r="CF615" t="s">
        <v>635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 t="s">
        <v>88</v>
      </c>
      <c r="CT615" t="s">
        <v>1441</v>
      </c>
      <c r="CU615" t="s">
        <v>1442</v>
      </c>
    </row>
    <row r="616" spans="1:99">
      <c r="A616" t="s">
        <v>1431</v>
      </c>
      <c r="B616" t="s">
        <v>34</v>
      </c>
      <c r="C616" t="s">
        <v>2980</v>
      </c>
      <c r="D616" t="s">
        <v>2981</v>
      </c>
      <c r="E616" t="s">
        <v>1634</v>
      </c>
      <c r="F616" t="s">
        <v>1628</v>
      </c>
      <c r="G616" t="s">
        <v>2066</v>
      </c>
      <c r="H616" t="s">
        <v>2341</v>
      </c>
      <c r="I616" t="s">
        <v>240</v>
      </c>
      <c r="J616" t="s">
        <v>46</v>
      </c>
      <c r="K616" t="s">
        <v>29</v>
      </c>
      <c r="L616" t="s">
        <v>30</v>
      </c>
      <c r="M616">
        <v>0</v>
      </c>
      <c r="N616" t="s">
        <v>32</v>
      </c>
      <c r="O616" t="s">
        <v>32</v>
      </c>
      <c r="Q616" t="s">
        <v>32</v>
      </c>
      <c r="S616" t="s">
        <v>32</v>
      </c>
      <c r="U616" t="s">
        <v>32</v>
      </c>
      <c r="V616" t="s">
        <v>32</v>
      </c>
      <c r="W616" t="s">
        <v>32</v>
      </c>
      <c r="X616" t="s">
        <v>32</v>
      </c>
      <c r="Y616" t="s">
        <v>32</v>
      </c>
      <c r="AA616" t="s">
        <v>32</v>
      </c>
      <c r="AB616" t="s">
        <v>37</v>
      </c>
      <c r="AC616">
        <v>46069</v>
      </c>
      <c r="AD616">
        <v>46070</v>
      </c>
      <c r="AE616" t="s">
        <v>32</v>
      </c>
      <c r="AH616" t="s">
        <v>32</v>
      </c>
      <c r="AK616" t="s">
        <v>32</v>
      </c>
      <c r="AN616" t="s">
        <v>32</v>
      </c>
      <c r="AO616" t="s">
        <v>32</v>
      </c>
      <c r="AR616">
        <v>0</v>
      </c>
      <c r="AU616" t="s">
        <v>32</v>
      </c>
      <c r="AV616">
        <v>1785595</v>
      </c>
      <c r="AW616" t="s">
        <v>32</v>
      </c>
      <c r="AX616" t="s">
        <v>32</v>
      </c>
      <c r="AY616" t="s">
        <v>317</v>
      </c>
      <c r="AZ616">
        <v>2</v>
      </c>
      <c r="BA616">
        <v>119040</v>
      </c>
      <c r="BB616">
        <v>0.16</v>
      </c>
      <c r="BC616">
        <v>19100</v>
      </c>
      <c r="BD616" t="s">
        <v>142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19100</v>
      </c>
      <c r="BK616" t="s">
        <v>25</v>
      </c>
      <c r="BL616" t="s">
        <v>1010</v>
      </c>
      <c r="BM616">
        <v>2</v>
      </c>
      <c r="BN616">
        <v>119040</v>
      </c>
      <c r="BO616">
        <v>0</v>
      </c>
      <c r="BP616">
        <v>0</v>
      </c>
      <c r="BQ616">
        <v>0</v>
      </c>
      <c r="BR616" t="s">
        <v>1438</v>
      </c>
      <c r="BS616">
        <v>0</v>
      </c>
      <c r="BT616" t="s">
        <v>1438</v>
      </c>
      <c r="BU616">
        <v>0</v>
      </c>
      <c r="BV616" t="s">
        <v>25</v>
      </c>
      <c r="BW616" t="s">
        <v>189</v>
      </c>
      <c r="BX616">
        <v>2</v>
      </c>
      <c r="BY616">
        <v>119040</v>
      </c>
      <c r="BZ616">
        <v>0</v>
      </c>
      <c r="CA616" t="s">
        <v>1439</v>
      </c>
      <c r="CB616" t="s">
        <v>227</v>
      </c>
      <c r="CC616" t="s">
        <v>1440</v>
      </c>
      <c r="CD616">
        <v>0</v>
      </c>
      <c r="CE616">
        <v>2</v>
      </c>
      <c r="CF616" t="s">
        <v>635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 t="s">
        <v>88</v>
      </c>
      <c r="CT616" t="s">
        <v>1441</v>
      </c>
      <c r="CU616" t="s">
        <v>1442</v>
      </c>
    </row>
    <row r="617" spans="1:99">
      <c r="A617" t="s">
        <v>1431</v>
      </c>
      <c r="B617" t="s">
        <v>34</v>
      </c>
      <c r="C617" t="s">
        <v>2980</v>
      </c>
      <c r="D617" t="s">
        <v>2981</v>
      </c>
      <c r="E617" t="s">
        <v>1634</v>
      </c>
      <c r="F617" t="s">
        <v>1628</v>
      </c>
      <c r="G617" t="s">
        <v>2066</v>
      </c>
      <c r="H617" t="s">
        <v>2341</v>
      </c>
      <c r="I617" t="s">
        <v>240</v>
      </c>
      <c r="J617" t="s">
        <v>46</v>
      </c>
      <c r="K617" t="s">
        <v>29</v>
      </c>
      <c r="L617" t="s">
        <v>30</v>
      </c>
      <c r="M617">
        <v>188</v>
      </c>
      <c r="N617" t="s">
        <v>32</v>
      </c>
      <c r="O617" t="s">
        <v>32</v>
      </c>
      <c r="Q617" t="s">
        <v>32</v>
      </c>
      <c r="S617" t="s">
        <v>32</v>
      </c>
      <c r="U617" t="s">
        <v>32</v>
      </c>
      <c r="V617" t="s">
        <v>32</v>
      </c>
      <c r="W617" t="s">
        <v>32</v>
      </c>
      <c r="X617" t="s">
        <v>32</v>
      </c>
      <c r="Y617" t="s">
        <v>32</v>
      </c>
      <c r="AA617" t="s">
        <v>88</v>
      </c>
      <c r="AB617" t="s">
        <v>32</v>
      </c>
      <c r="AE617" t="s">
        <v>32</v>
      </c>
      <c r="AH617" t="s">
        <v>32</v>
      </c>
      <c r="AK617" t="s">
        <v>32</v>
      </c>
      <c r="AN617" t="s">
        <v>32</v>
      </c>
      <c r="AO617" t="s">
        <v>32</v>
      </c>
      <c r="AR617">
        <v>0</v>
      </c>
      <c r="AU617" t="s">
        <v>32</v>
      </c>
      <c r="AV617">
        <v>1785595</v>
      </c>
      <c r="AW617" t="s">
        <v>32</v>
      </c>
      <c r="AX617" t="s">
        <v>32</v>
      </c>
      <c r="AY617" t="s">
        <v>317</v>
      </c>
      <c r="AZ617">
        <v>26</v>
      </c>
      <c r="BA617">
        <v>2153022</v>
      </c>
      <c r="BB617">
        <v>0.16</v>
      </c>
      <c r="BC617">
        <v>344500</v>
      </c>
      <c r="BD617" t="s">
        <v>142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344500</v>
      </c>
      <c r="BK617" t="s">
        <v>25</v>
      </c>
      <c r="BL617" t="s">
        <v>1010</v>
      </c>
      <c r="BM617">
        <v>26</v>
      </c>
      <c r="BN617">
        <v>2153022</v>
      </c>
      <c r="BO617">
        <v>0.04</v>
      </c>
      <c r="BP617">
        <v>86200</v>
      </c>
      <c r="BQ617">
        <v>0</v>
      </c>
      <c r="BR617" t="s">
        <v>1438</v>
      </c>
      <c r="BS617">
        <v>0</v>
      </c>
      <c r="BT617" t="s">
        <v>1438</v>
      </c>
      <c r="BU617">
        <v>0</v>
      </c>
      <c r="BV617" t="s">
        <v>25</v>
      </c>
      <c r="BW617" t="s">
        <v>189</v>
      </c>
      <c r="BX617">
        <v>26</v>
      </c>
      <c r="BY617">
        <v>2153022</v>
      </c>
      <c r="BZ617">
        <v>6.9599999999999995E-2</v>
      </c>
      <c r="CA617" t="s">
        <v>1439</v>
      </c>
      <c r="CB617" t="s">
        <v>227</v>
      </c>
      <c r="CC617" t="s">
        <v>1440</v>
      </c>
      <c r="CD617">
        <v>149900</v>
      </c>
      <c r="CE617">
        <v>26</v>
      </c>
      <c r="CF617" t="s">
        <v>635</v>
      </c>
      <c r="CG617">
        <v>2153022</v>
      </c>
      <c r="CH617">
        <v>0.04</v>
      </c>
      <c r="CI617">
        <v>86200</v>
      </c>
      <c r="CJ617">
        <v>2153022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 t="s">
        <v>88</v>
      </c>
      <c r="CT617" t="s">
        <v>1441</v>
      </c>
      <c r="CU617" t="s">
        <v>1442</v>
      </c>
    </row>
    <row r="618" spans="1:99">
      <c r="A618" t="s">
        <v>1431</v>
      </c>
      <c r="B618" t="s">
        <v>34</v>
      </c>
      <c r="C618" t="s">
        <v>2982</v>
      </c>
      <c r="D618" t="s">
        <v>2983</v>
      </c>
      <c r="E618" t="s">
        <v>2449</v>
      </c>
      <c r="F618" t="s">
        <v>1471</v>
      </c>
      <c r="G618" t="s">
        <v>1742</v>
      </c>
      <c r="H618" t="s">
        <v>1558</v>
      </c>
      <c r="I618" t="s">
        <v>240</v>
      </c>
      <c r="J618" t="s">
        <v>46</v>
      </c>
      <c r="K618" t="s">
        <v>29</v>
      </c>
      <c r="L618" t="s">
        <v>30</v>
      </c>
      <c r="M618">
        <v>0</v>
      </c>
      <c r="N618" t="s">
        <v>32</v>
      </c>
      <c r="O618" t="s">
        <v>32</v>
      </c>
      <c r="Q618" t="s">
        <v>32</v>
      </c>
      <c r="S618" t="s">
        <v>32</v>
      </c>
      <c r="U618" t="s">
        <v>32</v>
      </c>
      <c r="V618" t="s">
        <v>32</v>
      </c>
      <c r="W618" t="s">
        <v>32</v>
      </c>
      <c r="X618" t="s">
        <v>32</v>
      </c>
      <c r="Y618" t="s">
        <v>32</v>
      </c>
      <c r="AA618" t="s">
        <v>32</v>
      </c>
      <c r="AB618" t="s">
        <v>32</v>
      </c>
      <c r="AE618" t="s">
        <v>32</v>
      </c>
      <c r="AH618" t="s">
        <v>32</v>
      </c>
      <c r="AK618" t="s">
        <v>128</v>
      </c>
      <c r="AL618">
        <v>46054</v>
      </c>
      <c r="AM618">
        <v>46060</v>
      </c>
      <c r="AN618" t="s">
        <v>32</v>
      </c>
      <c r="AO618" t="s">
        <v>32</v>
      </c>
      <c r="AR618">
        <v>0</v>
      </c>
      <c r="AU618" t="s">
        <v>32</v>
      </c>
      <c r="AV618">
        <v>6340158</v>
      </c>
      <c r="AW618" t="s">
        <v>32</v>
      </c>
      <c r="AX618" t="s">
        <v>32</v>
      </c>
      <c r="AY618" t="s">
        <v>185</v>
      </c>
      <c r="AZ618">
        <v>7</v>
      </c>
      <c r="BA618">
        <v>1479371</v>
      </c>
      <c r="BB618">
        <v>0.16</v>
      </c>
      <c r="BC618">
        <v>236700</v>
      </c>
      <c r="BD618" t="s">
        <v>142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236700</v>
      </c>
      <c r="BK618" t="s">
        <v>25</v>
      </c>
      <c r="BL618" t="s">
        <v>1071</v>
      </c>
      <c r="BM618">
        <v>7</v>
      </c>
      <c r="BN618">
        <v>1479371</v>
      </c>
      <c r="BO618">
        <v>0.04</v>
      </c>
      <c r="BP618">
        <v>59200</v>
      </c>
      <c r="BQ618">
        <v>0</v>
      </c>
      <c r="BR618" t="s">
        <v>1438</v>
      </c>
      <c r="BS618">
        <v>0</v>
      </c>
      <c r="BT618" t="s">
        <v>1438</v>
      </c>
      <c r="BU618">
        <v>0</v>
      </c>
      <c r="BV618" t="s">
        <v>25</v>
      </c>
      <c r="BW618" t="s">
        <v>189</v>
      </c>
      <c r="BX618">
        <v>7</v>
      </c>
      <c r="BY618">
        <v>1479371</v>
      </c>
      <c r="BZ618">
        <v>0</v>
      </c>
      <c r="CA618" t="s">
        <v>1439</v>
      </c>
      <c r="CB618" t="s">
        <v>227</v>
      </c>
      <c r="CC618" t="s">
        <v>1440</v>
      </c>
      <c r="CD618">
        <v>0</v>
      </c>
      <c r="CE618">
        <v>7</v>
      </c>
      <c r="CF618" t="s">
        <v>635</v>
      </c>
      <c r="CG618">
        <v>1479371</v>
      </c>
      <c r="CH618">
        <v>0.04</v>
      </c>
      <c r="CI618">
        <v>59200</v>
      </c>
      <c r="CJ618">
        <v>1479371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 t="s">
        <v>88</v>
      </c>
      <c r="CT618" t="s">
        <v>1441</v>
      </c>
      <c r="CU618" t="s">
        <v>1442</v>
      </c>
    </row>
    <row r="619" spans="1:99">
      <c r="A619" t="s">
        <v>1431</v>
      </c>
      <c r="B619" t="s">
        <v>34</v>
      </c>
      <c r="C619" t="s">
        <v>2982</v>
      </c>
      <c r="D619" t="s">
        <v>2983</v>
      </c>
      <c r="E619" t="s">
        <v>2449</v>
      </c>
      <c r="F619" t="s">
        <v>1471</v>
      </c>
      <c r="G619" t="s">
        <v>1742</v>
      </c>
      <c r="H619" t="s">
        <v>1558</v>
      </c>
      <c r="I619" t="s">
        <v>240</v>
      </c>
      <c r="J619" t="s">
        <v>46</v>
      </c>
      <c r="K619" t="s">
        <v>29</v>
      </c>
      <c r="L619" t="s">
        <v>30</v>
      </c>
      <c r="M619">
        <v>0</v>
      </c>
      <c r="N619" t="s">
        <v>32</v>
      </c>
      <c r="O619" t="s">
        <v>32</v>
      </c>
      <c r="Q619" t="s">
        <v>32</v>
      </c>
      <c r="S619" t="s">
        <v>32</v>
      </c>
      <c r="U619" t="s">
        <v>32</v>
      </c>
      <c r="V619" t="s">
        <v>32</v>
      </c>
      <c r="W619" t="s">
        <v>32</v>
      </c>
      <c r="X619" t="s">
        <v>32</v>
      </c>
      <c r="Y619" t="s">
        <v>32</v>
      </c>
      <c r="AA619" t="s">
        <v>32</v>
      </c>
      <c r="AB619" t="s">
        <v>32</v>
      </c>
      <c r="AE619" t="s">
        <v>32</v>
      </c>
      <c r="AH619" t="s">
        <v>32</v>
      </c>
      <c r="AK619" t="s">
        <v>128</v>
      </c>
      <c r="AL619">
        <v>46063</v>
      </c>
      <c r="AM619">
        <v>46063</v>
      </c>
      <c r="AN619" t="s">
        <v>32</v>
      </c>
      <c r="AO619" t="s">
        <v>32</v>
      </c>
      <c r="AR619">
        <v>0</v>
      </c>
      <c r="AU619" t="s">
        <v>32</v>
      </c>
      <c r="AV619">
        <v>6340158</v>
      </c>
      <c r="AW619" t="s">
        <v>32</v>
      </c>
      <c r="AX619" t="s">
        <v>32</v>
      </c>
      <c r="AY619" t="s">
        <v>185</v>
      </c>
      <c r="AZ619">
        <v>1</v>
      </c>
      <c r="BA619">
        <v>211339</v>
      </c>
      <c r="BB619">
        <v>0.16</v>
      </c>
      <c r="BC619">
        <v>33900</v>
      </c>
      <c r="BD619" t="s">
        <v>142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33900</v>
      </c>
      <c r="BK619" t="s">
        <v>25</v>
      </c>
      <c r="BL619" t="s">
        <v>1071</v>
      </c>
      <c r="BM619">
        <v>1</v>
      </c>
      <c r="BN619">
        <v>211339</v>
      </c>
      <c r="BO619">
        <v>0.04</v>
      </c>
      <c r="BP619">
        <v>8500</v>
      </c>
      <c r="BQ619">
        <v>0</v>
      </c>
      <c r="BR619" t="s">
        <v>1438</v>
      </c>
      <c r="BS619">
        <v>0</v>
      </c>
      <c r="BT619" t="s">
        <v>1438</v>
      </c>
      <c r="BU619">
        <v>0</v>
      </c>
      <c r="BV619" t="s">
        <v>25</v>
      </c>
      <c r="BW619" t="s">
        <v>189</v>
      </c>
      <c r="BX619">
        <v>1</v>
      </c>
      <c r="BY619">
        <v>211339</v>
      </c>
      <c r="BZ619">
        <v>0</v>
      </c>
      <c r="CA619" t="s">
        <v>1439</v>
      </c>
      <c r="CB619" t="s">
        <v>227</v>
      </c>
      <c r="CC619" t="s">
        <v>1440</v>
      </c>
      <c r="CD619">
        <v>0</v>
      </c>
      <c r="CE619">
        <v>1</v>
      </c>
      <c r="CF619" t="s">
        <v>635</v>
      </c>
      <c r="CG619">
        <v>211339</v>
      </c>
      <c r="CH619">
        <v>0.04</v>
      </c>
      <c r="CI619">
        <v>8500</v>
      </c>
      <c r="CJ619">
        <v>211339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 t="s">
        <v>88</v>
      </c>
      <c r="CT619" t="s">
        <v>1441</v>
      </c>
      <c r="CU619" t="s">
        <v>1442</v>
      </c>
    </row>
    <row r="620" spans="1:99">
      <c r="A620" t="s">
        <v>1431</v>
      </c>
      <c r="B620" t="s">
        <v>34</v>
      </c>
      <c r="C620" t="s">
        <v>2982</v>
      </c>
      <c r="D620" t="s">
        <v>2983</v>
      </c>
      <c r="E620" t="s">
        <v>2449</v>
      </c>
      <c r="F620" t="s">
        <v>1471</v>
      </c>
      <c r="G620" t="s">
        <v>1742</v>
      </c>
      <c r="H620" t="s">
        <v>1558</v>
      </c>
      <c r="I620" t="s">
        <v>240</v>
      </c>
      <c r="J620" t="s">
        <v>46</v>
      </c>
      <c r="K620" t="s">
        <v>29</v>
      </c>
      <c r="L620" t="s">
        <v>30</v>
      </c>
      <c r="M620">
        <v>39</v>
      </c>
      <c r="N620" t="s">
        <v>32</v>
      </c>
      <c r="O620" t="s">
        <v>32</v>
      </c>
      <c r="Q620" t="s">
        <v>32</v>
      </c>
      <c r="S620" t="s">
        <v>40</v>
      </c>
      <c r="T620">
        <v>46068</v>
      </c>
      <c r="U620" t="s">
        <v>32</v>
      </c>
      <c r="V620" t="s">
        <v>32</v>
      </c>
      <c r="W620" t="s">
        <v>32</v>
      </c>
      <c r="X620" t="s">
        <v>32</v>
      </c>
      <c r="Y620" t="s">
        <v>88</v>
      </c>
      <c r="Z620">
        <v>46054</v>
      </c>
      <c r="AA620" t="s">
        <v>88</v>
      </c>
      <c r="AB620" t="s">
        <v>32</v>
      </c>
      <c r="AE620" t="s">
        <v>32</v>
      </c>
      <c r="AH620" t="s">
        <v>32</v>
      </c>
      <c r="AK620" t="s">
        <v>32</v>
      </c>
      <c r="AN620" t="s">
        <v>32</v>
      </c>
      <c r="AO620" t="s">
        <v>32</v>
      </c>
      <c r="AR620">
        <v>0</v>
      </c>
      <c r="AU620" t="s">
        <v>32</v>
      </c>
      <c r="AV620">
        <v>6340158</v>
      </c>
      <c r="AW620" t="s">
        <v>32</v>
      </c>
      <c r="AX620" t="s">
        <v>32</v>
      </c>
      <c r="AY620" t="s">
        <v>185</v>
      </c>
      <c r="AZ620">
        <v>7</v>
      </c>
      <c r="BA620">
        <v>2523130</v>
      </c>
      <c r="BB620">
        <v>0.16</v>
      </c>
      <c r="BC620">
        <v>403800</v>
      </c>
      <c r="BD620" t="s">
        <v>142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403800</v>
      </c>
      <c r="BK620" t="s">
        <v>25</v>
      </c>
      <c r="BL620" t="s">
        <v>1071</v>
      </c>
      <c r="BM620">
        <v>7</v>
      </c>
      <c r="BN620">
        <v>2523130</v>
      </c>
      <c r="BO620">
        <v>0.04</v>
      </c>
      <c r="BP620">
        <v>101000</v>
      </c>
      <c r="BQ620">
        <v>0</v>
      </c>
      <c r="BR620" t="s">
        <v>1438</v>
      </c>
      <c r="BS620">
        <v>0</v>
      </c>
      <c r="BT620" t="s">
        <v>1438</v>
      </c>
      <c r="BU620">
        <v>0</v>
      </c>
      <c r="BV620" t="s">
        <v>25</v>
      </c>
      <c r="BW620" t="s">
        <v>189</v>
      </c>
      <c r="BX620">
        <v>7</v>
      </c>
      <c r="BY620">
        <v>2523130</v>
      </c>
      <c r="BZ620">
        <v>6.9599999999999995E-2</v>
      </c>
      <c r="CA620" t="s">
        <v>1439</v>
      </c>
      <c r="CB620" t="s">
        <v>227</v>
      </c>
      <c r="CC620" t="s">
        <v>1440</v>
      </c>
      <c r="CD620">
        <v>175700</v>
      </c>
      <c r="CE620">
        <v>7</v>
      </c>
      <c r="CF620" t="s">
        <v>635</v>
      </c>
      <c r="CG620">
        <v>2720532</v>
      </c>
      <c r="CH620">
        <v>0.04</v>
      </c>
      <c r="CI620">
        <v>108900</v>
      </c>
      <c r="CJ620">
        <v>2720532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 t="s">
        <v>88</v>
      </c>
      <c r="CT620" t="s">
        <v>1441</v>
      </c>
      <c r="CU620" t="s">
        <v>1442</v>
      </c>
    </row>
    <row r="621" spans="1:99">
      <c r="A621" t="s">
        <v>1431</v>
      </c>
      <c r="B621" t="s">
        <v>34</v>
      </c>
      <c r="C621" t="s">
        <v>2984</v>
      </c>
      <c r="D621" t="s">
        <v>2985</v>
      </c>
      <c r="E621" t="s">
        <v>1620</v>
      </c>
      <c r="F621" t="s">
        <v>2986</v>
      </c>
      <c r="G621" t="s">
        <v>2987</v>
      </c>
      <c r="H621" t="s">
        <v>1558</v>
      </c>
      <c r="I621" t="s">
        <v>240</v>
      </c>
      <c r="J621" t="s">
        <v>46</v>
      </c>
      <c r="K621" t="s">
        <v>29</v>
      </c>
      <c r="L621" t="s">
        <v>30</v>
      </c>
      <c r="M621">
        <v>180</v>
      </c>
      <c r="N621" t="s">
        <v>32</v>
      </c>
      <c r="O621" t="s">
        <v>32</v>
      </c>
      <c r="Q621" t="s">
        <v>32</v>
      </c>
      <c r="S621" t="s">
        <v>32</v>
      </c>
      <c r="U621" t="s">
        <v>32</v>
      </c>
      <c r="V621" t="s">
        <v>32</v>
      </c>
      <c r="W621" t="s">
        <v>32</v>
      </c>
      <c r="X621" t="s">
        <v>32</v>
      </c>
      <c r="Y621" t="s">
        <v>88</v>
      </c>
      <c r="Z621">
        <v>46054</v>
      </c>
      <c r="AA621" t="s">
        <v>32</v>
      </c>
      <c r="AB621" t="s">
        <v>32</v>
      </c>
      <c r="AE621" t="s">
        <v>32</v>
      </c>
      <c r="AH621" t="s">
        <v>32</v>
      </c>
      <c r="AK621" t="s">
        <v>32</v>
      </c>
      <c r="AN621" t="s">
        <v>32</v>
      </c>
      <c r="AO621" t="s">
        <v>32</v>
      </c>
      <c r="AR621">
        <v>0</v>
      </c>
      <c r="AU621" t="s">
        <v>32</v>
      </c>
      <c r="AV621">
        <v>7662332</v>
      </c>
      <c r="AW621" t="s">
        <v>32</v>
      </c>
      <c r="AX621" t="s">
        <v>32</v>
      </c>
      <c r="AY621" t="s">
        <v>185</v>
      </c>
      <c r="AZ621">
        <v>30</v>
      </c>
      <c r="BA621">
        <v>7662332</v>
      </c>
      <c r="BB621">
        <v>0.16</v>
      </c>
      <c r="BC621">
        <v>1226000</v>
      </c>
      <c r="BD621" t="s">
        <v>142</v>
      </c>
      <c r="BE621">
        <v>0</v>
      </c>
      <c r="BF621">
        <v>0</v>
      </c>
      <c r="BG621">
        <v>38400</v>
      </c>
      <c r="BH621">
        <v>38400</v>
      </c>
      <c r="BI621">
        <v>0</v>
      </c>
      <c r="BJ621">
        <v>1302800</v>
      </c>
      <c r="BK621" t="s">
        <v>25</v>
      </c>
      <c r="BL621" t="s">
        <v>1010</v>
      </c>
      <c r="BM621">
        <v>30</v>
      </c>
      <c r="BN621">
        <v>7662332</v>
      </c>
      <c r="BO621">
        <v>0.04</v>
      </c>
      <c r="BP621">
        <v>306500</v>
      </c>
      <c r="BQ621">
        <v>0</v>
      </c>
      <c r="BR621" t="s">
        <v>1438</v>
      </c>
      <c r="BS621">
        <v>0</v>
      </c>
      <c r="BT621" t="s">
        <v>1438</v>
      </c>
      <c r="BU621">
        <v>0</v>
      </c>
      <c r="BV621" t="s">
        <v>25</v>
      </c>
      <c r="BW621" t="s">
        <v>189</v>
      </c>
      <c r="BX621">
        <v>30</v>
      </c>
      <c r="BY621">
        <v>7662332</v>
      </c>
      <c r="BZ621">
        <v>6.9599999999999995E-2</v>
      </c>
      <c r="CA621" t="s">
        <v>1439</v>
      </c>
      <c r="CB621" t="s">
        <v>227</v>
      </c>
      <c r="CC621" t="s">
        <v>1440</v>
      </c>
      <c r="CD621">
        <v>533300</v>
      </c>
      <c r="CE621">
        <v>30</v>
      </c>
      <c r="CF621" t="s">
        <v>635</v>
      </c>
      <c r="CG621">
        <v>5108221</v>
      </c>
      <c r="CH621">
        <v>0.04</v>
      </c>
      <c r="CI621">
        <v>204400</v>
      </c>
      <c r="CJ621">
        <v>5108221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 t="s">
        <v>88</v>
      </c>
      <c r="CT621" t="s">
        <v>1441</v>
      </c>
      <c r="CU621" t="s">
        <v>1442</v>
      </c>
    </row>
    <row r="622" spans="1:99">
      <c r="A622" t="s">
        <v>1431</v>
      </c>
      <c r="B622" t="s">
        <v>34</v>
      </c>
      <c r="C622" t="s">
        <v>2988</v>
      </c>
      <c r="D622" t="s">
        <v>2989</v>
      </c>
      <c r="E622" t="s">
        <v>2302</v>
      </c>
      <c r="F622" t="s">
        <v>1723</v>
      </c>
      <c r="G622" t="s">
        <v>2990</v>
      </c>
      <c r="H622" t="s">
        <v>1798</v>
      </c>
      <c r="I622" t="s">
        <v>240</v>
      </c>
      <c r="J622" t="s">
        <v>46</v>
      </c>
      <c r="K622" t="s">
        <v>29</v>
      </c>
      <c r="L622" t="s">
        <v>30</v>
      </c>
      <c r="M622">
        <v>180</v>
      </c>
      <c r="N622" t="s">
        <v>32</v>
      </c>
      <c r="O622" t="s">
        <v>32</v>
      </c>
      <c r="Q622" t="s">
        <v>40</v>
      </c>
      <c r="R622">
        <v>46055</v>
      </c>
      <c r="S622" t="s">
        <v>32</v>
      </c>
      <c r="U622" t="s">
        <v>32</v>
      </c>
      <c r="V622" t="s">
        <v>32</v>
      </c>
      <c r="W622" t="s">
        <v>32</v>
      </c>
      <c r="X622" t="s">
        <v>32</v>
      </c>
      <c r="Y622" t="s">
        <v>32</v>
      </c>
      <c r="AA622" t="s">
        <v>88</v>
      </c>
      <c r="AB622" t="s">
        <v>32</v>
      </c>
      <c r="AE622" t="s">
        <v>32</v>
      </c>
      <c r="AH622" t="s">
        <v>32</v>
      </c>
      <c r="AK622" t="s">
        <v>32</v>
      </c>
      <c r="AN622" t="s">
        <v>32</v>
      </c>
      <c r="AO622" t="s">
        <v>32</v>
      </c>
      <c r="AR622">
        <v>0</v>
      </c>
      <c r="AU622" t="s">
        <v>32</v>
      </c>
      <c r="AV622">
        <v>5459847</v>
      </c>
      <c r="AW622" t="s">
        <v>32</v>
      </c>
      <c r="AX622" t="s">
        <v>32</v>
      </c>
      <c r="AY622" t="s">
        <v>185</v>
      </c>
      <c r="AZ622">
        <v>29</v>
      </c>
      <c r="BA622">
        <v>5729532</v>
      </c>
      <c r="BB622">
        <v>0.16</v>
      </c>
      <c r="BC622">
        <v>916800</v>
      </c>
      <c r="BD622" t="s">
        <v>142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916800</v>
      </c>
      <c r="BK622" t="s">
        <v>25</v>
      </c>
      <c r="BL622" t="s">
        <v>1071</v>
      </c>
      <c r="BM622">
        <v>29</v>
      </c>
      <c r="BN622">
        <v>5729532</v>
      </c>
      <c r="BO622">
        <v>0.04</v>
      </c>
      <c r="BP622">
        <v>229200</v>
      </c>
      <c r="BQ622">
        <v>0</v>
      </c>
      <c r="BR622" t="s">
        <v>1438</v>
      </c>
      <c r="BS622">
        <v>0</v>
      </c>
      <c r="BT622" t="s">
        <v>1438</v>
      </c>
      <c r="BU622">
        <v>0</v>
      </c>
      <c r="BV622" t="s">
        <v>25</v>
      </c>
      <c r="BW622" t="s">
        <v>189</v>
      </c>
      <c r="BX622">
        <v>29</v>
      </c>
      <c r="BY622">
        <v>5729532</v>
      </c>
      <c r="BZ622">
        <v>6.9599999999999995E-2</v>
      </c>
      <c r="CA622" t="s">
        <v>1439</v>
      </c>
      <c r="CB622" t="s">
        <v>227</v>
      </c>
      <c r="CC622" t="s">
        <v>1440</v>
      </c>
      <c r="CD622">
        <v>398800</v>
      </c>
      <c r="CE622">
        <v>29</v>
      </c>
      <c r="CF622" t="s">
        <v>635</v>
      </c>
      <c r="CG622">
        <v>5729532</v>
      </c>
      <c r="CH622">
        <v>0.04</v>
      </c>
      <c r="CI622">
        <v>229200</v>
      </c>
      <c r="CJ622">
        <v>5729532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 t="s">
        <v>88</v>
      </c>
      <c r="CT622" t="s">
        <v>1441</v>
      </c>
      <c r="CU622" t="s">
        <v>1442</v>
      </c>
    </row>
    <row r="623" spans="1:99">
      <c r="A623" t="s">
        <v>1431</v>
      </c>
      <c r="B623" t="s">
        <v>34</v>
      </c>
      <c r="C623" t="s">
        <v>2991</v>
      </c>
      <c r="D623" t="s">
        <v>2992</v>
      </c>
      <c r="E623" t="s">
        <v>1886</v>
      </c>
      <c r="F623" t="s">
        <v>2993</v>
      </c>
      <c r="G623" t="s">
        <v>2066</v>
      </c>
      <c r="H623" t="s">
        <v>2994</v>
      </c>
      <c r="I623" t="s">
        <v>240</v>
      </c>
      <c r="J623" t="s">
        <v>46</v>
      </c>
      <c r="K623" t="s">
        <v>29</v>
      </c>
      <c r="L623" t="s">
        <v>30</v>
      </c>
      <c r="M623">
        <v>0</v>
      </c>
      <c r="N623" t="s">
        <v>32</v>
      </c>
      <c r="O623" t="s">
        <v>32</v>
      </c>
      <c r="Q623" t="s">
        <v>32</v>
      </c>
      <c r="S623" t="s">
        <v>32</v>
      </c>
      <c r="U623" t="s">
        <v>32</v>
      </c>
      <c r="V623" t="s">
        <v>32</v>
      </c>
      <c r="W623" t="s">
        <v>32</v>
      </c>
      <c r="X623" t="s">
        <v>32</v>
      </c>
      <c r="Y623" t="s">
        <v>32</v>
      </c>
      <c r="AA623" t="s">
        <v>32</v>
      </c>
      <c r="AB623" t="s">
        <v>32</v>
      </c>
      <c r="AE623" t="s">
        <v>32</v>
      </c>
      <c r="AH623" t="s">
        <v>32</v>
      </c>
      <c r="AK623" t="s">
        <v>74</v>
      </c>
      <c r="AL623">
        <v>46054</v>
      </c>
      <c r="AM623">
        <v>46057</v>
      </c>
      <c r="AN623" t="s">
        <v>32</v>
      </c>
      <c r="AO623" t="s">
        <v>32</v>
      </c>
      <c r="AR623">
        <v>0</v>
      </c>
      <c r="AU623" t="s">
        <v>32</v>
      </c>
      <c r="AV623">
        <v>8428565</v>
      </c>
      <c r="AW623" t="s">
        <v>32</v>
      </c>
      <c r="AX623" t="s">
        <v>32</v>
      </c>
      <c r="AY623" t="s">
        <v>185</v>
      </c>
      <c r="AZ623">
        <v>4</v>
      </c>
      <c r="BA623">
        <v>1123809</v>
      </c>
      <c r="BB623">
        <v>0.16</v>
      </c>
      <c r="BC623">
        <v>179900</v>
      </c>
      <c r="BD623" t="s">
        <v>142</v>
      </c>
      <c r="BE623">
        <v>0</v>
      </c>
      <c r="BF623">
        <v>0</v>
      </c>
      <c r="BG623">
        <v>5700</v>
      </c>
      <c r="BH623">
        <v>5700</v>
      </c>
      <c r="BI623">
        <v>0</v>
      </c>
      <c r="BJ623">
        <v>191300</v>
      </c>
      <c r="BK623" t="s">
        <v>25</v>
      </c>
      <c r="BL623" t="s">
        <v>1071</v>
      </c>
      <c r="BM623">
        <v>4</v>
      </c>
      <c r="BN623">
        <v>1123809</v>
      </c>
      <c r="BO623">
        <v>0.04</v>
      </c>
      <c r="BP623">
        <v>45000</v>
      </c>
      <c r="BQ623">
        <v>0</v>
      </c>
      <c r="BR623" t="s">
        <v>1438</v>
      </c>
      <c r="BS623">
        <v>0</v>
      </c>
      <c r="BT623" t="s">
        <v>1438</v>
      </c>
      <c r="BU623">
        <v>0</v>
      </c>
      <c r="BV623" t="s">
        <v>25</v>
      </c>
      <c r="BW623" t="s">
        <v>189</v>
      </c>
      <c r="BX623">
        <v>4</v>
      </c>
      <c r="BY623">
        <v>1123809</v>
      </c>
      <c r="BZ623">
        <v>0</v>
      </c>
      <c r="CA623" t="s">
        <v>1439</v>
      </c>
      <c r="CB623" t="s">
        <v>227</v>
      </c>
      <c r="CC623" t="s">
        <v>1440</v>
      </c>
      <c r="CD623">
        <v>0</v>
      </c>
      <c r="CE623">
        <v>4</v>
      </c>
      <c r="CF623" t="s">
        <v>635</v>
      </c>
      <c r="CG623">
        <v>1123809</v>
      </c>
      <c r="CH623">
        <v>0.04</v>
      </c>
      <c r="CI623">
        <v>45000</v>
      </c>
      <c r="CJ623">
        <v>1123809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 t="s">
        <v>88</v>
      </c>
      <c r="CT623" t="s">
        <v>1441</v>
      </c>
      <c r="CU623" t="s">
        <v>1442</v>
      </c>
    </row>
    <row r="624" spans="1:99">
      <c r="A624" t="s">
        <v>1431</v>
      </c>
      <c r="B624" t="s">
        <v>34</v>
      </c>
      <c r="C624" t="s">
        <v>2991</v>
      </c>
      <c r="D624" t="s">
        <v>2992</v>
      </c>
      <c r="E624" t="s">
        <v>1886</v>
      </c>
      <c r="F624" t="s">
        <v>2993</v>
      </c>
      <c r="G624" t="s">
        <v>2066</v>
      </c>
      <c r="H624" t="s">
        <v>2994</v>
      </c>
      <c r="I624" t="s">
        <v>240</v>
      </c>
      <c r="J624" t="s">
        <v>46</v>
      </c>
      <c r="K624" t="s">
        <v>29</v>
      </c>
      <c r="L624" t="s">
        <v>30</v>
      </c>
      <c r="M624">
        <v>153</v>
      </c>
      <c r="N624" t="s">
        <v>32</v>
      </c>
      <c r="O624" t="s">
        <v>32</v>
      </c>
      <c r="Q624" t="s">
        <v>32</v>
      </c>
      <c r="S624" t="s">
        <v>32</v>
      </c>
      <c r="U624" t="s">
        <v>32</v>
      </c>
      <c r="V624" t="s">
        <v>32</v>
      </c>
      <c r="W624" t="s">
        <v>32</v>
      </c>
      <c r="X624" t="s">
        <v>32</v>
      </c>
      <c r="Y624" t="s">
        <v>88</v>
      </c>
      <c r="Z624">
        <v>46054</v>
      </c>
      <c r="AA624" t="s">
        <v>32</v>
      </c>
      <c r="AB624" t="s">
        <v>32</v>
      </c>
      <c r="AE624" t="s">
        <v>32</v>
      </c>
      <c r="AH624" t="s">
        <v>32</v>
      </c>
      <c r="AK624" t="s">
        <v>32</v>
      </c>
      <c r="AN624" t="s">
        <v>32</v>
      </c>
      <c r="AO624" t="s">
        <v>32</v>
      </c>
      <c r="AR624">
        <v>0</v>
      </c>
      <c r="AU624" t="s">
        <v>32</v>
      </c>
      <c r="AV624">
        <v>8428565</v>
      </c>
      <c r="AW624" t="s">
        <v>32</v>
      </c>
      <c r="AX624" t="s">
        <v>32</v>
      </c>
      <c r="AY624" t="s">
        <v>185</v>
      </c>
      <c r="AZ624">
        <v>26</v>
      </c>
      <c r="BA624">
        <v>7304757</v>
      </c>
      <c r="BB624">
        <v>0.16</v>
      </c>
      <c r="BC624">
        <v>1168800</v>
      </c>
      <c r="BD624" t="s">
        <v>142</v>
      </c>
      <c r="BE624">
        <v>0</v>
      </c>
      <c r="BF624">
        <v>0</v>
      </c>
      <c r="BG624">
        <v>36600</v>
      </c>
      <c r="BH624">
        <v>36600</v>
      </c>
      <c r="BI624">
        <v>0</v>
      </c>
      <c r="BJ624">
        <v>1242000</v>
      </c>
      <c r="BK624" t="s">
        <v>25</v>
      </c>
      <c r="BL624" t="s">
        <v>1071</v>
      </c>
      <c r="BM624">
        <v>26</v>
      </c>
      <c r="BN624">
        <v>7304757</v>
      </c>
      <c r="BO624">
        <v>0.04</v>
      </c>
      <c r="BP624">
        <v>292200</v>
      </c>
      <c r="BQ624">
        <v>0</v>
      </c>
      <c r="BR624" t="s">
        <v>1438</v>
      </c>
      <c r="BS624">
        <v>0</v>
      </c>
      <c r="BT624" t="s">
        <v>1438</v>
      </c>
      <c r="BU624">
        <v>0</v>
      </c>
      <c r="BV624" t="s">
        <v>25</v>
      </c>
      <c r="BW624" t="s">
        <v>189</v>
      </c>
      <c r="BX624">
        <v>26</v>
      </c>
      <c r="BY624">
        <v>7304757</v>
      </c>
      <c r="BZ624">
        <v>6.9599999999999995E-2</v>
      </c>
      <c r="CA624" t="s">
        <v>1439</v>
      </c>
      <c r="CB624" t="s">
        <v>227</v>
      </c>
      <c r="CC624" t="s">
        <v>1440</v>
      </c>
      <c r="CD624">
        <v>508500</v>
      </c>
      <c r="CE624">
        <v>26</v>
      </c>
      <c r="CF624" t="s">
        <v>635</v>
      </c>
      <c r="CG624">
        <v>7304757</v>
      </c>
      <c r="CH624">
        <v>0.04</v>
      </c>
      <c r="CI624">
        <v>292200</v>
      </c>
      <c r="CJ624">
        <v>7304757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 t="s">
        <v>88</v>
      </c>
      <c r="CT624" t="s">
        <v>1441</v>
      </c>
      <c r="CU624" t="s">
        <v>1442</v>
      </c>
    </row>
    <row r="625" spans="1:99">
      <c r="A625" t="s">
        <v>1431</v>
      </c>
      <c r="B625" t="s">
        <v>34</v>
      </c>
      <c r="C625" t="s">
        <v>2995</v>
      </c>
      <c r="D625" t="s">
        <v>2996</v>
      </c>
      <c r="E625" t="s">
        <v>756</v>
      </c>
      <c r="F625" t="s">
        <v>2887</v>
      </c>
      <c r="G625" t="s">
        <v>2095</v>
      </c>
      <c r="H625" t="s">
        <v>2511</v>
      </c>
      <c r="I625" t="s">
        <v>240</v>
      </c>
      <c r="J625" t="s">
        <v>46</v>
      </c>
      <c r="K625" t="s">
        <v>29</v>
      </c>
      <c r="L625" t="s">
        <v>30</v>
      </c>
      <c r="M625">
        <v>0</v>
      </c>
      <c r="N625" t="s">
        <v>32</v>
      </c>
      <c r="O625" t="s">
        <v>32</v>
      </c>
      <c r="Q625" t="s">
        <v>32</v>
      </c>
      <c r="S625" t="s">
        <v>32</v>
      </c>
      <c r="U625" t="s">
        <v>32</v>
      </c>
      <c r="V625" t="s">
        <v>32</v>
      </c>
      <c r="W625" t="s">
        <v>32</v>
      </c>
      <c r="X625" t="s">
        <v>32</v>
      </c>
      <c r="Y625" t="s">
        <v>32</v>
      </c>
      <c r="AA625" t="s">
        <v>32</v>
      </c>
      <c r="AB625" t="s">
        <v>37</v>
      </c>
      <c r="AC625">
        <v>46054</v>
      </c>
      <c r="AD625">
        <v>46055</v>
      </c>
      <c r="AE625" t="s">
        <v>32</v>
      </c>
      <c r="AH625" t="s">
        <v>32</v>
      </c>
      <c r="AK625" t="s">
        <v>32</v>
      </c>
      <c r="AN625" t="s">
        <v>32</v>
      </c>
      <c r="AO625" t="s">
        <v>32</v>
      </c>
      <c r="AR625">
        <v>0</v>
      </c>
      <c r="AU625" t="s">
        <v>32</v>
      </c>
      <c r="AV625">
        <v>2223339</v>
      </c>
      <c r="AW625" t="s">
        <v>32</v>
      </c>
      <c r="AX625" t="s">
        <v>32</v>
      </c>
      <c r="AY625" t="s">
        <v>356</v>
      </c>
      <c r="AZ625">
        <v>2</v>
      </c>
      <c r="BA625">
        <v>148223</v>
      </c>
      <c r="BB625">
        <v>0.16</v>
      </c>
      <c r="BC625">
        <v>23800</v>
      </c>
      <c r="BD625" t="s">
        <v>142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23800</v>
      </c>
      <c r="BK625" t="s">
        <v>25</v>
      </c>
      <c r="BL625" t="s">
        <v>1010</v>
      </c>
      <c r="BM625">
        <v>2</v>
      </c>
      <c r="BN625">
        <v>148223</v>
      </c>
      <c r="BO625">
        <v>0</v>
      </c>
      <c r="BP625">
        <v>0</v>
      </c>
      <c r="BQ625">
        <v>0</v>
      </c>
      <c r="BR625" t="s">
        <v>1438</v>
      </c>
      <c r="BS625">
        <v>0</v>
      </c>
      <c r="BT625" t="s">
        <v>1438</v>
      </c>
      <c r="BU625">
        <v>0</v>
      </c>
      <c r="BV625" t="s">
        <v>25</v>
      </c>
      <c r="BW625" t="s">
        <v>189</v>
      </c>
      <c r="BX625">
        <v>2</v>
      </c>
      <c r="BY625">
        <v>148223</v>
      </c>
      <c r="BZ625">
        <v>0</v>
      </c>
      <c r="CA625" t="s">
        <v>1439</v>
      </c>
      <c r="CB625" t="s">
        <v>227</v>
      </c>
      <c r="CC625" t="s">
        <v>1440</v>
      </c>
      <c r="CD625">
        <v>0</v>
      </c>
      <c r="CE625">
        <v>2</v>
      </c>
      <c r="CF625" t="s">
        <v>635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 t="s">
        <v>88</v>
      </c>
      <c r="CT625" t="s">
        <v>1441</v>
      </c>
      <c r="CU625" t="s">
        <v>1442</v>
      </c>
    </row>
    <row r="626" spans="1:99">
      <c r="A626" t="s">
        <v>1431</v>
      </c>
      <c r="B626" t="s">
        <v>34</v>
      </c>
      <c r="C626" t="s">
        <v>2995</v>
      </c>
      <c r="D626" t="s">
        <v>2996</v>
      </c>
      <c r="E626" t="s">
        <v>756</v>
      </c>
      <c r="F626" t="s">
        <v>2887</v>
      </c>
      <c r="G626" t="s">
        <v>2095</v>
      </c>
      <c r="H626" t="s">
        <v>2511</v>
      </c>
      <c r="I626" t="s">
        <v>240</v>
      </c>
      <c r="J626" t="s">
        <v>46</v>
      </c>
      <c r="K626" t="s">
        <v>29</v>
      </c>
      <c r="L626" t="s">
        <v>30</v>
      </c>
      <c r="M626">
        <v>213</v>
      </c>
      <c r="N626" t="s">
        <v>32</v>
      </c>
      <c r="O626" t="s">
        <v>32</v>
      </c>
      <c r="Q626" t="s">
        <v>32</v>
      </c>
      <c r="S626" t="s">
        <v>40</v>
      </c>
      <c r="T626">
        <v>46081</v>
      </c>
      <c r="U626" t="s">
        <v>32</v>
      </c>
      <c r="V626" t="s">
        <v>32</v>
      </c>
      <c r="W626" t="s">
        <v>32</v>
      </c>
      <c r="X626" t="s">
        <v>32</v>
      </c>
      <c r="Y626" t="s">
        <v>32</v>
      </c>
      <c r="AA626" t="s">
        <v>88</v>
      </c>
      <c r="AB626" t="s">
        <v>32</v>
      </c>
      <c r="AE626" t="s">
        <v>32</v>
      </c>
      <c r="AH626" t="s">
        <v>32</v>
      </c>
      <c r="AK626" t="s">
        <v>32</v>
      </c>
      <c r="AN626" t="s">
        <v>32</v>
      </c>
      <c r="AO626" t="s">
        <v>32</v>
      </c>
      <c r="AR626">
        <v>0</v>
      </c>
      <c r="AU626" t="s">
        <v>32</v>
      </c>
      <c r="AV626">
        <v>2223339</v>
      </c>
      <c r="AW626" t="s">
        <v>32</v>
      </c>
      <c r="AX626" t="s">
        <v>32</v>
      </c>
      <c r="AY626" t="s">
        <v>356</v>
      </c>
      <c r="AZ626">
        <v>28</v>
      </c>
      <c r="BA626">
        <v>3585149</v>
      </c>
      <c r="BB626">
        <v>0.16</v>
      </c>
      <c r="BC626">
        <v>573700</v>
      </c>
      <c r="BD626" t="s">
        <v>142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573700</v>
      </c>
      <c r="BK626" t="s">
        <v>25</v>
      </c>
      <c r="BL626" t="s">
        <v>1010</v>
      </c>
      <c r="BM626">
        <v>28</v>
      </c>
      <c r="BN626">
        <v>3585149</v>
      </c>
      <c r="BO626">
        <v>0.04</v>
      </c>
      <c r="BP626">
        <v>143500</v>
      </c>
      <c r="BQ626">
        <v>0</v>
      </c>
      <c r="BR626" t="s">
        <v>1438</v>
      </c>
      <c r="BS626">
        <v>0</v>
      </c>
      <c r="BT626" t="s">
        <v>1438</v>
      </c>
      <c r="BU626">
        <v>0</v>
      </c>
      <c r="BV626" t="s">
        <v>25</v>
      </c>
      <c r="BW626" t="s">
        <v>189</v>
      </c>
      <c r="BX626">
        <v>28</v>
      </c>
      <c r="BY626">
        <v>3585149</v>
      </c>
      <c r="BZ626">
        <v>6.9599999999999995E-2</v>
      </c>
      <c r="CA626" t="s">
        <v>1439</v>
      </c>
      <c r="CB626" t="s">
        <v>227</v>
      </c>
      <c r="CC626" t="s">
        <v>1440</v>
      </c>
      <c r="CD626">
        <v>249600</v>
      </c>
      <c r="CE626">
        <v>28</v>
      </c>
      <c r="CF626" t="s">
        <v>635</v>
      </c>
      <c r="CG626">
        <v>4234152</v>
      </c>
      <c r="CH626">
        <v>0.04</v>
      </c>
      <c r="CI626">
        <v>169400</v>
      </c>
      <c r="CJ626">
        <v>4234152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 t="s">
        <v>88</v>
      </c>
      <c r="CT626" t="s">
        <v>1441</v>
      </c>
      <c r="CU626" t="s">
        <v>1442</v>
      </c>
    </row>
    <row r="627" spans="1:99">
      <c r="A627" t="s">
        <v>1431</v>
      </c>
      <c r="B627" t="s">
        <v>34</v>
      </c>
      <c r="C627" t="s">
        <v>2997</v>
      </c>
      <c r="D627" t="s">
        <v>2998</v>
      </c>
      <c r="E627" t="s">
        <v>734</v>
      </c>
      <c r="F627" t="s">
        <v>2999</v>
      </c>
      <c r="G627" t="s">
        <v>1790</v>
      </c>
      <c r="H627" t="s">
        <v>1558</v>
      </c>
      <c r="I627" t="s">
        <v>99</v>
      </c>
      <c r="J627" t="s">
        <v>226</v>
      </c>
      <c r="K627" t="s">
        <v>29</v>
      </c>
      <c r="L627" t="s">
        <v>30</v>
      </c>
      <c r="M627">
        <v>188</v>
      </c>
      <c r="N627" t="s">
        <v>32</v>
      </c>
      <c r="O627" t="s">
        <v>32</v>
      </c>
      <c r="Q627" t="s">
        <v>32</v>
      </c>
      <c r="S627" t="s">
        <v>32</v>
      </c>
      <c r="U627" t="s">
        <v>32</v>
      </c>
      <c r="V627" t="s">
        <v>32</v>
      </c>
      <c r="W627" t="s">
        <v>32</v>
      </c>
      <c r="X627" t="s">
        <v>32</v>
      </c>
      <c r="Y627" t="s">
        <v>88</v>
      </c>
      <c r="Z627">
        <v>46054</v>
      </c>
      <c r="AA627" t="s">
        <v>32</v>
      </c>
      <c r="AB627" t="s">
        <v>32</v>
      </c>
      <c r="AE627" t="s">
        <v>32</v>
      </c>
      <c r="AH627" t="s">
        <v>32</v>
      </c>
      <c r="AK627" t="s">
        <v>32</v>
      </c>
      <c r="AN627" t="s">
        <v>32</v>
      </c>
      <c r="AO627" t="s">
        <v>32</v>
      </c>
      <c r="AR627">
        <v>0</v>
      </c>
      <c r="AU627" t="s">
        <v>32</v>
      </c>
      <c r="AV627">
        <v>9729530</v>
      </c>
      <c r="AW627" t="s">
        <v>32</v>
      </c>
      <c r="AX627" t="s">
        <v>32</v>
      </c>
      <c r="AY627" t="s">
        <v>185</v>
      </c>
      <c r="AZ627">
        <v>30</v>
      </c>
      <c r="BA627">
        <v>11704368</v>
      </c>
      <c r="BB627">
        <v>0.16</v>
      </c>
      <c r="BC627">
        <v>1872700</v>
      </c>
      <c r="BD627" t="s">
        <v>142</v>
      </c>
      <c r="BE627">
        <v>0</v>
      </c>
      <c r="BF627">
        <v>0</v>
      </c>
      <c r="BG627">
        <v>58600</v>
      </c>
      <c r="BH627">
        <v>58600</v>
      </c>
      <c r="BI627">
        <v>0</v>
      </c>
      <c r="BJ627">
        <v>1989900</v>
      </c>
      <c r="BK627" t="s">
        <v>25</v>
      </c>
      <c r="BL627" t="s">
        <v>1010</v>
      </c>
      <c r="BM627">
        <v>30</v>
      </c>
      <c r="BN627">
        <v>11704368</v>
      </c>
      <c r="BO627">
        <v>0.125</v>
      </c>
      <c r="BP627">
        <v>1463100</v>
      </c>
      <c r="BQ627">
        <v>0</v>
      </c>
      <c r="BR627" t="s">
        <v>1438</v>
      </c>
      <c r="BS627">
        <v>0</v>
      </c>
      <c r="BT627" t="s">
        <v>1438</v>
      </c>
      <c r="BU627">
        <v>0</v>
      </c>
      <c r="BV627" t="s">
        <v>25</v>
      </c>
      <c r="BW627" t="s">
        <v>189</v>
      </c>
      <c r="BX627">
        <v>30</v>
      </c>
      <c r="BY627">
        <v>11704368</v>
      </c>
      <c r="BZ627">
        <v>6.9599999999999995E-2</v>
      </c>
      <c r="CA627" t="s">
        <v>1439</v>
      </c>
      <c r="CB627" t="s">
        <v>389</v>
      </c>
      <c r="CC627" t="s">
        <v>1440</v>
      </c>
      <c r="CD627">
        <v>814700</v>
      </c>
      <c r="CE627">
        <v>30</v>
      </c>
      <c r="CF627" t="s">
        <v>749</v>
      </c>
      <c r="CG627">
        <v>9729530</v>
      </c>
      <c r="CH627">
        <v>0.04</v>
      </c>
      <c r="CI627">
        <v>389200</v>
      </c>
      <c r="CJ627">
        <v>9729530</v>
      </c>
      <c r="CK627">
        <v>0.02</v>
      </c>
      <c r="CL627">
        <v>194600</v>
      </c>
      <c r="CM627">
        <v>0.03</v>
      </c>
      <c r="CN627">
        <v>291900</v>
      </c>
      <c r="CO627">
        <v>0</v>
      </c>
      <c r="CP627">
        <v>0</v>
      </c>
      <c r="CQ627">
        <v>0</v>
      </c>
      <c r="CR627">
        <v>0</v>
      </c>
      <c r="CS627" t="s">
        <v>88</v>
      </c>
      <c r="CT627" t="s">
        <v>1441</v>
      </c>
      <c r="CU627" t="s">
        <v>1442</v>
      </c>
    </row>
    <row r="628" spans="1:99">
      <c r="A628" t="s">
        <v>1431</v>
      </c>
      <c r="B628" t="s">
        <v>34</v>
      </c>
      <c r="C628" t="s">
        <v>3000</v>
      </c>
      <c r="D628" t="s">
        <v>3001</v>
      </c>
      <c r="E628" t="s">
        <v>3002</v>
      </c>
      <c r="F628" t="s">
        <v>3003</v>
      </c>
      <c r="G628" t="s">
        <v>3004</v>
      </c>
      <c r="H628" t="s">
        <v>1781</v>
      </c>
      <c r="I628" t="s">
        <v>240</v>
      </c>
      <c r="J628" t="s">
        <v>46</v>
      </c>
      <c r="K628" t="s">
        <v>29</v>
      </c>
      <c r="L628" t="s">
        <v>30</v>
      </c>
      <c r="M628">
        <v>188</v>
      </c>
      <c r="N628" t="s">
        <v>32</v>
      </c>
      <c r="O628" t="s">
        <v>32</v>
      </c>
      <c r="Q628" t="s">
        <v>32</v>
      </c>
      <c r="S628" t="s">
        <v>32</v>
      </c>
      <c r="U628" t="s">
        <v>32</v>
      </c>
      <c r="V628" t="s">
        <v>32</v>
      </c>
      <c r="W628" t="s">
        <v>32</v>
      </c>
      <c r="X628" t="s">
        <v>32</v>
      </c>
      <c r="Y628" t="s">
        <v>32</v>
      </c>
      <c r="AA628" t="s">
        <v>32</v>
      </c>
      <c r="AB628" t="s">
        <v>32</v>
      </c>
      <c r="AE628" t="s">
        <v>32</v>
      </c>
      <c r="AH628" t="s">
        <v>32</v>
      </c>
      <c r="AK628" t="s">
        <v>32</v>
      </c>
      <c r="AN628" t="s">
        <v>32</v>
      </c>
      <c r="AO628" t="s">
        <v>32</v>
      </c>
      <c r="AR628">
        <v>0</v>
      </c>
      <c r="AU628" t="s">
        <v>32</v>
      </c>
      <c r="AV628">
        <v>16882380</v>
      </c>
      <c r="AW628" t="s">
        <v>32</v>
      </c>
      <c r="AX628" t="s">
        <v>88</v>
      </c>
      <c r="AY628" t="s">
        <v>185</v>
      </c>
      <c r="AZ628">
        <v>30</v>
      </c>
      <c r="BA628">
        <v>16882380</v>
      </c>
      <c r="BB628">
        <v>0.16</v>
      </c>
      <c r="BC628">
        <v>2701200</v>
      </c>
      <c r="BD628" t="s">
        <v>142</v>
      </c>
      <c r="BE628">
        <v>0</v>
      </c>
      <c r="BF628">
        <v>0</v>
      </c>
      <c r="BG628">
        <v>84500</v>
      </c>
      <c r="BH628">
        <v>84500</v>
      </c>
      <c r="BI628">
        <v>0</v>
      </c>
      <c r="BJ628">
        <v>2870200</v>
      </c>
      <c r="BK628" t="s">
        <v>25</v>
      </c>
      <c r="BL628" t="s">
        <v>187</v>
      </c>
      <c r="BM628">
        <v>30</v>
      </c>
      <c r="BN628">
        <v>16882380</v>
      </c>
      <c r="BO628">
        <v>0.04</v>
      </c>
      <c r="BP628">
        <v>675300</v>
      </c>
      <c r="BQ628">
        <v>0</v>
      </c>
      <c r="BR628" t="s">
        <v>1438</v>
      </c>
      <c r="BS628">
        <v>0</v>
      </c>
      <c r="BT628" t="s">
        <v>1438</v>
      </c>
      <c r="BU628">
        <v>0</v>
      </c>
      <c r="BV628" t="s">
        <v>25</v>
      </c>
      <c r="BW628" t="s">
        <v>189</v>
      </c>
      <c r="BX628">
        <v>30</v>
      </c>
      <c r="BY628">
        <v>16882380</v>
      </c>
      <c r="BZ628">
        <v>6.9599999999999995E-2</v>
      </c>
      <c r="CA628" t="s">
        <v>1439</v>
      </c>
      <c r="CB628" t="s">
        <v>227</v>
      </c>
      <c r="CC628" t="s">
        <v>1440</v>
      </c>
      <c r="CD628">
        <v>1175100</v>
      </c>
      <c r="CE628">
        <v>30</v>
      </c>
      <c r="CF628" t="s">
        <v>635</v>
      </c>
      <c r="CG628">
        <v>16882380</v>
      </c>
      <c r="CH628">
        <v>0.04</v>
      </c>
      <c r="CI628">
        <v>675300</v>
      </c>
      <c r="CJ628">
        <v>16882380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 t="s">
        <v>88</v>
      </c>
      <c r="CT628" t="s">
        <v>1441</v>
      </c>
      <c r="CU628" t="s">
        <v>1442</v>
      </c>
    </row>
    <row r="629" spans="1:99">
      <c r="A629" t="s">
        <v>1431</v>
      </c>
      <c r="B629" t="s">
        <v>34</v>
      </c>
      <c r="C629" t="s">
        <v>3005</v>
      </c>
      <c r="D629" t="s">
        <v>3006</v>
      </c>
      <c r="E629" t="s">
        <v>1729</v>
      </c>
      <c r="F629" t="s">
        <v>3007</v>
      </c>
      <c r="G629" t="s">
        <v>3008</v>
      </c>
      <c r="H629" t="s">
        <v>3009</v>
      </c>
      <c r="I629" t="s">
        <v>240</v>
      </c>
      <c r="J629" t="s">
        <v>46</v>
      </c>
      <c r="K629" t="s">
        <v>29</v>
      </c>
      <c r="L629" t="s">
        <v>30</v>
      </c>
      <c r="M629">
        <v>0</v>
      </c>
      <c r="N629" t="s">
        <v>32</v>
      </c>
      <c r="O629" t="s">
        <v>32</v>
      </c>
      <c r="Q629" t="s">
        <v>32</v>
      </c>
      <c r="S629" t="s">
        <v>32</v>
      </c>
      <c r="U629" t="s">
        <v>32</v>
      </c>
      <c r="V629" t="s">
        <v>32</v>
      </c>
      <c r="W629" t="s">
        <v>32</v>
      </c>
      <c r="X629" t="s">
        <v>32</v>
      </c>
      <c r="Y629" t="s">
        <v>32</v>
      </c>
      <c r="AA629" t="s">
        <v>32</v>
      </c>
      <c r="AB629" t="s">
        <v>32</v>
      </c>
      <c r="AE629" t="s">
        <v>32</v>
      </c>
      <c r="AH629" t="s">
        <v>32</v>
      </c>
      <c r="AK629" t="s">
        <v>128</v>
      </c>
      <c r="AL629">
        <v>46058</v>
      </c>
      <c r="AM629">
        <v>46058</v>
      </c>
      <c r="AN629" t="s">
        <v>32</v>
      </c>
      <c r="AO629" t="s">
        <v>32</v>
      </c>
      <c r="AR629">
        <v>0</v>
      </c>
      <c r="AU629" t="s">
        <v>32</v>
      </c>
      <c r="AV629">
        <v>3415855</v>
      </c>
      <c r="AW629" t="s">
        <v>32</v>
      </c>
      <c r="AX629" t="s">
        <v>32</v>
      </c>
      <c r="AY629" t="s">
        <v>185</v>
      </c>
      <c r="AZ629">
        <v>1</v>
      </c>
      <c r="BA629">
        <v>113862</v>
      </c>
      <c r="BB629">
        <v>0.16</v>
      </c>
      <c r="BC629">
        <v>18300</v>
      </c>
      <c r="BD629" t="s">
        <v>142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18300</v>
      </c>
      <c r="BK629" t="s">
        <v>25</v>
      </c>
      <c r="BL629" t="s">
        <v>187</v>
      </c>
      <c r="BM629">
        <v>1</v>
      </c>
      <c r="BN629">
        <v>113862</v>
      </c>
      <c r="BO629">
        <v>0.04</v>
      </c>
      <c r="BP629">
        <v>4600</v>
      </c>
      <c r="BQ629">
        <v>0</v>
      </c>
      <c r="BR629" t="s">
        <v>1438</v>
      </c>
      <c r="BS629">
        <v>0</v>
      </c>
      <c r="BT629" t="s">
        <v>1438</v>
      </c>
      <c r="BU629">
        <v>0</v>
      </c>
      <c r="BV629" t="s">
        <v>25</v>
      </c>
      <c r="BW629" t="s">
        <v>189</v>
      </c>
      <c r="BX629">
        <v>1</v>
      </c>
      <c r="BY629">
        <v>113862</v>
      </c>
      <c r="BZ629">
        <v>0</v>
      </c>
      <c r="CA629" t="s">
        <v>1439</v>
      </c>
      <c r="CB629" t="s">
        <v>227</v>
      </c>
      <c r="CC629" t="s">
        <v>1440</v>
      </c>
      <c r="CD629">
        <v>0</v>
      </c>
      <c r="CE629">
        <v>1</v>
      </c>
      <c r="CF629" t="s">
        <v>635</v>
      </c>
      <c r="CG629">
        <v>113862</v>
      </c>
      <c r="CH629">
        <v>0.04</v>
      </c>
      <c r="CI629">
        <v>4600</v>
      </c>
      <c r="CJ629">
        <v>113862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 t="s">
        <v>88</v>
      </c>
      <c r="CT629" t="s">
        <v>1441</v>
      </c>
      <c r="CU629" t="s">
        <v>1442</v>
      </c>
    </row>
    <row r="630" spans="1:99">
      <c r="A630" t="s">
        <v>1431</v>
      </c>
      <c r="B630" t="s">
        <v>34</v>
      </c>
      <c r="C630" t="s">
        <v>3005</v>
      </c>
      <c r="D630" t="s">
        <v>3006</v>
      </c>
      <c r="E630" t="s">
        <v>1729</v>
      </c>
      <c r="F630" t="s">
        <v>3007</v>
      </c>
      <c r="G630" t="s">
        <v>3008</v>
      </c>
      <c r="H630" t="s">
        <v>3009</v>
      </c>
      <c r="I630" t="s">
        <v>240</v>
      </c>
      <c r="J630" t="s">
        <v>46</v>
      </c>
      <c r="K630" t="s">
        <v>29</v>
      </c>
      <c r="L630" t="s">
        <v>30</v>
      </c>
      <c r="M630">
        <v>171</v>
      </c>
      <c r="N630" t="s">
        <v>32</v>
      </c>
      <c r="O630" t="s">
        <v>32</v>
      </c>
      <c r="Q630" t="s">
        <v>32</v>
      </c>
      <c r="S630" t="s">
        <v>32</v>
      </c>
      <c r="U630" t="s">
        <v>32</v>
      </c>
      <c r="V630" t="s">
        <v>32</v>
      </c>
      <c r="W630" t="s">
        <v>32</v>
      </c>
      <c r="X630" t="s">
        <v>32</v>
      </c>
      <c r="Y630" t="s">
        <v>32</v>
      </c>
      <c r="AA630" t="s">
        <v>32</v>
      </c>
      <c r="AB630" t="s">
        <v>32</v>
      </c>
      <c r="AE630" t="s">
        <v>32</v>
      </c>
      <c r="AH630" t="s">
        <v>32</v>
      </c>
      <c r="AK630" t="s">
        <v>32</v>
      </c>
      <c r="AN630" t="s">
        <v>32</v>
      </c>
      <c r="AO630" t="s">
        <v>32</v>
      </c>
      <c r="AR630">
        <v>0</v>
      </c>
      <c r="AU630" t="s">
        <v>32</v>
      </c>
      <c r="AV630">
        <v>3415855</v>
      </c>
      <c r="AW630" t="s">
        <v>32</v>
      </c>
      <c r="AX630" t="s">
        <v>32</v>
      </c>
      <c r="AY630" t="s">
        <v>185</v>
      </c>
      <c r="AZ630">
        <v>29</v>
      </c>
      <c r="BA630">
        <v>3301994</v>
      </c>
      <c r="BB630">
        <v>0.16</v>
      </c>
      <c r="BC630">
        <v>528400</v>
      </c>
      <c r="BD630" t="s">
        <v>142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528400</v>
      </c>
      <c r="BK630" t="s">
        <v>25</v>
      </c>
      <c r="BL630" t="s">
        <v>187</v>
      </c>
      <c r="BM630">
        <v>29</v>
      </c>
      <c r="BN630">
        <v>3301994</v>
      </c>
      <c r="BO630">
        <v>0.04</v>
      </c>
      <c r="BP630">
        <v>132100</v>
      </c>
      <c r="BQ630">
        <v>0</v>
      </c>
      <c r="BR630" t="s">
        <v>1438</v>
      </c>
      <c r="BS630">
        <v>0</v>
      </c>
      <c r="BT630" t="s">
        <v>1438</v>
      </c>
      <c r="BU630">
        <v>0</v>
      </c>
      <c r="BV630" t="s">
        <v>25</v>
      </c>
      <c r="BW630" t="s">
        <v>189</v>
      </c>
      <c r="BX630">
        <v>29</v>
      </c>
      <c r="BY630">
        <v>3301994</v>
      </c>
      <c r="BZ630">
        <v>6.9599999999999995E-2</v>
      </c>
      <c r="CA630" t="s">
        <v>1439</v>
      </c>
      <c r="CB630" t="s">
        <v>227</v>
      </c>
      <c r="CC630" t="s">
        <v>1440</v>
      </c>
      <c r="CD630">
        <v>229900</v>
      </c>
      <c r="CE630">
        <v>29</v>
      </c>
      <c r="CF630" t="s">
        <v>635</v>
      </c>
      <c r="CG630">
        <v>3301994</v>
      </c>
      <c r="CH630">
        <v>0.04</v>
      </c>
      <c r="CI630">
        <v>132100</v>
      </c>
      <c r="CJ630">
        <v>3301994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 t="s">
        <v>88</v>
      </c>
      <c r="CT630" t="s">
        <v>1441</v>
      </c>
      <c r="CU630" t="s">
        <v>1442</v>
      </c>
    </row>
    <row r="631" spans="1:99">
      <c r="A631" t="s">
        <v>1431</v>
      </c>
      <c r="B631" t="s">
        <v>34</v>
      </c>
      <c r="C631" t="s">
        <v>3010</v>
      </c>
      <c r="D631" t="s">
        <v>3011</v>
      </c>
      <c r="E631" t="s">
        <v>2581</v>
      </c>
      <c r="F631" t="s">
        <v>1471</v>
      </c>
      <c r="G631" t="s">
        <v>2410</v>
      </c>
      <c r="H631" t="s">
        <v>1468</v>
      </c>
      <c r="I631" t="s">
        <v>240</v>
      </c>
      <c r="J631" t="s">
        <v>46</v>
      </c>
      <c r="K631" t="s">
        <v>29</v>
      </c>
      <c r="L631" t="s">
        <v>30</v>
      </c>
      <c r="M631">
        <v>188</v>
      </c>
      <c r="N631" t="s">
        <v>32</v>
      </c>
      <c r="O631" t="s">
        <v>32</v>
      </c>
      <c r="Q631" t="s">
        <v>32</v>
      </c>
      <c r="S631" t="s">
        <v>32</v>
      </c>
      <c r="U631" t="s">
        <v>32</v>
      </c>
      <c r="V631" t="s">
        <v>32</v>
      </c>
      <c r="W631" t="s">
        <v>32</v>
      </c>
      <c r="X631" t="s">
        <v>32</v>
      </c>
      <c r="Y631" t="s">
        <v>32</v>
      </c>
      <c r="AA631" t="s">
        <v>32</v>
      </c>
      <c r="AB631" t="s">
        <v>32</v>
      </c>
      <c r="AE631" t="s">
        <v>32</v>
      </c>
      <c r="AH631" t="s">
        <v>32</v>
      </c>
      <c r="AK631" t="s">
        <v>32</v>
      </c>
      <c r="AN631" t="s">
        <v>32</v>
      </c>
      <c r="AO631" t="s">
        <v>32</v>
      </c>
      <c r="AR631">
        <v>0</v>
      </c>
      <c r="AU631" t="s">
        <v>32</v>
      </c>
      <c r="AV631">
        <v>11650406</v>
      </c>
      <c r="AW631" t="s">
        <v>32</v>
      </c>
      <c r="AX631" t="s">
        <v>32</v>
      </c>
      <c r="AY631" t="s">
        <v>185</v>
      </c>
      <c r="AZ631">
        <v>30</v>
      </c>
      <c r="BA631">
        <v>11650406</v>
      </c>
      <c r="BB631">
        <v>0.16</v>
      </c>
      <c r="BC631">
        <v>1864100</v>
      </c>
      <c r="BD631" t="s">
        <v>142</v>
      </c>
      <c r="BE631">
        <v>0</v>
      </c>
      <c r="BF631">
        <v>0</v>
      </c>
      <c r="BG631">
        <v>58300</v>
      </c>
      <c r="BH631">
        <v>58300</v>
      </c>
      <c r="BI631">
        <v>0</v>
      </c>
      <c r="BJ631">
        <v>1980700</v>
      </c>
      <c r="BK631" t="s">
        <v>25</v>
      </c>
      <c r="BL631" t="s">
        <v>635</v>
      </c>
      <c r="BM631">
        <v>30</v>
      </c>
      <c r="BN631">
        <v>11650406</v>
      </c>
      <c r="BO631">
        <v>0.04</v>
      </c>
      <c r="BP631">
        <v>466100</v>
      </c>
      <c r="BQ631">
        <v>0</v>
      </c>
      <c r="BR631" t="s">
        <v>1438</v>
      </c>
      <c r="BS631">
        <v>0</v>
      </c>
      <c r="BT631" t="s">
        <v>1438</v>
      </c>
      <c r="BU631">
        <v>0</v>
      </c>
      <c r="BV631" t="s">
        <v>25</v>
      </c>
      <c r="BW631" t="s">
        <v>189</v>
      </c>
      <c r="BX631">
        <v>30</v>
      </c>
      <c r="BY631">
        <v>11650406</v>
      </c>
      <c r="BZ631">
        <v>6.9599999999999995E-2</v>
      </c>
      <c r="CA631" t="s">
        <v>1439</v>
      </c>
      <c r="CB631" t="s">
        <v>227</v>
      </c>
      <c r="CC631" t="s">
        <v>1440</v>
      </c>
      <c r="CD631">
        <v>810900</v>
      </c>
      <c r="CE631">
        <v>30</v>
      </c>
      <c r="CF631" t="s">
        <v>635</v>
      </c>
      <c r="CG631">
        <v>11650406</v>
      </c>
      <c r="CH631">
        <v>0.04</v>
      </c>
      <c r="CI631">
        <v>466100</v>
      </c>
      <c r="CJ631">
        <v>11650406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 t="s">
        <v>88</v>
      </c>
      <c r="CT631" t="s">
        <v>1441</v>
      </c>
      <c r="CU631" t="s">
        <v>1442</v>
      </c>
    </row>
    <row r="632" spans="1:99">
      <c r="A632" t="s">
        <v>1431</v>
      </c>
      <c r="B632" t="s">
        <v>34</v>
      </c>
      <c r="C632" t="s">
        <v>3012</v>
      </c>
      <c r="D632" t="s">
        <v>3013</v>
      </c>
      <c r="E632" t="s">
        <v>3014</v>
      </c>
      <c r="F632" t="s">
        <v>3015</v>
      </c>
      <c r="G632" t="s">
        <v>1709</v>
      </c>
      <c r="H632" t="s">
        <v>1558</v>
      </c>
      <c r="I632" t="s">
        <v>240</v>
      </c>
      <c r="J632" t="s">
        <v>46</v>
      </c>
      <c r="K632" t="s">
        <v>29</v>
      </c>
      <c r="L632" t="s">
        <v>30</v>
      </c>
      <c r="M632">
        <v>180</v>
      </c>
      <c r="N632" t="s">
        <v>32</v>
      </c>
      <c r="O632" t="s">
        <v>32</v>
      </c>
      <c r="Q632" t="s">
        <v>32</v>
      </c>
      <c r="S632" t="s">
        <v>32</v>
      </c>
      <c r="U632" t="s">
        <v>32</v>
      </c>
      <c r="V632" t="s">
        <v>32</v>
      </c>
      <c r="W632" t="s">
        <v>32</v>
      </c>
      <c r="X632" t="s">
        <v>32</v>
      </c>
      <c r="Y632" t="s">
        <v>88</v>
      </c>
      <c r="Z632">
        <v>46054</v>
      </c>
      <c r="AA632" t="s">
        <v>32</v>
      </c>
      <c r="AB632" t="s">
        <v>32</v>
      </c>
      <c r="AE632" t="s">
        <v>32</v>
      </c>
      <c r="AH632" t="s">
        <v>32</v>
      </c>
      <c r="AK632" t="s">
        <v>32</v>
      </c>
      <c r="AN632" t="s">
        <v>32</v>
      </c>
      <c r="AO632" t="s">
        <v>32</v>
      </c>
      <c r="AR632">
        <v>0</v>
      </c>
      <c r="AU632" t="s">
        <v>32</v>
      </c>
      <c r="AV632">
        <v>4937231</v>
      </c>
      <c r="AW632" t="s">
        <v>32</v>
      </c>
      <c r="AX632" t="s">
        <v>32</v>
      </c>
      <c r="AY632" t="s">
        <v>185</v>
      </c>
      <c r="AZ632">
        <v>30</v>
      </c>
      <c r="BA632">
        <v>5616084</v>
      </c>
      <c r="BB632">
        <v>0.16</v>
      </c>
      <c r="BC632">
        <v>898600</v>
      </c>
      <c r="BD632" t="s">
        <v>142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898600</v>
      </c>
      <c r="BK632" t="s">
        <v>25</v>
      </c>
      <c r="BL632" t="s">
        <v>1010</v>
      </c>
      <c r="BM632">
        <v>30</v>
      </c>
      <c r="BN632">
        <v>5616084</v>
      </c>
      <c r="BO632">
        <v>0.04</v>
      </c>
      <c r="BP632">
        <v>224700</v>
      </c>
      <c r="BQ632">
        <v>0</v>
      </c>
      <c r="BR632" t="s">
        <v>1438</v>
      </c>
      <c r="BS632">
        <v>0</v>
      </c>
      <c r="BT632" t="s">
        <v>1438</v>
      </c>
      <c r="BU632">
        <v>0</v>
      </c>
      <c r="BV632" t="s">
        <v>25</v>
      </c>
      <c r="BW632" t="s">
        <v>189</v>
      </c>
      <c r="BX632">
        <v>30</v>
      </c>
      <c r="BY632">
        <v>5616084</v>
      </c>
      <c r="BZ632">
        <v>6.9599999999999995E-2</v>
      </c>
      <c r="CA632" t="s">
        <v>1439</v>
      </c>
      <c r="CB632" t="s">
        <v>227</v>
      </c>
      <c r="CC632" t="s">
        <v>1440</v>
      </c>
      <c r="CD632">
        <v>390900</v>
      </c>
      <c r="CE632">
        <v>30</v>
      </c>
      <c r="CF632" t="s">
        <v>635</v>
      </c>
      <c r="CG632">
        <v>4937231</v>
      </c>
      <c r="CH632">
        <v>0.04</v>
      </c>
      <c r="CI632">
        <v>197500</v>
      </c>
      <c r="CJ632">
        <v>4937231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 t="s">
        <v>88</v>
      </c>
      <c r="CT632" t="s">
        <v>1441</v>
      </c>
      <c r="CU632" t="s">
        <v>1442</v>
      </c>
    </row>
    <row r="633" spans="1:99">
      <c r="A633" t="s">
        <v>1431</v>
      </c>
      <c r="B633" t="s">
        <v>34</v>
      </c>
      <c r="C633" t="s">
        <v>3016</v>
      </c>
      <c r="D633" t="s">
        <v>3017</v>
      </c>
      <c r="E633" t="s">
        <v>2302</v>
      </c>
      <c r="F633" t="s">
        <v>3018</v>
      </c>
      <c r="G633" t="s">
        <v>2070</v>
      </c>
      <c r="H633" t="s">
        <v>3019</v>
      </c>
      <c r="I633" t="s">
        <v>240</v>
      </c>
      <c r="J633" t="s">
        <v>46</v>
      </c>
      <c r="K633" t="s">
        <v>29</v>
      </c>
      <c r="L633" t="s">
        <v>30</v>
      </c>
      <c r="M633">
        <v>0</v>
      </c>
      <c r="N633" t="s">
        <v>32</v>
      </c>
      <c r="O633" t="s">
        <v>32</v>
      </c>
      <c r="Q633" t="s">
        <v>32</v>
      </c>
      <c r="S633" t="s">
        <v>32</v>
      </c>
      <c r="U633" t="s">
        <v>32</v>
      </c>
      <c r="V633" t="s">
        <v>32</v>
      </c>
      <c r="W633" t="s">
        <v>32</v>
      </c>
      <c r="X633" t="s">
        <v>32</v>
      </c>
      <c r="Y633" t="s">
        <v>32</v>
      </c>
      <c r="AA633" t="s">
        <v>32</v>
      </c>
      <c r="AB633" t="s">
        <v>32</v>
      </c>
      <c r="AE633" t="s">
        <v>32</v>
      </c>
      <c r="AH633" t="s">
        <v>32</v>
      </c>
      <c r="AK633" t="s">
        <v>128</v>
      </c>
      <c r="AL633">
        <v>46069</v>
      </c>
      <c r="AM633">
        <v>46071</v>
      </c>
      <c r="AN633" t="s">
        <v>32</v>
      </c>
      <c r="AO633" t="s">
        <v>32</v>
      </c>
      <c r="AR633">
        <v>0</v>
      </c>
      <c r="AU633" t="s">
        <v>32</v>
      </c>
      <c r="AV633">
        <v>6167245</v>
      </c>
      <c r="AW633" t="s">
        <v>32</v>
      </c>
      <c r="AX633" t="s">
        <v>88</v>
      </c>
      <c r="AY633" t="s">
        <v>185</v>
      </c>
      <c r="AZ633">
        <v>3</v>
      </c>
      <c r="BA633">
        <v>616725</v>
      </c>
      <c r="BB633">
        <v>0.16</v>
      </c>
      <c r="BC633">
        <v>98700</v>
      </c>
      <c r="BD633" t="s">
        <v>142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98700</v>
      </c>
      <c r="BK633" t="s">
        <v>25</v>
      </c>
      <c r="BL633" t="s">
        <v>1010</v>
      </c>
      <c r="BM633">
        <v>3</v>
      </c>
      <c r="BN633">
        <v>616725</v>
      </c>
      <c r="BO633">
        <v>0.04</v>
      </c>
      <c r="BP633">
        <v>24700</v>
      </c>
      <c r="BQ633">
        <v>0</v>
      </c>
      <c r="BR633" t="s">
        <v>1438</v>
      </c>
      <c r="BS633">
        <v>0</v>
      </c>
      <c r="BT633" t="s">
        <v>1438</v>
      </c>
      <c r="BU633">
        <v>0</v>
      </c>
      <c r="BV633" t="s">
        <v>25</v>
      </c>
      <c r="BW633" t="s">
        <v>189</v>
      </c>
      <c r="BX633">
        <v>3</v>
      </c>
      <c r="BY633">
        <v>616725</v>
      </c>
      <c r="BZ633">
        <v>0</v>
      </c>
      <c r="CA633" t="s">
        <v>1439</v>
      </c>
      <c r="CB633" t="s">
        <v>227</v>
      </c>
      <c r="CC633" t="s">
        <v>1440</v>
      </c>
      <c r="CD633">
        <v>0</v>
      </c>
      <c r="CE633">
        <v>3</v>
      </c>
      <c r="CF633" t="s">
        <v>635</v>
      </c>
      <c r="CG633">
        <v>616725</v>
      </c>
      <c r="CH633">
        <v>0.04</v>
      </c>
      <c r="CI633">
        <v>24700</v>
      </c>
      <c r="CJ633">
        <v>616725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 t="s">
        <v>88</v>
      </c>
      <c r="CT633" t="s">
        <v>1441</v>
      </c>
      <c r="CU633" t="s">
        <v>1442</v>
      </c>
    </row>
    <row r="634" spans="1:99">
      <c r="A634" t="s">
        <v>1431</v>
      </c>
      <c r="B634" t="s">
        <v>34</v>
      </c>
      <c r="C634" t="s">
        <v>3016</v>
      </c>
      <c r="D634" t="s">
        <v>3017</v>
      </c>
      <c r="E634" t="s">
        <v>2302</v>
      </c>
      <c r="F634" t="s">
        <v>3018</v>
      </c>
      <c r="G634" t="s">
        <v>2070</v>
      </c>
      <c r="H634" t="s">
        <v>3019</v>
      </c>
      <c r="I634" t="s">
        <v>240</v>
      </c>
      <c r="J634" t="s">
        <v>46</v>
      </c>
      <c r="K634" t="s">
        <v>29</v>
      </c>
      <c r="L634" t="s">
        <v>30</v>
      </c>
      <c r="M634">
        <v>153</v>
      </c>
      <c r="N634" t="s">
        <v>32</v>
      </c>
      <c r="O634" t="s">
        <v>32</v>
      </c>
      <c r="Q634" t="s">
        <v>32</v>
      </c>
      <c r="S634" t="s">
        <v>32</v>
      </c>
      <c r="U634" t="s">
        <v>32</v>
      </c>
      <c r="V634" t="s">
        <v>32</v>
      </c>
      <c r="W634" t="s">
        <v>32</v>
      </c>
      <c r="X634" t="s">
        <v>32</v>
      </c>
      <c r="Y634" t="s">
        <v>88</v>
      </c>
      <c r="Z634">
        <v>46054</v>
      </c>
      <c r="AA634" t="s">
        <v>32</v>
      </c>
      <c r="AB634" t="s">
        <v>32</v>
      </c>
      <c r="AE634" t="s">
        <v>32</v>
      </c>
      <c r="AH634" t="s">
        <v>32</v>
      </c>
      <c r="AK634" t="s">
        <v>32</v>
      </c>
      <c r="AN634" t="s">
        <v>32</v>
      </c>
      <c r="AO634" t="s">
        <v>32</v>
      </c>
      <c r="AR634">
        <v>0</v>
      </c>
      <c r="AU634" t="s">
        <v>32</v>
      </c>
      <c r="AV634">
        <v>6167245</v>
      </c>
      <c r="AW634" t="s">
        <v>32</v>
      </c>
      <c r="AX634" t="s">
        <v>88</v>
      </c>
      <c r="AY634" t="s">
        <v>185</v>
      </c>
      <c r="AZ634">
        <v>27</v>
      </c>
      <c r="BA634">
        <v>5550521</v>
      </c>
      <c r="BB634">
        <v>0.16</v>
      </c>
      <c r="BC634">
        <v>888100</v>
      </c>
      <c r="BD634" t="s">
        <v>142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888100</v>
      </c>
      <c r="BK634" t="s">
        <v>25</v>
      </c>
      <c r="BL634" t="s">
        <v>1010</v>
      </c>
      <c r="BM634">
        <v>27</v>
      </c>
      <c r="BN634">
        <v>5550521</v>
      </c>
      <c r="BO634">
        <v>0.04</v>
      </c>
      <c r="BP634">
        <v>222100</v>
      </c>
      <c r="BQ634">
        <v>0</v>
      </c>
      <c r="BR634" t="s">
        <v>1438</v>
      </c>
      <c r="BS634">
        <v>0</v>
      </c>
      <c r="BT634" t="s">
        <v>1438</v>
      </c>
      <c r="BU634">
        <v>0</v>
      </c>
      <c r="BV634" t="s">
        <v>25</v>
      </c>
      <c r="BW634" t="s">
        <v>189</v>
      </c>
      <c r="BX634">
        <v>27</v>
      </c>
      <c r="BY634">
        <v>5550521</v>
      </c>
      <c r="BZ634">
        <v>6.9599999999999995E-2</v>
      </c>
      <c r="CA634" t="s">
        <v>1439</v>
      </c>
      <c r="CB634" t="s">
        <v>227</v>
      </c>
      <c r="CC634" t="s">
        <v>1440</v>
      </c>
      <c r="CD634">
        <v>386400</v>
      </c>
      <c r="CE634">
        <v>27</v>
      </c>
      <c r="CF634" t="s">
        <v>635</v>
      </c>
      <c r="CG634">
        <v>5550521</v>
      </c>
      <c r="CH634">
        <v>0.04</v>
      </c>
      <c r="CI634">
        <v>222100</v>
      </c>
      <c r="CJ634">
        <v>5550521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 t="s">
        <v>88</v>
      </c>
      <c r="CT634" t="s">
        <v>1441</v>
      </c>
      <c r="CU634" t="s">
        <v>1442</v>
      </c>
    </row>
    <row r="635" spans="1:99">
      <c r="A635" t="s">
        <v>1431</v>
      </c>
      <c r="B635" t="s">
        <v>34</v>
      </c>
      <c r="C635" t="s">
        <v>3020</v>
      </c>
      <c r="D635" t="s">
        <v>3021</v>
      </c>
      <c r="E635" t="s">
        <v>1575</v>
      </c>
      <c r="F635" t="s">
        <v>3022</v>
      </c>
      <c r="G635" t="s">
        <v>1489</v>
      </c>
      <c r="H635" t="s">
        <v>1991</v>
      </c>
      <c r="I635" t="s">
        <v>240</v>
      </c>
      <c r="J635" t="s">
        <v>46</v>
      </c>
      <c r="K635" t="s">
        <v>29</v>
      </c>
      <c r="L635" t="s">
        <v>30</v>
      </c>
      <c r="M635">
        <v>0</v>
      </c>
      <c r="N635" t="s">
        <v>32</v>
      </c>
      <c r="O635" t="s">
        <v>32</v>
      </c>
      <c r="Q635" t="s">
        <v>32</v>
      </c>
      <c r="S635" t="s">
        <v>32</v>
      </c>
      <c r="U635" t="s">
        <v>32</v>
      </c>
      <c r="V635" t="s">
        <v>32</v>
      </c>
      <c r="W635" t="s">
        <v>32</v>
      </c>
      <c r="X635" t="s">
        <v>32</v>
      </c>
      <c r="Y635" t="s">
        <v>32</v>
      </c>
      <c r="AA635" t="s">
        <v>32</v>
      </c>
      <c r="AB635" t="s">
        <v>32</v>
      </c>
      <c r="AE635" t="s">
        <v>1492</v>
      </c>
      <c r="AF635">
        <v>46054</v>
      </c>
      <c r="AG635">
        <v>46055</v>
      </c>
      <c r="AH635" t="s">
        <v>32</v>
      </c>
      <c r="AK635" t="s">
        <v>32</v>
      </c>
      <c r="AN635" t="s">
        <v>32</v>
      </c>
      <c r="AO635" t="s">
        <v>32</v>
      </c>
      <c r="AR635">
        <v>0</v>
      </c>
      <c r="AU635" t="s">
        <v>32</v>
      </c>
      <c r="AV635">
        <v>2223339</v>
      </c>
      <c r="AW635" t="s">
        <v>32</v>
      </c>
      <c r="AX635" t="s">
        <v>32</v>
      </c>
      <c r="AY635" t="s">
        <v>185</v>
      </c>
      <c r="AZ635">
        <v>2</v>
      </c>
      <c r="BA635">
        <v>255500</v>
      </c>
      <c r="BB635">
        <v>0.16</v>
      </c>
      <c r="BC635">
        <v>40900</v>
      </c>
      <c r="BD635" t="s">
        <v>142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40900</v>
      </c>
      <c r="BK635" t="s">
        <v>25</v>
      </c>
      <c r="BL635" t="s">
        <v>1064</v>
      </c>
      <c r="BM635">
        <v>2</v>
      </c>
      <c r="BN635">
        <v>255500</v>
      </c>
      <c r="BO635">
        <v>0.04</v>
      </c>
      <c r="BP635">
        <v>10300</v>
      </c>
      <c r="BQ635">
        <v>0</v>
      </c>
      <c r="BR635" t="s">
        <v>1438</v>
      </c>
      <c r="BS635">
        <v>0</v>
      </c>
      <c r="BT635" t="s">
        <v>1438</v>
      </c>
      <c r="BU635">
        <v>0</v>
      </c>
      <c r="BV635" t="s">
        <v>25</v>
      </c>
      <c r="BW635" t="s">
        <v>189</v>
      </c>
      <c r="BX635">
        <v>2</v>
      </c>
      <c r="BY635">
        <v>255500</v>
      </c>
      <c r="BZ635">
        <v>0</v>
      </c>
      <c r="CA635" t="s">
        <v>1439</v>
      </c>
      <c r="CB635" t="s">
        <v>227</v>
      </c>
      <c r="CC635" t="s">
        <v>1440</v>
      </c>
      <c r="CD635">
        <v>0</v>
      </c>
      <c r="CE635">
        <v>2</v>
      </c>
      <c r="CF635" t="s">
        <v>635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 t="s">
        <v>88</v>
      </c>
      <c r="CT635" t="s">
        <v>1441</v>
      </c>
      <c r="CU635" t="s">
        <v>1442</v>
      </c>
    </row>
    <row r="636" spans="1:99">
      <c r="A636" t="s">
        <v>1431</v>
      </c>
      <c r="B636" t="s">
        <v>34</v>
      </c>
      <c r="C636" t="s">
        <v>3020</v>
      </c>
      <c r="D636" t="s">
        <v>3021</v>
      </c>
      <c r="E636" t="s">
        <v>1575</v>
      </c>
      <c r="F636" t="s">
        <v>3022</v>
      </c>
      <c r="G636" t="s">
        <v>1489</v>
      </c>
      <c r="H636" t="s">
        <v>1991</v>
      </c>
      <c r="I636" t="s">
        <v>240</v>
      </c>
      <c r="J636" t="s">
        <v>46</v>
      </c>
      <c r="K636" t="s">
        <v>29</v>
      </c>
      <c r="L636" t="s">
        <v>30</v>
      </c>
      <c r="M636">
        <v>0</v>
      </c>
      <c r="N636" t="s">
        <v>32</v>
      </c>
      <c r="O636" t="s">
        <v>32</v>
      </c>
      <c r="Q636" t="s">
        <v>32</v>
      </c>
      <c r="S636" t="s">
        <v>32</v>
      </c>
      <c r="U636" t="s">
        <v>32</v>
      </c>
      <c r="V636" t="s">
        <v>32</v>
      </c>
      <c r="W636" t="s">
        <v>32</v>
      </c>
      <c r="X636" t="s">
        <v>32</v>
      </c>
      <c r="Y636" t="s">
        <v>32</v>
      </c>
      <c r="AA636" t="s">
        <v>32</v>
      </c>
      <c r="AB636" t="s">
        <v>32</v>
      </c>
      <c r="AE636" t="s">
        <v>32</v>
      </c>
      <c r="AH636" t="s">
        <v>32</v>
      </c>
      <c r="AK636" t="s">
        <v>32</v>
      </c>
      <c r="AN636" t="s">
        <v>32</v>
      </c>
      <c r="AO636" t="s">
        <v>32</v>
      </c>
      <c r="AR636">
        <v>10</v>
      </c>
      <c r="AS636">
        <v>46072</v>
      </c>
      <c r="AT636">
        <v>46081</v>
      </c>
      <c r="AU636" t="s">
        <v>32</v>
      </c>
      <c r="AV636">
        <v>2223339</v>
      </c>
      <c r="AW636" t="s">
        <v>32</v>
      </c>
      <c r="AX636" t="s">
        <v>32</v>
      </c>
      <c r="AY636" t="s">
        <v>185</v>
      </c>
      <c r="AZ636">
        <v>10</v>
      </c>
      <c r="BA636">
        <v>1277500</v>
      </c>
      <c r="BB636">
        <v>0.16</v>
      </c>
      <c r="BC636">
        <v>204400</v>
      </c>
      <c r="BD636" t="s">
        <v>142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204400</v>
      </c>
      <c r="BK636" t="s">
        <v>25</v>
      </c>
      <c r="BL636" t="s">
        <v>1064</v>
      </c>
      <c r="BM636">
        <v>10</v>
      </c>
      <c r="BN636">
        <v>1277500</v>
      </c>
      <c r="BO636">
        <v>0.04</v>
      </c>
      <c r="BP636">
        <v>51100</v>
      </c>
      <c r="BQ636">
        <v>0</v>
      </c>
      <c r="BR636" t="s">
        <v>1438</v>
      </c>
      <c r="BS636">
        <v>0</v>
      </c>
      <c r="BT636" t="s">
        <v>1438</v>
      </c>
      <c r="BU636">
        <v>0</v>
      </c>
      <c r="BV636" t="s">
        <v>25</v>
      </c>
      <c r="BW636" t="s">
        <v>189</v>
      </c>
      <c r="BX636">
        <v>10</v>
      </c>
      <c r="BY636">
        <v>1277500</v>
      </c>
      <c r="BZ636">
        <v>0</v>
      </c>
      <c r="CA636" t="s">
        <v>1439</v>
      </c>
      <c r="CB636" t="s">
        <v>227</v>
      </c>
      <c r="CC636" t="s">
        <v>1440</v>
      </c>
      <c r="CD636">
        <v>0</v>
      </c>
      <c r="CE636">
        <v>10</v>
      </c>
      <c r="CF636" t="s">
        <v>635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 t="s">
        <v>88</v>
      </c>
      <c r="CT636" t="s">
        <v>1441</v>
      </c>
      <c r="CU636" t="s">
        <v>1442</v>
      </c>
    </row>
    <row r="637" spans="1:99">
      <c r="A637" t="s">
        <v>1431</v>
      </c>
      <c r="B637" t="s">
        <v>34</v>
      </c>
      <c r="C637" t="s">
        <v>3020</v>
      </c>
      <c r="D637" t="s">
        <v>3021</v>
      </c>
      <c r="E637" t="s">
        <v>1575</v>
      </c>
      <c r="F637" t="s">
        <v>3022</v>
      </c>
      <c r="G637" t="s">
        <v>1489</v>
      </c>
      <c r="H637" t="s">
        <v>1991</v>
      </c>
      <c r="I637" t="s">
        <v>240</v>
      </c>
      <c r="J637" t="s">
        <v>46</v>
      </c>
      <c r="K637" t="s">
        <v>29</v>
      </c>
      <c r="L637" t="s">
        <v>30</v>
      </c>
      <c r="M637">
        <v>140</v>
      </c>
      <c r="N637" t="s">
        <v>32</v>
      </c>
      <c r="O637" t="s">
        <v>32</v>
      </c>
      <c r="Q637" t="s">
        <v>32</v>
      </c>
      <c r="S637" t="s">
        <v>32</v>
      </c>
      <c r="U637" t="s">
        <v>32</v>
      </c>
      <c r="V637" t="s">
        <v>32</v>
      </c>
      <c r="W637" t="s">
        <v>32</v>
      </c>
      <c r="X637" t="s">
        <v>32</v>
      </c>
      <c r="Y637" t="s">
        <v>32</v>
      </c>
      <c r="AA637" t="s">
        <v>88</v>
      </c>
      <c r="AB637" t="s">
        <v>32</v>
      </c>
      <c r="AE637" t="s">
        <v>32</v>
      </c>
      <c r="AH637" t="s">
        <v>32</v>
      </c>
      <c r="AK637" t="s">
        <v>32</v>
      </c>
      <c r="AN637" t="s">
        <v>32</v>
      </c>
      <c r="AO637" t="s">
        <v>32</v>
      </c>
      <c r="AR637">
        <v>0</v>
      </c>
      <c r="AU637" t="s">
        <v>32</v>
      </c>
      <c r="AV637">
        <v>2223339</v>
      </c>
      <c r="AW637" t="s">
        <v>32</v>
      </c>
      <c r="AX637" t="s">
        <v>32</v>
      </c>
      <c r="AY637" t="s">
        <v>185</v>
      </c>
      <c r="AZ637">
        <v>18</v>
      </c>
      <c r="BA637">
        <v>2056842</v>
      </c>
      <c r="BB637">
        <v>0.16</v>
      </c>
      <c r="BC637">
        <v>329100</v>
      </c>
      <c r="BD637" t="s">
        <v>142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329100</v>
      </c>
      <c r="BK637" t="s">
        <v>25</v>
      </c>
      <c r="BL637" t="s">
        <v>1064</v>
      </c>
      <c r="BM637">
        <v>18</v>
      </c>
      <c r="BN637">
        <v>2056842</v>
      </c>
      <c r="BO637">
        <v>0.04</v>
      </c>
      <c r="BP637">
        <v>82300</v>
      </c>
      <c r="BQ637">
        <v>0</v>
      </c>
      <c r="BR637" t="s">
        <v>1438</v>
      </c>
      <c r="BS637">
        <v>0</v>
      </c>
      <c r="BT637" t="s">
        <v>1438</v>
      </c>
      <c r="BU637">
        <v>0</v>
      </c>
      <c r="BV637" t="s">
        <v>25</v>
      </c>
      <c r="BW637" t="s">
        <v>189</v>
      </c>
      <c r="BX637">
        <v>18</v>
      </c>
      <c r="BY637">
        <v>2056842</v>
      </c>
      <c r="BZ637">
        <v>6.9599999999999995E-2</v>
      </c>
      <c r="CA637" t="s">
        <v>1439</v>
      </c>
      <c r="CB637" t="s">
        <v>227</v>
      </c>
      <c r="CC637" t="s">
        <v>1440</v>
      </c>
      <c r="CD637">
        <v>143200</v>
      </c>
      <c r="CE637">
        <v>18</v>
      </c>
      <c r="CF637" t="s">
        <v>635</v>
      </c>
      <c r="CG637">
        <v>2056842</v>
      </c>
      <c r="CH637">
        <v>0.04</v>
      </c>
      <c r="CI637">
        <v>82300</v>
      </c>
      <c r="CJ637">
        <v>2056842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 t="s">
        <v>88</v>
      </c>
      <c r="CT637" t="s">
        <v>1441</v>
      </c>
      <c r="CU637" t="s">
        <v>1442</v>
      </c>
    </row>
    <row r="638" spans="1:99">
      <c r="A638" t="s">
        <v>1431</v>
      </c>
      <c r="B638" t="s">
        <v>34</v>
      </c>
      <c r="C638" t="s">
        <v>3023</v>
      </c>
      <c r="D638" t="s">
        <v>3024</v>
      </c>
      <c r="E638" t="s">
        <v>1483</v>
      </c>
      <c r="F638" t="s">
        <v>3025</v>
      </c>
      <c r="G638" t="s">
        <v>1436</v>
      </c>
      <c r="H638" t="s">
        <v>1437</v>
      </c>
      <c r="I638" t="s">
        <v>240</v>
      </c>
      <c r="J638" t="s">
        <v>46</v>
      </c>
      <c r="K638" t="s">
        <v>29</v>
      </c>
      <c r="L638" t="s">
        <v>30</v>
      </c>
      <c r="M638">
        <v>68</v>
      </c>
      <c r="N638" t="s">
        <v>32</v>
      </c>
      <c r="O638" t="s">
        <v>32</v>
      </c>
      <c r="Q638" t="s">
        <v>32</v>
      </c>
      <c r="S638" t="s">
        <v>40</v>
      </c>
      <c r="T638">
        <v>46060</v>
      </c>
      <c r="U638" t="s">
        <v>32</v>
      </c>
      <c r="V638" t="s">
        <v>32</v>
      </c>
      <c r="W638" t="s">
        <v>32</v>
      </c>
      <c r="X638" t="s">
        <v>32</v>
      </c>
      <c r="Y638" t="s">
        <v>32</v>
      </c>
      <c r="AA638" t="s">
        <v>88</v>
      </c>
      <c r="AB638" t="s">
        <v>32</v>
      </c>
      <c r="AE638" t="s">
        <v>32</v>
      </c>
      <c r="AH638" t="s">
        <v>32</v>
      </c>
      <c r="AK638" t="s">
        <v>32</v>
      </c>
      <c r="AN638" t="s">
        <v>32</v>
      </c>
      <c r="AO638" t="s">
        <v>32</v>
      </c>
      <c r="AR638">
        <v>0</v>
      </c>
      <c r="AU638" t="s">
        <v>32</v>
      </c>
      <c r="AV638">
        <v>2665550</v>
      </c>
      <c r="AW638" t="s">
        <v>32</v>
      </c>
      <c r="AX638" t="s">
        <v>88</v>
      </c>
      <c r="AY638" t="s">
        <v>356</v>
      </c>
      <c r="AZ638">
        <v>7</v>
      </c>
      <c r="BA638">
        <v>1757051</v>
      </c>
      <c r="BB638">
        <v>0.16</v>
      </c>
      <c r="BC638">
        <v>281200</v>
      </c>
      <c r="BD638" t="s">
        <v>142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281200</v>
      </c>
      <c r="BK638" t="s">
        <v>25</v>
      </c>
      <c r="BL638" t="s">
        <v>1010</v>
      </c>
      <c r="BM638">
        <v>7</v>
      </c>
      <c r="BN638">
        <v>1757051</v>
      </c>
      <c r="BO638">
        <v>0.04</v>
      </c>
      <c r="BP638">
        <v>70300</v>
      </c>
      <c r="BQ638">
        <v>0</v>
      </c>
      <c r="BR638" t="s">
        <v>1438</v>
      </c>
      <c r="BS638">
        <v>0</v>
      </c>
      <c r="BT638" t="s">
        <v>1438</v>
      </c>
      <c r="BU638">
        <v>0</v>
      </c>
      <c r="BV638" t="s">
        <v>25</v>
      </c>
      <c r="BW638" t="s">
        <v>189</v>
      </c>
      <c r="BX638">
        <v>7</v>
      </c>
      <c r="BY638">
        <v>1757051</v>
      </c>
      <c r="BZ638">
        <v>6.9599999999999995E-2</v>
      </c>
      <c r="CA638" t="s">
        <v>1439</v>
      </c>
      <c r="CB638" t="s">
        <v>227</v>
      </c>
      <c r="CC638" t="s">
        <v>1440</v>
      </c>
      <c r="CD638">
        <v>122300</v>
      </c>
      <c r="CE638">
        <v>7</v>
      </c>
      <c r="CF638" t="s">
        <v>635</v>
      </c>
      <c r="CG638">
        <v>2340224</v>
      </c>
      <c r="CH638">
        <v>0.04</v>
      </c>
      <c r="CI638">
        <v>93700</v>
      </c>
      <c r="CJ638">
        <v>2340224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 t="s">
        <v>88</v>
      </c>
      <c r="CT638" t="s">
        <v>1441</v>
      </c>
      <c r="CU638" t="s">
        <v>1442</v>
      </c>
    </row>
    <row r="639" spans="1:99">
      <c r="A639" t="s">
        <v>1431</v>
      </c>
      <c r="B639" t="s">
        <v>34</v>
      </c>
      <c r="C639" t="s">
        <v>3026</v>
      </c>
      <c r="D639" t="s">
        <v>3027</v>
      </c>
      <c r="E639" t="s">
        <v>2890</v>
      </c>
      <c r="F639" t="s">
        <v>2847</v>
      </c>
      <c r="G639" t="s">
        <v>1489</v>
      </c>
      <c r="H639" t="s">
        <v>1725</v>
      </c>
      <c r="I639" t="s">
        <v>240</v>
      </c>
      <c r="J639" t="s">
        <v>46</v>
      </c>
      <c r="K639" t="s">
        <v>29</v>
      </c>
      <c r="L639" t="s">
        <v>30</v>
      </c>
      <c r="M639">
        <v>180</v>
      </c>
      <c r="N639" t="s">
        <v>32</v>
      </c>
      <c r="O639" t="s">
        <v>32</v>
      </c>
      <c r="Q639" t="s">
        <v>32</v>
      </c>
      <c r="S639" t="s">
        <v>32</v>
      </c>
      <c r="U639" t="s">
        <v>32</v>
      </c>
      <c r="V639" t="s">
        <v>32</v>
      </c>
      <c r="W639" t="s">
        <v>32</v>
      </c>
      <c r="X639" t="s">
        <v>32</v>
      </c>
      <c r="Y639" t="s">
        <v>32</v>
      </c>
      <c r="AA639" t="s">
        <v>32</v>
      </c>
      <c r="AB639" t="s">
        <v>32</v>
      </c>
      <c r="AE639" t="s">
        <v>32</v>
      </c>
      <c r="AH639" t="s">
        <v>32</v>
      </c>
      <c r="AK639" t="s">
        <v>32</v>
      </c>
      <c r="AN639" t="s">
        <v>32</v>
      </c>
      <c r="AO639" t="s">
        <v>32</v>
      </c>
      <c r="AR639">
        <v>0</v>
      </c>
      <c r="AU639" t="s">
        <v>32</v>
      </c>
      <c r="AV639">
        <v>16882380</v>
      </c>
      <c r="AW639" t="s">
        <v>32</v>
      </c>
      <c r="AX639" t="s">
        <v>32</v>
      </c>
      <c r="AY639" t="s">
        <v>356</v>
      </c>
      <c r="AZ639">
        <v>30</v>
      </c>
      <c r="BA639">
        <v>16882380</v>
      </c>
      <c r="BB639">
        <v>0.16</v>
      </c>
      <c r="BC639">
        <v>2701200</v>
      </c>
      <c r="BD639" t="s">
        <v>142</v>
      </c>
      <c r="BE639">
        <v>0</v>
      </c>
      <c r="BF639">
        <v>0</v>
      </c>
      <c r="BG639">
        <v>84500</v>
      </c>
      <c r="BH639">
        <v>84500</v>
      </c>
      <c r="BI639">
        <v>0</v>
      </c>
      <c r="BJ639">
        <v>2870200</v>
      </c>
      <c r="BK639" t="s">
        <v>25</v>
      </c>
      <c r="BL639" t="s">
        <v>1071</v>
      </c>
      <c r="BM639">
        <v>30</v>
      </c>
      <c r="BN639">
        <v>16882380</v>
      </c>
      <c r="BO639">
        <v>0.125</v>
      </c>
      <c r="BP639">
        <v>2110300</v>
      </c>
      <c r="BQ639">
        <v>0</v>
      </c>
      <c r="BR639" t="s">
        <v>1438</v>
      </c>
      <c r="BS639">
        <v>0</v>
      </c>
      <c r="BT639" t="s">
        <v>1438</v>
      </c>
      <c r="BU639">
        <v>0</v>
      </c>
      <c r="BV639" t="s">
        <v>25</v>
      </c>
      <c r="BW639" t="s">
        <v>189</v>
      </c>
      <c r="BX639">
        <v>30</v>
      </c>
      <c r="BY639">
        <v>16882380</v>
      </c>
      <c r="BZ639">
        <v>6.9599999999999995E-2</v>
      </c>
      <c r="CA639" t="s">
        <v>1439</v>
      </c>
      <c r="CB639" t="s">
        <v>227</v>
      </c>
      <c r="CC639" t="s">
        <v>1440</v>
      </c>
      <c r="CD639">
        <v>1175100</v>
      </c>
      <c r="CE639">
        <v>30</v>
      </c>
      <c r="CF639" t="s">
        <v>635</v>
      </c>
      <c r="CG639">
        <v>16882380</v>
      </c>
      <c r="CH639">
        <v>0.04</v>
      </c>
      <c r="CI639">
        <v>675300</v>
      </c>
      <c r="CJ639">
        <v>16882380</v>
      </c>
      <c r="CK639">
        <v>0.02</v>
      </c>
      <c r="CL639">
        <v>337700</v>
      </c>
      <c r="CM639">
        <v>0.03</v>
      </c>
      <c r="CN639">
        <v>506500</v>
      </c>
      <c r="CO639">
        <v>0</v>
      </c>
      <c r="CP639">
        <v>0</v>
      </c>
      <c r="CQ639">
        <v>0</v>
      </c>
      <c r="CR639">
        <v>0</v>
      </c>
      <c r="CS639" t="s">
        <v>88</v>
      </c>
      <c r="CT639" t="s">
        <v>1441</v>
      </c>
      <c r="CU639" t="s">
        <v>1442</v>
      </c>
    </row>
    <row r="640" spans="1:99">
      <c r="A640" t="s">
        <v>1431</v>
      </c>
      <c r="B640" t="s">
        <v>34</v>
      </c>
      <c r="C640" t="s">
        <v>3028</v>
      </c>
      <c r="D640" t="s">
        <v>3029</v>
      </c>
      <c r="E640" t="s">
        <v>1882</v>
      </c>
      <c r="F640" t="s">
        <v>3030</v>
      </c>
      <c r="G640" t="s">
        <v>1455</v>
      </c>
      <c r="H640" t="s">
        <v>2789</v>
      </c>
      <c r="I640" t="s">
        <v>240</v>
      </c>
      <c r="J640" t="s">
        <v>46</v>
      </c>
      <c r="K640" t="s">
        <v>29</v>
      </c>
      <c r="L640" t="s">
        <v>30</v>
      </c>
      <c r="M640">
        <v>0</v>
      </c>
      <c r="N640" t="s">
        <v>32</v>
      </c>
      <c r="O640" t="s">
        <v>32</v>
      </c>
      <c r="Q640" t="s">
        <v>32</v>
      </c>
      <c r="S640" t="s">
        <v>32</v>
      </c>
      <c r="U640" t="s">
        <v>32</v>
      </c>
      <c r="V640" t="s">
        <v>32</v>
      </c>
      <c r="W640" t="s">
        <v>32</v>
      </c>
      <c r="X640" t="s">
        <v>32</v>
      </c>
      <c r="Y640" t="s">
        <v>32</v>
      </c>
      <c r="AA640" t="s">
        <v>32</v>
      </c>
      <c r="AB640" t="s">
        <v>32</v>
      </c>
      <c r="AE640" t="s">
        <v>32</v>
      </c>
      <c r="AH640" t="s">
        <v>32</v>
      </c>
      <c r="AK640" t="s">
        <v>128</v>
      </c>
      <c r="AL640">
        <v>46054</v>
      </c>
      <c r="AM640">
        <v>46060</v>
      </c>
      <c r="AN640" t="s">
        <v>32</v>
      </c>
      <c r="AO640" t="s">
        <v>32</v>
      </c>
      <c r="AR640">
        <v>0</v>
      </c>
      <c r="AU640" t="s">
        <v>32</v>
      </c>
      <c r="AV640">
        <v>7458355</v>
      </c>
      <c r="AW640" t="s">
        <v>32</v>
      </c>
      <c r="AX640" t="s">
        <v>88</v>
      </c>
      <c r="AY640" t="s">
        <v>185</v>
      </c>
      <c r="AZ640">
        <v>7</v>
      </c>
      <c r="BA640">
        <v>1740283</v>
      </c>
      <c r="BB640">
        <v>0.16</v>
      </c>
      <c r="BC640">
        <v>278500</v>
      </c>
      <c r="BD640" t="s">
        <v>142</v>
      </c>
      <c r="BE640">
        <v>0</v>
      </c>
      <c r="BF640">
        <v>0</v>
      </c>
      <c r="BG640">
        <v>8800</v>
      </c>
      <c r="BH640">
        <v>8800</v>
      </c>
      <c r="BI640">
        <v>0</v>
      </c>
      <c r="BJ640">
        <v>296100</v>
      </c>
      <c r="BK640" t="s">
        <v>25</v>
      </c>
      <c r="BL640" t="s">
        <v>635</v>
      </c>
      <c r="BM640">
        <v>7</v>
      </c>
      <c r="BN640">
        <v>1740283</v>
      </c>
      <c r="BO640">
        <v>0.04</v>
      </c>
      <c r="BP640">
        <v>69700</v>
      </c>
      <c r="BQ640">
        <v>0</v>
      </c>
      <c r="BR640" t="s">
        <v>1438</v>
      </c>
      <c r="BS640">
        <v>0</v>
      </c>
      <c r="BT640" t="s">
        <v>1438</v>
      </c>
      <c r="BU640">
        <v>0</v>
      </c>
      <c r="BV640" t="s">
        <v>25</v>
      </c>
      <c r="BW640" t="s">
        <v>189</v>
      </c>
      <c r="BX640">
        <v>7</v>
      </c>
      <c r="BY640">
        <v>1740283</v>
      </c>
      <c r="BZ640">
        <v>0</v>
      </c>
      <c r="CA640" t="s">
        <v>1439</v>
      </c>
      <c r="CB640" t="s">
        <v>227</v>
      </c>
      <c r="CC640" t="s">
        <v>1440</v>
      </c>
      <c r="CD640">
        <v>0</v>
      </c>
      <c r="CE640">
        <v>7</v>
      </c>
      <c r="CF640" t="s">
        <v>635</v>
      </c>
      <c r="CG640">
        <v>1740283</v>
      </c>
      <c r="CH640">
        <v>0.04</v>
      </c>
      <c r="CI640">
        <v>69700</v>
      </c>
      <c r="CJ640">
        <v>1740283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 t="s">
        <v>88</v>
      </c>
      <c r="CT640" t="s">
        <v>1441</v>
      </c>
      <c r="CU640" t="s">
        <v>1442</v>
      </c>
    </row>
    <row r="641" spans="1:99">
      <c r="A641" t="s">
        <v>1431</v>
      </c>
      <c r="B641" t="s">
        <v>34</v>
      </c>
      <c r="C641" t="s">
        <v>3028</v>
      </c>
      <c r="D641" t="s">
        <v>3029</v>
      </c>
      <c r="E641" t="s">
        <v>1882</v>
      </c>
      <c r="F641" t="s">
        <v>3030</v>
      </c>
      <c r="G641" t="s">
        <v>1455</v>
      </c>
      <c r="H641" t="s">
        <v>2789</v>
      </c>
      <c r="I641" t="s">
        <v>240</v>
      </c>
      <c r="J641" t="s">
        <v>46</v>
      </c>
      <c r="K641" t="s">
        <v>29</v>
      </c>
      <c r="L641" t="s">
        <v>30</v>
      </c>
      <c r="M641">
        <v>135</v>
      </c>
      <c r="N641" t="s">
        <v>32</v>
      </c>
      <c r="O641" t="s">
        <v>32</v>
      </c>
      <c r="Q641" t="s">
        <v>32</v>
      </c>
      <c r="S641" t="s">
        <v>32</v>
      </c>
      <c r="U641" t="s">
        <v>32</v>
      </c>
      <c r="V641" t="s">
        <v>32</v>
      </c>
      <c r="W641" t="s">
        <v>32</v>
      </c>
      <c r="X641" t="s">
        <v>32</v>
      </c>
      <c r="Y641" t="s">
        <v>32</v>
      </c>
      <c r="AA641" t="s">
        <v>32</v>
      </c>
      <c r="AB641" t="s">
        <v>32</v>
      </c>
      <c r="AE641" t="s">
        <v>32</v>
      </c>
      <c r="AH641" t="s">
        <v>32</v>
      </c>
      <c r="AK641" t="s">
        <v>32</v>
      </c>
      <c r="AN641" t="s">
        <v>32</v>
      </c>
      <c r="AO641" t="s">
        <v>32</v>
      </c>
      <c r="AR641">
        <v>0</v>
      </c>
      <c r="AU641" t="s">
        <v>32</v>
      </c>
      <c r="AV641">
        <v>7458355</v>
      </c>
      <c r="AW641" t="s">
        <v>32</v>
      </c>
      <c r="AX641" t="s">
        <v>88</v>
      </c>
      <c r="AY641" t="s">
        <v>185</v>
      </c>
      <c r="AZ641">
        <v>23</v>
      </c>
      <c r="BA641">
        <v>5718073</v>
      </c>
      <c r="BB641">
        <v>0.16</v>
      </c>
      <c r="BC641">
        <v>914900</v>
      </c>
      <c r="BD641" t="s">
        <v>142</v>
      </c>
      <c r="BE641">
        <v>0</v>
      </c>
      <c r="BF641">
        <v>0</v>
      </c>
      <c r="BG641">
        <v>28600</v>
      </c>
      <c r="BH641">
        <v>28600</v>
      </c>
      <c r="BI641">
        <v>0</v>
      </c>
      <c r="BJ641">
        <v>972100</v>
      </c>
      <c r="BK641" t="s">
        <v>25</v>
      </c>
      <c r="BL641" t="s">
        <v>635</v>
      </c>
      <c r="BM641">
        <v>23</v>
      </c>
      <c r="BN641">
        <v>5718073</v>
      </c>
      <c r="BO641">
        <v>0.04</v>
      </c>
      <c r="BP641">
        <v>228800</v>
      </c>
      <c r="BQ641">
        <v>0</v>
      </c>
      <c r="BR641" t="s">
        <v>1438</v>
      </c>
      <c r="BS641">
        <v>0</v>
      </c>
      <c r="BT641" t="s">
        <v>1438</v>
      </c>
      <c r="BU641">
        <v>0</v>
      </c>
      <c r="BV641" t="s">
        <v>25</v>
      </c>
      <c r="BW641" t="s">
        <v>189</v>
      </c>
      <c r="BX641">
        <v>23</v>
      </c>
      <c r="BY641">
        <v>5718073</v>
      </c>
      <c r="BZ641">
        <v>6.9599999999999995E-2</v>
      </c>
      <c r="CA641" t="s">
        <v>1439</v>
      </c>
      <c r="CB641" t="s">
        <v>227</v>
      </c>
      <c r="CC641" t="s">
        <v>1440</v>
      </c>
      <c r="CD641">
        <v>398000</v>
      </c>
      <c r="CE641">
        <v>23</v>
      </c>
      <c r="CF641" t="s">
        <v>635</v>
      </c>
      <c r="CG641">
        <v>5718073</v>
      </c>
      <c r="CH641">
        <v>0.04</v>
      </c>
      <c r="CI641">
        <v>228800</v>
      </c>
      <c r="CJ641">
        <v>5718073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 t="s">
        <v>88</v>
      </c>
      <c r="CT641" t="s">
        <v>1441</v>
      </c>
      <c r="CU641" t="s">
        <v>1442</v>
      </c>
    </row>
    <row r="642" spans="1:99">
      <c r="A642" t="s">
        <v>1431</v>
      </c>
      <c r="B642" t="s">
        <v>34</v>
      </c>
      <c r="C642" t="s">
        <v>3031</v>
      </c>
      <c r="D642" t="s">
        <v>3032</v>
      </c>
      <c r="E642" t="s">
        <v>3033</v>
      </c>
      <c r="F642" t="s">
        <v>1526</v>
      </c>
      <c r="G642" t="s">
        <v>1479</v>
      </c>
      <c r="H642" t="s">
        <v>2194</v>
      </c>
      <c r="I642" t="s">
        <v>240</v>
      </c>
      <c r="J642" t="s">
        <v>46</v>
      </c>
      <c r="K642" t="s">
        <v>29</v>
      </c>
      <c r="L642" t="s">
        <v>30</v>
      </c>
      <c r="M642">
        <v>218</v>
      </c>
      <c r="N642" t="s">
        <v>32</v>
      </c>
      <c r="O642" t="s">
        <v>32</v>
      </c>
      <c r="Q642" t="s">
        <v>32</v>
      </c>
      <c r="S642" t="s">
        <v>32</v>
      </c>
      <c r="U642" t="s">
        <v>32</v>
      </c>
      <c r="V642" t="s">
        <v>32</v>
      </c>
      <c r="W642" t="s">
        <v>32</v>
      </c>
      <c r="X642" t="s">
        <v>32</v>
      </c>
      <c r="Y642" t="s">
        <v>32</v>
      </c>
      <c r="AA642" t="s">
        <v>88</v>
      </c>
      <c r="AB642" t="s">
        <v>32</v>
      </c>
      <c r="AE642" t="s">
        <v>32</v>
      </c>
      <c r="AH642" t="s">
        <v>32</v>
      </c>
      <c r="AK642" t="s">
        <v>32</v>
      </c>
      <c r="AN642" t="s">
        <v>32</v>
      </c>
      <c r="AO642" t="s">
        <v>32</v>
      </c>
      <c r="AR642">
        <v>0</v>
      </c>
      <c r="AU642" t="s">
        <v>32</v>
      </c>
      <c r="AV642">
        <v>2223339</v>
      </c>
      <c r="AW642" t="s">
        <v>32</v>
      </c>
      <c r="AX642" t="s">
        <v>32</v>
      </c>
      <c r="AY642" t="s">
        <v>185</v>
      </c>
      <c r="AZ642">
        <v>30</v>
      </c>
      <c r="BA642">
        <v>3160713</v>
      </c>
      <c r="BB642">
        <v>0.16</v>
      </c>
      <c r="BC642">
        <v>505800</v>
      </c>
      <c r="BD642" t="s">
        <v>142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505800</v>
      </c>
      <c r="BK642" t="s">
        <v>25</v>
      </c>
      <c r="BL642" t="s">
        <v>1010</v>
      </c>
      <c r="BM642">
        <v>30</v>
      </c>
      <c r="BN642">
        <v>3160713</v>
      </c>
      <c r="BO642">
        <v>0.04</v>
      </c>
      <c r="BP642">
        <v>126500</v>
      </c>
      <c r="BQ642">
        <v>0</v>
      </c>
      <c r="BR642" t="s">
        <v>1438</v>
      </c>
      <c r="BS642">
        <v>0</v>
      </c>
      <c r="BT642" t="s">
        <v>1438</v>
      </c>
      <c r="BU642">
        <v>0</v>
      </c>
      <c r="BV642" t="s">
        <v>25</v>
      </c>
      <c r="BW642" t="s">
        <v>189</v>
      </c>
      <c r="BX642">
        <v>30</v>
      </c>
      <c r="BY642">
        <v>3160713</v>
      </c>
      <c r="BZ642">
        <v>6.9599999999999995E-2</v>
      </c>
      <c r="CA642" t="s">
        <v>1439</v>
      </c>
      <c r="CB642" t="s">
        <v>227</v>
      </c>
      <c r="CC642" t="s">
        <v>1440</v>
      </c>
      <c r="CD642">
        <v>220000</v>
      </c>
      <c r="CE642">
        <v>30</v>
      </c>
      <c r="CF642" t="s">
        <v>635</v>
      </c>
      <c r="CG642">
        <v>3160713</v>
      </c>
      <c r="CH642">
        <v>0.04</v>
      </c>
      <c r="CI642">
        <v>126500</v>
      </c>
      <c r="CJ642">
        <v>3160713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 t="s">
        <v>88</v>
      </c>
      <c r="CT642" t="s">
        <v>1441</v>
      </c>
      <c r="CU642" t="s">
        <v>1442</v>
      </c>
    </row>
    <row r="643" spans="1:99">
      <c r="A643" t="s">
        <v>1431</v>
      </c>
      <c r="B643" t="s">
        <v>34</v>
      </c>
      <c r="C643" t="s">
        <v>3034</v>
      </c>
      <c r="D643" t="s">
        <v>3035</v>
      </c>
      <c r="E643" t="s">
        <v>2890</v>
      </c>
      <c r="F643" t="s">
        <v>3036</v>
      </c>
      <c r="G643" t="s">
        <v>1608</v>
      </c>
      <c r="H643" t="s">
        <v>1558</v>
      </c>
      <c r="I643" t="s">
        <v>240</v>
      </c>
      <c r="J643" t="s">
        <v>46</v>
      </c>
      <c r="K643" t="s">
        <v>29</v>
      </c>
      <c r="L643" t="s">
        <v>30</v>
      </c>
      <c r="M643">
        <v>0</v>
      </c>
      <c r="N643" t="s">
        <v>32</v>
      </c>
      <c r="O643" t="s">
        <v>32</v>
      </c>
      <c r="Q643" t="s">
        <v>32</v>
      </c>
      <c r="S643" t="s">
        <v>32</v>
      </c>
      <c r="U643" t="s">
        <v>32</v>
      </c>
      <c r="V643" t="s">
        <v>32</v>
      </c>
      <c r="W643" t="s">
        <v>32</v>
      </c>
      <c r="X643" t="s">
        <v>32</v>
      </c>
      <c r="Y643" t="s">
        <v>32</v>
      </c>
      <c r="AA643" t="s">
        <v>32</v>
      </c>
      <c r="AB643" t="s">
        <v>32</v>
      </c>
      <c r="AE643" t="s">
        <v>32</v>
      </c>
      <c r="AH643" t="s">
        <v>32</v>
      </c>
      <c r="AK643" t="s">
        <v>128</v>
      </c>
      <c r="AL643">
        <v>46054</v>
      </c>
      <c r="AM643">
        <v>46081</v>
      </c>
      <c r="AN643" t="s">
        <v>32</v>
      </c>
      <c r="AO643" t="s">
        <v>32</v>
      </c>
      <c r="AR643">
        <v>0</v>
      </c>
      <c r="AU643" t="s">
        <v>32</v>
      </c>
      <c r="AV643">
        <v>2418000</v>
      </c>
      <c r="AW643" t="s">
        <v>32</v>
      </c>
      <c r="AX643" t="s">
        <v>32</v>
      </c>
      <c r="AY643" t="s">
        <v>185</v>
      </c>
      <c r="AZ643">
        <v>30</v>
      </c>
      <c r="BA643">
        <v>2418000</v>
      </c>
      <c r="BB643">
        <v>0.16</v>
      </c>
      <c r="BC643">
        <v>386900</v>
      </c>
      <c r="BD643" t="s">
        <v>142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386900</v>
      </c>
      <c r="BK643" t="s">
        <v>25</v>
      </c>
      <c r="BL643" t="s">
        <v>1071</v>
      </c>
      <c r="BM643">
        <v>30</v>
      </c>
      <c r="BN643">
        <v>2418000</v>
      </c>
      <c r="BO643">
        <v>0.04</v>
      </c>
      <c r="BP643">
        <v>96800</v>
      </c>
      <c r="BQ643">
        <v>0</v>
      </c>
      <c r="BR643" t="s">
        <v>1438</v>
      </c>
      <c r="BS643">
        <v>0</v>
      </c>
      <c r="BT643" t="s">
        <v>1438</v>
      </c>
      <c r="BU643">
        <v>0</v>
      </c>
      <c r="BV643" t="s">
        <v>25</v>
      </c>
      <c r="BW643" t="s">
        <v>189</v>
      </c>
      <c r="BX643">
        <v>30</v>
      </c>
      <c r="BY643">
        <v>2418000</v>
      </c>
      <c r="BZ643">
        <v>0</v>
      </c>
      <c r="CA643" t="s">
        <v>1592</v>
      </c>
      <c r="CB643" t="s">
        <v>227</v>
      </c>
      <c r="CC643" t="s">
        <v>1593</v>
      </c>
      <c r="CD643">
        <v>0</v>
      </c>
      <c r="CE643">
        <v>30</v>
      </c>
      <c r="CF643" t="s">
        <v>635</v>
      </c>
      <c r="CG643">
        <v>2418000</v>
      </c>
      <c r="CH643">
        <v>0.04</v>
      </c>
      <c r="CI643">
        <v>96800</v>
      </c>
      <c r="CJ643">
        <v>2418000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 t="s">
        <v>88</v>
      </c>
      <c r="CT643" t="s">
        <v>1441</v>
      </c>
      <c r="CU643" t="s">
        <v>1442</v>
      </c>
    </row>
    <row r="644" spans="1:99">
      <c r="A644" t="s">
        <v>1431</v>
      </c>
      <c r="B644" t="s">
        <v>34</v>
      </c>
      <c r="C644" t="s">
        <v>3037</v>
      </c>
      <c r="D644" t="s">
        <v>3038</v>
      </c>
      <c r="E644" t="s">
        <v>1601</v>
      </c>
      <c r="F644" t="s">
        <v>1566</v>
      </c>
      <c r="G644" t="s">
        <v>1489</v>
      </c>
      <c r="H644" t="s">
        <v>1543</v>
      </c>
      <c r="I644" t="s">
        <v>240</v>
      </c>
      <c r="J644" t="s">
        <v>46</v>
      </c>
      <c r="K644" t="s">
        <v>29</v>
      </c>
      <c r="L644" t="s">
        <v>30</v>
      </c>
      <c r="M644">
        <v>67</v>
      </c>
      <c r="N644" t="s">
        <v>32</v>
      </c>
      <c r="O644" t="s">
        <v>32</v>
      </c>
      <c r="Q644" t="s">
        <v>32</v>
      </c>
      <c r="S644" t="s">
        <v>40</v>
      </c>
      <c r="T644">
        <v>46060</v>
      </c>
      <c r="U644" t="s">
        <v>32</v>
      </c>
      <c r="V644" t="s">
        <v>32</v>
      </c>
      <c r="W644" t="s">
        <v>32</v>
      </c>
      <c r="X644" t="s">
        <v>32</v>
      </c>
      <c r="Y644" t="s">
        <v>32</v>
      </c>
      <c r="AA644" t="s">
        <v>88</v>
      </c>
      <c r="AB644" t="s">
        <v>32</v>
      </c>
      <c r="AE644" t="s">
        <v>32</v>
      </c>
      <c r="AH644" t="s">
        <v>32</v>
      </c>
      <c r="AK644" t="s">
        <v>32</v>
      </c>
      <c r="AN644" t="s">
        <v>32</v>
      </c>
      <c r="AO644" t="s">
        <v>32</v>
      </c>
      <c r="AR644">
        <v>0</v>
      </c>
      <c r="AU644" t="s">
        <v>32</v>
      </c>
      <c r="AV644">
        <v>2970185</v>
      </c>
      <c r="AW644" t="s">
        <v>32</v>
      </c>
      <c r="AX644" t="s">
        <v>32</v>
      </c>
      <c r="AY644" t="s">
        <v>185</v>
      </c>
      <c r="AZ644">
        <v>7</v>
      </c>
      <c r="BA644">
        <v>2189385</v>
      </c>
      <c r="BB644">
        <v>0.16</v>
      </c>
      <c r="BC644">
        <v>350400</v>
      </c>
      <c r="BD644" t="s">
        <v>142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350400</v>
      </c>
      <c r="BK644" t="s">
        <v>25</v>
      </c>
      <c r="BL644" t="s">
        <v>1064</v>
      </c>
      <c r="BM644">
        <v>7</v>
      </c>
      <c r="BN644">
        <v>2189385</v>
      </c>
      <c r="BO644">
        <v>0.125</v>
      </c>
      <c r="BP644">
        <v>273700</v>
      </c>
      <c r="BQ644">
        <v>0</v>
      </c>
      <c r="BR644" t="s">
        <v>1438</v>
      </c>
      <c r="BS644">
        <v>0</v>
      </c>
      <c r="BT644" t="s">
        <v>1438</v>
      </c>
      <c r="BU644">
        <v>0</v>
      </c>
      <c r="BV644" t="s">
        <v>25</v>
      </c>
      <c r="BW644" t="s">
        <v>189</v>
      </c>
      <c r="BX644">
        <v>7</v>
      </c>
      <c r="BY644">
        <v>2189385</v>
      </c>
      <c r="BZ644">
        <v>6.9599999999999995E-2</v>
      </c>
      <c r="CA644" t="s">
        <v>1439</v>
      </c>
      <c r="CB644" t="s">
        <v>227</v>
      </c>
      <c r="CC644" t="s">
        <v>1440</v>
      </c>
      <c r="CD644">
        <v>152400</v>
      </c>
      <c r="CE644">
        <v>7</v>
      </c>
      <c r="CF644" t="s">
        <v>635</v>
      </c>
      <c r="CG644">
        <v>3329190</v>
      </c>
      <c r="CH644">
        <v>0.04</v>
      </c>
      <c r="CI644">
        <v>133200</v>
      </c>
      <c r="CJ644">
        <v>3329190</v>
      </c>
      <c r="CK644">
        <v>0.02</v>
      </c>
      <c r="CL644">
        <v>66600</v>
      </c>
      <c r="CM644">
        <v>0.03</v>
      </c>
      <c r="CN644">
        <v>99900</v>
      </c>
      <c r="CO644">
        <v>0</v>
      </c>
      <c r="CP644">
        <v>0</v>
      </c>
      <c r="CQ644">
        <v>0</v>
      </c>
      <c r="CR644">
        <v>0</v>
      </c>
      <c r="CS644" t="s">
        <v>88</v>
      </c>
      <c r="CT644" t="s">
        <v>1441</v>
      </c>
      <c r="CU644" t="s">
        <v>1442</v>
      </c>
    </row>
    <row r="645" spans="1:99">
      <c r="A645" t="s">
        <v>1431</v>
      </c>
      <c r="B645" t="s">
        <v>34</v>
      </c>
      <c r="C645" t="s">
        <v>3039</v>
      </c>
      <c r="D645" t="s">
        <v>3040</v>
      </c>
      <c r="E645" t="s">
        <v>3041</v>
      </c>
      <c r="F645" t="s">
        <v>1526</v>
      </c>
      <c r="G645" t="s">
        <v>1532</v>
      </c>
      <c r="H645" t="s">
        <v>2251</v>
      </c>
      <c r="I645" t="s">
        <v>99</v>
      </c>
      <c r="J645" t="s">
        <v>226</v>
      </c>
      <c r="K645" t="s">
        <v>29</v>
      </c>
      <c r="L645" t="s">
        <v>30</v>
      </c>
      <c r="M645">
        <v>188</v>
      </c>
      <c r="N645" t="s">
        <v>32</v>
      </c>
      <c r="O645" t="s">
        <v>32</v>
      </c>
      <c r="Q645" t="s">
        <v>32</v>
      </c>
      <c r="S645" t="s">
        <v>32</v>
      </c>
      <c r="U645" t="s">
        <v>32</v>
      </c>
      <c r="V645" t="s">
        <v>32</v>
      </c>
      <c r="W645" t="s">
        <v>32</v>
      </c>
      <c r="X645" t="s">
        <v>32</v>
      </c>
      <c r="Y645" t="s">
        <v>32</v>
      </c>
      <c r="AA645" t="s">
        <v>88</v>
      </c>
      <c r="AB645" t="s">
        <v>32</v>
      </c>
      <c r="AE645" t="s">
        <v>32</v>
      </c>
      <c r="AH645" t="s">
        <v>32</v>
      </c>
      <c r="AK645" t="s">
        <v>32</v>
      </c>
      <c r="AN645" t="s">
        <v>32</v>
      </c>
      <c r="AO645" t="s">
        <v>32</v>
      </c>
      <c r="AR645">
        <v>0</v>
      </c>
      <c r="AU645" t="s">
        <v>32</v>
      </c>
      <c r="AV645">
        <v>2223339</v>
      </c>
      <c r="AW645" t="s">
        <v>32</v>
      </c>
      <c r="AX645" t="s">
        <v>32</v>
      </c>
      <c r="AY645" t="s">
        <v>185</v>
      </c>
      <c r="AZ645">
        <v>30</v>
      </c>
      <c r="BA645">
        <v>2515144</v>
      </c>
      <c r="BB645">
        <v>0.16</v>
      </c>
      <c r="BC645">
        <v>402500</v>
      </c>
      <c r="BD645" t="s">
        <v>142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402500</v>
      </c>
      <c r="BK645" t="s">
        <v>25</v>
      </c>
      <c r="BL645" t="s">
        <v>1010</v>
      </c>
      <c r="BM645">
        <v>30</v>
      </c>
      <c r="BN645">
        <v>2515144</v>
      </c>
      <c r="BO645">
        <v>0.04</v>
      </c>
      <c r="BP645">
        <v>100700</v>
      </c>
      <c r="BQ645">
        <v>0</v>
      </c>
      <c r="BR645" t="s">
        <v>1438</v>
      </c>
      <c r="BS645">
        <v>0</v>
      </c>
      <c r="BT645" t="s">
        <v>1438</v>
      </c>
      <c r="BU645">
        <v>0</v>
      </c>
      <c r="BV645" t="s">
        <v>25</v>
      </c>
      <c r="BW645" t="s">
        <v>189</v>
      </c>
      <c r="BX645">
        <v>30</v>
      </c>
      <c r="BY645">
        <v>2515144</v>
      </c>
      <c r="BZ645">
        <v>6.9599999999999995E-2</v>
      </c>
      <c r="CA645" t="s">
        <v>1439</v>
      </c>
      <c r="CB645" t="s">
        <v>389</v>
      </c>
      <c r="CC645" t="s">
        <v>1440</v>
      </c>
      <c r="CD645">
        <v>175100</v>
      </c>
      <c r="CE645">
        <v>30</v>
      </c>
      <c r="CF645" t="s">
        <v>749</v>
      </c>
      <c r="CG645">
        <v>2515144</v>
      </c>
      <c r="CH645">
        <v>0.04</v>
      </c>
      <c r="CI645">
        <v>100700</v>
      </c>
      <c r="CJ645">
        <v>2515144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 t="s">
        <v>88</v>
      </c>
      <c r="CT645" t="s">
        <v>1441</v>
      </c>
      <c r="CU645" t="s">
        <v>1442</v>
      </c>
    </row>
    <row r="646" spans="1:99">
      <c r="A646" t="s">
        <v>1431</v>
      </c>
      <c r="B646" t="s">
        <v>34</v>
      </c>
      <c r="C646" t="s">
        <v>3042</v>
      </c>
      <c r="D646" t="s">
        <v>3043</v>
      </c>
      <c r="E646" t="s">
        <v>1482</v>
      </c>
      <c r="F646" t="s">
        <v>2903</v>
      </c>
      <c r="G646" t="s">
        <v>2095</v>
      </c>
      <c r="H646" t="s">
        <v>2511</v>
      </c>
      <c r="I646" t="s">
        <v>99</v>
      </c>
      <c r="J646" t="s">
        <v>226</v>
      </c>
      <c r="K646" t="s">
        <v>29</v>
      </c>
      <c r="L646" t="s">
        <v>30</v>
      </c>
      <c r="M646">
        <v>220</v>
      </c>
      <c r="N646" t="s">
        <v>32</v>
      </c>
      <c r="O646" t="s">
        <v>32</v>
      </c>
      <c r="Q646" t="s">
        <v>32</v>
      </c>
      <c r="S646" t="s">
        <v>32</v>
      </c>
      <c r="U646" t="s">
        <v>32</v>
      </c>
      <c r="V646" t="s">
        <v>32</v>
      </c>
      <c r="W646" t="s">
        <v>32</v>
      </c>
      <c r="X646" t="s">
        <v>32</v>
      </c>
      <c r="Y646" t="s">
        <v>32</v>
      </c>
      <c r="AA646" t="s">
        <v>88</v>
      </c>
      <c r="AB646" t="s">
        <v>32</v>
      </c>
      <c r="AE646" t="s">
        <v>32</v>
      </c>
      <c r="AH646" t="s">
        <v>32</v>
      </c>
      <c r="AK646" t="s">
        <v>32</v>
      </c>
      <c r="AN646" t="s">
        <v>32</v>
      </c>
      <c r="AO646" t="s">
        <v>32</v>
      </c>
      <c r="AR646">
        <v>0</v>
      </c>
      <c r="AU646" t="s">
        <v>32</v>
      </c>
      <c r="AV646">
        <v>2286374</v>
      </c>
      <c r="AW646" t="s">
        <v>32</v>
      </c>
      <c r="AX646" t="s">
        <v>32</v>
      </c>
      <c r="AY646" t="s">
        <v>185</v>
      </c>
      <c r="AZ646">
        <v>30</v>
      </c>
      <c r="BA646">
        <v>2920092</v>
      </c>
      <c r="BB646">
        <v>0.16</v>
      </c>
      <c r="BC646">
        <v>467300</v>
      </c>
      <c r="BD646" t="s">
        <v>142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467300</v>
      </c>
      <c r="BK646" t="s">
        <v>25</v>
      </c>
      <c r="BL646" t="s">
        <v>1071</v>
      </c>
      <c r="BM646">
        <v>30</v>
      </c>
      <c r="BN646">
        <v>2920092</v>
      </c>
      <c r="BO646">
        <v>0.04</v>
      </c>
      <c r="BP646">
        <v>116900</v>
      </c>
      <c r="BQ646">
        <v>0</v>
      </c>
      <c r="BR646" t="s">
        <v>1438</v>
      </c>
      <c r="BS646">
        <v>0</v>
      </c>
      <c r="BT646" t="s">
        <v>1438</v>
      </c>
      <c r="BU646">
        <v>0</v>
      </c>
      <c r="BV646" t="s">
        <v>25</v>
      </c>
      <c r="BW646" t="s">
        <v>189</v>
      </c>
      <c r="BX646">
        <v>30</v>
      </c>
      <c r="BY646">
        <v>2920092</v>
      </c>
      <c r="BZ646">
        <v>2.436E-2</v>
      </c>
      <c r="CA646" t="s">
        <v>1772</v>
      </c>
      <c r="CB646" t="s">
        <v>389</v>
      </c>
      <c r="CC646" t="s">
        <v>1773</v>
      </c>
      <c r="CD646">
        <v>71200</v>
      </c>
      <c r="CE646">
        <v>30</v>
      </c>
      <c r="CF646" t="s">
        <v>749</v>
      </c>
      <c r="CG646">
        <v>2920092</v>
      </c>
      <c r="CH646">
        <v>0.04</v>
      </c>
      <c r="CI646">
        <v>116900</v>
      </c>
      <c r="CJ646">
        <v>2920092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 t="s">
        <v>88</v>
      </c>
      <c r="CT646" t="s">
        <v>1441</v>
      </c>
      <c r="CU646" t="s">
        <v>1442</v>
      </c>
    </row>
    <row r="647" spans="1:99">
      <c r="A647" t="s">
        <v>1431</v>
      </c>
      <c r="B647" t="s">
        <v>34</v>
      </c>
      <c r="C647" t="s">
        <v>3044</v>
      </c>
      <c r="D647" t="s">
        <v>3045</v>
      </c>
      <c r="E647" t="s">
        <v>2887</v>
      </c>
      <c r="F647" t="s">
        <v>1692</v>
      </c>
      <c r="G647" t="s">
        <v>3046</v>
      </c>
      <c r="H647" t="s">
        <v>2332</v>
      </c>
      <c r="I647" t="s">
        <v>240</v>
      </c>
      <c r="J647" t="s">
        <v>46</v>
      </c>
      <c r="K647" t="s">
        <v>29</v>
      </c>
      <c r="L647" t="s">
        <v>30</v>
      </c>
      <c r="M647">
        <v>217</v>
      </c>
      <c r="N647" t="s">
        <v>32</v>
      </c>
      <c r="O647" t="s">
        <v>32</v>
      </c>
      <c r="Q647" t="s">
        <v>32</v>
      </c>
      <c r="S647" t="s">
        <v>32</v>
      </c>
      <c r="U647" t="s">
        <v>32</v>
      </c>
      <c r="V647" t="s">
        <v>32</v>
      </c>
      <c r="W647" t="s">
        <v>32</v>
      </c>
      <c r="X647" t="s">
        <v>32</v>
      </c>
      <c r="Y647" t="s">
        <v>32</v>
      </c>
      <c r="AA647" t="s">
        <v>88</v>
      </c>
      <c r="AB647" t="s">
        <v>32</v>
      </c>
      <c r="AE647" t="s">
        <v>32</v>
      </c>
      <c r="AH647" t="s">
        <v>32</v>
      </c>
      <c r="AK647" t="s">
        <v>32</v>
      </c>
      <c r="AN647" t="s">
        <v>32</v>
      </c>
      <c r="AO647" t="s">
        <v>32</v>
      </c>
      <c r="AR647">
        <v>0</v>
      </c>
      <c r="AU647" t="s">
        <v>32</v>
      </c>
      <c r="AV647">
        <v>2223339</v>
      </c>
      <c r="AW647" t="s">
        <v>32</v>
      </c>
      <c r="AX647" t="s">
        <v>32</v>
      </c>
      <c r="AY647" t="s">
        <v>185</v>
      </c>
      <c r="AZ647">
        <v>30</v>
      </c>
      <c r="BA647">
        <v>2996237</v>
      </c>
      <c r="BB647">
        <v>0.16</v>
      </c>
      <c r="BC647">
        <v>479400</v>
      </c>
      <c r="BD647" t="s">
        <v>142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479400</v>
      </c>
      <c r="BK647" t="s">
        <v>25</v>
      </c>
      <c r="BL647" t="s">
        <v>1010</v>
      </c>
      <c r="BM647">
        <v>30</v>
      </c>
      <c r="BN647">
        <v>2996237</v>
      </c>
      <c r="BO647">
        <v>0.04</v>
      </c>
      <c r="BP647">
        <v>119900</v>
      </c>
      <c r="BQ647">
        <v>0</v>
      </c>
      <c r="BR647" t="s">
        <v>1438</v>
      </c>
      <c r="BS647">
        <v>0</v>
      </c>
      <c r="BT647" t="s">
        <v>1438</v>
      </c>
      <c r="BU647">
        <v>0</v>
      </c>
      <c r="BV647" t="s">
        <v>25</v>
      </c>
      <c r="BW647" t="s">
        <v>189</v>
      </c>
      <c r="BX647">
        <v>30</v>
      </c>
      <c r="BY647">
        <v>2996237</v>
      </c>
      <c r="BZ647">
        <v>6.9599999999999995E-2</v>
      </c>
      <c r="CA647" t="s">
        <v>1439</v>
      </c>
      <c r="CB647" t="s">
        <v>227</v>
      </c>
      <c r="CC647" t="s">
        <v>1440</v>
      </c>
      <c r="CD647">
        <v>208600</v>
      </c>
      <c r="CE647">
        <v>30</v>
      </c>
      <c r="CF647" t="s">
        <v>635</v>
      </c>
      <c r="CG647">
        <v>2996237</v>
      </c>
      <c r="CH647">
        <v>0.04</v>
      </c>
      <c r="CI647">
        <v>119900</v>
      </c>
      <c r="CJ647">
        <v>2996237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 t="s">
        <v>88</v>
      </c>
      <c r="CT647" t="s">
        <v>1441</v>
      </c>
      <c r="CU647" t="s">
        <v>1442</v>
      </c>
    </row>
    <row r="648" spans="1:99">
      <c r="A648" t="s">
        <v>3047</v>
      </c>
      <c r="B648" t="s">
        <v>34</v>
      </c>
      <c r="C648" t="s">
        <v>1432</v>
      </c>
      <c r="D648" t="s">
        <v>1433</v>
      </c>
      <c r="E648" t="s">
        <v>1434</v>
      </c>
      <c r="F648" t="s">
        <v>1435</v>
      </c>
      <c r="G648" t="s">
        <v>1436</v>
      </c>
      <c r="H648" t="s">
        <v>1437</v>
      </c>
      <c r="I648" t="s">
        <v>240</v>
      </c>
      <c r="J648" t="s">
        <v>46</v>
      </c>
      <c r="K648" t="s">
        <v>29</v>
      </c>
      <c r="L648" t="s">
        <v>30</v>
      </c>
      <c r="M648">
        <v>188</v>
      </c>
      <c r="N648" t="s">
        <v>32</v>
      </c>
      <c r="O648" t="s">
        <v>32</v>
      </c>
      <c r="Q648" t="s">
        <v>32</v>
      </c>
      <c r="S648" t="s">
        <v>32</v>
      </c>
      <c r="U648" t="s">
        <v>32</v>
      </c>
      <c r="V648" t="s">
        <v>32</v>
      </c>
      <c r="W648" t="s">
        <v>32</v>
      </c>
      <c r="X648" t="s">
        <v>32</v>
      </c>
      <c r="Y648" t="s">
        <v>32</v>
      </c>
      <c r="AA648" t="s">
        <v>88</v>
      </c>
      <c r="AB648" t="s">
        <v>32</v>
      </c>
      <c r="AE648" t="s">
        <v>32</v>
      </c>
      <c r="AH648" t="s">
        <v>32</v>
      </c>
      <c r="AK648" t="s">
        <v>32</v>
      </c>
      <c r="AN648" t="s">
        <v>32</v>
      </c>
      <c r="AO648" t="s">
        <v>32</v>
      </c>
      <c r="AR648">
        <v>0</v>
      </c>
      <c r="AU648" t="s">
        <v>32</v>
      </c>
      <c r="AV648">
        <v>1750905</v>
      </c>
      <c r="AW648" t="s">
        <v>32</v>
      </c>
      <c r="AX648" t="s">
        <v>32</v>
      </c>
      <c r="AY648" t="s">
        <v>317</v>
      </c>
      <c r="AZ648">
        <v>30</v>
      </c>
      <c r="BA648">
        <v>2032509</v>
      </c>
      <c r="BB648">
        <v>0.15999999642372131</v>
      </c>
      <c r="BC648">
        <v>325300</v>
      </c>
      <c r="BD648" t="s">
        <v>31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325300</v>
      </c>
      <c r="BK648" t="s">
        <v>25</v>
      </c>
      <c r="BL648" t="s">
        <v>1010</v>
      </c>
      <c r="BM648">
        <v>30</v>
      </c>
      <c r="BN648">
        <v>2032509</v>
      </c>
      <c r="BO648">
        <v>3.9999999105930328E-2</v>
      </c>
      <c r="BP648">
        <v>81400</v>
      </c>
      <c r="BQ648">
        <v>0</v>
      </c>
      <c r="BS648">
        <v>0</v>
      </c>
      <c r="BU648">
        <v>0</v>
      </c>
      <c r="BV648" t="s">
        <v>25</v>
      </c>
      <c r="BW648" t="s">
        <v>189</v>
      </c>
      <c r="BX648">
        <v>30</v>
      </c>
      <c r="BY648">
        <v>2032509</v>
      </c>
      <c r="BZ648">
        <v>6.9600000977516174E-2</v>
      </c>
      <c r="CA648" t="s">
        <v>1439</v>
      </c>
      <c r="CB648" t="s">
        <v>227</v>
      </c>
      <c r="CC648" t="s">
        <v>1440</v>
      </c>
      <c r="CD648">
        <v>141500</v>
      </c>
      <c r="CE648">
        <v>30</v>
      </c>
      <c r="CF648" t="s">
        <v>635</v>
      </c>
      <c r="CG648">
        <v>2032509</v>
      </c>
      <c r="CH648">
        <v>3.9999999105930328E-2</v>
      </c>
      <c r="CI648">
        <v>81400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 t="s">
        <v>88</v>
      </c>
      <c r="CT648" t="s">
        <v>142</v>
      </c>
      <c r="CU648" t="s">
        <v>1442</v>
      </c>
    </row>
    <row r="649" spans="1:99">
      <c r="A649" t="s">
        <v>3047</v>
      </c>
      <c r="B649" t="s">
        <v>34</v>
      </c>
      <c r="C649" t="s">
        <v>1443</v>
      </c>
      <c r="D649" t="s">
        <v>1444</v>
      </c>
      <c r="E649" t="s">
        <v>1028</v>
      </c>
      <c r="F649" t="s">
        <v>1028</v>
      </c>
      <c r="G649" t="s">
        <v>1445</v>
      </c>
      <c r="H649" t="s">
        <v>1446</v>
      </c>
      <c r="I649" t="s">
        <v>240</v>
      </c>
      <c r="J649" t="s">
        <v>46</v>
      </c>
      <c r="K649" t="s">
        <v>29</v>
      </c>
      <c r="L649" t="s">
        <v>30</v>
      </c>
      <c r="M649">
        <v>9</v>
      </c>
      <c r="N649" t="s">
        <v>32</v>
      </c>
      <c r="O649" t="s">
        <v>32</v>
      </c>
      <c r="Q649" t="s">
        <v>40</v>
      </c>
      <c r="R649">
        <v>46080</v>
      </c>
      <c r="S649" t="s">
        <v>32</v>
      </c>
      <c r="U649" t="s">
        <v>32</v>
      </c>
      <c r="V649" t="s">
        <v>32</v>
      </c>
      <c r="W649" t="s">
        <v>32</v>
      </c>
      <c r="X649" t="s">
        <v>32</v>
      </c>
      <c r="Y649" t="s">
        <v>32</v>
      </c>
      <c r="AA649" t="s">
        <v>88</v>
      </c>
      <c r="AB649" t="s">
        <v>32</v>
      </c>
      <c r="AE649" t="s">
        <v>32</v>
      </c>
      <c r="AH649" t="s">
        <v>32</v>
      </c>
      <c r="AK649" t="s">
        <v>32</v>
      </c>
      <c r="AN649" t="s">
        <v>32</v>
      </c>
      <c r="AO649" t="s">
        <v>32</v>
      </c>
      <c r="AR649">
        <v>0</v>
      </c>
      <c r="AU649" t="s">
        <v>32</v>
      </c>
      <c r="AV649">
        <v>1750905</v>
      </c>
      <c r="AW649" t="s">
        <v>32</v>
      </c>
      <c r="AX649" t="s">
        <v>32</v>
      </c>
      <c r="AY649" t="s">
        <v>317</v>
      </c>
      <c r="AZ649">
        <v>4</v>
      </c>
      <c r="BA649">
        <v>233454</v>
      </c>
      <c r="BB649">
        <v>0.15999999642372131</v>
      </c>
      <c r="BC649">
        <v>37400</v>
      </c>
      <c r="BD649" t="s">
        <v>31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37400</v>
      </c>
      <c r="BK649" t="s">
        <v>25</v>
      </c>
      <c r="BL649" t="s">
        <v>187</v>
      </c>
      <c r="BM649">
        <v>4</v>
      </c>
      <c r="BN649">
        <v>233454</v>
      </c>
      <c r="BO649">
        <v>3.9999999105930328E-2</v>
      </c>
      <c r="BP649">
        <v>9400</v>
      </c>
      <c r="BQ649">
        <v>0</v>
      </c>
      <c r="BS649">
        <v>0</v>
      </c>
      <c r="BU649">
        <v>0</v>
      </c>
      <c r="BV649" t="s">
        <v>25</v>
      </c>
      <c r="BW649" t="s">
        <v>189</v>
      </c>
      <c r="BX649">
        <v>4</v>
      </c>
      <c r="BY649">
        <v>233454</v>
      </c>
      <c r="BZ649">
        <v>6.9600000977516174E-2</v>
      </c>
      <c r="CA649" t="s">
        <v>1439</v>
      </c>
      <c r="CB649" t="s">
        <v>227</v>
      </c>
      <c r="CC649" t="s">
        <v>1440</v>
      </c>
      <c r="CD649">
        <v>16300</v>
      </c>
      <c r="CE649">
        <v>4</v>
      </c>
      <c r="CF649" t="s">
        <v>635</v>
      </c>
      <c r="CG649">
        <v>233454</v>
      </c>
      <c r="CH649">
        <v>3.9999999105930328E-2</v>
      </c>
      <c r="CI649">
        <v>9400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 t="s">
        <v>88</v>
      </c>
      <c r="CT649" t="s">
        <v>142</v>
      </c>
      <c r="CU649" t="s">
        <v>1442</v>
      </c>
    </row>
    <row r="650" spans="1:99">
      <c r="A650" t="s">
        <v>3047</v>
      </c>
      <c r="B650" t="s">
        <v>34</v>
      </c>
      <c r="C650" t="s">
        <v>1447</v>
      </c>
      <c r="D650" t="s">
        <v>1448</v>
      </c>
      <c r="E650" t="s">
        <v>1449</v>
      </c>
      <c r="F650" t="s">
        <v>1450</v>
      </c>
      <c r="G650" t="s">
        <v>1436</v>
      </c>
      <c r="H650" t="s">
        <v>1451</v>
      </c>
      <c r="I650" t="s">
        <v>682</v>
      </c>
      <c r="J650" t="s">
        <v>484</v>
      </c>
      <c r="K650" t="s">
        <v>29</v>
      </c>
      <c r="L650" t="s">
        <v>30</v>
      </c>
      <c r="M650">
        <v>204</v>
      </c>
      <c r="N650" t="s">
        <v>32</v>
      </c>
      <c r="O650" t="s">
        <v>32</v>
      </c>
      <c r="Q650" t="s">
        <v>32</v>
      </c>
      <c r="S650" t="s">
        <v>32</v>
      </c>
      <c r="U650" t="s">
        <v>32</v>
      </c>
      <c r="V650" t="s">
        <v>32</v>
      </c>
      <c r="W650" t="s">
        <v>32</v>
      </c>
      <c r="X650" t="s">
        <v>32</v>
      </c>
      <c r="Y650" t="s">
        <v>32</v>
      </c>
      <c r="AA650" t="s">
        <v>88</v>
      </c>
      <c r="AB650" t="s">
        <v>32</v>
      </c>
      <c r="AE650" t="s">
        <v>32</v>
      </c>
      <c r="AH650" t="s">
        <v>32</v>
      </c>
      <c r="AK650" t="s">
        <v>32</v>
      </c>
      <c r="AN650" t="s">
        <v>32</v>
      </c>
      <c r="AO650" t="s">
        <v>32</v>
      </c>
      <c r="AR650">
        <v>0</v>
      </c>
      <c r="AU650" t="s">
        <v>32</v>
      </c>
      <c r="AV650">
        <v>1889179</v>
      </c>
      <c r="AW650" t="s">
        <v>32</v>
      </c>
      <c r="AX650" t="s">
        <v>32</v>
      </c>
      <c r="AY650" t="s">
        <v>317</v>
      </c>
      <c r="AZ650">
        <v>30</v>
      </c>
      <c r="BA650">
        <v>2222363</v>
      </c>
      <c r="BB650">
        <v>0.15999999642372131</v>
      </c>
      <c r="BC650">
        <v>355600</v>
      </c>
      <c r="BD650" t="s">
        <v>31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355600</v>
      </c>
      <c r="BK650" t="s">
        <v>25</v>
      </c>
      <c r="BL650" t="s">
        <v>1071</v>
      </c>
      <c r="BM650">
        <v>30</v>
      </c>
      <c r="BN650">
        <v>2222363</v>
      </c>
      <c r="BO650">
        <v>3.9999999105930328E-2</v>
      </c>
      <c r="BP650">
        <v>88900</v>
      </c>
      <c r="BQ650">
        <v>0</v>
      </c>
      <c r="BS650">
        <v>0</v>
      </c>
      <c r="BU650">
        <v>0</v>
      </c>
      <c r="BV650" t="s">
        <v>25</v>
      </c>
      <c r="BW650" t="s">
        <v>189</v>
      </c>
      <c r="BX650">
        <v>30</v>
      </c>
      <c r="BY650">
        <v>2222363</v>
      </c>
      <c r="BZ650">
        <v>6.9600000977516174E-2</v>
      </c>
      <c r="CA650" t="s">
        <v>1439</v>
      </c>
      <c r="CB650" t="s">
        <v>312</v>
      </c>
      <c r="CC650" t="s">
        <v>1440</v>
      </c>
      <c r="CD650">
        <v>154700</v>
      </c>
      <c r="CE650">
        <v>30</v>
      </c>
      <c r="CF650" t="s">
        <v>466</v>
      </c>
      <c r="CG650">
        <v>2222363</v>
      </c>
      <c r="CH650">
        <v>3.9999999105930328E-2</v>
      </c>
      <c r="CI650">
        <v>88900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 t="s">
        <v>88</v>
      </c>
      <c r="CT650" t="s">
        <v>142</v>
      </c>
      <c r="CU650" t="s">
        <v>1442</v>
      </c>
    </row>
    <row r="651" spans="1:99">
      <c r="A651" t="s">
        <v>3047</v>
      </c>
      <c r="B651" t="s">
        <v>34</v>
      </c>
      <c r="C651" t="s">
        <v>1452</v>
      </c>
      <c r="D651" t="s">
        <v>1453</v>
      </c>
      <c r="E651" t="s">
        <v>1253</v>
      </c>
      <c r="F651" t="s">
        <v>1454</v>
      </c>
      <c r="G651" t="s">
        <v>1455</v>
      </c>
      <c r="H651" t="s">
        <v>1456</v>
      </c>
      <c r="I651" t="s">
        <v>203</v>
      </c>
      <c r="J651" t="s">
        <v>403</v>
      </c>
      <c r="K651" t="s">
        <v>29</v>
      </c>
      <c r="L651" t="s">
        <v>30</v>
      </c>
      <c r="M651">
        <v>201</v>
      </c>
      <c r="N651" t="s">
        <v>32</v>
      </c>
      <c r="O651" t="s">
        <v>32</v>
      </c>
      <c r="Q651" t="s">
        <v>32</v>
      </c>
      <c r="S651" t="s">
        <v>32</v>
      </c>
      <c r="U651" t="s">
        <v>32</v>
      </c>
      <c r="V651" t="s">
        <v>32</v>
      </c>
      <c r="W651" t="s">
        <v>32</v>
      </c>
      <c r="X651" t="s">
        <v>32</v>
      </c>
      <c r="Y651" t="s">
        <v>32</v>
      </c>
      <c r="AA651" t="s">
        <v>88</v>
      </c>
      <c r="AB651" t="s">
        <v>32</v>
      </c>
      <c r="AE651" t="s">
        <v>32</v>
      </c>
      <c r="AH651" t="s">
        <v>32</v>
      </c>
      <c r="AK651" t="s">
        <v>32</v>
      </c>
      <c r="AN651" t="s">
        <v>32</v>
      </c>
      <c r="AO651" t="s">
        <v>32</v>
      </c>
      <c r="AR651">
        <v>0</v>
      </c>
      <c r="AU651" t="s">
        <v>32</v>
      </c>
      <c r="AV651">
        <v>2308750</v>
      </c>
      <c r="AW651" t="s">
        <v>32</v>
      </c>
      <c r="AX651" t="s">
        <v>32</v>
      </c>
      <c r="AY651" t="s">
        <v>317</v>
      </c>
      <c r="AZ651">
        <v>30</v>
      </c>
      <c r="BA651">
        <v>2643077</v>
      </c>
      <c r="BB651">
        <v>0.15999999642372131</v>
      </c>
      <c r="BC651">
        <v>422900</v>
      </c>
      <c r="BD651" t="s">
        <v>31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422900</v>
      </c>
      <c r="BK651" t="s">
        <v>25</v>
      </c>
      <c r="BL651" t="s">
        <v>1010</v>
      </c>
      <c r="BM651">
        <v>30</v>
      </c>
      <c r="BN651">
        <v>2643077</v>
      </c>
      <c r="BO651">
        <v>3.9999999105930328E-2</v>
      </c>
      <c r="BP651">
        <v>105800</v>
      </c>
      <c r="BQ651">
        <v>0</v>
      </c>
      <c r="BS651">
        <v>0</v>
      </c>
      <c r="BU651">
        <v>0</v>
      </c>
      <c r="BV651" t="s">
        <v>25</v>
      </c>
      <c r="BW651" t="s">
        <v>189</v>
      </c>
      <c r="BX651">
        <v>30</v>
      </c>
      <c r="BY651">
        <v>2643077</v>
      </c>
      <c r="BZ651">
        <v>6.9600000977516174E-2</v>
      </c>
      <c r="CA651" t="s">
        <v>1439</v>
      </c>
      <c r="CB651" t="s">
        <v>609</v>
      </c>
      <c r="CC651" t="s">
        <v>1440</v>
      </c>
      <c r="CD651">
        <v>184000</v>
      </c>
      <c r="CE651">
        <v>30</v>
      </c>
      <c r="CF651" t="s">
        <v>1001</v>
      </c>
      <c r="CG651">
        <v>2584226</v>
      </c>
      <c r="CH651">
        <v>3.9999999105930328E-2</v>
      </c>
      <c r="CI651">
        <v>103400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 t="s">
        <v>88</v>
      </c>
      <c r="CT651" t="s">
        <v>142</v>
      </c>
      <c r="CU651" t="s">
        <v>1442</v>
      </c>
    </row>
    <row r="652" spans="1:99">
      <c r="A652" t="s">
        <v>3047</v>
      </c>
      <c r="B652" t="s">
        <v>34</v>
      </c>
      <c r="C652" t="s">
        <v>1457</v>
      </c>
      <c r="D652" t="s">
        <v>1458</v>
      </c>
      <c r="E652" t="s">
        <v>1459</v>
      </c>
      <c r="F652" t="s">
        <v>1460</v>
      </c>
      <c r="G652" t="s">
        <v>1461</v>
      </c>
      <c r="H652" t="s">
        <v>1462</v>
      </c>
      <c r="I652" t="s">
        <v>240</v>
      </c>
      <c r="J652" t="s">
        <v>46</v>
      </c>
      <c r="K652" t="s">
        <v>29</v>
      </c>
      <c r="L652" t="s">
        <v>30</v>
      </c>
      <c r="M652">
        <v>0</v>
      </c>
      <c r="N652" t="s">
        <v>32</v>
      </c>
      <c r="O652" t="s">
        <v>32</v>
      </c>
      <c r="Q652" t="s">
        <v>32</v>
      </c>
      <c r="S652" t="s">
        <v>32</v>
      </c>
      <c r="U652" t="s">
        <v>32</v>
      </c>
      <c r="V652" t="s">
        <v>32</v>
      </c>
      <c r="W652" t="s">
        <v>32</v>
      </c>
      <c r="X652" t="s">
        <v>32</v>
      </c>
      <c r="Y652" t="s">
        <v>32</v>
      </c>
      <c r="AA652" t="s">
        <v>32</v>
      </c>
      <c r="AB652" t="s">
        <v>32</v>
      </c>
      <c r="AE652" t="s">
        <v>32</v>
      </c>
      <c r="AH652" t="s">
        <v>32</v>
      </c>
      <c r="AK652" t="s">
        <v>128</v>
      </c>
      <c r="AL652">
        <v>46069</v>
      </c>
      <c r="AM652">
        <v>46069</v>
      </c>
      <c r="AN652" t="s">
        <v>32</v>
      </c>
      <c r="AO652" t="s">
        <v>32</v>
      </c>
      <c r="AR652">
        <v>0</v>
      </c>
      <c r="AU652" t="s">
        <v>32</v>
      </c>
      <c r="AV652">
        <v>1750905</v>
      </c>
      <c r="AW652" t="s">
        <v>32</v>
      </c>
      <c r="AX652" t="s">
        <v>32</v>
      </c>
      <c r="AY652" t="s">
        <v>317</v>
      </c>
      <c r="AZ652">
        <v>1</v>
      </c>
      <c r="BA652">
        <v>58364</v>
      </c>
      <c r="BB652">
        <v>0.15999999642372131</v>
      </c>
      <c r="BC652">
        <v>9400</v>
      </c>
      <c r="BD652" t="s">
        <v>31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9400</v>
      </c>
      <c r="BK652" t="s">
        <v>25</v>
      </c>
      <c r="BL652" t="s">
        <v>1071</v>
      </c>
      <c r="BM652">
        <v>1</v>
      </c>
      <c r="BN652">
        <v>58364</v>
      </c>
      <c r="BO652">
        <v>3.9999999105930328E-2</v>
      </c>
      <c r="BP652">
        <v>2400</v>
      </c>
      <c r="BQ652">
        <v>0</v>
      </c>
      <c r="BS652">
        <v>0</v>
      </c>
      <c r="BU652">
        <v>0</v>
      </c>
      <c r="BV652" t="s">
        <v>25</v>
      </c>
      <c r="BW652" t="s">
        <v>189</v>
      </c>
      <c r="BX652">
        <v>1</v>
      </c>
      <c r="BY652">
        <v>58364</v>
      </c>
      <c r="BZ652">
        <v>0</v>
      </c>
      <c r="CA652" t="s">
        <v>1439</v>
      </c>
      <c r="CB652" t="s">
        <v>227</v>
      </c>
      <c r="CC652" t="s">
        <v>1440</v>
      </c>
      <c r="CD652">
        <v>0</v>
      </c>
      <c r="CE652">
        <v>1</v>
      </c>
      <c r="CF652" t="s">
        <v>635</v>
      </c>
      <c r="CG652">
        <v>58364</v>
      </c>
      <c r="CH652">
        <v>3.9999999105930328E-2</v>
      </c>
      <c r="CI652">
        <v>2400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 t="s">
        <v>88</v>
      </c>
      <c r="CT652" t="s">
        <v>142</v>
      </c>
      <c r="CU652" t="s">
        <v>1442</v>
      </c>
    </row>
    <row r="653" spans="1:99">
      <c r="A653" t="s">
        <v>3047</v>
      </c>
      <c r="B653" t="s">
        <v>34</v>
      </c>
      <c r="C653" t="s">
        <v>1457</v>
      </c>
      <c r="D653" t="s">
        <v>1458</v>
      </c>
      <c r="E653" t="s">
        <v>1459</v>
      </c>
      <c r="F653" t="s">
        <v>1460</v>
      </c>
      <c r="G653" t="s">
        <v>1461</v>
      </c>
      <c r="H653" t="s">
        <v>1462</v>
      </c>
      <c r="I653" t="s">
        <v>240</v>
      </c>
      <c r="J653" t="s">
        <v>46</v>
      </c>
      <c r="K653" t="s">
        <v>29</v>
      </c>
      <c r="L653" t="s">
        <v>30</v>
      </c>
      <c r="M653">
        <v>188</v>
      </c>
      <c r="N653" t="s">
        <v>32</v>
      </c>
      <c r="O653" t="s">
        <v>32</v>
      </c>
      <c r="Q653" t="s">
        <v>32</v>
      </c>
      <c r="S653" t="s">
        <v>32</v>
      </c>
      <c r="U653" t="s">
        <v>32</v>
      </c>
      <c r="V653" t="s">
        <v>32</v>
      </c>
      <c r="W653" t="s">
        <v>32</v>
      </c>
      <c r="X653" t="s">
        <v>32</v>
      </c>
      <c r="Y653" t="s">
        <v>32</v>
      </c>
      <c r="AA653" t="s">
        <v>88</v>
      </c>
      <c r="AB653" t="s">
        <v>32</v>
      </c>
      <c r="AE653" t="s">
        <v>32</v>
      </c>
      <c r="AH653" t="s">
        <v>32</v>
      </c>
      <c r="AK653" t="s">
        <v>32</v>
      </c>
      <c r="AN653" t="s">
        <v>32</v>
      </c>
      <c r="AO653" t="s">
        <v>32</v>
      </c>
      <c r="AR653">
        <v>0</v>
      </c>
      <c r="AU653" t="s">
        <v>32</v>
      </c>
      <c r="AV653">
        <v>1750905</v>
      </c>
      <c r="AW653" t="s">
        <v>32</v>
      </c>
      <c r="AX653" t="s">
        <v>32</v>
      </c>
      <c r="AY653" t="s">
        <v>317</v>
      </c>
      <c r="AZ653">
        <v>29</v>
      </c>
      <c r="BA653">
        <v>2073895</v>
      </c>
      <c r="BB653">
        <v>0.15999999642372131</v>
      </c>
      <c r="BC653">
        <v>331900</v>
      </c>
      <c r="BD653" t="s">
        <v>31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331900</v>
      </c>
      <c r="BK653" t="s">
        <v>25</v>
      </c>
      <c r="BL653" t="s">
        <v>1071</v>
      </c>
      <c r="BM653">
        <v>29</v>
      </c>
      <c r="BN653">
        <v>2073895</v>
      </c>
      <c r="BO653">
        <v>3.9999999105930328E-2</v>
      </c>
      <c r="BP653">
        <v>83000</v>
      </c>
      <c r="BQ653">
        <v>0</v>
      </c>
      <c r="BS653">
        <v>0</v>
      </c>
      <c r="BU653">
        <v>0</v>
      </c>
      <c r="BV653" t="s">
        <v>25</v>
      </c>
      <c r="BW653" t="s">
        <v>189</v>
      </c>
      <c r="BX653">
        <v>29</v>
      </c>
      <c r="BY653">
        <v>2073895</v>
      </c>
      <c r="BZ653">
        <v>6.9600000977516174E-2</v>
      </c>
      <c r="CA653" t="s">
        <v>1439</v>
      </c>
      <c r="CB653" t="s">
        <v>227</v>
      </c>
      <c r="CC653" t="s">
        <v>1440</v>
      </c>
      <c r="CD653">
        <v>144400</v>
      </c>
      <c r="CE653">
        <v>29</v>
      </c>
      <c r="CF653" t="s">
        <v>635</v>
      </c>
      <c r="CG653">
        <v>2073895</v>
      </c>
      <c r="CH653">
        <v>3.9999999105930328E-2</v>
      </c>
      <c r="CI653">
        <v>83000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 t="s">
        <v>88</v>
      </c>
      <c r="CT653" t="s">
        <v>142</v>
      </c>
      <c r="CU653" t="s">
        <v>1442</v>
      </c>
    </row>
    <row r="654" spans="1:99">
      <c r="A654" t="s">
        <v>3047</v>
      </c>
      <c r="B654" t="s">
        <v>34</v>
      </c>
      <c r="C654" t="s">
        <v>1463</v>
      </c>
      <c r="D654" t="s">
        <v>1464</v>
      </c>
      <c r="E654" t="s">
        <v>1465</v>
      </c>
      <c r="F654" t="s">
        <v>1466</v>
      </c>
      <c r="G654" t="s">
        <v>1467</v>
      </c>
      <c r="H654" t="s">
        <v>1468</v>
      </c>
      <c r="I654" t="s">
        <v>240</v>
      </c>
      <c r="J654" t="s">
        <v>46</v>
      </c>
      <c r="K654" t="s">
        <v>29</v>
      </c>
      <c r="L654" t="s">
        <v>30</v>
      </c>
      <c r="M654">
        <v>0</v>
      </c>
      <c r="N654" t="s">
        <v>32</v>
      </c>
      <c r="O654" t="s">
        <v>32</v>
      </c>
      <c r="Q654" t="s">
        <v>32</v>
      </c>
      <c r="S654" t="s">
        <v>32</v>
      </c>
      <c r="U654" t="s">
        <v>32</v>
      </c>
      <c r="V654" t="s">
        <v>32</v>
      </c>
      <c r="W654" t="s">
        <v>32</v>
      </c>
      <c r="X654" t="s">
        <v>32</v>
      </c>
      <c r="Y654" t="s">
        <v>32</v>
      </c>
      <c r="AA654" t="s">
        <v>32</v>
      </c>
      <c r="AB654" t="s">
        <v>37</v>
      </c>
      <c r="AC654">
        <v>46054</v>
      </c>
      <c r="AD654">
        <v>46055</v>
      </c>
      <c r="AE654" t="s">
        <v>32</v>
      </c>
      <c r="AH654" t="s">
        <v>32</v>
      </c>
      <c r="AK654" t="s">
        <v>32</v>
      </c>
      <c r="AN654" t="s">
        <v>32</v>
      </c>
      <c r="AO654" t="s">
        <v>32</v>
      </c>
      <c r="AR654">
        <v>0</v>
      </c>
      <c r="AU654" t="s">
        <v>32</v>
      </c>
      <c r="AV654">
        <v>1750905</v>
      </c>
      <c r="AW654" t="s">
        <v>32</v>
      </c>
      <c r="AX654" t="s">
        <v>32</v>
      </c>
      <c r="AY654" t="s">
        <v>317</v>
      </c>
      <c r="AZ654">
        <v>2</v>
      </c>
      <c r="BA654">
        <v>116727</v>
      </c>
      <c r="BB654">
        <v>0.15999999642372131</v>
      </c>
      <c r="BC654">
        <v>18700</v>
      </c>
      <c r="BD654" t="s">
        <v>31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18700</v>
      </c>
      <c r="BK654" t="s">
        <v>25</v>
      </c>
      <c r="BL654" t="s">
        <v>1064</v>
      </c>
      <c r="BM654">
        <v>2</v>
      </c>
      <c r="BN654">
        <v>116727</v>
      </c>
      <c r="BO654">
        <v>0</v>
      </c>
      <c r="BP654">
        <v>0</v>
      </c>
      <c r="BQ654">
        <v>0</v>
      </c>
      <c r="BS654">
        <v>0</v>
      </c>
      <c r="BU654">
        <v>0</v>
      </c>
      <c r="BV654" t="s">
        <v>25</v>
      </c>
      <c r="BW654" t="s">
        <v>189</v>
      </c>
      <c r="BX654">
        <v>2</v>
      </c>
      <c r="BY654">
        <v>116727</v>
      </c>
      <c r="BZ654">
        <v>0</v>
      </c>
      <c r="CA654" t="s">
        <v>1439</v>
      </c>
      <c r="CB654" t="s">
        <v>227</v>
      </c>
      <c r="CC654" t="s">
        <v>1440</v>
      </c>
      <c r="CD654">
        <v>0</v>
      </c>
      <c r="CE654">
        <v>2</v>
      </c>
      <c r="CF654" t="s">
        <v>635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 t="s">
        <v>88</v>
      </c>
      <c r="CT654" t="s">
        <v>142</v>
      </c>
      <c r="CU654" t="s">
        <v>1442</v>
      </c>
    </row>
    <row r="655" spans="1:99">
      <c r="A655" t="s">
        <v>3047</v>
      </c>
      <c r="B655" t="s">
        <v>34</v>
      </c>
      <c r="C655" t="s">
        <v>1463</v>
      </c>
      <c r="D655" t="s">
        <v>1464</v>
      </c>
      <c r="E655" t="s">
        <v>1465</v>
      </c>
      <c r="F655" t="s">
        <v>1466</v>
      </c>
      <c r="G655" t="s">
        <v>1467</v>
      </c>
      <c r="H655" t="s">
        <v>1468</v>
      </c>
      <c r="I655" t="s">
        <v>240</v>
      </c>
      <c r="J655" t="s">
        <v>46</v>
      </c>
      <c r="K655" t="s">
        <v>29</v>
      </c>
      <c r="L655" t="s">
        <v>30</v>
      </c>
      <c r="M655">
        <v>0</v>
      </c>
      <c r="N655" t="s">
        <v>32</v>
      </c>
      <c r="O655" t="s">
        <v>32</v>
      </c>
      <c r="Q655" t="s">
        <v>32</v>
      </c>
      <c r="S655" t="s">
        <v>32</v>
      </c>
      <c r="U655" t="s">
        <v>32</v>
      </c>
      <c r="V655" t="s">
        <v>32</v>
      </c>
      <c r="W655" t="s">
        <v>32</v>
      </c>
      <c r="X655" t="s">
        <v>32</v>
      </c>
      <c r="Y655" t="s">
        <v>32</v>
      </c>
      <c r="AA655" t="s">
        <v>32</v>
      </c>
      <c r="AB655" t="s">
        <v>37</v>
      </c>
      <c r="AC655">
        <v>46055</v>
      </c>
      <c r="AD655">
        <v>46061</v>
      </c>
      <c r="AE655" t="s">
        <v>32</v>
      </c>
      <c r="AH655" t="s">
        <v>32</v>
      </c>
      <c r="AK655" t="s">
        <v>32</v>
      </c>
      <c r="AN655" t="s">
        <v>32</v>
      </c>
      <c r="AO655" t="s">
        <v>32</v>
      </c>
      <c r="AR655">
        <v>0</v>
      </c>
      <c r="AU655" t="s">
        <v>32</v>
      </c>
      <c r="AV655">
        <v>1750905</v>
      </c>
      <c r="AW655" t="s">
        <v>32</v>
      </c>
      <c r="AX655" t="s">
        <v>32</v>
      </c>
      <c r="AY655" t="s">
        <v>317</v>
      </c>
      <c r="AZ655">
        <v>7</v>
      </c>
      <c r="BA655">
        <v>408545</v>
      </c>
      <c r="BB655">
        <v>0.15999999642372131</v>
      </c>
      <c r="BC655">
        <v>65400</v>
      </c>
      <c r="BD655" t="s">
        <v>31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65400</v>
      </c>
      <c r="BK655" t="s">
        <v>25</v>
      </c>
      <c r="BL655" t="s">
        <v>1064</v>
      </c>
      <c r="BM655">
        <v>7</v>
      </c>
      <c r="BN655">
        <v>408545</v>
      </c>
      <c r="BO655">
        <v>0</v>
      </c>
      <c r="BP655">
        <v>0</v>
      </c>
      <c r="BQ655">
        <v>0</v>
      </c>
      <c r="BS655">
        <v>0</v>
      </c>
      <c r="BU655">
        <v>0</v>
      </c>
      <c r="BV655" t="s">
        <v>25</v>
      </c>
      <c r="BW655" t="s">
        <v>189</v>
      </c>
      <c r="BX655">
        <v>7</v>
      </c>
      <c r="BY655">
        <v>408545</v>
      </c>
      <c r="BZ655">
        <v>0</v>
      </c>
      <c r="CA655" t="s">
        <v>1439</v>
      </c>
      <c r="CB655" t="s">
        <v>227</v>
      </c>
      <c r="CC655" t="s">
        <v>1440</v>
      </c>
      <c r="CD655">
        <v>0</v>
      </c>
      <c r="CE655">
        <v>7</v>
      </c>
      <c r="CF655" t="s">
        <v>635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 t="s">
        <v>88</v>
      </c>
      <c r="CT655" t="s">
        <v>142</v>
      </c>
      <c r="CU655" t="s">
        <v>1442</v>
      </c>
    </row>
    <row r="656" spans="1:99">
      <c r="A656" t="s">
        <v>3047</v>
      </c>
      <c r="B656" t="s">
        <v>34</v>
      </c>
      <c r="C656" t="s">
        <v>1463</v>
      </c>
      <c r="D656" t="s">
        <v>1464</v>
      </c>
      <c r="E656" t="s">
        <v>1465</v>
      </c>
      <c r="F656" t="s">
        <v>1466</v>
      </c>
      <c r="G656" t="s">
        <v>1467</v>
      </c>
      <c r="H656" t="s">
        <v>1468</v>
      </c>
      <c r="I656" t="s">
        <v>240</v>
      </c>
      <c r="J656" t="s">
        <v>46</v>
      </c>
      <c r="K656" t="s">
        <v>29</v>
      </c>
      <c r="L656" t="s">
        <v>30</v>
      </c>
      <c r="M656">
        <v>140</v>
      </c>
      <c r="N656" t="s">
        <v>32</v>
      </c>
      <c r="O656" t="s">
        <v>32</v>
      </c>
      <c r="Q656" t="s">
        <v>32</v>
      </c>
      <c r="S656" t="s">
        <v>32</v>
      </c>
      <c r="U656" t="s">
        <v>32</v>
      </c>
      <c r="V656" t="s">
        <v>32</v>
      </c>
      <c r="W656" t="s">
        <v>32</v>
      </c>
      <c r="X656" t="s">
        <v>32</v>
      </c>
      <c r="Y656" t="s">
        <v>32</v>
      </c>
      <c r="AA656" t="s">
        <v>88</v>
      </c>
      <c r="AB656" t="s">
        <v>32</v>
      </c>
      <c r="AE656" t="s">
        <v>32</v>
      </c>
      <c r="AH656" t="s">
        <v>32</v>
      </c>
      <c r="AK656" t="s">
        <v>32</v>
      </c>
      <c r="AN656" t="s">
        <v>32</v>
      </c>
      <c r="AO656" t="s">
        <v>32</v>
      </c>
      <c r="AR656">
        <v>0</v>
      </c>
      <c r="AU656" t="s">
        <v>32</v>
      </c>
      <c r="AV656">
        <v>1750905</v>
      </c>
      <c r="AW656" t="s">
        <v>32</v>
      </c>
      <c r="AX656" t="s">
        <v>32</v>
      </c>
      <c r="AY656" t="s">
        <v>317</v>
      </c>
      <c r="AZ656">
        <v>21</v>
      </c>
      <c r="BA656">
        <v>1545572</v>
      </c>
      <c r="BB656">
        <v>0.15999999642372131</v>
      </c>
      <c r="BC656">
        <v>247300</v>
      </c>
      <c r="BD656" t="s">
        <v>31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247300</v>
      </c>
      <c r="BK656" t="s">
        <v>25</v>
      </c>
      <c r="BL656" t="s">
        <v>1064</v>
      </c>
      <c r="BM656">
        <v>21</v>
      </c>
      <c r="BN656">
        <v>1545572</v>
      </c>
      <c r="BO656">
        <v>3.9999999105930328E-2</v>
      </c>
      <c r="BP656">
        <v>61900</v>
      </c>
      <c r="BQ656">
        <v>0</v>
      </c>
      <c r="BS656">
        <v>0</v>
      </c>
      <c r="BU656">
        <v>0</v>
      </c>
      <c r="BV656" t="s">
        <v>25</v>
      </c>
      <c r="BW656" t="s">
        <v>189</v>
      </c>
      <c r="BX656">
        <v>21</v>
      </c>
      <c r="BY656">
        <v>1545572</v>
      </c>
      <c r="BZ656">
        <v>6.9600000977516174E-2</v>
      </c>
      <c r="CA656" t="s">
        <v>1439</v>
      </c>
      <c r="CB656" t="s">
        <v>227</v>
      </c>
      <c r="CC656" t="s">
        <v>1440</v>
      </c>
      <c r="CD656">
        <v>107600</v>
      </c>
      <c r="CE656">
        <v>21</v>
      </c>
      <c r="CF656" t="s">
        <v>635</v>
      </c>
      <c r="CG656">
        <v>1545572</v>
      </c>
      <c r="CH656">
        <v>3.9999999105930328E-2</v>
      </c>
      <c r="CI656">
        <v>61900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 t="s">
        <v>88</v>
      </c>
      <c r="CT656" t="s">
        <v>142</v>
      </c>
      <c r="CU656" t="s">
        <v>1442</v>
      </c>
    </row>
    <row r="657" spans="1:99">
      <c r="A657" t="s">
        <v>3047</v>
      </c>
      <c r="B657" t="s">
        <v>34</v>
      </c>
      <c r="C657" t="s">
        <v>1469</v>
      </c>
      <c r="D657" t="s">
        <v>1470</v>
      </c>
      <c r="E657" t="s">
        <v>1471</v>
      </c>
      <c r="F657" t="s">
        <v>1472</v>
      </c>
      <c r="G657" t="s">
        <v>1473</v>
      </c>
      <c r="H657" t="s">
        <v>1474</v>
      </c>
      <c r="I657" t="s">
        <v>240</v>
      </c>
      <c r="J657" t="s">
        <v>46</v>
      </c>
      <c r="K657" t="s">
        <v>29</v>
      </c>
      <c r="L657" t="s">
        <v>30</v>
      </c>
      <c r="M657">
        <v>162</v>
      </c>
      <c r="N657" t="s">
        <v>32</v>
      </c>
      <c r="O657" t="s">
        <v>32</v>
      </c>
      <c r="Q657" t="s">
        <v>40</v>
      </c>
      <c r="R657">
        <v>46059</v>
      </c>
      <c r="S657" t="s">
        <v>32</v>
      </c>
      <c r="U657" t="s">
        <v>32</v>
      </c>
      <c r="V657" t="s">
        <v>32</v>
      </c>
      <c r="W657" t="s">
        <v>32</v>
      </c>
      <c r="X657" t="s">
        <v>32</v>
      </c>
      <c r="Y657" t="s">
        <v>32</v>
      </c>
      <c r="AA657" t="s">
        <v>88</v>
      </c>
      <c r="AB657" t="s">
        <v>32</v>
      </c>
      <c r="AE657" t="s">
        <v>32</v>
      </c>
      <c r="AH657" t="s">
        <v>32</v>
      </c>
      <c r="AK657" t="s">
        <v>32</v>
      </c>
      <c r="AN657" t="s">
        <v>32</v>
      </c>
      <c r="AO657" t="s">
        <v>32</v>
      </c>
      <c r="AR657">
        <v>0</v>
      </c>
      <c r="AU657" t="s">
        <v>32</v>
      </c>
      <c r="AV657">
        <v>2223339</v>
      </c>
      <c r="AW657" t="s">
        <v>32</v>
      </c>
      <c r="AX657" t="s">
        <v>32</v>
      </c>
      <c r="AY657" t="s">
        <v>317</v>
      </c>
      <c r="AZ657">
        <v>25</v>
      </c>
      <c r="BA657">
        <v>2334844</v>
      </c>
      <c r="BB657">
        <v>0.15999999642372131</v>
      </c>
      <c r="BC657">
        <v>373600</v>
      </c>
      <c r="BD657" t="s">
        <v>31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373600</v>
      </c>
      <c r="BK657" t="s">
        <v>25</v>
      </c>
      <c r="BL657" t="s">
        <v>1010</v>
      </c>
      <c r="BM657">
        <v>25</v>
      </c>
      <c r="BN657">
        <v>2334844</v>
      </c>
      <c r="BO657">
        <v>3.9999999105930328E-2</v>
      </c>
      <c r="BP657">
        <v>93400</v>
      </c>
      <c r="BQ657">
        <v>0</v>
      </c>
      <c r="BS657">
        <v>0</v>
      </c>
      <c r="BU657">
        <v>0</v>
      </c>
      <c r="BV657" t="s">
        <v>25</v>
      </c>
      <c r="BW657" t="s">
        <v>189</v>
      </c>
      <c r="BX657">
        <v>25</v>
      </c>
      <c r="BY657">
        <v>2334844</v>
      </c>
      <c r="BZ657">
        <v>6.9600000977516174E-2</v>
      </c>
      <c r="CA657" t="s">
        <v>1439</v>
      </c>
      <c r="CB657" t="s">
        <v>227</v>
      </c>
      <c r="CC657" t="s">
        <v>1440</v>
      </c>
      <c r="CD657">
        <v>162600</v>
      </c>
      <c r="CE657">
        <v>25</v>
      </c>
      <c r="CF657" t="s">
        <v>635</v>
      </c>
      <c r="CG657">
        <v>2334844</v>
      </c>
      <c r="CH657">
        <v>3.9999999105930328E-2</v>
      </c>
      <c r="CI657">
        <v>93400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 t="s">
        <v>88</v>
      </c>
      <c r="CT657" t="s">
        <v>142</v>
      </c>
      <c r="CU657" t="s">
        <v>1442</v>
      </c>
    </row>
    <row r="658" spans="1:99">
      <c r="A658" t="s">
        <v>3047</v>
      </c>
      <c r="B658" t="s">
        <v>34</v>
      </c>
      <c r="C658" t="s">
        <v>1475</v>
      </c>
      <c r="D658" t="s">
        <v>1476</v>
      </c>
      <c r="E658" t="s">
        <v>1450</v>
      </c>
      <c r="F658" t="s">
        <v>1477</v>
      </c>
      <c r="G658" t="s">
        <v>1478</v>
      </c>
      <c r="H658" t="s">
        <v>1479</v>
      </c>
      <c r="I658" t="s">
        <v>682</v>
      </c>
      <c r="J658" t="s">
        <v>484</v>
      </c>
      <c r="K658" t="s">
        <v>29</v>
      </c>
      <c r="L658" t="s">
        <v>30</v>
      </c>
      <c r="M658">
        <v>0</v>
      </c>
      <c r="N658" t="s">
        <v>32</v>
      </c>
      <c r="O658" t="s">
        <v>32</v>
      </c>
      <c r="Q658" t="s">
        <v>32</v>
      </c>
      <c r="S658" t="s">
        <v>32</v>
      </c>
      <c r="U658" t="s">
        <v>32</v>
      </c>
      <c r="V658" t="s">
        <v>32</v>
      </c>
      <c r="W658" t="s">
        <v>32</v>
      </c>
      <c r="X658" t="s">
        <v>32</v>
      </c>
      <c r="Y658" t="s">
        <v>32</v>
      </c>
      <c r="AA658" t="s">
        <v>32</v>
      </c>
      <c r="AB658" t="s">
        <v>37</v>
      </c>
      <c r="AC658">
        <v>46054</v>
      </c>
      <c r="AD658">
        <v>46054</v>
      </c>
      <c r="AE658" t="s">
        <v>32</v>
      </c>
      <c r="AH658" t="s">
        <v>32</v>
      </c>
      <c r="AK658" t="s">
        <v>32</v>
      </c>
      <c r="AN658" t="s">
        <v>32</v>
      </c>
      <c r="AO658" t="s">
        <v>32</v>
      </c>
      <c r="AR658">
        <v>0</v>
      </c>
      <c r="AU658" t="s">
        <v>32</v>
      </c>
      <c r="AV658">
        <v>1750905</v>
      </c>
      <c r="AW658" t="s">
        <v>32</v>
      </c>
      <c r="AX658" t="s">
        <v>32</v>
      </c>
      <c r="AY658" t="s">
        <v>317</v>
      </c>
      <c r="AZ658">
        <v>1</v>
      </c>
      <c r="BA658">
        <v>58364</v>
      </c>
      <c r="BB658">
        <v>0.15999999642372131</v>
      </c>
      <c r="BC658">
        <v>9400</v>
      </c>
      <c r="BD658" t="s">
        <v>31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9400</v>
      </c>
      <c r="BK658" t="s">
        <v>25</v>
      </c>
      <c r="BL658" t="s">
        <v>726</v>
      </c>
      <c r="BM658">
        <v>1</v>
      </c>
      <c r="BN658">
        <v>58364</v>
      </c>
      <c r="BO658">
        <v>0</v>
      </c>
      <c r="BP658">
        <v>0</v>
      </c>
      <c r="BQ658">
        <v>0</v>
      </c>
      <c r="BS658">
        <v>0</v>
      </c>
      <c r="BU658">
        <v>0</v>
      </c>
      <c r="BV658" t="s">
        <v>25</v>
      </c>
      <c r="BW658" t="s">
        <v>189</v>
      </c>
      <c r="BX658">
        <v>1</v>
      </c>
      <c r="BY658">
        <v>58364</v>
      </c>
      <c r="BZ658">
        <v>0</v>
      </c>
      <c r="CA658" t="s">
        <v>1439</v>
      </c>
      <c r="CB658" t="s">
        <v>312</v>
      </c>
      <c r="CC658" t="s">
        <v>1440</v>
      </c>
      <c r="CD658">
        <v>0</v>
      </c>
      <c r="CE658">
        <v>1</v>
      </c>
      <c r="CF658" t="s">
        <v>466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 t="s">
        <v>88</v>
      </c>
      <c r="CT658" t="s">
        <v>142</v>
      </c>
      <c r="CU658" t="s">
        <v>1442</v>
      </c>
    </row>
    <row r="659" spans="1:99">
      <c r="A659" t="s">
        <v>3047</v>
      </c>
      <c r="B659" t="s">
        <v>34</v>
      </c>
      <c r="C659" t="s">
        <v>1475</v>
      </c>
      <c r="D659" t="s">
        <v>1476</v>
      </c>
      <c r="E659" t="s">
        <v>1450</v>
      </c>
      <c r="F659" t="s">
        <v>1477</v>
      </c>
      <c r="G659" t="s">
        <v>1478</v>
      </c>
      <c r="H659" t="s">
        <v>1479</v>
      </c>
      <c r="I659" t="s">
        <v>682</v>
      </c>
      <c r="J659" t="s">
        <v>484</v>
      </c>
      <c r="K659" t="s">
        <v>29</v>
      </c>
      <c r="L659" t="s">
        <v>30</v>
      </c>
      <c r="M659">
        <v>0</v>
      </c>
      <c r="N659" t="s">
        <v>32</v>
      </c>
      <c r="O659" t="s">
        <v>32</v>
      </c>
      <c r="Q659" t="s">
        <v>32</v>
      </c>
      <c r="S659" t="s">
        <v>32</v>
      </c>
      <c r="U659" t="s">
        <v>32</v>
      </c>
      <c r="V659" t="s">
        <v>32</v>
      </c>
      <c r="W659" t="s">
        <v>32</v>
      </c>
      <c r="X659" t="s">
        <v>32</v>
      </c>
      <c r="Y659" t="s">
        <v>32</v>
      </c>
      <c r="AA659" t="s">
        <v>32</v>
      </c>
      <c r="AB659" t="s">
        <v>37</v>
      </c>
      <c r="AC659">
        <v>46069</v>
      </c>
      <c r="AD659">
        <v>46069</v>
      </c>
      <c r="AE659" t="s">
        <v>32</v>
      </c>
      <c r="AH659" t="s">
        <v>32</v>
      </c>
      <c r="AK659" t="s">
        <v>32</v>
      </c>
      <c r="AN659" t="s">
        <v>32</v>
      </c>
      <c r="AO659" t="s">
        <v>32</v>
      </c>
      <c r="AR659">
        <v>0</v>
      </c>
      <c r="AU659" t="s">
        <v>32</v>
      </c>
      <c r="AV659">
        <v>1750905</v>
      </c>
      <c r="AW659" t="s">
        <v>32</v>
      </c>
      <c r="AX659" t="s">
        <v>32</v>
      </c>
      <c r="AY659" t="s">
        <v>317</v>
      </c>
      <c r="AZ659">
        <v>1</v>
      </c>
      <c r="BA659">
        <v>58364</v>
      </c>
      <c r="BB659">
        <v>0.15999999642372131</v>
      </c>
      <c r="BC659">
        <v>9400</v>
      </c>
      <c r="BD659" t="s">
        <v>31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9400</v>
      </c>
      <c r="BK659" t="s">
        <v>25</v>
      </c>
      <c r="BL659" t="s">
        <v>726</v>
      </c>
      <c r="BM659">
        <v>1</v>
      </c>
      <c r="BN659">
        <v>58364</v>
      </c>
      <c r="BO659">
        <v>0</v>
      </c>
      <c r="BP659">
        <v>0</v>
      </c>
      <c r="BQ659">
        <v>0</v>
      </c>
      <c r="BS659">
        <v>0</v>
      </c>
      <c r="BU659">
        <v>0</v>
      </c>
      <c r="BV659" t="s">
        <v>25</v>
      </c>
      <c r="BW659" t="s">
        <v>189</v>
      </c>
      <c r="BX659">
        <v>1</v>
      </c>
      <c r="BY659">
        <v>58364</v>
      </c>
      <c r="BZ659">
        <v>0</v>
      </c>
      <c r="CA659" t="s">
        <v>1439</v>
      </c>
      <c r="CB659" t="s">
        <v>312</v>
      </c>
      <c r="CC659" t="s">
        <v>1440</v>
      </c>
      <c r="CD659">
        <v>0</v>
      </c>
      <c r="CE659">
        <v>1</v>
      </c>
      <c r="CF659" t="s">
        <v>466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 t="s">
        <v>88</v>
      </c>
      <c r="CT659" t="s">
        <v>142</v>
      </c>
      <c r="CU659" t="s">
        <v>1442</v>
      </c>
    </row>
    <row r="660" spans="1:99">
      <c r="A660" t="s">
        <v>3047</v>
      </c>
      <c r="B660" t="s">
        <v>34</v>
      </c>
      <c r="C660" t="s">
        <v>1475</v>
      </c>
      <c r="D660" t="s">
        <v>1476</v>
      </c>
      <c r="E660" t="s">
        <v>1450</v>
      </c>
      <c r="F660" t="s">
        <v>1477</v>
      </c>
      <c r="G660" t="s">
        <v>1478</v>
      </c>
      <c r="H660" t="s">
        <v>1479</v>
      </c>
      <c r="I660" t="s">
        <v>682</v>
      </c>
      <c r="J660" t="s">
        <v>484</v>
      </c>
      <c r="K660" t="s">
        <v>29</v>
      </c>
      <c r="L660" t="s">
        <v>30</v>
      </c>
      <c r="M660">
        <v>198</v>
      </c>
      <c r="N660" t="s">
        <v>32</v>
      </c>
      <c r="O660" t="s">
        <v>32</v>
      </c>
      <c r="Q660" t="s">
        <v>32</v>
      </c>
      <c r="S660" t="s">
        <v>32</v>
      </c>
      <c r="U660" t="s">
        <v>32</v>
      </c>
      <c r="V660" t="s">
        <v>32</v>
      </c>
      <c r="W660" t="s">
        <v>32</v>
      </c>
      <c r="X660" t="s">
        <v>32</v>
      </c>
      <c r="Y660" t="s">
        <v>32</v>
      </c>
      <c r="AA660" t="s">
        <v>88</v>
      </c>
      <c r="AB660" t="s">
        <v>32</v>
      </c>
      <c r="AE660" t="s">
        <v>32</v>
      </c>
      <c r="AH660" t="s">
        <v>32</v>
      </c>
      <c r="AK660" t="s">
        <v>32</v>
      </c>
      <c r="AN660" t="s">
        <v>32</v>
      </c>
      <c r="AO660" t="s">
        <v>32</v>
      </c>
      <c r="AR660">
        <v>0</v>
      </c>
      <c r="AU660" t="s">
        <v>32</v>
      </c>
      <c r="AV660">
        <v>1750905</v>
      </c>
      <c r="AW660" t="s">
        <v>32</v>
      </c>
      <c r="AX660" t="s">
        <v>32</v>
      </c>
      <c r="AY660" t="s">
        <v>317</v>
      </c>
      <c r="AZ660">
        <v>28</v>
      </c>
      <c r="BA660">
        <v>1972818</v>
      </c>
      <c r="BB660">
        <v>0.15999999642372131</v>
      </c>
      <c r="BC660">
        <v>315700</v>
      </c>
      <c r="BD660" t="s">
        <v>31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315700</v>
      </c>
      <c r="BK660" t="s">
        <v>25</v>
      </c>
      <c r="BL660" t="s">
        <v>726</v>
      </c>
      <c r="BM660">
        <v>28</v>
      </c>
      <c r="BN660">
        <v>1972818</v>
      </c>
      <c r="BO660">
        <v>3.9999999105930328E-2</v>
      </c>
      <c r="BP660">
        <v>79000</v>
      </c>
      <c r="BQ660">
        <v>0</v>
      </c>
      <c r="BS660">
        <v>0</v>
      </c>
      <c r="BU660">
        <v>0</v>
      </c>
      <c r="BV660" t="s">
        <v>25</v>
      </c>
      <c r="BW660" t="s">
        <v>189</v>
      </c>
      <c r="BX660">
        <v>28</v>
      </c>
      <c r="BY660">
        <v>1972818</v>
      </c>
      <c r="BZ660">
        <v>6.9600000977516174E-2</v>
      </c>
      <c r="CA660" t="s">
        <v>1439</v>
      </c>
      <c r="CB660" t="s">
        <v>312</v>
      </c>
      <c r="CC660" t="s">
        <v>1440</v>
      </c>
      <c r="CD660">
        <v>137400</v>
      </c>
      <c r="CE660">
        <v>28</v>
      </c>
      <c r="CF660" t="s">
        <v>466</v>
      </c>
      <c r="CG660">
        <v>1972819</v>
      </c>
      <c r="CH660">
        <v>3.9999999105930328E-2</v>
      </c>
      <c r="CI660">
        <v>79000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 t="s">
        <v>88</v>
      </c>
      <c r="CT660" t="s">
        <v>142</v>
      </c>
      <c r="CU660" t="s">
        <v>1442</v>
      </c>
    </row>
    <row r="661" spans="1:99">
      <c r="A661" t="s">
        <v>3047</v>
      </c>
      <c r="B661" t="s">
        <v>34</v>
      </c>
      <c r="C661" t="s">
        <v>1480</v>
      </c>
      <c r="D661" t="s">
        <v>1481</v>
      </c>
      <c r="E661" t="s">
        <v>1482</v>
      </c>
      <c r="F661" t="s">
        <v>1483</v>
      </c>
      <c r="G661" t="s">
        <v>1484</v>
      </c>
      <c r="H661" t="s">
        <v>1437</v>
      </c>
      <c r="I661" t="s">
        <v>240</v>
      </c>
      <c r="J661" t="s">
        <v>46</v>
      </c>
      <c r="K661" t="s">
        <v>29</v>
      </c>
      <c r="L661" t="s">
        <v>30</v>
      </c>
      <c r="M661">
        <v>0</v>
      </c>
      <c r="N661" t="s">
        <v>32</v>
      </c>
      <c r="O661" t="s">
        <v>32</v>
      </c>
      <c r="Q661" t="s">
        <v>40</v>
      </c>
      <c r="R661">
        <v>46081</v>
      </c>
      <c r="S661" t="s">
        <v>32</v>
      </c>
      <c r="U661" t="s">
        <v>32</v>
      </c>
      <c r="V661" t="s">
        <v>32</v>
      </c>
      <c r="W661" t="s">
        <v>32</v>
      </c>
      <c r="X661" t="s">
        <v>32</v>
      </c>
      <c r="Y661" t="s">
        <v>32</v>
      </c>
      <c r="AA661" t="s">
        <v>88</v>
      </c>
      <c r="AB661" t="s">
        <v>32</v>
      </c>
      <c r="AE661" t="s">
        <v>32</v>
      </c>
      <c r="AH661" t="s">
        <v>32</v>
      </c>
      <c r="AK661" t="s">
        <v>32</v>
      </c>
      <c r="AN661" t="s">
        <v>32</v>
      </c>
      <c r="AO661" t="s">
        <v>32</v>
      </c>
      <c r="AR661">
        <v>0</v>
      </c>
      <c r="AU661" t="s">
        <v>32</v>
      </c>
      <c r="AV661">
        <v>1785595</v>
      </c>
      <c r="AW661" t="s">
        <v>32</v>
      </c>
      <c r="AX661" t="s">
        <v>32</v>
      </c>
      <c r="AY661" t="s">
        <v>185</v>
      </c>
      <c r="AZ661">
        <v>3</v>
      </c>
      <c r="BA661">
        <v>178560</v>
      </c>
      <c r="BB661">
        <v>0.15999999642372131</v>
      </c>
      <c r="BC661">
        <v>28600</v>
      </c>
      <c r="BD661" t="s">
        <v>31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28600</v>
      </c>
      <c r="BK661" t="s">
        <v>25</v>
      </c>
      <c r="BL661" t="s">
        <v>902</v>
      </c>
      <c r="BM661">
        <v>3</v>
      </c>
      <c r="BN661">
        <v>178560</v>
      </c>
      <c r="BO661">
        <v>3.9999999105930328E-2</v>
      </c>
      <c r="BP661">
        <v>7200</v>
      </c>
      <c r="BQ661">
        <v>0</v>
      </c>
      <c r="BS661">
        <v>0</v>
      </c>
      <c r="BU661">
        <v>0</v>
      </c>
      <c r="BV661" t="s">
        <v>25</v>
      </c>
      <c r="BW661" t="s">
        <v>189</v>
      </c>
      <c r="BX661">
        <v>3</v>
      </c>
      <c r="BY661">
        <v>178560</v>
      </c>
      <c r="BZ661">
        <v>6.9600000977516174E-2</v>
      </c>
      <c r="CA661" t="s">
        <v>1439</v>
      </c>
      <c r="CB661" t="s">
        <v>227</v>
      </c>
      <c r="CC661" t="s">
        <v>1440</v>
      </c>
      <c r="CD661">
        <v>12500</v>
      </c>
      <c r="CE661">
        <v>3</v>
      </c>
      <c r="CF661" t="s">
        <v>635</v>
      </c>
      <c r="CG661">
        <v>178560</v>
      </c>
      <c r="CH661">
        <v>3.9999999105930328E-2</v>
      </c>
      <c r="CI661">
        <v>7200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 t="s">
        <v>88</v>
      </c>
      <c r="CT661" t="s">
        <v>142</v>
      </c>
      <c r="CU661" t="s">
        <v>1442</v>
      </c>
    </row>
    <row r="662" spans="1:99">
      <c r="A662" t="s">
        <v>3047</v>
      </c>
      <c r="B662" t="s">
        <v>34</v>
      </c>
      <c r="C662" t="s">
        <v>1485</v>
      </c>
      <c r="D662" t="s">
        <v>1486</v>
      </c>
      <c r="E662" t="s">
        <v>1487</v>
      </c>
      <c r="F662" t="s">
        <v>1488</v>
      </c>
      <c r="G662" t="s">
        <v>1489</v>
      </c>
      <c r="H662" t="s">
        <v>1490</v>
      </c>
      <c r="I662" t="s">
        <v>682</v>
      </c>
      <c r="J662" t="s">
        <v>484</v>
      </c>
      <c r="K662" t="s">
        <v>29</v>
      </c>
      <c r="L662" t="s">
        <v>30</v>
      </c>
      <c r="M662">
        <v>0</v>
      </c>
      <c r="N662" t="s">
        <v>32</v>
      </c>
      <c r="O662" t="s">
        <v>32</v>
      </c>
      <c r="Q662" t="s">
        <v>32</v>
      </c>
      <c r="S662" t="s">
        <v>32</v>
      </c>
      <c r="U662" t="s">
        <v>32</v>
      </c>
      <c r="V662" t="s">
        <v>32</v>
      </c>
      <c r="W662" t="s">
        <v>32</v>
      </c>
      <c r="X662" t="s">
        <v>32</v>
      </c>
      <c r="Y662" t="s">
        <v>32</v>
      </c>
      <c r="AA662" t="s">
        <v>32</v>
      </c>
      <c r="AB662" t="s">
        <v>37</v>
      </c>
      <c r="AC662">
        <v>46054</v>
      </c>
      <c r="AD662">
        <v>46054</v>
      </c>
      <c r="AE662" t="s">
        <v>32</v>
      </c>
      <c r="AH662" t="s">
        <v>32</v>
      </c>
      <c r="AK662" t="s">
        <v>32</v>
      </c>
      <c r="AN662" t="s">
        <v>32</v>
      </c>
      <c r="AO662" t="s">
        <v>32</v>
      </c>
      <c r="AR662">
        <v>0</v>
      </c>
      <c r="AU662" t="s">
        <v>32</v>
      </c>
      <c r="AV662">
        <v>1785595</v>
      </c>
      <c r="AW662" t="s">
        <v>32</v>
      </c>
      <c r="AX662" t="s">
        <v>32</v>
      </c>
      <c r="AY662" t="s">
        <v>317</v>
      </c>
      <c r="AZ662">
        <v>1</v>
      </c>
      <c r="BA662">
        <v>59520</v>
      </c>
      <c r="BB662">
        <v>0.15999999642372131</v>
      </c>
      <c r="BC662">
        <v>9600</v>
      </c>
      <c r="BD662" t="s">
        <v>31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9600</v>
      </c>
      <c r="BK662" t="s">
        <v>25</v>
      </c>
      <c r="BL662" t="s">
        <v>1491</v>
      </c>
      <c r="BM662">
        <v>1</v>
      </c>
      <c r="BN662">
        <v>59520</v>
      </c>
      <c r="BO662">
        <v>0</v>
      </c>
      <c r="BP662">
        <v>0</v>
      </c>
      <c r="BQ662">
        <v>0</v>
      </c>
      <c r="BS662">
        <v>0</v>
      </c>
      <c r="BU662">
        <v>0</v>
      </c>
      <c r="BV662" t="s">
        <v>25</v>
      </c>
      <c r="BW662" t="s">
        <v>189</v>
      </c>
      <c r="BX662">
        <v>1</v>
      </c>
      <c r="BY662">
        <v>59520</v>
      </c>
      <c r="BZ662">
        <v>0</v>
      </c>
      <c r="CA662" t="s">
        <v>1439</v>
      </c>
      <c r="CB662" t="s">
        <v>312</v>
      </c>
      <c r="CC662" t="s">
        <v>1440</v>
      </c>
      <c r="CD662">
        <v>0</v>
      </c>
      <c r="CE662">
        <v>1</v>
      </c>
      <c r="CF662" t="s">
        <v>466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 t="s">
        <v>88</v>
      </c>
      <c r="CT662" t="s">
        <v>142</v>
      </c>
      <c r="CU662" t="s">
        <v>1442</v>
      </c>
    </row>
    <row r="663" spans="1:99">
      <c r="A663" t="s">
        <v>3047</v>
      </c>
      <c r="B663" t="s">
        <v>34</v>
      </c>
      <c r="C663" t="s">
        <v>1485</v>
      </c>
      <c r="D663" t="s">
        <v>1486</v>
      </c>
      <c r="E663" t="s">
        <v>1487</v>
      </c>
      <c r="F663" t="s">
        <v>1488</v>
      </c>
      <c r="G663" t="s">
        <v>1489</v>
      </c>
      <c r="H663" t="s">
        <v>1490</v>
      </c>
      <c r="I663" t="s">
        <v>682</v>
      </c>
      <c r="J663" t="s">
        <v>484</v>
      </c>
      <c r="K663" t="s">
        <v>29</v>
      </c>
      <c r="L663" t="s">
        <v>30</v>
      </c>
      <c r="M663">
        <v>0</v>
      </c>
      <c r="N663" t="s">
        <v>32</v>
      </c>
      <c r="O663" t="s">
        <v>32</v>
      </c>
      <c r="Q663" t="s">
        <v>32</v>
      </c>
      <c r="S663" t="s">
        <v>32</v>
      </c>
      <c r="U663" t="s">
        <v>32</v>
      </c>
      <c r="V663" t="s">
        <v>32</v>
      </c>
      <c r="W663" t="s">
        <v>32</v>
      </c>
      <c r="X663" t="s">
        <v>32</v>
      </c>
      <c r="Y663" t="s">
        <v>32</v>
      </c>
      <c r="AA663" t="s">
        <v>32</v>
      </c>
      <c r="AB663" t="s">
        <v>32</v>
      </c>
      <c r="AE663" t="s">
        <v>1492</v>
      </c>
      <c r="AF663">
        <v>46056</v>
      </c>
      <c r="AG663">
        <v>46056</v>
      </c>
      <c r="AH663" t="s">
        <v>32</v>
      </c>
      <c r="AK663" t="s">
        <v>32</v>
      </c>
      <c r="AN663" t="s">
        <v>32</v>
      </c>
      <c r="AO663" t="s">
        <v>32</v>
      </c>
      <c r="AR663">
        <v>0</v>
      </c>
      <c r="AU663" t="s">
        <v>32</v>
      </c>
      <c r="AV663">
        <v>1785595</v>
      </c>
      <c r="AW663" t="s">
        <v>32</v>
      </c>
      <c r="AX663" t="s">
        <v>32</v>
      </c>
      <c r="AY663" t="s">
        <v>317</v>
      </c>
      <c r="AZ663">
        <v>1</v>
      </c>
      <c r="BA663">
        <v>69937</v>
      </c>
      <c r="BB663">
        <v>0.15999999642372131</v>
      </c>
      <c r="BC663">
        <v>11200</v>
      </c>
      <c r="BD663" t="s">
        <v>31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11200</v>
      </c>
      <c r="BK663" t="s">
        <v>25</v>
      </c>
      <c r="BL663" t="s">
        <v>1491</v>
      </c>
      <c r="BM663">
        <v>1</v>
      </c>
      <c r="BN663">
        <v>69937</v>
      </c>
      <c r="BO663">
        <v>3.9999999105930328E-2</v>
      </c>
      <c r="BP663">
        <v>2800</v>
      </c>
      <c r="BQ663">
        <v>0</v>
      </c>
      <c r="BS663">
        <v>0</v>
      </c>
      <c r="BU663">
        <v>0</v>
      </c>
      <c r="BV663" t="s">
        <v>25</v>
      </c>
      <c r="BW663" t="s">
        <v>189</v>
      </c>
      <c r="BX663">
        <v>1</v>
      </c>
      <c r="BY663">
        <v>69937</v>
      </c>
      <c r="BZ663">
        <v>0</v>
      </c>
      <c r="CA663" t="s">
        <v>1439</v>
      </c>
      <c r="CB663" t="s">
        <v>312</v>
      </c>
      <c r="CC663" t="s">
        <v>1440</v>
      </c>
      <c r="CD663">
        <v>0</v>
      </c>
      <c r="CE663">
        <v>1</v>
      </c>
      <c r="CF663" t="s">
        <v>466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 t="s">
        <v>88</v>
      </c>
      <c r="CT663" t="s">
        <v>142</v>
      </c>
      <c r="CU663" t="s">
        <v>1442</v>
      </c>
    </row>
    <row r="664" spans="1:99">
      <c r="A664" t="s">
        <v>3047</v>
      </c>
      <c r="B664" t="s">
        <v>34</v>
      </c>
      <c r="C664" t="s">
        <v>1485</v>
      </c>
      <c r="D664" t="s">
        <v>1486</v>
      </c>
      <c r="E664" t="s">
        <v>1487</v>
      </c>
      <c r="F664" t="s">
        <v>1488</v>
      </c>
      <c r="G664" t="s">
        <v>1489</v>
      </c>
      <c r="H664" t="s">
        <v>1490</v>
      </c>
      <c r="I664" t="s">
        <v>682</v>
      </c>
      <c r="J664" t="s">
        <v>484</v>
      </c>
      <c r="K664" t="s">
        <v>29</v>
      </c>
      <c r="L664" t="s">
        <v>30</v>
      </c>
      <c r="M664">
        <v>192</v>
      </c>
      <c r="N664" t="s">
        <v>32</v>
      </c>
      <c r="O664" t="s">
        <v>32</v>
      </c>
      <c r="Q664" t="s">
        <v>32</v>
      </c>
      <c r="S664" t="s">
        <v>40</v>
      </c>
      <c r="T664">
        <v>46079</v>
      </c>
      <c r="U664" t="s">
        <v>32</v>
      </c>
      <c r="V664" t="s">
        <v>32</v>
      </c>
      <c r="W664" t="s">
        <v>32</v>
      </c>
      <c r="X664" t="s">
        <v>32</v>
      </c>
      <c r="Y664" t="s">
        <v>32</v>
      </c>
      <c r="AA664" t="s">
        <v>88</v>
      </c>
      <c r="AB664" t="s">
        <v>32</v>
      </c>
      <c r="AE664" t="s">
        <v>32</v>
      </c>
      <c r="AH664" t="s">
        <v>32</v>
      </c>
      <c r="AK664" t="s">
        <v>32</v>
      </c>
      <c r="AN664" t="s">
        <v>32</v>
      </c>
      <c r="AO664" t="s">
        <v>32</v>
      </c>
      <c r="AR664">
        <v>0</v>
      </c>
      <c r="AU664" t="s">
        <v>32</v>
      </c>
      <c r="AV664">
        <v>1785595</v>
      </c>
      <c r="AW664" t="s">
        <v>32</v>
      </c>
      <c r="AX664" t="s">
        <v>32</v>
      </c>
      <c r="AY664" t="s">
        <v>317</v>
      </c>
      <c r="AZ664">
        <v>24</v>
      </c>
      <c r="BA664">
        <v>2913713</v>
      </c>
      <c r="BB664">
        <v>0.15999999642372131</v>
      </c>
      <c r="BC664">
        <v>466200</v>
      </c>
      <c r="BD664" t="s">
        <v>31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466200</v>
      </c>
      <c r="BK664" t="s">
        <v>25</v>
      </c>
      <c r="BL664" t="s">
        <v>1491</v>
      </c>
      <c r="BM664">
        <v>24</v>
      </c>
      <c r="BN664">
        <v>2913713</v>
      </c>
      <c r="BO664">
        <v>3.9999999105930328E-2</v>
      </c>
      <c r="BP664">
        <v>116600</v>
      </c>
      <c r="BQ664">
        <v>0</v>
      </c>
      <c r="BS664">
        <v>0</v>
      </c>
      <c r="BU664">
        <v>0</v>
      </c>
      <c r="BV664" t="s">
        <v>25</v>
      </c>
      <c r="BW664" t="s">
        <v>189</v>
      </c>
      <c r="BX664">
        <v>24</v>
      </c>
      <c r="BY664">
        <v>2913713</v>
      </c>
      <c r="BZ664">
        <v>6.9600000977516174E-2</v>
      </c>
      <c r="CA664" t="s">
        <v>1439</v>
      </c>
      <c r="CB664" t="s">
        <v>312</v>
      </c>
      <c r="CC664" t="s">
        <v>1440</v>
      </c>
      <c r="CD664">
        <v>202800</v>
      </c>
      <c r="CE664">
        <v>24</v>
      </c>
      <c r="CF664" t="s">
        <v>466</v>
      </c>
      <c r="CG664">
        <v>4259565</v>
      </c>
      <c r="CH664">
        <v>3.9999999105930328E-2</v>
      </c>
      <c r="CI664">
        <v>170400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 t="s">
        <v>88</v>
      </c>
      <c r="CT664" t="s">
        <v>142</v>
      </c>
      <c r="CU664" t="s">
        <v>1442</v>
      </c>
    </row>
    <row r="665" spans="1:99">
      <c r="A665" t="s">
        <v>3047</v>
      </c>
      <c r="B665" t="s">
        <v>34</v>
      </c>
      <c r="C665" t="s">
        <v>1499</v>
      </c>
      <c r="D665" t="s">
        <v>1500</v>
      </c>
      <c r="E665" t="s">
        <v>1501</v>
      </c>
      <c r="F665" t="s">
        <v>1502</v>
      </c>
      <c r="G665" t="s">
        <v>1445</v>
      </c>
      <c r="H665" t="s">
        <v>1503</v>
      </c>
      <c r="I665" t="s">
        <v>240</v>
      </c>
      <c r="J665" t="s">
        <v>46</v>
      </c>
      <c r="K665" t="s">
        <v>29</v>
      </c>
      <c r="L665" t="s">
        <v>30</v>
      </c>
      <c r="M665">
        <v>24</v>
      </c>
      <c r="N665" t="s">
        <v>32</v>
      </c>
      <c r="O665" t="s">
        <v>32</v>
      </c>
      <c r="Q665" t="s">
        <v>32</v>
      </c>
      <c r="S665" t="s">
        <v>40</v>
      </c>
      <c r="T665">
        <v>46055</v>
      </c>
      <c r="U665" t="s">
        <v>32</v>
      </c>
      <c r="V665" t="s">
        <v>32</v>
      </c>
      <c r="W665" t="s">
        <v>32</v>
      </c>
      <c r="X665" t="s">
        <v>32</v>
      </c>
      <c r="Y665" t="s">
        <v>32</v>
      </c>
      <c r="AA665" t="s">
        <v>88</v>
      </c>
      <c r="AB665" t="s">
        <v>32</v>
      </c>
      <c r="AE665" t="s">
        <v>32</v>
      </c>
      <c r="AH665" t="s">
        <v>32</v>
      </c>
      <c r="AK665" t="s">
        <v>32</v>
      </c>
      <c r="AN665" t="s">
        <v>32</v>
      </c>
      <c r="AO665" t="s">
        <v>32</v>
      </c>
      <c r="AR665">
        <v>0</v>
      </c>
      <c r="AU665" t="s">
        <v>32</v>
      </c>
      <c r="AV665">
        <v>2223339</v>
      </c>
      <c r="AW665" t="s">
        <v>32</v>
      </c>
      <c r="AX665" t="s">
        <v>32</v>
      </c>
      <c r="AY665" t="s">
        <v>317</v>
      </c>
      <c r="AZ665">
        <v>2</v>
      </c>
      <c r="BA665">
        <v>980747</v>
      </c>
      <c r="BB665">
        <v>0.15999999642372131</v>
      </c>
      <c r="BC665">
        <v>157000</v>
      </c>
      <c r="BD665" t="s">
        <v>31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157000</v>
      </c>
      <c r="BK665" t="s">
        <v>25</v>
      </c>
      <c r="BL665" t="s">
        <v>1064</v>
      </c>
      <c r="BM665">
        <v>2</v>
      </c>
      <c r="BN665">
        <v>980747</v>
      </c>
      <c r="BO665">
        <v>0.125</v>
      </c>
      <c r="BP665">
        <v>122600</v>
      </c>
      <c r="BQ665">
        <v>0</v>
      </c>
      <c r="BS665">
        <v>0</v>
      </c>
      <c r="BU665">
        <v>0</v>
      </c>
      <c r="BV665" t="s">
        <v>25</v>
      </c>
      <c r="BW665" t="s">
        <v>189</v>
      </c>
      <c r="BX665">
        <v>2</v>
      </c>
      <c r="BY665">
        <v>980747</v>
      </c>
      <c r="BZ665">
        <v>6.9600000977516174E-2</v>
      </c>
      <c r="CA665" t="s">
        <v>1439</v>
      </c>
      <c r="CB665" t="s">
        <v>227</v>
      </c>
      <c r="CC665" t="s">
        <v>1440</v>
      </c>
      <c r="CD665">
        <v>68300</v>
      </c>
      <c r="CE665">
        <v>2</v>
      </c>
      <c r="CF665" t="s">
        <v>635</v>
      </c>
      <c r="CG665">
        <v>1535765</v>
      </c>
      <c r="CH665">
        <v>3.9999999105930328E-2</v>
      </c>
      <c r="CI665">
        <v>61500</v>
      </c>
      <c r="CJ665">
        <v>1535765</v>
      </c>
      <c r="CK665">
        <v>1.9999999552965164E-2</v>
      </c>
      <c r="CL665">
        <v>30800</v>
      </c>
      <c r="CM665">
        <v>2.9999999329447746E-2</v>
      </c>
      <c r="CN665">
        <v>46100</v>
      </c>
      <c r="CO665">
        <v>0</v>
      </c>
      <c r="CP665">
        <v>0</v>
      </c>
      <c r="CQ665">
        <v>0</v>
      </c>
      <c r="CR665">
        <v>0</v>
      </c>
      <c r="CS665" t="s">
        <v>32</v>
      </c>
      <c r="CT665" t="s">
        <v>142</v>
      </c>
      <c r="CU665" t="s">
        <v>1442</v>
      </c>
    </row>
    <row r="666" spans="1:99">
      <c r="A666" t="s">
        <v>3047</v>
      </c>
      <c r="B666" t="s">
        <v>34</v>
      </c>
      <c r="C666" t="s">
        <v>1504</v>
      </c>
      <c r="D666" t="s">
        <v>1505</v>
      </c>
      <c r="E666" t="s">
        <v>1506</v>
      </c>
      <c r="F666" t="s">
        <v>1507</v>
      </c>
      <c r="G666" t="s">
        <v>1508</v>
      </c>
      <c r="H666" t="s">
        <v>1489</v>
      </c>
      <c r="I666" t="s">
        <v>682</v>
      </c>
      <c r="J666" t="s">
        <v>484</v>
      </c>
      <c r="K666" t="s">
        <v>29</v>
      </c>
      <c r="L666" t="s">
        <v>30</v>
      </c>
      <c r="M666">
        <v>203</v>
      </c>
      <c r="N666" t="s">
        <v>32</v>
      </c>
      <c r="O666" t="s">
        <v>32</v>
      </c>
      <c r="Q666" t="s">
        <v>32</v>
      </c>
      <c r="S666" t="s">
        <v>32</v>
      </c>
      <c r="U666" t="s">
        <v>32</v>
      </c>
      <c r="V666" t="s">
        <v>32</v>
      </c>
      <c r="W666" t="s">
        <v>32</v>
      </c>
      <c r="X666" t="s">
        <v>32</v>
      </c>
      <c r="Y666" t="s">
        <v>32</v>
      </c>
      <c r="AA666" t="s">
        <v>88</v>
      </c>
      <c r="AB666" t="s">
        <v>32</v>
      </c>
      <c r="AE666" t="s">
        <v>32</v>
      </c>
      <c r="AH666" t="s">
        <v>32</v>
      </c>
      <c r="AK666" t="s">
        <v>32</v>
      </c>
      <c r="AN666" t="s">
        <v>32</v>
      </c>
      <c r="AO666" t="s">
        <v>32</v>
      </c>
      <c r="AR666">
        <v>0</v>
      </c>
      <c r="AU666" t="s">
        <v>32</v>
      </c>
      <c r="AV666">
        <v>2223339</v>
      </c>
      <c r="AW666" t="s">
        <v>32</v>
      </c>
      <c r="AX666" t="s">
        <v>32</v>
      </c>
      <c r="AY666" t="s">
        <v>317</v>
      </c>
      <c r="AZ666">
        <v>30</v>
      </c>
      <c r="BA666">
        <v>2602824</v>
      </c>
      <c r="BB666">
        <v>0.15999999642372131</v>
      </c>
      <c r="BC666">
        <v>416500</v>
      </c>
      <c r="BD666" t="s">
        <v>31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416500</v>
      </c>
      <c r="BK666" t="s">
        <v>25</v>
      </c>
      <c r="BL666" t="s">
        <v>1064</v>
      </c>
      <c r="BM666">
        <v>30</v>
      </c>
      <c r="BN666">
        <v>2602824</v>
      </c>
      <c r="BO666">
        <v>3.9999999105930328E-2</v>
      </c>
      <c r="BP666">
        <v>104200</v>
      </c>
      <c r="BQ666">
        <v>0</v>
      </c>
      <c r="BS666">
        <v>0</v>
      </c>
      <c r="BU666">
        <v>0</v>
      </c>
      <c r="BV666" t="s">
        <v>25</v>
      </c>
      <c r="BW666" t="s">
        <v>189</v>
      </c>
      <c r="BX666">
        <v>30</v>
      </c>
      <c r="BY666">
        <v>2602824</v>
      </c>
      <c r="BZ666">
        <v>6.9600000977516174E-2</v>
      </c>
      <c r="CA666" t="s">
        <v>1439</v>
      </c>
      <c r="CB666" t="s">
        <v>312</v>
      </c>
      <c r="CC666" t="s">
        <v>1440</v>
      </c>
      <c r="CD666">
        <v>181200</v>
      </c>
      <c r="CE666">
        <v>30</v>
      </c>
      <c r="CF666" t="s">
        <v>466</v>
      </c>
      <c r="CG666">
        <v>2602824</v>
      </c>
      <c r="CH666">
        <v>3.9999999105930328E-2</v>
      </c>
      <c r="CI666">
        <v>104200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 t="s">
        <v>88</v>
      </c>
      <c r="CT666" t="s">
        <v>142</v>
      </c>
      <c r="CU666" t="s">
        <v>1442</v>
      </c>
    </row>
    <row r="667" spans="1:99">
      <c r="A667" t="s">
        <v>3047</v>
      </c>
      <c r="B667" t="s">
        <v>34</v>
      </c>
      <c r="C667" t="s">
        <v>1509</v>
      </c>
      <c r="D667" t="s">
        <v>1510</v>
      </c>
      <c r="E667" t="s">
        <v>1511</v>
      </c>
      <c r="F667" t="s">
        <v>1512</v>
      </c>
      <c r="G667" t="s">
        <v>1513</v>
      </c>
      <c r="H667" t="s">
        <v>1489</v>
      </c>
      <c r="I667" t="s">
        <v>682</v>
      </c>
      <c r="J667" t="s">
        <v>484</v>
      </c>
      <c r="K667" t="s">
        <v>29</v>
      </c>
      <c r="L667" t="s">
        <v>30</v>
      </c>
      <c r="M667">
        <v>204</v>
      </c>
      <c r="N667" t="s">
        <v>32</v>
      </c>
      <c r="O667" t="s">
        <v>32</v>
      </c>
      <c r="Q667" t="s">
        <v>32</v>
      </c>
      <c r="S667" t="s">
        <v>32</v>
      </c>
      <c r="U667" t="s">
        <v>32</v>
      </c>
      <c r="V667" t="s">
        <v>32</v>
      </c>
      <c r="W667" t="s">
        <v>32</v>
      </c>
      <c r="X667" t="s">
        <v>32</v>
      </c>
      <c r="Y667" t="s">
        <v>32</v>
      </c>
      <c r="AA667" t="s">
        <v>88</v>
      </c>
      <c r="AB667" t="s">
        <v>32</v>
      </c>
      <c r="AE667" t="s">
        <v>32</v>
      </c>
      <c r="AH667" t="s">
        <v>32</v>
      </c>
      <c r="AK667" t="s">
        <v>32</v>
      </c>
      <c r="AN667" t="s">
        <v>32</v>
      </c>
      <c r="AO667" t="s">
        <v>32</v>
      </c>
      <c r="AR667">
        <v>0</v>
      </c>
      <c r="AU667" t="s">
        <v>32</v>
      </c>
      <c r="AV667">
        <v>1750905</v>
      </c>
      <c r="AW667" t="s">
        <v>32</v>
      </c>
      <c r="AX667" t="s">
        <v>32</v>
      </c>
      <c r="AY667" t="s">
        <v>317</v>
      </c>
      <c r="AZ667">
        <v>30</v>
      </c>
      <c r="BA667">
        <v>2059702</v>
      </c>
      <c r="BB667">
        <v>0.15999999642372131</v>
      </c>
      <c r="BC667">
        <v>329600</v>
      </c>
      <c r="BD667" t="s">
        <v>31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329600</v>
      </c>
      <c r="BK667" t="s">
        <v>25</v>
      </c>
      <c r="BL667" t="s">
        <v>1010</v>
      </c>
      <c r="BM667">
        <v>30</v>
      </c>
      <c r="BN667">
        <v>2059702</v>
      </c>
      <c r="BO667">
        <v>3.9999999105930328E-2</v>
      </c>
      <c r="BP667">
        <v>82400</v>
      </c>
      <c r="BQ667">
        <v>0</v>
      </c>
      <c r="BS667">
        <v>0</v>
      </c>
      <c r="BU667">
        <v>0</v>
      </c>
      <c r="BV667" t="s">
        <v>25</v>
      </c>
      <c r="BW667" t="s">
        <v>189</v>
      </c>
      <c r="BX667">
        <v>30</v>
      </c>
      <c r="BY667">
        <v>2059702</v>
      </c>
      <c r="BZ667">
        <v>6.9600000977516174E-2</v>
      </c>
      <c r="CA667" t="s">
        <v>1439</v>
      </c>
      <c r="CB667" t="s">
        <v>312</v>
      </c>
      <c r="CC667" t="s">
        <v>1440</v>
      </c>
      <c r="CD667">
        <v>143400</v>
      </c>
      <c r="CE667">
        <v>30</v>
      </c>
      <c r="CF667" t="s">
        <v>466</v>
      </c>
      <c r="CG667">
        <v>2059702</v>
      </c>
      <c r="CH667">
        <v>3.9999999105930328E-2</v>
      </c>
      <c r="CI667">
        <v>82400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 t="s">
        <v>88</v>
      </c>
      <c r="CT667" t="s">
        <v>142</v>
      </c>
      <c r="CU667" t="s">
        <v>1442</v>
      </c>
    </row>
    <row r="668" spans="1:99">
      <c r="A668" t="s">
        <v>3047</v>
      </c>
      <c r="B668" t="s">
        <v>34</v>
      </c>
      <c r="C668" t="s">
        <v>1514</v>
      </c>
      <c r="D668" t="s">
        <v>1515</v>
      </c>
      <c r="E668" t="s">
        <v>1516</v>
      </c>
      <c r="F668" t="s">
        <v>1517</v>
      </c>
      <c r="G668" t="s">
        <v>1518</v>
      </c>
      <c r="H668" t="s">
        <v>1519</v>
      </c>
      <c r="I668" t="s">
        <v>240</v>
      </c>
      <c r="J668" t="s">
        <v>46</v>
      </c>
      <c r="K668" t="s">
        <v>29</v>
      </c>
      <c r="L668" t="s">
        <v>30</v>
      </c>
      <c r="M668">
        <v>0</v>
      </c>
      <c r="N668" t="s">
        <v>32</v>
      </c>
      <c r="O668" t="s">
        <v>32</v>
      </c>
      <c r="Q668" t="s">
        <v>32</v>
      </c>
      <c r="S668" t="s">
        <v>32</v>
      </c>
      <c r="U668" t="s">
        <v>32</v>
      </c>
      <c r="V668" t="s">
        <v>32</v>
      </c>
      <c r="W668" t="s">
        <v>32</v>
      </c>
      <c r="X668" t="s">
        <v>32</v>
      </c>
      <c r="Y668" t="s">
        <v>32</v>
      </c>
      <c r="AA668" t="s">
        <v>32</v>
      </c>
      <c r="AB668" t="s">
        <v>37</v>
      </c>
      <c r="AC668">
        <v>46054</v>
      </c>
      <c r="AD668">
        <v>46055</v>
      </c>
      <c r="AE668" t="s">
        <v>32</v>
      </c>
      <c r="AH668" t="s">
        <v>32</v>
      </c>
      <c r="AK668" t="s">
        <v>32</v>
      </c>
      <c r="AN668" t="s">
        <v>32</v>
      </c>
      <c r="AO668" t="s">
        <v>32</v>
      </c>
      <c r="AR668">
        <v>0</v>
      </c>
      <c r="AU668" t="s">
        <v>32</v>
      </c>
      <c r="AV668">
        <v>1750905</v>
      </c>
      <c r="AW668" t="s">
        <v>32</v>
      </c>
      <c r="AX668" t="s">
        <v>32</v>
      </c>
      <c r="AY668" t="s">
        <v>356</v>
      </c>
      <c r="AZ668">
        <v>2</v>
      </c>
      <c r="BA668">
        <v>116727</v>
      </c>
      <c r="BB668">
        <v>0.15999999642372131</v>
      </c>
      <c r="BC668">
        <v>18700</v>
      </c>
      <c r="BD668" t="s">
        <v>31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18700</v>
      </c>
      <c r="BK668" t="s">
        <v>25</v>
      </c>
      <c r="BL668" t="s">
        <v>1064</v>
      </c>
      <c r="BM668">
        <v>2</v>
      </c>
      <c r="BN668">
        <v>116727</v>
      </c>
      <c r="BO668">
        <v>0</v>
      </c>
      <c r="BP668">
        <v>0</v>
      </c>
      <c r="BQ668">
        <v>0</v>
      </c>
      <c r="BS668">
        <v>0</v>
      </c>
      <c r="BU668">
        <v>0</v>
      </c>
      <c r="BV668" t="s">
        <v>25</v>
      </c>
      <c r="BW668" t="s">
        <v>189</v>
      </c>
      <c r="BX668">
        <v>2</v>
      </c>
      <c r="BY668">
        <v>116727</v>
      </c>
      <c r="BZ668">
        <v>0</v>
      </c>
      <c r="CA668" t="s">
        <v>1439</v>
      </c>
      <c r="CB668" t="s">
        <v>227</v>
      </c>
      <c r="CC668" t="s">
        <v>1440</v>
      </c>
      <c r="CD668">
        <v>0</v>
      </c>
      <c r="CE668">
        <v>2</v>
      </c>
      <c r="CF668" t="s">
        <v>635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 t="s">
        <v>88</v>
      </c>
      <c r="CT668" t="s">
        <v>142</v>
      </c>
      <c r="CU668" t="s">
        <v>1442</v>
      </c>
    </row>
    <row r="669" spans="1:99">
      <c r="A669" t="s">
        <v>3047</v>
      </c>
      <c r="B669" t="s">
        <v>34</v>
      </c>
      <c r="C669" t="s">
        <v>1514</v>
      </c>
      <c r="D669" t="s">
        <v>1515</v>
      </c>
      <c r="E669" t="s">
        <v>1516</v>
      </c>
      <c r="F669" t="s">
        <v>1517</v>
      </c>
      <c r="G669" t="s">
        <v>1518</v>
      </c>
      <c r="H669" t="s">
        <v>1519</v>
      </c>
      <c r="I669" t="s">
        <v>240</v>
      </c>
      <c r="J669" t="s">
        <v>46</v>
      </c>
      <c r="K669" t="s">
        <v>29</v>
      </c>
      <c r="L669" t="s">
        <v>30</v>
      </c>
      <c r="M669">
        <v>24</v>
      </c>
      <c r="N669" t="s">
        <v>32</v>
      </c>
      <c r="O669" t="s">
        <v>32</v>
      </c>
      <c r="Q669" t="s">
        <v>32</v>
      </c>
      <c r="S669" t="s">
        <v>40</v>
      </c>
      <c r="T669">
        <v>46056</v>
      </c>
      <c r="U669" t="s">
        <v>32</v>
      </c>
      <c r="V669" t="s">
        <v>32</v>
      </c>
      <c r="W669" t="s">
        <v>32</v>
      </c>
      <c r="X669" t="s">
        <v>32</v>
      </c>
      <c r="Y669" t="s">
        <v>32</v>
      </c>
      <c r="AA669" t="s">
        <v>88</v>
      </c>
      <c r="AB669" t="s">
        <v>32</v>
      </c>
      <c r="AE669" t="s">
        <v>32</v>
      </c>
      <c r="AH669" t="s">
        <v>32</v>
      </c>
      <c r="AK669" t="s">
        <v>32</v>
      </c>
      <c r="AN669" t="s">
        <v>32</v>
      </c>
      <c r="AO669" t="s">
        <v>32</v>
      </c>
      <c r="AR669">
        <v>0</v>
      </c>
      <c r="AU669" t="s">
        <v>32</v>
      </c>
      <c r="AV669">
        <v>1750905</v>
      </c>
      <c r="AW669" t="s">
        <v>32</v>
      </c>
      <c r="AX669" t="s">
        <v>32</v>
      </c>
      <c r="AY669" t="s">
        <v>356</v>
      </c>
      <c r="AZ669">
        <v>1</v>
      </c>
      <c r="BA669">
        <v>721400</v>
      </c>
      <c r="BB669">
        <v>0.15999999642372131</v>
      </c>
      <c r="BC669">
        <v>115500</v>
      </c>
      <c r="BD669" t="s">
        <v>31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115500</v>
      </c>
      <c r="BK669" t="s">
        <v>25</v>
      </c>
      <c r="BL669" t="s">
        <v>1064</v>
      </c>
      <c r="BM669">
        <v>1</v>
      </c>
      <c r="BN669">
        <v>721400</v>
      </c>
      <c r="BO669">
        <v>3.9999999105930328E-2</v>
      </c>
      <c r="BP669">
        <v>28900</v>
      </c>
      <c r="BQ669">
        <v>0</v>
      </c>
      <c r="BS669">
        <v>0</v>
      </c>
      <c r="BU669">
        <v>0</v>
      </c>
      <c r="BV669" t="s">
        <v>25</v>
      </c>
      <c r="BW669" t="s">
        <v>189</v>
      </c>
      <c r="BX669">
        <v>1</v>
      </c>
      <c r="BY669">
        <v>721400</v>
      </c>
      <c r="BZ669">
        <v>6.9600000977516174E-2</v>
      </c>
      <c r="CA669" t="s">
        <v>1439</v>
      </c>
      <c r="CB669" t="s">
        <v>227</v>
      </c>
      <c r="CC669" t="s">
        <v>1440</v>
      </c>
      <c r="CD669">
        <v>50300</v>
      </c>
      <c r="CE669">
        <v>1</v>
      </c>
      <c r="CF669" t="s">
        <v>635</v>
      </c>
      <c r="CG669">
        <v>1302414</v>
      </c>
      <c r="CH669">
        <v>3.9999999105930328E-2</v>
      </c>
      <c r="CI669">
        <v>52100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 t="s">
        <v>88</v>
      </c>
      <c r="CT669" t="s">
        <v>142</v>
      </c>
      <c r="CU669" t="s">
        <v>1442</v>
      </c>
    </row>
    <row r="670" spans="1:99">
      <c r="A670" t="s">
        <v>3047</v>
      </c>
      <c r="B670" t="s">
        <v>34</v>
      </c>
      <c r="C670" t="s">
        <v>1520</v>
      </c>
      <c r="D670" t="s">
        <v>1521</v>
      </c>
      <c r="E670" t="s">
        <v>1522</v>
      </c>
      <c r="F670" t="s">
        <v>1507</v>
      </c>
      <c r="G670" t="s">
        <v>1523</v>
      </c>
      <c r="H670" t="s">
        <v>1474</v>
      </c>
      <c r="I670" t="s">
        <v>682</v>
      </c>
      <c r="J670" t="s">
        <v>484</v>
      </c>
      <c r="K670" t="s">
        <v>29</v>
      </c>
      <c r="L670" t="s">
        <v>30</v>
      </c>
      <c r="M670">
        <v>205</v>
      </c>
      <c r="N670" t="s">
        <v>32</v>
      </c>
      <c r="O670" t="s">
        <v>32</v>
      </c>
      <c r="Q670" t="s">
        <v>32</v>
      </c>
      <c r="S670" t="s">
        <v>32</v>
      </c>
      <c r="U670" t="s">
        <v>32</v>
      </c>
      <c r="V670" t="s">
        <v>32</v>
      </c>
      <c r="W670" t="s">
        <v>32</v>
      </c>
      <c r="X670" t="s">
        <v>32</v>
      </c>
      <c r="Y670" t="s">
        <v>32</v>
      </c>
      <c r="AA670" t="s">
        <v>88</v>
      </c>
      <c r="AB670" t="s">
        <v>32</v>
      </c>
      <c r="AE670" t="s">
        <v>32</v>
      </c>
      <c r="AH670" t="s">
        <v>32</v>
      </c>
      <c r="AK670" t="s">
        <v>32</v>
      </c>
      <c r="AN670" t="s">
        <v>32</v>
      </c>
      <c r="AO670" t="s">
        <v>32</v>
      </c>
      <c r="AR670">
        <v>0</v>
      </c>
      <c r="AU670" t="s">
        <v>32</v>
      </c>
      <c r="AV670">
        <v>1785595</v>
      </c>
      <c r="AW670" t="s">
        <v>32</v>
      </c>
      <c r="AX670" t="s">
        <v>32</v>
      </c>
      <c r="AY670" t="s">
        <v>317</v>
      </c>
      <c r="AZ670">
        <v>30</v>
      </c>
      <c r="BA670">
        <v>2110655</v>
      </c>
      <c r="BB670">
        <v>0.15999999642372131</v>
      </c>
      <c r="BC670">
        <v>337800</v>
      </c>
      <c r="BD670" t="s">
        <v>31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337800</v>
      </c>
      <c r="BK670" t="s">
        <v>25</v>
      </c>
      <c r="BL670" t="s">
        <v>1010</v>
      </c>
      <c r="BM670">
        <v>30</v>
      </c>
      <c r="BN670">
        <v>2110655</v>
      </c>
      <c r="BO670">
        <v>3.9999999105930328E-2</v>
      </c>
      <c r="BP670">
        <v>84500</v>
      </c>
      <c r="BQ670">
        <v>0</v>
      </c>
      <c r="BS670">
        <v>0</v>
      </c>
      <c r="BU670">
        <v>0</v>
      </c>
      <c r="BV670" t="s">
        <v>25</v>
      </c>
      <c r="BW670" t="s">
        <v>189</v>
      </c>
      <c r="BX670">
        <v>30</v>
      </c>
      <c r="BY670">
        <v>2110655</v>
      </c>
      <c r="BZ670">
        <v>6.9600000977516174E-2</v>
      </c>
      <c r="CA670" t="s">
        <v>1439</v>
      </c>
      <c r="CB670" t="s">
        <v>312</v>
      </c>
      <c r="CC670" t="s">
        <v>1440</v>
      </c>
      <c r="CD670">
        <v>147000</v>
      </c>
      <c r="CE670">
        <v>30</v>
      </c>
      <c r="CF670" t="s">
        <v>466</v>
      </c>
      <c r="CG670">
        <v>2110655</v>
      </c>
      <c r="CH670">
        <v>3.9999999105930328E-2</v>
      </c>
      <c r="CI670">
        <v>84500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 t="s">
        <v>88</v>
      </c>
      <c r="CT670" t="s">
        <v>142</v>
      </c>
      <c r="CU670" t="s">
        <v>1442</v>
      </c>
    </row>
    <row r="671" spans="1:99">
      <c r="A671" t="s">
        <v>3047</v>
      </c>
      <c r="B671" t="s">
        <v>34</v>
      </c>
      <c r="C671" t="s">
        <v>1524</v>
      </c>
      <c r="D671" t="s">
        <v>1525</v>
      </c>
      <c r="E671" t="s">
        <v>1526</v>
      </c>
      <c r="F671" t="s">
        <v>916</v>
      </c>
      <c r="G671" t="s">
        <v>1527</v>
      </c>
      <c r="H671" t="s">
        <v>1489</v>
      </c>
      <c r="I671" t="s">
        <v>682</v>
      </c>
      <c r="J671" t="s">
        <v>484</v>
      </c>
      <c r="K671" t="s">
        <v>29</v>
      </c>
      <c r="L671" t="s">
        <v>30</v>
      </c>
      <c r="M671">
        <v>0</v>
      </c>
      <c r="N671" t="s">
        <v>32</v>
      </c>
      <c r="O671" t="s">
        <v>32</v>
      </c>
      <c r="Q671" t="s">
        <v>32</v>
      </c>
      <c r="S671" t="s">
        <v>32</v>
      </c>
      <c r="U671" t="s">
        <v>32</v>
      </c>
      <c r="V671" t="s">
        <v>32</v>
      </c>
      <c r="W671" t="s">
        <v>32</v>
      </c>
      <c r="X671" t="s">
        <v>32</v>
      </c>
      <c r="Y671" t="s">
        <v>32</v>
      </c>
      <c r="AA671" t="s">
        <v>32</v>
      </c>
      <c r="AB671" t="s">
        <v>32</v>
      </c>
      <c r="AE671" t="s">
        <v>1492</v>
      </c>
      <c r="AF671">
        <v>46055</v>
      </c>
      <c r="AG671">
        <v>46056</v>
      </c>
      <c r="AH671" t="s">
        <v>32</v>
      </c>
      <c r="AK671" t="s">
        <v>32</v>
      </c>
      <c r="AN671" t="s">
        <v>32</v>
      </c>
      <c r="AO671" t="s">
        <v>32</v>
      </c>
      <c r="AR671">
        <v>0</v>
      </c>
      <c r="AU671" t="s">
        <v>32</v>
      </c>
      <c r="AV671">
        <v>2074908</v>
      </c>
      <c r="AW671" t="s">
        <v>32</v>
      </c>
      <c r="AX671" t="s">
        <v>32</v>
      </c>
      <c r="AY671" t="s">
        <v>317</v>
      </c>
      <c r="AZ671">
        <v>2</v>
      </c>
      <c r="BA671">
        <v>162980</v>
      </c>
      <c r="BB671">
        <v>0.15999999642372131</v>
      </c>
      <c r="BC671">
        <v>26100</v>
      </c>
      <c r="BD671" t="s">
        <v>31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26100</v>
      </c>
      <c r="BK671" t="s">
        <v>25</v>
      </c>
      <c r="BL671" t="s">
        <v>1010</v>
      </c>
      <c r="BM671">
        <v>2</v>
      </c>
      <c r="BN671">
        <v>162980</v>
      </c>
      <c r="BO671">
        <v>3.9999999105930328E-2</v>
      </c>
      <c r="BP671">
        <v>6600</v>
      </c>
      <c r="BQ671">
        <v>0</v>
      </c>
      <c r="BS671">
        <v>0</v>
      </c>
      <c r="BU671">
        <v>0</v>
      </c>
      <c r="BV671" t="s">
        <v>25</v>
      </c>
      <c r="BW671" t="s">
        <v>189</v>
      </c>
      <c r="BX671">
        <v>2</v>
      </c>
      <c r="BY671">
        <v>162980</v>
      </c>
      <c r="BZ671">
        <v>0</v>
      </c>
      <c r="CA671" t="s">
        <v>1439</v>
      </c>
      <c r="CB671" t="s">
        <v>312</v>
      </c>
      <c r="CC671" t="s">
        <v>1440</v>
      </c>
      <c r="CD671">
        <v>0</v>
      </c>
      <c r="CE671">
        <v>2</v>
      </c>
      <c r="CF671" t="s">
        <v>466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 t="s">
        <v>88</v>
      </c>
      <c r="CT671" t="s">
        <v>142</v>
      </c>
      <c r="CU671" t="s">
        <v>1442</v>
      </c>
    </row>
    <row r="672" spans="1:99">
      <c r="A672" t="s">
        <v>3047</v>
      </c>
      <c r="B672" t="s">
        <v>34</v>
      </c>
      <c r="C672" t="s">
        <v>1524</v>
      </c>
      <c r="D672" t="s">
        <v>1525</v>
      </c>
      <c r="E672" t="s">
        <v>1526</v>
      </c>
      <c r="F672" t="s">
        <v>916</v>
      </c>
      <c r="G672" t="s">
        <v>1527</v>
      </c>
      <c r="H672" t="s">
        <v>1489</v>
      </c>
      <c r="I672" t="s">
        <v>682</v>
      </c>
      <c r="J672" t="s">
        <v>484</v>
      </c>
      <c r="K672" t="s">
        <v>29</v>
      </c>
      <c r="L672" t="s">
        <v>30</v>
      </c>
      <c r="M672">
        <v>184</v>
      </c>
      <c r="N672" t="s">
        <v>32</v>
      </c>
      <c r="O672" t="s">
        <v>32</v>
      </c>
      <c r="Q672" t="s">
        <v>32</v>
      </c>
      <c r="S672" t="s">
        <v>32</v>
      </c>
      <c r="U672" t="s">
        <v>32</v>
      </c>
      <c r="V672" t="s">
        <v>32</v>
      </c>
      <c r="W672" t="s">
        <v>32</v>
      </c>
      <c r="X672" t="s">
        <v>32</v>
      </c>
      <c r="Y672" t="s">
        <v>32</v>
      </c>
      <c r="AA672" t="s">
        <v>88</v>
      </c>
      <c r="AB672" t="s">
        <v>32</v>
      </c>
      <c r="AE672" t="s">
        <v>32</v>
      </c>
      <c r="AH672" t="s">
        <v>32</v>
      </c>
      <c r="AK672" t="s">
        <v>32</v>
      </c>
      <c r="AN672" t="s">
        <v>32</v>
      </c>
      <c r="AO672" t="s">
        <v>32</v>
      </c>
      <c r="AR672">
        <v>0</v>
      </c>
      <c r="AU672" t="s">
        <v>32</v>
      </c>
      <c r="AV672">
        <v>2074908</v>
      </c>
      <c r="AW672" t="s">
        <v>32</v>
      </c>
      <c r="AX672" t="s">
        <v>32</v>
      </c>
      <c r="AY672" t="s">
        <v>317</v>
      </c>
      <c r="AZ672">
        <v>28</v>
      </c>
      <c r="BA672">
        <v>2237443</v>
      </c>
      <c r="BB672">
        <v>0.15999999642372131</v>
      </c>
      <c r="BC672">
        <v>358000</v>
      </c>
      <c r="BD672" t="s">
        <v>31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358000</v>
      </c>
      <c r="BK672" t="s">
        <v>25</v>
      </c>
      <c r="BL672" t="s">
        <v>1010</v>
      </c>
      <c r="BM672">
        <v>28</v>
      </c>
      <c r="BN672">
        <v>2237443</v>
      </c>
      <c r="BO672">
        <v>3.9999999105930328E-2</v>
      </c>
      <c r="BP672">
        <v>89500</v>
      </c>
      <c r="BQ672">
        <v>0</v>
      </c>
      <c r="BS672">
        <v>0</v>
      </c>
      <c r="BU672">
        <v>0</v>
      </c>
      <c r="BV672" t="s">
        <v>25</v>
      </c>
      <c r="BW672" t="s">
        <v>189</v>
      </c>
      <c r="BX672">
        <v>28</v>
      </c>
      <c r="BY672">
        <v>2237443</v>
      </c>
      <c r="BZ672">
        <v>6.9600000977516174E-2</v>
      </c>
      <c r="CA672" t="s">
        <v>1439</v>
      </c>
      <c r="CB672" t="s">
        <v>312</v>
      </c>
      <c r="CC672" t="s">
        <v>1440</v>
      </c>
      <c r="CD672">
        <v>155800</v>
      </c>
      <c r="CE672">
        <v>28</v>
      </c>
      <c r="CF672" t="s">
        <v>466</v>
      </c>
      <c r="CG672">
        <v>2237443</v>
      </c>
      <c r="CH672">
        <v>3.9999999105930328E-2</v>
      </c>
      <c r="CI672">
        <v>89500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 t="s">
        <v>88</v>
      </c>
      <c r="CT672" t="s">
        <v>142</v>
      </c>
      <c r="CU672" t="s">
        <v>1442</v>
      </c>
    </row>
    <row r="673" spans="1:99">
      <c r="A673" t="s">
        <v>3047</v>
      </c>
      <c r="B673" t="s">
        <v>34</v>
      </c>
      <c r="C673" t="s">
        <v>1528</v>
      </c>
      <c r="D673" t="s">
        <v>1529</v>
      </c>
      <c r="E673" t="s">
        <v>1530</v>
      </c>
      <c r="F673" t="s">
        <v>1530</v>
      </c>
      <c r="G673" t="s">
        <v>1531</v>
      </c>
      <c r="H673" t="s">
        <v>1532</v>
      </c>
      <c r="I673" t="s">
        <v>682</v>
      </c>
      <c r="J673" t="s">
        <v>484</v>
      </c>
      <c r="K673" t="s">
        <v>29</v>
      </c>
      <c r="L673" t="s">
        <v>30</v>
      </c>
      <c r="M673">
        <v>205</v>
      </c>
      <c r="N673" t="s">
        <v>32</v>
      </c>
      <c r="O673" t="s">
        <v>32</v>
      </c>
      <c r="Q673" t="s">
        <v>32</v>
      </c>
      <c r="S673" t="s">
        <v>32</v>
      </c>
      <c r="U673" t="s">
        <v>32</v>
      </c>
      <c r="V673" t="s">
        <v>32</v>
      </c>
      <c r="W673" t="s">
        <v>32</v>
      </c>
      <c r="X673" t="s">
        <v>32</v>
      </c>
      <c r="Y673" t="s">
        <v>32</v>
      </c>
      <c r="AA673" t="s">
        <v>88</v>
      </c>
      <c r="AB673" t="s">
        <v>32</v>
      </c>
      <c r="AE673" t="s">
        <v>32</v>
      </c>
      <c r="AH673" t="s">
        <v>32</v>
      </c>
      <c r="AK673" t="s">
        <v>32</v>
      </c>
      <c r="AN673" t="s">
        <v>32</v>
      </c>
      <c r="AO673" t="s">
        <v>32</v>
      </c>
      <c r="AR673">
        <v>0</v>
      </c>
      <c r="AU673" t="s">
        <v>32</v>
      </c>
      <c r="AV673">
        <v>1750905</v>
      </c>
      <c r="AW673" t="s">
        <v>32</v>
      </c>
      <c r="AX673" t="s">
        <v>32</v>
      </c>
      <c r="AY673" t="s">
        <v>317</v>
      </c>
      <c r="AZ673">
        <v>30</v>
      </c>
      <c r="BA673">
        <v>2069651</v>
      </c>
      <c r="BB673">
        <v>0.15999999642372131</v>
      </c>
      <c r="BC673">
        <v>331200</v>
      </c>
      <c r="BD673" t="s">
        <v>31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331200</v>
      </c>
      <c r="BK673" t="s">
        <v>25</v>
      </c>
      <c r="BL673" t="s">
        <v>1010</v>
      </c>
      <c r="BM673">
        <v>30</v>
      </c>
      <c r="BN673">
        <v>2069651</v>
      </c>
      <c r="BO673">
        <v>3.9999999105930328E-2</v>
      </c>
      <c r="BP673">
        <v>82800</v>
      </c>
      <c r="BQ673">
        <v>0</v>
      </c>
      <c r="BS673">
        <v>0</v>
      </c>
      <c r="BU673">
        <v>0</v>
      </c>
      <c r="BV673" t="s">
        <v>25</v>
      </c>
      <c r="BW673" t="s">
        <v>189</v>
      </c>
      <c r="BX673">
        <v>30</v>
      </c>
      <c r="BY673">
        <v>2069651</v>
      </c>
      <c r="BZ673">
        <v>6.9600000977516174E-2</v>
      </c>
      <c r="CA673" t="s">
        <v>1439</v>
      </c>
      <c r="CB673" t="s">
        <v>312</v>
      </c>
      <c r="CC673" t="s">
        <v>1440</v>
      </c>
      <c r="CD673">
        <v>144100</v>
      </c>
      <c r="CE673">
        <v>30</v>
      </c>
      <c r="CF673" t="s">
        <v>466</v>
      </c>
      <c r="CG673">
        <v>2069651</v>
      </c>
      <c r="CH673">
        <v>3.9999999105930328E-2</v>
      </c>
      <c r="CI673">
        <v>82800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 t="s">
        <v>88</v>
      </c>
      <c r="CT673" t="s">
        <v>142</v>
      </c>
      <c r="CU673" t="s">
        <v>1442</v>
      </c>
    </row>
    <row r="674" spans="1:99">
      <c r="A674" t="s">
        <v>3047</v>
      </c>
      <c r="B674" t="s">
        <v>34</v>
      </c>
      <c r="C674" t="s">
        <v>1533</v>
      </c>
      <c r="D674" t="s">
        <v>1534</v>
      </c>
      <c r="E674" t="s">
        <v>1535</v>
      </c>
      <c r="F674" t="s">
        <v>1536</v>
      </c>
      <c r="G674" t="s">
        <v>1537</v>
      </c>
      <c r="H674" t="s">
        <v>1468</v>
      </c>
      <c r="I674" t="s">
        <v>682</v>
      </c>
      <c r="J674" t="s">
        <v>484</v>
      </c>
      <c r="K674" t="s">
        <v>29</v>
      </c>
      <c r="L674" t="s">
        <v>30</v>
      </c>
      <c r="M674">
        <v>0</v>
      </c>
      <c r="N674" t="s">
        <v>32</v>
      </c>
      <c r="O674" t="s">
        <v>32</v>
      </c>
      <c r="Q674" t="s">
        <v>32</v>
      </c>
      <c r="S674" t="s">
        <v>32</v>
      </c>
      <c r="U674" t="s">
        <v>32</v>
      </c>
      <c r="V674" t="s">
        <v>32</v>
      </c>
      <c r="W674" t="s">
        <v>32</v>
      </c>
      <c r="X674" t="s">
        <v>32</v>
      </c>
      <c r="Y674" t="s">
        <v>32</v>
      </c>
      <c r="AA674" t="s">
        <v>32</v>
      </c>
      <c r="AB674" t="s">
        <v>37</v>
      </c>
      <c r="AC674">
        <v>46054</v>
      </c>
      <c r="AD674">
        <v>46054</v>
      </c>
      <c r="AE674" t="s">
        <v>32</v>
      </c>
      <c r="AH674" t="s">
        <v>32</v>
      </c>
      <c r="AK674" t="s">
        <v>32</v>
      </c>
      <c r="AN674" t="s">
        <v>32</v>
      </c>
      <c r="AO674" t="s">
        <v>32</v>
      </c>
      <c r="AR674">
        <v>0</v>
      </c>
      <c r="AU674" t="s">
        <v>32</v>
      </c>
      <c r="AV674">
        <v>1750905</v>
      </c>
      <c r="AW674" t="s">
        <v>32</v>
      </c>
      <c r="AX674" t="s">
        <v>32</v>
      </c>
      <c r="AY674" t="s">
        <v>356</v>
      </c>
      <c r="AZ674">
        <v>1</v>
      </c>
      <c r="BA674">
        <v>58364</v>
      </c>
      <c r="BB674">
        <v>0.15999999642372131</v>
      </c>
      <c r="BC674">
        <v>9400</v>
      </c>
      <c r="BD674" t="s">
        <v>31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9400</v>
      </c>
      <c r="BK674" t="s">
        <v>25</v>
      </c>
      <c r="BL674" t="s">
        <v>1071</v>
      </c>
      <c r="BM674">
        <v>1</v>
      </c>
      <c r="BN674">
        <v>58364</v>
      </c>
      <c r="BO674">
        <v>0</v>
      </c>
      <c r="BP674">
        <v>0</v>
      </c>
      <c r="BQ674">
        <v>0</v>
      </c>
      <c r="BS674">
        <v>0</v>
      </c>
      <c r="BU674">
        <v>0</v>
      </c>
      <c r="BV674" t="s">
        <v>25</v>
      </c>
      <c r="BW674" t="s">
        <v>189</v>
      </c>
      <c r="BX674">
        <v>1</v>
      </c>
      <c r="BY674">
        <v>58364</v>
      </c>
      <c r="BZ674">
        <v>0</v>
      </c>
      <c r="CA674" t="s">
        <v>1439</v>
      </c>
      <c r="CB674" t="s">
        <v>312</v>
      </c>
      <c r="CC674" t="s">
        <v>1440</v>
      </c>
      <c r="CD674">
        <v>0</v>
      </c>
      <c r="CE674">
        <v>1</v>
      </c>
      <c r="CF674" t="s">
        <v>466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 t="s">
        <v>88</v>
      </c>
      <c r="CT674" t="s">
        <v>142</v>
      </c>
      <c r="CU674" t="s">
        <v>1442</v>
      </c>
    </row>
    <row r="675" spans="1:99">
      <c r="A675" t="s">
        <v>3047</v>
      </c>
      <c r="B675" t="s">
        <v>34</v>
      </c>
      <c r="C675" t="s">
        <v>1533</v>
      </c>
      <c r="D675" t="s">
        <v>1534</v>
      </c>
      <c r="E675" t="s">
        <v>1535</v>
      </c>
      <c r="F675" t="s">
        <v>1536</v>
      </c>
      <c r="G675" t="s">
        <v>1537</v>
      </c>
      <c r="H675" t="s">
        <v>1468</v>
      </c>
      <c r="I675" t="s">
        <v>682</v>
      </c>
      <c r="J675" t="s">
        <v>484</v>
      </c>
      <c r="K675" t="s">
        <v>29</v>
      </c>
      <c r="L675" t="s">
        <v>30</v>
      </c>
      <c r="M675">
        <v>0</v>
      </c>
      <c r="N675" t="s">
        <v>32</v>
      </c>
      <c r="O675" t="s">
        <v>32</v>
      </c>
      <c r="Q675" t="s">
        <v>32</v>
      </c>
      <c r="S675" t="s">
        <v>32</v>
      </c>
      <c r="U675" t="s">
        <v>32</v>
      </c>
      <c r="V675" t="s">
        <v>32</v>
      </c>
      <c r="W675" t="s">
        <v>32</v>
      </c>
      <c r="X675" t="s">
        <v>32</v>
      </c>
      <c r="Y675" t="s">
        <v>32</v>
      </c>
      <c r="AA675" t="s">
        <v>32</v>
      </c>
      <c r="AB675" t="s">
        <v>37</v>
      </c>
      <c r="AC675">
        <v>46069</v>
      </c>
      <c r="AD675">
        <v>46070</v>
      </c>
      <c r="AE675" t="s">
        <v>32</v>
      </c>
      <c r="AH675" t="s">
        <v>32</v>
      </c>
      <c r="AK675" t="s">
        <v>32</v>
      </c>
      <c r="AN675" t="s">
        <v>32</v>
      </c>
      <c r="AO675" t="s">
        <v>32</v>
      </c>
      <c r="AR675">
        <v>0</v>
      </c>
      <c r="AU675" t="s">
        <v>32</v>
      </c>
      <c r="AV675">
        <v>1750905</v>
      </c>
      <c r="AW675" t="s">
        <v>32</v>
      </c>
      <c r="AX675" t="s">
        <v>32</v>
      </c>
      <c r="AY675" t="s">
        <v>356</v>
      </c>
      <c r="AZ675">
        <v>2</v>
      </c>
      <c r="BA675">
        <v>116727</v>
      </c>
      <c r="BB675">
        <v>0.15999999642372131</v>
      </c>
      <c r="BC675">
        <v>18700</v>
      </c>
      <c r="BD675" t="s">
        <v>31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18700</v>
      </c>
      <c r="BK675" t="s">
        <v>25</v>
      </c>
      <c r="BL675" t="s">
        <v>1071</v>
      </c>
      <c r="BM675">
        <v>2</v>
      </c>
      <c r="BN675">
        <v>116727</v>
      </c>
      <c r="BO675">
        <v>0</v>
      </c>
      <c r="BP675">
        <v>0</v>
      </c>
      <c r="BQ675">
        <v>0</v>
      </c>
      <c r="BS675">
        <v>0</v>
      </c>
      <c r="BU675">
        <v>0</v>
      </c>
      <c r="BV675" t="s">
        <v>25</v>
      </c>
      <c r="BW675" t="s">
        <v>189</v>
      </c>
      <c r="BX675">
        <v>2</v>
      </c>
      <c r="BY675">
        <v>116727</v>
      </c>
      <c r="BZ675">
        <v>0</v>
      </c>
      <c r="CA675" t="s">
        <v>1439</v>
      </c>
      <c r="CB675" t="s">
        <v>312</v>
      </c>
      <c r="CC675" t="s">
        <v>1440</v>
      </c>
      <c r="CD675">
        <v>0</v>
      </c>
      <c r="CE675">
        <v>2</v>
      </c>
      <c r="CF675" t="s">
        <v>466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 t="s">
        <v>88</v>
      </c>
      <c r="CT675" t="s">
        <v>142</v>
      </c>
      <c r="CU675" t="s">
        <v>1442</v>
      </c>
    </row>
    <row r="676" spans="1:99">
      <c r="A676" t="s">
        <v>3047</v>
      </c>
      <c r="B676" t="s">
        <v>34</v>
      </c>
      <c r="C676" t="s">
        <v>1533</v>
      </c>
      <c r="D676" t="s">
        <v>1534</v>
      </c>
      <c r="E676" t="s">
        <v>1535</v>
      </c>
      <c r="F676" t="s">
        <v>1536</v>
      </c>
      <c r="G676" t="s">
        <v>1537</v>
      </c>
      <c r="H676" t="s">
        <v>1468</v>
      </c>
      <c r="I676" t="s">
        <v>682</v>
      </c>
      <c r="J676" t="s">
        <v>484</v>
      </c>
      <c r="K676" t="s">
        <v>29</v>
      </c>
      <c r="L676" t="s">
        <v>30</v>
      </c>
      <c r="M676">
        <v>187</v>
      </c>
      <c r="N676" t="s">
        <v>32</v>
      </c>
      <c r="O676" t="s">
        <v>32</v>
      </c>
      <c r="Q676" t="s">
        <v>32</v>
      </c>
      <c r="S676" t="s">
        <v>32</v>
      </c>
      <c r="U676" t="s">
        <v>32</v>
      </c>
      <c r="V676" t="s">
        <v>32</v>
      </c>
      <c r="W676" t="s">
        <v>32</v>
      </c>
      <c r="X676" t="s">
        <v>32</v>
      </c>
      <c r="Y676" t="s">
        <v>32</v>
      </c>
      <c r="AA676" t="s">
        <v>88</v>
      </c>
      <c r="AB676" t="s">
        <v>32</v>
      </c>
      <c r="AE676" t="s">
        <v>32</v>
      </c>
      <c r="AH676" t="s">
        <v>32</v>
      </c>
      <c r="AK676" t="s">
        <v>32</v>
      </c>
      <c r="AN676" t="s">
        <v>32</v>
      </c>
      <c r="AO676" t="s">
        <v>32</v>
      </c>
      <c r="AR676">
        <v>0</v>
      </c>
      <c r="AU676" t="s">
        <v>32</v>
      </c>
      <c r="AV676">
        <v>1750905</v>
      </c>
      <c r="AW676" t="s">
        <v>32</v>
      </c>
      <c r="AX676" t="s">
        <v>32</v>
      </c>
      <c r="AY676" t="s">
        <v>356</v>
      </c>
      <c r="AZ676">
        <v>27</v>
      </c>
      <c r="BA676">
        <v>1859541</v>
      </c>
      <c r="BB676">
        <v>0.15999999642372131</v>
      </c>
      <c r="BC676">
        <v>297600</v>
      </c>
      <c r="BD676" t="s">
        <v>31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297600</v>
      </c>
      <c r="BK676" t="s">
        <v>25</v>
      </c>
      <c r="BL676" t="s">
        <v>1071</v>
      </c>
      <c r="BM676">
        <v>27</v>
      </c>
      <c r="BN676">
        <v>1859541</v>
      </c>
      <c r="BO676">
        <v>3.9999999105930328E-2</v>
      </c>
      <c r="BP676">
        <v>74400</v>
      </c>
      <c r="BQ676">
        <v>0</v>
      </c>
      <c r="BS676">
        <v>0</v>
      </c>
      <c r="BU676">
        <v>0</v>
      </c>
      <c r="BV676" t="s">
        <v>25</v>
      </c>
      <c r="BW676" t="s">
        <v>189</v>
      </c>
      <c r="BX676">
        <v>27</v>
      </c>
      <c r="BY676">
        <v>1859541</v>
      </c>
      <c r="BZ676">
        <v>6.9600000977516174E-2</v>
      </c>
      <c r="CA676" t="s">
        <v>1439</v>
      </c>
      <c r="CB676" t="s">
        <v>312</v>
      </c>
      <c r="CC676" t="s">
        <v>1440</v>
      </c>
      <c r="CD676">
        <v>129500</v>
      </c>
      <c r="CE676">
        <v>27</v>
      </c>
      <c r="CF676" t="s">
        <v>466</v>
      </c>
      <c r="CG676">
        <v>1859541</v>
      </c>
      <c r="CH676">
        <v>3.9999999105930328E-2</v>
      </c>
      <c r="CI676">
        <v>74400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 t="s">
        <v>88</v>
      </c>
      <c r="CT676" t="s">
        <v>142</v>
      </c>
      <c r="CU676" t="s">
        <v>1442</v>
      </c>
    </row>
    <row r="677" spans="1:99">
      <c r="A677" t="s">
        <v>3047</v>
      </c>
      <c r="B677" t="s">
        <v>34</v>
      </c>
      <c r="C677" t="s">
        <v>1538</v>
      </c>
      <c r="D677" t="s">
        <v>1539</v>
      </c>
      <c r="E677" t="s">
        <v>1540</v>
      </c>
      <c r="F677" t="s">
        <v>1541</v>
      </c>
      <c r="G677" t="s">
        <v>1542</v>
      </c>
      <c r="H677" t="s">
        <v>1543</v>
      </c>
      <c r="I677" t="s">
        <v>682</v>
      </c>
      <c r="J677" t="s">
        <v>484</v>
      </c>
      <c r="K677" t="s">
        <v>29</v>
      </c>
      <c r="L677" t="s">
        <v>30</v>
      </c>
      <c r="M677">
        <v>0</v>
      </c>
      <c r="N677" t="s">
        <v>32</v>
      </c>
      <c r="O677" t="s">
        <v>32</v>
      </c>
      <c r="Q677" t="s">
        <v>32</v>
      </c>
      <c r="S677" t="s">
        <v>32</v>
      </c>
      <c r="U677" t="s">
        <v>32</v>
      </c>
      <c r="V677" t="s">
        <v>32</v>
      </c>
      <c r="W677" t="s">
        <v>32</v>
      </c>
      <c r="X677" t="s">
        <v>32</v>
      </c>
      <c r="Y677" t="s">
        <v>32</v>
      </c>
      <c r="AA677" t="s">
        <v>32</v>
      </c>
      <c r="AB677" t="s">
        <v>37</v>
      </c>
      <c r="AC677">
        <v>46054</v>
      </c>
      <c r="AD677">
        <v>46054</v>
      </c>
      <c r="AE677" t="s">
        <v>32</v>
      </c>
      <c r="AH677" t="s">
        <v>32</v>
      </c>
      <c r="AK677" t="s">
        <v>32</v>
      </c>
      <c r="AN677" t="s">
        <v>32</v>
      </c>
      <c r="AO677" t="s">
        <v>32</v>
      </c>
      <c r="AR677">
        <v>0</v>
      </c>
      <c r="AU677" t="s">
        <v>32</v>
      </c>
      <c r="AV677">
        <v>1750905</v>
      </c>
      <c r="AW677" t="s">
        <v>32</v>
      </c>
      <c r="AX677" t="s">
        <v>32</v>
      </c>
      <c r="AY677" t="s">
        <v>356</v>
      </c>
      <c r="AZ677">
        <v>1</v>
      </c>
      <c r="BA677">
        <v>58364</v>
      </c>
      <c r="BB677">
        <v>0.15999999642372131</v>
      </c>
      <c r="BC677">
        <v>9400</v>
      </c>
      <c r="BD677" t="s">
        <v>31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9400</v>
      </c>
      <c r="BK677" t="s">
        <v>25</v>
      </c>
      <c r="BL677" t="s">
        <v>1010</v>
      </c>
      <c r="BM677">
        <v>1</v>
      </c>
      <c r="BN677">
        <v>58364</v>
      </c>
      <c r="BO677">
        <v>0</v>
      </c>
      <c r="BP677">
        <v>0</v>
      </c>
      <c r="BQ677">
        <v>0</v>
      </c>
      <c r="BS677">
        <v>0</v>
      </c>
      <c r="BU677">
        <v>0</v>
      </c>
      <c r="BV677" t="s">
        <v>25</v>
      </c>
      <c r="BW677" t="s">
        <v>189</v>
      </c>
      <c r="BX677">
        <v>1</v>
      </c>
      <c r="BY677">
        <v>58364</v>
      </c>
      <c r="BZ677">
        <v>0</v>
      </c>
      <c r="CA677" t="s">
        <v>1439</v>
      </c>
      <c r="CB677" t="s">
        <v>312</v>
      </c>
      <c r="CC677" t="s">
        <v>1440</v>
      </c>
      <c r="CD677">
        <v>0</v>
      </c>
      <c r="CE677">
        <v>1</v>
      </c>
      <c r="CF677" t="s">
        <v>466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 t="s">
        <v>88</v>
      </c>
      <c r="CT677" t="s">
        <v>142</v>
      </c>
      <c r="CU677" t="s">
        <v>1442</v>
      </c>
    </row>
    <row r="678" spans="1:99">
      <c r="A678" t="s">
        <v>3047</v>
      </c>
      <c r="B678" t="s">
        <v>34</v>
      </c>
      <c r="C678" t="s">
        <v>1538</v>
      </c>
      <c r="D678" t="s">
        <v>1539</v>
      </c>
      <c r="E678" t="s">
        <v>1540</v>
      </c>
      <c r="F678" t="s">
        <v>1541</v>
      </c>
      <c r="G678" t="s">
        <v>1542</v>
      </c>
      <c r="H678" t="s">
        <v>1543</v>
      </c>
      <c r="I678" t="s">
        <v>682</v>
      </c>
      <c r="J678" t="s">
        <v>484</v>
      </c>
      <c r="K678" t="s">
        <v>29</v>
      </c>
      <c r="L678" t="s">
        <v>30</v>
      </c>
      <c r="M678">
        <v>211</v>
      </c>
      <c r="N678" t="s">
        <v>32</v>
      </c>
      <c r="O678" t="s">
        <v>32</v>
      </c>
      <c r="Q678" t="s">
        <v>32</v>
      </c>
      <c r="S678" t="s">
        <v>32</v>
      </c>
      <c r="U678" t="s">
        <v>32</v>
      </c>
      <c r="V678" t="s">
        <v>32</v>
      </c>
      <c r="W678" t="s">
        <v>32</v>
      </c>
      <c r="X678" t="s">
        <v>32</v>
      </c>
      <c r="Y678" t="s">
        <v>32</v>
      </c>
      <c r="AA678" t="s">
        <v>88</v>
      </c>
      <c r="AB678" t="s">
        <v>32</v>
      </c>
      <c r="AE678" t="s">
        <v>32</v>
      </c>
      <c r="AH678" t="s">
        <v>32</v>
      </c>
      <c r="AK678" t="s">
        <v>32</v>
      </c>
      <c r="AN678" t="s">
        <v>32</v>
      </c>
      <c r="AO678" t="s">
        <v>32</v>
      </c>
      <c r="AR678">
        <v>0</v>
      </c>
      <c r="AU678" t="s">
        <v>32</v>
      </c>
      <c r="AV678">
        <v>1750905</v>
      </c>
      <c r="AW678" t="s">
        <v>32</v>
      </c>
      <c r="AX678" t="s">
        <v>32</v>
      </c>
      <c r="AY678" t="s">
        <v>356</v>
      </c>
      <c r="AZ678">
        <v>29</v>
      </c>
      <c r="BA678">
        <v>2035959</v>
      </c>
      <c r="BB678">
        <v>0.15999999642372131</v>
      </c>
      <c r="BC678">
        <v>325800</v>
      </c>
      <c r="BD678" t="s">
        <v>31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325800</v>
      </c>
      <c r="BK678" t="s">
        <v>25</v>
      </c>
      <c r="BL678" t="s">
        <v>1010</v>
      </c>
      <c r="BM678">
        <v>29</v>
      </c>
      <c r="BN678">
        <v>2035959</v>
      </c>
      <c r="BO678">
        <v>3.9999999105930328E-2</v>
      </c>
      <c r="BP678">
        <v>81500</v>
      </c>
      <c r="BQ678">
        <v>0</v>
      </c>
      <c r="BS678">
        <v>0</v>
      </c>
      <c r="BU678">
        <v>0</v>
      </c>
      <c r="BV678" t="s">
        <v>25</v>
      </c>
      <c r="BW678" t="s">
        <v>189</v>
      </c>
      <c r="BX678">
        <v>29</v>
      </c>
      <c r="BY678">
        <v>2035959</v>
      </c>
      <c r="BZ678">
        <v>6.9600000977516174E-2</v>
      </c>
      <c r="CA678" t="s">
        <v>1439</v>
      </c>
      <c r="CB678" t="s">
        <v>312</v>
      </c>
      <c r="CC678" t="s">
        <v>1440</v>
      </c>
      <c r="CD678">
        <v>141800</v>
      </c>
      <c r="CE678">
        <v>29</v>
      </c>
      <c r="CF678" t="s">
        <v>466</v>
      </c>
      <c r="CG678">
        <v>2035959</v>
      </c>
      <c r="CH678">
        <v>3.9999999105930328E-2</v>
      </c>
      <c r="CI678">
        <v>81500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 t="s">
        <v>88</v>
      </c>
      <c r="CT678" t="s">
        <v>142</v>
      </c>
      <c r="CU678" t="s">
        <v>1442</v>
      </c>
    </row>
    <row r="679" spans="1:99">
      <c r="A679" t="s">
        <v>3047</v>
      </c>
      <c r="B679" t="s">
        <v>34</v>
      </c>
      <c r="C679" t="s">
        <v>1544</v>
      </c>
      <c r="D679" t="s">
        <v>1545</v>
      </c>
      <c r="E679" t="s">
        <v>1546</v>
      </c>
      <c r="F679" t="s">
        <v>1547</v>
      </c>
      <c r="G679" t="s">
        <v>1498</v>
      </c>
      <c r="H679" t="s">
        <v>1548</v>
      </c>
      <c r="I679" t="s">
        <v>682</v>
      </c>
      <c r="J679" t="s">
        <v>484</v>
      </c>
      <c r="K679" t="s">
        <v>29</v>
      </c>
      <c r="L679" t="s">
        <v>30</v>
      </c>
      <c r="M679">
        <v>0</v>
      </c>
      <c r="N679" t="s">
        <v>32</v>
      </c>
      <c r="O679" t="s">
        <v>32</v>
      </c>
      <c r="Q679" t="s">
        <v>32</v>
      </c>
      <c r="S679" t="s">
        <v>32</v>
      </c>
      <c r="U679" t="s">
        <v>32</v>
      </c>
      <c r="V679" t="s">
        <v>32</v>
      </c>
      <c r="W679" t="s">
        <v>32</v>
      </c>
      <c r="X679" t="s">
        <v>32</v>
      </c>
      <c r="Y679" t="s">
        <v>32</v>
      </c>
      <c r="AA679" t="s">
        <v>32</v>
      </c>
      <c r="AB679" t="s">
        <v>37</v>
      </c>
      <c r="AC679">
        <v>46054</v>
      </c>
      <c r="AD679">
        <v>46055</v>
      </c>
      <c r="AE679" t="s">
        <v>32</v>
      </c>
      <c r="AH679" t="s">
        <v>32</v>
      </c>
      <c r="AK679" t="s">
        <v>32</v>
      </c>
      <c r="AN679" t="s">
        <v>32</v>
      </c>
      <c r="AO679" t="s">
        <v>32</v>
      </c>
      <c r="AR679">
        <v>0</v>
      </c>
      <c r="AU679" t="s">
        <v>32</v>
      </c>
      <c r="AV679">
        <v>1750905</v>
      </c>
      <c r="AW679" t="s">
        <v>32</v>
      </c>
      <c r="AX679" t="s">
        <v>32</v>
      </c>
      <c r="AY679" t="s">
        <v>185</v>
      </c>
      <c r="AZ679">
        <v>2</v>
      </c>
      <c r="BA679">
        <v>116727</v>
      </c>
      <c r="BB679">
        <v>0.15999999642372131</v>
      </c>
      <c r="BC679">
        <v>18700</v>
      </c>
      <c r="BD679" t="s">
        <v>31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18700</v>
      </c>
      <c r="BK679" t="s">
        <v>25</v>
      </c>
      <c r="BL679" t="s">
        <v>748</v>
      </c>
      <c r="BM679">
        <v>2</v>
      </c>
      <c r="BN679">
        <v>116727</v>
      </c>
      <c r="BO679">
        <v>0</v>
      </c>
      <c r="BP679">
        <v>0</v>
      </c>
      <c r="BQ679">
        <v>0</v>
      </c>
      <c r="BS679">
        <v>0</v>
      </c>
      <c r="BU679">
        <v>0</v>
      </c>
      <c r="BV679" t="s">
        <v>25</v>
      </c>
      <c r="BW679" t="s">
        <v>189</v>
      </c>
      <c r="BX679">
        <v>2</v>
      </c>
      <c r="BY679">
        <v>116727</v>
      </c>
      <c r="BZ679">
        <v>0</v>
      </c>
      <c r="CA679" t="s">
        <v>1439</v>
      </c>
      <c r="CB679" t="s">
        <v>312</v>
      </c>
      <c r="CC679" t="s">
        <v>1440</v>
      </c>
      <c r="CD679">
        <v>0</v>
      </c>
      <c r="CE679">
        <v>2</v>
      </c>
      <c r="CF679" t="s">
        <v>466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 t="s">
        <v>88</v>
      </c>
      <c r="CT679" t="s">
        <v>142</v>
      </c>
      <c r="CU679" t="s">
        <v>1442</v>
      </c>
    </row>
    <row r="680" spans="1:99">
      <c r="A680" t="s">
        <v>3047</v>
      </c>
      <c r="B680" t="s">
        <v>34</v>
      </c>
      <c r="C680" t="s">
        <v>1544</v>
      </c>
      <c r="D680" t="s">
        <v>1545</v>
      </c>
      <c r="E680" t="s">
        <v>1546</v>
      </c>
      <c r="F680" t="s">
        <v>1547</v>
      </c>
      <c r="G680" t="s">
        <v>1498</v>
      </c>
      <c r="H680" t="s">
        <v>1548</v>
      </c>
      <c r="I680" t="s">
        <v>682</v>
      </c>
      <c r="J680" t="s">
        <v>484</v>
      </c>
      <c r="K680" t="s">
        <v>29</v>
      </c>
      <c r="L680" t="s">
        <v>30</v>
      </c>
      <c r="M680">
        <v>199</v>
      </c>
      <c r="N680" t="s">
        <v>32</v>
      </c>
      <c r="O680" t="s">
        <v>32</v>
      </c>
      <c r="Q680" t="s">
        <v>32</v>
      </c>
      <c r="S680" t="s">
        <v>32</v>
      </c>
      <c r="U680" t="s">
        <v>32</v>
      </c>
      <c r="V680" t="s">
        <v>32</v>
      </c>
      <c r="W680" t="s">
        <v>32</v>
      </c>
      <c r="X680" t="s">
        <v>32</v>
      </c>
      <c r="Y680" t="s">
        <v>32</v>
      </c>
      <c r="AA680" t="s">
        <v>88</v>
      </c>
      <c r="AB680" t="s">
        <v>32</v>
      </c>
      <c r="AE680" t="s">
        <v>32</v>
      </c>
      <c r="AH680" t="s">
        <v>32</v>
      </c>
      <c r="AK680" t="s">
        <v>32</v>
      </c>
      <c r="AN680" t="s">
        <v>32</v>
      </c>
      <c r="AO680" t="s">
        <v>32</v>
      </c>
      <c r="AR680">
        <v>0</v>
      </c>
      <c r="AU680" t="s">
        <v>32</v>
      </c>
      <c r="AV680">
        <v>1750905</v>
      </c>
      <c r="AW680" t="s">
        <v>32</v>
      </c>
      <c r="AX680" t="s">
        <v>32</v>
      </c>
      <c r="AY680" t="s">
        <v>185</v>
      </c>
      <c r="AZ680">
        <v>28</v>
      </c>
      <c r="BA680">
        <v>1982769</v>
      </c>
      <c r="BB680">
        <v>0.15999999642372131</v>
      </c>
      <c r="BC680">
        <v>317300</v>
      </c>
      <c r="BD680" t="s">
        <v>31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317300</v>
      </c>
      <c r="BK680" t="s">
        <v>25</v>
      </c>
      <c r="BL680" t="s">
        <v>748</v>
      </c>
      <c r="BM680">
        <v>28</v>
      </c>
      <c r="BN680">
        <v>1982769</v>
      </c>
      <c r="BO680">
        <v>3.9999999105930328E-2</v>
      </c>
      <c r="BP680">
        <v>79400</v>
      </c>
      <c r="BQ680">
        <v>0</v>
      </c>
      <c r="BS680">
        <v>0</v>
      </c>
      <c r="BU680">
        <v>0</v>
      </c>
      <c r="BV680" t="s">
        <v>25</v>
      </c>
      <c r="BW680" t="s">
        <v>189</v>
      </c>
      <c r="BX680">
        <v>28</v>
      </c>
      <c r="BY680">
        <v>1982769</v>
      </c>
      <c r="BZ680">
        <v>6.9600000977516174E-2</v>
      </c>
      <c r="CA680" t="s">
        <v>1439</v>
      </c>
      <c r="CB680" t="s">
        <v>312</v>
      </c>
      <c r="CC680" t="s">
        <v>1440</v>
      </c>
      <c r="CD680">
        <v>138100</v>
      </c>
      <c r="CE680">
        <v>28</v>
      </c>
      <c r="CF680" t="s">
        <v>466</v>
      </c>
      <c r="CG680">
        <v>1982769</v>
      </c>
      <c r="CH680">
        <v>3.9999999105930328E-2</v>
      </c>
      <c r="CI680">
        <v>79400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 t="s">
        <v>88</v>
      </c>
      <c r="CT680" t="s">
        <v>142</v>
      </c>
      <c r="CU680" t="s">
        <v>1442</v>
      </c>
    </row>
    <row r="681" spans="1:99">
      <c r="A681" t="s">
        <v>3047</v>
      </c>
      <c r="B681" t="s">
        <v>34</v>
      </c>
      <c r="C681" t="s">
        <v>1549</v>
      </c>
      <c r="D681" t="s">
        <v>1550</v>
      </c>
      <c r="E681" t="s">
        <v>1551</v>
      </c>
      <c r="F681" t="s">
        <v>667</v>
      </c>
      <c r="G681" t="s">
        <v>1552</v>
      </c>
      <c r="H681" t="s">
        <v>1479</v>
      </c>
      <c r="I681" t="s">
        <v>682</v>
      </c>
      <c r="J681" t="s">
        <v>484</v>
      </c>
      <c r="K681" t="s">
        <v>29</v>
      </c>
      <c r="L681" t="s">
        <v>30</v>
      </c>
      <c r="M681">
        <v>204</v>
      </c>
      <c r="N681" t="s">
        <v>32</v>
      </c>
      <c r="O681" t="s">
        <v>32</v>
      </c>
      <c r="Q681" t="s">
        <v>32</v>
      </c>
      <c r="S681" t="s">
        <v>40</v>
      </c>
      <c r="T681">
        <v>46076</v>
      </c>
      <c r="U681" t="s">
        <v>32</v>
      </c>
      <c r="V681" t="s">
        <v>32</v>
      </c>
      <c r="W681" t="s">
        <v>32</v>
      </c>
      <c r="X681" t="s">
        <v>32</v>
      </c>
      <c r="Y681" t="s">
        <v>32</v>
      </c>
      <c r="AA681" t="s">
        <v>88</v>
      </c>
      <c r="AB681" t="s">
        <v>32</v>
      </c>
      <c r="AE681" t="s">
        <v>32</v>
      </c>
      <c r="AH681" t="s">
        <v>32</v>
      </c>
      <c r="AK681" t="s">
        <v>32</v>
      </c>
      <c r="AN681" t="s">
        <v>32</v>
      </c>
      <c r="AO681" t="s">
        <v>32</v>
      </c>
      <c r="AR681">
        <v>0</v>
      </c>
      <c r="AU681" t="s">
        <v>32</v>
      </c>
      <c r="AV681">
        <v>1750905</v>
      </c>
      <c r="AW681" t="s">
        <v>32</v>
      </c>
      <c r="AX681" t="s">
        <v>32</v>
      </c>
      <c r="AY681" t="s">
        <v>317</v>
      </c>
      <c r="AZ681">
        <v>23</v>
      </c>
      <c r="BA681">
        <v>2062991</v>
      </c>
      <c r="BB681">
        <v>0.15999999642372131</v>
      </c>
      <c r="BC681">
        <v>330100</v>
      </c>
      <c r="BD681" t="s">
        <v>31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330100</v>
      </c>
      <c r="BK681" t="s">
        <v>25</v>
      </c>
      <c r="BL681" t="s">
        <v>1010</v>
      </c>
      <c r="BM681">
        <v>23</v>
      </c>
      <c r="BN681">
        <v>2062991</v>
      </c>
      <c r="BO681">
        <v>3.9999999105930328E-2</v>
      </c>
      <c r="BP681">
        <v>82600</v>
      </c>
      <c r="BQ681">
        <v>0</v>
      </c>
      <c r="BS681">
        <v>0</v>
      </c>
      <c r="BU681">
        <v>0</v>
      </c>
      <c r="BV681" t="s">
        <v>25</v>
      </c>
      <c r="BW681" t="s">
        <v>189</v>
      </c>
      <c r="BX681">
        <v>23</v>
      </c>
      <c r="BY681">
        <v>2062991</v>
      </c>
      <c r="BZ681">
        <v>6.9600000977516174E-2</v>
      </c>
      <c r="CA681" t="s">
        <v>1439</v>
      </c>
      <c r="CB681" t="s">
        <v>312</v>
      </c>
      <c r="CC681" t="s">
        <v>1440</v>
      </c>
      <c r="CD681">
        <v>143600</v>
      </c>
      <c r="CE681">
        <v>23</v>
      </c>
      <c r="CF681" t="s">
        <v>466</v>
      </c>
      <c r="CG681">
        <v>2780760</v>
      </c>
      <c r="CH681">
        <v>3.9999999105930328E-2</v>
      </c>
      <c r="CI681">
        <v>111300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 t="s">
        <v>88</v>
      </c>
      <c r="CT681" t="s">
        <v>142</v>
      </c>
      <c r="CU681" t="s">
        <v>1442</v>
      </c>
    </row>
    <row r="682" spans="1:99">
      <c r="A682" t="s">
        <v>3047</v>
      </c>
      <c r="B682" t="s">
        <v>34</v>
      </c>
      <c r="C682" t="s">
        <v>1553</v>
      </c>
      <c r="D682" t="s">
        <v>1554</v>
      </c>
      <c r="E682" t="s">
        <v>1555</v>
      </c>
      <c r="F682" t="s">
        <v>1556</v>
      </c>
      <c r="G682" t="s">
        <v>1557</v>
      </c>
      <c r="H682" t="s">
        <v>1558</v>
      </c>
      <c r="I682" t="s">
        <v>240</v>
      </c>
      <c r="J682" t="s">
        <v>46</v>
      </c>
      <c r="K682" t="s">
        <v>29</v>
      </c>
      <c r="L682" t="s">
        <v>30</v>
      </c>
      <c r="M682">
        <v>225</v>
      </c>
      <c r="N682" t="s">
        <v>32</v>
      </c>
      <c r="O682" t="s">
        <v>32</v>
      </c>
      <c r="Q682" t="s">
        <v>32</v>
      </c>
      <c r="S682" t="s">
        <v>32</v>
      </c>
      <c r="U682" t="s">
        <v>32</v>
      </c>
      <c r="V682" t="s">
        <v>32</v>
      </c>
      <c r="W682" t="s">
        <v>32</v>
      </c>
      <c r="X682" t="s">
        <v>32</v>
      </c>
      <c r="Y682" t="s">
        <v>32</v>
      </c>
      <c r="AA682" t="s">
        <v>88</v>
      </c>
      <c r="AB682" t="s">
        <v>32</v>
      </c>
      <c r="AE682" t="s">
        <v>32</v>
      </c>
      <c r="AH682" t="s">
        <v>32</v>
      </c>
      <c r="AK682" t="s">
        <v>32</v>
      </c>
      <c r="AN682" t="s">
        <v>32</v>
      </c>
      <c r="AO682" t="s">
        <v>32</v>
      </c>
      <c r="AR682">
        <v>0</v>
      </c>
      <c r="AU682" t="s">
        <v>32</v>
      </c>
      <c r="AV682">
        <v>2074908</v>
      </c>
      <c r="AW682" t="s">
        <v>32</v>
      </c>
      <c r="AX682" t="s">
        <v>32</v>
      </c>
      <c r="AY682" t="s">
        <v>317</v>
      </c>
      <c r="AZ682">
        <v>30</v>
      </c>
      <c r="BA682">
        <v>3157161</v>
      </c>
      <c r="BB682">
        <v>0.15999999642372131</v>
      </c>
      <c r="BC682">
        <v>505200</v>
      </c>
      <c r="BD682" t="s">
        <v>31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505200</v>
      </c>
      <c r="BK682" t="s">
        <v>25</v>
      </c>
      <c r="BL682" t="s">
        <v>1064</v>
      </c>
      <c r="BM682">
        <v>30</v>
      </c>
      <c r="BN682">
        <v>3157161</v>
      </c>
      <c r="BO682">
        <v>3.9999999105930328E-2</v>
      </c>
      <c r="BP682">
        <v>126300</v>
      </c>
      <c r="BQ682">
        <v>0</v>
      </c>
      <c r="BS682">
        <v>0</v>
      </c>
      <c r="BU682">
        <v>0</v>
      </c>
      <c r="BV682" t="s">
        <v>25</v>
      </c>
      <c r="BW682" t="s">
        <v>189</v>
      </c>
      <c r="BX682">
        <v>30</v>
      </c>
      <c r="BY682">
        <v>3157161</v>
      </c>
      <c r="BZ682">
        <v>6.9600000977516174E-2</v>
      </c>
      <c r="CA682" t="s">
        <v>1439</v>
      </c>
      <c r="CB682" t="s">
        <v>227</v>
      </c>
      <c r="CC682" t="s">
        <v>1440</v>
      </c>
      <c r="CD682">
        <v>219800</v>
      </c>
      <c r="CE682">
        <v>30</v>
      </c>
      <c r="CF682" t="s">
        <v>635</v>
      </c>
      <c r="CG682">
        <v>3157161</v>
      </c>
      <c r="CH682">
        <v>3.9999999105930328E-2</v>
      </c>
      <c r="CI682">
        <v>126300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 t="s">
        <v>88</v>
      </c>
      <c r="CT682" t="s">
        <v>142</v>
      </c>
      <c r="CU682" t="s">
        <v>1442</v>
      </c>
    </row>
    <row r="683" spans="1:99">
      <c r="A683" t="s">
        <v>3047</v>
      </c>
      <c r="B683" t="s">
        <v>34</v>
      </c>
      <c r="C683" t="s">
        <v>1559</v>
      </c>
      <c r="D683" t="s">
        <v>1560</v>
      </c>
      <c r="E683" t="s">
        <v>1561</v>
      </c>
      <c r="F683" t="s">
        <v>1562</v>
      </c>
      <c r="G683" t="s">
        <v>1563</v>
      </c>
      <c r="H683" t="s">
        <v>1489</v>
      </c>
      <c r="I683" t="s">
        <v>682</v>
      </c>
      <c r="J683" t="s">
        <v>484</v>
      </c>
      <c r="K683" t="s">
        <v>29</v>
      </c>
      <c r="L683" t="s">
        <v>30</v>
      </c>
      <c r="M683">
        <v>0</v>
      </c>
      <c r="N683" t="s">
        <v>32</v>
      </c>
      <c r="O683" t="s">
        <v>32</v>
      </c>
      <c r="Q683" t="s">
        <v>32</v>
      </c>
      <c r="S683" t="s">
        <v>32</v>
      </c>
      <c r="U683" t="s">
        <v>32</v>
      </c>
      <c r="V683" t="s">
        <v>32</v>
      </c>
      <c r="W683" t="s">
        <v>32</v>
      </c>
      <c r="X683" t="s">
        <v>32</v>
      </c>
      <c r="Y683" t="s">
        <v>32</v>
      </c>
      <c r="AA683" t="s">
        <v>32</v>
      </c>
      <c r="AB683" t="s">
        <v>37</v>
      </c>
      <c r="AC683">
        <v>46069</v>
      </c>
      <c r="AD683">
        <v>46069</v>
      </c>
      <c r="AE683" t="s">
        <v>32</v>
      </c>
      <c r="AH683" t="s">
        <v>32</v>
      </c>
      <c r="AK683" t="s">
        <v>32</v>
      </c>
      <c r="AN683" t="s">
        <v>32</v>
      </c>
      <c r="AO683" t="s">
        <v>32</v>
      </c>
      <c r="AR683">
        <v>0</v>
      </c>
      <c r="AU683" t="s">
        <v>32</v>
      </c>
      <c r="AV683">
        <v>1785595</v>
      </c>
      <c r="AW683" t="s">
        <v>32</v>
      </c>
      <c r="AX683" t="s">
        <v>32</v>
      </c>
      <c r="AY683" t="s">
        <v>356</v>
      </c>
      <c r="AZ683">
        <v>1</v>
      </c>
      <c r="BA683">
        <v>59520</v>
      </c>
      <c r="BB683">
        <v>0.15999999642372131</v>
      </c>
      <c r="BC683">
        <v>9600</v>
      </c>
      <c r="BD683" t="s">
        <v>31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9600</v>
      </c>
      <c r="BK683" t="s">
        <v>25</v>
      </c>
      <c r="BL683" t="s">
        <v>1071</v>
      </c>
      <c r="BM683">
        <v>1</v>
      </c>
      <c r="BN683">
        <v>59520</v>
      </c>
      <c r="BO683">
        <v>0</v>
      </c>
      <c r="BP683">
        <v>0</v>
      </c>
      <c r="BQ683">
        <v>0</v>
      </c>
      <c r="BS683">
        <v>0</v>
      </c>
      <c r="BU683">
        <v>0</v>
      </c>
      <c r="BV683" t="s">
        <v>25</v>
      </c>
      <c r="BW683" t="s">
        <v>189</v>
      </c>
      <c r="BX683">
        <v>1</v>
      </c>
      <c r="BY683">
        <v>59520</v>
      </c>
      <c r="BZ683">
        <v>0</v>
      </c>
      <c r="CA683" t="s">
        <v>1439</v>
      </c>
      <c r="CB683" t="s">
        <v>312</v>
      </c>
      <c r="CC683" t="s">
        <v>1440</v>
      </c>
      <c r="CD683">
        <v>0</v>
      </c>
      <c r="CE683">
        <v>1</v>
      </c>
      <c r="CF683" t="s">
        <v>466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 t="s">
        <v>88</v>
      </c>
      <c r="CT683" t="s">
        <v>142</v>
      </c>
      <c r="CU683" t="s">
        <v>1442</v>
      </c>
    </row>
    <row r="684" spans="1:99">
      <c r="A684" t="s">
        <v>3047</v>
      </c>
      <c r="B684" t="s">
        <v>34</v>
      </c>
      <c r="C684" t="s">
        <v>1559</v>
      </c>
      <c r="D684" t="s">
        <v>1560</v>
      </c>
      <c r="E684" t="s">
        <v>1561</v>
      </c>
      <c r="F684" t="s">
        <v>1562</v>
      </c>
      <c r="G684" t="s">
        <v>1563</v>
      </c>
      <c r="H684" t="s">
        <v>1489</v>
      </c>
      <c r="I684" t="s">
        <v>682</v>
      </c>
      <c r="J684" t="s">
        <v>484</v>
      </c>
      <c r="K684" t="s">
        <v>29</v>
      </c>
      <c r="L684" t="s">
        <v>30</v>
      </c>
      <c r="M684">
        <v>162</v>
      </c>
      <c r="N684" t="s">
        <v>32</v>
      </c>
      <c r="O684" t="s">
        <v>32</v>
      </c>
      <c r="Q684" t="s">
        <v>32</v>
      </c>
      <c r="S684" t="s">
        <v>40</v>
      </c>
      <c r="T684">
        <v>46076</v>
      </c>
      <c r="U684" t="s">
        <v>32</v>
      </c>
      <c r="V684" t="s">
        <v>32</v>
      </c>
      <c r="W684" t="s">
        <v>32</v>
      </c>
      <c r="X684" t="s">
        <v>32</v>
      </c>
      <c r="Y684" t="s">
        <v>32</v>
      </c>
      <c r="AA684" t="s">
        <v>88</v>
      </c>
      <c r="AB684" t="s">
        <v>32</v>
      </c>
      <c r="AE684" t="s">
        <v>32</v>
      </c>
      <c r="AH684" t="s">
        <v>32</v>
      </c>
      <c r="AK684" t="s">
        <v>32</v>
      </c>
      <c r="AN684" t="s">
        <v>32</v>
      </c>
      <c r="AO684" t="s">
        <v>32</v>
      </c>
      <c r="AR684">
        <v>0</v>
      </c>
      <c r="AU684" t="s">
        <v>32</v>
      </c>
      <c r="AV684">
        <v>1785595</v>
      </c>
      <c r="AW684" t="s">
        <v>32</v>
      </c>
      <c r="AX684" t="s">
        <v>32</v>
      </c>
      <c r="AY684" t="s">
        <v>356</v>
      </c>
      <c r="AZ684">
        <v>22</v>
      </c>
      <c r="BA684">
        <v>1682166</v>
      </c>
      <c r="BB684">
        <v>0.15999999642372131</v>
      </c>
      <c r="BC684">
        <v>269200</v>
      </c>
      <c r="BD684" t="s">
        <v>31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269200</v>
      </c>
      <c r="BK684" t="s">
        <v>25</v>
      </c>
      <c r="BL684" t="s">
        <v>1071</v>
      </c>
      <c r="BM684">
        <v>22</v>
      </c>
      <c r="BN684">
        <v>1682166</v>
      </c>
      <c r="BO684">
        <v>3.9999999105930328E-2</v>
      </c>
      <c r="BP684">
        <v>67300</v>
      </c>
      <c r="BQ684">
        <v>0</v>
      </c>
      <c r="BS684">
        <v>0</v>
      </c>
      <c r="BU684">
        <v>0</v>
      </c>
      <c r="BV684" t="s">
        <v>25</v>
      </c>
      <c r="BW684" t="s">
        <v>189</v>
      </c>
      <c r="BX684">
        <v>22</v>
      </c>
      <c r="BY684">
        <v>1682166</v>
      </c>
      <c r="BZ684">
        <v>6.9600000977516174E-2</v>
      </c>
      <c r="CA684" t="s">
        <v>1439</v>
      </c>
      <c r="CB684" t="s">
        <v>312</v>
      </c>
      <c r="CC684" t="s">
        <v>1440</v>
      </c>
      <c r="CD684">
        <v>117100</v>
      </c>
      <c r="CE684">
        <v>22</v>
      </c>
      <c r="CF684" t="s">
        <v>466</v>
      </c>
      <c r="CG684">
        <v>2503076</v>
      </c>
      <c r="CH684">
        <v>3.9999999105930328E-2</v>
      </c>
      <c r="CI684">
        <v>100200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 t="s">
        <v>88</v>
      </c>
      <c r="CT684" t="s">
        <v>142</v>
      </c>
      <c r="CU684" t="s">
        <v>1442</v>
      </c>
    </row>
    <row r="685" spans="1:99">
      <c r="A685" t="s">
        <v>3047</v>
      </c>
      <c r="B685" t="s">
        <v>34</v>
      </c>
      <c r="C685" t="s">
        <v>1564</v>
      </c>
      <c r="D685" t="s">
        <v>1565</v>
      </c>
      <c r="E685" t="s">
        <v>1562</v>
      </c>
      <c r="F685" t="s">
        <v>1566</v>
      </c>
      <c r="G685" t="s">
        <v>1478</v>
      </c>
      <c r="H685" t="s">
        <v>1519</v>
      </c>
      <c r="I685" t="s">
        <v>682</v>
      </c>
      <c r="J685" t="s">
        <v>484</v>
      </c>
      <c r="K685" t="s">
        <v>29</v>
      </c>
      <c r="L685" t="s">
        <v>30</v>
      </c>
      <c r="M685">
        <v>205</v>
      </c>
      <c r="N685" t="s">
        <v>32</v>
      </c>
      <c r="O685" t="s">
        <v>32</v>
      </c>
      <c r="Q685" t="s">
        <v>32</v>
      </c>
      <c r="S685" t="s">
        <v>32</v>
      </c>
      <c r="U685" t="s">
        <v>32</v>
      </c>
      <c r="V685" t="s">
        <v>32</v>
      </c>
      <c r="W685" t="s">
        <v>32</v>
      </c>
      <c r="X685" t="s">
        <v>32</v>
      </c>
      <c r="Y685" t="s">
        <v>32</v>
      </c>
      <c r="AA685" t="s">
        <v>88</v>
      </c>
      <c r="AB685" t="s">
        <v>32</v>
      </c>
      <c r="AE685" t="s">
        <v>32</v>
      </c>
      <c r="AH685" t="s">
        <v>32</v>
      </c>
      <c r="AK685" t="s">
        <v>32</v>
      </c>
      <c r="AN685" t="s">
        <v>32</v>
      </c>
      <c r="AO685" t="s">
        <v>32</v>
      </c>
      <c r="AR685">
        <v>0</v>
      </c>
      <c r="AU685" t="s">
        <v>32</v>
      </c>
      <c r="AV685">
        <v>2074908</v>
      </c>
      <c r="AW685" t="s">
        <v>32</v>
      </c>
      <c r="AX685" t="s">
        <v>32</v>
      </c>
      <c r="AY685" t="s">
        <v>317</v>
      </c>
      <c r="AZ685">
        <v>30</v>
      </c>
      <c r="BA685">
        <v>2452635</v>
      </c>
      <c r="BB685">
        <v>0.15999999642372131</v>
      </c>
      <c r="BC685">
        <v>392500</v>
      </c>
      <c r="BD685" t="s">
        <v>31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392500</v>
      </c>
      <c r="BK685" t="s">
        <v>25</v>
      </c>
      <c r="BL685" t="s">
        <v>1010</v>
      </c>
      <c r="BM685">
        <v>30</v>
      </c>
      <c r="BN685">
        <v>2452635</v>
      </c>
      <c r="BO685">
        <v>3.9999999105930328E-2</v>
      </c>
      <c r="BP685">
        <v>98200</v>
      </c>
      <c r="BQ685">
        <v>0</v>
      </c>
      <c r="BS685">
        <v>0</v>
      </c>
      <c r="BU685">
        <v>0</v>
      </c>
      <c r="BV685" t="s">
        <v>25</v>
      </c>
      <c r="BW685" t="s">
        <v>189</v>
      </c>
      <c r="BX685">
        <v>30</v>
      </c>
      <c r="BY685">
        <v>2452635</v>
      </c>
      <c r="BZ685">
        <v>6.9600000977516174E-2</v>
      </c>
      <c r="CA685" t="s">
        <v>1439</v>
      </c>
      <c r="CB685" t="s">
        <v>312</v>
      </c>
      <c r="CC685" t="s">
        <v>1440</v>
      </c>
      <c r="CD685">
        <v>170800</v>
      </c>
      <c r="CE685">
        <v>30</v>
      </c>
      <c r="CF685" t="s">
        <v>466</v>
      </c>
      <c r="CG685">
        <v>2452635</v>
      </c>
      <c r="CH685">
        <v>3.9999999105930328E-2</v>
      </c>
      <c r="CI685">
        <v>98200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 t="s">
        <v>88</v>
      </c>
      <c r="CT685" t="s">
        <v>142</v>
      </c>
      <c r="CU685" t="s">
        <v>1442</v>
      </c>
    </row>
    <row r="686" spans="1:99">
      <c r="A686" t="s">
        <v>3047</v>
      </c>
      <c r="B686" t="s">
        <v>90</v>
      </c>
      <c r="C686" t="s">
        <v>1567</v>
      </c>
      <c r="D686" t="s">
        <v>1568</v>
      </c>
      <c r="E686" t="s">
        <v>1569</v>
      </c>
      <c r="F686" t="s">
        <v>1555</v>
      </c>
      <c r="G686" t="s">
        <v>1570</v>
      </c>
      <c r="H686" t="s">
        <v>1571</v>
      </c>
      <c r="I686" t="s">
        <v>921</v>
      </c>
      <c r="J686" t="s">
        <v>425</v>
      </c>
      <c r="K686" t="s">
        <v>29</v>
      </c>
      <c r="L686" t="s">
        <v>30</v>
      </c>
      <c r="M686">
        <v>0</v>
      </c>
      <c r="N686" t="s">
        <v>32</v>
      </c>
      <c r="O686" t="s">
        <v>32</v>
      </c>
      <c r="Q686" t="s">
        <v>32</v>
      </c>
      <c r="S686" t="s">
        <v>32</v>
      </c>
      <c r="U686" t="s">
        <v>32</v>
      </c>
      <c r="V686" t="s">
        <v>32</v>
      </c>
      <c r="W686" t="s">
        <v>32</v>
      </c>
      <c r="X686" t="s">
        <v>32</v>
      </c>
      <c r="Y686" t="s">
        <v>32</v>
      </c>
      <c r="AA686" t="s">
        <v>32</v>
      </c>
      <c r="AB686" t="s">
        <v>32</v>
      </c>
      <c r="AE686" t="s">
        <v>32</v>
      </c>
      <c r="AH686" t="s">
        <v>32</v>
      </c>
      <c r="AK686" t="s">
        <v>128</v>
      </c>
      <c r="AL686">
        <v>46069</v>
      </c>
      <c r="AM686">
        <v>46075</v>
      </c>
      <c r="AN686" t="s">
        <v>32</v>
      </c>
      <c r="AO686" t="s">
        <v>32</v>
      </c>
      <c r="AR686">
        <v>0</v>
      </c>
      <c r="AU686" t="s">
        <v>32</v>
      </c>
      <c r="AV686">
        <v>7656636</v>
      </c>
      <c r="AW686" t="s">
        <v>32</v>
      </c>
      <c r="AX686" t="s">
        <v>32</v>
      </c>
      <c r="AY686" t="s">
        <v>393</v>
      </c>
      <c r="AZ686">
        <v>7</v>
      </c>
      <c r="BA686">
        <v>1786549</v>
      </c>
      <c r="BB686">
        <v>0.15999999642372131</v>
      </c>
      <c r="BC686">
        <v>285900</v>
      </c>
      <c r="BD686" t="s">
        <v>31</v>
      </c>
      <c r="BE686">
        <v>0</v>
      </c>
      <c r="BF686">
        <v>0</v>
      </c>
      <c r="BG686">
        <v>9000</v>
      </c>
      <c r="BH686">
        <v>9000</v>
      </c>
      <c r="BI686">
        <v>0</v>
      </c>
      <c r="BJ686">
        <v>303900</v>
      </c>
      <c r="BK686" t="s">
        <v>25</v>
      </c>
      <c r="BL686" t="s">
        <v>1071</v>
      </c>
      <c r="BM686">
        <v>7</v>
      </c>
      <c r="BN686">
        <v>1786549</v>
      </c>
      <c r="BO686">
        <v>3.9999999105930328E-2</v>
      </c>
      <c r="BP686">
        <v>71500</v>
      </c>
      <c r="BQ686">
        <v>0</v>
      </c>
      <c r="BS686">
        <v>0</v>
      </c>
      <c r="BU686">
        <v>0</v>
      </c>
      <c r="BV686" t="s">
        <v>25</v>
      </c>
      <c r="BW686" t="s">
        <v>189</v>
      </c>
      <c r="BX686">
        <v>7</v>
      </c>
      <c r="BY686">
        <v>1786549</v>
      </c>
      <c r="BZ686">
        <v>0</v>
      </c>
      <c r="CA686" t="s">
        <v>1439</v>
      </c>
      <c r="CB686" t="s">
        <v>1572</v>
      </c>
      <c r="CC686" t="s">
        <v>1440</v>
      </c>
      <c r="CD686">
        <v>0</v>
      </c>
      <c r="CE686">
        <v>7</v>
      </c>
      <c r="CF686" t="s">
        <v>585</v>
      </c>
      <c r="CG686">
        <v>1786549</v>
      </c>
      <c r="CH686">
        <v>3.9999999105930328E-2</v>
      </c>
      <c r="CI686">
        <v>71500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 t="s">
        <v>88</v>
      </c>
      <c r="CT686" t="s">
        <v>142</v>
      </c>
      <c r="CU686" t="s">
        <v>1442</v>
      </c>
    </row>
    <row r="687" spans="1:99">
      <c r="A687" t="s">
        <v>3047</v>
      </c>
      <c r="B687" t="s">
        <v>90</v>
      </c>
      <c r="C687" t="s">
        <v>1567</v>
      </c>
      <c r="D687" t="s">
        <v>1568</v>
      </c>
      <c r="E687" t="s">
        <v>1569</v>
      </c>
      <c r="F687" t="s">
        <v>1555</v>
      </c>
      <c r="G687" t="s">
        <v>1570</v>
      </c>
      <c r="H687" t="s">
        <v>1571</v>
      </c>
      <c r="I687" t="s">
        <v>921</v>
      </c>
      <c r="J687" t="s">
        <v>425</v>
      </c>
      <c r="K687" t="s">
        <v>29</v>
      </c>
      <c r="L687" t="s">
        <v>30</v>
      </c>
      <c r="M687">
        <v>135</v>
      </c>
      <c r="N687" t="s">
        <v>32</v>
      </c>
      <c r="O687" t="s">
        <v>32</v>
      </c>
      <c r="Q687" t="s">
        <v>32</v>
      </c>
      <c r="S687" t="s">
        <v>32</v>
      </c>
      <c r="U687" t="s">
        <v>32</v>
      </c>
      <c r="V687" t="s">
        <v>32</v>
      </c>
      <c r="W687" t="s">
        <v>32</v>
      </c>
      <c r="X687" t="s">
        <v>32</v>
      </c>
      <c r="Y687" t="s">
        <v>88</v>
      </c>
      <c r="Z687">
        <v>46054</v>
      </c>
      <c r="AA687" t="s">
        <v>88</v>
      </c>
      <c r="AB687" t="s">
        <v>32</v>
      </c>
      <c r="AE687" t="s">
        <v>32</v>
      </c>
      <c r="AH687" t="s">
        <v>32</v>
      </c>
      <c r="AK687" t="s">
        <v>32</v>
      </c>
      <c r="AN687" t="s">
        <v>32</v>
      </c>
      <c r="AO687" t="s">
        <v>32</v>
      </c>
      <c r="AR687">
        <v>0</v>
      </c>
      <c r="AU687" t="s">
        <v>32</v>
      </c>
      <c r="AV687">
        <v>7656636</v>
      </c>
      <c r="AW687" t="s">
        <v>32</v>
      </c>
      <c r="AX687" t="s">
        <v>32</v>
      </c>
      <c r="AY687" t="s">
        <v>393</v>
      </c>
      <c r="AZ687">
        <v>23</v>
      </c>
      <c r="BA687">
        <v>5870088</v>
      </c>
      <c r="BB687">
        <v>0.15999999642372131</v>
      </c>
      <c r="BC687">
        <v>939300</v>
      </c>
      <c r="BD687" t="s">
        <v>31</v>
      </c>
      <c r="BE687">
        <v>0</v>
      </c>
      <c r="BF687">
        <v>0</v>
      </c>
      <c r="BG687">
        <v>29400</v>
      </c>
      <c r="BH687">
        <v>29400</v>
      </c>
      <c r="BI687">
        <v>0</v>
      </c>
      <c r="BJ687">
        <v>998100</v>
      </c>
      <c r="BK687" t="s">
        <v>25</v>
      </c>
      <c r="BL687" t="s">
        <v>1071</v>
      </c>
      <c r="BM687">
        <v>23</v>
      </c>
      <c r="BN687">
        <v>5870088</v>
      </c>
      <c r="BO687">
        <v>3.9999999105930328E-2</v>
      </c>
      <c r="BP687">
        <v>234900</v>
      </c>
      <c r="BQ687">
        <v>0</v>
      </c>
      <c r="BS687">
        <v>0</v>
      </c>
      <c r="BU687">
        <v>0</v>
      </c>
      <c r="BV687" t="s">
        <v>25</v>
      </c>
      <c r="BW687" t="s">
        <v>189</v>
      </c>
      <c r="BX687">
        <v>23</v>
      </c>
      <c r="BY687">
        <v>5870088</v>
      </c>
      <c r="BZ687">
        <v>6.9600000977516174E-2</v>
      </c>
      <c r="CA687" t="s">
        <v>1439</v>
      </c>
      <c r="CB687" t="s">
        <v>1572</v>
      </c>
      <c r="CC687" t="s">
        <v>1440</v>
      </c>
      <c r="CD687">
        <v>408600</v>
      </c>
      <c r="CE687">
        <v>23</v>
      </c>
      <c r="CF687" t="s">
        <v>585</v>
      </c>
      <c r="CG687">
        <v>5870088</v>
      </c>
      <c r="CH687">
        <v>3.9999999105930328E-2</v>
      </c>
      <c r="CI687">
        <v>234900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 t="s">
        <v>88</v>
      </c>
      <c r="CT687" t="s">
        <v>142</v>
      </c>
      <c r="CU687" t="s">
        <v>1442</v>
      </c>
    </row>
    <row r="688" spans="1:99">
      <c r="A688" t="s">
        <v>3047</v>
      </c>
      <c r="B688" t="s">
        <v>34</v>
      </c>
      <c r="C688" t="s">
        <v>1573</v>
      </c>
      <c r="D688" t="s">
        <v>1574</v>
      </c>
      <c r="E688" t="s">
        <v>1472</v>
      </c>
      <c r="F688" t="s">
        <v>1575</v>
      </c>
      <c r="G688" t="s">
        <v>1478</v>
      </c>
      <c r="H688" t="s">
        <v>1548</v>
      </c>
      <c r="I688" t="s">
        <v>240</v>
      </c>
      <c r="J688" t="s">
        <v>46</v>
      </c>
      <c r="K688" t="s">
        <v>29</v>
      </c>
      <c r="L688" t="s">
        <v>30</v>
      </c>
      <c r="M688">
        <v>74</v>
      </c>
      <c r="N688" t="s">
        <v>32</v>
      </c>
      <c r="O688" t="s">
        <v>32</v>
      </c>
      <c r="Q688" t="s">
        <v>40</v>
      </c>
      <c r="R688">
        <v>46071</v>
      </c>
      <c r="S688" t="s">
        <v>32</v>
      </c>
      <c r="U688" t="s">
        <v>32</v>
      </c>
      <c r="V688" t="s">
        <v>32</v>
      </c>
      <c r="W688" t="s">
        <v>32</v>
      </c>
      <c r="X688" t="s">
        <v>32</v>
      </c>
      <c r="Y688" t="s">
        <v>32</v>
      </c>
      <c r="AA688" t="s">
        <v>88</v>
      </c>
      <c r="AB688" t="s">
        <v>32</v>
      </c>
      <c r="AE688" t="s">
        <v>32</v>
      </c>
      <c r="AH688" t="s">
        <v>32</v>
      </c>
      <c r="AK688" t="s">
        <v>32</v>
      </c>
      <c r="AN688" t="s">
        <v>32</v>
      </c>
      <c r="AO688" t="s">
        <v>32</v>
      </c>
      <c r="AR688">
        <v>0</v>
      </c>
      <c r="AU688" t="s">
        <v>32</v>
      </c>
      <c r="AV688">
        <v>2074908</v>
      </c>
      <c r="AW688" t="s">
        <v>32</v>
      </c>
      <c r="AX688" t="s">
        <v>32</v>
      </c>
      <c r="AY688" t="s">
        <v>356</v>
      </c>
      <c r="AZ688">
        <v>13</v>
      </c>
      <c r="BA688">
        <v>922706</v>
      </c>
      <c r="BB688">
        <v>0.15999999642372131</v>
      </c>
      <c r="BC688">
        <v>147700</v>
      </c>
      <c r="BD688" t="s">
        <v>31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147700</v>
      </c>
      <c r="BK688" t="s">
        <v>25</v>
      </c>
      <c r="BL688" t="s">
        <v>635</v>
      </c>
      <c r="BM688">
        <v>13</v>
      </c>
      <c r="BN688">
        <v>922706</v>
      </c>
      <c r="BO688">
        <v>3.9999999105930328E-2</v>
      </c>
      <c r="BP688">
        <v>37000</v>
      </c>
      <c r="BQ688">
        <v>0</v>
      </c>
      <c r="BS688">
        <v>0</v>
      </c>
      <c r="BU688">
        <v>0</v>
      </c>
      <c r="BV688" t="s">
        <v>25</v>
      </c>
      <c r="BW688" t="s">
        <v>189</v>
      </c>
      <c r="BX688">
        <v>13</v>
      </c>
      <c r="BY688">
        <v>922706</v>
      </c>
      <c r="BZ688">
        <v>6.9600000977516174E-2</v>
      </c>
      <c r="CA688" t="s">
        <v>1439</v>
      </c>
      <c r="CB688" t="s">
        <v>227</v>
      </c>
      <c r="CC688" t="s">
        <v>1440</v>
      </c>
      <c r="CD688">
        <v>64300</v>
      </c>
      <c r="CE688">
        <v>13</v>
      </c>
      <c r="CF688" t="s">
        <v>635</v>
      </c>
      <c r="CG688">
        <v>922706</v>
      </c>
      <c r="CH688">
        <v>3.9999999105930328E-2</v>
      </c>
      <c r="CI688">
        <v>37000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 t="s">
        <v>88</v>
      </c>
      <c r="CT688" t="s">
        <v>142</v>
      </c>
      <c r="CU688" t="s">
        <v>1442</v>
      </c>
    </row>
    <row r="689" spans="1:99">
      <c r="A689" t="s">
        <v>3047</v>
      </c>
      <c r="B689" t="s">
        <v>34</v>
      </c>
      <c r="C689" t="s">
        <v>1576</v>
      </c>
      <c r="D689" t="s">
        <v>1577</v>
      </c>
      <c r="E689" t="s">
        <v>1488</v>
      </c>
      <c r="F689" t="s">
        <v>1471</v>
      </c>
      <c r="G689" t="s">
        <v>1578</v>
      </c>
      <c r="H689" t="s">
        <v>1579</v>
      </c>
      <c r="I689" t="s">
        <v>240</v>
      </c>
      <c r="J689" t="s">
        <v>46</v>
      </c>
      <c r="K689" t="s">
        <v>29</v>
      </c>
      <c r="L689" t="s">
        <v>30</v>
      </c>
      <c r="M689">
        <v>74</v>
      </c>
      <c r="N689" t="s">
        <v>32</v>
      </c>
      <c r="O689" t="s">
        <v>32</v>
      </c>
      <c r="Q689" t="s">
        <v>40</v>
      </c>
      <c r="R689">
        <v>46071</v>
      </c>
      <c r="S689" t="s">
        <v>32</v>
      </c>
      <c r="U689" t="s">
        <v>32</v>
      </c>
      <c r="V689" t="s">
        <v>32</v>
      </c>
      <c r="W689" t="s">
        <v>32</v>
      </c>
      <c r="X689" t="s">
        <v>32</v>
      </c>
      <c r="Y689" t="s">
        <v>32</v>
      </c>
      <c r="AA689" t="s">
        <v>88</v>
      </c>
      <c r="AB689" t="s">
        <v>32</v>
      </c>
      <c r="AE689" t="s">
        <v>32</v>
      </c>
      <c r="AH689" t="s">
        <v>32</v>
      </c>
      <c r="AK689" t="s">
        <v>32</v>
      </c>
      <c r="AN689" t="s">
        <v>32</v>
      </c>
      <c r="AO689" t="s">
        <v>32</v>
      </c>
      <c r="AR689">
        <v>0</v>
      </c>
      <c r="AU689" t="s">
        <v>32</v>
      </c>
      <c r="AV689">
        <v>1785595</v>
      </c>
      <c r="AW689" t="s">
        <v>32</v>
      </c>
      <c r="AX689" t="s">
        <v>32</v>
      </c>
      <c r="AY689" t="s">
        <v>185</v>
      </c>
      <c r="AZ689">
        <v>13</v>
      </c>
      <c r="BA689">
        <v>794049</v>
      </c>
      <c r="BB689">
        <v>0.15999999642372131</v>
      </c>
      <c r="BC689">
        <v>127100</v>
      </c>
      <c r="BD689" t="s">
        <v>31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127100</v>
      </c>
      <c r="BK689" t="s">
        <v>25</v>
      </c>
      <c r="BL689" t="s">
        <v>1010</v>
      </c>
      <c r="BM689">
        <v>13</v>
      </c>
      <c r="BN689">
        <v>794049</v>
      </c>
      <c r="BO689">
        <v>3.9999999105930328E-2</v>
      </c>
      <c r="BP689">
        <v>31800</v>
      </c>
      <c r="BQ689">
        <v>0</v>
      </c>
      <c r="BS689">
        <v>0</v>
      </c>
      <c r="BU689">
        <v>0</v>
      </c>
      <c r="BV689" t="s">
        <v>25</v>
      </c>
      <c r="BW689" t="s">
        <v>189</v>
      </c>
      <c r="BX689">
        <v>13</v>
      </c>
      <c r="BY689">
        <v>794049</v>
      </c>
      <c r="BZ689">
        <v>6.9600000977516174E-2</v>
      </c>
      <c r="CA689" t="s">
        <v>1439</v>
      </c>
      <c r="CB689" t="s">
        <v>227</v>
      </c>
      <c r="CC689" t="s">
        <v>1440</v>
      </c>
      <c r="CD689">
        <v>55300</v>
      </c>
      <c r="CE689">
        <v>13</v>
      </c>
      <c r="CF689" t="s">
        <v>635</v>
      </c>
      <c r="CG689">
        <v>794049</v>
      </c>
      <c r="CH689">
        <v>3.9999999105930328E-2</v>
      </c>
      <c r="CI689">
        <v>31800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 t="s">
        <v>88</v>
      </c>
      <c r="CT689" t="s">
        <v>142</v>
      </c>
      <c r="CU689" t="s">
        <v>1442</v>
      </c>
    </row>
    <row r="690" spans="1:99">
      <c r="A690" t="s">
        <v>3047</v>
      </c>
      <c r="B690" t="s">
        <v>34</v>
      </c>
      <c r="C690" t="s">
        <v>1580</v>
      </c>
      <c r="D690" t="s">
        <v>1581</v>
      </c>
      <c r="E690" t="s">
        <v>1102</v>
      </c>
      <c r="F690" t="s">
        <v>1582</v>
      </c>
      <c r="G690" t="s">
        <v>1583</v>
      </c>
      <c r="H690" t="s">
        <v>1584</v>
      </c>
      <c r="I690" t="s">
        <v>240</v>
      </c>
      <c r="J690" t="s">
        <v>46</v>
      </c>
      <c r="K690" t="s">
        <v>29</v>
      </c>
      <c r="L690" t="s">
        <v>30</v>
      </c>
      <c r="M690">
        <v>0</v>
      </c>
      <c r="N690" t="s">
        <v>32</v>
      </c>
      <c r="O690" t="s">
        <v>32</v>
      </c>
      <c r="Q690" t="s">
        <v>32</v>
      </c>
      <c r="S690" t="s">
        <v>32</v>
      </c>
      <c r="U690" t="s">
        <v>32</v>
      </c>
      <c r="V690" t="s">
        <v>32</v>
      </c>
      <c r="W690" t="s">
        <v>32</v>
      </c>
      <c r="X690" t="s">
        <v>32</v>
      </c>
      <c r="Y690" t="s">
        <v>32</v>
      </c>
      <c r="AA690" t="s">
        <v>32</v>
      </c>
      <c r="AB690" t="s">
        <v>32</v>
      </c>
      <c r="AE690" t="s">
        <v>32</v>
      </c>
      <c r="AH690" t="s">
        <v>32</v>
      </c>
      <c r="AK690" t="s">
        <v>128</v>
      </c>
      <c r="AL690">
        <v>46054</v>
      </c>
      <c r="AM690">
        <v>46054</v>
      </c>
      <c r="AN690" t="s">
        <v>32</v>
      </c>
      <c r="AO690" t="s">
        <v>32</v>
      </c>
      <c r="AR690">
        <v>0</v>
      </c>
      <c r="AU690" t="s">
        <v>32</v>
      </c>
      <c r="AV690">
        <v>8150490</v>
      </c>
      <c r="AW690" t="s">
        <v>32</v>
      </c>
      <c r="AX690" t="s">
        <v>32</v>
      </c>
      <c r="AY690" t="s">
        <v>356</v>
      </c>
      <c r="AZ690">
        <v>1</v>
      </c>
      <c r="BA690">
        <v>271683</v>
      </c>
      <c r="BB690">
        <v>0.15999999642372131</v>
      </c>
      <c r="BC690">
        <v>43500</v>
      </c>
      <c r="BD690" t="s">
        <v>31</v>
      </c>
      <c r="BE690">
        <v>0</v>
      </c>
      <c r="BF690">
        <v>0</v>
      </c>
      <c r="BG690">
        <v>1400</v>
      </c>
      <c r="BH690">
        <v>1400</v>
      </c>
      <c r="BI690">
        <v>0</v>
      </c>
      <c r="BJ690">
        <v>46300</v>
      </c>
      <c r="BK690" t="s">
        <v>25</v>
      </c>
      <c r="BL690" t="s">
        <v>870</v>
      </c>
      <c r="BM690">
        <v>1</v>
      </c>
      <c r="BN690">
        <v>271683</v>
      </c>
      <c r="BO690">
        <v>3.9999999105930328E-2</v>
      </c>
      <c r="BP690">
        <v>10900</v>
      </c>
      <c r="BQ690">
        <v>0</v>
      </c>
      <c r="BS690">
        <v>0</v>
      </c>
      <c r="BU690">
        <v>0</v>
      </c>
      <c r="BV690" t="s">
        <v>25</v>
      </c>
      <c r="BW690" t="s">
        <v>189</v>
      </c>
      <c r="BX690">
        <v>1</v>
      </c>
      <c r="BY690">
        <v>271683</v>
      </c>
      <c r="BZ690">
        <v>0</v>
      </c>
      <c r="CA690" t="s">
        <v>1439</v>
      </c>
      <c r="CB690" t="s">
        <v>227</v>
      </c>
      <c r="CC690" t="s">
        <v>1440</v>
      </c>
      <c r="CD690">
        <v>0</v>
      </c>
      <c r="CE690">
        <v>1</v>
      </c>
      <c r="CF690" t="s">
        <v>635</v>
      </c>
      <c r="CG690">
        <v>271683</v>
      </c>
      <c r="CH690">
        <v>3.9999999105930328E-2</v>
      </c>
      <c r="CI690">
        <v>10900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 t="s">
        <v>88</v>
      </c>
      <c r="CT690" t="s">
        <v>142</v>
      </c>
      <c r="CU690" t="s">
        <v>1442</v>
      </c>
    </row>
    <row r="691" spans="1:99">
      <c r="A691" t="s">
        <v>3047</v>
      </c>
      <c r="B691" t="s">
        <v>34</v>
      </c>
      <c r="C691" t="s">
        <v>1580</v>
      </c>
      <c r="D691" t="s">
        <v>1581</v>
      </c>
      <c r="E691" t="s">
        <v>1102</v>
      </c>
      <c r="F691" t="s">
        <v>1582</v>
      </c>
      <c r="G691" t="s">
        <v>1583</v>
      </c>
      <c r="H691" t="s">
        <v>1584</v>
      </c>
      <c r="I691" t="s">
        <v>240</v>
      </c>
      <c r="J691" t="s">
        <v>46</v>
      </c>
      <c r="K691" t="s">
        <v>29</v>
      </c>
      <c r="L691" t="s">
        <v>30</v>
      </c>
      <c r="M691">
        <v>0</v>
      </c>
      <c r="N691" t="s">
        <v>32</v>
      </c>
      <c r="O691" t="s">
        <v>32</v>
      </c>
      <c r="Q691" t="s">
        <v>32</v>
      </c>
      <c r="S691" t="s">
        <v>32</v>
      </c>
      <c r="U691" t="s">
        <v>32</v>
      </c>
      <c r="V691" t="s">
        <v>32</v>
      </c>
      <c r="W691" t="s">
        <v>32</v>
      </c>
      <c r="X691" t="s">
        <v>32</v>
      </c>
      <c r="Y691" t="s">
        <v>32</v>
      </c>
      <c r="AA691" t="s">
        <v>32</v>
      </c>
      <c r="AB691" t="s">
        <v>32</v>
      </c>
      <c r="AE691" t="s">
        <v>32</v>
      </c>
      <c r="AH691" t="s">
        <v>32</v>
      </c>
      <c r="AK691" t="s">
        <v>128</v>
      </c>
      <c r="AL691">
        <v>46069</v>
      </c>
      <c r="AM691">
        <v>46069</v>
      </c>
      <c r="AN691" t="s">
        <v>32</v>
      </c>
      <c r="AO691" t="s">
        <v>32</v>
      </c>
      <c r="AR691">
        <v>0</v>
      </c>
      <c r="AU691" t="s">
        <v>32</v>
      </c>
      <c r="AV691">
        <v>8150490</v>
      </c>
      <c r="AW691" t="s">
        <v>32</v>
      </c>
      <c r="AX691" t="s">
        <v>32</v>
      </c>
      <c r="AY691" t="s">
        <v>356</v>
      </c>
      <c r="AZ691">
        <v>1</v>
      </c>
      <c r="BA691">
        <v>271683</v>
      </c>
      <c r="BB691">
        <v>0.15999999642372131</v>
      </c>
      <c r="BC691">
        <v>43500</v>
      </c>
      <c r="BD691" t="s">
        <v>31</v>
      </c>
      <c r="BE691">
        <v>0</v>
      </c>
      <c r="BF691">
        <v>0</v>
      </c>
      <c r="BG691">
        <v>1400</v>
      </c>
      <c r="BH691">
        <v>1400</v>
      </c>
      <c r="BI691">
        <v>0</v>
      </c>
      <c r="BJ691">
        <v>46300</v>
      </c>
      <c r="BK691" t="s">
        <v>25</v>
      </c>
      <c r="BL691" t="s">
        <v>870</v>
      </c>
      <c r="BM691">
        <v>1</v>
      </c>
      <c r="BN691">
        <v>271683</v>
      </c>
      <c r="BO691">
        <v>3.9999999105930328E-2</v>
      </c>
      <c r="BP691">
        <v>10900</v>
      </c>
      <c r="BQ691">
        <v>0</v>
      </c>
      <c r="BS691">
        <v>0</v>
      </c>
      <c r="BU691">
        <v>0</v>
      </c>
      <c r="BV691" t="s">
        <v>25</v>
      </c>
      <c r="BW691" t="s">
        <v>189</v>
      </c>
      <c r="BX691">
        <v>1</v>
      </c>
      <c r="BY691">
        <v>271683</v>
      </c>
      <c r="BZ691">
        <v>0</v>
      </c>
      <c r="CA691" t="s">
        <v>1439</v>
      </c>
      <c r="CB691" t="s">
        <v>227</v>
      </c>
      <c r="CC691" t="s">
        <v>1440</v>
      </c>
      <c r="CD691">
        <v>0</v>
      </c>
      <c r="CE691">
        <v>1</v>
      </c>
      <c r="CF691" t="s">
        <v>635</v>
      </c>
      <c r="CG691">
        <v>271683</v>
      </c>
      <c r="CH691">
        <v>3.9999999105930328E-2</v>
      </c>
      <c r="CI691">
        <v>10900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 t="s">
        <v>88</v>
      </c>
      <c r="CT691" t="s">
        <v>142</v>
      </c>
      <c r="CU691" t="s">
        <v>1442</v>
      </c>
    </row>
    <row r="692" spans="1:99">
      <c r="A692" t="s">
        <v>3047</v>
      </c>
      <c r="B692" t="s">
        <v>34</v>
      </c>
      <c r="C692" t="s">
        <v>1580</v>
      </c>
      <c r="D692" t="s">
        <v>1581</v>
      </c>
      <c r="E692" t="s">
        <v>1102</v>
      </c>
      <c r="F692" t="s">
        <v>1582</v>
      </c>
      <c r="G692" t="s">
        <v>1583</v>
      </c>
      <c r="H692" t="s">
        <v>1584</v>
      </c>
      <c r="I692" t="s">
        <v>240</v>
      </c>
      <c r="J692" t="s">
        <v>46</v>
      </c>
      <c r="K692" t="s">
        <v>29</v>
      </c>
      <c r="L692" t="s">
        <v>30</v>
      </c>
      <c r="M692">
        <v>171</v>
      </c>
      <c r="N692" t="s">
        <v>32</v>
      </c>
      <c r="O692" t="s">
        <v>32</v>
      </c>
      <c r="Q692" t="s">
        <v>32</v>
      </c>
      <c r="S692" t="s">
        <v>32</v>
      </c>
      <c r="U692" t="s">
        <v>32</v>
      </c>
      <c r="V692" t="s">
        <v>32</v>
      </c>
      <c r="W692" t="s">
        <v>32</v>
      </c>
      <c r="X692" t="s">
        <v>32</v>
      </c>
      <c r="Y692" t="s">
        <v>88</v>
      </c>
      <c r="Z692">
        <v>46054</v>
      </c>
      <c r="AA692" t="s">
        <v>88</v>
      </c>
      <c r="AB692" t="s">
        <v>32</v>
      </c>
      <c r="AE692" t="s">
        <v>32</v>
      </c>
      <c r="AH692" t="s">
        <v>32</v>
      </c>
      <c r="AK692" t="s">
        <v>32</v>
      </c>
      <c r="AN692" t="s">
        <v>32</v>
      </c>
      <c r="AO692" t="s">
        <v>32</v>
      </c>
      <c r="AR692">
        <v>0</v>
      </c>
      <c r="AU692" t="s">
        <v>32</v>
      </c>
      <c r="AV692">
        <v>8150490</v>
      </c>
      <c r="AW692" t="s">
        <v>32</v>
      </c>
      <c r="AX692" t="s">
        <v>32</v>
      </c>
      <c r="AY692" t="s">
        <v>356</v>
      </c>
      <c r="AZ692">
        <v>28</v>
      </c>
      <c r="BA692">
        <v>7844229</v>
      </c>
      <c r="BB692">
        <v>0.15999999642372131</v>
      </c>
      <c r="BC692">
        <v>1255100</v>
      </c>
      <c r="BD692" t="s">
        <v>31</v>
      </c>
      <c r="BE692">
        <v>0</v>
      </c>
      <c r="BF692">
        <v>0</v>
      </c>
      <c r="BG692">
        <v>39300</v>
      </c>
      <c r="BH692">
        <v>39300</v>
      </c>
      <c r="BI692">
        <v>0</v>
      </c>
      <c r="BJ692">
        <v>1333700</v>
      </c>
      <c r="BK692" t="s">
        <v>25</v>
      </c>
      <c r="BL692" t="s">
        <v>870</v>
      </c>
      <c r="BM692">
        <v>28</v>
      </c>
      <c r="BN692">
        <v>7844229</v>
      </c>
      <c r="BO692">
        <v>3.9999999105930328E-2</v>
      </c>
      <c r="BP692">
        <v>313800</v>
      </c>
      <c r="BQ692">
        <v>0</v>
      </c>
      <c r="BS692">
        <v>0</v>
      </c>
      <c r="BU692">
        <v>0</v>
      </c>
      <c r="BV692" t="s">
        <v>25</v>
      </c>
      <c r="BW692" t="s">
        <v>189</v>
      </c>
      <c r="BX692">
        <v>28</v>
      </c>
      <c r="BY692">
        <v>7844229</v>
      </c>
      <c r="BZ692">
        <v>6.9600000977516174E-2</v>
      </c>
      <c r="CA692" t="s">
        <v>1439</v>
      </c>
      <c r="CB692" t="s">
        <v>227</v>
      </c>
      <c r="CC692" t="s">
        <v>1440</v>
      </c>
      <c r="CD692">
        <v>546000</v>
      </c>
      <c r="CE692">
        <v>28</v>
      </c>
      <c r="CF692" t="s">
        <v>635</v>
      </c>
      <c r="CG692">
        <v>7844229</v>
      </c>
      <c r="CH692">
        <v>3.9999999105930328E-2</v>
      </c>
      <c r="CI692">
        <v>313800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 t="s">
        <v>88</v>
      </c>
      <c r="CT692" t="s">
        <v>142</v>
      </c>
      <c r="CU692" t="s">
        <v>1442</v>
      </c>
    </row>
    <row r="693" spans="1:99">
      <c r="A693" t="s">
        <v>3047</v>
      </c>
      <c r="B693" t="s">
        <v>34</v>
      </c>
      <c r="C693" t="s">
        <v>1585</v>
      </c>
      <c r="D693" t="s">
        <v>1586</v>
      </c>
      <c r="E693" t="s">
        <v>1587</v>
      </c>
      <c r="F693" t="s">
        <v>1536</v>
      </c>
      <c r="G693" t="s">
        <v>1532</v>
      </c>
      <c r="H693" t="s">
        <v>1468</v>
      </c>
      <c r="I693" t="s">
        <v>240</v>
      </c>
      <c r="J693" t="s">
        <v>46</v>
      </c>
      <c r="K693" t="s">
        <v>29</v>
      </c>
      <c r="L693" t="s">
        <v>30</v>
      </c>
      <c r="M693">
        <v>180</v>
      </c>
      <c r="N693" t="s">
        <v>32</v>
      </c>
      <c r="O693" t="s">
        <v>32</v>
      </c>
      <c r="Q693" t="s">
        <v>32</v>
      </c>
      <c r="S693" t="s">
        <v>32</v>
      </c>
      <c r="U693" t="s">
        <v>32</v>
      </c>
      <c r="V693" t="s">
        <v>32</v>
      </c>
      <c r="W693" t="s">
        <v>32</v>
      </c>
      <c r="X693" t="s">
        <v>32</v>
      </c>
      <c r="Y693" t="s">
        <v>32</v>
      </c>
      <c r="AA693" t="s">
        <v>88</v>
      </c>
      <c r="AB693" t="s">
        <v>32</v>
      </c>
      <c r="AE693" t="s">
        <v>32</v>
      </c>
      <c r="AH693" t="s">
        <v>32</v>
      </c>
      <c r="AK693" t="s">
        <v>32</v>
      </c>
      <c r="AN693" t="s">
        <v>32</v>
      </c>
      <c r="AO693" t="s">
        <v>32</v>
      </c>
      <c r="AR693">
        <v>0</v>
      </c>
      <c r="AU693" t="s">
        <v>32</v>
      </c>
      <c r="AV693">
        <v>3637686</v>
      </c>
      <c r="AW693" t="s">
        <v>32</v>
      </c>
      <c r="AX693" t="s">
        <v>32</v>
      </c>
      <c r="AY693" t="s">
        <v>356</v>
      </c>
      <c r="AZ693">
        <v>30</v>
      </c>
      <c r="BA693">
        <v>3822877</v>
      </c>
      <c r="BB693">
        <v>0.15999999642372131</v>
      </c>
      <c r="BC693">
        <v>611700</v>
      </c>
      <c r="BD693" t="s">
        <v>31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611700</v>
      </c>
      <c r="BK693" t="s">
        <v>25</v>
      </c>
      <c r="BL693" t="s">
        <v>885</v>
      </c>
      <c r="BM693">
        <v>30</v>
      </c>
      <c r="BN693">
        <v>3822877</v>
      </c>
      <c r="BO693">
        <v>3.9999999105930328E-2</v>
      </c>
      <c r="BP693">
        <v>153000</v>
      </c>
      <c r="BQ693">
        <v>0</v>
      </c>
      <c r="BS693">
        <v>0</v>
      </c>
      <c r="BU693">
        <v>0</v>
      </c>
      <c r="BV693" t="s">
        <v>25</v>
      </c>
      <c r="BW693" t="s">
        <v>189</v>
      </c>
      <c r="BX693">
        <v>30</v>
      </c>
      <c r="BY693">
        <v>3822877</v>
      </c>
      <c r="BZ693">
        <v>6.9600000977516174E-2</v>
      </c>
      <c r="CA693" t="s">
        <v>1439</v>
      </c>
      <c r="CB693" t="s">
        <v>227</v>
      </c>
      <c r="CC693" t="s">
        <v>1440</v>
      </c>
      <c r="CD693">
        <v>266100</v>
      </c>
      <c r="CE693">
        <v>30</v>
      </c>
      <c r="CF693" t="s">
        <v>635</v>
      </c>
      <c r="CG693">
        <v>3822877</v>
      </c>
      <c r="CH693">
        <v>3.9999999105930328E-2</v>
      </c>
      <c r="CI693">
        <v>153000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 t="s">
        <v>88</v>
      </c>
      <c r="CT693" t="s">
        <v>142</v>
      </c>
      <c r="CU693" t="s">
        <v>1442</v>
      </c>
    </row>
    <row r="694" spans="1:99">
      <c r="A694" t="s">
        <v>3047</v>
      </c>
      <c r="B694" t="s">
        <v>34</v>
      </c>
      <c r="C694" t="s">
        <v>1588</v>
      </c>
      <c r="D694" t="s">
        <v>1589</v>
      </c>
      <c r="E694" t="s">
        <v>1507</v>
      </c>
      <c r="F694" t="s">
        <v>667</v>
      </c>
      <c r="G694" t="s">
        <v>1590</v>
      </c>
      <c r="H694" t="s">
        <v>1591</v>
      </c>
      <c r="I694" t="s">
        <v>240</v>
      </c>
      <c r="J694" t="s">
        <v>46</v>
      </c>
      <c r="K694" t="s">
        <v>29</v>
      </c>
      <c r="L694" t="s">
        <v>30</v>
      </c>
      <c r="M694">
        <v>188</v>
      </c>
      <c r="N694" t="s">
        <v>32</v>
      </c>
      <c r="O694" t="s">
        <v>32</v>
      </c>
      <c r="Q694" t="s">
        <v>32</v>
      </c>
      <c r="S694" t="s">
        <v>32</v>
      </c>
      <c r="U694" t="s">
        <v>32</v>
      </c>
      <c r="V694" t="s">
        <v>32</v>
      </c>
      <c r="W694" t="s">
        <v>32</v>
      </c>
      <c r="X694" t="s">
        <v>32</v>
      </c>
      <c r="Y694" t="s">
        <v>88</v>
      </c>
      <c r="Z694">
        <v>46054</v>
      </c>
      <c r="AA694" t="s">
        <v>88</v>
      </c>
      <c r="AB694" t="s">
        <v>32</v>
      </c>
      <c r="AE694" t="s">
        <v>32</v>
      </c>
      <c r="AH694" t="s">
        <v>32</v>
      </c>
      <c r="AK694" t="s">
        <v>32</v>
      </c>
      <c r="AN694" t="s">
        <v>32</v>
      </c>
      <c r="AO694" t="s">
        <v>32</v>
      </c>
      <c r="AR694">
        <v>0</v>
      </c>
      <c r="AU694" t="s">
        <v>32</v>
      </c>
      <c r="AV694">
        <v>2859404</v>
      </c>
      <c r="AW694" t="s">
        <v>32</v>
      </c>
      <c r="AX694" t="s">
        <v>32</v>
      </c>
      <c r="AY694" t="s">
        <v>356</v>
      </c>
      <c r="AZ694">
        <v>30</v>
      </c>
      <c r="BA694">
        <v>2859404</v>
      </c>
      <c r="BB694">
        <v>0.15999999642372131</v>
      </c>
      <c r="BC694">
        <v>457600</v>
      </c>
      <c r="BD694" t="s">
        <v>31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457600</v>
      </c>
      <c r="BK694" t="s">
        <v>25</v>
      </c>
      <c r="BL694" t="s">
        <v>1071</v>
      </c>
      <c r="BM694">
        <v>30</v>
      </c>
      <c r="BN694">
        <v>2859404</v>
      </c>
      <c r="BO694">
        <v>3.9999999105930328E-2</v>
      </c>
      <c r="BP694">
        <v>114400</v>
      </c>
      <c r="BQ694">
        <v>0</v>
      </c>
      <c r="BS694">
        <v>0</v>
      </c>
      <c r="BU694">
        <v>0</v>
      </c>
      <c r="BV694" t="s">
        <v>25</v>
      </c>
      <c r="BW694" t="s">
        <v>189</v>
      </c>
      <c r="BX694">
        <v>30</v>
      </c>
      <c r="BY694">
        <v>2859404</v>
      </c>
      <c r="BZ694">
        <v>5.2200001664459705E-3</v>
      </c>
      <c r="CA694" t="s">
        <v>1592</v>
      </c>
      <c r="CB694" t="s">
        <v>227</v>
      </c>
      <c r="CC694" t="s">
        <v>1593</v>
      </c>
      <c r="CD694">
        <v>15000</v>
      </c>
      <c r="CE694">
        <v>30</v>
      </c>
      <c r="CF694" t="s">
        <v>635</v>
      </c>
      <c r="CG694">
        <v>2859404</v>
      </c>
      <c r="CH694">
        <v>3.9999999105930328E-2</v>
      </c>
      <c r="CI694">
        <v>114400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 t="s">
        <v>88</v>
      </c>
      <c r="CT694" t="s">
        <v>142</v>
      </c>
      <c r="CU694" t="s">
        <v>1442</v>
      </c>
    </row>
    <row r="695" spans="1:99">
      <c r="A695" t="s">
        <v>3047</v>
      </c>
      <c r="B695" t="s">
        <v>34</v>
      </c>
      <c r="C695" t="s">
        <v>1594</v>
      </c>
      <c r="D695" t="s">
        <v>1595</v>
      </c>
      <c r="E695" t="s">
        <v>1596</v>
      </c>
      <c r="F695" t="s">
        <v>1597</v>
      </c>
      <c r="G695" t="s">
        <v>1513</v>
      </c>
      <c r="H695" t="s">
        <v>1598</v>
      </c>
      <c r="I695" t="s">
        <v>240</v>
      </c>
      <c r="J695" t="s">
        <v>46</v>
      </c>
      <c r="K695" t="s">
        <v>29</v>
      </c>
      <c r="L695" t="s">
        <v>30</v>
      </c>
      <c r="M695">
        <v>188</v>
      </c>
      <c r="N695" t="s">
        <v>32</v>
      </c>
      <c r="O695" t="s">
        <v>32</v>
      </c>
      <c r="Q695" t="s">
        <v>32</v>
      </c>
      <c r="S695" t="s">
        <v>32</v>
      </c>
      <c r="U695" t="s">
        <v>32</v>
      </c>
      <c r="V695" t="s">
        <v>32</v>
      </c>
      <c r="W695" t="s">
        <v>32</v>
      </c>
      <c r="X695" t="s">
        <v>32</v>
      </c>
      <c r="Y695" t="s">
        <v>32</v>
      </c>
      <c r="AA695" t="s">
        <v>88</v>
      </c>
      <c r="AB695" t="s">
        <v>32</v>
      </c>
      <c r="AE695" t="s">
        <v>32</v>
      </c>
      <c r="AH695" t="s">
        <v>32</v>
      </c>
      <c r="AK695" t="s">
        <v>32</v>
      </c>
      <c r="AN695" t="s">
        <v>32</v>
      </c>
      <c r="AO695" t="s">
        <v>32</v>
      </c>
      <c r="AR695">
        <v>0</v>
      </c>
      <c r="AU695" t="s">
        <v>32</v>
      </c>
      <c r="AV695">
        <v>8150490</v>
      </c>
      <c r="AW695" t="s">
        <v>32</v>
      </c>
      <c r="AX695" t="s">
        <v>32</v>
      </c>
      <c r="AY695" t="s">
        <v>317</v>
      </c>
      <c r="AZ695">
        <v>30</v>
      </c>
      <c r="BA695">
        <v>11436796</v>
      </c>
      <c r="BB695">
        <v>0.15999999642372131</v>
      </c>
      <c r="BC695">
        <v>1829900</v>
      </c>
      <c r="BD695" t="s">
        <v>31</v>
      </c>
      <c r="BE695">
        <v>0</v>
      </c>
      <c r="BF695">
        <v>0</v>
      </c>
      <c r="BG695">
        <v>57200</v>
      </c>
      <c r="BH695">
        <v>57200</v>
      </c>
      <c r="BI695">
        <v>0</v>
      </c>
      <c r="BJ695">
        <v>1944300</v>
      </c>
      <c r="BK695" t="s">
        <v>25</v>
      </c>
      <c r="BL695" t="s">
        <v>635</v>
      </c>
      <c r="BM695">
        <v>30</v>
      </c>
      <c r="BN695">
        <v>11436796</v>
      </c>
      <c r="BO695">
        <v>3.9999999105930328E-2</v>
      </c>
      <c r="BP695">
        <v>457500</v>
      </c>
      <c r="BQ695">
        <v>0</v>
      </c>
      <c r="BS695">
        <v>0</v>
      </c>
      <c r="BU695">
        <v>0</v>
      </c>
      <c r="BV695" t="s">
        <v>25</v>
      </c>
      <c r="BW695" t="s">
        <v>189</v>
      </c>
      <c r="BX695">
        <v>30</v>
      </c>
      <c r="BY695">
        <v>11436796</v>
      </c>
      <c r="BZ695">
        <v>6.9600000977516174E-2</v>
      </c>
      <c r="CA695" t="s">
        <v>1439</v>
      </c>
      <c r="CB695" t="s">
        <v>227</v>
      </c>
      <c r="CC695" t="s">
        <v>1440</v>
      </c>
      <c r="CD695">
        <v>796100</v>
      </c>
      <c r="CE695">
        <v>30</v>
      </c>
      <c r="CF695" t="s">
        <v>635</v>
      </c>
      <c r="CG695">
        <v>11436796</v>
      </c>
      <c r="CH695">
        <v>3.9999999105930328E-2</v>
      </c>
      <c r="CI695">
        <v>457500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 t="s">
        <v>88</v>
      </c>
      <c r="CT695" t="s">
        <v>142</v>
      </c>
      <c r="CU695" t="s">
        <v>1442</v>
      </c>
    </row>
    <row r="696" spans="1:99">
      <c r="A696" t="s">
        <v>3047</v>
      </c>
      <c r="B696" t="s">
        <v>34</v>
      </c>
      <c r="C696" t="s">
        <v>1599</v>
      </c>
      <c r="D696" t="s">
        <v>1600</v>
      </c>
      <c r="E696" t="s">
        <v>1601</v>
      </c>
      <c r="F696" t="s">
        <v>1602</v>
      </c>
      <c r="G696" t="s">
        <v>1603</v>
      </c>
      <c r="H696" t="s">
        <v>1558</v>
      </c>
      <c r="I696" t="s">
        <v>240</v>
      </c>
      <c r="J696" t="s">
        <v>46</v>
      </c>
      <c r="K696" t="s">
        <v>29</v>
      </c>
      <c r="L696" t="s">
        <v>30</v>
      </c>
      <c r="M696">
        <v>180</v>
      </c>
      <c r="N696" t="s">
        <v>32</v>
      </c>
      <c r="O696" t="s">
        <v>32</v>
      </c>
      <c r="Q696" t="s">
        <v>32</v>
      </c>
      <c r="S696" t="s">
        <v>32</v>
      </c>
      <c r="U696" t="s">
        <v>32</v>
      </c>
      <c r="V696" t="s">
        <v>32</v>
      </c>
      <c r="W696" t="s">
        <v>32</v>
      </c>
      <c r="X696" t="s">
        <v>32</v>
      </c>
      <c r="Y696" t="s">
        <v>88</v>
      </c>
      <c r="Z696">
        <v>46054</v>
      </c>
      <c r="AA696" t="s">
        <v>88</v>
      </c>
      <c r="AB696" t="s">
        <v>32</v>
      </c>
      <c r="AE696" t="s">
        <v>32</v>
      </c>
      <c r="AH696" t="s">
        <v>32</v>
      </c>
      <c r="AK696" t="s">
        <v>32</v>
      </c>
      <c r="AN696" t="s">
        <v>32</v>
      </c>
      <c r="AO696" t="s">
        <v>32</v>
      </c>
      <c r="AR696">
        <v>0</v>
      </c>
      <c r="AU696" t="s">
        <v>32</v>
      </c>
      <c r="AV696">
        <v>3660341</v>
      </c>
      <c r="AW696" t="s">
        <v>32</v>
      </c>
      <c r="AX696" t="s">
        <v>32</v>
      </c>
      <c r="AY696" t="s">
        <v>356</v>
      </c>
      <c r="AZ696">
        <v>30</v>
      </c>
      <c r="BA696">
        <v>3660341</v>
      </c>
      <c r="BB696">
        <v>0.15999999642372131</v>
      </c>
      <c r="BC696">
        <v>585700</v>
      </c>
      <c r="BD696" t="s">
        <v>31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585700</v>
      </c>
      <c r="BK696" t="s">
        <v>25</v>
      </c>
      <c r="BL696" t="s">
        <v>1071</v>
      </c>
      <c r="BM696">
        <v>30</v>
      </c>
      <c r="BN696">
        <v>3660341</v>
      </c>
      <c r="BO696">
        <v>3.9999999105930328E-2</v>
      </c>
      <c r="BP696">
        <v>146500</v>
      </c>
      <c r="BQ696">
        <v>0</v>
      </c>
      <c r="BS696">
        <v>0</v>
      </c>
      <c r="BU696">
        <v>0</v>
      </c>
      <c r="BV696" t="s">
        <v>25</v>
      </c>
      <c r="BW696" t="s">
        <v>189</v>
      </c>
      <c r="BX696">
        <v>30</v>
      </c>
      <c r="BY696">
        <v>3660341</v>
      </c>
      <c r="BZ696">
        <v>6.9600000977516174E-2</v>
      </c>
      <c r="CA696" t="s">
        <v>1439</v>
      </c>
      <c r="CB696" t="s">
        <v>227</v>
      </c>
      <c r="CC696" t="s">
        <v>1440</v>
      </c>
      <c r="CD696">
        <v>254800</v>
      </c>
      <c r="CE696">
        <v>30</v>
      </c>
      <c r="CF696" t="s">
        <v>635</v>
      </c>
      <c r="CG696">
        <v>3660341</v>
      </c>
      <c r="CH696">
        <v>3.9999999105930328E-2</v>
      </c>
      <c r="CI696">
        <v>146500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 t="s">
        <v>88</v>
      </c>
      <c r="CT696" t="s">
        <v>142</v>
      </c>
      <c r="CU696" t="s">
        <v>1442</v>
      </c>
    </row>
    <row r="697" spans="1:99">
      <c r="A697" t="s">
        <v>3047</v>
      </c>
      <c r="B697" t="s">
        <v>34</v>
      </c>
      <c r="C697" t="s">
        <v>1604</v>
      </c>
      <c r="D697" t="s">
        <v>1605</v>
      </c>
      <c r="E697" t="s">
        <v>1606</v>
      </c>
      <c r="F697" t="s">
        <v>1472</v>
      </c>
      <c r="G697" t="s">
        <v>1607</v>
      </c>
      <c r="H697" t="s">
        <v>1608</v>
      </c>
      <c r="I697" t="s">
        <v>240</v>
      </c>
      <c r="J697" t="s">
        <v>46</v>
      </c>
      <c r="K697" t="s">
        <v>29</v>
      </c>
      <c r="L697" t="s">
        <v>30</v>
      </c>
      <c r="M697">
        <v>188</v>
      </c>
      <c r="N697" t="s">
        <v>32</v>
      </c>
      <c r="O697" t="s">
        <v>32</v>
      </c>
      <c r="Q697" t="s">
        <v>32</v>
      </c>
      <c r="S697" t="s">
        <v>32</v>
      </c>
      <c r="U697" t="s">
        <v>32</v>
      </c>
      <c r="V697" t="s">
        <v>32</v>
      </c>
      <c r="W697" t="s">
        <v>32</v>
      </c>
      <c r="X697" t="s">
        <v>32</v>
      </c>
      <c r="Y697" t="s">
        <v>88</v>
      </c>
      <c r="Z697">
        <v>46054</v>
      </c>
      <c r="AA697" t="s">
        <v>88</v>
      </c>
      <c r="AB697" t="s">
        <v>32</v>
      </c>
      <c r="AE697" t="s">
        <v>32</v>
      </c>
      <c r="AH697" t="s">
        <v>32</v>
      </c>
      <c r="AK697" t="s">
        <v>32</v>
      </c>
      <c r="AN697" t="s">
        <v>32</v>
      </c>
      <c r="AO697" t="s">
        <v>32</v>
      </c>
      <c r="AR697">
        <v>0</v>
      </c>
      <c r="AU697" t="s">
        <v>32</v>
      </c>
      <c r="AV697">
        <v>5676577</v>
      </c>
      <c r="AW697" t="s">
        <v>32</v>
      </c>
      <c r="AX697" t="s">
        <v>32</v>
      </c>
      <c r="AY697" t="s">
        <v>317</v>
      </c>
      <c r="AZ697">
        <v>30</v>
      </c>
      <c r="BA697">
        <v>5676577</v>
      </c>
      <c r="BB697">
        <v>0.15999999642372131</v>
      </c>
      <c r="BC697">
        <v>908300</v>
      </c>
      <c r="BD697" t="s">
        <v>31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908300</v>
      </c>
      <c r="BK697" t="s">
        <v>25</v>
      </c>
      <c r="BL697" t="s">
        <v>635</v>
      </c>
      <c r="BM697">
        <v>30</v>
      </c>
      <c r="BN697">
        <v>5676577</v>
      </c>
      <c r="BO697">
        <v>3.9999999105930328E-2</v>
      </c>
      <c r="BP697">
        <v>227100</v>
      </c>
      <c r="BQ697">
        <v>0</v>
      </c>
      <c r="BS697">
        <v>0</v>
      </c>
      <c r="BU697">
        <v>0</v>
      </c>
      <c r="BV697" t="s">
        <v>25</v>
      </c>
      <c r="BW697" t="s">
        <v>189</v>
      </c>
      <c r="BX697">
        <v>30</v>
      </c>
      <c r="BY697">
        <v>5676577</v>
      </c>
      <c r="BZ697">
        <v>6.9600000977516174E-2</v>
      </c>
      <c r="CA697" t="s">
        <v>1439</v>
      </c>
      <c r="CB697" t="s">
        <v>227</v>
      </c>
      <c r="CC697" t="s">
        <v>1440</v>
      </c>
      <c r="CD697">
        <v>395100</v>
      </c>
      <c r="CE697">
        <v>30</v>
      </c>
      <c r="CF697" t="s">
        <v>635</v>
      </c>
      <c r="CG697">
        <v>5676577</v>
      </c>
      <c r="CH697">
        <v>3.9999999105930328E-2</v>
      </c>
      <c r="CI697">
        <v>227100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 t="s">
        <v>88</v>
      </c>
      <c r="CT697" t="s">
        <v>142</v>
      </c>
      <c r="CU697" t="s">
        <v>1442</v>
      </c>
    </row>
    <row r="698" spans="1:99">
      <c r="A698" t="s">
        <v>3047</v>
      </c>
      <c r="B698" t="s">
        <v>34</v>
      </c>
      <c r="C698" t="s">
        <v>1609</v>
      </c>
      <c r="D698" t="s">
        <v>1610</v>
      </c>
      <c r="E698" t="s">
        <v>1611</v>
      </c>
      <c r="F698" t="s">
        <v>1612</v>
      </c>
      <c r="G698" t="s">
        <v>1498</v>
      </c>
      <c r="H698" t="s">
        <v>1613</v>
      </c>
      <c r="I698" t="s">
        <v>240</v>
      </c>
      <c r="J698" t="s">
        <v>46</v>
      </c>
      <c r="K698" t="s">
        <v>29</v>
      </c>
      <c r="L698" t="s">
        <v>30</v>
      </c>
      <c r="M698">
        <v>188</v>
      </c>
      <c r="N698" t="s">
        <v>32</v>
      </c>
      <c r="O698" t="s">
        <v>32</v>
      </c>
      <c r="Q698" t="s">
        <v>32</v>
      </c>
      <c r="S698" t="s">
        <v>32</v>
      </c>
      <c r="U698" t="s">
        <v>32</v>
      </c>
      <c r="V698" t="s">
        <v>32</v>
      </c>
      <c r="W698" t="s">
        <v>32</v>
      </c>
      <c r="X698" t="s">
        <v>32</v>
      </c>
      <c r="Y698" t="s">
        <v>88</v>
      </c>
      <c r="Z698">
        <v>46054</v>
      </c>
      <c r="AA698" t="s">
        <v>88</v>
      </c>
      <c r="AB698" t="s">
        <v>32</v>
      </c>
      <c r="AE698" t="s">
        <v>32</v>
      </c>
      <c r="AH698" t="s">
        <v>32</v>
      </c>
      <c r="AK698" t="s">
        <v>32</v>
      </c>
      <c r="AN698" t="s">
        <v>32</v>
      </c>
      <c r="AO698" t="s">
        <v>32</v>
      </c>
      <c r="AR698">
        <v>0</v>
      </c>
      <c r="AU698" t="s">
        <v>32</v>
      </c>
      <c r="AV698">
        <v>4798033</v>
      </c>
      <c r="AW698" t="s">
        <v>32</v>
      </c>
      <c r="AX698" t="s">
        <v>32</v>
      </c>
      <c r="AY698" t="s">
        <v>317</v>
      </c>
      <c r="AZ698">
        <v>30</v>
      </c>
      <c r="BA698">
        <v>4798033</v>
      </c>
      <c r="BB698">
        <v>0.15999999642372131</v>
      </c>
      <c r="BC698">
        <v>767700</v>
      </c>
      <c r="BD698" t="s">
        <v>31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767700</v>
      </c>
      <c r="BK698" t="s">
        <v>25</v>
      </c>
      <c r="BL698" t="s">
        <v>635</v>
      </c>
      <c r="BM698">
        <v>30</v>
      </c>
      <c r="BN698">
        <v>4798033</v>
      </c>
      <c r="BO698">
        <v>3.9999999105930328E-2</v>
      </c>
      <c r="BP698">
        <v>192000</v>
      </c>
      <c r="BQ698">
        <v>0</v>
      </c>
      <c r="BS698">
        <v>0</v>
      </c>
      <c r="BU698">
        <v>0</v>
      </c>
      <c r="BV698" t="s">
        <v>25</v>
      </c>
      <c r="BW698" t="s">
        <v>189</v>
      </c>
      <c r="BX698">
        <v>30</v>
      </c>
      <c r="BY698">
        <v>4798033</v>
      </c>
      <c r="BZ698">
        <v>5.2200001664459705E-3</v>
      </c>
      <c r="CA698" t="s">
        <v>1592</v>
      </c>
      <c r="CB698" t="s">
        <v>227</v>
      </c>
      <c r="CC698" t="s">
        <v>1593</v>
      </c>
      <c r="CD698">
        <v>25100</v>
      </c>
      <c r="CE698">
        <v>30</v>
      </c>
      <c r="CF698" t="s">
        <v>635</v>
      </c>
      <c r="CG698">
        <v>4798033</v>
      </c>
      <c r="CH698">
        <v>3.9999999105930328E-2</v>
      </c>
      <c r="CI698">
        <v>192000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 t="s">
        <v>88</v>
      </c>
      <c r="CT698" t="s">
        <v>142</v>
      </c>
      <c r="CU698" t="s">
        <v>1442</v>
      </c>
    </row>
    <row r="699" spans="1:99">
      <c r="A699" t="s">
        <v>3047</v>
      </c>
      <c r="B699" t="s">
        <v>34</v>
      </c>
      <c r="C699" t="s">
        <v>1614</v>
      </c>
      <c r="D699" t="s">
        <v>1615</v>
      </c>
      <c r="E699" t="s">
        <v>1616</v>
      </c>
      <c r="F699" t="s">
        <v>455</v>
      </c>
      <c r="G699" t="s">
        <v>1617</v>
      </c>
      <c r="H699" t="s">
        <v>1558</v>
      </c>
      <c r="I699" t="s">
        <v>240</v>
      </c>
      <c r="J699" t="s">
        <v>46</v>
      </c>
      <c r="K699" t="s">
        <v>29</v>
      </c>
      <c r="L699" t="s">
        <v>30</v>
      </c>
      <c r="M699">
        <v>180</v>
      </c>
      <c r="N699" t="s">
        <v>32</v>
      </c>
      <c r="O699" t="s">
        <v>32</v>
      </c>
      <c r="Q699" t="s">
        <v>32</v>
      </c>
      <c r="S699" t="s">
        <v>32</v>
      </c>
      <c r="U699" t="s">
        <v>32</v>
      </c>
      <c r="V699" t="s">
        <v>32</v>
      </c>
      <c r="W699" t="s">
        <v>32</v>
      </c>
      <c r="X699" t="s">
        <v>32</v>
      </c>
      <c r="Y699" t="s">
        <v>88</v>
      </c>
      <c r="Z699">
        <v>46054</v>
      </c>
      <c r="AA699" t="s">
        <v>88</v>
      </c>
      <c r="AB699" t="s">
        <v>32</v>
      </c>
      <c r="AE699" t="s">
        <v>32</v>
      </c>
      <c r="AH699" t="s">
        <v>32</v>
      </c>
      <c r="AK699" t="s">
        <v>32</v>
      </c>
      <c r="AN699" t="s">
        <v>32</v>
      </c>
      <c r="AO699" t="s">
        <v>32</v>
      </c>
      <c r="AR699">
        <v>0</v>
      </c>
      <c r="AU699" t="s">
        <v>32</v>
      </c>
      <c r="AV699">
        <v>5209465</v>
      </c>
      <c r="AW699" t="s">
        <v>32</v>
      </c>
      <c r="AX699" t="s">
        <v>32</v>
      </c>
      <c r="AY699" t="s">
        <v>317</v>
      </c>
      <c r="AZ699">
        <v>30</v>
      </c>
      <c r="BA699">
        <v>5209465</v>
      </c>
      <c r="BB699">
        <v>0.15999999642372131</v>
      </c>
      <c r="BC699">
        <v>833600</v>
      </c>
      <c r="BD699" t="s">
        <v>31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833600</v>
      </c>
      <c r="BK699" t="s">
        <v>25</v>
      </c>
      <c r="BL699" t="s">
        <v>1071</v>
      </c>
      <c r="BM699">
        <v>30</v>
      </c>
      <c r="BN699">
        <v>5209465</v>
      </c>
      <c r="BO699">
        <v>3.9999999105930328E-2</v>
      </c>
      <c r="BP699">
        <v>208400</v>
      </c>
      <c r="BQ699">
        <v>0</v>
      </c>
      <c r="BS699">
        <v>0</v>
      </c>
      <c r="BU699">
        <v>0</v>
      </c>
      <c r="BV699" t="s">
        <v>25</v>
      </c>
      <c r="BW699" t="s">
        <v>189</v>
      </c>
      <c r="BX699">
        <v>30</v>
      </c>
      <c r="BY699">
        <v>5209465</v>
      </c>
      <c r="BZ699">
        <v>5.2200001664459705E-3</v>
      </c>
      <c r="CA699" t="s">
        <v>1592</v>
      </c>
      <c r="CB699" t="s">
        <v>227</v>
      </c>
      <c r="CC699" t="s">
        <v>1593</v>
      </c>
      <c r="CD699">
        <v>27200</v>
      </c>
      <c r="CE699">
        <v>30</v>
      </c>
      <c r="CF699" t="s">
        <v>635</v>
      </c>
      <c r="CG699">
        <v>5209465</v>
      </c>
      <c r="CH699">
        <v>3.9999999105930328E-2</v>
      </c>
      <c r="CI699">
        <v>208400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 t="s">
        <v>88</v>
      </c>
      <c r="CT699" t="s">
        <v>142</v>
      </c>
      <c r="CU699" t="s">
        <v>1442</v>
      </c>
    </row>
    <row r="700" spans="1:99">
      <c r="A700" t="s">
        <v>3047</v>
      </c>
      <c r="B700" t="s">
        <v>34</v>
      </c>
      <c r="C700" t="s">
        <v>1618</v>
      </c>
      <c r="D700" t="s">
        <v>1619</v>
      </c>
      <c r="E700" t="s">
        <v>1620</v>
      </c>
      <c r="F700" t="s">
        <v>1621</v>
      </c>
      <c r="G700" t="s">
        <v>1498</v>
      </c>
      <c r="H700" t="s">
        <v>1558</v>
      </c>
      <c r="I700" t="s">
        <v>240</v>
      </c>
      <c r="J700" t="s">
        <v>46</v>
      </c>
      <c r="K700" t="s">
        <v>29</v>
      </c>
      <c r="L700" t="s">
        <v>30</v>
      </c>
      <c r="M700">
        <v>206</v>
      </c>
      <c r="N700" t="s">
        <v>32</v>
      </c>
      <c r="O700" t="s">
        <v>32</v>
      </c>
      <c r="Q700" t="s">
        <v>32</v>
      </c>
      <c r="S700" t="s">
        <v>32</v>
      </c>
      <c r="U700" t="s">
        <v>32</v>
      </c>
      <c r="V700" t="s">
        <v>32</v>
      </c>
      <c r="W700" t="s">
        <v>32</v>
      </c>
      <c r="X700" t="s">
        <v>32</v>
      </c>
      <c r="Y700" t="s">
        <v>32</v>
      </c>
      <c r="AA700" t="s">
        <v>88</v>
      </c>
      <c r="AB700" t="s">
        <v>32</v>
      </c>
      <c r="AE700" t="s">
        <v>32</v>
      </c>
      <c r="AH700" t="s">
        <v>32</v>
      </c>
      <c r="AK700" t="s">
        <v>32</v>
      </c>
      <c r="AN700" t="s">
        <v>32</v>
      </c>
      <c r="AO700" t="s">
        <v>32</v>
      </c>
      <c r="AR700">
        <v>0</v>
      </c>
      <c r="AU700" t="s">
        <v>32</v>
      </c>
      <c r="AV700">
        <v>1785595</v>
      </c>
      <c r="AW700" t="s">
        <v>32</v>
      </c>
      <c r="AX700" t="s">
        <v>32</v>
      </c>
      <c r="AY700" t="s">
        <v>317</v>
      </c>
      <c r="AZ700">
        <v>30</v>
      </c>
      <c r="BA700">
        <v>2056817</v>
      </c>
      <c r="BB700">
        <v>0.15999999642372131</v>
      </c>
      <c r="BC700">
        <v>329100</v>
      </c>
      <c r="BD700" t="s">
        <v>31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329100</v>
      </c>
      <c r="BK700" t="s">
        <v>25</v>
      </c>
      <c r="BL700" t="s">
        <v>1064</v>
      </c>
      <c r="BM700">
        <v>30</v>
      </c>
      <c r="BN700">
        <v>2056817</v>
      </c>
      <c r="BO700">
        <v>3.9999999105930328E-2</v>
      </c>
      <c r="BP700">
        <v>82300</v>
      </c>
      <c r="BQ700">
        <v>0</v>
      </c>
      <c r="BS700">
        <v>0</v>
      </c>
      <c r="BU700">
        <v>0</v>
      </c>
      <c r="BV700" t="s">
        <v>25</v>
      </c>
      <c r="BW700" t="s">
        <v>189</v>
      </c>
      <c r="BX700">
        <v>30</v>
      </c>
      <c r="BY700">
        <v>2056817</v>
      </c>
      <c r="BZ700">
        <v>6.9600000977516174E-2</v>
      </c>
      <c r="CA700" t="s">
        <v>1439</v>
      </c>
      <c r="CB700" t="s">
        <v>227</v>
      </c>
      <c r="CC700" t="s">
        <v>1440</v>
      </c>
      <c r="CD700">
        <v>143200</v>
      </c>
      <c r="CE700">
        <v>30</v>
      </c>
      <c r="CF700" t="s">
        <v>635</v>
      </c>
      <c r="CG700">
        <v>2056817</v>
      </c>
      <c r="CH700">
        <v>3.9999999105930328E-2</v>
      </c>
      <c r="CI700">
        <v>82300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 t="s">
        <v>88</v>
      </c>
      <c r="CT700" t="s">
        <v>142</v>
      </c>
      <c r="CU700" t="s">
        <v>1442</v>
      </c>
    </row>
    <row r="701" spans="1:99">
      <c r="A701" t="s">
        <v>3047</v>
      </c>
      <c r="B701" t="s">
        <v>34</v>
      </c>
      <c r="C701" t="s">
        <v>1622</v>
      </c>
      <c r="D701" t="s">
        <v>1623</v>
      </c>
      <c r="E701" t="s">
        <v>1601</v>
      </c>
      <c r="F701" t="s">
        <v>1624</v>
      </c>
      <c r="G701" t="s">
        <v>1532</v>
      </c>
      <c r="H701" t="s">
        <v>1625</v>
      </c>
      <c r="I701" t="s">
        <v>240</v>
      </c>
      <c r="J701" t="s">
        <v>46</v>
      </c>
      <c r="K701" t="s">
        <v>29</v>
      </c>
      <c r="L701" t="s">
        <v>30</v>
      </c>
      <c r="M701">
        <v>238</v>
      </c>
      <c r="N701" t="s">
        <v>32</v>
      </c>
      <c r="O701" t="s">
        <v>32</v>
      </c>
      <c r="Q701" t="s">
        <v>32</v>
      </c>
      <c r="S701" t="s">
        <v>32</v>
      </c>
      <c r="U701" t="s">
        <v>32</v>
      </c>
      <c r="V701" t="s">
        <v>32</v>
      </c>
      <c r="W701" t="s">
        <v>32</v>
      </c>
      <c r="X701" t="s">
        <v>32</v>
      </c>
      <c r="Y701" t="s">
        <v>32</v>
      </c>
      <c r="AA701" t="s">
        <v>88</v>
      </c>
      <c r="AB701" t="s">
        <v>32</v>
      </c>
      <c r="AE701" t="s">
        <v>32</v>
      </c>
      <c r="AH701" t="s">
        <v>32</v>
      </c>
      <c r="AK701" t="s">
        <v>32</v>
      </c>
      <c r="AN701" t="s">
        <v>32</v>
      </c>
      <c r="AO701" t="s">
        <v>32</v>
      </c>
      <c r="AR701">
        <v>0</v>
      </c>
      <c r="AU701" t="s">
        <v>32</v>
      </c>
      <c r="AV701">
        <v>2074908</v>
      </c>
      <c r="AW701" t="s">
        <v>32</v>
      </c>
      <c r="AX701" t="s">
        <v>32</v>
      </c>
      <c r="AY701" t="s">
        <v>317</v>
      </c>
      <c r="AZ701">
        <v>30</v>
      </c>
      <c r="BA701">
        <v>3179561</v>
      </c>
      <c r="BB701">
        <v>0.15999999642372131</v>
      </c>
      <c r="BC701">
        <v>508800</v>
      </c>
      <c r="BD701" t="s">
        <v>31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508800</v>
      </c>
      <c r="BK701" t="s">
        <v>25</v>
      </c>
      <c r="BL701" t="s">
        <v>1010</v>
      </c>
      <c r="BM701">
        <v>30</v>
      </c>
      <c r="BN701">
        <v>3179561</v>
      </c>
      <c r="BO701">
        <v>3.9999999105930328E-2</v>
      </c>
      <c r="BP701">
        <v>127200</v>
      </c>
      <c r="BQ701">
        <v>0</v>
      </c>
      <c r="BS701">
        <v>0</v>
      </c>
      <c r="BU701">
        <v>0</v>
      </c>
      <c r="BV701" t="s">
        <v>25</v>
      </c>
      <c r="BW701" t="s">
        <v>189</v>
      </c>
      <c r="BX701">
        <v>30</v>
      </c>
      <c r="BY701">
        <v>3179561</v>
      </c>
      <c r="BZ701">
        <v>6.9600000977516174E-2</v>
      </c>
      <c r="CA701" t="s">
        <v>1439</v>
      </c>
      <c r="CB701" t="s">
        <v>227</v>
      </c>
      <c r="CC701" t="s">
        <v>1440</v>
      </c>
      <c r="CD701">
        <v>221300</v>
      </c>
      <c r="CE701">
        <v>30</v>
      </c>
      <c r="CF701" t="s">
        <v>635</v>
      </c>
      <c r="CG701">
        <v>3179561</v>
      </c>
      <c r="CH701">
        <v>3.9999999105930328E-2</v>
      </c>
      <c r="CI701">
        <v>127200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 t="s">
        <v>88</v>
      </c>
      <c r="CT701" t="s">
        <v>142</v>
      </c>
      <c r="CU701" t="s">
        <v>1442</v>
      </c>
    </row>
    <row r="702" spans="1:99">
      <c r="A702" t="s">
        <v>3047</v>
      </c>
      <c r="B702" t="s">
        <v>34</v>
      </c>
      <c r="C702" t="s">
        <v>1626</v>
      </c>
      <c r="D702" t="s">
        <v>1627</v>
      </c>
      <c r="E702" t="s">
        <v>1628</v>
      </c>
      <c r="F702" t="s">
        <v>1629</v>
      </c>
      <c r="G702" t="s">
        <v>1630</v>
      </c>
      <c r="H702" t="s">
        <v>1631</v>
      </c>
      <c r="I702" t="s">
        <v>240</v>
      </c>
      <c r="J702" t="s">
        <v>46</v>
      </c>
      <c r="K702" t="s">
        <v>29</v>
      </c>
      <c r="L702" t="s">
        <v>30</v>
      </c>
      <c r="M702">
        <v>9</v>
      </c>
      <c r="N702" t="s">
        <v>32</v>
      </c>
      <c r="O702" t="s">
        <v>32</v>
      </c>
      <c r="Q702" t="s">
        <v>40</v>
      </c>
      <c r="R702">
        <v>46080</v>
      </c>
      <c r="S702" t="s">
        <v>32</v>
      </c>
      <c r="U702" t="s">
        <v>32</v>
      </c>
      <c r="V702" t="s">
        <v>32</v>
      </c>
      <c r="W702" t="s">
        <v>32</v>
      </c>
      <c r="X702" t="s">
        <v>32</v>
      </c>
      <c r="Y702" t="s">
        <v>32</v>
      </c>
      <c r="AA702" t="s">
        <v>88</v>
      </c>
      <c r="AB702" t="s">
        <v>32</v>
      </c>
      <c r="AE702" t="s">
        <v>32</v>
      </c>
      <c r="AH702" t="s">
        <v>32</v>
      </c>
      <c r="AK702" t="s">
        <v>32</v>
      </c>
      <c r="AN702" t="s">
        <v>32</v>
      </c>
      <c r="AO702" t="s">
        <v>32</v>
      </c>
      <c r="AR702">
        <v>0</v>
      </c>
      <c r="AU702" t="s">
        <v>32</v>
      </c>
      <c r="AV702">
        <v>2223339</v>
      </c>
      <c r="AW702" t="s">
        <v>32</v>
      </c>
      <c r="AX702" t="s">
        <v>32</v>
      </c>
      <c r="AY702" t="s">
        <v>356</v>
      </c>
      <c r="AZ702">
        <v>4</v>
      </c>
      <c r="BA702">
        <v>296446</v>
      </c>
      <c r="BB702">
        <v>0.15999999642372131</v>
      </c>
      <c r="BC702">
        <v>47500</v>
      </c>
      <c r="BD702" t="s">
        <v>31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47500</v>
      </c>
      <c r="BK702" t="s">
        <v>25</v>
      </c>
      <c r="BL702" t="s">
        <v>1010</v>
      </c>
      <c r="BM702">
        <v>4</v>
      </c>
      <c r="BN702">
        <v>296446</v>
      </c>
      <c r="BO702">
        <v>3.9999999105930328E-2</v>
      </c>
      <c r="BP702">
        <v>11900</v>
      </c>
      <c r="BQ702">
        <v>0</v>
      </c>
      <c r="BS702">
        <v>0</v>
      </c>
      <c r="BU702">
        <v>0</v>
      </c>
      <c r="BV702" t="s">
        <v>25</v>
      </c>
      <c r="BW702" t="s">
        <v>189</v>
      </c>
      <c r="BX702">
        <v>4</v>
      </c>
      <c r="BY702">
        <v>296446</v>
      </c>
      <c r="BZ702">
        <v>6.9600000977516174E-2</v>
      </c>
      <c r="CA702" t="s">
        <v>1439</v>
      </c>
      <c r="CB702" t="s">
        <v>227</v>
      </c>
      <c r="CC702" t="s">
        <v>1440</v>
      </c>
      <c r="CD702">
        <v>20700</v>
      </c>
      <c r="CE702">
        <v>4</v>
      </c>
      <c r="CF702" t="s">
        <v>635</v>
      </c>
      <c r="CG702">
        <v>296446</v>
      </c>
      <c r="CH702">
        <v>3.9999999105930328E-2</v>
      </c>
      <c r="CI702">
        <v>11900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 t="s">
        <v>88</v>
      </c>
      <c r="CT702" t="s">
        <v>142</v>
      </c>
      <c r="CU702" t="s">
        <v>1442</v>
      </c>
    </row>
    <row r="703" spans="1:99">
      <c r="A703" t="s">
        <v>3047</v>
      </c>
      <c r="B703" t="s">
        <v>34</v>
      </c>
      <c r="C703" t="s">
        <v>1632</v>
      </c>
      <c r="D703" t="s">
        <v>1633</v>
      </c>
      <c r="E703" t="s">
        <v>1634</v>
      </c>
      <c r="F703" t="s">
        <v>1635</v>
      </c>
      <c r="G703" t="s">
        <v>1613</v>
      </c>
      <c r="H703" t="s">
        <v>1468</v>
      </c>
      <c r="I703" t="s">
        <v>240</v>
      </c>
      <c r="J703" t="s">
        <v>46</v>
      </c>
      <c r="K703" t="s">
        <v>29</v>
      </c>
      <c r="L703" t="s">
        <v>30</v>
      </c>
      <c r="M703">
        <v>180</v>
      </c>
      <c r="N703" t="s">
        <v>32</v>
      </c>
      <c r="O703" t="s">
        <v>32</v>
      </c>
      <c r="Q703" t="s">
        <v>32</v>
      </c>
      <c r="S703" t="s">
        <v>32</v>
      </c>
      <c r="U703" t="s">
        <v>32</v>
      </c>
      <c r="V703" t="s">
        <v>32</v>
      </c>
      <c r="W703" t="s">
        <v>32</v>
      </c>
      <c r="X703" t="s">
        <v>32</v>
      </c>
      <c r="Y703" t="s">
        <v>32</v>
      </c>
      <c r="AA703" t="s">
        <v>88</v>
      </c>
      <c r="AB703" t="s">
        <v>32</v>
      </c>
      <c r="AE703" t="s">
        <v>32</v>
      </c>
      <c r="AH703" t="s">
        <v>32</v>
      </c>
      <c r="AK703" t="s">
        <v>32</v>
      </c>
      <c r="AN703" t="s">
        <v>32</v>
      </c>
      <c r="AO703" t="s">
        <v>32</v>
      </c>
      <c r="AR703">
        <v>0</v>
      </c>
      <c r="AU703" t="s">
        <v>32</v>
      </c>
      <c r="AV703">
        <v>11650406</v>
      </c>
      <c r="AW703" t="s">
        <v>32</v>
      </c>
      <c r="AX703" t="s">
        <v>88</v>
      </c>
      <c r="AY703" t="s">
        <v>317</v>
      </c>
      <c r="AZ703">
        <v>30</v>
      </c>
      <c r="BA703">
        <v>12815447</v>
      </c>
      <c r="BB703">
        <v>0.15999999642372131</v>
      </c>
      <c r="BC703">
        <v>2050500</v>
      </c>
      <c r="BD703" t="s">
        <v>31</v>
      </c>
      <c r="BE703">
        <v>0</v>
      </c>
      <c r="BF703">
        <v>0</v>
      </c>
      <c r="BG703">
        <v>64100</v>
      </c>
      <c r="BH703">
        <v>64100</v>
      </c>
      <c r="BI703">
        <v>0</v>
      </c>
      <c r="BJ703">
        <v>2178700</v>
      </c>
      <c r="BK703" t="s">
        <v>25</v>
      </c>
      <c r="BL703" t="s">
        <v>870</v>
      </c>
      <c r="BM703">
        <v>30</v>
      </c>
      <c r="BN703">
        <v>12815447</v>
      </c>
      <c r="BO703">
        <v>3.9999999105930328E-2</v>
      </c>
      <c r="BP703">
        <v>512700</v>
      </c>
      <c r="BQ703">
        <v>0</v>
      </c>
      <c r="BS703">
        <v>0</v>
      </c>
      <c r="BU703">
        <v>0</v>
      </c>
      <c r="BV703" t="s">
        <v>25</v>
      </c>
      <c r="BW703" t="s">
        <v>189</v>
      </c>
      <c r="BX703">
        <v>30</v>
      </c>
      <c r="BY703">
        <v>12815447</v>
      </c>
      <c r="BZ703">
        <v>6.9600000977516174E-2</v>
      </c>
      <c r="CA703" t="s">
        <v>1439</v>
      </c>
      <c r="CB703" t="s">
        <v>227</v>
      </c>
      <c r="CC703" t="s">
        <v>1440</v>
      </c>
      <c r="CD703">
        <v>892000</v>
      </c>
      <c r="CE703">
        <v>30</v>
      </c>
      <c r="CF703" t="s">
        <v>635</v>
      </c>
      <c r="CG703">
        <v>11650406</v>
      </c>
      <c r="CH703">
        <v>3.9999999105930328E-2</v>
      </c>
      <c r="CI703">
        <v>466100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 t="s">
        <v>88</v>
      </c>
      <c r="CT703" t="s">
        <v>142</v>
      </c>
      <c r="CU703" t="s">
        <v>1442</v>
      </c>
    </row>
    <row r="704" spans="1:99">
      <c r="A704" t="s">
        <v>3047</v>
      </c>
      <c r="B704" t="s">
        <v>34</v>
      </c>
      <c r="C704" t="s">
        <v>1636</v>
      </c>
      <c r="D704" t="s">
        <v>1637</v>
      </c>
      <c r="E704" t="s">
        <v>1638</v>
      </c>
      <c r="F704" t="s">
        <v>1639</v>
      </c>
      <c r="G704" t="s">
        <v>1640</v>
      </c>
      <c r="H704" t="s">
        <v>1446</v>
      </c>
      <c r="I704" t="s">
        <v>240</v>
      </c>
      <c r="J704" t="s">
        <v>46</v>
      </c>
      <c r="K704" t="s">
        <v>29</v>
      </c>
      <c r="L704" t="s">
        <v>30</v>
      </c>
      <c r="M704">
        <v>207</v>
      </c>
      <c r="N704" t="s">
        <v>32</v>
      </c>
      <c r="O704" t="s">
        <v>32</v>
      </c>
      <c r="Q704" t="s">
        <v>32</v>
      </c>
      <c r="S704" t="s">
        <v>32</v>
      </c>
      <c r="U704" t="s">
        <v>32</v>
      </c>
      <c r="V704" t="s">
        <v>32</v>
      </c>
      <c r="W704" t="s">
        <v>32</v>
      </c>
      <c r="X704" t="s">
        <v>32</v>
      </c>
      <c r="Y704" t="s">
        <v>32</v>
      </c>
      <c r="AA704" t="s">
        <v>88</v>
      </c>
      <c r="AB704" t="s">
        <v>32</v>
      </c>
      <c r="AE704" t="s">
        <v>32</v>
      </c>
      <c r="AH704" t="s">
        <v>32</v>
      </c>
      <c r="AK704" t="s">
        <v>32</v>
      </c>
      <c r="AN704" t="s">
        <v>32</v>
      </c>
      <c r="AO704" t="s">
        <v>32</v>
      </c>
      <c r="AR704">
        <v>0</v>
      </c>
      <c r="AU704" t="s">
        <v>32</v>
      </c>
      <c r="AV704">
        <v>2620709</v>
      </c>
      <c r="AW704" t="s">
        <v>32</v>
      </c>
      <c r="AX704" t="s">
        <v>32</v>
      </c>
      <c r="AY704" t="s">
        <v>317</v>
      </c>
      <c r="AZ704">
        <v>30</v>
      </c>
      <c r="BA704">
        <v>2911072</v>
      </c>
      <c r="BB704">
        <v>0.15999999642372131</v>
      </c>
      <c r="BC704">
        <v>465800</v>
      </c>
      <c r="BD704" t="s">
        <v>31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465800</v>
      </c>
      <c r="BK704" t="s">
        <v>25</v>
      </c>
      <c r="BL704" t="s">
        <v>885</v>
      </c>
      <c r="BM704">
        <v>30</v>
      </c>
      <c r="BN704">
        <v>2911072</v>
      </c>
      <c r="BO704">
        <v>3.9999999105930328E-2</v>
      </c>
      <c r="BP704">
        <v>116500</v>
      </c>
      <c r="BQ704">
        <v>0</v>
      </c>
      <c r="BS704">
        <v>0</v>
      </c>
      <c r="BU704">
        <v>0</v>
      </c>
      <c r="BV704" t="s">
        <v>25</v>
      </c>
      <c r="BW704" t="s">
        <v>189</v>
      </c>
      <c r="BX704">
        <v>30</v>
      </c>
      <c r="BY704">
        <v>2911072</v>
      </c>
      <c r="BZ704">
        <v>6.9600000977516174E-2</v>
      </c>
      <c r="CA704" t="s">
        <v>1439</v>
      </c>
      <c r="CB704" t="s">
        <v>227</v>
      </c>
      <c r="CC704" t="s">
        <v>1440</v>
      </c>
      <c r="CD704">
        <v>202700</v>
      </c>
      <c r="CE704">
        <v>30</v>
      </c>
      <c r="CF704" t="s">
        <v>635</v>
      </c>
      <c r="CG704">
        <v>2911072</v>
      </c>
      <c r="CH704">
        <v>3.9999999105930328E-2</v>
      </c>
      <c r="CI704">
        <v>116500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 t="s">
        <v>88</v>
      </c>
      <c r="CT704" t="s">
        <v>142</v>
      </c>
      <c r="CU704" t="s">
        <v>1442</v>
      </c>
    </row>
    <row r="705" spans="1:99">
      <c r="A705" t="s">
        <v>3047</v>
      </c>
      <c r="B705" t="s">
        <v>34</v>
      </c>
      <c r="C705" t="s">
        <v>1641</v>
      </c>
      <c r="D705" t="s">
        <v>1642</v>
      </c>
      <c r="E705" t="s">
        <v>1643</v>
      </c>
      <c r="F705" t="s">
        <v>1644</v>
      </c>
      <c r="G705" t="s">
        <v>1537</v>
      </c>
      <c r="H705" t="s">
        <v>1498</v>
      </c>
      <c r="I705" t="s">
        <v>682</v>
      </c>
      <c r="J705" t="s">
        <v>484</v>
      </c>
      <c r="K705" t="s">
        <v>29</v>
      </c>
      <c r="L705" t="s">
        <v>30</v>
      </c>
      <c r="M705">
        <v>180</v>
      </c>
      <c r="N705" t="s">
        <v>32</v>
      </c>
      <c r="O705" t="s">
        <v>32</v>
      </c>
      <c r="Q705" t="s">
        <v>32</v>
      </c>
      <c r="S705" t="s">
        <v>32</v>
      </c>
      <c r="U705" t="s">
        <v>32</v>
      </c>
      <c r="V705" t="s">
        <v>32</v>
      </c>
      <c r="W705" t="s">
        <v>32</v>
      </c>
      <c r="X705" t="s">
        <v>32</v>
      </c>
      <c r="Y705" t="s">
        <v>32</v>
      </c>
      <c r="AA705" t="s">
        <v>88</v>
      </c>
      <c r="AB705" t="s">
        <v>32</v>
      </c>
      <c r="AE705" t="s">
        <v>32</v>
      </c>
      <c r="AH705" t="s">
        <v>32</v>
      </c>
      <c r="AK705" t="s">
        <v>32</v>
      </c>
      <c r="AN705" t="s">
        <v>32</v>
      </c>
      <c r="AO705" t="s">
        <v>32</v>
      </c>
      <c r="AR705">
        <v>0</v>
      </c>
      <c r="AU705" t="s">
        <v>32</v>
      </c>
      <c r="AV705">
        <v>5676577</v>
      </c>
      <c r="AW705" t="s">
        <v>32</v>
      </c>
      <c r="AX705" t="s">
        <v>32</v>
      </c>
      <c r="AY705" t="s">
        <v>356</v>
      </c>
      <c r="AZ705">
        <v>30</v>
      </c>
      <c r="BA705">
        <v>5676577</v>
      </c>
      <c r="BB705">
        <v>0.15999999642372131</v>
      </c>
      <c r="BC705">
        <v>908300</v>
      </c>
      <c r="BD705" t="s">
        <v>31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908300</v>
      </c>
      <c r="BK705" t="s">
        <v>25</v>
      </c>
      <c r="BL705" t="s">
        <v>635</v>
      </c>
      <c r="BM705">
        <v>30</v>
      </c>
      <c r="BN705">
        <v>5676577</v>
      </c>
      <c r="BO705">
        <v>3.9999999105930328E-2</v>
      </c>
      <c r="BP705">
        <v>227100</v>
      </c>
      <c r="BQ705">
        <v>0</v>
      </c>
      <c r="BS705">
        <v>0</v>
      </c>
      <c r="BU705">
        <v>0</v>
      </c>
      <c r="BV705" t="s">
        <v>25</v>
      </c>
      <c r="BW705" t="s">
        <v>189</v>
      </c>
      <c r="BX705">
        <v>30</v>
      </c>
      <c r="BY705">
        <v>5676577</v>
      </c>
      <c r="BZ705">
        <v>6.9600000977516174E-2</v>
      </c>
      <c r="CA705" t="s">
        <v>1439</v>
      </c>
      <c r="CB705" t="s">
        <v>312</v>
      </c>
      <c r="CC705" t="s">
        <v>1440</v>
      </c>
      <c r="CD705">
        <v>395100</v>
      </c>
      <c r="CE705">
        <v>30</v>
      </c>
      <c r="CF705" t="s">
        <v>466</v>
      </c>
      <c r="CG705">
        <v>5676577</v>
      </c>
      <c r="CH705">
        <v>3.9999999105930328E-2</v>
      </c>
      <c r="CI705">
        <v>227100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 t="s">
        <v>88</v>
      </c>
      <c r="CT705" t="s">
        <v>142</v>
      </c>
      <c r="CU705" t="s">
        <v>1442</v>
      </c>
    </row>
    <row r="706" spans="1:99">
      <c r="A706" t="s">
        <v>3047</v>
      </c>
      <c r="B706" t="s">
        <v>34</v>
      </c>
      <c r="C706" t="s">
        <v>1645</v>
      </c>
      <c r="D706" t="s">
        <v>1646</v>
      </c>
      <c r="E706" t="s">
        <v>1647</v>
      </c>
      <c r="F706" t="s">
        <v>1648</v>
      </c>
      <c r="G706" t="s">
        <v>1649</v>
      </c>
      <c r="H706" t="s">
        <v>1650</v>
      </c>
      <c r="I706" t="s">
        <v>240</v>
      </c>
      <c r="J706" t="s">
        <v>46</v>
      </c>
      <c r="K706" t="s">
        <v>29</v>
      </c>
      <c r="L706" t="s">
        <v>30</v>
      </c>
      <c r="M706">
        <v>180</v>
      </c>
      <c r="N706" t="s">
        <v>32</v>
      </c>
      <c r="O706" t="s">
        <v>32</v>
      </c>
      <c r="Q706" t="s">
        <v>32</v>
      </c>
      <c r="S706" t="s">
        <v>32</v>
      </c>
      <c r="U706" t="s">
        <v>32</v>
      </c>
      <c r="V706" t="s">
        <v>32</v>
      </c>
      <c r="W706" t="s">
        <v>32</v>
      </c>
      <c r="X706" t="s">
        <v>32</v>
      </c>
      <c r="Y706" t="s">
        <v>32</v>
      </c>
      <c r="AA706" t="s">
        <v>88</v>
      </c>
      <c r="AB706" t="s">
        <v>32</v>
      </c>
      <c r="AE706" t="s">
        <v>32</v>
      </c>
      <c r="AH706" t="s">
        <v>32</v>
      </c>
      <c r="AK706" t="s">
        <v>32</v>
      </c>
      <c r="AN706" t="s">
        <v>32</v>
      </c>
      <c r="AO706" t="s">
        <v>32</v>
      </c>
      <c r="AR706">
        <v>0</v>
      </c>
      <c r="AU706" t="s">
        <v>32</v>
      </c>
      <c r="AV706">
        <v>11650406</v>
      </c>
      <c r="AW706" t="s">
        <v>32</v>
      </c>
      <c r="AX706" t="s">
        <v>88</v>
      </c>
      <c r="AY706" t="s">
        <v>317</v>
      </c>
      <c r="AZ706">
        <v>30</v>
      </c>
      <c r="BA706">
        <v>11650406</v>
      </c>
      <c r="BB706">
        <v>0.15999999642372131</v>
      </c>
      <c r="BC706">
        <v>1864100</v>
      </c>
      <c r="BD706" t="s">
        <v>31</v>
      </c>
      <c r="BE706">
        <v>0</v>
      </c>
      <c r="BF706">
        <v>0</v>
      </c>
      <c r="BG706">
        <v>58300</v>
      </c>
      <c r="BH706">
        <v>58300</v>
      </c>
      <c r="BI706">
        <v>0</v>
      </c>
      <c r="BJ706">
        <v>1980700</v>
      </c>
      <c r="BK706" t="s">
        <v>25</v>
      </c>
      <c r="BL706" t="s">
        <v>635</v>
      </c>
      <c r="BM706">
        <v>30</v>
      </c>
      <c r="BN706">
        <v>11650406</v>
      </c>
      <c r="BO706">
        <v>0.125</v>
      </c>
      <c r="BP706">
        <v>1456400</v>
      </c>
      <c r="BQ706">
        <v>0</v>
      </c>
      <c r="BS706">
        <v>0</v>
      </c>
      <c r="BU706">
        <v>0</v>
      </c>
      <c r="BV706" t="s">
        <v>25</v>
      </c>
      <c r="BW706" t="s">
        <v>189</v>
      </c>
      <c r="BX706">
        <v>30</v>
      </c>
      <c r="BY706">
        <v>11650406</v>
      </c>
      <c r="BZ706">
        <v>6.9600000977516174E-2</v>
      </c>
      <c r="CA706" t="s">
        <v>1439</v>
      </c>
      <c r="CB706" t="s">
        <v>227</v>
      </c>
      <c r="CC706" t="s">
        <v>1440</v>
      </c>
      <c r="CD706">
        <v>810900</v>
      </c>
      <c r="CE706">
        <v>30</v>
      </c>
      <c r="CF706" t="s">
        <v>635</v>
      </c>
      <c r="CG706">
        <v>11650406</v>
      </c>
      <c r="CH706">
        <v>3.9999999105930328E-2</v>
      </c>
      <c r="CI706">
        <v>466100</v>
      </c>
      <c r="CJ706">
        <v>11650406</v>
      </c>
      <c r="CK706">
        <v>1.9999999552965164E-2</v>
      </c>
      <c r="CL706">
        <v>233100</v>
      </c>
      <c r="CM706">
        <v>2.9999999329447746E-2</v>
      </c>
      <c r="CN706">
        <v>349600</v>
      </c>
      <c r="CO706">
        <v>0</v>
      </c>
      <c r="CP706">
        <v>0</v>
      </c>
      <c r="CQ706">
        <v>0</v>
      </c>
      <c r="CR706">
        <v>0</v>
      </c>
      <c r="CS706" t="s">
        <v>32</v>
      </c>
      <c r="CT706" t="s">
        <v>142</v>
      </c>
      <c r="CU706" t="s">
        <v>1442</v>
      </c>
    </row>
    <row r="707" spans="1:99">
      <c r="A707" t="s">
        <v>3047</v>
      </c>
      <c r="B707" t="s">
        <v>34</v>
      </c>
      <c r="C707" t="s">
        <v>1651</v>
      </c>
      <c r="D707" t="s">
        <v>1652</v>
      </c>
      <c r="E707" t="s">
        <v>1060</v>
      </c>
      <c r="F707" t="s">
        <v>1653</v>
      </c>
      <c r="G707" t="s">
        <v>1654</v>
      </c>
      <c r="H707" t="s">
        <v>1558</v>
      </c>
      <c r="I707" t="s">
        <v>240</v>
      </c>
      <c r="J707" t="s">
        <v>46</v>
      </c>
      <c r="K707" t="s">
        <v>29</v>
      </c>
      <c r="L707" t="s">
        <v>30</v>
      </c>
      <c r="M707">
        <v>0</v>
      </c>
      <c r="N707" t="s">
        <v>32</v>
      </c>
      <c r="O707" t="s">
        <v>32</v>
      </c>
      <c r="Q707" t="s">
        <v>32</v>
      </c>
      <c r="S707" t="s">
        <v>32</v>
      </c>
      <c r="U707" t="s">
        <v>32</v>
      </c>
      <c r="V707" t="s">
        <v>32</v>
      </c>
      <c r="W707" t="s">
        <v>32</v>
      </c>
      <c r="X707" t="s">
        <v>32</v>
      </c>
      <c r="Y707" t="s">
        <v>32</v>
      </c>
      <c r="AA707" t="s">
        <v>32</v>
      </c>
      <c r="AB707" t="s">
        <v>32</v>
      </c>
      <c r="AE707" t="s">
        <v>32</v>
      </c>
      <c r="AH707" t="s">
        <v>32</v>
      </c>
      <c r="AK707" t="s">
        <v>128</v>
      </c>
      <c r="AL707">
        <v>46069</v>
      </c>
      <c r="AM707">
        <v>46069</v>
      </c>
      <c r="AN707" t="s">
        <v>32</v>
      </c>
      <c r="AO707" t="s">
        <v>32</v>
      </c>
      <c r="AR707">
        <v>0</v>
      </c>
      <c r="AU707" t="s">
        <v>32</v>
      </c>
      <c r="AV707">
        <v>5209465</v>
      </c>
      <c r="AW707" t="s">
        <v>32</v>
      </c>
      <c r="AX707" t="s">
        <v>32</v>
      </c>
      <c r="AY707" t="s">
        <v>137</v>
      </c>
      <c r="AZ707">
        <v>1</v>
      </c>
      <c r="BA707">
        <v>173649</v>
      </c>
      <c r="BB707">
        <v>0.15999999642372131</v>
      </c>
      <c r="BC707">
        <v>27800</v>
      </c>
      <c r="BD707" t="s">
        <v>31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27800</v>
      </c>
      <c r="BK707" t="s">
        <v>25</v>
      </c>
      <c r="BL707" t="s">
        <v>635</v>
      </c>
      <c r="BM707">
        <v>1</v>
      </c>
      <c r="BN707">
        <v>173649</v>
      </c>
      <c r="BO707">
        <v>3.9999999105930328E-2</v>
      </c>
      <c r="BP707">
        <v>7000</v>
      </c>
      <c r="BQ707">
        <v>0</v>
      </c>
      <c r="BS707">
        <v>0</v>
      </c>
      <c r="BU707">
        <v>0</v>
      </c>
      <c r="BV707" t="s">
        <v>25</v>
      </c>
      <c r="BW707" t="s">
        <v>189</v>
      </c>
      <c r="BX707">
        <v>1</v>
      </c>
      <c r="BY707">
        <v>173649</v>
      </c>
      <c r="BZ707">
        <v>0</v>
      </c>
      <c r="CA707" t="s">
        <v>1439</v>
      </c>
      <c r="CB707" t="s">
        <v>227</v>
      </c>
      <c r="CC707" t="s">
        <v>1440</v>
      </c>
      <c r="CD707">
        <v>0</v>
      </c>
      <c r="CE707">
        <v>1</v>
      </c>
      <c r="CF707" t="s">
        <v>635</v>
      </c>
      <c r="CG707">
        <v>173649</v>
      </c>
      <c r="CH707">
        <v>3.9999999105930328E-2</v>
      </c>
      <c r="CI707">
        <v>7000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 t="s">
        <v>88</v>
      </c>
      <c r="CT707" t="s">
        <v>142</v>
      </c>
      <c r="CU707" t="s">
        <v>1442</v>
      </c>
    </row>
    <row r="708" spans="1:99">
      <c r="A708" t="s">
        <v>3047</v>
      </c>
      <c r="B708" t="s">
        <v>34</v>
      </c>
      <c r="C708" t="s">
        <v>1651</v>
      </c>
      <c r="D708" t="s">
        <v>1652</v>
      </c>
      <c r="E708" t="s">
        <v>1060</v>
      </c>
      <c r="F708" t="s">
        <v>1653</v>
      </c>
      <c r="G708" t="s">
        <v>1654</v>
      </c>
      <c r="H708" t="s">
        <v>1558</v>
      </c>
      <c r="I708" t="s">
        <v>240</v>
      </c>
      <c r="J708" t="s">
        <v>46</v>
      </c>
      <c r="K708" t="s">
        <v>29</v>
      </c>
      <c r="L708" t="s">
        <v>30</v>
      </c>
      <c r="M708">
        <v>171</v>
      </c>
      <c r="N708" t="s">
        <v>32</v>
      </c>
      <c r="O708" t="s">
        <v>32</v>
      </c>
      <c r="Q708" t="s">
        <v>32</v>
      </c>
      <c r="S708" t="s">
        <v>32</v>
      </c>
      <c r="U708" t="s">
        <v>32</v>
      </c>
      <c r="V708" t="s">
        <v>32</v>
      </c>
      <c r="W708" t="s">
        <v>32</v>
      </c>
      <c r="X708" t="s">
        <v>32</v>
      </c>
      <c r="Y708" t="s">
        <v>32</v>
      </c>
      <c r="AA708" t="s">
        <v>88</v>
      </c>
      <c r="AB708" t="s">
        <v>32</v>
      </c>
      <c r="AE708" t="s">
        <v>32</v>
      </c>
      <c r="AH708" t="s">
        <v>32</v>
      </c>
      <c r="AK708" t="s">
        <v>32</v>
      </c>
      <c r="AN708" t="s">
        <v>32</v>
      </c>
      <c r="AO708" t="s">
        <v>32</v>
      </c>
      <c r="AR708">
        <v>0</v>
      </c>
      <c r="AU708" t="s">
        <v>32</v>
      </c>
      <c r="AV708">
        <v>5209465</v>
      </c>
      <c r="AW708" t="s">
        <v>32</v>
      </c>
      <c r="AX708" t="s">
        <v>32</v>
      </c>
      <c r="AY708" t="s">
        <v>137</v>
      </c>
      <c r="AZ708">
        <v>29</v>
      </c>
      <c r="BA708">
        <v>5035817</v>
      </c>
      <c r="BB708">
        <v>0.15999999642372131</v>
      </c>
      <c r="BC708">
        <v>805800</v>
      </c>
      <c r="BD708" t="s">
        <v>31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805800</v>
      </c>
      <c r="BK708" t="s">
        <v>25</v>
      </c>
      <c r="BL708" t="s">
        <v>635</v>
      </c>
      <c r="BM708">
        <v>29</v>
      </c>
      <c r="BN708">
        <v>5035817</v>
      </c>
      <c r="BO708">
        <v>3.9999999105930328E-2</v>
      </c>
      <c r="BP708">
        <v>201500</v>
      </c>
      <c r="BQ708">
        <v>0</v>
      </c>
      <c r="BS708">
        <v>0</v>
      </c>
      <c r="BU708">
        <v>0</v>
      </c>
      <c r="BV708" t="s">
        <v>25</v>
      </c>
      <c r="BW708" t="s">
        <v>189</v>
      </c>
      <c r="BX708">
        <v>29</v>
      </c>
      <c r="BY708">
        <v>5035817</v>
      </c>
      <c r="BZ708">
        <v>6.9600000977516174E-2</v>
      </c>
      <c r="CA708" t="s">
        <v>1439</v>
      </c>
      <c r="CB708" t="s">
        <v>227</v>
      </c>
      <c r="CC708" t="s">
        <v>1440</v>
      </c>
      <c r="CD708">
        <v>350500</v>
      </c>
      <c r="CE708">
        <v>29</v>
      </c>
      <c r="CF708" t="s">
        <v>635</v>
      </c>
      <c r="CG708">
        <v>5035817</v>
      </c>
      <c r="CH708">
        <v>3.9999999105930328E-2</v>
      </c>
      <c r="CI708">
        <v>201500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 t="s">
        <v>88</v>
      </c>
      <c r="CT708" t="s">
        <v>142</v>
      </c>
      <c r="CU708" t="s">
        <v>1442</v>
      </c>
    </row>
    <row r="709" spans="1:99">
      <c r="A709" t="s">
        <v>3047</v>
      </c>
      <c r="B709" t="s">
        <v>34</v>
      </c>
      <c r="C709" t="s">
        <v>1655</v>
      </c>
      <c r="D709" t="s">
        <v>1656</v>
      </c>
      <c r="E709" t="s">
        <v>1657</v>
      </c>
      <c r="F709" t="s">
        <v>1658</v>
      </c>
      <c r="G709" t="s">
        <v>1590</v>
      </c>
      <c r="H709" t="s">
        <v>1659</v>
      </c>
      <c r="I709" t="s">
        <v>240</v>
      </c>
      <c r="J709" t="s">
        <v>46</v>
      </c>
      <c r="K709" t="s">
        <v>29</v>
      </c>
      <c r="L709" t="s">
        <v>30</v>
      </c>
      <c r="M709">
        <v>188</v>
      </c>
      <c r="N709" t="s">
        <v>32</v>
      </c>
      <c r="O709" t="s">
        <v>32</v>
      </c>
      <c r="Q709" t="s">
        <v>32</v>
      </c>
      <c r="S709" t="s">
        <v>32</v>
      </c>
      <c r="U709" t="s">
        <v>32</v>
      </c>
      <c r="V709" t="s">
        <v>32</v>
      </c>
      <c r="W709" t="s">
        <v>32</v>
      </c>
      <c r="X709" t="s">
        <v>32</v>
      </c>
      <c r="Y709" t="s">
        <v>88</v>
      </c>
      <c r="Z709">
        <v>46054</v>
      </c>
      <c r="AA709" t="s">
        <v>88</v>
      </c>
      <c r="AB709" t="s">
        <v>32</v>
      </c>
      <c r="AE709" t="s">
        <v>32</v>
      </c>
      <c r="AH709" t="s">
        <v>32</v>
      </c>
      <c r="AK709" t="s">
        <v>32</v>
      </c>
      <c r="AN709" t="s">
        <v>32</v>
      </c>
      <c r="AO709" t="s">
        <v>32</v>
      </c>
      <c r="AR709">
        <v>0</v>
      </c>
      <c r="AU709" t="s">
        <v>32</v>
      </c>
      <c r="AV709">
        <v>4024292</v>
      </c>
      <c r="AW709" t="s">
        <v>32</v>
      </c>
      <c r="AX709" t="s">
        <v>32</v>
      </c>
      <c r="AY709" t="s">
        <v>393</v>
      </c>
      <c r="AZ709">
        <v>30</v>
      </c>
      <c r="BA709">
        <v>7086256</v>
      </c>
      <c r="BB709">
        <v>0.15999999642372131</v>
      </c>
      <c r="BC709">
        <v>1133900</v>
      </c>
      <c r="BD709" t="s">
        <v>31</v>
      </c>
      <c r="BE709">
        <v>0</v>
      </c>
      <c r="BF709">
        <v>0</v>
      </c>
      <c r="BG709">
        <v>35500</v>
      </c>
      <c r="BH709">
        <v>35500</v>
      </c>
      <c r="BI709">
        <v>0</v>
      </c>
      <c r="BJ709">
        <v>1204900</v>
      </c>
      <c r="BK709" t="s">
        <v>25</v>
      </c>
      <c r="BL709" t="s">
        <v>1071</v>
      </c>
      <c r="BM709">
        <v>30</v>
      </c>
      <c r="BN709">
        <v>7086256</v>
      </c>
      <c r="BO709">
        <v>3.9999999105930328E-2</v>
      </c>
      <c r="BP709">
        <v>283500</v>
      </c>
      <c r="BQ709">
        <v>0</v>
      </c>
      <c r="BS709">
        <v>0</v>
      </c>
      <c r="BU709">
        <v>0</v>
      </c>
      <c r="BV709" t="s">
        <v>25</v>
      </c>
      <c r="BW709" t="s">
        <v>189</v>
      </c>
      <c r="BX709">
        <v>30</v>
      </c>
      <c r="BY709">
        <v>7086256</v>
      </c>
      <c r="BZ709">
        <v>5.2200001664459705E-3</v>
      </c>
      <c r="CA709" t="s">
        <v>1592</v>
      </c>
      <c r="CB709" t="s">
        <v>227</v>
      </c>
      <c r="CC709" t="s">
        <v>1593</v>
      </c>
      <c r="CD709">
        <v>37000</v>
      </c>
      <c r="CE709">
        <v>30</v>
      </c>
      <c r="CF709" t="s">
        <v>635</v>
      </c>
      <c r="CG709">
        <v>4024292</v>
      </c>
      <c r="CH709">
        <v>3.9999999105930328E-2</v>
      </c>
      <c r="CI709">
        <v>161000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 t="s">
        <v>88</v>
      </c>
      <c r="CT709" t="s">
        <v>142</v>
      </c>
      <c r="CU709" t="s">
        <v>1442</v>
      </c>
    </row>
    <row r="710" spans="1:99">
      <c r="A710" t="s">
        <v>3047</v>
      </c>
      <c r="B710" t="s">
        <v>34</v>
      </c>
      <c r="C710" t="s">
        <v>1660</v>
      </c>
      <c r="D710" t="s">
        <v>1661</v>
      </c>
      <c r="E710" t="s">
        <v>1495</v>
      </c>
      <c r="F710" t="s">
        <v>1535</v>
      </c>
      <c r="G710" t="s">
        <v>1662</v>
      </c>
      <c r="H710" t="s">
        <v>1584</v>
      </c>
      <c r="I710" t="s">
        <v>240</v>
      </c>
      <c r="J710" t="s">
        <v>46</v>
      </c>
      <c r="K710" t="s">
        <v>29</v>
      </c>
      <c r="L710" t="s">
        <v>30</v>
      </c>
      <c r="M710">
        <v>0</v>
      </c>
      <c r="N710" t="s">
        <v>32</v>
      </c>
      <c r="O710" t="s">
        <v>32</v>
      </c>
      <c r="Q710" t="s">
        <v>32</v>
      </c>
      <c r="S710" t="s">
        <v>32</v>
      </c>
      <c r="U710" t="s">
        <v>32</v>
      </c>
      <c r="V710" t="s">
        <v>32</v>
      </c>
      <c r="W710" t="s">
        <v>32</v>
      </c>
      <c r="X710" t="s">
        <v>32</v>
      </c>
      <c r="Y710" t="s">
        <v>32</v>
      </c>
      <c r="AA710" t="s">
        <v>32</v>
      </c>
      <c r="AB710" t="s">
        <v>32</v>
      </c>
      <c r="AE710" t="s">
        <v>32</v>
      </c>
      <c r="AH710" t="s">
        <v>32</v>
      </c>
      <c r="AK710" t="s">
        <v>128</v>
      </c>
      <c r="AL710">
        <v>46069</v>
      </c>
      <c r="AM710">
        <v>46069</v>
      </c>
      <c r="AN710" t="s">
        <v>32</v>
      </c>
      <c r="AO710" t="s">
        <v>32</v>
      </c>
      <c r="AR710">
        <v>0</v>
      </c>
      <c r="AU710" t="s">
        <v>32</v>
      </c>
      <c r="AV710">
        <v>2223339</v>
      </c>
      <c r="AW710" t="s">
        <v>32</v>
      </c>
      <c r="AX710" t="s">
        <v>32</v>
      </c>
      <c r="AY710" t="s">
        <v>356</v>
      </c>
      <c r="AZ710">
        <v>1</v>
      </c>
      <c r="BA710">
        <v>74112</v>
      </c>
      <c r="BB710">
        <v>0.15999999642372131</v>
      </c>
      <c r="BC710">
        <v>11900</v>
      </c>
      <c r="BD710" t="s">
        <v>31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11900</v>
      </c>
      <c r="BK710" t="s">
        <v>25</v>
      </c>
      <c r="BL710" t="s">
        <v>1064</v>
      </c>
      <c r="BM710">
        <v>1</v>
      </c>
      <c r="BN710">
        <v>74112</v>
      </c>
      <c r="BO710">
        <v>3.9999999105930328E-2</v>
      </c>
      <c r="BP710">
        <v>3000</v>
      </c>
      <c r="BQ710">
        <v>0</v>
      </c>
      <c r="BS710">
        <v>0</v>
      </c>
      <c r="BU710">
        <v>0</v>
      </c>
      <c r="BV710" t="s">
        <v>25</v>
      </c>
      <c r="BW710" t="s">
        <v>189</v>
      </c>
      <c r="BX710">
        <v>1</v>
      </c>
      <c r="BY710">
        <v>74112</v>
      </c>
      <c r="BZ710">
        <v>0</v>
      </c>
      <c r="CA710" t="s">
        <v>1439</v>
      </c>
      <c r="CB710" t="s">
        <v>227</v>
      </c>
      <c r="CC710" t="s">
        <v>1440</v>
      </c>
      <c r="CD710">
        <v>0</v>
      </c>
      <c r="CE710">
        <v>1</v>
      </c>
      <c r="CF710" t="s">
        <v>635</v>
      </c>
      <c r="CG710">
        <v>74112</v>
      </c>
      <c r="CH710">
        <v>3.9999999105930328E-2</v>
      </c>
      <c r="CI710">
        <v>3000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 t="s">
        <v>88</v>
      </c>
      <c r="CT710" t="s">
        <v>142</v>
      </c>
      <c r="CU710" t="s">
        <v>1442</v>
      </c>
    </row>
    <row r="711" spans="1:99">
      <c r="A711" t="s">
        <v>3047</v>
      </c>
      <c r="B711" t="s">
        <v>34</v>
      </c>
      <c r="C711" t="s">
        <v>1660</v>
      </c>
      <c r="D711" t="s">
        <v>1661</v>
      </c>
      <c r="E711" t="s">
        <v>1495</v>
      </c>
      <c r="F711" t="s">
        <v>1535</v>
      </c>
      <c r="G711" t="s">
        <v>1662</v>
      </c>
      <c r="H711" t="s">
        <v>1584</v>
      </c>
      <c r="I711" t="s">
        <v>240</v>
      </c>
      <c r="J711" t="s">
        <v>46</v>
      </c>
      <c r="K711" t="s">
        <v>29</v>
      </c>
      <c r="L711" t="s">
        <v>30</v>
      </c>
      <c r="M711">
        <v>0</v>
      </c>
      <c r="N711" t="s">
        <v>32</v>
      </c>
      <c r="O711" t="s">
        <v>32</v>
      </c>
      <c r="Q711" t="s">
        <v>32</v>
      </c>
      <c r="S711" t="s">
        <v>32</v>
      </c>
      <c r="U711" t="s">
        <v>32</v>
      </c>
      <c r="V711" t="s">
        <v>32</v>
      </c>
      <c r="W711" t="s">
        <v>32</v>
      </c>
      <c r="X711" t="s">
        <v>32</v>
      </c>
      <c r="Y711" t="s">
        <v>32</v>
      </c>
      <c r="AA711" t="s">
        <v>32</v>
      </c>
      <c r="AB711" t="s">
        <v>32</v>
      </c>
      <c r="AE711" t="s">
        <v>1492</v>
      </c>
      <c r="AF711">
        <v>46077</v>
      </c>
      <c r="AG711">
        <v>46078</v>
      </c>
      <c r="AH711" t="s">
        <v>32</v>
      </c>
      <c r="AK711" t="s">
        <v>32</v>
      </c>
      <c r="AN711" t="s">
        <v>32</v>
      </c>
      <c r="AO711" t="s">
        <v>32</v>
      </c>
      <c r="AR711">
        <v>0</v>
      </c>
      <c r="AU711" t="s">
        <v>32</v>
      </c>
      <c r="AV711">
        <v>2223339</v>
      </c>
      <c r="AW711" t="s">
        <v>32</v>
      </c>
      <c r="AX711" t="s">
        <v>32</v>
      </c>
      <c r="AY711" t="s">
        <v>356</v>
      </c>
      <c r="AZ711">
        <v>2</v>
      </c>
      <c r="BA711">
        <v>217110</v>
      </c>
      <c r="BB711">
        <v>0.15999999642372131</v>
      </c>
      <c r="BC711">
        <v>34800</v>
      </c>
      <c r="BD711" t="s">
        <v>31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34800</v>
      </c>
      <c r="BK711" t="s">
        <v>25</v>
      </c>
      <c r="BL711" t="s">
        <v>1064</v>
      </c>
      <c r="BM711">
        <v>2</v>
      </c>
      <c r="BN711">
        <v>217110</v>
      </c>
      <c r="BO711">
        <v>3.9999999105930328E-2</v>
      </c>
      <c r="BP711">
        <v>8700</v>
      </c>
      <c r="BQ711">
        <v>0</v>
      </c>
      <c r="BS711">
        <v>0</v>
      </c>
      <c r="BU711">
        <v>0</v>
      </c>
      <c r="BV711" t="s">
        <v>25</v>
      </c>
      <c r="BW711" t="s">
        <v>189</v>
      </c>
      <c r="BX711">
        <v>2</v>
      </c>
      <c r="BY711">
        <v>217110</v>
      </c>
      <c r="BZ711">
        <v>0</v>
      </c>
      <c r="CA711" t="s">
        <v>1439</v>
      </c>
      <c r="CB711" t="s">
        <v>227</v>
      </c>
      <c r="CC711" t="s">
        <v>1440</v>
      </c>
      <c r="CD711">
        <v>0</v>
      </c>
      <c r="CE711">
        <v>2</v>
      </c>
      <c r="CF711" t="s">
        <v>635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 t="s">
        <v>88</v>
      </c>
      <c r="CT711" t="s">
        <v>142</v>
      </c>
      <c r="CU711" t="s">
        <v>1442</v>
      </c>
    </row>
    <row r="712" spans="1:99">
      <c r="A712" t="s">
        <v>3047</v>
      </c>
      <c r="B712" t="s">
        <v>34</v>
      </c>
      <c r="C712" t="s">
        <v>1660</v>
      </c>
      <c r="D712" t="s">
        <v>1661</v>
      </c>
      <c r="E712" t="s">
        <v>1495</v>
      </c>
      <c r="F712" t="s">
        <v>1535</v>
      </c>
      <c r="G712" t="s">
        <v>1662</v>
      </c>
      <c r="H712" t="s">
        <v>1584</v>
      </c>
      <c r="I712" t="s">
        <v>240</v>
      </c>
      <c r="J712" t="s">
        <v>46</v>
      </c>
      <c r="K712" t="s">
        <v>29</v>
      </c>
      <c r="L712" t="s">
        <v>30</v>
      </c>
      <c r="M712">
        <v>199</v>
      </c>
      <c r="N712" t="s">
        <v>32</v>
      </c>
      <c r="O712" t="s">
        <v>32</v>
      </c>
      <c r="Q712" t="s">
        <v>32</v>
      </c>
      <c r="S712" t="s">
        <v>40</v>
      </c>
      <c r="T712">
        <v>46081</v>
      </c>
      <c r="U712" t="s">
        <v>32</v>
      </c>
      <c r="V712" t="s">
        <v>32</v>
      </c>
      <c r="W712" t="s">
        <v>32</v>
      </c>
      <c r="X712" t="s">
        <v>32</v>
      </c>
      <c r="Y712" t="s">
        <v>32</v>
      </c>
      <c r="AA712" t="s">
        <v>88</v>
      </c>
      <c r="AB712" t="s">
        <v>32</v>
      </c>
      <c r="AE712" t="s">
        <v>32</v>
      </c>
      <c r="AH712" t="s">
        <v>32</v>
      </c>
      <c r="AK712" t="s">
        <v>32</v>
      </c>
      <c r="AN712" t="s">
        <v>32</v>
      </c>
      <c r="AO712" t="s">
        <v>32</v>
      </c>
      <c r="AR712">
        <v>0</v>
      </c>
      <c r="AU712" t="s">
        <v>32</v>
      </c>
      <c r="AV712">
        <v>2223339</v>
      </c>
      <c r="AW712" t="s">
        <v>32</v>
      </c>
      <c r="AX712" t="s">
        <v>32</v>
      </c>
      <c r="AY712" t="s">
        <v>356</v>
      </c>
      <c r="AZ712">
        <v>27</v>
      </c>
      <c r="BA712">
        <v>3088757</v>
      </c>
      <c r="BB712">
        <v>0.15999999642372131</v>
      </c>
      <c r="BC712">
        <v>494300</v>
      </c>
      <c r="BD712" t="s">
        <v>31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494300</v>
      </c>
      <c r="BK712" t="s">
        <v>25</v>
      </c>
      <c r="BL712" t="s">
        <v>1064</v>
      </c>
      <c r="BM712">
        <v>27</v>
      </c>
      <c r="BN712">
        <v>3088757</v>
      </c>
      <c r="BO712">
        <v>3.9999999105930328E-2</v>
      </c>
      <c r="BP712">
        <v>123600</v>
      </c>
      <c r="BQ712">
        <v>0</v>
      </c>
      <c r="BS712">
        <v>0</v>
      </c>
      <c r="BU712">
        <v>0</v>
      </c>
      <c r="BV712" t="s">
        <v>25</v>
      </c>
      <c r="BW712" t="s">
        <v>189</v>
      </c>
      <c r="BX712">
        <v>27</v>
      </c>
      <c r="BY712">
        <v>3088757</v>
      </c>
      <c r="BZ712">
        <v>6.9600000977516174E-2</v>
      </c>
      <c r="CA712" t="s">
        <v>1439</v>
      </c>
      <c r="CB712" t="s">
        <v>227</v>
      </c>
      <c r="CC712" t="s">
        <v>1440</v>
      </c>
      <c r="CD712">
        <v>215000</v>
      </c>
      <c r="CE712">
        <v>27</v>
      </c>
      <c r="CF712" t="s">
        <v>635</v>
      </c>
      <c r="CG712">
        <v>3490022</v>
      </c>
      <c r="CH712">
        <v>3.9999999105930328E-2</v>
      </c>
      <c r="CI712">
        <v>139700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 t="s">
        <v>88</v>
      </c>
      <c r="CT712" t="s">
        <v>142</v>
      </c>
      <c r="CU712" t="s">
        <v>1442</v>
      </c>
    </row>
    <row r="713" spans="1:99">
      <c r="A713" t="s">
        <v>3047</v>
      </c>
      <c r="B713" t="s">
        <v>34</v>
      </c>
      <c r="C713" t="s">
        <v>1663</v>
      </c>
      <c r="D713" t="s">
        <v>1664</v>
      </c>
      <c r="E713" t="s">
        <v>1587</v>
      </c>
      <c r="F713" t="s">
        <v>1471</v>
      </c>
      <c r="G713" t="s">
        <v>1665</v>
      </c>
      <c r="H713" t="s">
        <v>1666</v>
      </c>
      <c r="I713" t="s">
        <v>240</v>
      </c>
      <c r="J713" t="s">
        <v>46</v>
      </c>
      <c r="K713" t="s">
        <v>29</v>
      </c>
      <c r="L713" t="s">
        <v>30</v>
      </c>
      <c r="M713">
        <v>0</v>
      </c>
      <c r="N713" t="s">
        <v>32</v>
      </c>
      <c r="O713" t="s">
        <v>32</v>
      </c>
      <c r="Q713" t="s">
        <v>32</v>
      </c>
      <c r="S713" t="s">
        <v>32</v>
      </c>
      <c r="U713" t="s">
        <v>32</v>
      </c>
      <c r="V713" t="s">
        <v>32</v>
      </c>
      <c r="W713" t="s">
        <v>32</v>
      </c>
      <c r="X713" t="s">
        <v>32</v>
      </c>
      <c r="Y713" t="s">
        <v>32</v>
      </c>
      <c r="AA713" t="s">
        <v>32</v>
      </c>
      <c r="AB713" t="s">
        <v>32</v>
      </c>
      <c r="AE713" t="s">
        <v>32</v>
      </c>
      <c r="AH713" t="s">
        <v>32</v>
      </c>
      <c r="AK713" t="s">
        <v>128</v>
      </c>
      <c r="AL713">
        <v>46069</v>
      </c>
      <c r="AM713">
        <v>46069</v>
      </c>
      <c r="AN713" t="s">
        <v>32</v>
      </c>
      <c r="AO713" t="s">
        <v>32</v>
      </c>
      <c r="AR713">
        <v>0</v>
      </c>
      <c r="AU713" t="s">
        <v>32</v>
      </c>
      <c r="AV713">
        <v>4024292</v>
      </c>
      <c r="AW713" t="s">
        <v>32</v>
      </c>
      <c r="AX713" t="s">
        <v>32</v>
      </c>
      <c r="AY713" t="s">
        <v>317</v>
      </c>
      <c r="AZ713">
        <v>1</v>
      </c>
      <c r="BA713">
        <v>134144</v>
      </c>
      <c r="BB713">
        <v>0.15999999642372131</v>
      </c>
      <c r="BC713">
        <v>21500</v>
      </c>
      <c r="BD713" t="s">
        <v>31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21500</v>
      </c>
      <c r="BK713" t="s">
        <v>25</v>
      </c>
      <c r="BL713" t="s">
        <v>1071</v>
      </c>
      <c r="BM713">
        <v>1</v>
      </c>
      <c r="BN713">
        <v>134144</v>
      </c>
      <c r="BO713">
        <v>3.9999999105930328E-2</v>
      </c>
      <c r="BP713">
        <v>5400</v>
      </c>
      <c r="BQ713">
        <v>0</v>
      </c>
      <c r="BS713">
        <v>0</v>
      </c>
      <c r="BU713">
        <v>0</v>
      </c>
      <c r="BV713" t="s">
        <v>25</v>
      </c>
      <c r="BW713" t="s">
        <v>189</v>
      </c>
      <c r="BX713">
        <v>1</v>
      </c>
      <c r="BY713">
        <v>134144</v>
      </c>
      <c r="BZ713">
        <v>0</v>
      </c>
      <c r="CA713" t="s">
        <v>1439</v>
      </c>
      <c r="CB713" t="s">
        <v>227</v>
      </c>
      <c r="CC713" t="s">
        <v>1440</v>
      </c>
      <c r="CD713">
        <v>0</v>
      </c>
      <c r="CE713">
        <v>1</v>
      </c>
      <c r="CF713" t="s">
        <v>635</v>
      </c>
      <c r="CG713">
        <v>134144</v>
      </c>
      <c r="CH713">
        <v>3.9999999105930328E-2</v>
      </c>
      <c r="CI713">
        <v>5400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 t="s">
        <v>88</v>
      </c>
      <c r="CT713" t="s">
        <v>142</v>
      </c>
      <c r="CU713" t="s">
        <v>1442</v>
      </c>
    </row>
    <row r="714" spans="1:99">
      <c r="A714" t="s">
        <v>3047</v>
      </c>
      <c r="B714" t="s">
        <v>34</v>
      </c>
      <c r="C714" t="s">
        <v>1663</v>
      </c>
      <c r="D714" t="s">
        <v>1664</v>
      </c>
      <c r="E714" t="s">
        <v>1587</v>
      </c>
      <c r="F714" t="s">
        <v>1471</v>
      </c>
      <c r="G714" t="s">
        <v>1665</v>
      </c>
      <c r="H714" t="s">
        <v>1666</v>
      </c>
      <c r="I714" t="s">
        <v>240</v>
      </c>
      <c r="J714" t="s">
        <v>46</v>
      </c>
      <c r="K714" t="s">
        <v>29</v>
      </c>
      <c r="L714" t="s">
        <v>30</v>
      </c>
      <c r="M714">
        <v>171</v>
      </c>
      <c r="N714" t="s">
        <v>32</v>
      </c>
      <c r="O714" t="s">
        <v>32</v>
      </c>
      <c r="Q714" t="s">
        <v>32</v>
      </c>
      <c r="S714" t="s">
        <v>32</v>
      </c>
      <c r="U714" t="s">
        <v>32</v>
      </c>
      <c r="V714" t="s">
        <v>32</v>
      </c>
      <c r="W714" t="s">
        <v>32</v>
      </c>
      <c r="X714" t="s">
        <v>32</v>
      </c>
      <c r="Y714" t="s">
        <v>88</v>
      </c>
      <c r="Z714">
        <v>46054</v>
      </c>
      <c r="AA714" t="s">
        <v>88</v>
      </c>
      <c r="AB714" t="s">
        <v>32</v>
      </c>
      <c r="AE714" t="s">
        <v>32</v>
      </c>
      <c r="AH714" t="s">
        <v>32</v>
      </c>
      <c r="AK714" t="s">
        <v>32</v>
      </c>
      <c r="AN714" t="s">
        <v>32</v>
      </c>
      <c r="AO714" t="s">
        <v>32</v>
      </c>
      <c r="AR714">
        <v>0</v>
      </c>
      <c r="AU714" t="s">
        <v>32</v>
      </c>
      <c r="AV714">
        <v>4024292</v>
      </c>
      <c r="AW714" t="s">
        <v>32</v>
      </c>
      <c r="AX714" t="s">
        <v>32</v>
      </c>
      <c r="AY714" t="s">
        <v>317</v>
      </c>
      <c r="AZ714">
        <v>29</v>
      </c>
      <c r="BA714">
        <v>3890149</v>
      </c>
      <c r="BB714">
        <v>0.15999999642372131</v>
      </c>
      <c r="BC714">
        <v>622500</v>
      </c>
      <c r="BD714" t="s">
        <v>31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622500</v>
      </c>
      <c r="BK714" t="s">
        <v>25</v>
      </c>
      <c r="BL714" t="s">
        <v>1071</v>
      </c>
      <c r="BM714">
        <v>29</v>
      </c>
      <c r="BN714">
        <v>3890149</v>
      </c>
      <c r="BO714">
        <v>3.9999999105930328E-2</v>
      </c>
      <c r="BP714">
        <v>155700</v>
      </c>
      <c r="BQ714">
        <v>0</v>
      </c>
      <c r="BS714">
        <v>0</v>
      </c>
      <c r="BU714">
        <v>0</v>
      </c>
      <c r="BV714" t="s">
        <v>25</v>
      </c>
      <c r="BW714" t="s">
        <v>189</v>
      </c>
      <c r="BX714">
        <v>29</v>
      </c>
      <c r="BY714">
        <v>3890149</v>
      </c>
      <c r="BZ714">
        <v>6.9600000977516174E-2</v>
      </c>
      <c r="CA714" t="s">
        <v>1439</v>
      </c>
      <c r="CB714" t="s">
        <v>227</v>
      </c>
      <c r="CC714" t="s">
        <v>1440</v>
      </c>
      <c r="CD714">
        <v>270800</v>
      </c>
      <c r="CE714">
        <v>29</v>
      </c>
      <c r="CF714" t="s">
        <v>635</v>
      </c>
      <c r="CG714">
        <v>3890149</v>
      </c>
      <c r="CH714">
        <v>3.9999999105930328E-2</v>
      </c>
      <c r="CI714">
        <v>155700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 t="s">
        <v>88</v>
      </c>
      <c r="CT714" t="s">
        <v>142</v>
      </c>
      <c r="CU714" t="s">
        <v>1442</v>
      </c>
    </row>
    <row r="715" spans="1:99">
      <c r="A715" t="s">
        <v>3047</v>
      </c>
      <c r="B715" t="s">
        <v>34</v>
      </c>
      <c r="C715" t="s">
        <v>1667</v>
      </c>
      <c r="D715" t="s">
        <v>1668</v>
      </c>
      <c r="E715" t="s">
        <v>1669</v>
      </c>
      <c r="F715" t="s">
        <v>982</v>
      </c>
      <c r="G715" t="s">
        <v>1670</v>
      </c>
      <c r="H715" t="s">
        <v>1558</v>
      </c>
      <c r="I715" t="s">
        <v>240</v>
      </c>
      <c r="J715" t="s">
        <v>46</v>
      </c>
      <c r="K715" t="s">
        <v>29</v>
      </c>
      <c r="L715" t="s">
        <v>30</v>
      </c>
      <c r="M715">
        <v>188</v>
      </c>
      <c r="N715" t="s">
        <v>32</v>
      </c>
      <c r="O715" t="s">
        <v>32</v>
      </c>
      <c r="Q715" t="s">
        <v>32</v>
      </c>
      <c r="S715" t="s">
        <v>32</v>
      </c>
      <c r="U715" t="s">
        <v>32</v>
      </c>
      <c r="V715" t="s">
        <v>32</v>
      </c>
      <c r="W715" t="s">
        <v>32</v>
      </c>
      <c r="X715" t="s">
        <v>32</v>
      </c>
      <c r="Y715" t="s">
        <v>88</v>
      </c>
      <c r="Z715">
        <v>46054</v>
      </c>
      <c r="AA715" t="s">
        <v>88</v>
      </c>
      <c r="AB715" t="s">
        <v>32</v>
      </c>
      <c r="AE715" t="s">
        <v>32</v>
      </c>
      <c r="AH715" t="s">
        <v>32</v>
      </c>
      <c r="AK715" t="s">
        <v>32</v>
      </c>
      <c r="AN715" t="s">
        <v>32</v>
      </c>
      <c r="AO715" t="s">
        <v>32</v>
      </c>
      <c r="AR715">
        <v>0</v>
      </c>
      <c r="AU715" t="s">
        <v>32</v>
      </c>
      <c r="AV715">
        <v>9740088</v>
      </c>
      <c r="AW715" t="s">
        <v>32</v>
      </c>
      <c r="AX715" t="s">
        <v>88</v>
      </c>
      <c r="AY715" t="s">
        <v>137</v>
      </c>
      <c r="AZ715">
        <v>30</v>
      </c>
      <c r="BA715">
        <v>9740088</v>
      </c>
      <c r="BB715">
        <v>0.15999999642372131</v>
      </c>
      <c r="BC715">
        <v>1558500</v>
      </c>
      <c r="BD715" t="s">
        <v>31</v>
      </c>
      <c r="BE715">
        <v>0</v>
      </c>
      <c r="BF715">
        <v>0</v>
      </c>
      <c r="BG715">
        <v>48800</v>
      </c>
      <c r="BH715">
        <v>48800</v>
      </c>
      <c r="BI715">
        <v>0</v>
      </c>
      <c r="BJ715">
        <v>1656100</v>
      </c>
      <c r="BK715" t="s">
        <v>25</v>
      </c>
      <c r="BL715" t="s">
        <v>635</v>
      </c>
      <c r="BM715">
        <v>30</v>
      </c>
      <c r="BN715">
        <v>9740088</v>
      </c>
      <c r="BO715">
        <v>3.9999999105930328E-2</v>
      </c>
      <c r="BP715">
        <v>389700</v>
      </c>
      <c r="BQ715">
        <v>0</v>
      </c>
      <c r="BS715">
        <v>0</v>
      </c>
      <c r="BU715">
        <v>0</v>
      </c>
      <c r="BV715" t="s">
        <v>25</v>
      </c>
      <c r="BW715" t="s">
        <v>189</v>
      </c>
      <c r="BX715">
        <v>30</v>
      </c>
      <c r="BY715">
        <v>9740088</v>
      </c>
      <c r="BZ715">
        <v>6.9600000977516174E-2</v>
      </c>
      <c r="CA715" t="s">
        <v>1439</v>
      </c>
      <c r="CB715" t="s">
        <v>227</v>
      </c>
      <c r="CC715" t="s">
        <v>1440</v>
      </c>
      <c r="CD715">
        <v>678000</v>
      </c>
      <c r="CE715">
        <v>30</v>
      </c>
      <c r="CF715" t="s">
        <v>635</v>
      </c>
      <c r="CG715">
        <v>9740088</v>
      </c>
      <c r="CH715">
        <v>3.9999999105930328E-2</v>
      </c>
      <c r="CI715">
        <v>389700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 t="s">
        <v>88</v>
      </c>
      <c r="CT715" t="s">
        <v>142</v>
      </c>
      <c r="CU715" t="s">
        <v>1442</v>
      </c>
    </row>
    <row r="716" spans="1:99">
      <c r="A716" t="s">
        <v>3047</v>
      </c>
      <c r="B716" t="s">
        <v>34</v>
      </c>
      <c r="C716" t="s">
        <v>1671</v>
      </c>
      <c r="D716" t="s">
        <v>1672</v>
      </c>
      <c r="E716" t="s">
        <v>1535</v>
      </c>
      <c r="F716" t="s">
        <v>563</v>
      </c>
      <c r="G716" t="s">
        <v>1673</v>
      </c>
      <c r="H716" t="s">
        <v>1674</v>
      </c>
      <c r="I716" t="s">
        <v>240</v>
      </c>
      <c r="J716" t="s">
        <v>46</v>
      </c>
      <c r="K716" t="s">
        <v>29</v>
      </c>
      <c r="L716" t="s">
        <v>30</v>
      </c>
      <c r="M716">
        <v>180</v>
      </c>
      <c r="N716" t="s">
        <v>32</v>
      </c>
      <c r="O716" t="s">
        <v>32</v>
      </c>
      <c r="Q716" t="s">
        <v>32</v>
      </c>
      <c r="S716" t="s">
        <v>32</v>
      </c>
      <c r="U716" t="s">
        <v>32</v>
      </c>
      <c r="V716" t="s">
        <v>32</v>
      </c>
      <c r="W716" t="s">
        <v>32</v>
      </c>
      <c r="X716" t="s">
        <v>32</v>
      </c>
      <c r="Y716" t="s">
        <v>88</v>
      </c>
      <c r="Z716">
        <v>46054</v>
      </c>
      <c r="AA716" t="s">
        <v>88</v>
      </c>
      <c r="AB716" t="s">
        <v>32</v>
      </c>
      <c r="AE716" t="s">
        <v>32</v>
      </c>
      <c r="AH716" t="s">
        <v>32</v>
      </c>
      <c r="AK716" t="s">
        <v>32</v>
      </c>
      <c r="AN716" t="s">
        <v>32</v>
      </c>
      <c r="AO716" t="s">
        <v>32</v>
      </c>
      <c r="AR716">
        <v>0</v>
      </c>
      <c r="AU716" t="s">
        <v>32</v>
      </c>
      <c r="AV716">
        <v>8812118</v>
      </c>
      <c r="AW716" t="s">
        <v>32</v>
      </c>
      <c r="AX716" t="s">
        <v>32</v>
      </c>
      <c r="AY716" t="s">
        <v>137</v>
      </c>
      <c r="AZ716">
        <v>30</v>
      </c>
      <c r="BA716">
        <v>8812118</v>
      </c>
      <c r="BB716">
        <v>0.15999999642372131</v>
      </c>
      <c r="BC716">
        <v>1410000</v>
      </c>
      <c r="BD716" t="s">
        <v>31</v>
      </c>
      <c r="BE716">
        <v>0</v>
      </c>
      <c r="BF716">
        <v>0</v>
      </c>
      <c r="BG716">
        <v>44100</v>
      </c>
      <c r="BH716">
        <v>44100</v>
      </c>
      <c r="BI716">
        <v>0</v>
      </c>
      <c r="BJ716">
        <v>1498200</v>
      </c>
      <c r="BK716" t="s">
        <v>25</v>
      </c>
      <c r="BL716" t="s">
        <v>635</v>
      </c>
      <c r="BM716">
        <v>30</v>
      </c>
      <c r="BN716">
        <v>8812118</v>
      </c>
      <c r="BO716">
        <v>3.9999999105930328E-2</v>
      </c>
      <c r="BP716">
        <v>352500</v>
      </c>
      <c r="BQ716">
        <v>0</v>
      </c>
      <c r="BS716">
        <v>0</v>
      </c>
      <c r="BU716">
        <v>0</v>
      </c>
      <c r="BV716" t="s">
        <v>25</v>
      </c>
      <c r="BW716" t="s">
        <v>189</v>
      </c>
      <c r="BX716">
        <v>30</v>
      </c>
      <c r="BY716">
        <v>8812118</v>
      </c>
      <c r="BZ716">
        <v>6.9600000977516174E-2</v>
      </c>
      <c r="CA716" t="s">
        <v>1439</v>
      </c>
      <c r="CB716" t="s">
        <v>227</v>
      </c>
      <c r="CC716" t="s">
        <v>1440</v>
      </c>
      <c r="CD716">
        <v>613400</v>
      </c>
      <c r="CE716">
        <v>30</v>
      </c>
      <c r="CF716" t="s">
        <v>635</v>
      </c>
      <c r="CG716">
        <v>8812118</v>
      </c>
      <c r="CH716">
        <v>3.9999999105930328E-2</v>
      </c>
      <c r="CI716">
        <v>352500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 t="s">
        <v>88</v>
      </c>
      <c r="CT716" t="s">
        <v>142</v>
      </c>
      <c r="CU716" t="s">
        <v>1442</v>
      </c>
    </row>
    <row r="717" spans="1:99">
      <c r="A717" t="s">
        <v>3047</v>
      </c>
      <c r="B717" t="s">
        <v>34</v>
      </c>
      <c r="C717" t="s">
        <v>1675</v>
      </c>
      <c r="D717" t="s">
        <v>1676</v>
      </c>
      <c r="E717" t="s">
        <v>1677</v>
      </c>
      <c r="F717" t="s">
        <v>1678</v>
      </c>
      <c r="G717" t="s">
        <v>1679</v>
      </c>
      <c r="H717" t="s">
        <v>1680</v>
      </c>
      <c r="I717" t="s">
        <v>240</v>
      </c>
      <c r="J717" t="s">
        <v>46</v>
      </c>
      <c r="K717" t="s">
        <v>29</v>
      </c>
      <c r="L717" t="s">
        <v>30</v>
      </c>
      <c r="M717">
        <v>0</v>
      </c>
      <c r="N717" t="s">
        <v>32</v>
      </c>
      <c r="O717" t="s">
        <v>32</v>
      </c>
      <c r="Q717" t="s">
        <v>32</v>
      </c>
      <c r="S717" t="s">
        <v>32</v>
      </c>
      <c r="U717" t="s">
        <v>32</v>
      </c>
      <c r="V717" t="s">
        <v>32</v>
      </c>
      <c r="W717" t="s">
        <v>32</v>
      </c>
      <c r="X717" t="s">
        <v>32</v>
      </c>
      <c r="Y717" t="s">
        <v>32</v>
      </c>
      <c r="AA717" t="s">
        <v>32</v>
      </c>
      <c r="AB717" t="s">
        <v>32</v>
      </c>
      <c r="AE717" t="s">
        <v>32</v>
      </c>
      <c r="AH717" t="s">
        <v>32</v>
      </c>
      <c r="AK717" t="s">
        <v>128</v>
      </c>
      <c r="AL717">
        <v>46054</v>
      </c>
      <c r="AM717">
        <v>46054</v>
      </c>
      <c r="AN717" t="s">
        <v>32</v>
      </c>
      <c r="AO717" t="s">
        <v>32</v>
      </c>
      <c r="AR717">
        <v>0</v>
      </c>
      <c r="AU717" t="s">
        <v>32</v>
      </c>
      <c r="AV717">
        <v>3639331</v>
      </c>
      <c r="AW717" t="s">
        <v>32</v>
      </c>
      <c r="AX717" t="s">
        <v>32</v>
      </c>
      <c r="AY717" t="s">
        <v>356</v>
      </c>
      <c r="AZ717">
        <v>1</v>
      </c>
      <c r="BA717">
        <v>121312</v>
      </c>
      <c r="BB717">
        <v>0.15999999642372131</v>
      </c>
      <c r="BC717">
        <v>19500</v>
      </c>
      <c r="BD717" t="s">
        <v>31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19500</v>
      </c>
      <c r="BK717" t="s">
        <v>25</v>
      </c>
      <c r="BL717" t="s">
        <v>1064</v>
      </c>
      <c r="BM717">
        <v>1</v>
      </c>
      <c r="BN717">
        <v>121312</v>
      </c>
      <c r="BO717">
        <v>3.9999999105930328E-2</v>
      </c>
      <c r="BP717">
        <v>4900</v>
      </c>
      <c r="BQ717">
        <v>0</v>
      </c>
      <c r="BS717">
        <v>0</v>
      </c>
      <c r="BU717">
        <v>0</v>
      </c>
      <c r="BV717" t="s">
        <v>25</v>
      </c>
      <c r="BW717" t="s">
        <v>189</v>
      </c>
      <c r="BX717">
        <v>1</v>
      </c>
      <c r="BY717">
        <v>121312</v>
      </c>
      <c r="BZ717">
        <v>0</v>
      </c>
      <c r="CA717" t="s">
        <v>1439</v>
      </c>
      <c r="CB717" t="s">
        <v>227</v>
      </c>
      <c r="CC717" t="s">
        <v>1440</v>
      </c>
      <c r="CD717">
        <v>0</v>
      </c>
      <c r="CE717">
        <v>1</v>
      </c>
      <c r="CF717" t="s">
        <v>635</v>
      </c>
      <c r="CG717">
        <v>121312</v>
      </c>
      <c r="CH717">
        <v>3.9999999105930328E-2</v>
      </c>
      <c r="CI717">
        <v>4900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 t="s">
        <v>88</v>
      </c>
      <c r="CT717" t="s">
        <v>142</v>
      </c>
      <c r="CU717" t="s">
        <v>1442</v>
      </c>
    </row>
    <row r="718" spans="1:99">
      <c r="A718" t="s">
        <v>3047</v>
      </c>
      <c r="B718" t="s">
        <v>34</v>
      </c>
      <c r="C718" t="s">
        <v>1675</v>
      </c>
      <c r="D718" t="s">
        <v>1676</v>
      </c>
      <c r="E718" t="s">
        <v>1677</v>
      </c>
      <c r="F718" t="s">
        <v>1678</v>
      </c>
      <c r="G718" t="s">
        <v>1679</v>
      </c>
      <c r="H718" t="s">
        <v>1680</v>
      </c>
      <c r="I718" t="s">
        <v>240</v>
      </c>
      <c r="J718" t="s">
        <v>46</v>
      </c>
      <c r="K718" t="s">
        <v>29</v>
      </c>
      <c r="L718" t="s">
        <v>30</v>
      </c>
      <c r="M718">
        <v>180</v>
      </c>
      <c r="N718" t="s">
        <v>32</v>
      </c>
      <c r="O718" t="s">
        <v>32</v>
      </c>
      <c r="Q718" t="s">
        <v>32</v>
      </c>
      <c r="S718" t="s">
        <v>32</v>
      </c>
      <c r="U718" t="s">
        <v>32</v>
      </c>
      <c r="V718" t="s">
        <v>32</v>
      </c>
      <c r="W718" t="s">
        <v>32</v>
      </c>
      <c r="X718" t="s">
        <v>32</v>
      </c>
      <c r="Y718" t="s">
        <v>88</v>
      </c>
      <c r="Z718">
        <v>46054</v>
      </c>
      <c r="AA718" t="s">
        <v>88</v>
      </c>
      <c r="AB718" t="s">
        <v>32</v>
      </c>
      <c r="AE718" t="s">
        <v>32</v>
      </c>
      <c r="AH718" t="s">
        <v>32</v>
      </c>
      <c r="AK718" t="s">
        <v>32</v>
      </c>
      <c r="AN718" t="s">
        <v>32</v>
      </c>
      <c r="AO718" t="s">
        <v>32</v>
      </c>
      <c r="AR718">
        <v>0</v>
      </c>
      <c r="AU718" t="s">
        <v>32</v>
      </c>
      <c r="AV718">
        <v>3639331</v>
      </c>
      <c r="AW718" t="s">
        <v>32</v>
      </c>
      <c r="AX718" t="s">
        <v>32</v>
      </c>
      <c r="AY718" t="s">
        <v>356</v>
      </c>
      <c r="AZ718">
        <v>29</v>
      </c>
      <c r="BA718">
        <v>3710740</v>
      </c>
      <c r="BB718">
        <v>0.15999999642372131</v>
      </c>
      <c r="BC718">
        <v>593800</v>
      </c>
      <c r="BD718" t="s">
        <v>31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593800</v>
      </c>
      <c r="BK718" t="s">
        <v>25</v>
      </c>
      <c r="BL718" t="s">
        <v>1064</v>
      </c>
      <c r="BM718">
        <v>29</v>
      </c>
      <c r="BN718">
        <v>3710740</v>
      </c>
      <c r="BO718">
        <v>3.9999999105930328E-2</v>
      </c>
      <c r="BP718">
        <v>148500</v>
      </c>
      <c r="BQ718">
        <v>0</v>
      </c>
      <c r="BS718">
        <v>0</v>
      </c>
      <c r="BU718">
        <v>0</v>
      </c>
      <c r="BV718" t="s">
        <v>25</v>
      </c>
      <c r="BW718" t="s">
        <v>189</v>
      </c>
      <c r="BX718">
        <v>29</v>
      </c>
      <c r="BY718">
        <v>3710740</v>
      </c>
      <c r="BZ718">
        <v>6.9600000977516174E-2</v>
      </c>
      <c r="CA718" t="s">
        <v>1439</v>
      </c>
      <c r="CB718" t="s">
        <v>227</v>
      </c>
      <c r="CC718" t="s">
        <v>1440</v>
      </c>
      <c r="CD718">
        <v>258300</v>
      </c>
      <c r="CE718">
        <v>29</v>
      </c>
      <c r="CF718" t="s">
        <v>635</v>
      </c>
      <c r="CG718">
        <v>3710740</v>
      </c>
      <c r="CH718">
        <v>3.9999999105930328E-2</v>
      </c>
      <c r="CI718">
        <v>148500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 t="s">
        <v>88</v>
      </c>
      <c r="CT718" t="s">
        <v>142</v>
      </c>
      <c r="CU718" t="s">
        <v>1442</v>
      </c>
    </row>
    <row r="719" spans="1:99">
      <c r="A719" t="s">
        <v>3047</v>
      </c>
      <c r="B719" t="s">
        <v>34</v>
      </c>
      <c r="C719" t="s">
        <v>1681</v>
      </c>
      <c r="D719" t="s">
        <v>1682</v>
      </c>
      <c r="E719" t="s">
        <v>1218</v>
      </c>
      <c r="F719" t="s">
        <v>1683</v>
      </c>
      <c r="G719" t="s">
        <v>1684</v>
      </c>
      <c r="H719" t="s">
        <v>1685</v>
      </c>
      <c r="I719" t="s">
        <v>240</v>
      </c>
      <c r="J719" t="s">
        <v>46</v>
      </c>
      <c r="K719" t="s">
        <v>29</v>
      </c>
      <c r="L719" t="s">
        <v>30</v>
      </c>
      <c r="M719">
        <v>188</v>
      </c>
      <c r="N719" t="s">
        <v>32</v>
      </c>
      <c r="O719" t="s">
        <v>32</v>
      </c>
      <c r="Q719" t="s">
        <v>32</v>
      </c>
      <c r="S719" t="s">
        <v>32</v>
      </c>
      <c r="U719" t="s">
        <v>32</v>
      </c>
      <c r="V719" t="s">
        <v>32</v>
      </c>
      <c r="W719" t="s">
        <v>32</v>
      </c>
      <c r="X719" t="s">
        <v>32</v>
      </c>
      <c r="Y719" t="s">
        <v>32</v>
      </c>
      <c r="AA719" t="s">
        <v>88</v>
      </c>
      <c r="AB719" t="s">
        <v>32</v>
      </c>
      <c r="AE719" t="s">
        <v>32</v>
      </c>
      <c r="AH719" t="s">
        <v>32</v>
      </c>
      <c r="AK719" t="s">
        <v>32</v>
      </c>
      <c r="AN719" t="s">
        <v>32</v>
      </c>
      <c r="AO719" t="s">
        <v>32</v>
      </c>
      <c r="AR719">
        <v>0</v>
      </c>
      <c r="AU719" t="s">
        <v>32</v>
      </c>
      <c r="AV719">
        <v>1750905</v>
      </c>
      <c r="AW719" t="s">
        <v>32</v>
      </c>
      <c r="AX719" t="s">
        <v>32</v>
      </c>
      <c r="AY719" t="s">
        <v>356</v>
      </c>
      <c r="AZ719">
        <v>30</v>
      </c>
      <c r="BA719">
        <v>1750905</v>
      </c>
      <c r="BB719">
        <v>0.15999999642372131</v>
      </c>
      <c r="BC719">
        <v>280200</v>
      </c>
      <c r="BD719" t="s">
        <v>31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280200</v>
      </c>
      <c r="BK719" t="s">
        <v>25</v>
      </c>
      <c r="BL719" t="s">
        <v>1071</v>
      </c>
      <c r="BM719">
        <v>30</v>
      </c>
      <c r="BN719">
        <v>1750905</v>
      </c>
      <c r="BO719">
        <v>3.9999999105930328E-2</v>
      </c>
      <c r="BP719">
        <v>70100</v>
      </c>
      <c r="BQ719">
        <v>0</v>
      </c>
      <c r="BS719">
        <v>0</v>
      </c>
      <c r="BU719">
        <v>0</v>
      </c>
      <c r="BV719" t="s">
        <v>25</v>
      </c>
      <c r="BW719" t="s">
        <v>189</v>
      </c>
      <c r="BX719">
        <v>30</v>
      </c>
      <c r="BY719">
        <v>1750905</v>
      </c>
      <c r="BZ719">
        <v>5.2200001664459705E-3</v>
      </c>
      <c r="CA719" t="s">
        <v>1592</v>
      </c>
      <c r="CB719" t="s">
        <v>227</v>
      </c>
      <c r="CC719" t="s">
        <v>1593</v>
      </c>
      <c r="CD719">
        <v>9200</v>
      </c>
      <c r="CE719">
        <v>30</v>
      </c>
      <c r="CF719" t="s">
        <v>635</v>
      </c>
      <c r="CG719">
        <v>1750905</v>
      </c>
      <c r="CH719">
        <v>3.9999999105930328E-2</v>
      </c>
      <c r="CI719">
        <v>70100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 t="s">
        <v>88</v>
      </c>
      <c r="CT719" t="s">
        <v>142</v>
      </c>
      <c r="CU719" t="s">
        <v>1442</v>
      </c>
    </row>
    <row r="720" spans="1:99">
      <c r="A720" t="s">
        <v>3047</v>
      </c>
      <c r="B720" t="s">
        <v>34</v>
      </c>
      <c r="C720" t="s">
        <v>1686</v>
      </c>
      <c r="D720" t="s">
        <v>1687</v>
      </c>
      <c r="E720" t="s">
        <v>1688</v>
      </c>
      <c r="F720" t="s">
        <v>1689</v>
      </c>
      <c r="G720" t="s">
        <v>1455</v>
      </c>
      <c r="H720" t="s">
        <v>1613</v>
      </c>
      <c r="I720" t="s">
        <v>240</v>
      </c>
      <c r="J720" t="s">
        <v>46</v>
      </c>
      <c r="K720" t="s">
        <v>29</v>
      </c>
      <c r="L720" t="s">
        <v>30</v>
      </c>
      <c r="M720">
        <v>0</v>
      </c>
      <c r="N720" t="s">
        <v>32</v>
      </c>
      <c r="O720" t="s">
        <v>32</v>
      </c>
      <c r="Q720" t="s">
        <v>32</v>
      </c>
      <c r="S720" t="s">
        <v>32</v>
      </c>
      <c r="U720" t="s">
        <v>32</v>
      </c>
      <c r="V720" t="s">
        <v>32</v>
      </c>
      <c r="W720" t="s">
        <v>32</v>
      </c>
      <c r="X720" t="s">
        <v>32</v>
      </c>
      <c r="Y720" t="s">
        <v>32</v>
      </c>
      <c r="AA720" t="s">
        <v>32</v>
      </c>
      <c r="AB720" t="s">
        <v>32</v>
      </c>
      <c r="AE720" t="s">
        <v>32</v>
      </c>
      <c r="AH720" t="s">
        <v>32</v>
      </c>
      <c r="AK720" t="s">
        <v>128</v>
      </c>
      <c r="AL720">
        <v>46056</v>
      </c>
      <c r="AM720">
        <v>46056</v>
      </c>
      <c r="AN720" t="s">
        <v>32</v>
      </c>
      <c r="AO720" t="s">
        <v>32</v>
      </c>
      <c r="AR720">
        <v>0</v>
      </c>
      <c r="AU720" t="s">
        <v>32</v>
      </c>
      <c r="AV720">
        <v>2074908</v>
      </c>
      <c r="AW720" t="s">
        <v>32</v>
      </c>
      <c r="AX720" t="s">
        <v>32</v>
      </c>
      <c r="AY720" t="s">
        <v>137</v>
      </c>
      <c r="AZ720">
        <v>1</v>
      </c>
      <c r="BA720">
        <v>69164</v>
      </c>
      <c r="BB720">
        <v>0.15999999642372131</v>
      </c>
      <c r="BC720">
        <v>11100</v>
      </c>
      <c r="BD720" t="s">
        <v>31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11100</v>
      </c>
      <c r="BK720" t="s">
        <v>25</v>
      </c>
      <c r="BL720" t="s">
        <v>885</v>
      </c>
      <c r="BM720">
        <v>1</v>
      </c>
      <c r="BN720">
        <v>69164</v>
      </c>
      <c r="BO720">
        <v>3.9999999105930328E-2</v>
      </c>
      <c r="BP720">
        <v>2800</v>
      </c>
      <c r="BQ720">
        <v>0</v>
      </c>
      <c r="BS720">
        <v>0</v>
      </c>
      <c r="BU720">
        <v>0</v>
      </c>
      <c r="BV720" t="s">
        <v>25</v>
      </c>
      <c r="BW720" t="s">
        <v>189</v>
      </c>
      <c r="BX720">
        <v>1</v>
      </c>
      <c r="BY720">
        <v>69164</v>
      </c>
      <c r="BZ720">
        <v>0</v>
      </c>
      <c r="CA720" t="s">
        <v>1439</v>
      </c>
      <c r="CB720" t="s">
        <v>227</v>
      </c>
      <c r="CC720" t="s">
        <v>1440</v>
      </c>
      <c r="CD720">
        <v>0</v>
      </c>
      <c r="CE720">
        <v>1</v>
      </c>
      <c r="CF720" t="s">
        <v>635</v>
      </c>
      <c r="CG720">
        <v>69164</v>
      </c>
      <c r="CH720">
        <v>3.9999999105930328E-2</v>
      </c>
      <c r="CI720">
        <v>2800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 t="s">
        <v>88</v>
      </c>
      <c r="CT720" t="s">
        <v>142</v>
      </c>
      <c r="CU720" t="s">
        <v>1442</v>
      </c>
    </row>
    <row r="721" spans="1:99">
      <c r="A721" t="s">
        <v>3047</v>
      </c>
      <c r="B721" t="s">
        <v>34</v>
      </c>
      <c r="C721" t="s">
        <v>1686</v>
      </c>
      <c r="D721" t="s">
        <v>1687</v>
      </c>
      <c r="E721" t="s">
        <v>1688</v>
      </c>
      <c r="F721" t="s">
        <v>1689</v>
      </c>
      <c r="G721" t="s">
        <v>1455</v>
      </c>
      <c r="H721" t="s">
        <v>1613</v>
      </c>
      <c r="I721" t="s">
        <v>240</v>
      </c>
      <c r="J721" t="s">
        <v>46</v>
      </c>
      <c r="K721" t="s">
        <v>29</v>
      </c>
      <c r="L721" t="s">
        <v>30</v>
      </c>
      <c r="M721">
        <v>0</v>
      </c>
      <c r="N721" t="s">
        <v>32</v>
      </c>
      <c r="O721" t="s">
        <v>32</v>
      </c>
      <c r="Q721" t="s">
        <v>32</v>
      </c>
      <c r="S721" t="s">
        <v>32</v>
      </c>
      <c r="U721" t="s">
        <v>32</v>
      </c>
      <c r="V721" t="s">
        <v>32</v>
      </c>
      <c r="W721" t="s">
        <v>32</v>
      </c>
      <c r="X721" t="s">
        <v>32</v>
      </c>
      <c r="Y721" t="s">
        <v>32</v>
      </c>
      <c r="AA721" t="s">
        <v>32</v>
      </c>
      <c r="AB721" t="s">
        <v>32</v>
      </c>
      <c r="AE721" t="s">
        <v>1492</v>
      </c>
      <c r="AF721">
        <v>46057</v>
      </c>
      <c r="AG721">
        <v>46058</v>
      </c>
      <c r="AH721" t="s">
        <v>32</v>
      </c>
      <c r="AK721" t="s">
        <v>32</v>
      </c>
      <c r="AN721" t="s">
        <v>32</v>
      </c>
      <c r="AO721" t="s">
        <v>32</v>
      </c>
      <c r="AR721">
        <v>0</v>
      </c>
      <c r="AU721" t="s">
        <v>32</v>
      </c>
      <c r="AV721">
        <v>2074908</v>
      </c>
      <c r="AW721" t="s">
        <v>32</v>
      </c>
      <c r="AX721" t="s">
        <v>32</v>
      </c>
      <c r="AY721" t="s">
        <v>137</v>
      </c>
      <c r="AZ721">
        <v>2</v>
      </c>
      <c r="BA721">
        <v>200102</v>
      </c>
      <c r="BB721">
        <v>0.15999999642372131</v>
      </c>
      <c r="BC721">
        <v>32100</v>
      </c>
      <c r="BD721" t="s">
        <v>31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32100</v>
      </c>
      <c r="BK721" t="s">
        <v>25</v>
      </c>
      <c r="BL721" t="s">
        <v>885</v>
      </c>
      <c r="BM721">
        <v>2</v>
      </c>
      <c r="BN721">
        <v>200102</v>
      </c>
      <c r="BO721">
        <v>3.9999999105930328E-2</v>
      </c>
      <c r="BP721">
        <v>8100</v>
      </c>
      <c r="BQ721">
        <v>0</v>
      </c>
      <c r="BS721">
        <v>0</v>
      </c>
      <c r="BU721">
        <v>0</v>
      </c>
      <c r="BV721" t="s">
        <v>25</v>
      </c>
      <c r="BW721" t="s">
        <v>189</v>
      </c>
      <c r="BX721">
        <v>2</v>
      </c>
      <c r="BY721">
        <v>200102</v>
      </c>
      <c r="BZ721">
        <v>0</v>
      </c>
      <c r="CA721" t="s">
        <v>1439</v>
      </c>
      <c r="CB721" t="s">
        <v>227</v>
      </c>
      <c r="CC721" t="s">
        <v>1440</v>
      </c>
      <c r="CD721">
        <v>0</v>
      </c>
      <c r="CE721">
        <v>2</v>
      </c>
      <c r="CF721" t="s">
        <v>635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 t="s">
        <v>88</v>
      </c>
      <c r="CT721" t="s">
        <v>142</v>
      </c>
      <c r="CU721" t="s">
        <v>1442</v>
      </c>
    </row>
    <row r="722" spans="1:99">
      <c r="A722" t="s">
        <v>3047</v>
      </c>
      <c r="B722" t="s">
        <v>34</v>
      </c>
      <c r="C722" t="s">
        <v>1686</v>
      </c>
      <c r="D722" t="s">
        <v>1687</v>
      </c>
      <c r="E722" t="s">
        <v>1688</v>
      </c>
      <c r="F722" t="s">
        <v>1689</v>
      </c>
      <c r="G722" t="s">
        <v>1455</v>
      </c>
      <c r="H722" t="s">
        <v>1613</v>
      </c>
      <c r="I722" t="s">
        <v>240</v>
      </c>
      <c r="J722" t="s">
        <v>46</v>
      </c>
      <c r="K722" t="s">
        <v>29</v>
      </c>
      <c r="L722" t="s">
        <v>30</v>
      </c>
      <c r="M722">
        <v>188</v>
      </c>
      <c r="N722" t="s">
        <v>32</v>
      </c>
      <c r="O722" t="s">
        <v>32</v>
      </c>
      <c r="Q722" t="s">
        <v>32</v>
      </c>
      <c r="S722" t="s">
        <v>32</v>
      </c>
      <c r="U722" t="s">
        <v>32</v>
      </c>
      <c r="V722" t="s">
        <v>32</v>
      </c>
      <c r="W722" t="s">
        <v>32</v>
      </c>
      <c r="X722" t="s">
        <v>32</v>
      </c>
      <c r="Y722" t="s">
        <v>32</v>
      </c>
      <c r="AA722" t="s">
        <v>88</v>
      </c>
      <c r="AB722" t="s">
        <v>32</v>
      </c>
      <c r="AE722" t="s">
        <v>32</v>
      </c>
      <c r="AH722" t="s">
        <v>32</v>
      </c>
      <c r="AK722" t="s">
        <v>32</v>
      </c>
      <c r="AN722" t="s">
        <v>32</v>
      </c>
      <c r="AO722" t="s">
        <v>32</v>
      </c>
      <c r="AR722">
        <v>0</v>
      </c>
      <c r="AU722" t="s">
        <v>32</v>
      </c>
      <c r="AV722">
        <v>2074908</v>
      </c>
      <c r="AW722" t="s">
        <v>32</v>
      </c>
      <c r="AX722" t="s">
        <v>32</v>
      </c>
      <c r="AY722" t="s">
        <v>137</v>
      </c>
      <c r="AZ722">
        <v>27</v>
      </c>
      <c r="BA722">
        <v>2700948</v>
      </c>
      <c r="BB722">
        <v>0.15999999642372131</v>
      </c>
      <c r="BC722">
        <v>432200</v>
      </c>
      <c r="BD722" t="s">
        <v>31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432200</v>
      </c>
      <c r="BK722" t="s">
        <v>25</v>
      </c>
      <c r="BL722" t="s">
        <v>885</v>
      </c>
      <c r="BM722">
        <v>27</v>
      </c>
      <c r="BN722">
        <v>2700948</v>
      </c>
      <c r="BO722">
        <v>3.9999999105930328E-2</v>
      </c>
      <c r="BP722">
        <v>108100</v>
      </c>
      <c r="BQ722">
        <v>0</v>
      </c>
      <c r="BS722">
        <v>0</v>
      </c>
      <c r="BU722">
        <v>0</v>
      </c>
      <c r="BV722" t="s">
        <v>25</v>
      </c>
      <c r="BW722" t="s">
        <v>189</v>
      </c>
      <c r="BX722">
        <v>27</v>
      </c>
      <c r="BY722">
        <v>2700948</v>
      </c>
      <c r="BZ722">
        <v>6.9600000977516174E-2</v>
      </c>
      <c r="CA722" t="s">
        <v>1439</v>
      </c>
      <c r="CB722" t="s">
        <v>227</v>
      </c>
      <c r="CC722" t="s">
        <v>1440</v>
      </c>
      <c r="CD722">
        <v>188000</v>
      </c>
      <c r="CE722">
        <v>27</v>
      </c>
      <c r="CF722" t="s">
        <v>635</v>
      </c>
      <c r="CG722">
        <v>2700948</v>
      </c>
      <c r="CH722">
        <v>3.9999999105930328E-2</v>
      </c>
      <c r="CI722">
        <v>108100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 t="s">
        <v>88</v>
      </c>
      <c r="CT722" t="s">
        <v>142</v>
      </c>
      <c r="CU722" t="s">
        <v>1442</v>
      </c>
    </row>
    <row r="723" spans="1:99">
      <c r="A723" t="s">
        <v>3047</v>
      </c>
      <c r="B723" t="s">
        <v>34</v>
      </c>
      <c r="C723" t="s">
        <v>1690</v>
      </c>
      <c r="D723" t="s">
        <v>1691</v>
      </c>
      <c r="E723" t="s">
        <v>1535</v>
      </c>
      <c r="F723" t="s">
        <v>1692</v>
      </c>
      <c r="G723" t="s">
        <v>1693</v>
      </c>
      <c r="H723" t="s">
        <v>1694</v>
      </c>
      <c r="I723" t="s">
        <v>240</v>
      </c>
      <c r="J723" t="s">
        <v>46</v>
      </c>
      <c r="K723" t="s">
        <v>29</v>
      </c>
      <c r="L723" t="s">
        <v>30</v>
      </c>
      <c r="M723">
        <v>0</v>
      </c>
      <c r="N723" t="s">
        <v>32</v>
      </c>
      <c r="O723" t="s">
        <v>32</v>
      </c>
      <c r="Q723" t="s">
        <v>32</v>
      </c>
      <c r="S723" t="s">
        <v>32</v>
      </c>
      <c r="U723" t="s">
        <v>32</v>
      </c>
      <c r="V723" t="s">
        <v>32</v>
      </c>
      <c r="W723" t="s">
        <v>32</v>
      </c>
      <c r="X723" t="s">
        <v>32</v>
      </c>
      <c r="Y723" t="s">
        <v>32</v>
      </c>
      <c r="AA723" t="s">
        <v>32</v>
      </c>
      <c r="AB723" t="s">
        <v>37</v>
      </c>
      <c r="AC723">
        <v>46054</v>
      </c>
      <c r="AD723">
        <v>46056</v>
      </c>
      <c r="AE723" t="s">
        <v>32</v>
      </c>
      <c r="AH723" t="s">
        <v>32</v>
      </c>
      <c r="AK723" t="s">
        <v>32</v>
      </c>
      <c r="AN723" t="s">
        <v>32</v>
      </c>
      <c r="AO723" t="s">
        <v>32</v>
      </c>
      <c r="AR723">
        <v>0</v>
      </c>
      <c r="AU723" t="s">
        <v>32</v>
      </c>
      <c r="AV723">
        <v>1785595</v>
      </c>
      <c r="AW723" t="s">
        <v>32</v>
      </c>
      <c r="AX723" t="s">
        <v>32</v>
      </c>
      <c r="AY723" t="s">
        <v>317</v>
      </c>
      <c r="AZ723">
        <v>3</v>
      </c>
      <c r="BA723">
        <v>178560</v>
      </c>
      <c r="BB723">
        <v>0.15999999642372131</v>
      </c>
      <c r="BC723">
        <v>28600</v>
      </c>
      <c r="BD723" t="s">
        <v>31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28600</v>
      </c>
      <c r="BK723" t="s">
        <v>25</v>
      </c>
      <c r="BL723" t="s">
        <v>1071</v>
      </c>
      <c r="BM723">
        <v>3</v>
      </c>
      <c r="BN723">
        <v>178560</v>
      </c>
      <c r="BO723">
        <v>0</v>
      </c>
      <c r="BP723">
        <v>0</v>
      </c>
      <c r="BQ723">
        <v>0</v>
      </c>
      <c r="BS723">
        <v>0</v>
      </c>
      <c r="BU723">
        <v>0</v>
      </c>
      <c r="BV723" t="s">
        <v>25</v>
      </c>
      <c r="BW723" t="s">
        <v>189</v>
      </c>
      <c r="BX723">
        <v>3</v>
      </c>
      <c r="BY723">
        <v>178560</v>
      </c>
      <c r="BZ723">
        <v>0</v>
      </c>
      <c r="CA723" t="s">
        <v>1439</v>
      </c>
      <c r="CB723" t="s">
        <v>227</v>
      </c>
      <c r="CC723" t="s">
        <v>1440</v>
      </c>
      <c r="CD723">
        <v>0</v>
      </c>
      <c r="CE723">
        <v>3</v>
      </c>
      <c r="CF723" t="s">
        <v>635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 t="s">
        <v>88</v>
      </c>
      <c r="CT723" t="s">
        <v>142</v>
      </c>
      <c r="CU723" t="s">
        <v>1442</v>
      </c>
    </row>
    <row r="724" spans="1:99">
      <c r="A724" t="s">
        <v>3047</v>
      </c>
      <c r="B724" t="s">
        <v>34</v>
      </c>
      <c r="C724" t="s">
        <v>1690</v>
      </c>
      <c r="D724" t="s">
        <v>1691</v>
      </c>
      <c r="E724" t="s">
        <v>1535</v>
      </c>
      <c r="F724" t="s">
        <v>1692</v>
      </c>
      <c r="G724" t="s">
        <v>1693</v>
      </c>
      <c r="H724" t="s">
        <v>1694</v>
      </c>
      <c r="I724" t="s">
        <v>240</v>
      </c>
      <c r="J724" t="s">
        <v>46</v>
      </c>
      <c r="K724" t="s">
        <v>29</v>
      </c>
      <c r="L724" t="s">
        <v>30</v>
      </c>
      <c r="M724">
        <v>0</v>
      </c>
      <c r="N724" t="s">
        <v>32</v>
      </c>
      <c r="O724" t="s">
        <v>32</v>
      </c>
      <c r="Q724" t="s">
        <v>32</v>
      </c>
      <c r="S724" t="s">
        <v>32</v>
      </c>
      <c r="U724" t="s">
        <v>32</v>
      </c>
      <c r="V724" t="s">
        <v>32</v>
      </c>
      <c r="W724" t="s">
        <v>32</v>
      </c>
      <c r="X724" t="s">
        <v>32</v>
      </c>
      <c r="Y724" t="s">
        <v>32</v>
      </c>
      <c r="AA724" t="s">
        <v>32</v>
      </c>
      <c r="AB724" t="s">
        <v>32</v>
      </c>
      <c r="AE724" t="s">
        <v>1492</v>
      </c>
      <c r="AF724">
        <v>46055</v>
      </c>
      <c r="AG724">
        <v>46056</v>
      </c>
      <c r="AH724" t="s">
        <v>32</v>
      </c>
      <c r="AK724" t="s">
        <v>32</v>
      </c>
      <c r="AN724" t="s">
        <v>32</v>
      </c>
      <c r="AO724" t="s">
        <v>32</v>
      </c>
      <c r="AR724">
        <v>0</v>
      </c>
      <c r="AU724" t="s">
        <v>32</v>
      </c>
      <c r="AV724">
        <v>1785595</v>
      </c>
      <c r="AW724" t="s">
        <v>32</v>
      </c>
      <c r="AX724" t="s">
        <v>32</v>
      </c>
      <c r="AY724" t="s">
        <v>317</v>
      </c>
      <c r="AZ724">
        <v>2</v>
      </c>
      <c r="BA724">
        <v>119040</v>
      </c>
      <c r="BB724">
        <v>0.15999999642372131</v>
      </c>
      <c r="BC724">
        <v>19100</v>
      </c>
      <c r="BD724" t="s">
        <v>31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19100</v>
      </c>
      <c r="BK724" t="s">
        <v>25</v>
      </c>
      <c r="BL724" t="s">
        <v>1071</v>
      </c>
      <c r="BM724">
        <v>2</v>
      </c>
      <c r="BN724">
        <v>119040</v>
      </c>
      <c r="BO724">
        <v>3.9999999105930328E-2</v>
      </c>
      <c r="BP724">
        <v>4800</v>
      </c>
      <c r="BQ724">
        <v>0</v>
      </c>
      <c r="BS724">
        <v>0</v>
      </c>
      <c r="BU724">
        <v>0</v>
      </c>
      <c r="BV724" t="s">
        <v>25</v>
      </c>
      <c r="BW724" t="s">
        <v>189</v>
      </c>
      <c r="BX724">
        <v>2</v>
      </c>
      <c r="BY724">
        <v>119040</v>
      </c>
      <c r="BZ724">
        <v>0</v>
      </c>
      <c r="CA724" t="s">
        <v>1439</v>
      </c>
      <c r="CB724" t="s">
        <v>227</v>
      </c>
      <c r="CC724" t="s">
        <v>1440</v>
      </c>
      <c r="CD724">
        <v>0</v>
      </c>
      <c r="CE724">
        <v>2</v>
      </c>
      <c r="CF724" t="s">
        <v>635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 t="s">
        <v>88</v>
      </c>
      <c r="CT724" t="s">
        <v>142</v>
      </c>
      <c r="CU724" t="s">
        <v>1442</v>
      </c>
    </row>
    <row r="725" spans="1:99">
      <c r="A725" t="s">
        <v>3047</v>
      </c>
      <c r="B725" t="s">
        <v>34</v>
      </c>
      <c r="C725" t="s">
        <v>1690</v>
      </c>
      <c r="D725" t="s">
        <v>1691</v>
      </c>
      <c r="E725" t="s">
        <v>1535</v>
      </c>
      <c r="F725" t="s">
        <v>1692</v>
      </c>
      <c r="G725" t="s">
        <v>1693</v>
      </c>
      <c r="H725" t="s">
        <v>1694</v>
      </c>
      <c r="I725" t="s">
        <v>240</v>
      </c>
      <c r="J725" t="s">
        <v>46</v>
      </c>
      <c r="K725" t="s">
        <v>29</v>
      </c>
      <c r="L725" t="s">
        <v>30</v>
      </c>
      <c r="M725">
        <v>0</v>
      </c>
      <c r="N725" t="s">
        <v>32</v>
      </c>
      <c r="O725" t="s">
        <v>32</v>
      </c>
      <c r="Q725" t="s">
        <v>32</v>
      </c>
      <c r="S725" t="s">
        <v>32</v>
      </c>
      <c r="U725" t="s">
        <v>32</v>
      </c>
      <c r="V725" t="s">
        <v>32</v>
      </c>
      <c r="W725" t="s">
        <v>32</v>
      </c>
      <c r="X725" t="s">
        <v>32</v>
      </c>
      <c r="Y725" t="s">
        <v>32</v>
      </c>
      <c r="AA725" t="s">
        <v>32</v>
      </c>
      <c r="AB725" t="s">
        <v>37</v>
      </c>
      <c r="AC725">
        <v>46069</v>
      </c>
      <c r="AD725">
        <v>46075</v>
      </c>
      <c r="AE725" t="s">
        <v>32</v>
      </c>
      <c r="AH725" t="s">
        <v>32</v>
      </c>
      <c r="AK725" t="s">
        <v>32</v>
      </c>
      <c r="AN725" t="s">
        <v>32</v>
      </c>
      <c r="AO725" t="s">
        <v>32</v>
      </c>
      <c r="AR725">
        <v>0</v>
      </c>
      <c r="AU725" t="s">
        <v>32</v>
      </c>
      <c r="AV725">
        <v>1785595</v>
      </c>
      <c r="AW725" t="s">
        <v>32</v>
      </c>
      <c r="AX725" t="s">
        <v>32</v>
      </c>
      <c r="AY725" t="s">
        <v>317</v>
      </c>
      <c r="AZ725">
        <v>7</v>
      </c>
      <c r="BA725">
        <v>416639</v>
      </c>
      <c r="BB725">
        <v>0.15999999642372131</v>
      </c>
      <c r="BC725">
        <v>66700</v>
      </c>
      <c r="BD725" t="s">
        <v>31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66700</v>
      </c>
      <c r="BK725" t="s">
        <v>25</v>
      </c>
      <c r="BL725" t="s">
        <v>1071</v>
      </c>
      <c r="BM725">
        <v>7</v>
      </c>
      <c r="BN725">
        <v>416639</v>
      </c>
      <c r="BO725">
        <v>0</v>
      </c>
      <c r="BP725">
        <v>0</v>
      </c>
      <c r="BQ725">
        <v>0</v>
      </c>
      <c r="BS725">
        <v>0</v>
      </c>
      <c r="BU725">
        <v>0</v>
      </c>
      <c r="BV725" t="s">
        <v>25</v>
      </c>
      <c r="BW725" t="s">
        <v>189</v>
      </c>
      <c r="BX725">
        <v>7</v>
      </c>
      <c r="BY725">
        <v>416639</v>
      </c>
      <c r="BZ725">
        <v>0</v>
      </c>
      <c r="CA725" t="s">
        <v>1439</v>
      </c>
      <c r="CB725" t="s">
        <v>227</v>
      </c>
      <c r="CC725" t="s">
        <v>1440</v>
      </c>
      <c r="CD725">
        <v>0</v>
      </c>
      <c r="CE725">
        <v>7</v>
      </c>
      <c r="CF725" t="s">
        <v>635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 t="s">
        <v>88</v>
      </c>
      <c r="CT725" t="s">
        <v>142</v>
      </c>
      <c r="CU725" t="s">
        <v>1442</v>
      </c>
    </row>
    <row r="726" spans="1:99">
      <c r="A726" t="s">
        <v>3047</v>
      </c>
      <c r="B726" t="s">
        <v>34</v>
      </c>
      <c r="C726" t="s">
        <v>1690</v>
      </c>
      <c r="D726" t="s">
        <v>1691</v>
      </c>
      <c r="E726" t="s">
        <v>1535</v>
      </c>
      <c r="F726" t="s">
        <v>1692</v>
      </c>
      <c r="G726" t="s">
        <v>1693</v>
      </c>
      <c r="H726" t="s">
        <v>1694</v>
      </c>
      <c r="I726" t="s">
        <v>240</v>
      </c>
      <c r="J726" t="s">
        <v>46</v>
      </c>
      <c r="K726" t="s">
        <v>29</v>
      </c>
      <c r="L726" t="s">
        <v>30</v>
      </c>
      <c r="M726">
        <v>107</v>
      </c>
      <c r="N726" t="s">
        <v>32</v>
      </c>
      <c r="O726" t="s">
        <v>32</v>
      </c>
      <c r="Q726" t="s">
        <v>32</v>
      </c>
      <c r="S726" t="s">
        <v>32</v>
      </c>
      <c r="U726" t="s">
        <v>32</v>
      </c>
      <c r="V726" t="s">
        <v>32</v>
      </c>
      <c r="W726" t="s">
        <v>32</v>
      </c>
      <c r="X726" t="s">
        <v>32</v>
      </c>
      <c r="Y726" t="s">
        <v>32</v>
      </c>
      <c r="AA726" t="s">
        <v>88</v>
      </c>
      <c r="AB726" t="s">
        <v>32</v>
      </c>
      <c r="AE726" t="s">
        <v>32</v>
      </c>
      <c r="AH726" t="s">
        <v>32</v>
      </c>
      <c r="AK726" t="s">
        <v>32</v>
      </c>
      <c r="AN726" t="s">
        <v>32</v>
      </c>
      <c r="AO726" t="s">
        <v>32</v>
      </c>
      <c r="AR726">
        <v>0</v>
      </c>
      <c r="AU726" t="s">
        <v>32</v>
      </c>
      <c r="AV726">
        <v>1785595</v>
      </c>
      <c r="AW726" t="s">
        <v>32</v>
      </c>
      <c r="AX726" t="s">
        <v>32</v>
      </c>
      <c r="AY726" t="s">
        <v>317</v>
      </c>
      <c r="AZ726">
        <v>18</v>
      </c>
      <c r="BA726">
        <v>1257763</v>
      </c>
      <c r="BB726">
        <v>0.15999999642372131</v>
      </c>
      <c r="BC726">
        <v>201300</v>
      </c>
      <c r="BD726" t="s">
        <v>31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201300</v>
      </c>
      <c r="BK726" t="s">
        <v>25</v>
      </c>
      <c r="BL726" t="s">
        <v>1071</v>
      </c>
      <c r="BM726">
        <v>18</v>
      </c>
      <c r="BN726">
        <v>1257763</v>
      </c>
      <c r="BO726">
        <v>3.9999999105930328E-2</v>
      </c>
      <c r="BP726">
        <v>50400</v>
      </c>
      <c r="BQ726">
        <v>0</v>
      </c>
      <c r="BS726">
        <v>0</v>
      </c>
      <c r="BU726">
        <v>0</v>
      </c>
      <c r="BV726" t="s">
        <v>25</v>
      </c>
      <c r="BW726" t="s">
        <v>189</v>
      </c>
      <c r="BX726">
        <v>18</v>
      </c>
      <c r="BY726">
        <v>1257763</v>
      </c>
      <c r="BZ726">
        <v>6.9600000977516174E-2</v>
      </c>
      <c r="CA726" t="s">
        <v>1439</v>
      </c>
      <c r="CB726" t="s">
        <v>227</v>
      </c>
      <c r="CC726" t="s">
        <v>1440</v>
      </c>
      <c r="CD726">
        <v>87600</v>
      </c>
      <c r="CE726">
        <v>18</v>
      </c>
      <c r="CF726" t="s">
        <v>635</v>
      </c>
      <c r="CG726">
        <v>1257763</v>
      </c>
      <c r="CH726">
        <v>3.9999999105930328E-2</v>
      </c>
      <c r="CI726">
        <v>50400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 t="s">
        <v>88</v>
      </c>
      <c r="CT726" t="s">
        <v>142</v>
      </c>
      <c r="CU726" t="s">
        <v>1442</v>
      </c>
    </row>
    <row r="727" spans="1:99">
      <c r="A727" t="s">
        <v>3047</v>
      </c>
      <c r="B727" t="s">
        <v>34</v>
      </c>
      <c r="C727" t="s">
        <v>1695</v>
      </c>
      <c r="D727" t="s">
        <v>1696</v>
      </c>
      <c r="E727" t="s">
        <v>1471</v>
      </c>
      <c r="F727" t="s">
        <v>1697</v>
      </c>
      <c r="G727" t="s">
        <v>1698</v>
      </c>
      <c r="H727" t="s">
        <v>1519</v>
      </c>
      <c r="I727" t="s">
        <v>240</v>
      </c>
      <c r="J727" t="s">
        <v>46</v>
      </c>
      <c r="K727" t="s">
        <v>29</v>
      </c>
      <c r="L727" t="s">
        <v>30</v>
      </c>
      <c r="M727">
        <v>74</v>
      </c>
      <c r="N727" t="s">
        <v>32</v>
      </c>
      <c r="O727" t="s">
        <v>32</v>
      </c>
      <c r="Q727" t="s">
        <v>40</v>
      </c>
      <c r="R727">
        <v>46071</v>
      </c>
      <c r="S727" t="s">
        <v>32</v>
      </c>
      <c r="U727" t="s">
        <v>32</v>
      </c>
      <c r="V727" t="s">
        <v>32</v>
      </c>
      <c r="W727" t="s">
        <v>32</v>
      </c>
      <c r="X727" t="s">
        <v>32</v>
      </c>
      <c r="Y727" t="s">
        <v>32</v>
      </c>
      <c r="AA727" t="s">
        <v>88</v>
      </c>
      <c r="AB727" t="s">
        <v>32</v>
      </c>
      <c r="AE727" t="s">
        <v>32</v>
      </c>
      <c r="AH727" t="s">
        <v>32</v>
      </c>
      <c r="AK727" t="s">
        <v>32</v>
      </c>
      <c r="AN727" t="s">
        <v>32</v>
      </c>
      <c r="AO727" t="s">
        <v>32</v>
      </c>
      <c r="AR727">
        <v>0</v>
      </c>
      <c r="AU727" t="s">
        <v>32</v>
      </c>
      <c r="AV727">
        <v>2223339</v>
      </c>
      <c r="AW727" t="s">
        <v>32</v>
      </c>
      <c r="AX727" t="s">
        <v>32</v>
      </c>
      <c r="AY727" t="s">
        <v>356</v>
      </c>
      <c r="AZ727">
        <v>13</v>
      </c>
      <c r="BA727">
        <v>988712</v>
      </c>
      <c r="BB727">
        <v>0.15999999642372131</v>
      </c>
      <c r="BC727">
        <v>158200</v>
      </c>
      <c r="BD727" t="s">
        <v>31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158200</v>
      </c>
      <c r="BK727" t="s">
        <v>25</v>
      </c>
      <c r="BL727" t="s">
        <v>1071</v>
      </c>
      <c r="BM727">
        <v>13</v>
      </c>
      <c r="BN727">
        <v>988712</v>
      </c>
      <c r="BO727">
        <v>3.9999999105930328E-2</v>
      </c>
      <c r="BP727">
        <v>39600</v>
      </c>
      <c r="BQ727">
        <v>0</v>
      </c>
      <c r="BS727">
        <v>0</v>
      </c>
      <c r="BU727">
        <v>0</v>
      </c>
      <c r="BV727" t="s">
        <v>25</v>
      </c>
      <c r="BW727" t="s">
        <v>189</v>
      </c>
      <c r="BX727">
        <v>13</v>
      </c>
      <c r="BY727">
        <v>988712</v>
      </c>
      <c r="BZ727">
        <v>6.9600000977516174E-2</v>
      </c>
      <c r="CA727" t="s">
        <v>1439</v>
      </c>
      <c r="CB727" t="s">
        <v>227</v>
      </c>
      <c r="CC727" t="s">
        <v>1440</v>
      </c>
      <c r="CD727">
        <v>68900</v>
      </c>
      <c r="CE727">
        <v>13</v>
      </c>
      <c r="CF727" t="s">
        <v>635</v>
      </c>
      <c r="CG727">
        <v>988712</v>
      </c>
      <c r="CH727">
        <v>3.9999999105930328E-2</v>
      </c>
      <c r="CI727">
        <v>39600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 t="s">
        <v>88</v>
      </c>
      <c r="CT727" t="s">
        <v>142</v>
      </c>
      <c r="CU727" t="s">
        <v>1442</v>
      </c>
    </row>
    <row r="728" spans="1:99">
      <c r="A728" t="s">
        <v>3047</v>
      </c>
      <c r="B728" t="s">
        <v>34</v>
      </c>
      <c r="C728" t="s">
        <v>1703</v>
      </c>
      <c r="D728" t="s">
        <v>1704</v>
      </c>
      <c r="E728" t="s">
        <v>1705</v>
      </c>
      <c r="F728" t="s">
        <v>1644</v>
      </c>
      <c r="G728" t="s">
        <v>1519</v>
      </c>
      <c r="H728" t="s">
        <v>1706</v>
      </c>
      <c r="I728" t="s">
        <v>240</v>
      </c>
      <c r="J728" t="s">
        <v>46</v>
      </c>
      <c r="K728" t="s">
        <v>29</v>
      </c>
      <c r="L728" t="s">
        <v>30</v>
      </c>
      <c r="M728">
        <v>0</v>
      </c>
      <c r="N728" t="s">
        <v>32</v>
      </c>
      <c r="O728" t="s">
        <v>32</v>
      </c>
      <c r="Q728" t="s">
        <v>32</v>
      </c>
      <c r="S728" t="s">
        <v>32</v>
      </c>
      <c r="U728" t="s">
        <v>32</v>
      </c>
      <c r="V728" t="s">
        <v>32</v>
      </c>
      <c r="W728" t="s">
        <v>32</v>
      </c>
      <c r="X728" t="s">
        <v>32</v>
      </c>
      <c r="Y728" t="s">
        <v>32</v>
      </c>
      <c r="AA728" t="s">
        <v>32</v>
      </c>
      <c r="AB728" t="s">
        <v>37</v>
      </c>
      <c r="AC728">
        <v>46054</v>
      </c>
      <c r="AD728">
        <v>46054</v>
      </c>
      <c r="AE728" t="s">
        <v>32</v>
      </c>
      <c r="AH728" t="s">
        <v>32</v>
      </c>
      <c r="AK728" t="s">
        <v>32</v>
      </c>
      <c r="AN728" t="s">
        <v>32</v>
      </c>
      <c r="AO728" t="s">
        <v>32</v>
      </c>
      <c r="AR728">
        <v>0</v>
      </c>
      <c r="AU728" t="s">
        <v>32</v>
      </c>
      <c r="AV728">
        <v>1956650</v>
      </c>
      <c r="AW728" t="s">
        <v>32</v>
      </c>
      <c r="AX728" t="s">
        <v>32</v>
      </c>
      <c r="AY728" t="s">
        <v>356</v>
      </c>
      <c r="AZ728">
        <v>1</v>
      </c>
      <c r="BA728">
        <v>65222</v>
      </c>
      <c r="BB728">
        <v>0.15999999642372131</v>
      </c>
      <c r="BC728">
        <v>10500</v>
      </c>
      <c r="BD728" t="s">
        <v>31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10500</v>
      </c>
      <c r="BK728" t="s">
        <v>25</v>
      </c>
      <c r="BL728" t="s">
        <v>1010</v>
      </c>
      <c r="BM728">
        <v>1</v>
      </c>
      <c r="BN728">
        <v>65222</v>
      </c>
      <c r="BO728">
        <v>0</v>
      </c>
      <c r="BP728">
        <v>0</v>
      </c>
      <c r="BQ728">
        <v>0</v>
      </c>
      <c r="BS728">
        <v>0</v>
      </c>
      <c r="BU728">
        <v>0</v>
      </c>
      <c r="BV728" t="s">
        <v>25</v>
      </c>
      <c r="BW728" t="s">
        <v>189</v>
      </c>
      <c r="BX728">
        <v>1</v>
      </c>
      <c r="BY728">
        <v>65222</v>
      </c>
      <c r="BZ728">
        <v>0</v>
      </c>
      <c r="CA728" t="s">
        <v>1439</v>
      </c>
      <c r="CB728" t="s">
        <v>227</v>
      </c>
      <c r="CC728" t="s">
        <v>1440</v>
      </c>
      <c r="CD728">
        <v>0</v>
      </c>
      <c r="CE728">
        <v>1</v>
      </c>
      <c r="CF728" t="s">
        <v>635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 t="s">
        <v>88</v>
      </c>
      <c r="CT728" t="s">
        <v>142</v>
      </c>
      <c r="CU728" t="s">
        <v>1442</v>
      </c>
    </row>
    <row r="729" spans="1:99">
      <c r="A729" t="s">
        <v>3047</v>
      </c>
      <c r="B729" t="s">
        <v>34</v>
      </c>
      <c r="C729" t="s">
        <v>1703</v>
      </c>
      <c r="D729" t="s">
        <v>1704</v>
      </c>
      <c r="E729" t="s">
        <v>1705</v>
      </c>
      <c r="F729" t="s">
        <v>1644</v>
      </c>
      <c r="G729" t="s">
        <v>1519</v>
      </c>
      <c r="H729" t="s">
        <v>1706</v>
      </c>
      <c r="I729" t="s">
        <v>240</v>
      </c>
      <c r="J729" t="s">
        <v>46</v>
      </c>
      <c r="K729" t="s">
        <v>29</v>
      </c>
      <c r="L729" t="s">
        <v>30</v>
      </c>
      <c r="M729">
        <v>208</v>
      </c>
      <c r="N729" t="s">
        <v>32</v>
      </c>
      <c r="O729" t="s">
        <v>32</v>
      </c>
      <c r="Q729" t="s">
        <v>32</v>
      </c>
      <c r="S729" t="s">
        <v>32</v>
      </c>
      <c r="U729" t="s">
        <v>32</v>
      </c>
      <c r="V729" t="s">
        <v>32</v>
      </c>
      <c r="W729" t="s">
        <v>32</v>
      </c>
      <c r="X729" t="s">
        <v>32</v>
      </c>
      <c r="Y729" t="s">
        <v>32</v>
      </c>
      <c r="AA729" t="s">
        <v>88</v>
      </c>
      <c r="AB729" t="s">
        <v>32</v>
      </c>
      <c r="AE729" t="s">
        <v>32</v>
      </c>
      <c r="AH729" t="s">
        <v>32</v>
      </c>
      <c r="AK729" t="s">
        <v>32</v>
      </c>
      <c r="AN729" t="s">
        <v>32</v>
      </c>
      <c r="AO729" t="s">
        <v>32</v>
      </c>
      <c r="AR729">
        <v>0</v>
      </c>
      <c r="AU729" t="s">
        <v>32</v>
      </c>
      <c r="AV729">
        <v>1956650</v>
      </c>
      <c r="AW729" t="s">
        <v>32</v>
      </c>
      <c r="AX729" t="s">
        <v>32</v>
      </c>
      <c r="AY729" t="s">
        <v>356</v>
      </c>
      <c r="AZ729">
        <v>29</v>
      </c>
      <c r="BA729">
        <v>2207398</v>
      </c>
      <c r="BB729">
        <v>0.15999999642372131</v>
      </c>
      <c r="BC729">
        <v>353200</v>
      </c>
      <c r="BD729" t="s">
        <v>31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353200</v>
      </c>
      <c r="BK729" t="s">
        <v>25</v>
      </c>
      <c r="BL729" t="s">
        <v>1010</v>
      </c>
      <c r="BM729">
        <v>29</v>
      </c>
      <c r="BN729">
        <v>2207398</v>
      </c>
      <c r="BO729">
        <v>3.9999999105930328E-2</v>
      </c>
      <c r="BP729">
        <v>88300</v>
      </c>
      <c r="BQ729">
        <v>0</v>
      </c>
      <c r="BS729">
        <v>0</v>
      </c>
      <c r="BU729">
        <v>0</v>
      </c>
      <c r="BV729" t="s">
        <v>25</v>
      </c>
      <c r="BW729" t="s">
        <v>189</v>
      </c>
      <c r="BX729">
        <v>29</v>
      </c>
      <c r="BY729">
        <v>2207398</v>
      </c>
      <c r="BZ729">
        <v>6.9600000977516174E-2</v>
      </c>
      <c r="CA729" t="s">
        <v>1439</v>
      </c>
      <c r="CB729" t="s">
        <v>227</v>
      </c>
      <c r="CC729" t="s">
        <v>1440</v>
      </c>
      <c r="CD729">
        <v>153700</v>
      </c>
      <c r="CE729">
        <v>29</v>
      </c>
      <c r="CF729" t="s">
        <v>635</v>
      </c>
      <c r="CG729">
        <v>2207398</v>
      </c>
      <c r="CH729">
        <v>3.9999999105930328E-2</v>
      </c>
      <c r="CI729">
        <v>88300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 t="s">
        <v>88</v>
      </c>
      <c r="CT729" t="s">
        <v>142</v>
      </c>
      <c r="CU729" t="s">
        <v>1442</v>
      </c>
    </row>
    <row r="730" spans="1:99">
      <c r="A730" t="s">
        <v>3047</v>
      </c>
      <c r="B730" t="s">
        <v>34</v>
      </c>
      <c r="C730" t="s">
        <v>1707</v>
      </c>
      <c r="D730" t="s">
        <v>1708</v>
      </c>
      <c r="E730" t="s">
        <v>1471</v>
      </c>
      <c r="F730" t="s">
        <v>992</v>
      </c>
      <c r="G730" t="s">
        <v>1709</v>
      </c>
      <c r="H730" t="s">
        <v>1489</v>
      </c>
      <c r="I730" t="s">
        <v>240</v>
      </c>
      <c r="J730" t="s">
        <v>46</v>
      </c>
      <c r="K730" t="s">
        <v>29</v>
      </c>
      <c r="L730" t="s">
        <v>30</v>
      </c>
      <c r="M730">
        <v>90</v>
      </c>
      <c r="N730" t="s">
        <v>32</v>
      </c>
      <c r="O730" t="s">
        <v>32</v>
      </c>
      <c r="Q730" t="s">
        <v>40</v>
      </c>
      <c r="R730">
        <v>46069</v>
      </c>
      <c r="S730" t="s">
        <v>32</v>
      </c>
      <c r="U730" t="s">
        <v>32</v>
      </c>
      <c r="V730" t="s">
        <v>32</v>
      </c>
      <c r="W730" t="s">
        <v>32</v>
      </c>
      <c r="X730" t="s">
        <v>32</v>
      </c>
      <c r="Y730" t="s">
        <v>32</v>
      </c>
      <c r="AA730" t="s">
        <v>88</v>
      </c>
      <c r="AB730" t="s">
        <v>32</v>
      </c>
      <c r="AE730" t="s">
        <v>32</v>
      </c>
      <c r="AH730" t="s">
        <v>32</v>
      </c>
      <c r="AK730" t="s">
        <v>32</v>
      </c>
      <c r="AN730" t="s">
        <v>32</v>
      </c>
      <c r="AO730" t="s">
        <v>32</v>
      </c>
      <c r="AR730">
        <v>0</v>
      </c>
      <c r="AU730" t="s">
        <v>32</v>
      </c>
      <c r="AV730">
        <v>3534205</v>
      </c>
      <c r="AW730" t="s">
        <v>32</v>
      </c>
      <c r="AX730" t="s">
        <v>32</v>
      </c>
      <c r="AY730" t="s">
        <v>317</v>
      </c>
      <c r="AZ730">
        <v>15</v>
      </c>
      <c r="BA730">
        <v>1767103</v>
      </c>
      <c r="BB730">
        <v>0.15999999642372131</v>
      </c>
      <c r="BC730">
        <v>282800</v>
      </c>
      <c r="BD730" t="s">
        <v>31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282800</v>
      </c>
      <c r="BK730" t="s">
        <v>25</v>
      </c>
      <c r="BL730" t="s">
        <v>870</v>
      </c>
      <c r="BM730">
        <v>15</v>
      </c>
      <c r="BN730">
        <v>1767103</v>
      </c>
      <c r="BO730">
        <v>3.9999999105930328E-2</v>
      </c>
      <c r="BP730">
        <v>70700</v>
      </c>
      <c r="BQ730">
        <v>0</v>
      </c>
      <c r="BS730">
        <v>0</v>
      </c>
      <c r="BU730">
        <v>0</v>
      </c>
      <c r="BV730" t="s">
        <v>25</v>
      </c>
      <c r="BW730" t="s">
        <v>189</v>
      </c>
      <c r="BX730">
        <v>15</v>
      </c>
      <c r="BY730">
        <v>1767103</v>
      </c>
      <c r="BZ730">
        <v>6.9600000977516174E-2</v>
      </c>
      <c r="CA730" t="s">
        <v>1439</v>
      </c>
      <c r="CB730" t="s">
        <v>227</v>
      </c>
      <c r="CC730" t="s">
        <v>1440</v>
      </c>
      <c r="CD730">
        <v>123000</v>
      </c>
      <c r="CE730">
        <v>15</v>
      </c>
      <c r="CF730" t="s">
        <v>635</v>
      </c>
      <c r="CG730">
        <v>1767103</v>
      </c>
      <c r="CH730">
        <v>3.9999999105930328E-2</v>
      </c>
      <c r="CI730">
        <v>70700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 t="s">
        <v>88</v>
      </c>
      <c r="CT730" t="s">
        <v>142</v>
      </c>
      <c r="CU730" t="s">
        <v>1442</v>
      </c>
    </row>
    <row r="731" spans="1:99">
      <c r="A731" t="s">
        <v>3047</v>
      </c>
      <c r="B731" t="s">
        <v>34</v>
      </c>
      <c r="C731" t="s">
        <v>1710</v>
      </c>
      <c r="D731" t="s">
        <v>1711</v>
      </c>
      <c r="E731" t="s">
        <v>1712</v>
      </c>
      <c r="F731" t="s">
        <v>1713</v>
      </c>
      <c r="G731" t="s">
        <v>1479</v>
      </c>
      <c r="H731" t="s">
        <v>1498</v>
      </c>
      <c r="I731" t="s">
        <v>240</v>
      </c>
      <c r="J731" t="s">
        <v>46</v>
      </c>
      <c r="K731" t="s">
        <v>29</v>
      </c>
      <c r="L731" t="s">
        <v>30</v>
      </c>
      <c r="M731">
        <v>126</v>
      </c>
      <c r="N731" t="s">
        <v>32</v>
      </c>
      <c r="O731" t="s">
        <v>32</v>
      </c>
      <c r="Q731" t="s">
        <v>40</v>
      </c>
      <c r="R731">
        <v>46063</v>
      </c>
      <c r="S731" t="s">
        <v>32</v>
      </c>
      <c r="U731" t="s">
        <v>32</v>
      </c>
      <c r="V731" t="s">
        <v>32</v>
      </c>
      <c r="W731" t="s">
        <v>32</v>
      </c>
      <c r="X731" t="s">
        <v>32</v>
      </c>
      <c r="Y731" t="s">
        <v>32</v>
      </c>
      <c r="AA731" t="s">
        <v>88</v>
      </c>
      <c r="AB731" t="s">
        <v>32</v>
      </c>
      <c r="AE731" t="s">
        <v>32</v>
      </c>
      <c r="AH731" t="s">
        <v>32</v>
      </c>
      <c r="AK731" t="s">
        <v>32</v>
      </c>
      <c r="AN731" t="s">
        <v>32</v>
      </c>
      <c r="AO731" t="s">
        <v>32</v>
      </c>
      <c r="AR731">
        <v>0</v>
      </c>
      <c r="AU731" t="s">
        <v>32</v>
      </c>
      <c r="AV731">
        <v>5149192</v>
      </c>
      <c r="AW731" t="s">
        <v>32</v>
      </c>
      <c r="AX731" t="s">
        <v>32</v>
      </c>
      <c r="AY731" t="s">
        <v>185</v>
      </c>
      <c r="AZ731">
        <v>21</v>
      </c>
      <c r="BA731">
        <v>3604435</v>
      </c>
      <c r="BB731">
        <v>0.15999999642372131</v>
      </c>
      <c r="BC731">
        <v>576800</v>
      </c>
      <c r="BD731" t="s">
        <v>31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576800</v>
      </c>
      <c r="BK731" t="s">
        <v>25</v>
      </c>
      <c r="BL731" t="s">
        <v>635</v>
      </c>
      <c r="BM731">
        <v>21</v>
      </c>
      <c r="BN731">
        <v>3604435</v>
      </c>
      <c r="BO731">
        <v>3.9999999105930328E-2</v>
      </c>
      <c r="BP731">
        <v>144200</v>
      </c>
      <c r="BQ731">
        <v>0</v>
      </c>
      <c r="BS731">
        <v>0</v>
      </c>
      <c r="BU731">
        <v>0</v>
      </c>
      <c r="BV731" t="s">
        <v>25</v>
      </c>
      <c r="BW731" t="s">
        <v>189</v>
      </c>
      <c r="BX731">
        <v>21</v>
      </c>
      <c r="BY731">
        <v>3604435</v>
      </c>
      <c r="BZ731">
        <v>6.9600000977516174E-2</v>
      </c>
      <c r="CA731" t="s">
        <v>1439</v>
      </c>
      <c r="CB731" t="s">
        <v>227</v>
      </c>
      <c r="CC731" t="s">
        <v>1440</v>
      </c>
      <c r="CD731">
        <v>250900</v>
      </c>
      <c r="CE731">
        <v>21</v>
      </c>
      <c r="CF731" t="s">
        <v>635</v>
      </c>
      <c r="CG731">
        <v>3604435</v>
      </c>
      <c r="CH731">
        <v>3.9999999105930328E-2</v>
      </c>
      <c r="CI731">
        <v>144200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 t="s">
        <v>88</v>
      </c>
      <c r="CT731" t="s">
        <v>142</v>
      </c>
      <c r="CU731" t="s">
        <v>1442</v>
      </c>
    </row>
    <row r="732" spans="1:99">
      <c r="A732" t="s">
        <v>3047</v>
      </c>
      <c r="B732" t="s">
        <v>34</v>
      </c>
      <c r="C732" t="s">
        <v>1714</v>
      </c>
      <c r="D732" t="s">
        <v>1715</v>
      </c>
      <c r="E732" t="s">
        <v>842</v>
      </c>
      <c r="F732" t="s">
        <v>1526</v>
      </c>
      <c r="G732" t="s">
        <v>1693</v>
      </c>
      <c r="H732" t="s">
        <v>1716</v>
      </c>
      <c r="I732" t="s">
        <v>240</v>
      </c>
      <c r="J732" t="s">
        <v>46</v>
      </c>
      <c r="K732" t="s">
        <v>29</v>
      </c>
      <c r="L732" t="s">
        <v>30</v>
      </c>
      <c r="M732">
        <v>180</v>
      </c>
      <c r="N732" t="s">
        <v>32</v>
      </c>
      <c r="O732" t="s">
        <v>32</v>
      </c>
      <c r="Q732" t="s">
        <v>32</v>
      </c>
      <c r="S732" t="s">
        <v>32</v>
      </c>
      <c r="U732" t="s">
        <v>32</v>
      </c>
      <c r="V732" t="s">
        <v>32</v>
      </c>
      <c r="W732" t="s">
        <v>32</v>
      </c>
      <c r="X732" t="s">
        <v>32</v>
      </c>
      <c r="Y732" t="s">
        <v>32</v>
      </c>
      <c r="AA732" t="s">
        <v>88</v>
      </c>
      <c r="AB732" t="s">
        <v>32</v>
      </c>
      <c r="AE732" t="s">
        <v>32</v>
      </c>
      <c r="AH732" t="s">
        <v>32</v>
      </c>
      <c r="AK732" t="s">
        <v>32</v>
      </c>
      <c r="AN732" t="s">
        <v>32</v>
      </c>
      <c r="AO732" t="s">
        <v>32</v>
      </c>
      <c r="AR732">
        <v>0</v>
      </c>
      <c r="AU732" t="s">
        <v>32</v>
      </c>
      <c r="AV732">
        <v>5209465</v>
      </c>
      <c r="AW732" t="s">
        <v>32</v>
      </c>
      <c r="AX732" t="s">
        <v>32</v>
      </c>
      <c r="AY732" t="s">
        <v>137</v>
      </c>
      <c r="AZ732">
        <v>30</v>
      </c>
      <c r="BA732">
        <v>6819901</v>
      </c>
      <c r="BB732">
        <v>0.15999999642372131</v>
      </c>
      <c r="BC732">
        <v>1091200</v>
      </c>
      <c r="BD732" t="s">
        <v>31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1091200</v>
      </c>
      <c r="BK732" t="s">
        <v>25</v>
      </c>
      <c r="BL732" t="s">
        <v>1071</v>
      </c>
      <c r="BM732">
        <v>30</v>
      </c>
      <c r="BN732">
        <v>6819901</v>
      </c>
      <c r="BO732">
        <v>3.9999999105930328E-2</v>
      </c>
      <c r="BP732">
        <v>272800</v>
      </c>
      <c r="BQ732">
        <v>0</v>
      </c>
      <c r="BS732">
        <v>0</v>
      </c>
      <c r="BU732">
        <v>0</v>
      </c>
      <c r="BV732" t="s">
        <v>25</v>
      </c>
      <c r="BW732" t="s">
        <v>189</v>
      </c>
      <c r="BX732">
        <v>30</v>
      </c>
      <c r="BY732">
        <v>6819901</v>
      </c>
      <c r="BZ732">
        <v>6.9600000977516174E-2</v>
      </c>
      <c r="CA732" t="s">
        <v>1439</v>
      </c>
      <c r="CB732" t="s">
        <v>227</v>
      </c>
      <c r="CC732" t="s">
        <v>1440</v>
      </c>
      <c r="CD732">
        <v>474700</v>
      </c>
      <c r="CE732">
        <v>30</v>
      </c>
      <c r="CF732" t="s">
        <v>635</v>
      </c>
      <c r="CG732">
        <v>5209465</v>
      </c>
      <c r="CH732">
        <v>3.9999999105930328E-2</v>
      </c>
      <c r="CI732">
        <v>208400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 t="s">
        <v>88</v>
      </c>
      <c r="CT732" t="s">
        <v>142</v>
      </c>
      <c r="CU732" t="s">
        <v>1442</v>
      </c>
    </row>
    <row r="733" spans="1:99">
      <c r="A733" t="s">
        <v>3047</v>
      </c>
      <c r="B733" t="s">
        <v>34</v>
      </c>
      <c r="C733" t="s">
        <v>1717</v>
      </c>
      <c r="D733" t="s">
        <v>1718</v>
      </c>
      <c r="E733" t="s">
        <v>667</v>
      </c>
      <c r="F733" t="s">
        <v>1719</v>
      </c>
      <c r="G733" t="s">
        <v>1436</v>
      </c>
      <c r="H733" t="s">
        <v>1584</v>
      </c>
      <c r="I733" t="s">
        <v>240</v>
      </c>
      <c r="J733" t="s">
        <v>46</v>
      </c>
      <c r="K733" t="s">
        <v>29</v>
      </c>
      <c r="L733" t="s">
        <v>30</v>
      </c>
      <c r="M733">
        <v>188</v>
      </c>
      <c r="N733" t="s">
        <v>32</v>
      </c>
      <c r="O733" t="s">
        <v>32</v>
      </c>
      <c r="Q733" t="s">
        <v>32</v>
      </c>
      <c r="S733" t="s">
        <v>32</v>
      </c>
      <c r="U733" t="s">
        <v>32</v>
      </c>
      <c r="V733" t="s">
        <v>32</v>
      </c>
      <c r="W733" t="s">
        <v>32</v>
      </c>
      <c r="X733" t="s">
        <v>32</v>
      </c>
      <c r="Y733" t="s">
        <v>88</v>
      </c>
      <c r="Z733">
        <v>46054</v>
      </c>
      <c r="AA733" t="s">
        <v>88</v>
      </c>
      <c r="AB733" t="s">
        <v>32</v>
      </c>
      <c r="AE733" t="s">
        <v>32</v>
      </c>
      <c r="AH733" t="s">
        <v>32</v>
      </c>
      <c r="AK733" t="s">
        <v>32</v>
      </c>
      <c r="AN733" t="s">
        <v>32</v>
      </c>
      <c r="AO733" t="s">
        <v>32</v>
      </c>
      <c r="AR733">
        <v>0</v>
      </c>
      <c r="AU733" t="s">
        <v>32</v>
      </c>
      <c r="AV733">
        <v>2859408</v>
      </c>
      <c r="AW733" t="s">
        <v>32</v>
      </c>
      <c r="AX733" t="s">
        <v>32</v>
      </c>
      <c r="AY733" t="s">
        <v>317</v>
      </c>
      <c r="AZ733">
        <v>30</v>
      </c>
      <c r="BA733">
        <v>2859408</v>
      </c>
      <c r="BB733">
        <v>0.15999999642372131</v>
      </c>
      <c r="BC733">
        <v>457600</v>
      </c>
      <c r="BD733" t="s">
        <v>31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457600</v>
      </c>
      <c r="BK733" t="s">
        <v>25</v>
      </c>
      <c r="BL733" t="s">
        <v>1064</v>
      </c>
      <c r="BM733">
        <v>30</v>
      </c>
      <c r="BN733">
        <v>2859408</v>
      </c>
      <c r="BO733">
        <v>3.9999999105930328E-2</v>
      </c>
      <c r="BP733">
        <v>114400</v>
      </c>
      <c r="BQ733">
        <v>0</v>
      </c>
      <c r="BS733">
        <v>0</v>
      </c>
      <c r="BU733">
        <v>0</v>
      </c>
      <c r="BV733" t="s">
        <v>25</v>
      </c>
      <c r="BW733" t="s">
        <v>189</v>
      </c>
      <c r="BX733">
        <v>30</v>
      </c>
      <c r="BY733">
        <v>2859408</v>
      </c>
      <c r="BZ733">
        <v>5.2200001664459705E-3</v>
      </c>
      <c r="CA733" t="s">
        <v>1592</v>
      </c>
      <c r="CB733" t="s">
        <v>227</v>
      </c>
      <c r="CC733" t="s">
        <v>1593</v>
      </c>
      <c r="CD733">
        <v>15000</v>
      </c>
      <c r="CE733">
        <v>30</v>
      </c>
      <c r="CF733" t="s">
        <v>635</v>
      </c>
      <c r="CG733">
        <v>2859408</v>
      </c>
      <c r="CH733">
        <v>3.9999999105930328E-2</v>
      </c>
      <c r="CI733">
        <v>114400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 t="s">
        <v>88</v>
      </c>
      <c r="CT733" t="s">
        <v>142</v>
      </c>
      <c r="CU733" t="s">
        <v>1442</v>
      </c>
    </row>
    <row r="734" spans="1:99">
      <c r="A734" t="s">
        <v>3047</v>
      </c>
      <c r="B734" t="s">
        <v>34</v>
      </c>
      <c r="C734" t="s">
        <v>1720</v>
      </c>
      <c r="D734" t="s">
        <v>1721</v>
      </c>
      <c r="E734" t="s">
        <v>1722</v>
      </c>
      <c r="F734" t="s">
        <v>1723</v>
      </c>
      <c r="G734" t="s">
        <v>1724</v>
      </c>
      <c r="H734" t="s">
        <v>1725</v>
      </c>
      <c r="I734" t="s">
        <v>240</v>
      </c>
      <c r="J734" t="s">
        <v>46</v>
      </c>
      <c r="K734" t="s">
        <v>29</v>
      </c>
      <c r="L734" t="s">
        <v>30</v>
      </c>
      <c r="M734">
        <v>0</v>
      </c>
      <c r="N734" t="s">
        <v>32</v>
      </c>
      <c r="O734" t="s">
        <v>32</v>
      </c>
      <c r="Q734" t="s">
        <v>32</v>
      </c>
      <c r="S734" t="s">
        <v>32</v>
      </c>
      <c r="U734" t="s">
        <v>32</v>
      </c>
      <c r="V734" t="s">
        <v>32</v>
      </c>
      <c r="W734" t="s">
        <v>32</v>
      </c>
      <c r="X734" t="s">
        <v>32</v>
      </c>
      <c r="Y734" t="s">
        <v>32</v>
      </c>
      <c r="AA734" t="s">
        <v>32</v>
      </c>
      <c r="AB734" t="s">
        <v>32</v>
      </c>
      <c r="AE734" t="s">
        <v>1492</v>
      </c>
      <c r="AF734">
        <v>46069</v>
      </c>
      <c r="AG734">
        <v>46070</v>
      </c>
      <c r="AH734" t="s">
        <v>32</v>
      </c>
      <c r="AK734" t="s">
        <v>32</v>
      </c>
      <c r="AN734" t="s">
        <v>32</v>
      </c>
      <c r="AO734" t="s">
        <v>32</v>
      </c>
      <c r="AR734">
        <v>0</v>
      </c>
      <c r="AU734" t="s">
        <v>32</v>
      </c>
      <c r="AV734">
        <v>1750905</v>
      </c>
      <c r="AW734" t="s">
        <v>32</v>
      </c>
      <c r="AX734" t="s">
        <v>32</v>
      </c>
      <c r="AY734" t="s">
        <v>185</v>
      </c>
      <c r="AZ734">
        <v>2</v>
      </c>
      <c r="BA734">
        <v>128936</v>
      </c>
      <c r="BB734">
        <v>0.15999999642372131</v>
      </c>
      <c r="BC734">
        <v>20700</v>
      </c>
      <c r="BD734" t="s">
        <v>31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20700</v>
      </c>
      <c r="BK734" t="s">
        <v>25</v>
      </c>
      <c r="BL734" t="s">
        <v>357</v>
      </c>
      <c r="BM734">
        <v>2</v>
      </c>
      <c r="BN734">
        <v>128936</v>
      </c>
      <c r="BO734">
        <v>3.9999999105930328E-2</v>
      </c>
      <c r="BP734">
        <v>5200</v>
      </c>
      <c r="BQ734">
        <v>0</v>
      </c>
      <c r="BS734">
        <v>0</v>
      </c>
      <c r="BU734">
        <v>0</v>
      </c>
      <c r="BV734" t="s">
        <v>25</v>
      </c>
      <c r="BW734" t="s">
        <v>189</v>
      </c>
      <c r="BX734">
        <v>2</v>
      </c>
      <c r="BY734">
        <v>128936</v>
      </c>
      <c r="BZ734">
        <v>0</v>
      </c>
      <c r="CA734" t="s">
        <v>1439</v>
      </c>
      <c r="CB734" t="s">
        <v>227</v>
      </c>
      <c r="CC734" t="s">
        <v>1440</v>
      </c>
      <c r="CD734">
        <v>0</v>
      </c>
      <c r="CE734">
        <v>2</v>
      </c>
      <c r="CF734" t="s">
        <v>635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 t="s">
        <v>88</v>
      </c>
      <c r="CT734" t="s">
        <v>142</v>
      </c>
      <c r="CU734" t="s">
        <v>1442</v>
      </c>
    </row>
    <row r="735" spans="1:99">
      <c r="A735" t="s">
        <v>3047</v>
      </c>
      <c r="B735" t="s">
        <v>34</v>
      </c>
      <c r="C735" t="s">
        <v>1720</v>
      </c>
      <c r="D735" t="s">
        <v>1721</v>
      </c>
      <c r="E735" t="s">
        <v>1722</v>
      </c>
      <c r="F735" t="s">
        <v>1723</v>
      </c>
      <c r="G735" t="s">
        <v>1724</v>
      </c>
      <c r="H735" t="s">
        <v>1725</v>
      </c>
      <c r="I735" t="s">
        <v>240</v>
      </c>
      <c r="J735" t="s">
        <v>46</v>
      </c>
      <c r="K735" t="s">
        <v>29</v>
      </c>
      <c r="L735" t="s">
        <v>30</v>
      </c>
      <c r="M735">
        <v>177</v>
      </c>
      <c r="N735" t="s">
        <v>32</v>
      </c>
      <c r="O735" t="s">
        <v>32</v>
      </c>
      <c r="Q735" t="s">
        <v>32</v>
      </c>
      <c r="S735" t="s">
        <v>32</v>
      </c>
      <c r="U735" t="s">
        <v>32</v>
      </c>
      <c r="V735" t="s">
        <v>32</v>
      </c>
      <c r="W735" t="s">
        <v>32</v>
      </c>
      <c r="X735" t="s">
        <v>32</v>
      </c>
      <c r="Y735" t="s">
        <v>32</v>
      </c>
      <c r="AA735" t="s">
        <v>88</v>
      </c>
      <c r="AB735" t="s">
        <v>32</v>
      </c>
      <c r="AE735" t="s">
        <v>32</v>
      </c>
      <c r="AH735" t="s">
        <v>32</v>
      </c>
      <c r="AK735" t="s">
        <v>32</v>
      </c>
      <c r="AN735" t="s">
        <v>32</v>
      </c>
      <c r="AO735" t="s">
        <v>32</v>
      </c>
      <c r="AR735">
        <v>0</v>
      </c>
      <c r="AU735" t="s">
        <v>32</v>
      </c>
      <c r="AV735">
        <v>1750905</v>
      </c>
      <c r="AW735" t="s">
        <v>32</v>
      </c>
      <c r="AX735" t="s">
        <v>32</v>
      </c>
      <c r="AY735" t="s">
        <v>185</v>
      </c>
      <c r="AZ735">
        <v>28</v>
      </c>
      <c r="BA735">
        <v>1878311</v>
      </c>
      <c r="BB735">
        <v>0.15999999642372131</v>
      </c>
      <c r="BC735">
        <v>300600</v>
      </c>
      <c r="BD735" t="s">
        <v>31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300600</v>
      </c>
      <c r="BK735" t="s">
        <v>25</v>
      </c>
      <c r="BL735" t="s">
        <v>357</v>
      </c>
      <c r="BM735">
        <v>28</v>
      </c>
      <c r="BN735">
        <v>1878311</v>
      </c>
      <c r="BO735">
        <v>3.9999999105930328E-2</v>
      </c>
      <c r="BP735">
        <v>75200</v>
      </c>
      <c r="BQ735">
        <v>0</v>
      </c>
      <c r="BS735">
        <v>0</v>
      </c>
      <c r="BU735">
        <v>0</v>
      </c>
      <c r="BV735" t="s">
        <v>25</v>
      </c>
      <c r="BW735" t="s">
        <v>189</v>
      </c>
      <c r="BX735">
        <v>28</v>
      </c>
      <c r="BY735">
        <v>1878311</v>
      </c>
      <c r="BZ735">
        <v>6.9600000977516174E-2</v>
      </c>
      <c r="CA735" t="s">
        <v>1439</v>
      </c>
      <c r="CB735" t="s">
        <v>227</v>
      </c>
      <c r="CC735" t="s">
        <v>1440</v>
      </c>
      <c r="CD735">
        <v>130800</v>
      </c>
      <c r="CE735">
        <v>28</v>
      </c>
      <c r="CF735" t="s">
        <v>635</v>
      </c>
      <c r="CG735">
        <v>1878311</v>
      </c>
      <c r="CH735">
        <v>3.9999999105930328E-2</v>
      </c>
      <c r="CI735">
        <v>75200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 t="s">
        <v>88</v>
      </c>
      <c r="CT735" t="s">
        <v>142</v>
      </c>
      <c r="CU735" t="s">
        <v>1442</v>
      </c>
    </row>
    <row r="736" spans="1:99">
      <c r="A736" t="s">
        <v>3047</v>
      </c>
      <c r="B736" t="s">
        <v>34</v>
      </c>
      <c r="C736" t="s">
        <v>1726</v>
      </c>
      <c r="D736" t="s">
        <v>1727</v>
      </c>
      <c r="E736" t="s">
        <v>1728</v>
      </c>
      <c r="F736" t="s">
        <v>1729</v>
      </c>
      <c r="G736" t="s">
        <v>1730</v>
      </c>
      <c r="H736" t="s">
        <v>1654</v>
      </c>
      <c r="I736" t="s">
        <v>240</v>
      </c>
      <c r="J736" t="s">
        <v>46</v>
      </c>
      <c r="K736" t="s">
        <v>29</v>
      </c>
      <c r="L736" t="s">
        <v>30</v>
      </c>
      <c r="M736">
        <v>180</v>
      </c>
      <c r="N736" t="s">
        <v>32</v>
      </c>
      <c r="O736" t="s">
        <v>32</v>
      </c>
      <c r="Q736" t="s">
        <v>32</v>
      </c>
      <c r="S736" t="s">
        <v>32</v>
      </c>
      <c r="U736" t="s">
        <v>32</v>
      </c>
      <c r="V736" t="s">
        <v>32</v>
      </c>
      <c r="W736" t="s">
        <v>32</v>
      </c>
      <c r="X736" t="s">
        <v>32</v>
      </c>
      <c r="Y736" t="s">
        <v>32</v>
      </c>
      <c r="AA736" t="s">
        <v>88</v>
      </c>
      <c r="AB736" t="s">
        <v>32</v>
      </c>
      <c r="AE736" t="s">
        <v>32</v>
      </c>
      <c r="AH736" t="s">
        <v>32</v>
      </c>
      <c r="AK736" t="s">
        <v>32</v>
      </c>
      <c r="AN736" t="s">
        <v>32</v>
      </c>
      <c r="AO736" t="s">
        <v>32</v>
      </c>
      <c r="AR736">
        <v>0</v>
      </c>
      <c r="AU736" t="s">
        <v>32</v>
      </c>
      <c r="AV736">
        <v>4891516</v>
      </c>
      <c r="AW736" t="s">
        <v>32</v>
      </c>
      <c r="AX736" t="s">
        <v>32</v>
      </c>
      <c r="AY736" t="s">
        <v>137</v>
      </c>
      <c r="AZ736">
        <v>30</v>
      </c>
      <c r="BA736">
        <v>4891516</v>
      </c>
      <c r="BB736">
        <v>0.15999999642372131</v>
      </c>
      <c r="BC736">
        <v>782700</v>
      </c>
      <c r="BD736" t="s">
        <v>31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782700</v>
      </c>
      <c r="BK736" t="s">
        <v>25</v>
      </c>
      <c r="BL736" t="s">
        <v>1071</v>
      </c>
      <c r="BM736">
        <v>30</v>
      </c>
      <c r="BN736">
        <v>4891516</v>
      </c>
      <c r="BO736">
        <v>3.9999999105930328E-2</v>
      </c>
      <c r="BP736">
        <v>195700</v>
      </c>
      <c r="BQ736">
        <v>0</v>
      </c>
      <c r="BS736">
        <v>0</v>
      </c>
      <c r="BU736">
        <v>0</v>
      </c>
      <c r="BV736" t="s">
        <v>25</v>
      </c>
      <c r="BW736" t="s">
        <v>189</v>
      </c>
      <c r="BX736">
        <v>30</v>
      </c>
      <c r="BY736">
        <v>4891516</v>
      </c>
      <c r="BZ736">
        <v>6.9600000977516174E-2</v>
      </c>
      <c r="CA736" t="s">
        <v>1439</v>
      </c>
      <c r="CB736" t="s">
        <v>227</v>
      </c>
      <c r="CC736" t="s">
        <v>1440</v>
      </c>
      <c r="CD736">
        <v>340500</v>
      </c>
      <c r="CE736">
        <v>30</v>
      </c>
      <c r="CF736" t="s">
        <v>635</v>
      </c>
      <c r="CG736">
        <v>4891516</v>
      </c>
      <c r="CH736">
        <v>3.9999999105930328E-2</v>
      </c>
      <c r="CI736">
        <v>195700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 t="s">
        <v>88</v>
      </c>
      <c r="CT736" t="s">
        <v>142</v>
      </c>
      <c r="CU736" t="s">
        <v>1442</v>
      </c>
    </row>
    <row r="737" spans="1:99">
      <c r="A737" t="s">
        <v>3047</v>
      </c>
      <c r="B737" t="s">
        <v>34</v>
      </c>
      <c r="C737" t="s">
        <v>1731</v>
      </c>
      <c r="D737" t="s">
        <v>1732</v>
      </c>
      <c r="E737" t="s">
        <v>1733</v>
      </c>
      <c r="F737" t="s">
        <v>1506</v>
      </c>
      <c r="G737" t="s">
        <v>1478</v>
      </c>
      <c r="H737" t="s">
        <v>1734</v>
      </c>
      <c r="I737" t="s">
        <v>240</v>
      </c>
      <c r="J737" t="s">
        <v>46</v>
      </c>
      <c r="K737" t="s">
        <v>29</v>
      </c>
      <c r="L737" t="s">
        <v>30</v>
      </c>
      <c r="M737">
        <v>0</v>
      </c>
      <c r="N737" t="s">
        <v>32</v>
      </c>
      <c r="O737" t="s">
        <v>32</v>
      </c>
      <c r="Q737" t="s">
        <v>32</v>
      </c>
      <c r="S737" t="s">
        <v>32</v>
      </c>
      <c r="U737" t="s">
        <v>32</v>
      </c>
      <c r="V737" t="s">
        <v>32</v>
      </c>
      <c r="W737" t="s">
        <v>32</v>
      </c>
      <c r="X737" t="s">
        <v>32</v>
      </c>
      <c r="Y737" t="s">
        <v>32</v>
      </c>
      <c r="AA737" t="s">
        <v>32</v>
      </c>
      <c r="AB737" t="s">
        <v>32</v>
      </c>
      <c r="AE737" t="s">
        <v>32</v>
      </c>
      <c r="AH737" t="s">
        <v>32</v>
      </c>
      <c r="AK737" t="s">
        <v>128</v>
      </c>
      <c r="AL737">
        <v>46054</v>
      </c>
      <c r="AM737">
        <v>46054</v>
      </c>
      <c r="AN737" t="s">
        <v>32</v>
      </c>
      <c r="AO737" t="s">
        <v>32</v>
      </c>
      <c r="AR737">
        <v>0</v>
      </c>
      <c r="AU737" t="s">
        <v>32</v>
      </c>
      <c r="AV737">
        <v>5209465</v>
      </c>
      <c r="AW737" t="s">
        <v>32</v>
      </c>
      <c r="AX737" t="s">
        <v>32</v>
      </c>
      <c r="AY737" t="s">
        <v>185</v>
      </c>
      <c r="AZ737">
        <v>1</v>
      </c>
      <c r="BA737">
        <v>173649</v>
      </c>
      <c r="BB737">
        <v>0.15999999642372131</v>
      </c>
      <c r="BC737">
        <v>27800</v>
      </c>
      <c r="BD737" t="s">
        <v>31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27800</v>
      </c>
      <c r="BK737" t="s">
        <v>25</v>
      </c>
      <c r="BL737" t="s">
        <v>1064</v>
      </c>
      <c r="BM737">
        <v>1</v>
      </c>
      <c r="BN737">
        <v>173649</v>
      </c>
      <c r="BO737">
        <v>3.9999999105930328E-2</v>
      </c>
      <c r="BP737">
        <v>7000</v>
      </c>
      <c r="BQ737">
        <v>0</v>
      </c>
      <c r="BS737">
        <v>0</v>
      </c>
      <c r="BU737">
        <v>0</v>
      </c>
      <c r="BV737" t="s">
        <v>25</v>
      </c>
      <c r="BW737" t="s">
        <v>189</v>
      </c>
      <c r="BX737">
        <v>1</v>
      </c>
      <c r="BY737">
        <v>173649</v>
      </c>
      <c r="BZ737">
        <v>0</v>
      </c>
      <c r="CA737" t="s">
        <v>1439</v>
      </c>
      <c r="CB737" t="s">
        <v>227</v>
      </c>
      <c r="CC737" t="s">
        <v>1440</v>
      </c>
      <c r="CD737">
        <v>0</v>
      </c>
      <c r="CE737">
        <v>1</v>
      </c>
      <c r="CF737" t="s">
        <v>635</v>
      </c>
      <c r="CG737">
        <v>173649</v>
      </c>
      <c r="CH737">
        <v>3.9999999105930328E-2</v>
      </c>
      <c r="CI737">
        <v>7000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 t="s">
        <v>88</v>
      </c>
      <c r="CT737" t="s">
        <v>142</v>
      </c>
      <c r="CU737" t="s">
        <v>1442</v>
      </c>
    </row>
    <row r="738" spans="1:99">
      <c r="A738" t="s">
        <v>3047</v>
      </c>
      <c r="B738" t="s">
        <v>34</v>
      </c>
      <c r="C738" t="s">
        <v>1731</v>
      </c>
      <c r="D738" t="s">
        <v>1732</v>
      </c>
      <c r="E738" t="s">
        <v>1733</v>
      </c>
      <c r="F738" t="s">
        <v>1506</v>
      </c>
      <c r="G738" t="s">
        <v>1478</v>
      </c>
      <c r="H738" t="s">
        <v>1734</v>
      </c>
      <c r="I738" t="s">
        <v>240</v>
      </c>
      <c r="J738" t="s">
        <v>46</v>
      </c>
      <c r="K738" t="s">
        <v>29</v>
      </c>
      <c r="L738" t="s">
        <v>30</v>
      </c>
      <c r="M738">
        <v>180</v>
      </c>
      <c r="N738" t="s">
        <v>32</v>
      </c>
      <c r="O738" t="s">
        <v>32</v>
      </c>
      <c r="Q738" t="s">
        <v>32</v>
      </c>
      <c r="S738" t="s">
        <v>32</v>
      </c>
      <c r="U738" t="s">
        <v>32</v>
      </c>
      <c r="V738" t="s">
        <v>32</v>
      </c>
      <c r="W738" t="s">
        <v>32</v>
      </c>
      <c r="X738" t="s">
        <v>32</v>
      </c>
      <c r="Y738" t="s">
        <v>32</v>
      </c>
      <c r="AA738" t="s">
        <v>88</v>
      </c>
      <c r="AB738" t="s">
        <v>32</v>
      </c>
      <c r="AE738" t="s">
        <v>32</v>
      </c>
      <c r="AH738" t="s">
        <v>32</v>
      </c>
      <c r="AK738" t="s">
        <v>32</v>
      </c>
      <c r="AN738" t="s">
        <v>32</v>
      </c>
      <c r="AO738" t="s">
        <v>32</v>
      </c>
      <c r="AR738">
        <v>0</v>
      </c>
      <c r="AU738" t="s">
        <v>32</v>
      </c>
      <c r="AV738">
        <v>5209465</v>
      </c>
      <c r="AW738" t="s">
        <v>32</v>
      </c>
      <c r="AX738" t="s">
        <v>32</v>
      </c>
      <c r="AY738" t="s">
        <v>185</v>
      </c>
      <c r="AZ738">
        <v>29</v>
      </c>
      <c r="BA738">
        <v>5035817</v>
      </c>
      <c r="BB738">
        <v>0.15999999642372131</v>
      </c>
      <c r="BC738">
        <v>805800</v>
      </c>
      <c r="BD738" t="s">
        <v>31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805800</v>
      </c>
      <c r="BK738" t="s">
        <v>25</v>
      </c>
      <c r="BL738" t="s">
        <v>1064</v>
      </c>
      <c r="BM738">
        <v>29</v>
      </c>
      <c r="BN738">
        <v>5035817</v>
      </c>
      <c r="BO738">
        <v>3.9999999105930328E-2</v>
      </c>
      <c r="BP738">
        <v>201500</v>
      </c>
      <c r="BQ738">
        <v>0</v>
      </c>
      <c r="BS738">
        <v>0</v>
      </c>
      <c r="BU738">
        <v>0</v>
      </c>
      <c r="BV738" t="s">
        <v>25</v>
      </c>
      <c r="BW738" t="s">
        <v>189</v>
      </c>
      <c r="BX738">
        <v>29</v>
      </c>
      <c r="BY738">
        <v>5035817</v>
      </c>
      <c r="BZ738">
        <v>6.9600000977516174E-2</v>
      </c>
      <c r="CA738" t="s">
        <v>1439</v>
      </c>
      <c r="CB738" t="s">
        <v>227</v>
      </c>
      <c r="CC738" t="s">
        <v>1440</v>
      </c>
      <c r="CD738">
        <v>350500</v>
      </c>
      <c r="CE738">
        <v>29</v>
      </c>
      <c r="CF738" t="s">
        <v>635</v>
      </c>
      <c r="CG738">
        <v>5035817</v>
      </c>
      <c r="CH738">
        <v>3.9999999105930328E-2</v>
      </c>
      <c r="CI738">
        <v>201500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 t="s">
        <v>88</v>
      </c>
      <c r="CT738" t="s">
        <v>142</v>
      </c>
      <c r="CU738" t="s">
        <v>1442</v>
      </c>
    </row>
    <row r="739" spans="1:99">
      <c r="A739" t="s">
        <v>3047</v>
      </c>
      <c r="B739" t="s">
        <v>34</v>
      </c>
      <c r="C739" t="s">
        <v>1735</v>
      </c>
      <c r="D739" t="s">
        <v>3048</v>
      </c>
      <c r="E739" t="s">
        <v>1551</v>
      </c>
      <c r="F739" t="s">
        <v>1737</v>
      </c>
      <c r="G739" t="s">
        <v>3049</v>
      </c>
      <c r="H739" t="s">
        <v>1474</v>
      </c>
      <c r="I739" t="s">
        <v>240</v>
      </c>
      <c r="J739" t="s">
        <v>46</v>
      </c>
      <c r="K739" t="s">
        <v>29</v>
      </c>
      <c r="L739" t="s">
        <v>30</v>
      </c>
      <c r="M739">
        <v>27</v>
      </c>
      <c r="N739" t="s">
        <v>32</v>
      </c>
      <c r="O739" t="s">
        <v>32</v>
      </c>
      <c r="Q739" t="s">
        <v>32</v>
      </c>
      <c r="S739" t="s">
        <v>32</v>
      </c>
      <c r="U739" t="s">
        <v>32</v>
      </c>
      <c r="V739" t="s">
        <v>32</v>
      </c>
      <c r="W739" t="s">
        <v>32</v>
      </c>
      <c r="X739" t="s">
        <v>32</v>
      </c>
      <c r="Y739" t="s">
        <v>32</v>
      </c>
      <c r="AA739" t="s">
        <v>32</v>
      </c>
      <c r="AB739" t="s">
        <v>32</v>
      </c>
      <c r="AE739" t="s">
        <v>1492</v>
      </c>
      <c r="AF739">
        <v>46059</v>
      </c>
      <c r="AG739">
        <v>46060</v>
      </c>
      <c r="AH739" t="s">
        <v>32</v>
      </c>
      <c r="AK739" t="s">
        <v>32</v>
      </c>
      <c r="AN739" t="s">
        <v>32</v>
      </c>
      <c r="AO739" t="s">
        <v>32</v>
      </c>
      <c r="AR739">
        <v>0</v>
      </c>
      <c r="AU739" t="s">
        <v>32</v>
      </c>
      <c r="AV739">
        <v>2223339</v>
      </c>
      <c r="AW739" t="s">
        <v>32</v>
      </c>
      <c r="AX739" t="s">
        <v>32</v>
      </c>
      <c r="AY739" t="s">
        <v>317</v>
      </c>
      <c r="AZ739">
        <v>2</v>
      </c>
      <c r="BA739">
        <v>148223</v>
      </c>
      <c r="BB739">
        <v>0.15999999642372131</v>
      </c>
      <c r="BC739">
        <v>23800</v>
      </c>
      <c r="BD739" t="s">
        <v>31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23800</v>
      </c>
      <c r="BK739" t="s">
        <v>25</v>
      </c>
      <c r="BL739" t="s">
        <v>1071</v>
      </c>
      <c r="BM739">
        <v>2</v>
      </c>
      <c r="BN739">
        <v>148223</v>
      </c>
      <c r="BO739">
        <v>3.9999999105930328E-2</v>
      </c>
      <c r="BP739">
        <v>6000</v>
      </c>
      <c r="BQ739">
        <v>0</v>
      </c>
      <c r="BS739">
        <v>0</v>
      </c>
      <c r="BU739">
        <v>0</v>
      </c>
      <c r="BV739" t="s">
        <v>25</v>
      </c>
      <c r="BW739" t="s">
        <v>189</v>
      </c>
      <c r="BX739">
        <v>2</v>
      </c>
      <c r="BY739">
        <v>148223</v>
      </c>
      <c r="BZ739">
        <v>0</v>
      </c>
      <c r="CA739" t="s">
        <v>1439</v>
      </c>
      <c r="CB739" t="s">
        <v>227</v>
      </c>
      <c r="CC739" t="s">
        <v>1440</v>
      </c>
      <c r="CD739">
        <v>0</v>
      </c>
      <c r="CE739">
        <v>2</v>
      </c>
      <c r="CF739" t="s">
        <v>635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 t="s">
        <v>88</v>
      </c>
      <c r="CT739" t="s">
        <v>142</v>
      </c>
      <c r="CU739" t="s">
        <v>1442</v>
      </c>
    </row>
    <row r="740" spans="1:99">
      <c r="A740" t="s">
        <v>3047</v>
      </c>
      <c r="B740" t="s">
        <v>34</v>
      </c>
      <c r="C740" t="s">
        <v>1735</v>
      </c>
      <c r="D740" t="s">
        <v>3048</v>
      </c>
      <c r="E740" t="s">
        <v>1551</v>
      </c>
      <c r="F740" t="s">
        <v>1737</v>
      </c>
      <c r="G740" t="s">
        <v>3049</v>
      </c>
      <c r="H740" t="s">
        <v>1474</v>
      </c>
      <c r="I740" t="s">
        <v>240</v>
      </c>
      <c r="J740" t="s">
        <v>46</v>
      </c>
      <c r="K740" t="s">
        <v>29</v>
      </c>
      <c r="L740" t="s">
        <v>30</v>
      </c>
      <c r="M740">
        <v>0</v>
      </c>
      <c r="N740" t="s">
        <v>32</v>
      </c>
      <c r="O740" t="s">
        <v>32</v>
      </c>
      <c r="Q740" t="s">
        <v>40</v>
      </c>
      <c r="R740">
        <v>46058</v>
      </c>
      <c r="S740" t="s">
        <v>40</v>
      </c>
      <c r="T740">
        <v>46062</v>
      </c>
      <c r="U740" t="s">
        <v>32</v>
      </c>
      <c r="V740" t="s">
        <v>32</v>
      </c>
      <c r="W740" t="s">
        <v>32</v>
      </c>
      <c r="X740" t="s">
        <v>32</v>
      </c>
      <c r="Y740" t="s">
        <v>32</v>
      </c>
      <c r="AA740" t="s">
        <v>88</v>
      </c>
      <c r="AB740" t="s">
        <v>32</v>
      </c>
      <c r="AE740" t="s">
        <v>32</v>
      </c>
      <c r="AH740" t="s">
        <v>32</v>
      </c>
      <c r="AK740" t="s">
        <v>32</v>
      </c>
      <c r="AN740" t="s">
        <v>32</v>
      </c>
      <c r="AO740" t="s">
        <v>32</v>
      </c>
      <c r="AR740">
        <v>0</v>
      </c>
      <c r="AU740" t="s">
        <v>32</v>
      </c>
      <c r="AV740">
        <v>2223339</v>
      </c>
      <c r="AW740" t="s">
        <v>32</v>
      </c>
      <c r="AX740" t="s">
        <v>32</v>
      </c>
      <c r="AY740" t="s">
        <v>317</v>
      </c>
      <c r="AZ740">
        <v>3</v>
      </c>
      <c r="BA740">
        <v>222334</v>
      </c>
      <c r="BB740">
        <v>0.15999999642372131</v>
      </c>
      <c r="BC740">
        <v>35600</v>
      </c>
      <c r="BD740" t="s">
        <v>31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35600</v>
      </c>
      <c r="BK740" t="s">
        <v>25</v>
      </c>
      <c r="BL740" t="s">
        <v>1071</v>
      </c>
      <c r="BM740">
        <v>3</v>
      </c>
      <c r="BN740">
        <v>222334</v>
      </c>
      <c r="BO740">
        <v>3.9999999105930328E-2</v>
      </c>
      <c r="BP740">
        <v>8900</v>
      </c>
      <c r="BQ740">
        <v>0</v>
      </c>
      <c r="BS740">
        <v>0</v>
      </c>
      <c r="BU740">
        <v>0</v>
      </c>
      <c r="BV740" t="s">
        <v>25</v>
      </c>
      <c r="BW740" t="s">
        <v>189</v>
      </c>
      <c r="BX740">
        <v>3</v>
      </c>
      <c r="BY740">
        <v>222334</v>
      </c>
      <c r="BZ740">
        <v>6.9600000977516174E-2</v>
      </c>
      <c r="CA740" t="s">
        <v>1439</v>
      </c>
      <c r="CB740" t="s">
        <v>227</v>
      </c>
      <c r="CC740" t="s">
        <v>1440</v>
      </c>
      <c r="CD740">
        <v>15500</v>
      </c>
      <c r="CE740">
        <v>3</v>
      </c>
      <c r="CF740" t="s">
        <v>635</v>
      </c>
      <c r="CG740">
        <v>237897</v>
      </c>
      <c r="CH740">
        <v>3.9999999105930328E-2</v>
      </c>
      <c r="CI740">
        <v>9600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 t="s">
        <v>88</v>
      </c>
      <c r="CT740" t="s">
        <v>142</v>
      </c>
      <c r="CU740" t="s">
        <v>1442</v>
      </c>
    </row>
    <row r="741" spans="1:99">
      <c r="A741" t="s">
        <v>3047</v>
      </c>
      <c r="B741" t="s">
        <v>34</v>
      </c>
      <c r="C741" t="s">
        <v>1739</v>
      </c>
      <c r="D741" t="s">
        <v>1740</v>
      </c>
      <c r="E741" t="s">
        <v>1741</v>
      </c>
      <c r="F741" t="s">
        <v>778</v>
      </c>
      <c r="G741" t="s">
        <v>1742</v>
      </c>
      <c r="H741" t="s">
        <v>1743</v>
      </c>
      <c r="I741" t="s">
        <v>240</v>
      </c>
      <c r="J741" t="s">
        <v>46</v>
      </c>
      <c r="K741" t="s">
        <v>29</v>
      </c>
      <c r="L741" t="s">
        <v>30</v>
      </c>
      <c r="M741">
        <v>94</v>
      </c>
      <c r="N741" t="s">
        <v>32</v>
      </c>
      <c r="O741" t="s">
        <v>32</v>
      </c>
      <c r="Q741" t="s">
        <v>40</v>
      </c>
      <c r="R741">
        <v>46069</v>
      </c>
      <c r="S741" t="s">
        <v>32</v>
      </c>
      <c r="U741" t="s">
        <v>32</v>
      </c>
      <c r="V741" t="s">
        <v>32</v>
      </c>
      <c r="W741" t="s">
        <v>32</v>
      </c>
      <c r="X741" t="s">
        <v>32</v>
      </c>
      <c r="Y741" t="s">
        <v>32</v>
      </c>
      <c r="AA741" t="s">
        <v>88</v>
      </c>
      <c r="AB741" t="s">
        <v>32</v>
      </c>
      <c r="AE741" t="s">
        <v>32</v>
      </c>
      <c r="AH741" t="s">
        <v>32</v>
      </c>
      <c r="AK741" t="s">
        <v>32</v>
      </c>
      <c r="AN741" t="s">
        <v>32</v>
      </c>
      <c r="AO741" t="s">
        <v>32</v>
      </c>
      <c r="AR741">
        <v>0</v>
      </c>
      <c r="AU741" t="s">
        <v>32</v>
      </c>
      <c r="AV741">
        <v>5676577</v>
      </c>
      <c r="AW741" t="s">
        <v>32</v>
      </c>
      <c r="AX741" t="s">
        <v>88</v>
      </c>
      <c r="AY741" t="s">
        <v>393</v>
      </c>
      <c r="AZ741">
        <v>15</v>
      </c>
      <c r="BA741">
        <v>2838289</v>
      </c>
      <c r="BB741">
        <v>0.15999999642372131</v>
      </c>
      <c r="BC741">
        <v>454200</v>
      </c>
      <c r="BD741" t="s">
        <v>31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454200</v>
      </c>
      <c r="BK741" t="s">
        <v>25</v>
      </c>
      <c r="BL741" t="s">
        <v>885</v>
      </c>
      <c r="BM741">
        <v>15</v>
      </c>
      <c r="BN741">
        <v>2838289</v>
      </c>
      <c r="BO741">
        <v>3.9999999105930328E-2</v>
      </c>
      <c r="BP741">
        <v>113600</v>
      </c>
      <c r="BQ741">
        <v>0</v>
      </c>
      <c r="BS741">
        <v>0</v>
      </c>
      <c r="BU741">
        <v>0</v>
      </c>
      <c r="BV741" t="s">
        <v>25</v>
      </c>
      <c r="BW741" t="s">
        <v>189</v>
      </c>
      <c r="BX741">
        <v>15</v>
      </c>
      <c r="BY741">
        <v>2838289</v>
      </c>
      <c r="BZ741">
        <v>6.9600000977516174E-2</v>
      </c>
      <c r="CA741" t="s">
        <v>1439</v>
      </c>
      <c r="CB741" t="s">
        <v>227</v>
      </c>
      <c r="CC741" t="s">
        <v>1440</v>
      </c>
      <c r="CD741">
        <v>197600</v>
      </c>
      <c r="CE741">
        <v>15</v>
      </c>
      <c r="CF741" t="s">
        <v>635</v>
      </c>
      <c r="CG741">
        <v>2838289</v>
      </c>
      <c r="CH741">
        <v>3.9999999105930328E-2</v>
      </c>
      <c r="CI741">
        <v>113600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 t="s">
        <v>88</v>
      </c>
      <c r="CT741" t="s">
        <v>142</v>
      </c>
      <c r="CU741" t="s">
        <v>1442</v>
      </c>
    </row>
    <row r="742" spans="1:99">
      <c r="A742" t="s">
        <v>3047</v>
      </c>
      <c r="B742" t="s">
        <v>34</v>
      </c>
      <c r="C742" t="s">
        <v>1744</v>
      </c>
      <c r="D742" t="s">
        <v>1745</v>
      </c>
      <c r="E742" t="s">
        <v>1102</v>
      </c>
      <c r="F742" t="s">
        <v>763</v>
      </c>
      <c r="G742" t="s">
        <v>1578</v>
      </c>
      <c r="H742" t="s">
        <v>1579</v>
      </c>
      <c r="I742" t="s">
        <v>240</v>
      </c>
      <c r="J742" t="s">
        <v>46</v>
      </c>
      <c r="K742" t="s">
        <v>29</v>
      </c>
      <c r="L742" t="s">
        <v>30</v>
      </c>
      <c r="M742">
        <v>188</v>
      </c>
      <c r="N742" t="s">
        <v>32</v>
      </c>
      <c r="O742" t="s">
        <v>32</v>
      </c>
      <c r="Q742" t="s">
        <v>32</v>
      </c>
      <c r="S742" t="s">
        <v>32</v>
      </c>
      <c r="U742" t="s">
        <v>32</v>
      </c>
      <c r="V742" t="s">
        <v>32</v>
      </c>
      <c r="W742" t="s">
        <v>32</v>
      </c>
      <c r="X742" t="s">
        <v>32</v>
      </c>
      <c r="Y742" t="s">
        <v>88</v>
      </c>
      <c r="Z742">
        <v>46054</v>
      </c>
      <c r="AA742" t="s">
        <v>88</v>
      </c>
      <c r="AB742" t="s">
        <v>32</v>
      </c>
      <c r="AE742" t="s">
        <v>32</v>
      </c>
      <c r="AH742" t="s">
        <v>32</v>
      </c>
      <c r="AK742" t="s">
        <v>32</v>
      </c>
      <c r="AN742" t="s">
        <v>32</v>
      </c>
      <c r="AO742" t="s">
        <v>32</v>
      </c>
      <c r="AR742">
        <v>0</v>
      </c>
      <c r="AU742" t="s">
        <v>32</v>
      </c>
      <c r="AV742">
        <v>2219704</v>
      </c>
      <c r="AW742" t="s">
        <v>32</v>
      </c>
      <c r="AX742" t="s">
        <v>32</v>
      </c>
      <c r="AY742" t="s">
        <v>185</v>
      </c>
      <c r="AZ742">
        <v>30</v>
      </c>
      <c r="BA742">
        <v>2219704</v>
      </c>
      <c r="BB742">
        <v>0.15999999642372131</v>
      </c>
      <c r="BC742">
        <v>355200</v>
      </c>
      <c r="BD742" t="s">
        <v>31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355200</v>
      </c>
      <c r="BK742" t="s">
        <v>25</v>
      </c>
      <c r="BL742" t="s">
        <v>1071</v>
      </c>
      <c r="BM742">
        <v>30</v>
      </c>
      <c r="BN742">
        <v>2219704</v>
      </c>
      <c r="BO742">
        <v>3.9999999105930328E-2</v>
      </c>
      <c r="BP742">
        <v>88800</v>
      </c>
      <c r="BQ742">
        <v>0</v>
      </c>
      <c r="BS742">
        <v>0</v>
      </c>
      <c r="BU742">
        <v>0</v>
      </c>
      <c r="BV742" t="s">
        <v>25</v>
      </c>
      <c r="BW742" t="s">
        <v>189</v>
      </c>
      <c r="BX742">
        <v>30</v>
      </c>
      <c r="BY742">
        <v>2219704</v>
      </c>
      <c r="BZ742">
        <v>5.2200001664459705E-3</v>
      </c>
      <c r="CA742" t="s">
        <v>1592</v>
      </c>
      <c r="CB742" t="s">
        <v>227</v>
      </c>
      <c r="CC742" t="s">
        <v>1593</v>
      </c>
      <c r="CD742">
        <v>11600</v>
      </c>
      <c r="CE742">
        <v>30</v>
      </c>
      <c r="CF742" t="s">
        <v>635</v>
      </c>
      <c r="CG742">
        <v>2219704</v>
      </c>
      <c r="CH742">
        <v>3.9999999105930328E-2</v>
      </c>
      <c r="CI742">
        <v>88800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 t="s">
        <v>88</v>
      </c>
      <c r="CT742" t="s">
        <v>142</v>
      </c>
      <c r="CU742" t="s">
        <v>1442</v>
      </c>
    </row>
    <row r="743" spans="1:99">
      <c r="A743" t="s">
        <v>3047</v>
      </c>
      <c r="B743" t="s">
        <v>34</v>
      </c>
      <c r="C743" t="s">
        <v>1746</v>
      </c>
      <c r="D743" t="s">
        <v>1747</v>
      </c>
      <c r="E743" t="s">
        <v>1748</v>
      </c>
      <c r="F743" t="s">
        <v>1749</v>
      </c>
      <c r="G743" t="s">
        <v>1693</v>
      </c>
      <c r="H743" t="s">
        <v>1750</v>
      </c>
      <c r="I743" t="s">
        <v>240</v>
      </c>
      <c r="J743" t="s">
        <v>46</v>
      </c>
      <c r="K743" t="s">
        <v>29</v>
      </c>
      <c r="L743" t="s">
        <v>30</v>
      </c>
      <c r="M743">
        <v>94</v>
      </c>
      <c r="N743" t="s">
        <v>32</v>
      </c>
      <c r="O743" t="s">
        <v>32</v>
      </c>
      <c r="Q743" t="s">
        <v>32</v>
      </c>
      <c r="S743" t="s">
        <v>32</v>
      </c>
      <c r="U743" t="s">
        <v>32</v>
      </c>
      <c r="V743" t="s">
        <v>32</v>
      </c>
      <c r="W743" t="s">
        <v>32</v>
      </c>
      <c r="X743" t="s">
        <v>32</v>
      </c>
      <c r="Y743" t="s">
        <v>88</v>
      </c>
      <c r="Z743">
        <v>46054</v>
      </c>
      <c r="AA743" t="s">
        <v>88</v>
      </c>
      <c r="AB743" t="s">
        <v>32</v>
      </c>
      <c r="AE743" t="s">
        <v>32</v>
      </c>
      <c r="AH743" t="s">
        <v>32</v>
      </c>
      <c r="AK743" t="s">
        <v>32</v>
      </c>
      <c r="AN743" t="s">
        <v>32</v>
      </c>
      <c r="AO743" t="s">
        <v>32</v>
      </c>
      <c r="AR743">
        <v>0</v>
      </c>
      <c r="AU743" t="s">
        <v>32</v>
      </c>
      <c r="AV743">
        <v>3660341</v>
      </c>
      <c r="AW743" t="s">
        <v>32</v>
      </c>
      <c r="AX743" t="s">
        <v>32</v>
      </c>
      <c r="AY743" t="s">
        <v>317</v>
      </c>
      <c r="AZ743">
        <v>15</v>
      </c>
      <c r="BA743">
        <v>1601269</v>
      </c>
      <c r="BB743">
        <v>0.15999999642372131</v>
      </c>
      <c r="BC743">
        <v>256300</v>
      </c>
      <c r="BD743" t="s">
        <v>31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256300</v>
      </c>
      <c r="BK743" t="s">
        <v>25</v>
      </c>
      <c r="BL743" t="s">
        <v>635</v>
      </c>
      <c r="BM743">
        <v>15</v>
      </c>
      <c r="BN743">
        <v>1601269</v>
      </c>
      <c r="BO743">
        <v>3.9999999105930328E-2</v>
      </c>
      <c r="BP743">
        <v>64100</v>
      </c>
      <c r="BQ743">
        <v>0</v>
      </c>
      <c r="BS743">
        <v>0</v>
      </c>
      <c r="BU743">
        <v>0</v>
      </c>
      <c r="BV743" t="s">
        <v>25</v>
      </c>
      <c r="BW743" t="s">
        <v>189</v>
      </c>
      <c r="BX743">
        <v>15</v>
      </c>
      <c r="BY743">
        <v>1601269</v>
      </c>
      <c r="BZ743">
        <v>5.2200001664459705E-3</v>
      </c>
      <c r="CA743" t="s">
        <v>1592</v>
      </c>
      <c r="CB743" t="s">
        <v>227</v>
      </c>
      <c r="CC743" t="s">
        <v>1593</v>
      </c>
      <c r="CD743">
        <v>8400</v>
      </c>
      <c r="CE743">
        <v>15</v>
      </c>
      <c r="CF743" t="s">
        <v>635</v>
      </c>
      <c r="CG743">
        <v>1601269</v>
      </c>
      <c r="CH743">
        <v>3.9999999105930328E-2</v>
      </c>
      <c r="CI743">
        <v>64100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 t="s">
        <v>88</v>
      </c>
      <c r="CT743" t="s">
        <v>142</v>
      </c>
      <c r="CU743" t="s">
        <v>1442</v>
      </c>
    </row>
    <row r="744" spans="1:99">
      <c r="A744" t="s">
        <v>3047</v>
      </c>
      <c r="B744" t="s">
        <v>34</v>
      </c>
      <c r="C744" t="s">
        <v>1746</v>
      </c>
      <c r="D744" t="s">
        <v>1747</v>
      </c>
      <c r="E744" t="s">
        <v>1748</v>
      </c>
      <c r="F744" t="s">
        <v>1749</v>
      </c>
      <c r="G744" t="s">
        <v>1693</v>
      </c>
      <c r="H744" t="s">
        <v>1750</v>
      </c>
      <c r="I744" t="s">
        <v>240</v>
      </c>
      <c r="J744" t="s">
        <v>46</v>
      </c>
      <c r="K744" t="s">
        <v>29</v>
      </c>
      <c r="L744" t="s">
        <v>30</v>
      </c>
      <c r="M744">
        <v>94</v>
      </c>
      <c r="N744" t="s">
        <v>32</v>
      </c>
      <c r="O744" t="s">
        <v>32</v>
      </c>
      <c r="Q744" t="s">
        <v>32</v>
      </c>
      <c r="S744" t="s">
        <v>32</v>
      </c>
      <c r="U744" t="s">
        <v>32</v>
      </c>
      <c r="V744" t="s">
        <v>32</v>
      </c>
      <c r="W744" t="s">
        <v>32</v>
      </c>
      <c r="X744" t="s">
        <v>32</v>
      </c>
      <c r="Y744" t="s">
        <v>88</v>
      </c>
      <c r="Z744">
        <v>46054</v>
      </c>
      <c r="AA744" t="s">
        <v>88</v>
      </c>
      <c r="AB744" t="s">
        <v>32</v>
      </c>
      <c r="AE744" t="s">
        <v>32</v>
      </c>
      <c r="AH744" t="s">
        <v>32</v>
      </c>
      <c r="AK744" t="s">
        <v>32</v>
      </c>
      <c r="AN744" t="s">
        <v>32</v>
      </c>
      <c r="AO744" t="s">
        <v>32</v>
      </c>
      <c r="AR744">
        <v>0</v>
      </c>
      <c r="AU744" t="s">
        <v>32</v>
      </c>
      <c r="AV744">
        <v>3660341</v>
      </c>
      <c r="AW744" t="s">
        <v>32</v>
      </c>
      <c r="AX744" t="s">
        <v>32</v>
      </c>
      <c r="AY744" t="s">
        <v>317</v>
      </c>
      <c r="AZ744">
        <v>15</v>
      </c>
      <c r="BA744">
        <v>4614376</v>
      </c>
      <c r="BB744">
        <v>0.15999999642372131</v>
      </c>
      <c r="BC744">
        <v>738400</v>
      </c>
      <c r="BD744" t="s">
        <v>31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738400</v>
      </c>
      <c r="BK744" t="s">
        <v>25</v>
      </c>
      <c r="BL744" t="s">
        <v>635</v>
      </c>
      <c r="BM744">
        <v>15</v>
      </c>
      <c r="BN744">
        <v>4614376</v>
      </c>
      <c r="BO744">
        <v>3.9999999105930328E-2</v>
      </c>
      <c r="BP744">
        <v>184600</v>
      </c>
      <c r="BQ744">
        <v>0</v>
      </c>
      <c r="BS744">
        <v>0</v>
      </c>
      <c r="BU744">
        <v>0</v>
      </c>
      <c r="BV744" t="s">
        <v>25</v>
      </c>
      <c r="BW744" t="s">
        <v>189</v>
      </c>
      <c r="BX744">
        <v>15</v>
      </c>
      <c r="BY744">
        <v>4614376</v>
      </c>
      <c r="BZ744">
        <v>5.2200001664459705E-3</v>
      </c>
      <c r="CA744" t="s">
        <v>1592</v>
      </c>
      <c r="CB744" t="s">
        <v>227</v>
      </c>
      <c r="CC744" t="s">
        <v>1593</v>
      </c>
      <c r="CD744">
        <v>24100</v>
      </c>
      <c r="CE744">
        <v>15</v>
      </c>
      <c r="CF744" t="s">
        <v>635</v>
      </c>
      <c r="CG744">
        <v>2059073</v>
      </c>
      <c r="CH744">
        <v>3.9999999105930328E-2</v>
      </c>
      <c r="CI744">
        <v>82400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 t="s">
        <v>88</v>
      </c>
      <c r="CT744" t="s">
        <v>142</v>
      </c>
      <c r="CU744" t="s">
        <v>1442</v>
      </c>
    </row>
    <row r="745" spans="1:99">
      <c r="A745" t="s">
        <v>3047</v>
      </c>
      <c r="B745" t="s">
        <v>34</v>
      </c>
      <c r="C745" t="s">
        <v>1751</v>
      </c>
      <c r="D745" t="s">
        <v>1752</v>
      </c>
      <c r="E745" t="s">
        <v>734</v>
      </c>
      <c r="F745" t="s">
        <v>1753</v>
      </c>
      <c r="G745" t="s">
        <v>1590</v>
      </c>
      <c r="H745" t="s">
        <v>1579</v>
      </c>
      <c r="I745" t="s">
        <v>240</v>
      </c>
      <c r="J745" t="s">
        <v>46</v>
      </c>
      <c r="K745" t="s">
        <v>29</v>
      </c>
      <c r="L745" t="s">
        <v>30</v>
      </c>
      <c r="M745">
        <v>0</v>
      </c>
      <c r="N745" t="s">
        <v>32</v>
      </c>
      <c r="O745" t="s">
        <v>32</v>
      </c>
      <c r="Q745" t="s">
        <v>32</v>
      </c>
      <c r="S745" t="s">
        <v>32</v>
      </c>
      <c r="U745" t="s">
        <v>32</v>
      </c>
      <c r="V745" t="s">
        <v>32</v>
      </c>
      <c r="W745" t="s">
        <v>32</v>
      </c>
      <c r="X745" t="s">
        <v>32</v>
      </c>
      <c r="Y745" t="s">
        <v>32</v>
      </c>
      <c r="AA745" t="s">
        <v>32</v>
      </c>
      <c r="AB745" t="s">
        <v>32</v>
      </c>
      <c r="AE745" t="s">
        <v>32</v>
      </c>
      <c r="AH745" t="s">
        <v>32</v>
      </c>
      <c r="AK745" t="s">
        <v>74</v>
      </c>
      <c r="AL745">
        <v>46058</v>
      </c>
      <c r="AM745">
        <v>46061</v>
      </c>
      <c r="AN745" t="s">
        <v>32</v>
      </c>
      <c r="AO745" t="s">
        <v>32</v>
      </c>
      <c r="AR745">
        <v>0</v>
      </c>
      <c r="AU745" t="s">
        <v>32</v>
      </c>
      <c r="AV745">
        <v>3660341</v>
      </c>
      <c r="AW745" t="s">
        <v>32</v>
      </c>
      <c r="AX745" t="s">
        <v>32</v>
      </c>
      <c r="AY745" t="s">
        <v>185</v>
      </c>
      <c r="AZ745">
        <v>4</v>
      </c>
      <c r="BA745">
        <v>427670</v>
      </c>
      <c r="BB745">
        <v>0.15999999642372131</v>
      </c>
      <c r="BC745">
        <v>68500</v>
      </c>
      <c r="BD745" t="s">
        <v>31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68500</v>
      </c>
      <c r="BK745" t="s">
        <v>25</v>
      </c>
      <c r="BL745" t="s">
        <v>1071</v>
      </c>
      <c r="BM745">
        <v>4</v>
      </c>
      <c r="BN745">
        <v>427670</v>
      </c>
      <c r="BO745">
        <v>3.9999999105930328E-2</v>
      </c>
      <c r="BP745">
        <v>17200</v>
      </c>
      <c r="BQ745">
        <v>0</v>
      </c>
      <c r="BS745">
        <v>0</v>
      </c>
      <c r="BU745">
        <v>0</v>
      </c>
      <c r="BV745" t="s">
        <v>25</v>
      </c>
      <c r="BW745" t="s">
        <v>189</v>
      </c>
      <c r="BX745">
        <v>4</v>
      </c>
      <c r="BY745">
        <v>427670</v>
      </c>
      <c r="BZ745">
        <v>0</v>
      </c>
      <c r="CA745" t="s">
        <v>1592</v>
      </c>
      <c r="CB745" t="s">
        <v>227</v>
      </c>
      <c r="CC745" t="s">
        <v>1593</v>
      </c>
      <c r="CD745">
        <v>0</v>
      </c>
      <c r="CE745">
        <v>4</v>
      </c>
      <c r="CF745" t="s">
        <v>635</v>
      </c>
      <c r="CG745">
        <v>448036</v>
      </c>
      <c r="CH745">
        <v>3.9999999105930328E-2</v>
      </c>
      <c r="CI745">
        <v>18000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 t="s">
        <v>88</v>
      </c>
      <c r="CT745" t="s">
        <v>142</v>
      </c>
      <c r="CU745" t="s">
        <v>1442</v>
      </c>
    </row>
    <row r="746" spans="1:99">
      <c r="A746" t="s">
        <v>3047</v>
      </c>
      <c r="B746" t="s">
        <v>34</v>
      </c>
      <c r="C746" t="s">
        <v>1751</v>
      </c>
      <c r="D746" t="s">
        <v>1752</v>
      </c>
      <c r="E746" t="s">
        <v>734</v>
      </c>
      <c r="F746" t="s">
        <v>1753</v>
      </c>
      <c r="G746" t="s">
        <v>1590</v>
      </c>
      <c r="H746" t="s">
        <v>1579</v>
      </c>
      <c r="I746" t="s">
        <v>240</v>
      </c>
      <c r="J746" t="s">
        <v>46</v>
      </c>
      <c r="K746" t="s">
        <v>29</v>
      </c>
      <c r="L746" t="s">
        <v>30</v>
      </c>
      <c r="M746">
        <v>70</v>
      </c>
      <c r="N746" t="s">
        <v>32</v>
      </c>
      <c r="O746" t="s">
        <v>32</v>
      </c>
      <c r="Q746" t="s">
        <v>32</v>
      </c>
      <c r="S746" t="s">
        <v>32</v>
      </c>
      <c r="U746" t="s">
        <v>32</v>
      </c>
      <c r="V746" t="s">
        <v>32</v>
      </c>
      <c r="W746" t="s">
        <v>32</v>
      </c>
      <c r="X746" t="s">
        <v>32</v>
      </c>
      <c r="Y746" t="s">
        <v>88</v>
      </c>
      <c r="Z746">
        <v>46054</v>
      </c>
      <c r="AA746" t="s">
        <v>88</v>
      </c>
      <c r="AB746" t="s">
        <v>32</v>
      </c>
      <c r="AE746" t="s">
        <v>32</v>
      </c>
      <c r="AH746" t="s">
        <v>32</v>
      </c>
      <c r="AK746" t="s">
        <v>32</v>
      </c>
      <c r="AN746" t="s">
        <v>32</v>
      </c>
      <c r="AO746" t="s">
        <v>32</v>
      </c>
      <c r="AR746">
        <v>0</v>
      </c>
      <c r="AU746" t="s">
        <v>32</v>
      </c>
      <c r="AV746">
        <v>3660341</v>
      </c>
      <c r="AW746" t="s">
        <v>32</v>
      </c>
      <c r="AX746" t="s">
        <v>32</v>
      </c>
      <c r="AY746" t="s">
        <v>185</v>
      </c>
      <c r="AZ746">
        <v>26</v>
      </c>
      <c r="BA746">
        <v>3212306</v>
      </c>
      <c r="BB746">
        <v>0.15999999642372131</v>
      </c>
      <c r="BC746">
        <v>514000</v>
      </c>
      <c r="BD746" t="s">
        <v>31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514000</v>
      </c>
      <c r="BK746" t="s">
        <v>25</v>
      </c>
      <c r="BL746" t="s">
        <v>1071</v>
      </c>
      <c r="BM746">
        <v>26</v>
      </c>
      <c r="BN746">
        <v>3212306</v>
      </c>
      <c r="BO746">
        <v>3.9999999105930328E-2</v>
      </c>
      <c r="BP746">
        <v>128500</v>
      </c>
      <c r="BQ746">
        <v>0</v>
      </c>
      <c r="BS746">
        <v>0</v>
      </c>
      <c r="BU746">
        <v>0</v>
      </c>
      <c r="BV746" t="s">
        <v>25</v>
      </c>
      <c r="BW746" t="s">
        <v>189</v>
      </c>
      <c r="BX746">
        <v>26</v>
      </c>
      <c r="BY746">
        <v>3212306</v>
      </c>
      <c r="BZ746">
        <v>5.2200001664459705E-3</v>
      </c>
      <c r="CA746" t="s">
        <v>1592</v>
      </c>
      <c r="CB746" t="s">
        <v>227</v>
      </c>
      <c r="CC746" t="s">
        <v>1593</v>
      </c>
      <c r="CD746">
        <v>16800</v>
      </c>
      <c r="CE746">
        <v>26</v>
      </c>
      <c r="CF746" t="s">
        <v>635</v>
      </c>
      <c r="CG746">
        <v>3212305</v>
      </c>
      <c r="CH746">
        <v>3.9999999105930328E-2</v>
      </c>
      <c r="CI746">
        <v>128500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 t="s">
        <v>88</v>
      </c>
      <c r="CT746" t="s">
        <v>142</v>
      </c>
      <c r="CU746" t="s">
        <v>1442</v>
      </c>
    </row>
    <row r="747" spans="1:99">
      <c r="A747" t="s">
        <v>3047</v>
      </c>
      <c r="B747" t="s">
        <v>34</v>
      </c>
      <c r="C747" t="s">
        <v>1754</v>
      </c>
      <c r="D747" t="s">
        <v>1755</v>
      </c>
      <c r="E747" t="s">
        <v>992</v>
      </c>
      <c r="F747" t="s">
        <v>263</v>
      </c>
      <c r="G747" t="s">
        <v>1756</v>
      </c>
      <c r="H747" t="s">
        <v>1757</v>
      </c>
      <c r="I747" t="s">
        <v>240</v>
      </c>
      <c r="J747" t="s">
        <v>46</v>
      </c>
      <c r="K747" t="s">
        <v>29</v>
      </c>
      <c r="L747" t="s">
        <v>30</v>
      </c>
      <c r="M747">
        <v>90</v>
      </c>
      <c r="N747" t="s">
        <v>32</v>
      </c>
      <c r="O747" t="s">
        <v>32</v>
      </c>
      <c r="Q747" t="s">
        <v>40</v>
      </c>
      <c r="R747">
        <v>46069</v>
      </c>
      <c r="S747" t="s">
        <v>32</v>
      </c>
      <c r="U747" t="s">
        <v>32</v>
      </c>
      <c r="V747" t="s">
        <v>32</v>
      </c>
      <c r="W747" t="s">
        <v>32</v>
      </c>
      <c r="X747" t="s">
        <v>32</v>
      </c>
      <c r="Y747" t="s">
        <v>32</v>
      </c>
      <c r="AA747" t="s">
        <v>88</v>
      </c>
      <c r="AB747" t="s">
        <v>32</v>
      </c>
      <c r="AE747" t="s">
        <v>32</v>
      </c>
      <c r="AH747" t="s">
        <v>32</v>
      </c>
      <c r="AK747" t="s">
        <v>32</v>
      </c>
      <c r="AN747" t="s">
        <v>32</v>
      </c>
      <c r="AO747" t="s">
        <v>32</v>
      </c>
      <c r="AR747">
        <v>0</v>
      </c>
      <c r="AU747" t="s">
        <v>32</v>
      </c>
      <c r="AV747">
        <v>2102789</v>
      </c>
      <c r="AW747" t="s">
        <v>32</v>
      </c>
      <c r="AX747" t="s">
        <v>32</v>
      </c>
      <c r="AY747" t="s">
        <v>317</v>
      </c>
      <c r="AZ747">
        <v>15</v>
      </c>
      <c r="BA747">
        <v>1547463</v>
      </c>
      <c r="BB747">
        <v>0.15999999642372131</v>
      </c>
      <c r="BC747">
        <v>247600</v>
      </c>
      <c r="BD747" t="s">
        <v>31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247600</v>
      </c>
      <c r="BK747" t="s">
        <v>25</v>
      </c>
      <c r="BL747" t="s">
        <v>1010</v>
      </c>
      <c r="BM747">
        <v>15</v>
      </c>
      <c r="BN747">
        <v>1547463</v>
      </c>
      <c r="BO747">
        <v>3.9999999105930328E-2</v>
      </c>
      <c r="BP747">
        <v>61900</v>
      </c>
      <c r="BQ747">
        <v>0</v>
      </c>
      <c r="BS747">
        <v>0</v>
      </c>
      <c r="BU747">
        <v>0</v>
      </c>
      <c r="BV747" t="s">
        <v>25</v>
      </c>
      <c r="BW747" t="s">
        <v>189</v>
      </c>
      <c r="BX747">
        <v>15</v>
      </c>
      <c r="BY747">
        <v>1547463</v>
      </c>
      <c r="BZ747">
        <v>6.9600000977516174E-2</v>
      </c>
      <c r="CA747" t="s">
        <v>1439</v>
      </c>
      <c r="CB747" t="s">
        <v>227</v>
      </c>
      <c r="CC747" t="s">
        <v>1440</v>
      </c>
      <c r="CD747">
        <v>107800</v>
      </c>
      <c r="CE747">
        <v>15</v>
      </c>
      <c r="CF747" t="s">
        <v>635</v>
      </c>
      <c r="CG747">
        <v>1051395</v>
      </c>
      <c r="CH747">
        <v>3.9999999105930328E-2</v>
      </c>
      <c r="CI747">
        <v>42100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 t="s">
        <v>88</v>
      </c>
      <c r="CT747" t="s">
        <v>142</v>
      </c>
      <c r="CU747" t="s">
        <v>1442</v>
      </c>
    </row>
    <row r="748" spans="1:99">
      <c r="A748" t="s">
        <v>3047</v>
      </c>
      <c r="B748" t="s">
        <v>34</v>
      </c>
      <c r="C748" t="s">
        <v>1758</v>
      </c>
      <c r="D748" t="s">
        <v>1759</v>
      </c>
      <c r="E748" t="s">
        <v>1566</v>
      </c>
      <c r="F748" t="s">
        <v>1760</v>
      </c>
      <c r="G748" t="s">
        <v>1761</v>
      </c>
      <c r="H748" t="s">
        <v>1558</v>
      </c>
      <c r="I748" t="s">
        <v>240</v>
      </c>
      <c r="J748" t="s">
        <v>46</v>
      </c>
      <c r="K748" t="s">
        <v>29</v>
      </c>
      <c r="L748" t="s">
        <v>30</v>
      </c>
      <c r="M748">
        <v>0</v>
      </c>
      <c r="N748" t="s">
        <v>32</v>
      </c>
      <c r="O748" t="s">
        <v>32</v>
      </c>
      <c r="Q748" t="s">
        <v>32</v>
      </c>
      <c r="S748" t="s">
        <v>32</v>
      </c>
      <c r="U748" t="s">
        <v>32</v>
      </c>
      <c r="V748" t="s">
        <v>32</v>
      </c>
      <c r="W748" t="s">
        <v>32</v>
      </c>
      <c r="X748" t="s">
        <v>32</v>
      </c>
      <c r="Y748" t="s">
        <v>32</v>
      </c>
      <c r="AA748" t="s">
        <v>32</v>
      </c>
      <c r="AB748" t="s">
        <v>37</v>
      </c>
      <c r="AC748">
        <v>46054</v>
      </c>
      <c r="AD748">
        <v>46055</v>
      </c>
      <c r="AE748" t="s">
        <v>32</v>
      </c>
      <c r="AH748" t="s">
        <v>32</v>
      </c>
      <c r="AK748" t="s">
        <v>32</v>
      </c>
      <c r="AN748" t="s">
        <v>32</v>
      </c>
      <c r="AO748" t="s">
        <v>32</v>
      </c>
      <c r="AR748">
        <v>0</v>
      </c>
      <c r="AU748" t="s">
        <v>32</v>
      </c>
      <c r="AV748">
        <v>1750905</v>
      </c>
      <c r="AW748" t="s">
        <v>32</v>
      </c>
      <c r="AX748" t="s">
        <v>32</v>
      </c>
      <c r="AY748" t="s">
        <v>317</v>
      </c>
      <c r="AZ748">
        <v>2</v>
      </c>
      <c r="BA748">
        <v>175091</v>
      </c>
      <c r="BB748">
        <v>0.15999999642372131</v>
      </c>
      <c r="BC748">
        <v>28100</v>
      </c>
      <c r="BD748" t="s">
        <v>31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28100</v>
      </c>
      <c r="BK748" t="s">
        <v>25</v>
      </c>
      <c r="BL748" t="s">
        <v>885</v>
      </c>
      <c r="BM748">
        <v>2</v>
      </c>
      <c r="BN748">
        <v>175091</v>
      </c>
      <c r="BO748">
        <v>0</v>
      </c>
      <c r="BP748">
        <v>0</v>
      </c>
      <c r="BQ748">
        <v>0</v>
      </c>
      <c r="BS748">
        <v>0</v>
      </c>
      <c r="BU748">
        <v>0</v>
      </c>
      <c r="BV748" t="s">
        <v>25</v>
      </c>
      <c r="BW748" t="s">
        <v>189</v>
      </c>
      <c r="BX748">
        <v>2</v>
      </c>
      <c r="BY748">
        <v>175091</v>
      </c>
      <c r="BZ748">
        <v>0</v>
      </c>
      <c r="CA748" t="s">
        <v>1439</v>
      </c>
      <c r="CB748" t="s">
        <v>227</v>
      </c>
      <c r="CC748" t="s">
        <v>1440</v>
      </c>
      <c r="CD748">
        <v>0</v>
      </c>
      <c r="CE748">
        <v>2</v>
      </c>
      <c r="CF748" t="s">
        <v>635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 t="s">
        <v>88</v>
      </c>
      <c r="CT748" t="s">
        <v>142</v>
      </c>
      <c r="CU748" t="s">
        <v>1442</v>
      </c>
    </row>
    <row r="749" spans="1:99">
      <c r="A749" t="s">
        <v>3047</v>
      </c>
      <c r="B749" t="s">
        <v>34</v>
      </c>
      <c r="C749" t="s">
        <v>1758</v>
      </c>
      <c r="D749" t="s">
        <v>1759</v>
      </c>
      <c r="E749" t="s">
        <v>1566</v>
      </c>
      <c r="F749" t="s">
        <v>1760</v>
      </c>
      <c r="G749" t="s">
        <v>1761</v>
      </c>
      <c r="H749" t="s">
        <v>1558</v>
      </c>
      <c r="I749" t="s">
        <v>240</v>
      </c>
      <c r="J749" t="s">
        <v>46</v>
      </c>
      <c r="K749" t="s">
        <v>29</v>
      </c>
      <c r="L749" t="s">
        <v>30</v>
      </c>
      <c r="M749">
        <v>6</v>
      </c>
      <c r="N749" t="s">
        <v>32</v>
      </c>
      <c r="O749" t="s">
        <v>32</v>
      </c>
      <c r="Q749" t="s">
        <v>32</v>
      </c>
      <c r="S749" t="s">
        <v>40</v>
      </c>
      <c r="T749">
        <v>46056</v>
      </c>
      <c r="U749" t="s">
        <v>32</v>
      </c>
      <c r="V749" t="s">
        <v>32</v>
      </c>
      <c r="W749" t="s">
        <v>32</v>
      </c>
      <c r="X749" t="s">
        <v>32</v>
      </c>
      <c r="Y749" t="s">
        <v>32</v>
      </c>
      <c r="AA749" t="s">
        <v>88</v>
      </c>
      <c r="AB749" t="s">
        <v>32</v>
      </c>
      <c r="AE749" t="s">
        <v>32</v>
      </c>
      <c r="AH749" t="s">
        <v>32</v>
      </c>
      <c r="AK749" t="s">
        <v>32</v>
      </c>
      <c r="AN749" t="s">
        <v>32</v>
      </c>
      <c r="AO749" t="s">
        <v>32</v>
      </c>
      <c r="AR749">
        <v>0</v>
      </c>
      <c r="AU749" t="s">
        <v>32</v>
      </c>
      <c r="AV749">
        <v>1750905</v>
      </c>
      <c r="AW749" t="s">
        <v>32</v>
      </c>
      <c r="AX749" t="s">
        <v>32</v>
      </c>
      <c r="AY749" t="s">
        <v>317</v>
      </c>
      <c r="AZ749">
        <v>1</v>
      </c>
      <c r="BA749">
        <v>346838</v>
      </c>
      <c r="BB749">
        <v>0.15999999642372131</v>
      </c>
      <c r="BC749">
        <v>55500</v>
      </c>
      <c r="BD749" t="s">
        <v>31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55500</v>
      </c>
      <c r="BK749" t="s">
        <v>25</v>
      </c>
      <c r="BL749" t="s">
        <v>885</v>
      </c>
      <c r="BM749">
        <v>1</v>
      </c>
      <c r="BN749">
        <v>346838</v>
      </c>
      <c r="BO749">
        <v>3.9999999105930328E-2</v>
      </c>
      <c r="BP749">
        <v>13900</v>
      </c>
      <c r="BQ749">
        <v>0</v>
      </c>
      <c r="BS749">
        <v>0</v>
      </c>
      <c r="BU749">
        <v>0</v>
      </c>
      <c r="BV749" t="s">
        <v>25</v>
      </c>
      <c r="BW749" t="s">
        <v>189</v>
      </c>
      <c r="BX749">
        <v>1</v>
      </c>
      <c r="BY749">
        <v>346838</v>
      </c>
      <c r="BZ749">
        <v>6.9600000977516174E-2</v>
      </c>
      <c r="CA749" t="s">
        <v>1439</v>
      </c>
      <c r="CB749" t="s">
        <v>227</v>
      </c>
      <c r="CC749" t="s">
        <v>1440</v>
      </c>
      <c r="CD749">
        <v>24200</v>
      </c>
      <c r="CE749">
        <v>1</v>
      </c>
      <c r="CF749" t="s">
        <v>635</v>
      </c>
      <c r="CG749">
        <v>753174</v>
      </c>
      <c r="CH749">
        <v>3.9999999105930328E-2</v>
      </c>
      <c r="CI749">
        <v>30200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 t="s">
        <v>88</v>
      </c>
      <c r="CT749" t="s">
        <v>142</v>
      </c>
      <c r="CU749" t="s">
        <v>1442</v>
      </c>
    </row>
    <row r="750" spans="1:99">
      <c r="A750" t="s">
        <v>3047</v>
      </c>
      <c r="B750" t="s">
        <v>34</v>
      </c>
      <c r="C750" t="s">
        <v>1762</v>
      </c>
      <c r="D750" t="s">
        <v>3050</v>
      </c>
      <c r="E750" t="s">
        <v>1483</v>
      </c>
      <c r="F750" t="s">
        <v>1764</v>
      </c>
      <c r="G750" t="s">
        <v>1583</v>
      </c>
      <c r="H750" t="s">
        <v>1766</v>
      </c>
      <c r="I750" t="s">
        <v>240</v>
      </c>
      <c r="J750" t="s">
        <v>46</v>
      </c>
      <c r="K750" t="s">
        <v>29</v>
      </c>
      <c r="L750" t="s">
        <v>30</v>
      </c>
      <c r="M750">
        <v>216</v>
      </c>
      <c r="N750" t="s">
        <v>32</v>
      </c>
      <c r="O750" t="s">
        <v>32</v>
      </c>
      <c r="Q750" t="s">
        <v>32</v>
      </c>
      <c r="S750" t="s">
        <v>32</v>
      </c>
      <c r="U750" t="s">
        <v>32</v>
      </c>
      <c r="V750" t="s">
        <v>32</v>
      </c>
      <c r="W750" t="s">
        <v>32</v>
      </c>
      <c r="X750" t="s">
        <v>32</v>
      </c>
      <c r="Y750" t="s">
        <v>32</v>
      </c>
      <c r="AA750" t="s">
        <v>88</v>
      </c>
      <c r="AB750" t="s">
        <v>32</v>
      </c>
      <c r="AE750" t="s">
        <v>32</v>
      </c>
      <c r="AH750" t="s">
        <v>32</v>
      </c>
      <c r="AK750" t="s">
        <v>32</v>
      </c>
      <c r="AN750" t="s">
        <v>32</v>
      </c>
      <c r="AO750" t="s">
        <v>32</v>
      </c>
      <c r="AR750">
        <v>0</v>
      </c>
      <c r="AU750" t="s">
        <v>32</v>
      </c>
      <c r="AV750">
        <v>1750905</v>
      </c>
      <c r="AW750" t="s">
        <v>32</v>
      </c>
      <c r="AX750" t="s">
        <v>32</v>
      </c>
      <c r="AY750" t="s">
        <v>317</v>
      </c>
      <c r="AZ750">
        <v>30</v>
      </c>
      <c r="BA750">
        <v>2237314</v>
      </c>
      <c r="BB750">
        <v>0.15999999642372131</v>
      </c>
      <c r="BC750">
        <v>358000</v>
      </c>
      <c r="BD750" t="s">
        <v>31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358000</v>
      </c>
      <c r="BK750" t="s">
        <v>25</v>
      </c>
      <c r="BL750" t="s">
        <v>1064</v>
      </c>
      <c r="BM750">
        <v>30</v>
      </c>
      <c r="BN750">
        <v>2237314</v>
      </c>
      <c r="BO750">
        <v>3.9999999105930328E-2</v>
      </c>
      <c r="BP750">
        <v>89500</v>
      </c>
      <c r="BQ750">
        <v>0</v>
      </c>
      <c r="BS750">
        <v>0</v>
      </c>
      <c r="BU750">
        <v>0</v>
      </c>
      <c r="BV750" t="s">
        <v>25</v>
      </c>
      <c r="BW750" t="s">
        <v>189</v>
      </c>
      <c r="BX750">
        <v>30</v>
      </c>
      <c r="BY750">
        <v>2237314</v>
      </c>
      <c r="BZ750">
        <v>6.9600000977516174E-2</v>
      </c>
      <c r="CA750" t="s">
        <v>1439</v>
      </c>
      <c r="CB750" t="s">
        <v>227</v>
      </c>
      <c r="CC750" t="s">
        <v>1440</v>
      </c>
      <c r="CD750">
        <v>155800</v>
      </c>
      <c r="CE750">
        <v>30</v>
      </c>
      <c r="CF750" t="s">
        <v>635</v>
      </c>
      <c r="CG750">
        <v>2237314</v>
      </c>
      <c r="CH750">
        <v>3.9999999105930328E-2</v>
      </c>
      <c r="CI750">
        <v>89500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 t="s">
        <v>88</v>
      </c>
      <c r="CT750" t="s">
        <v>142</v>
      </c>
      <c r="CU750" t="s">
        <v>1442</v>
      </c>
    </row>
    <row r="751" spans="1:99">
      <c r="A751" t="s">
        <v>3047</v>
      </c>
      <c r="B751" t="s">
        <v>34</v>
      </c>
      <c r="C751" t="s">
        <v>1767</v>
      </c>
      <c r="D751" t="s">
        <v>1768</v>
      </c>
      <c r="E751" t="s">
        <v>1769</v>
      </c>
      <c r="F751" t="s">
        <v>1770</v>
      </c>
      <c r="G751" t="s">
        <v>1771</v>
      </c>
      <c r="H751" t="s">
        <v>1489</v>
      </c>
      <c r="I751" t="s">
        <v>240</v>
      </c>
      <c r="J751" t="s">
        <v>46</v>
      </c>
      <c r="K751" t="s">
        <v>29</v>
      </c>
      <c r="L751" t="s">
        <v>30</v>
      </c>
      <c r="M751">
        <v>0</v>
      </c>
      <c r="N751" t="s">
        <v>32</v>
      </c>
      <c r="O751" t="s">
        <v>32</v>
      </c>
      <c r="Q751" t="s">
        <v>32</v>
      </c>
      <c r="S751" t="s">
        <v>32</v>
      </c>
      <c r="U751" t="s">
        <v>32</v>
      </c>
      <c r="V751" t="s">
        <v>32</v>
      </c>
      <c r="W751" t="s">
        <v>32</v>
      </c>
      <c r="X751" t="s">
        <v>32</v>
      </c>
      <c r="Y751" t="s">
        <v>32</v>
      </c>
      <c r="AA751" t="s">
        <v>32</v>
      </c>
      <c r="AB751" t="s">
        <v>32</v>
      </c>
      <c r="AE751" t="s">
        <v>32</v>
      </c>
      <c r="AH751" t="s">
        <v>32</v>
      </c>
      <c r="AK751" t="s">
        <v>74</v>
      </c>
      <c r="AL751">
        <v>46054</v>
      </c>
      <c r="AM751">
        <v>46058</v>
      </c>
      <c r="AN751" t="s">
        <v>32</v>
      </c>
      <c r="AO751" t="s">
        <v>32</v>
      </c>
      <c r="AR751">
        <v>0</v>
      </c>
      <c r="AU751" t="s">
        <v>32</v>
      </c>
      <c r="AV751">
        <v>1889179</v>
      </c>
      <c r="AW751" t="s">
        <v>32</v>
      </c>
      <c r="AX751" t="s">
        <v>32</v>
      </c>
      <c r="AY751" t="s">
        <v>356</v>
      </c>
      <c r="AZ751">
        <v>5</v>
      </c>
      <c r="BA751">
        <v>331364</v>
      </c>
      <c r="BB751">
        <v>0.15999999642372131</v>
      </c>
      <c r="BC751">
        <v>53100</v>
      </c>
      <c r="BD751" t="s">
        <v>31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53100</v>
      </c>
      <c r="BK751" t="s">
        <v>25</v>
      </c>
      <c r="BL751" t="s">
        <v>885</v>
      </c>
      <c r="BM751">
        <v>5</v>
      </c>
      <c r="BN751">
        <v>331364</v>
      </c>
      <c r="BO751">
        <v>3.9999999105930328E-2</v>
      </c>
      <c r="BP751">
        <v>13300</v>
      </c>
      <c r="BQ751">
        <v>0</v>
      </c>
      <c r="BS751">
        <v>0</v>
      </c>
      <c r="BU751">
        <v>0</v>
      </c>
      <c r="BV751" t="s">
        <v>25</v>
      </c>
      <c r="BW751" t="s">
        <v>189</v>
      </c>
      <c r="BX751">
        <v>5</v>
      </c>
      <c r="BY751">
        <v>331364</v>
      </c>
      <c r="BZ751">
        <v>0</v>
      </c>
      <c r="CA751" t="s">
        <v>1772</v>
      </c>
      <c r="CB751" t="s">
        <v>227</v>
      </c>
      <c r="CC751" t="s">
        <v>1773</v>
      </c>
      <c r="CD751">
        <v>0</v>
      </c>
      <c r="CE751">
        <v>5</v>
      </c>
      <c r="CF751" t="s">
        <v>635</v>
      </c>
      <c r="CG751">
        <v>314864</v>
      </c>
      <c r="CH751">
        <v>3.9999999105930328E-2</v>
      </c>
      <c r="CI751">
        <v>12600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 t="s">
        <v>88</v>
      </c>
      <c r="CT751" t="s">
        <v>142</v>
      </c>
      <c r="CU751" t="s">
        <v>1442</v>
      </c>
    </row>
    <row r="752" spans="1:99">
      <c r="A752" t="s">
        <v>3047</v>
      </c>
      <c r="B752" t="s">
        <v>34</v>
      </c>
      <c r="C752" t="s">
        <v>1767</v>
      </c>
      <c r="D752" t="s">
        <v>1768</v>
      </c>
      <c r="E752" t="s">
        <v>1769</v>
      </c>
      <c r="F752" t="s">
        <v>1770</v>
      </c>
      <c r="G752" t="s">
        <v>1771</v>
      </c>
      <c r="H752" t="s">
        <v>1489</v>
      </c>
      <c r="I752" t="s">
        <v>240</v>
      </c>
      <c r="J752" t="s">
        <v>46</v>
      </c>
      <c r="K752" t="s">
        <v>29</v>
      </c>
      <c r="L752" t="s">
        <v>30</v>
      </c>
      <c r="M752">
        <v>144</v>
      </c>
      <c r="N752" t="s">
        <v>32</v>
      </c>
      <c r="O752" t="s">
        <v>32</v>
      </c>
      <c r="Q752" t="s">
        <v>32</v>
      </c>
      <c r="S752" t="s">
        <v>32</v>
      </c>
      <c r="U752" t="s">
        <v>32</v>
      </c>
      <c r="V752" t="s">
        <v>32</v>
      </c>
      <c r="W752" t="s">
        <v>32</v>
      </c>
      <c r="X752" t="s">
        <v>32</v>
      </c>
      <c r="Y752" t="s">
        <v>32</v>
      </c>
      <c r="AA752" t="s">
        <v>88</v>
      </c>
      <c r="AB752" t="s">
        <v>32</v>
      </c>
      <c r="AE752" t="s">
        <v>32</v>
      </c>
      <c r="AH752" t="s">
        <v>32</v>
      </c>
      <c r="AK752" t="s">
        <v>32</v>
      </c>
      <c r="AN752" t="s">
        <v>32</v>
      </c>
      <c r="AO752" t="s">
        <v>32</v>
      </c>
      <c r="AR752">
        <v>0</v>
      </c>
      <c r="AU752" t="s">
        <v>32</v>
      </c>
      <c r="AV752">
        <v>1889179</v>
      </c>
      <c r="AW752" t="s">
        <v>32</v>
      </c>
      <c r="AX752" t="s">
        <v>32</v>
      </c>
      <c r="AY752" t="s">
        <v>356</v>
      </c>
      <c r="AZ752">
        <v>25</v>
      </c>
      <c r="BA752">
        <v>1574316</v>
      </c>
      <c r="BB752">
        <v>0.15999999642372131</v>
      </c>
      <c r="BC752">
        <v>251900</v>
      </c>
      <c r="BD752" t="s">
        <v>31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251900</v>
      </c>
      <c r="BK752" t="s">
        <v>25</v>
      </c>
      <c r="BL752" t="s">
        <v>885</v>
      </c>
      <c r="BM752">
        <v>25</v>
      </c>
      <c r="BN752">
        <v>1574316</v>
      </c>
      <c r="BO752">
        <v>3.9999999105930328E-2</v>
      </c>
      <c r="BP752">
        <v>63000</v>
      </c>
      <c r="BQ752">
        <v>0</v>
      </c>
      <c r="BS752">
        <v>0</v>
      </c>
      <c r="BU752">
        <v>0</v>
      </c>
      <c r="BV752" t="s">
        <v>25</v>
      </c>
      <c r="BW752" t="s">
        <v>189</v>
      </c>
      <c r="BX752">
        <v>25</v>
      </c>
      <c r="BY752">
        <v>1574316</v>
      </c>
      <c r="BZ752">
        <v>2.4360001087188721E-2</v>
      </c>
      <c r="CA752" t="s">
        <v>1772</v>
      </c>
      <c r="CB752" t="s">
        <v>227</v>
      </c>
      <c r="CC752" t="s">
        <v>1773</v>
      </c>
      <c r="CD752">
        <v>38400</v>
      </c>
      <c r="CE752">
        <v>25</v>
      </c>
      <c r="CF752" t="s">
        <v>635</v>
      </c>
      <c r="CG752">
        <v>1574316</v>
      </c>
      <c r="CH752">
        <v>3.9999999105930328E-2</v>
      </c>
      <c r="CI752">
        <v>63000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 t="s">
        <v>88</v>
      </c>
      <c r="CT752" t="s">
        <v>142</v>
      </c>
      <c r="CU752" t="s">
        <v>1442</v>
      </c>
    </row>
    <row r="753" spans="1:99">
      <c r="A753" t="s">
        <v>3047</v>
      </c>
      <c r="B753" t="s">
        <v>34</v>
      </c>
      <c r="C753" t="s">
        <v>1774</v>
      </c>
      <c r="D753" t="s">
        <v>1775</v>
      </c>
      <c r="E753" t="s">
        <v>1776</v>
      </c>
      <c r="F753" t="s">
        <v>1506</v>
      </c>
      <c r="G753" t="s">
        <v>1777</v>
      </c>
      <c r="H753" t="s">
        <v>1479</v>
      </c>
      <c r="I753" t="s">
        <v>682</v>
      </c>
      <c r="J753" t="s">
        <v>484</v>
      </c>
      <c r="K753" t="s">
        <v>29</v>
      </c>
      <c r="L753" t="s">
        <v>30</v>
      </c>
      <c r="M753">
        <v>202</v>
      </c>
      <c r="N753" t="s">
        <v>32</v>
      </c>
      <c r="O753" t="s">
        <v>32</v>
      </c>
      <c r="Q753" t="s">
        <v>32</v>
      </c>
      <c r="S753" t="s">
        <v>32</v>
      </c>
      <c r="U753" t="s">
        <v>32</v>
      </c>
      <c r="V753" t="s">
        <v>32</v>
      </c>
      <c r="W753" t="s">
        <v>32</v>
      </c>
      <c r="X753" t="s">
        <v>32</v>
      </c>
      <c r="Y753" t="s">
        <v>88</v>
      </c>
      <c r="Z753">
        <v>46054</v>
      </c>
      <c r="AA753" t="s">
        <v>88</v>
      </c>
      <c r="AB753" t="s">
        <v>32</v>
      </c>
      <c r="AE753" t="s">
        <v>32</v>
      </c>
      <c r="AH753" t="s">
        <v>32</v>
      </c>
      <c r="AK753" t="s">
        <v>32</v>
      </c>
      <c r="AN753" t="s">
        <v>32</v>
      </c>
      <c r="AO753" t="s">
        <v>32</v>
      </c>
      <c r="AR753">
        <v>0</v>
      </c>
      <c r="AU753" t="s">
        <v>32</v>
      </c>
      <c r="AV753">
        <v>1889179</v>
      </c>
      <c r="AW753" t="s">
        <v>32</v>
      </c>
      <c r="AX753" t="s">
        <v>32</v>
      </c>
      <c r="AY753" t="s">
        <v>317</v>
      </c>
      <c r="AZ753">
        <v>30</v>
      </c>
      <c r="BA753">
        <v>2285022</v>
      </c>
      <c r="BB753">
        <v>0.15999999642372131</v>
      </c>
      <c r="BC753">
        <v>365700</v>
      </c>
      <c r="BD753" t="s">
        <v>31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365700</v>
      </c>
      <c r="BK753" t="s">
        <v>25</v>
      </c>
      <c r="BL753" t="s">
        <v>1071</v>
      </c>
      <c r="BM753">
        <v>30</v>
      </c>
      <c r="BN753">
        <v>2285022</v>
      </c>
      <c r="BO753">
        <v>3.9999999105930328E-2</v>
      </c>
      <c r="BP753">
        <v>91500</v>
      </c>
      <c r="BQ753">
        <v>0</v>
      </c>
      <c r="BS753">
        <v>0</v>
      </c>
      <c r="BU753">
        <v>0</v>
      </c>
      <c r="BV753" t="s">
        <v>25</v>
      </c>
      <c r="BW753" t="s">
        <v>189</v>
      </c>
      <c r="BX753">
        <v>30</v>
      </c>
      <c r="BY753">
        <v>2285022</v>
      </c>
      <c r="BZ753">
        <v>6.9600000977516174E-2</v>
      </c>
      <c r="CA753" t="s">
        <v>1439</v>
      </c>
      <c r="CB753" t="s">
        <v>312</v>
      </c>
      <c r="CC753" t="s">
        <v>1440</v>
      </c>
      <c r="CD753">
        <v>159100</v>
      </c>
      <c r="CE753">
        <v>30</v>
      </c>
      <c r="CF753" t="s">
        <v>466</v>
      </c>
      <c r="CG753">
        <v>2285022</v>
      </c>
      <c r="CH753">
        <v>3.9999999105930328E-2</v>
      </c>
      <c r="CI753">
        <v>91500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 t="s">
        <v>88</v>
      </c>
      <c r="CT753" t="s">
        <v>142</v>
      </c>
      <c r="CU753" t="s">
        <v>1442</v>
      </c>
    </row>
    <row r="754" spans="1:99">
      <c r="A754" t="s">
        <v>3047</v>
      </c>
      <c r="B754" t="s">
        <v>34</v>
      </c>
      <c r="C754" t="s">
        <v>1778</v>
      </c>
      <c r="D754" t="s">
        <v>1779</v>
      </c>
      <c r="E754" t="s">
        <v>1551</v>
      </c>
      <c r="F754" t="s">
        <v>1780</v>
      </c>
      <c r="G754" t="s">
        <v>1781</v>
      </c>
      <c r="H754" t="s">
        <v>1489</v>
      </c>
      <c r="I754" t="s">
        <v>682</v>
      </c>
      <c r="J754" t="s">
        <v>484</v>
      </c>
      <c r="K754" t="s">
        <v>29</v>
      </c>
      <c r="L754" t="s">
        <v>30</v>
      </c>
      <c r="M754">
        <v>0</v>
      </c>
      <c r="N754" t="s">
        <v>32</v>
      </c>
      <c r="O754" t="s">
        <v>32</v>
      </c>
      <c r="Q754" t="s">
        <v>32</v>
      </c>
      <c r="S754" t="s">
        <v>32</v>
      </c>
      <c r="U754" t="s">
        <v>32</v>
      </c>
      <c r="V754" t="s">
        <v>32</v>
      </c>
      <c r="W754" t="s">
        <v>32</v>
      </c>
      <c r="X754" t="s">
        <v>32</v>
      </c>
      <c r="Y754" t="s">
        <v>32</v>
      </c>
      <c r="AA754" t="s">
        <v>32</v>
      </c>
      <c r="AB754" t="s">
        <v>37</v>
      </c>
      <c r="AC754">
        <v>46054</v>
      </c>
      <c r="AD754">
        <v>46054</v>
      </c>
      <c r="AE754" t="s">
        <v>32</v>
      </c>
      <c r="AH754" t="s">
        <v>32</v>
      </c>
      <c r="AK754" t="s">
        <v>32</v>
      </c>
      <c r="AN754" t="s">
        <v>32</v>
      </c>
      <c r="AO754" t="s">
        <v>32</v>
      </c>
      <c r="AR754">
        <v>0</v>
      </c>
      <c r="AU754" t="s">
        <v>32</v>
      </c>
      <c r="AV754">
        <v>1785595</v>
      </c>
      <c r="AW754" t="s">
        <v>32</v>
      </c>
      <c r="AX754" t="s">
        <v>32</v>
      </c>
      <c r="AY754" t="s">
        <v>317</v>
      </c>
      <c r="AZ754">
        <v>1</v>
      </c>
      <c r="BA754">
        <v>59520</v>
      </c>
      <c r="BB754">
        <v>0.15999999642372131</v>
      </c>
      <c r="BC754">
        <v>9600</v>
      </c>
      <c r="BD754" t="s">
        <v>31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9600</v>
      </c>
      <c r="BK754" t="s">
        <v>25</v>
      </c>
      <c r="BL754" t="s">
        <v>1071</v>
      </c>
      <c r="BM754">
        <v>1</v>
      </c>
      <c r="BN754">
        <v>59520</v>
      </c>
      <c r="BO754">
        <v>0</v>
      </c>
      <c r="BP754">
        <v>0</v>
      </c>
      <c r="BQ754">
        <v>0</v>
      </c>
      <c r="BS754">
        <v>0</v>
      </c>
      <c r="BU754">
        <v>0</v>
      </c>
      <c r="BV754" t="s">
        <v>25</v>
      </c>
      <c r="BW754" t="s">
        <v>189</v>
      </c>
      <c r="BX754">
        <v>1</v>
      </c>
      <c r="BY754">
        <v>59520</v>
      </c>
      <c r="BZ754">
        <v>0</v>
      </c>
      <c r="CA754" t="s">
        <v>1439</v>
      </c>
      <c r="CB754" t="s">
        <v>312</v>
      </c>
      <c r="CC754" t="s">
        <v>1440</v>
      </c>
      <c r="CD754">
        <v>0</v>
      </c>
      <c r="CE754">
        <v>1</v>
      </c>
      <c r="CF754" t="s">
        <v>466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 t="s">
        <v>88</v>
      </c>
      <c r="CT754" t="s">
        <v>142</v>
      </c>
      <c r="CU754" t="s">
        <v>1442</v>
      </c>
    </row>
    <row r="755" spans="1:99">
      <c r="A755" t="s">
        <v>3047</v>
      </c>
      <c r="B755" t="s">
        <v>34</v>
      </c>
      <c r="C755" t="s">
        <v>1778</v>
      </c>
      <c r="D755" t="s">
        <v>1779</v>
      </c>
      <c r="E755" t="s">
        <v>1551</v>
      </c>
      <c r="F755" t="s">
        <v>1780</v>
      </c>
      <c r="G755" t="s">
        <v>1781</v>
      </c>
      <c r="H755" t="s">
        <v>1489</v>
      </c>
      <c r="I755" t="s">
        <v>682</v>
      </c>
      <c r="J755" t="s">
        <v>484</v>
      </c>
      <c r="K755" t="s">
        <v>29</v>
      </c>
      <c r="L755" t="s">
        <v>30</v>
      </c>
      <c r="M755">
        <v>201</v>
      </c>
      <c r="N755" t="s">
        <v>32</v>
      </c>
      <c r="O755" t="s">
        <v>32</v>
      </c>
      <c r="Q755" t="s">
        <v>32</v>
      </c>
      <c r="S755" t="s">
        <v>40</v>
      </c>
      <c r="T755">
        <v>46079</v>
      </c>
      <c r="U755" t="s">
        <v>32</v>
      </c>
      <c r="V755" t="s">
        <v>32</v>
      </c>
      <c r="W755" t="s">
        <v>32</v>
      </c>
      <c r="X755" t="s">
        <v>32</v>
      </c>
      <c r="Y755" t="s">
        <v>32</v>
      </c>
      <c r="AA755" t="s">
        <v>88</v>
      </c>
      <c r="AB755" t="s">
        <v>32</v>
      </c>
      <c r="AE755" t="s">
        <v>32</v>
      </c>
      <c r="AH755" t="s">
        <v>32</v>
      </c>
      <c r="AK755" t="s">
        <v>32</v>
      </c>
      <c r="AN755" t="s">
        <v>32</v>
      </c>
      <c r="AO755" t="s">
        <v>32</v>
      </c>
      <c r="AR755">
        <v>0</v>
      </c>
      <c r="AU755" t="s">
        <v>32</v>
      </c>
      <c r="AV755">
        <v>1785595</v>
      </c>
      <c r="AW755" t="s">
        <v>32</v>
      </c>
      <c r="AX755" t="s">
        <v>32</v>
      </c>
      <c r="AY755" t="s">
        <v>317</v>
      </c>
      <c r="AZ755">
        <v>25</v>
      </c>
      <c r="BA755">
        <v>1950683</v>
      </c>
      <c r="BB755">
        <v>0.15999999642372131</v>
      </c>
      <c r="BC755">
        <v>312200</v>
      </c>
      <c r="BD755" t="s">
        <v>31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312200</v>
      </c>
      <c r="BK755" t="s">
        <v>25</v>
      </c>
      <c r="BL755" t="s">
        <v>1071</v>
      </c>
      <c r="BM755">
        <v>25</v>
      </c>
      <c r="BN755">
        <v>1950683</v>
      </c>
      <c r="BO755">
        <v>3.9999999105930328E-2</v>
      </c>
      <c r="BP755">
        <v>78100</v>
      </c>
      <c r="BQ755">
        <v>0</v>
      </c>
      <c r="BS755">
        <v>0</v>
      </c>
      <c r="BU755">
        <v>0</v>
      </c>
      <c r="BV755" t="s">
        <v>25</v>
      </c>
      <c r="BW755" t="s">
        <v>189</v>
      </c>
      <c r="BX755">
        <v>25</v>
      </c>
      <c r="BY755">
        <v>1950683</v>
      </c>
      <c r="BZ755">
        <v>6.9600000977516174E-2</v>
      </c>
      <c r="CA755" t="s">
        <v>1439</v>
      </c>
      <c r="CB755" t="s">
        <v>312</v>
      </c>
      <c r="CC755" t="s">
        <v>1440</v>
      </c>
      <c r="CD755">
        <v>135800</v>
      </c>
      <c r="CE755">
        <v>25</v>
      </c>
      <c r="CF755" t="s">
        <v>466</v>
      </c>
      <c r="CG755">
        <v>2058337</v>
      </c>
      <c r="CH755">
        <v>3.9999999105930328E-2</v>
      </c>
      <c r="CI755">
        <v>82400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 t="s">
        <v>88</v>
      </c>
      <c r="CT755" t="s">
        <v>142</v>
      </c>
      <c r="CU755" t="s">
        <v>1442</v>
      </c>
    </row>
    <row r="756" spans="1:99">
      <c r="A756" t="s">
        <v>3047</v>
      </c>
      <c r="B756" t="s">
        <v>34</v>
      </c>
      <c r="C756" t="s">
        <v>1782</v>
      </c>
      <c r="D756" t="s">
        <v>1783</v>
      </c>
      <c r="E756" t="s">
        <v>1784</v>
      </c>
      <c r="F756" t="s">
        <v>1785</v>
      </c>
      <c r="G756" t="s">
        <v>1786</v>
      </c>
      <c r="H756" t="s">
        <v>1503</v>
      </c>
      <c r="I756" t="s">
        <v>240</v>
      </c>
      <c r="J756" t="s">
        <v>46</v>
      </c>
      <c r="K756" t="s">
        <v>29</v>
      </c>
      <c r="L756" t="s">
        <v>30</v>
      </c>
      <c r="M756">
        <v>0</v>
      </c>
      <c r="N756" t="s">
        <v>32</v>
      </c>
      <c r="O756" t="s">
        <v>32</v>
      </c>
      <c r="Q756" t="s">
        <v>32</v>
      </c>
      <c r="S756" t="s">
        <v>32</v>
      </c>
      <c r="U756" t="s">
        <v>32</v>
      </c>
      <c r="V756" t="s">
        <v>32</v>
      </c>
      <c r="W756" t="s">
        <v>32</v>
      </c>
      <c r="X756" t="s">
        <v>32</v>
      </c>
      <c r="Y756" t="s">
        <v>32</v>
      </c>
      <c r="AA756" t="s">
        <v>32</v>
      </c>
      <c r="AB756" t="s">
        <v>37</v>
      </c>
      <c r="AC756">
        <v>46054</v>
      </c>
      <c r="AD756">
        <v>46055</v>
      </c>
      <c r="AE756" t="s">
        <v>32</v>
      </c>
      <c r="AH756" t="s">
        <v>32</v>
      </c>
      <c r="AK756" t="s">
        <v>32</v>
      </c>
      <c r="AN756" t="s">
        <v>32</v>
      </c>
      <c r="AO756" t="s">
        <v>32</v>
      </c>
      <c r="AR756">
        <v>0</v>
      </c>
      <c r="AU756" t="s">
        <v>32</v>
      </c>
      <c r="AV756">
        <v>2665550</v>
      </c>
      <c r="AW756" t="s">
        <v>32</v>
      </c>
      <c r="AX756" t="s">
        <v>32</v>
      </c>
      <c r="AY756" t="s">
        <v>356</v>
      </c>
      <c r="AZ756">
        <v>2</v>
      </c>
      <c r="BA756">
        <v>177704</v>
      </c>
      <c r="BB756">
        <v>0.15999999642372131</v>
      </c>
      <c r="BC756">
        <v>28500</v>
      </c>
      <c r="BD756" t="s">
        <v>31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28500</v>
      </c>
      <c r="BK756" t="s">
        <v>25</v>
      </c>
      <c r="BL756" t="s">
        <v>1000</v>
      </c>
      <c r="BM756">
        <v>2</v>
      </c>
      <c r="BN756">
        <v>177704</v>
      </c>
      <c r="BO756">
        <v>8.5000000894069672E-2</v>
      </c>
      <c r="BP756">
        <v>15200</v>
      </c>
      <c r="BQ756">
        <v>0</v>
      </c>
      <c r="BS756">
        <v>0</v>
      </c>
      <c r="BU756">
        <v>0</v>
      </c>
      <c r="BV756" t="s">
        <v>25</v>
      </c>
      <c r="BW756" t="s">
        <v>189</v>
      </c>
      <c r="BX756">
        <v>2</v>
      </c>
      <c r="BY756">
        <v>177704</v>
      </c>
      <c r="BZ756">
        <v>0</v>
      </c>
      <c r="CA756" t="s">
        <v>1439</v>
      </c>
      <c r="CB756" t="s">
        <v>227</v>
      </c>
      <c r="CC756" t="s">
        <v>1440</v>
      </c>
      <c r="CD756">
        <v>0</v>
      </c>
      <c r="CE756">
        <v>2</v>
      </c>
      <c r="CF756" t="s">
        <v>635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 t="s">
        <v>32</v>
      </c>
      <c r="CT756" t="s">
        <v>142</v>
      </c>
      <c r="CU756" t="s">
        <v>1442</v>
      </c>
    </row>
    <row r="757" spans="1:99">
      <c r="A757" t="s">
        <v>3047</v>
      </c>
      <c r="B757" t="s">
        <v>34</v>
      </c>
      <c r="C757" t="s">
        <v>1782</v>
      </c>
      <c r="D757" t="s">
        <v>1783</v>
      </c>
      <c r="E757" t="s">
        <v>1784</v>
      </c>
      <c r="F757" t="s">
        <v>1785</v>
      </c>
      <c r="G757" t="s">
        <v>1786</v>
      </c>
      <c r="H757" t="s">
        <v>1503</v>
      </c>
      <c r="I757" t="s">
        <v>240</v>
      </c>
      <c r="J757" t="s">
        <v>46</v>
      </c>
      <c r="K757" t="s">
        <v>29</v>
      </c>
      <c r="L757" t="s">
        <v>30</v>
      </c>
      <c r="M757">
        <v>23</v>
      </c>
      <c r="N757" t="s">
        <v>32</v>
      </c>
      <c r="O757" t="s">
        <v>32</v>
      </c>
      <c r="Q757" t="s">
        <v>32</v>
      </c>
      <c r="S757" t="s">
        <v>40</v>
      </c>
      <c r="T757">
        <v>46056</v>
      </c>
      <c r="U757" t="s">
        <v>32</v>
      </c>
      <c r="V757" t="s">
        <v>32</v>
      </c>
      <c r="W757" t="s">
        <v>32</v>
      </c>
      <c r="X757" t="s">
        <v>32</v>
      </c>
      <c r="Y757" t="s">
        <v>32</v>
      </c>
      <c r="AA757" t="s">
        <v>88</v>
      </c>
      <c r="AB757" t="s">
        <v>32</v>
      </c>
      <c r="AE757" t="s">
        <v>32</v>
      </c>
      <c r="AH757" t="s">
        <v>32</v>
      </c>
      <c r="AK757" t="s">
        <v>32</v>
      </c>
      <c r="AN757" t="s">
        <v>32</v>
      </c>
      <c r="AO757" t="s">
        <v>32</v>
      </c>
      <c r="AR757">
        <v>0</v>
      </c>
      <c r="AU757" t="s">
        <v>32</v>
      </c>
      <c r="AV757">
        <v>2665550</v>
      </c>
      <c r="AW757" t="s">
        <v>32</v>
      </c>
      <c r="AX757" t="s">
        <v>32</v>
      </c>
      <c r="AY757" t="s">
        <v>356</v>
      </c>
      <c r="AZ757">
        <v>1</v>
      </c>
      <c r="BA757">
        <v>1063865</v>
      </c>
      <c r="BB757">
        <v>0.15999999642372131</v>
      </c>
      <c r="BC757">
        <v>170300</v>
      </c>
      <c r="BD757" t="s">
        <v>31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170300</v>
      </c>
      <c r="BK757" t="s">
        <v>25</v>
      </c>
      <c r="BL757" t="s">
        <v>1000</v>
      </c>
      <c r="BM757">
        <v>1</v>
      </c>
      <c r="BN757">
        <v>1063865</v>
      </c>
      <c r="BO757">
        <v>0.125</v>
      </c>
      <c r="BP757">
        <v>133000</v>
      </c>
      <c r="BQ757">
        <v>0</v>
      </c>
      <c r="BS757">
        <v>0</v>
      </c>
      <c r="BU757">
        <v>0</v>
      </c>
      <c r="BV757" t="s">
        <v>25</v>
      </c>
      <c r="BW757" t="s">
        <v>189</v>
      </c>
      <c r="BX757">
        <v>1</v>
      </c>
      <c r="BY757">
        <v>1063865</v>
      </c>
      <c r="BZ757">
        <v>6.9600000977516174E-2</v>
      </c>
      <c r="CA757" t="s">
        <v>1439</v>
      </c>
      <c r="CB757" t="s">
        <v>227</v>
      </c>
      <c r="CC757" t="s">
        <v>1440</v>
      </c>
      <c r="CD757">
        <v>74100</v>
      </c>
      <c r="CE757">
        <v>1</v>
      </c>
      <c r="CF757" t="s">
        <v>635</v>
      </c>
      <c r="CG757">
        <v>1788796</v>
      </c>
      <c r="CH757">
        <v>3.9999999105930328E-2</v>
      </c>
      <c r="CI757">
        <v>71600</v>
      </c>
      <c r="CJ757">
        <v>1788796</v>
      </c>
      <c r="CK757">
        <v>1.9999999552965164E-2</v>
      </c>
      <c r="CL757">
        <v>35800</v>
      </c>
      <c r="CM757">
        <v>2.9999999329447746E-2</v>
      </c>
      <c r="CN757">
        <v>53700</v>
      </c>
      <c r="CO757">
        <v>0</v>
      </c>
      <c r="CP757">
        <v>0</v>
      </c>
      <c r="CQ757">
        <v>0</v>
      </c>
      <c r="CR757">
        <v>0</v>
      </c>
      <c r="CS757" t="s">
        <v>32</v>
      </c>
      <c r="CT757" t="s">
        <v>142</v>
      </c>
      <c r="CU757" t="s">
        <v>1442</v>
      </c>
    </row>
    <row r="758" spans="1:99">
      <c r="A758" t="s">
        <v>3047</v>
      </c>
      <c r="B758" t="s">
        <v>34</v>
      </c>
      <c r="C758" t="s">
        <v>1791</v>
      </c>
      <c r="D758" t="s">
        <v>1792</v>
      </c>
      <c r="E758" t="s">
        <v>1526</v>
      </c>
      <c r="F758" t="s">
        <v>1562</v>
      </c>
      <c r="G758" t="s">
        <v>1793</v>
      </c>
      <c r="H758" t="s">
        <v>1558</v>
      </c>
      <c r="I758" t="s">
        <v>682</v>
      </c>
      <c r="J758" t="s">
        <v>484</v>
      </c>
      <c r="K758" t="s">
        <v>29</v>
      </c>
      <c r="L758" t="s">
        <v>30</v>
      </c>
      <c r="M758">
        <v>0</v>
      </c>
      <c r="N758" t="s">
        <v>32</v>
      </c>
      <c r="O758" t="s">
        <v>32</v>
      </c>
      <c r="Q758" t="s">
        <v>32</v>
      </c>
      <c r="S758" t="s">
        <v>32</v>
      </c>
      <c r="U758" t="s">
        <v>32</v>
      </c>
      <c r="V758" t="s">
        <v>32</v>
      </c>
      <c r="W758" t="s">
        <v>32</v>
      </c>
      <c r="X758" t="s">
        <v>32</v>
      </c>
      <c r="Y758" t="s">
        <v>32</v>
      </c>
      <c r="AA758" t="s">
        <v>32</v>
      </c>
      <c r="AB758" t="s">
        <v>37</v>
      </c>
      <c r="AC758">
        <v>46054</v>
      </c>
      <c r="AD758">
        <v>46054</v>
      </c>
      <c r="AE758" t="s">
        <v>32</v>
      </c>
      <c r="AH758" t="s">
        <v>32</v>
      </c>
      <c r="AK758" t="s">
        <v>32</v>
      </c>
      <c r="AN758" t="s">
        <v>32</v>
      </c>
      <c r="AO758" t="s">
        <v>32</v>
      </c>
      <c r="AR758">
        <v>0</v>
      </c>
      <c r="AU758" t="s">
        <v>32</v>
      </c>
      <c r="AV758">
        <v>2223339</v>
      </c>
      <c r="AW758" t="s">
        <v>32</v>
      </c>
      <c r="AX758" t="s">
        <v>32</v>
      </c>
      <c r="AY758" t="s">
        <v>137</v>
      </c>
      <c r="AZ758">
        <v>1</v>
      </c>
      <c r="BA758">
        <v>74112</v>
      </c>
      <c r="BB758">
        <v>0.15999999642372131</v>
      </c>
      <c r="BC758">
        <v>11900</v>
      </c>
      <c r="BD758" t="s">
        <v>31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11900</v>
      </c>
      <c r="BK758" t="s">
        <v>25</v>
      </c>
      <c r="BL758" t="s">
        <v>1000</v>
      </c>
      <c r="BM758">
        <v>1</v>
      </c>
      <c r="BN758">
        <v>74112</v>
      </c>
      <c r="BO758">
        <v>0</v>
      </c>
      <c r="BP758">
        <v>0</v>
      </c>
      <c r="BQ758">
        <v>0</v>
      </c>
      <c r="BS758">
        <v>0</v>
      </c>
      <c r="BU758">
        <v>0</v>
      </c>
      <c r="BV758" t="s">
        <v>25</v>
      </c>
      <c r="BW758" t="s">
        <v>189</v>
      </c>
      <c r="BX758">
        <v>1</v>
      </c>
      <c r="BY758">
        <v>74112</v>
      </c>
      <c r="BZ758">
        <v>0</v>
      </c>
      <c r="CA758" t="s">
        <v>1439</v>
      </c>
      <c r="CB758" t="s">
        <v>312</v>
      </c>
      <c r="CC758" t="s">
        <v>1440</v>
      </c>
      <c r="CD758">
        <v>0</v>
      </c>
      <c r="CE758">
        <v>1</v>
      </c>
      <c r="CF758" t="s">
        <v>466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 t="s">
        <v>88</v>
      </c>
      <c r="CT758" t="s">
        <v>142</v>
      </c>
      <c r="CU758" t="s">
        <v>1442</v>
      </c>
    </row>
    <row r="759" spans="1:99">
      <c r="A759" t="s">
        <v>3047</v>
      </c>
      <c r="B759" t="s">
        <v>34</v>
      </c>
      <c r="C759" t="s">
        <v>1791</v>
      </c>
      <c r="D759" t="s">
        <v>1792</v>
      </c>
      <c r="E759" t="s">
        <v>1526</v>
      </c>
      <c r="F759" t="s">
        <v>1562</v>
      </c>
      <c r="G759" t="s">
        <v>1793</v>
      </c>
      <c r="H759" t="s">
        <v>1558</v>
      </c>
      <c r="I759" t="s">
        <v>682</v>
      </c>
      <c r="J759" t="s">
        <v>484</v>
      </c>
      <c r="K759" t="s">
        <v>29</v>
      </c>
      <c r="L759" t="s">
        <v>30</v>
      </c>
      <c r="M759">
        <v>0</v>
      </c>
      <c r="N759" t="s">
        <v>32</v>
      </c>
      <c r="O759" t="s">
        <v>32</v>
      </c>
      <c r="Q759" t="s">
        <v>32</v>
      </c>
      <c r="S759" t="s">
        <v>32</v>
      </c>
      <c r="U759" t="s">
        <v>32</v>
      </c>
      <c r="V759" t="s">
        <v>32</v>
      </c>
      <c r="W759" t="s">
        <v>32</v>
      </c>
      <c r="X759" t="s">
        <v>32</v>
      </c>
      <c r="Y759" t="s">
        <v>32</v>
      </c>
      <c r="AA759" t="s">
        <v>32</v>
      </c>
      <c r="AB759" t="s">
        <v>32</v>
      </c>
      <c r="AE759" t="s">
        <v>32</v>
      </c>
      <c r="AH759" t="s">
        <v>32</v>
      </c>
      <c r="AK759" t="s">
        <v>128</v>
      </c>
      <c r="AL759">
        <v>46055</v>
      </c>
      <c r="AM759">
        <v>46059</v>
      </c>
      <c r="AN759" t="s">
        <v>32</v>
      </c>
      <c r="AO759" t="s">
        <v>32</v>
      </c>
      <c r="AR759">
        <v>0</v>
      </c>
      <c r="AU759" t="s">
        <v>32</v>
      </c>
      <c r="AV759">
        <v>2223339</v>
      </c>
      <c r="AW759" t="s">
        <v>32</v>
      </c>
      <c r="AX759" t="s">
        <v>32</v>
      </c>
      <c r="AY759" t="s">
        <v>137</v>
      </c>
      <c r="AZ759">
        <v>5</v>
      </c>
      <c r="BA759">
        <v>370557</v>
      </c>
      <c r="BB759">
        <v>0.15999999642372131</v>
      </c>
      <c r="BC759">
        <v>59300</v>
      </c>
      <c r="BD759" t="s">
        <v>31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59300</v>
      </c>
      <c r="BK759" t="s">
        <v>25</v>
      </c>
      <c r="BL759" t="s">
        <v>1000</v>
      </c>
      <c r="BM759">
        <v>5</v>
      </c>
      <c r="BN759">
        <v>370557</v>
      </c>
      <c r="BO759">
        <v>3.9999999105930328E-2</v>
      </c>
      <c r="BP759">
        <v>14900</v>
      </c>
      <c r="BQ759">
        <v>0</v>
      </c>
      <c r="BS759">
        <v>0</v>
      </c>
      <c r="BU759">
        <v>0</v>
      </c>
      <c r="BV759" t="s">
        <v>25</v>
      </c>
      <c r="BW759" t="s">
        <v>189</v>
      </c>
      <c r="BX759">
        <v>5</v>
      </c>
      <c r="BY759">
        <v>370557</v>
      </c>
      <c r="BZ759">
        <v>0</v>
      </c>
      <c r="CA759" t="s">
        <v>1439</v>
      </c>
      <c r="CB759" t="s">
        <v>312</v>
      </c>
      <c r="CC759" t="s">
        <v>1440</v>
      </c>
      <c r="CD759">
        <v>0</v>
      </c>
      <c r="CE759">
        <v>5</v>
      </c>
      <c r="CF759" t="s">
        <v>466</v>
      </c>
      <c r="CG759">
        <v>370557</v>
      </c>
      <c r="CH759">
        <v>3.9999999105930328E-2</v>
      </c>
      <c r="CI759">
        <v>14900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 t="s">
        <v>88</v>
      </c>
      <c r="CT759" t="s">
        <v>142</v>
      </c>
      <c r="CU759" t="s">
        <v>1442</v>
      </c>
    </row>
    <row r="760" spans="1:99">
      <c r="A760" t="s">
        <v>3047</v>
      </c>
      <c r="B760" t="s">
        <v>34</v>
      </c>
      <c r="C760" t="s">
        <v>1791</v>
      </c>
      <c r="D760" t="s">
        <v>1792</v>
      </c>
      <c r="E760" t="s">
        <v>1526</v>
      </c>
      <c r="F760" t="s">
        <v>1562</v>
      </c>
      <c r="G760" t="s">
        <v>1793</v>
      </c>
      <c r="H760" t="s">
        <v>1558</v>
      </c>
      <c r="I760" t="s">
        <v>682</v>
      </c>
      <c r="J760" t="s">
        <v>484</v>
      </c>
      <c r="K760" t="s">
        <v>29</v>
      </c>
      <c r="L760" t="s">
        <v>30</v>
      </c>
      <c r="M760">
        <v>150</v>
      </c>
      <c r="N760" t="s">
        <v>32</v>
      </c>
      <c r="O760" t="s">
        <v>32</v>
      </c>
      <c r="Q760" t="s">
        <v>32</v>
      </c>
      <c r="S760" t="s">
        <v>32</v>
      </c>
      <c r="U760" t="s">
        <v>32</v>
      </c>
      <c r="V760" t="s">
        <v>32</v>
      </c>
      <c r="W760" t="s">
        <v>32</v>
      </c>
      <c r="X760" t="s">
        <v>32</v>
      </c>
      <c r="Y760" t="s">
        <v>32</v>
      </c>
      <c r="AA760" t="s">
        <v>88</v>
      </c>
      <c r="AB760" t="s">
        <v>32</v>
      </c>
      <c r="AE760" t="s">
        <v>32</v>
      </c>
      <c r="AH760" t="s">
        <v>32</v>
      </c>
      <c r="AK760" t="s">
        <v>32</v>
      </c>
      <c r="AN760" t="s">
        <v>32</v>
      </c>
      <c r="AO760" t="s">
        <v>32</v>
      </c>
      <c r="AR760">
        <v>0</v>
      </c>
      <c r="AU760" t="s">
        <v>32</v>
      </c>
      <c r="AV760">
        <v>2223339</v>
      </c>
      <c r="AW760" t="s">
        <v>32</v>
      </c>
      <c r="AX760" t="s">
        <v>32</v>
      </c>
      <c r="AY760" t="s">
        <v>137</v>
      </c>
      <c r="AZ760">
        <v>24</v>
      </c>
      <c r="BA760">
        <v>2289733</v>
      </c>
      <c r="BB760">
        <v>0.15999999642372131</v>
      </c>
      <c r="BC760">
        <v>366400</v>
      </c>
      <c r="BD760" t="s">
        <v>31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366400</v>
      </c>
      <c r="BK760" t="s">
        <v>25</v>
      </c>
      <c r="BL760" t="s">
        <v>1000</v>
      </c>
      <c r="BM760">
        <v>24</v>
      </c>
      <c r="BN760">
        <v>2289733</v>
      </c>
      <c r="BO760">
        <v>3.9999999105930328E-2</v>
      </c>
      <c r="BP760">
        <v>91600</v>
      </c>
      <c r="BQ760">
        <v>0</v>
      </c>
      <c r="BS760">
        <v>0</v>
      </c>
      <c r="BU760">
        <v>0</v>
      </c>
      <c r="BV760" t="s">
        <v>25</v>
      </c>
      <c r="BW760" t="s">
        <v>189</v>
      </c>
      <c r="BX760">
        <v>24</v>
      </c>
      <c r="BY760">
        <v>2289733</v>
      </c>
      <c r="BZ760">
        <v>6.9600000977516174E-2</v>
      </c>
      <c r="CA760" t="s">
        <v>1439</v>
      </c>
      <c r="CB760" t="s">
        <v>312</v>
      </c>
      <c r="CC760" t="s">
        <v>1440</v>
      </c>
      <c r="CD760">
        <v>159400</v>
      </c>
      <c r="CE760">
        <v>24</v>
      </c>
      <c r="CF760" t="s">
        <v>466</v>
      </c>
      <c r="CG760">
        <v>2057095</v>
      </c>
      <c r="CH760">
        <v>3.9999999105930328E-2</v>
      </c>
      <c r="CI760">
        <v>82300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 t="s">
        <v>88</v>
      </c>
      <c r="CT760" t="s">
        <v>142</v>
      </c>
      <c r="CU760" t="s">
        <v>1442</v>
      </c>
    </row>
    <row r="761" spans="1:99">
      <c r="A761" t="s">
        <v>3047</v>
      </c>
      <c r="B761" t="s">
        <v>34</v>
      </c>
      <c r="C761" t="s">
        <v>1794</v>
      </c>
      <c r="D761" t="s">
        <v>3051</v>
      </c>
      <c r="E761" t="s">
        <v>3052</v>
      </c>
      <c r="F761" t="s">
        <v>1797</v>
      </c>
      <c r="G761" t="s">
        <v>1798</v>
      </c>
      <c r="H761" t="s">
        <v>1489</v>
      </c>
      <c r="I761" t="s">
        <v>240</v>
      </c>
      <c r="J761" t="s">
        <v>46</v>
      </c>
      <c r="K761" t="s">
        <v>29</v>
      </c>
      <c r="L761" t="s">
        <v>30</v>
      </c>
      <c r="M761">
        <v>180</v>
      </c>
      <c r="N761" t="s">
        <v>32</v>
      </c>
      <c r="O761" t="s">
        <v>32</v>
      </c>
      <c r="Q761" t="s">
        <v>32</v>
      </c>
      <c r="S761" t="s">
        <v>32</v>
      </c>
      <c r="U761" t="s">
        <v>32</v>
      </c>
      <c r="V761" t="s">
        <v>32</v>
      </c>
      <c r="W761" t="s">
        <v>32</v>
      </c>
      <c r="X761" t="s">
        <v>32</v>
      </c>
      <c r="Y761" t="s">
        <v>32</v>
      </c>
      <c r="AA761" t="s">
        <v>88</v>
      </c>
      <c r="AB761" t="s">
        <v>32</v>
      </c>
      <c r="AE761" t="s">
        <v>32</v>
      </c>
      <c r="AH761" t="s">
        <v>32</v>
      </c>
      <c r="AK761" t="s">
        <v>32</v>
      </c>
      <c r="AN761" t="s">
        <v>32</v>
      </c>
      <c r="AO761" t="s">
        <v>32</v>
      </c>
      <c r="AR761">
        <v>0</v>
      </c>
      <c r="AU761" t="s">
        <v>32</v>
      </c>
      <c r="AV761">
        <v>2286374</v>
      </c>
      <c r="AW761" t="s">
        <v>32</v>
      </c>
      <c r="AX761" t="s">
        <v>32</v>
      </c>
      <c r="AY761" t="s">
        <v>356</v>
      </c>
      <c r="AZ761">
        <v>30</v>
      </c>
      <c r="BA761">
        <v>2286374</v>
      </c>
      <c r="BB761">
        <v>0.15999999642372131</v>
      </c>
      <c r="BC761">
        <v>365900</v>
      </c>
      <c r="BD761" t="s">
        <v>31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365900</v>
      </c>
      <c r="BK761" t="s">
        <v>25</v>
      </c>
      <c r="BL761" t="s">
        <v>1064</v>
      </c>
      <c r="BM761">
        <v>30</v>
      </c>
      <c r="BN761">
        <v>2286374</v>
      </c>
      <c r="BO761">
        <v>3.9999999105930328E-2</v>
      </c>
      <c r="BP761">
        <v>91500</v>
      </c>
      <c r="BQ761">
        <v>0</v>
      </c>
      <c r="BS761">
        <v>0</v>
      </c>
      <c r="BU761">
        <v>0</v>
      </c>
      <c r="BV761" t="s">
        <v>25</v>
      </c>
      <c r="BW761" t="s">
        <v>189</v>
      </c>
      <c r="BX761">
        <v>30</v>
      </c>
      <c r="BY761">
        <v>2286374</v>
      </c>
      <c r="BZ761">
        <v>6.9600000977516174E-2</v>
      </c>
      <c r="CA761" t="s">
        <v>1439</v>
      </c>
      <c r="CB761" t="s">
        <v>227</v>
      </c>
      <c r="CC761" t="s">
        <v>1440</v>
      </c>
      <c r="CD761">
        <v>159200</v>
      </c>
      <c r="CE761">
        <v>30</v>
      </c>
      <c r="CF761" t="s">
        <v>635</v>
      </c>
      <c r="CG761">
        <v>2286374</v>
      </c>
      <c r="CH761">
        <v>3.9999999105930328E-2</v>
      </c>
      <c r="CI761">
        <v>91500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 t="s">
        <v>88</v>
      </c>
      <c r="CT761" t="s">
        <v>142</v>
      </c>
      <c r="CU761" t="s">
        <v>1442</v>
      </c>
    </row>
    <row r="762" spans="1:99">
      <c r="A762" t="s">
        <v>3047</v>
      </c>
      <c r="B762" t="s">
        <v>34</v>
      </c>
      <c r="C762" t="s">
        <v>1799</v>
      </c>
      <c r="D762" t="s">
        <v>1800</v>
      </c>
      <c r="E762" t="s">
        <v>1801</v>
      </c>
      <c r="F762" t="s">
        <v>1802</v>
      </c>
      <c r="G762" t="s">
        <v>1803</v>
      </c>
      <c r="H762" t="s">
        <v>1489</v>
      </c>
      <c r="I762" t="s">
        <v>240</v>
      </c>
      <c r="J762" t="s">
        <v>46</v>
      </c>
      <c r="K762" t="s">
        <v>29</v>
      </c>
      <c r="L762" t="s">
        <v>30</v>
      </c>
      <c r="M762">
        <v>9</v>
      </c>
      <c r="N762" t="s">
        <v>32</v>
      </c>
      <c r="O762" t="s">
        <v>32</v>
      </c>
      <c r="Q762" t="s">
        <v>40</v>
      </c>
      <c r="R762">
        <v>46080</v>
      </c>
      <c r="S762" t="s">
        <v>32</v>
      </c>
      <c r="U762" t="s">
        <v>32</v>
      </c>
      <c r="V762" t="s">
        <v>32</v>
      </c>
      <c r="W762" t="s">
        <v>32</v>
      </c>
      <c r="X762" t="s">
        <v>32</v>
      </c>
      <c r="Y762" t="s">
        <v>32</v>
      </c>
      <c r="AA762" t="s">
        <v>88</v>
      </c>
      <c r="AB762" t="s">
        <v>32</v>
      </c>
      <c r="AE762" t="s">
        <v>32</v>
      </c>
      <c r="AH762" t="s">
        <v>32</v>
      </c>
      <c r="AK762" t="s">
        <v>32</v>
      </c>
      <c r="AN762" t="s">
        <v>32</v>
      </c>
      <c r="AO762" t="s">
        <v>32</v>
      </c>
      <c r="AR762">
        <v>0</v>
      </c>
      <c r="AU762" t="s">
        <v>32</v>
      </c>
      <c r="AV762">
        <v>1956650</v>
      </c>
      <c r="AW762" t="s">
        <v>32</v>
      </c>
      <c r="AX762" t="s">
        <v>32</v>
      </c>
      <c r="AY762" t="s">
        <v>317</v>
      </c>
      <c r="AZ762">
        <v>4</v>
      </c>
      <c r="BA762">
        <v>260887</v>
      </c>
      <c r="BB762">
        <v>0.15999999642372131</v>
      </c>
      <c r="BC762">
        <v>41800</v>
      </c>
      <c r="BD762" t="s">
        <v>31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41800</v>
      </c>
      <c r="BK762" t="s">
        <v>25</v>
      </c>
      <c r="BL762" t="s">
        <v>1064</v>
      </c>
      <c r="BM762">
        <v>4</v>
      </c>
      <c r="BN762">
        <v>260887</v>
      </c>
      <c r="BO762">
        <v>3.9999999105930328E-2</v>
      </c>
      <c r="BP762">
        <v>10500</v>
      </c>
      <c r="BQ762">
        <v>0</v>
      </c>
      <c r="BS762">
        <v>0</v>
      </c>
      <c r="BU762">
        <v>0</v>
      </c>
      <c r="BV762" t="s">
        <v>25</v>
      </c>
      <c r="BW762" t="s">
        <v>189</v>
      </c>
      <c r="BX762">
        <v>4</v>
      </c>
      <c r="BY762">
        <v>260887</v>
      </c>
      <c r="BZ762">
        <v>6.9600000977516174E-2</v>
      </c>
      <c r="CA762" t="s">
        <v>1439</v>
      </c>
      <c r="CB762" t="s">
        <v>227</v>
      </c>
      <c r="CC762" t="s">
        <v>1440</v>
      </c>
      <c r="CD762">
        <v>18200</v>
      </c>
      <c r="CE762">
        <v>4</v>
      </c>
      <c r="CF762" t="s">
        <v>635</v>
      </c>
      <c r="CG762">
        <v>260887</v>
      </c>
      <c r="CH762">
        <v>3.9999999105930328E-2</v>
      </c>
      <c r="CI762">
        <v>10500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 t="s">
        <v>88</v>
      </c>
      <c r="CT762" t="s">
        <v>142</v>
      </c>
      <c r="CU762" t="s">
        <v>1442</v>
      </c>
    </row>
    <row r="763" spans="1:99">
      <c r="A763" t="s">
        <v>3047</v>
      </c>
      <c r="B763" t="s">
        <v>34</v>
      </c>
      <c r="C763" t="s">
        <v>1804</v>
      </c>
      <c r="D763" t="s">
        <v>1805</v>
      </c>
      <c r="E763" t="s">
        <v>992</v>
      </c>
      <c r="F763" t="s">
        <v>1555</v>
      </c>
      <c r="G763" t="s">
        <v>1806</v>
      </c>
      <c r="H763" t="s">
        <v>1598</v>
      </c>
      <c r="I763" t="s">
        <v>240</v>
      </c>
      <c r="J763" t="s">
        <v>46</v>
      </c>
      <c r="K763" t="s">
        <v>29</v>
      </c>
      <c r="L763" t="s">
        <v>30</v>
      </c>
      <c r="M763">
        <v>180</v>
      </c>
      <c r="N763" t="s">
        <v>32</v>
      </c>
      <c r="O763" t="s">
        <v>32</v>
      </c>
      <c r="Q763" t="s">
        <v>32</v>
      </c>
      <c r="S763" t="s">
        <v>32</v>
      </c>
      <c r="U763" t="s">
        <v>32</v>
      </c>
      <c r="V763" t="s">
        <v>32</v>
      </c>
      <c r="W763" t="s">
        <v>32</v>
      </c>
      <c r="X763" t="s">
        <v>32</v>
      </c>
      <c r="Y763" t="s">
        <v>88</v>
      </c>
      <c r="Z763">
        <v>46054</v>
      </c>
      <c r="AA763" t="s">
        <v>88</v>
      </c>
      <c r="AB763" t="s">
        <v>32</v>
      </c>
      <c r="AE763" t="s">
        <v>32</v>
      </c>
      <c r="AH763" t="s">
        <v>32</v>
      </c>
      <c r="AK763" t="s">
        <v>32</v>
      </c>
      <c r="AN763" t="s">
        <v>32</v>
      </c>
      <c r="AO763" t="s">
        <v>32</v>
      </c>
      <c r="AR763">
        <v>0</v>
      </c>
      <c r="AU763" t="s">
        <v>32</v>
      </c>
      <c r="AV763">
        <v>5676577</v>
      </c>
      <c r="AW763" t="s">
        <v>32</v>
      </c>
      <c r="AX763" t="s">
        <v>32</v>
      </c>
      <c r="AY763" t="s">
        <v>185</v>
      </c>
      <c r="AZ763">
        <v>30</v>
      </c>
      <c r="BA763">
        <v>5676577</v>
      </c>
      <c r="BB763">
        <v>0.15999999642372131</v>
      </c>
      <c r="BC763">
        <v>908300</v>
      </c>
      <c r="BD763" t="s">
        <v>31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908300</v>
      </c>
      <c r="BK763" t="s">
        <v>25</v>
      </c>
      <c r="BL763" t="s">
        <v>1010</v>
      </c>
      <c r="BM763">
        <v>30</v>
      </c>
      <c r="BN763">
        <v>5676577</v>
      </c>
      <c r="BO763">
        <v>3.9999999105930328E-2</v>
      </c>
      <c r="BP763">
        <v>227100</v>
      </c>
      <c r="BQ763">
        <v>0</v>
      </c>
      <c r="BS763">
        <v>0</v>
      </c>
      <c r="BU763">
        <v>0</v>
      </c>
      <c r="BV763" t="s">
        <v>25</v>
      </c>
      <c r="BW763" t="s">
        <v>189</v>
      </c>
      <c r="BX763">
        <v>30</v>
      </c>
      <c r="BY763">
        <v>5676577</v>
      </c>
      <c r="BZ763">
        <v>6.9600000977516174E-2</v>
      </c>
      <c r="CA763" t="s">
        <v>1439</v>
      </c>
      <c r="CB763" t="s">
        <v>227</v>
      </c>
      <c r="CC763" t="s">
        <v>1440</v>
      </c>
      <c r="CD763">
        <v>395100</v>
      </c>
      <c r="CE763">
        <v>30</v>
      </c>
      <c r="CF763" t="s">
        <v>635</v>
      </c>
      <c r="CG763">
        <v>5676577</v>
      </c>
      <c r="CH763">
        <v>3.9999999105930328E-2</v>
      </c>
      <c r="CI763">
        <v>227100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 t="s">
        <v>88</v>
      </c>
      <c r="CT763" t="s">
        <v>142</v>
      </c>
      <c r="CU763" t="s">
        <v>1442</v>
      </c>
    </row>
    <row r="764" spans="1:99">
      <c r="A764" t="s">
        <v>3047</v>
      </c>
      <c r="B764" t="s">
        <v>34</v>
      </c>
      <c r="C764" t="s">
        <v>1807</v>
      </c>
      <c r="D764" t="s">
        <v>1808</v>
      </c>
      <c r="E764" t="s">
        <v>1809</v>
      </c>
      <c r="F764" t="s">
        <v>1648</v>
      </c>
      <c r="G764" t="s">
        <v>1513</v>
      </c>
      <c r="H764" t="s">
        <v>1781</v>
      </c>
      <c r="I764" t="s">
        <v>240</v>
      </c>
      <c r="J764" t="s">
        <v>46</v>
      </c>
      <c r="K764" t="s">
        <v>29</v>
      </c>
      <c r="L764" t="s">
        <v>30</v>
      </c>
      <c r="M764">
        <v>117</v>
      </c>
      <c r="N764" t="s">
        <v>32</v>
      </c>
      <c r="O764" t="s">
        <v>32</v>
      </c>
      <c r="Q764" t="s">
        <v>40</v>
      </c>
      <c r="R764">
        <v>46064</v>
      </c>
      <c r="S764" t="s">
        <v>32</v>
      </c>
      <c r="U764" t="s">
        <v>32</v>
      </c>
      <c r="V764" t="s">
        <v>32</v>
      </c>
      <c r="W764" t="s">
        <v>32</v>
      </c>
      <c r="X764" t="s">
        <v>32</v>
      </c>
      <c r="Y764" t="s">
        <v>32</v>
      </c>
      <c r="AA764" t="s">
        <v>88</v>
      </c>
      <c r="AB764" t="s">
        <v>32</v>
      </c>
      <c r="AE764" t="s">
        <v>32</v>
      </c>
      <c r="AH764" t="s">
        <v>32</v>
      </c>
      <c r="AK764" t="s">
        <v>32</v>
      </c>
      <c r="AN764" t="s">
        <v>32</v>
      </c>
      <c r="AO764" t="s">
        <v>32</v>
      </c>
      <c r="AR764">
        <v>0</v>
      </c>
      <c r="AU764" t="s">
        <v>32</v>
      </c>
      <c r="AV764">
        <v>3415855</v>
      </c>
      <c r="AW764" t="s">
        <v>32</v>
      </c>
      <c r="AX764" t="s">
        <v>32</v>
      </c>
      <c r="AY764" t="s">
        <v>356</v>
      </c>
      <c r="AZ764">
        <v>20</v>
      </c>
      <c r="BA764">
        <v>2364739</v>
      </c>
      <c r="BB764">
        <v>0.15999999642372131</v>
      </c>
      <c r="BC764">
        <v>378400</v>
      </c>
      <c r="BD764" t="s">
        <v>31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378400</v>
      </c>
      <c r="BK764" t="s">
        <v>25</v>
      </c>
      <c r="BL764" t="s">
        <v>1010</v>
      </c>
      <c r="BM764">
        <v>20</v>
      </c>
      <c r="BN764">
        <v>2364739</v>
      </c>
      <c r="BO764">
        <v>3.9999999105930328E-2</v>
      </c>
      <c r="BP764">
        <v>94600</v>
      </c>
      <c r="BQ764">
        <v>0</v>
      </c>
      <c r="BS764">
        <v>0</v>
      </c>
      <c r="BU764">
        <v>0</v>
      </c>
      <c r="BV764" t="s">
        <v>25</v>
      </c>
      <c r="BW764" t="s">
        <v>189</v>
      </c>
      <c r="BX764">
        <v>20</v>
      </c>
      <c r="BY764">
        <v>2364739</v>
      </c>
      <c r="BZ764">
        <v>6.9600000977516174E-2</v>
      </c>
      <c r="CA764" t="s">
        <v>1439</v>
      </c>
      <c r="CB764" t="s">
        <v>227</v>
      </c>
      <c r="CC764" t="s">
        <v>1440</v>
      </c>
      <c r="CD764">
        <v>164600</v>
      </c>
      <c r="CE764">
        <v>20</v>
      </c>
      <c r="CF764" t="s">
        <v>635</v>
      </c>
      <c r="CG764">
        <v>2277237</v>
      </c>
      <c r="CH764">
        <v>3.9999999105930328E-2</v>
      </c>
      <c r="CI764">
        <v>91100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 t="s">
        <v>88</v>
      </c>
      <c r="CT764" t="s">
        <v>142</v>
      </c>
      <c r="CU764" t="s">
        <v>1442</v>
      </c>
    </row>
    <row r="765" spans="1:99">
      <c r="A765" t="s">
        <v>3047</v>
      </c>
      <c r="B765" t="s">
        <v>34</v>
      </c>
      <c r="C765" t="s">
        <v>1810</v>
      </c>
      <c r="D765" t="s">
        <v>1811</v>
      </c>
      <c r="E765" t="s">
        <v>1812</v>
      </c>
      <c r="F765" t="s">
        <v>1813</v>
      </c>
      <c r="G765" t="s">
        <v>1814</v>
      </c>
      <c r="H765" t="s">
        <v>1584</v>
      </c>
      <c r="I765" t="s">
        <v>240</v>
      </c>
      <c r="J765" t="s">
        <v>46</v>
      </c>
      <c r="K765" t="s">
        <v>29</v>
      </c>
      <c r="L765" t="s">
        <v>30</v>
      </c>
      <c r="M765">
        <v>219</v>
      </c>
      <c r="N765" t="s">
        <v>32</v>
      </c>
      <c r="O765" t="s">
        <v>32</v>
      </c>
      <c r="Q765" t="s">
        <v>32</v>
      </c>
      <c r="S765" t="s">
        <v>32</v>
      </c>
      <c r="U765" t="s">
        <v>32</v>
      </c>
      <c r="V765" t="s">
        <v>32</v>
      </c>
      <c r="W765" t="s">
        <v>32</v>
      </c>
      <c r="X765" t="s">
        <v>32</v>
      </c>
      <c r="Y765" t="s">
        <v>32</v>
      </c>
      <c r="AA765" t="s">
        <v>88</v>
      </c>
      <c r="AB765" t="s">
        <v>32</v>
      </c>
      <c r="AE765" t="s">
        <v>32</v>
      </c>
      <c r="AH765" t="s">
        <v>32</v>
      </c>
      <c r="AK765" t="s">
        <v>32</v>
      </c>
      <c r="AN765" t="s">
        <v>32</v>
      </c>
      <c r="AO765" t="s">
        <v>32</v>
      </c>
      <c r="AR765">
        <v>0</v>
      </c>
      <c r="AU765" t="s">
        <v>32</v>
      </c>
      <c r="AV765">
        <v>2313068</v>
      </c>
      <c r="AW765" t="s">
        <v>32</v>
      </c>
      <c r="AX765" t="s">
        <v>32</v>
      </c>
      <c r="AY765" t="s">
        <v>356</v>
      </c>
      <c r="AZ765">
        <v>30</v>
      </c>
      <c r="BA765">
        <v>2749922</v>
      </c>
      <c r="BB765">
        <v>0.15999999642372131</v>
      </c>
      <c r="BC765">
        <v>440000</v>
      </c>
      <c r="BD765" t="s">
        <v>31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440000</v>
      </c>
      <c r="BK765" t="s">
        <v>25</v>
      </c>
      <c r="BL765" t="s">
        <v>1010</v>
      </c>
      <c r="BM765">
        <v>30</v>
      </c>
      <c r="BN765">
        <v>2749922</v>
      </c>
      <c r="BO765">
        <v>3.9999999105930328E-2</v>
      </c>
      <c r="BP765">
        <v>110000</v>
      </c>
      <c r="BQ765">
        <v>0</v>
      </c>
      <c r="BS765">
        <v>0</v>
      </c>
      <c r="BU765">
        <v>0</v>
      </c>
      <c r="BV765" t="s">
        <v>25</v>
      </c>
      <c r="BW765" t="s">
        <v>189</v>
      </c>
      <c r="BX765">
        <v>30</v>
      </c>
      <c r="BY765">
        <v>2749922</v>
      </c>
      <c r="BZ765">
        <v>6.9600000977516174E-2</v>
      </c>
      <c r="CA765" t="s">
        <v>1439</v>
      </c>
      <c r="CB765" t="s">
        <v>227</v>
      </c>
      <c r="CC765" t="s">
        <v>1440</v>
      </c>
      <c r="CD765">
        <v>191400</v>
      </c>
      <c r="CE765">
        <v>30</v>
      </c>
      <c r="CF765" t="s">
        <v>635</v>
      </c>
      <c r="CG765">
        <v>2749922</v>
      </c>
      <c r="CH765">
        <v>3.9999999105930328E-2</v>
      </c>
      <c r="CI765">
        <v>110000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 t="s">
        <v>88</v>
      </c>
      <c r="CT765" t="s">
        <v>142</v>
      </c>
      <c r="CU765" t="s">
        <v>1442</v>
      </c>
    </row>
    <row r="766" spans="1:99">
      <c r="A766" t="s">
        <v>3047</v>
      </c>
      <c r="B766" t="s">
        <v>34</v>
      </c>
      <c r="C766" t="s">
        <v>1815</v>
      </c>
      <c r="D766" t="s">
        <v>1816</v>
      </c>
      <c r="E766" t="s">
        <v>1817</v>
      </c>
      <c r="F766" t="s">
        <v>1818</v>
      </c>
      <c r="G766" t="s">
        <v>1819</v>
      </c>
      <c r="H766" t="s">
        <v>1558</v>
      </c>
      <c r="I766" t="s">
        <v>240</v>
      </c>
      <c r="J766" t="s">
        <v>46</v>
      </c>
      <c r="K766" t="s">
        <v>29</v>
      </c>
      <c r="L766" t="s">
        <v>30</v>
      </c>
      <c r="M766">
        <v>211</v>
      </c>
      <c r="N766" t="s">
        <v>32</v>
      </c>
      <c r="O766" t="s">
        <v>32</v>
      </c>
      <c r="Q766" t="s">
        <v>32</v>
      </c>
      <c r="S766" t="s">
        <v>32</v>
      </c>
      <c r="U766" t="s">
        <v>32</v>
      </c>
      <c r="V766" t="s">
        <v>32</v>
      </c>
      <c r="W766" t="s">
        <v>32</v>
      </c>
      <c r="X766" t="s">
        <v>32</v>
      </c>
      <c r="Y766" t="s">
        <v>32</v>
      </c>
      <c r="AA766" t="s">
        <v>88</v>
      </c>
      <c r="AB766" t="s">
        <v>32</v>
      </c>
      <c r="AE766" t="s">
        <v>32</v>
      </c>
      <c r="AH766" t="s">
        <v>32</v>
      </c>
      <c r="AK766" t="s">
        <v>32</v>
      </c>
      <c r="AN766" t="s">
        <v>32</v>
      </c>
      <c r="AO766" t="s">
        <v>32</v>
      </c>
      <c r="AR766">
        <v>0</v>
      </c>
      <c r="AU766" t="s">
        <v>32</v>
      </c>
      <c r="AV766">
        <v>1785595</v>
      </c>
      <c r="AW766" t="s">
        <v>32</v>
      </c>
      <c r="AX766" t="s">
        <v>32</v>
      </c>
      <c r="AY766" t="s">
        <v>317</v>
      </c>
      <c r="AZ766">
        <v>30</v>
      </c>
      <c r="BA766">
        <v>2215154</v>
      </c>
      <c r="BB766">
        <v>0.15999999642372131</v>
      </c>
      <c r="BC766">
        <v>354500</v>
      </c>
      <c r="BD766" t="s">
        <v>31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354500</v>
      </c>
      <c r="BK766" t="s">
        <v>25</v>
      </c>
      <c r="BL766" t="s">
        <v>1010</v>
      </c>
      <c r="BM766">
        <v>30</v>
      </c>
      <c r="BN766">
        <v>2215154</v>
      </c>
      <c r="BO766">
        <v>3.9999999105930328E-2</v>
      </c>
      <c r="BP766">
        <v>88700</v>
      </c>
      <c r="BQ766">
        <v>0</v>
      </c>
      <c r="BS766">
        <v>0</v>
      </c>
      <c r="BU766">
        <v>0</v>
      </c>
      <c r="BV766" t="s">
        <v>25</v>
      </c>
      <c r="BW766" t="s">
        <v>189</v>
      </c>
      <c r="BX766">
        <v>30</v>
      </c>
      <c r="BY766">
        <v>2215154</v>
      </c>
      <c r="BZ766">
        <v>6.9600000977516174E-2</v>
      </c>
      <c r="CA766" t="s">
        <v>1439</v>
      </c>
      <c r="CB766" t="s">
        <v>227</v>
      </c>
      <c r="CC766" t="s">
        <v>1440</v>
      </c>
      <c r="CD766">
        <v>154200</v>
      </c>
      <c r="CE766">
        <v>30</v>
      </c>
      <c r="CF766" t="s">
        <v>635</v>
      </c>
      <c r="CG766">
        <v>2215154</v>
      </c>
      <c r="CH766">
        <v>3.9999999105930328E-2</v>
      </c>
      <c r="CI766">
        <v>88700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 t="s">
        <v>88</v>
      </c>
      <c r="CT766" t="s">
        <v>142</v>
      </c>
      <c r="CU766" t="s">
        <v>1442</v>
      </c>
    </row>
    <row r="767" spans="1:99">
      <c r="A767" t="s">
        <v>3047</v>
      </c>
      <c r="B767" t="s">
        <v>34</v>
      </c>
      <c r="C767" t="s">
        <v>1820</v>
      </c>
      <c r="D767" t="s">
        <v>1821</v>
      </c>
      <c r="E767" t="s">
        <v>1822</v>
      </c>
      <c r="F767" t="s">
        <v>1823</v>
      </c>
      <c r="G767" t="s">
        <v>1824</v>
      </c>
      <c r="H767" t="s">
        <v>1558</v>
      </c>
      <c r="I767" t="s">
        <v>682</v>
      </c>
      <c r="J767" t="s">
        <v>484</v>
      </c>
      <c r="K767" t="s">
        <v>29</v>
      </c>
      <c r="L767" t="s">
        <v>30</v>
      </c>
      <c r="M767">
        <v>212</v>
      </c>
      <c r="N767" t="s">
        <v>32</v>
      </c>
      <c r="O767" t="s">
        <v>32</v>
      </c>
      <c r="Q767" t="s">
        <v>32</v>
      </c>
      <c r="S767" t="s">
        <v>32</v>
      </c>
      <c r="U767" t="s">
        <v>32</v>
      </c>
      <c r="V767" t="s">
        <v>32</v>
      </c>
      <c r="W767" t="s">
        <v>32</v>
      </c>
      <c r="X767" t="s">
        <v>32</v>
      </c>
      <c r="Y767" t="s">
        <v>32</v>
      </c>
      <c r="AA767" t="s">
        <v>88</v>
      </c>
      <c r="AB767" t="s">
        <v>32</v>
      </c>
      <c r="AE767" t="s">
        <v>32</v>
      </c>
      <c r="AH767" t="s">
        <v>32</v>
      </c>
      <c r="AK767" t="s">
        <v>32</v>
      </c>
      <c r="AN767" t="s">
        <v>32</v>
      </c>
      <c r="AO767" t="s">
        <v>32</v>
      </c>
      <c r="AR767">
        <v>0</v>
      </c>
      <c r="AU767" t="s">
        <v>32</v>
      </c>
      <c r="AV767">
        <v>2970185</v>
      </c>
      <c r="AW767" t="s">
        <v>32</v>
      </c>
      <c r="AX767" t="s">
        <v>32</v>
      </c>
      <c r="AY767" t="s">
        <v>185</v>
      </c>
      <c r="AZ767">
        <v>30</v>
      </c>
      <c r="BA767">
        <v>3620588</v>
      </c>
      <c r="BB767">
        <v>0.15999999642372131</v>
      </c>
      <c r="BC767">
        <v>579300</v>
      </c>
      <c r="BD767" t="s">
        <v>31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579300</v>
      </c>
      <c r="BK767" t="s">
        <v>25</v>
      </c>
      <c r="BL767" t="s">
        <v>1010</v>
      </c>
      <c r="BM767">
        <v>30</v>
      </c>
      <c r="BN767">
        <v>3620588</v>
      </c>
      <c r="BO767">
        <v>3.9999999105930328E-2</v>
      </c>
      <c r="BP767">
        <v>144900</v>
      </c>
      <c r="BQ767">
        <v>0</v>
      </c>
      <c r="BS767">
        <v>0</v>
      </c>
      <c r="BU767">
        <v>0</v>
      </c>
      <c r="BV767" t="s">
        <v>25</v>
      </c>
      <c r="BW767" t="s">
        <v>189</v>
      </c>
      <c r="BX767">
        <v>30</v>
      </c>
      <c r="BY767">
        <v>3620588</v>
      </c>
      <c r="BZ767">
        <v>6.9600000977516174E-2</v>
      </c>
      <c r="CA767" t="s">
        <v>1439</v>
      </c>
      <c r="CB767" t="s">
        <v>312</v>
      </c>
      <c r="CC767" t="s">
        <v>1440</v>
      </c>
      <c r="CD767">
        <v>252000</v>
      </c>
      <c r="CE767">
        <v>30</v>
      </c>
      <c r="CF767" t="s">
        <v>466</v>
      </c>
      <c r="CG767">
        <v>3620588</v>
      </c>
      <c r="CH767">
        <v>3.9999999105930328E-2</v>
      </c>
      <c r="CI767">
        <v>144900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 t="s">
        <v>88</v>
      </c>
      <c r="CT767" t="s">
        <v>142</v>
      </c>
      <c r="CU767" t="s">
        <v>1442</v>
      </c>
    </row>
    <row r="768" spans="1:99">
      <c r="A768" t="s">
        <v>3047</v>
      </c>
      <c r="B768" t="s">
        <v>34</v>
      </c>
      <c r="C768" t="s">
        <v>1825</v>
      </c>
      <c r="D768" t="s">
        <v>1826</v>
      </c>
      <c r="E768" t="s">
        <v>1827</v>
      </c>
      <c r="F768" t="s">
        <v>1487</v>
      </c>
      <c r="G768" t="s">
        <v>1436</v>
      </c>
      <c r="H768" t="s">
        <v>1558</v>
      </c>
      <c r="I768" t="s">
        <v>682</v>
      </c>
      <c r="J768" t="s">
        <v>484</v>
      </c>
      <c r="K768" t="s">
        <v>29</v>
      </c>
      <c r="L768" t="s">
        <v>30</v>
      </c>
      <c r="M768">
        <v>205</v>
      </c>
      <c r="N768" t="s">
        <v>32</v>
      </c>
      <c r="O768" t="s">
        <v>32</v>
      </c>
      <c r="Q768" t="s">
        <v>32</v>
      </c>
      <c r="S768" t="s">
        <v>32</v>
      </c>
      <c r="U768" t="s">
        <v>32</v>
      </c>
      <c r="V768" t="s">
        <v>32</v>
      </c>
      <c r="W768" t="s">
        <v>32</v>
      </c>
      <c r="X768" t="s">
        <v>32</v>
      </c>
      <c r="Y768" t="s">
        <v>32</v>
      </c>
      <c r="AA768" t="s">
        <v>88</v>
      </c>
      <c r="AB768" t="s">
        <v>32</v>
      </c>
      <c r="AE768" t="s">
        <v>32</v>
      </c>
      <c r="AH768" t="s">
        <v>32</v>
      </c>
      <c r="AK768" t="s">
        <v>32</v>
      </c>
      <c r="AN768" t="s">
        <v>32</v>
      </c>
      <c r="AO768" t="s">
        <v>32</v>
      </c>
      <c r="AR768">
        <v>0</v>
      </c>
      <c r="AU768" t="s">
        <v>32</v>
      </c>
      <c r="AV768">
        <v>2539029</v>
      </c>
      <c r="AW768" t="s">
        <v>32</v>
      </c>
      <c r="AX768" t="s">
        <v>32</v>
      </c>
      <c r="AY768" t="s">
        <v>317</v>
      </c>
      <c r="AZ768">
        <v>30</v>
      </c>
      <c r="BA768">
        <v>2977551</v>
      </c>
      <c r="BB768">
        <v>0.15999999642372131</v>
      </c>
      <c r="BC768">
        <v>476500</v>
      </c>
      <c r="BD768" t="s">
        <v>31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476500</v>
      </c>
      <c r="BK768" t="s">
        <v>25</v>
      </c>
      <c r="BL768" t="s">
        <v>1071</v>
      </c>
      <c r="BM768">
        <v>30</v>
      </c>
      <c r="BN768">
        <v>2977551</v>
      </c>
      <c r="BO768">
        <v>3.9999999105930328E-2</v>
      </c>
      <c r="BP768">
        <v>119200</v>
      </c>
      <c r="BQ768">
        <v>0</v>
      </c>
      <c r="BS768">
        <v>0</v>
      </c>
      <c r="BU768">
        <v>0</v>
      </c>
      <c r="BV768" t="s">
        <v>25</v>
      </c>
      <c r="BW768" t="s">
        <v>189</v>
      </c>
      <c r="BX768">
        <v>30</v>
      </c>
      <c r="BY768">
        <v>2977551</v>
      </c>
      <c r="BZ768">
        <v>6.9600000977516174E-2</v>
      </c>
      <c r="CA768" t="s">
        <v>1439</v>
      </c>
      <c r="CB768" t="s">
        <v>312</v>
      </c>
      <c r="CC768" t="s">
        <v>1440</v>
      </c>
      <c r="CD768">
        <v>207300</v>
      </c>
      <c r="CE768">
        <v>30</v>
      </c>
      <c r="CF768" t="s">
        <v>466</v>
      </c>
      <c r="CG768">
        <v>2977551</v>
      </c>
      <c r="CH768">
        <v>3.9999999105930328E-2</v>
      </c>
      <c r="CI768">
        <v>119200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 t="s">
        <v>88</v>
      </c>
      <c r="CT768" t="s">
        <v>142</v>
      </c>
      <c r="CU768" t="s">
        <v>1442</v>
      </c>
    </row>
    <row r="769" spans="1:99">
      <c r="A769" t="s">
        <v>3047</v>
      </c>
      <c r="B769" t="s">
        <v>34</v>
      </c>
      <c r="C769" t="s">
        <v>1828</v>
      </c>
      <c r="D769" t="s">
        <v>1829</v>
      </c>
      <c r="E769" t="s">
        <v>1705</v>
      </c>
      <c r="F769" t="s">
        <v>889</v>
      </c>
      <c r="G769" t="s">
        <v>1830</v>
      </c>
      <c r="H769" t="s">
        <v>1543</v>
      </c>
      <c r="I769" t="s">
        <v>682</v>
      </c>
      <c r="J769" t="s">
        <v>484</v>
      </c>
      <c r="K769" t="s">
        <v>29</v>
      </c>
      <c r="L769" t="s">
        <v>30</v>
      </c>
      <c r="M769">
        <v>63</v>
      </c>
      <c r="N769" t="s">
        <v>32</v>
      </c>
      <c r="O769" t="s">
        <v>32</v>
      </c>
      <c r="Q769" t="s">
        <v>40</v>
      </c>
      <c r="R769">
        <v>46072</v>
      </c>
      <c r="S769" t="s">
        <v>32</v>
      </c>
      <c r="U769" t="s">
        <v>32</v>
      </c>
      <c r="V769" t="s">
        <v>32</v>
      </c>
      <c r="W769" t="s">
        <v>32</v>
      </c>
      <c r="X769" t="s">
        <v>32</v>
      </c>
      <c r="Y769" t="s">
        <v>32</v>
      </c>
      <c r="AA769" t="s">
        <v>88</v>
      </c>
      <c r="AB769" t="s">
        <v>32</v>
      </c>
      <c r="AE769" t="s">
        <v>32</v>
      </c>
      <c r="AH769" t="s">
        <v>32</v>
      </c>
      <c r="AK769" t="s">
        <v>32</v>
      </c>
      <c r="AN769" t="s">
        <v>32</v>
      </c>
      <c r="AO769" t="s">
        <v>32</v>
      </c>
      <c r="AR769">
        <v>0</v>
      </c>
      <c r="AU769" t="s">
        <v>32</v>
      </c>
      <c r="AV769">
        <v>2056650</v>
      </c>
      <c r="AW769" t="s">
        <v>32</v>
      </c>
      <c r="AX769" t="s">
        <v>32</v>
      </c>
      <c r="AY769" t="s">
        <v>317</v>
      </c>
      <c r="AZ769">
        <v>12</v>
      </c>
      <c r="BA769">
        <v>822660</v>
      </c>
      <c r="BB769">
        <v>0.15999999642372131</v>
      </c>
      <c r="BC769">
        <v>131700</v>
      </c>
      <c r="BD769" t="s">
        <v>31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131700</v>
      </c>
      <c r="BK769" t="s">
        <v>25</v>
      </c>
      <c r="BL769" t="s">
        <v>1071</v>
      </c>
      <c r="BM769">
        <v>12</v>
      </c>
      <c r="BN769">
        <v>822660</v>
      </c>
      <c r="BO769">
        <v>3.9999999105930328E-2</v>
      </c>
      <c r="BP769">
        <v>33000</v>
      </c>
      <c r="BQ769">
        <v>0</v>
      </c>
      <c r="BS769">
        <v>0</v>
      </c>
      <c r="BU769">
        <v>0</v>
      </c>
      <c r="BV769" t="s">
        <v>25</v>
      </c>
      <c r="BW769" t="s">
        <v>189</v>
      </c>
      <c r="BX769">
        <v>12</v>
      </c>
      <c r="BY769">
        <v>822660</v>
      </c>
      <c r="BZ769">
        <v>6.9600000977516174E-2</v>
      </c>
      <c r="CA769" t="s">
        <v>1439</v>
      </c>
      <c r="CB769" t="s">
        <v>312</v>
      </c>
      <c r="CC769" t="s">
        <v>1440</v>
      </c>
      <c r="CD769">
        <v>57300</v>
      </c>
      <c r="CE769">
        <v>12</v>
      </c>
      <c r="CF769" t="s">
        <v>466</v>
      </c>
      <c r="CG769">
        <v>822660</v>
      </c>
      <c r="CH769">
        <v>3.9999999105930328E-2</v>
      </c>
      <c r="CI769">
        <v>33000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 t="s">
        <v>88</v>
      </c>
      <c r="CT769" t="s">
        <v>142</v>
      </c>
      <c r="CU769" t="s">
        <v>1442</v>
      </c>
    </row>
    <row r="770" spans="1:99">
      <c r="A770" t="s">
        <v>3047</v>
      </c>
      <c r="B770" t="s">
        <v>34</v>
      </c>
      <c r="C770" t="s">
        <v>1831</v>
      </c>
      <c r="D770" t="s">
        <v>1832</v>
      </c>
      <c r="E770" t="s">
        <v>1833</v>
      </c>
      <c r="F770" t="s">
        <v>1833</v>
      </c>
      <c r="G770" t="s">
        <v>1489</v>
      </c>
      <c r="H770" t="s">
        <v>1834</v>
      </c>
      <c r="I770" t="s">
        <v>682</v>
      </c>
      <c r="J770" t="s">
        <v>484</v>
      </c>
      <c r="K770" t="s">
        <v>29</v>
      </c>
      <c r="L770" t="s">
        <v>30</v>
      </c>
      <c r="M770">
        <v>222</v>
      </c>
      <c r="N770" t="s">
        <v>32</v>
      </c>
      <c r="O770" t="s">
        <v>32</v>
      </c>
      <c r="Q770" t="s">
        <v>32</v>
      </c>
      <c r="S770" t="s">
        <v>32</v>
      </c>
      <c r="U770" t="s">
        <v>32</v>
      </c>
      <c r="V770" t="s">
        <v>32</v>
      </c>
      <c r="W770" t="s">
        <v>32</v>
      </c>
      <c r="X770" t="s">
        <v>32</v>
      </c>
      <c r="Y770" t="s">
        <v>32</v>
      </c>
      <c r="AA770" t="s">
        <v>88</v>
      </c>
      <c r="AB770" t="s">
        <v>32</v>
      </c>
      <c r="AE770" t="s">
        <v>32</v>
      </c>
      <c r="AH770" t="s">
        <v>32</v>
      </c>
      <c r="AK770" t="s">
        <v>32</v>
      </c>
      <c r="AN770" t="s">
        <v>32</v>
      </c>
      <c r="AO770" t="s">
        <v>32</v>
      </c>
      <c r="AR770">
        <v>0</v>
      </c>
      <c r="AU770" t="s">
        <v>32</v>
      </c>
      <c r="AV770">
        <v>2970185</v>
      </c>
      <c r="AW770" t="s">
        <v>32</v>
      </c>
      <c r="AX770" t="s">
        <v>32</v>
      </c>
      <c r="AY770" t="s">
        <v>317</v>
      </c>
      <c r="AZ770">
        <v>30</v>
      </c>
      <c r="BA770">
        <v>3789349</v>
      </c>
      <c r="BB770">
        <v>0.15999999642372131</v>
      </c>
      <c r="BC770">
        <v>606300</v>
      </c>
      <c r="BD770" t="s">
        <v>31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606300</v>
      </c>
      <c r="BK770" t="s">
        <v>25</v>
      </c>
      <c r="BL770" t="s">
        <v>1010</v>
      </c>
      <c r="BM770">
        <v>30</v>
      </c>
      <c r="BN770">
        <v>3789349</v>
      </c>
      <c r="BO770">
        <v>3.9999999105930328E-2</v>
      </c>
      <c r="BP770">
        <v>151600</v>
      </c>
      <c r="BQ770">
        <v>0</v>
      </c>
      <c r="BS770">
        <v>0</v>
      </c>
      <c r="BU770">
        <v>0</v>
      </c>
      <c r="BV770" t="s">
        <v>25</v>
      </c>
      <c r="BW770" t="s">
        <v>189</v>
      </c>
      <c r="BX770">
        <v>30</v>
      </c>
      <c r="BY770">
        <v>3789349</v>
      </c>
      <c r="BZ770">
        <v>6.9600000977516174E-2</v>
      </c>
      <c r="CA770" t="s">
        <v>1439</v>
      </c>
      <c r="CB770" t="s">
        <v>312</v>
      </c>
      <c r="CC770" t="s">
        <v>1440</v>
      </c>
      <c r="CD770">
        <v>263800</v>
      </c>
      <c r="CE770">
        <v>30</v>
      </c>
      <c r="CF770" t="s">
        <v>466</v>
      </c>
      <c r="CG770">
        <v>3789349</v>
      </c>
      <c r="CH770">
        <v>3.9999999105930328E-2</v>
      </c>
      <c r="CI770">
        <v>151600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 t="s">
        <v>88</v>
      </c>
      <c r="CT770" t="s">
        <v>142</v>
      </c>
      <c r="CU770" t="s">
        <v>1442</v>
      </c>
    </row>
    <row r="771" spans="1:99">
      <c r="A771" t="s">
        <v>3047</v>
      </c>
      <c r="B771" t="s">
        <v>34</v>
      </c>
      <c r="C771" t="s">
        <v>1835</v>
      </c>
      <c r="D771" t="s">
        <v>1836</v>
      </c>
      <c r="E771" t="s">
        <v>1487</v>
      </c>
      <c r="F771" t="s">
        <v>1749</v>
      </c>
      <c r="G771" t="s">
        <v>1790</v>
      </c>
      <c r="H771" t="s">
        <v>1837</v>
      </c>
      <c r="I771" t="s">
        <v>240</v>
      </c>
      <c r="J771" t="s">
        <v>46</v>
      </c>
      <c r="K771" t="s">
        <v>29</v>
      </c>
      <c r="L771" t="s">
        <v>30</v>
      </c>
      <c r="M771">
        <v>179</v>
      </c>
      <c r="N771" t="s">
        <v>32</v>
      </c>
      <c r="O771" t="s">
        <v>32</v>
      </c>
      <c r="Q771" t="s">
        <v>40</v>
      </c>
      <c r="R771">
        <v>46056</v>
      </c>
      <c r="S771" t="s">
        <v>32</v>
      </c>
      <c r="U771" t="s">
        <v>32</v>
      </c>
      <c r="V771" t="s">
        <v>32</v>
      </c>
      <c r="W771" t="s">
        <v>32</v>
      </c>
      <c r="X771" t="s">
        <v>32</v>
      </c>
      <c r="Y771" t="s">
        <v>32</v>
      </c>
      <c r="AA771" t="s">
        <v>88</v>
      </c>
      <c r="AB771" t="s">
        <v>32</v>
      </c>
      <c r="AE771" t="s">
        <v>32</v>
      </c>
      <c r="AH771" t="s">
        <v>32</v>
      </c>
      <c r="AK771" t="s">
        <v>32</v>
      </c>
      <c r="AN771" t="s">
        <v>32</v>
      </c>
      <c r="AO771" t="s">
        <v>32</v>
      </c>
      <c r="AR771">
        <v>0</v>
      </c>
      <c r="AU771" t="s">
        <v>32</v>
      </c>
      <c r="AV771">
        <v>2113182</v>
      </c>
      <c r="AW771" t="s">
        <v>32</v>
      </c>
      <c r="AX771" t="s">
        <v>32</v>
      </c>
      <c r="AY771" t="s">
        <v>356</v>
      </c>
      <c r="AZ771">
        <v>28</v>
      </c>
      <c r="BA771">
        <v>2151492</v>
      </c>
      <c r="BB771">
        <v>0.15999999642372131</v>
      </c>
      <c r="BC771">
        <v>344300</v>
      </c>
      <c r="BD771" t="s">
        <v>31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344300</v>
      </c>
      <c r="BK771" t="s">
        <v>25</v>
      </c>
      <c r="BL771" t="s">
        <v>1010</v>
      </c>
      <c r="BM771">
        <v>28</v>
      </c>
      <c r="BN771">
        <v>2151492</v>
      </c>
      <c r="BO771">
        <v>3.9999999105930328E-2</v>
      </c>
      <c r="BP771">
        <v>86100</v>
      </c>
      <c r="BQ771">
        <v>0</v>
      </c>
      <c r="BS771">
        <v>0</v>
      </c>
      <c r="BU771">
        <v>0</v>
      </c>
      <c r="BV771" t="s">
        <v>25</v>
      </c>
      <c r="BW771" t="s">
        <v>189</v>
      </c>
      <c r="BX771">
        <v>28</v>
      </c>
      <c r="BY771">
        <v>2151492</v>
      </c>
      <c r="BZ771">
        <v>6.9600000977516174E-2</v>
      </c>
      <c r="CA771" t="s">
        <v>1439</v>
      </c>
      <c r="CB771" t="s">
        <v>227</v>
      </c>
      <c r="CC771" t="s">
        <v>1440</v>
      </c>
      <c r="CD771">
        <v>149800</v>
      </c>
      <c r="CE771">
        <v>28</v>
      </c>
      <c r="CF771" t="s">
        <v>635</v>
      </c>
      <c r="CG771">
        <v>2068357</v>
      </c>
      <c r="CH771">
        <v>3.9999999105930328E-2</v>
      </c>
      <c r="CI771">
        <v>82800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 t="s">
        <v>88</v>
      </c>
      <c r="CT771" t="s">
        <v>142</v>
      </c>
      <c r="CU771" t="s">
        <v>1442</v>
      </c>
    </row>
    <row r="772" spans="1:99">
      <c r="A772" t="s">
        <v>3047</v>
      </c>
      <c r="B772" t="s">
        <v>34</v>
      </c>
      <c r="C772" t="s">
        <v>1838</v>
      </c>
      <c r="D772" t="s">
        <v>1839</v>
      </c>
      <c r="E772" t="s">
        <v>1587</v>
      </c>
      <c r="F772" t="s">
        <v>1536</v>
      </c>
      <c r="G772" t="s">
        <v>1698</v>
      </c>
      <c r="H772" t="s">
        <v>1840</v>
      </c>
      <c r="I772" t="s">
        <v>240</v>
      </c>
      <c r="J772" t="s">
        <v>46</v>
      </c>
      <c r="K772" t="s">
        <v>29</v>
      </c>
      <c r="L772" t="s">
        <v>30</v>
      </c>
      <c r="M772">
        <v>184</v>
      </c>
      <c r="N772" t="s">
        <v>32</v>
      </c>
      <c r="O772" t="s">
        <v>32</v>
      </c>
      <c r="Q772" t="s">
        <v>40</v>
      </c>
      <c r="R772">
        <v>46057</v>
      </c>
      <c r="S772" t="s">
        <v>32</v>
      </c>
      <c r="U772" t="s">
        <v>32</v>
      </c>
      <c r="V772" t="s">
        <v>32</v>
      </c>
      <c r="W772" t="s">
        <v>32</v>
      </c>
      <c r="X772" t="s">
        <v>32</v>
      </c>
      <c r="Y772" t="s">
        <v>32</v>
      </c>
      <c r="AA772" t="s">
        <v>88</v>
      </c>
      <c r="AB772" t="s">
        <v>32</v>
      </c>
      <c r="AE772" t="s">
        <v>32</v>
      </c>
      <c r="AH772" t="s">
        <v>32</v>
      </c>
      <c r="AK772" t="s">
        <v>32</v>
      </c>
      <c r="AN772" t="s">
        <v>32</v>
      </c>
      <c r="AO772" t="s">
        <v>32</v>
      </c>
      <c r="AR772">
        <v>0</v>
      </c>
      <c r="AU772" t="s">
        <v>32</v>
      </c>
      <c r="AV772">
        <v>1956650</v>
      </c>
      <c r="AW772" t="s">
        <v>32</v>
      </c>
      <c r="AX772" t="s">
        <v>32</v>
      </c>
      <c r="AY772" t="s">
        <v>317</v>
      </c>
      <c r="AZ772">
        <v>27</v>
      </c>
      <c r="BA772">
        <v>2117629</v>
      </c>
      <c r="BB772">
        <v>0.15999999642372131</v>
      </c>
      <c r="BC772">
        <v>338900</v>
      </c>
      <c r="BD772" t="s">
        <v>31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338900</v>
      </c>
      <c r="BK772" t="s">
        <v>25</v>
      </c>
      <c r="BL772" t="s">
        <v>1010</v>
      </c>
      <c r="BM772">
        <v>27</v>
      </c>
      <c r="BN772">
        <v>2117629</v>
      </c>
      <c r="BO772">
        <v>3.9999999105930328E-2</v>
      </c>
      <c r="BP772">
        <v>84800</v>
      </c>
      <c r="BQ772">
        <v>0</v>
      </c>
      <c r="BS772">
        <v>0</v>
      </c>
      <c r="BU772">
        <v>0</v>
      </c>
      <c r="BV772" t="s">
        <v>25</v>
      </c>
      <c r="BW772" t="s">
        <v>189</v>
      </c>
      <c r="BX772">
        <v>27</v>
      </c>
      <c r="BY772">
        <v>2117629</v>
      </c>
      <c r="BZ772">
        <v>6.9600000977516174E-2</v>
      </c>
      <c r="CA772" t="s">
        <v>1439</v>
      </c>
      <c r="CB772" t="s">
        <v>227</v>
      </c>
      <c r="CC772" t="s">
        <v>1440</v>
      </c>
      <c r="CD772">
        <v>147400</v>
      </c>
      <c r="CE772">
        <v>27</v>
      </c>
      <c r="CF772" t="s">
        <v>635</v>
      </c>
      <c r="CG772">
        <v>2117629</v>
      </c>
      <c r="CH772">
        <v>3.9999999105930328E-2</v>
      </c>
      <c r="CI772">
        <v>84800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 t="s">
        <v>88</v>
      </c>
      <c r="CT772" t="s">
        <v>142</v>
      </c>
      <c r="CU772" t="s">
        <v>1442</v>
      </c>
    </row>
    <row r="773" spans="1:99">
      <c r="A773" t="s">
        <v>3047</v>
      </c>
      <c r="B773" t="s">
        <v>34</v>
      </c>
      <c r="C773" t="s">
        <v>1841</v>
      </c>
      <c r="D773" t="s">
        <v>1842</v>
      </c>
      <c r="E773" t="s">
        <v>1843</v>
      </c>
      <c r="F773" t="s">
        <v>1506</v>
      </c>
      <c r="G773" t="s">
        <v>1844</v>
      </c>
      <c r="H773" t="s">
        <v>1845</v>
      </c>
      <c r="I773" t="s">
        <v>682</v>
      </c>
      <c r="J773" t="s">
        <v>484</v>
      </c>
      <c r="K773" t="s">
        <v>29</v>
      </c>
      <c r="L773" t="s">
        <v>30</v>
      </c>
      <c r="M773">
        <v>0</v>
      </c>
      <c r="N773" t="s">
        <v>32</v>
      </c>
      <c r="O773" t="s">
        <v>32</v>
      </c>
      <c r="Q773" t="s">
        <v>32</v>
      </c>
      <c r="S773" t="s">
        <v>32</v>
      </c>
      <c r="U773" t="s">
        <v>32</v>
      </c>
      <c r="V773" t="s">
        <v>32</v>
      </c>
      <c r="W773" t="s">
        <v>32</v>
      </c>
      <c r="X773" t="s">
        <v>32</v>
      </c>
      <c r="Y773" t="s">
        <v>32</v>
      </c>
      <c r="AA773" t="s">
        <v>32</v>
      </c>
      <c r="AB773" t="s">
        <v>32</v>
      </c>
      <c r="AE773" t="s">
        <v>32</v>
      </c>
      <c r="AH773" t="s">
        <v>32</v>
      </c>
      <c r="AK773" t="s">
        <v>128</v>
      </c>
      <c r="AL773">
        <v>46069</v>
      </c>
      <c r="AM773">
        <v>46073</v>
      </c>
      <c r="AN773" t="s">
        <v>32</v>
      </c>
      <c r="AO773" t="s">
        <v>32</v>
      </c>
      <c r="AR773">
        <v>0</v>
      </c>
      <c r="AU773" t="s">
        <v>32</v>
      </c>
      <c r="AV773">
        <v>2056650</v>
      </c>
      <c r="AW773" t="s">
        <v>32</v>
      </c>
      <c r="AX773" t="s">
        <v>32</v>
      </c>
      <c r="AY773" t="s">
        <v>185</v>
      </c>
      <c r="AZ773">
        <v>5</v>
      </c>
      <c r="BA773">
        <v>342775</v>
      </c>
      <c r="BB773">
        <v>0.15999999642372131</v>
      </c>
      <c r="BC773">
        <v>54900</v>
      </c>
      <c r="BD773" t="s">
        <v>31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54900</v>
      </c>
      <c r="BK773" t="s">
        <v>25</v>
      </c>
      <c r="BL773" t="s">
        <v>1010</v>
      </c>
      <c r="BM773">
        <v>5</v>
      </c>
      <c r="BN773">
        <v>342775</v>
      </c>
      <c r="BO773">
        <v>3.9999999105930328E-2</v>
      </c>
      <c r="BP773">
        <v>13800</v>
      </c>
      <c r="BQ773">
        <v>0</v>
      </c>
      <c r="BS773">
        <v>0</v>
      </c>
      <c r="BU773">
        <v>0</v>
      </c>
      <c r="BV773" t="s">
        <v>25</v>
      </c>
      <c r="BW773" t="s">
        <v>189</v>
      </c>
      <c r="BX773">
        <v>5</v>
      </c>
      <c r="BY773">
        <v>342775</v>
      </c>
      <c r="BZ773">
        <v>0</v>
      </c>
      <c r="CA773" t="s">
        <v>1439</v>
      </c>
      <c r="CB773" t="s">
        <v>312</v>
      </c>
      <c r="CC773" t="s">
        <v>1440</v>
      </c>
      <c r="CD773">
        <v>0</v>
      </c>
      <c r="CE773">
        <v>5</v>
      </c>
      <c r="CF773" t="s">
        <v>466</v>
      </c>
      <c r="CG773">
        <v>342775</v>
      </c>
      <c r="CH773">
        <v>3.9999999105930328E-2</v>
      </c>
      <c r="CI773">
        <v>13800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 t="s">
        <v>88</v>
      </c>
      <c r="CT773" t="s">
        <v>142</v>
      </c>
      <c r="CU773" t="s">
        <v>1442</v>
      </c>
    </row>
    <row r="774" spans="1:99">
      <c r="A774" t="s">
        <v>3047</v>
      </c>
      <c r="B774" t="s">
        <v>34</v>
      </c>
      <c r="C774" t="s">
        <v>1841</v>
      </c>
      <c r="D774" t="s">
        <v>1842</v>
      </c>
      <c r="E774" t="s">
        <v>1843</v>
      </c>
      <c r="F774" t="s">
        <v>1506</v>
      </c>
      <c r="G774" t="s">
        <v>1844</v>
      </c>
      <c r="H774" t="s">
        <v>1845</v>
      </c>
      <c r="I774" t="s">
        <v>682</v>
      </c>
      <c r="J774" t="s">
        <v>484</v>
      </c>
      <c r="K774" t="s">
        <v>29</v>
      </c>
      <c r="L774" t="s">
        <v>30</v>
      </c>
      <c r="M774">
        <v>166</v>
      </c>
      <c r="N774" t="s">
        <v>32</v>
      </c>
      <c r="O774" t="s">
        <v>32</v>
      </c>
      <c r="Q774" t="s">
        <v>32</v>
      </c>
      <c r="S774" t="s">
        <v>32</v>
      </c>
      <c r="U774" t="s">
        <v>32</v>
      </c>
      <c r="V774" t="s">
        <v>32</v>
      </c>
      <c r="W774" t="s">
        <v>32</v>
      </c>
      <c r="X774" t="s">
        <v>32</v>
      </c>
      <c r="Y774" t="s">
        <v>32</v>
      </c>
      <c r="AA774" t="s">
        <v>88</v>
      </c>
      <c r="AB774" t="s">
        <v>32</v>
      </c>
      <c r="AE774" t="s">
        <v>32</v>
      </c>
      <c r="AH774" t="s">
        <v>32</v>
      </c>
      <c r="AK774" t="s">
        <v>32</v>
      </c>
      <c r="AN774" t="s">
        <v>32</v>
      </c>
      <c r="AO774" t="s">
        <v>32</v>
      </c>
      <c r="AR774">
        <v>0</v>
      </c>
      <c r="AU774" t="s">
        <v>32</v>
      </c>
      <c r="AV774">
        <v>2056650</v>
      </c>
      <c r="AW774" t="s">
        <v>32</v>
      </c>
      <c r="AX774" t="s">
        <v>32</v>
      </c>
      <c r="AY774" t="s">
        <v>185</v>
      </c>
      <c r="AZ774">
        <v>25</v>
      </c>
      <c r="BA774">
        <v>2240098</v>
      </c>
      <c r="BB774">
        <v>0.15999999642372131</v>
      </c>
      <c r="BC774">
        <v>358500</v>
      </c>
      <c r="BD774" t="s">
        <v>31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358500</v>
      </c>
      <c r="BK774" t="s">
        <v>25</v>
      </c>
      <c r="BL774" t="s">
        <v>1010</v>
      </c>
      <c r="BM774">
        <v>25</v>
      </c>
      <c r="BN774">
        <v>2240098</v>
      </c>
      <c r="BO774">
        <v>3.9999999105930328E-2</v>
      </c>
      <c r="BP774">
        <v>89700</v>
      </c>
      <c r="BQ774">
        <v>0</v>
      </c>
      <c r="BS774">
        <v>0</v>
      </c>
      <c r="BU774">
        <v>0</v>
      </c>
      <c r="BV774" t="s">
        <v>25</v>
      </c>
      <c r="BW774" t="s">
        <v>189</v>
      </c>
      <c r="BX774">
        <v>25</v>
      </c>
      <c r="BY774">
        <v>2240098</v>
      </c>
      <c r="BZ774">
        <v>6.9600000977516174E-2</v>
      </c>
      <c r="CA774" t="s">
        <v>1439</v>
      </c>
      <c r="CB774" t="s">
        <v>312</v>
      </c>
      <c r="CC774" t="s">
        <v>1440</v>
      </c>
      <c r="CD774">
        <v>156000</v>
      </c>
      <c r="CE774">
        <v>25</v>
      </c>
      <c r="CF774" t="s">
        <v>466</v>
      </c>
      <c r="CG774">
        <v>2158392</v>
      </c>
      <c r="CH774">
        <v>3.9999999105930328E-2</v>
      </c>
      <c r="CI774">
        <v>86400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 t="s">
        <v>88</v>
      </c>
      <c r="CT774" t="s">
        <v>142</v>
      </c>
      <c r="CU774" t="s">
        <v>1442</v>
      </c>
    </row>
    <row r="775" spans="1:99">
      <c r="A775" t="s">
        <v>3047</v>
      </c>
      <c r="B775" t="s">
        <v>34</v>
      </c>
      <c r="C775" t="s">
        <v>1846</v>
      </c>
      <c r="D775" t="s">
        <v>1847</v>
      </c>
      <c r="E775" t="s">
        <v>1848</v>
      </c>
      <c r="F775" t="s">
        <v>1849</v>
      </c>
      <c r="G775" t="s">
        <v>1479</v>
      </c>
      <c r="H775" t="s">
        <v>1850</v>
      </c>
      <c r="I775" t="s">
        <v>682</v>
      </c>
      <c r="J775" t="s">
        <v>484</v>
      </c>
      <c r="K775" t="s">
        <v>29</v>
      </c>
      <c r="L775" t="s">
        <v>30</v>
      </c>
      <c r="M775">
        <v>0</v>
      </c>
      <c r="N775" t="s">
        <v>32</v>
      </c>
      <c r="O775" t="s">
        <v>32</v>
      </c>
      <c r="Q775" t="s">
        <v>32</v>
      </c>
      <c r="S775" t="s">
        <v>32</v>
      </c>
      <c r="U775" t="s">
        <v>32</v>
      </c>
      <c r="V775" t="s">
        <v>32</v>
      </c>
      <c r="W775" t="s">
        <v>32</v>
      </c>
      <c r="X775" t="s">
        <v>32</v>
      </c>
      <c r="Y775" t="s">
        <v>32</v>
      </c>
      <c r="AA775" t="s">
        <v>32</v>
      </c>
      <c r="AB775" t="s">
        <v>37</v>
      </c>
      <c r="AC775">
        <v>46069</v>
      </c>
      <c r="AD775">
        <v>46069</v>
      </c>
      <c r="AE775" t="s">
        <v>32</v>
      </c>
      <c r="AH775" t="s">
        <v>32</v>
      </c>
      <c r="AK775" t="s">
        <v>32</v>
      </c>
      <c r="AN775" t="s">
        <v>32</v>
      </c>
      <c r="AO775" t="s">
        <v>32</v>
      </c>
      <c r="AR775">
        <v>0</v>
      </c>
      <c r="AU775" t="s">
        <v>32</v>
      </c>
      <c r="AV775">
        <v>2056650</v>
      </c>
      <c r="AW775" t="s">
        <v>32</v>
      </c>
      <c r="AX775" t="s">
        <v>32</v>
      </c>
      <c r="AY775" t="s">
        <v>356</v>
      </c>
      <c r="AZ775">
        <v>1</v>
      </c>
      <c r="BA775">
        <v>68555</v>
      </c>
      <c r="BB775">
        <v>0.15999999642372131</v>
      </c>
      <c r="BC775">
        <v>11000</v>
      </c>
      <c r="BD775" t="s">
        <v>31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11000</v>
      </c>
      <c r="BK775" t="s">
        <v>25</v>
      </c>
      <c r="BL775" t="s">
        <v>1000</v>
      </c>
      <c r="BM775">
        <v>1</v>
      </c>
      <c r="BN775">
        <v>68555</v>
      </c>
      <c r="BO775">
        <v>0</v>
      </c>
      <c r="BP775">
        <v>0</v>
      </c>
      <c r="BQ775">
        <v>0</v>
      </c>
      <c r="BS775">
        <v>0</v>
      </c>
      <c r="BU775">
        <v>0</v>
      </c>
      <c r="BV775" t="s">
        <v>25</v>
      </c>
      <c r="BW775" t="s">
        <v>189</v>
      </c>
      <c r="BX775">
        <v>1</v>
      </c>
      <c r="BY775">
        <v>68555</v>
      </c>
      <c r="BZ775">
        <v>0</v>
      </c>
      <c r="CA775" t="s">
        <v>1439</v>
      </c>
      <c r="CB775" t="s">
        <v>312</v>
      </c>
      <c r="CC775" t="s">
        <v>1440</v>
      </c>
      <c r="CD775">
        <v>0</v>
      </c>
      <c r="CE775">
        <v>1</v>
      </c>
      <c r="CF775" t="s">
        <v>466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 t="s">
        <v>88</v>
      </c>
      <c r="CT775" t="s">
        <v>142</v>
      </c>
      <c r="CU775" t="s">
        <v>1442</v>
      </c>
    </row>
    <row r="776" spans="1:99">
      <c r="A776" t="s">
        <v>3047</v>
      </c>
      <c r="B776" t="s">
        <v>34</v>
      </c>
      <c r="C776" t="s">
        <v>1846</v>
      </c>
      <c r="D776" t="s">
        <v>1847</v>
      </c>
      <c r="E776" t="s">
        <v>1848</v>
      </c>
      <c r="F776" t="s">
        <v>1849</v>
      </c>
      <c r="G776" t="s">
        <v>1479</v>
      </c>
      <c r="H776" t="s">
        <v>1850</v>
      </c>
      <c r="I776" t="s">
        <v>682</v>
      </c>
      <c r="J776" t="s">
        <v>484</v>
      </c>
      <c r="K776" t="s">
        <v>29</v>
      </c>
      <c r="L776" t="s">
        <v>30</v>
      </c>
      <c r="M776">
        <v>0</v>
      </c>
      <c r="N776" t="s">
        <v>32</v>
      </c>
      <c r="O776" t="s">
        <v>32</v>
      </c>
      <c r="Q776" t="s">
        <v>32</v>
      </c>
      <c r="S776" t="s">
        <v>32</v>
      </c>
      <c r="U776" t="s">
        <v>32</v>
      </c>
      <c r="V776" t="s">
        <v>32</v>
      </c>
      <c r="W776" t="s">
        <v>32</v>
      </c>
      <c r="X776" t="s">
        <v>32</v>
      </c>
      <c r="Y776" t="s">
        <v>32</v>
      </c>
      <c r="AA776" t="s">
        <v>32</v>
      </c>
      <c r="AB776" t="s">
        <v>32</v>
      </c>
      <c r="AE776" t="s">
        <v>32</v>
      </c>
      <c r="AH776" t="s">
        <v>32</v>
      </c>
      <c r="AK776" t="s">
        <v>128</v>
      </c>
      <c r="AL776">
        <v>46076</v>
      </c>
      <c r="AM776">
        <v>46080</v>
      </c>
      <c r="AN776" t="s">
        <v>32</v>
      </c>
      <c r="AO776" t="s">
        <v>32</v>
      </c>
      <c r="AR776">
        <v>0</v>
      </c>
      <c r="AU776" t="s">
        <v>32</v>
      </c>
      <c r="AV776">
        <v>2056650</v>
      </c>
      <c r="AW776" t="s">
        <v>32</v>
      </c>
      <c r="AX776" t="s">
        <v>32</v>
      </c>
      <c r="AY776" t="s">
        <v>356</v>
      </c>
      <c r="AZ776">
        <v>5</v>
      </c>
      <c r="BA776">
        <v>342775</v>
      </c>
      <c r="BB776">
        <v>0.15999999642372131</v>
      </c>
      <c r="BC776">
        <v>54900</v>
      </c>
      <c r="BD776" t="s">
        <v>31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54900</v>
      </c>
      <c r="BK776" t="s">
        <v>25</v>
      </c>
      <c r="BL776" t="s">
        <v>1000</v>
      </c>
      <c r="BM776">
        <v>5</v>
      </c>
      <c r="BN776">
        <v>342775</v>
      </c>
      <c r="BO776">
        <v>3.9999999105930328E-2</v>
      </c>
      <c r="BP776">
        <v>13800</v>
      </c>
      <c r="BQ776">
        <v>0</v>
      </c>
      <c r="BS776">
        <v>0</v>
      </c>
      <c r="BU776">
        <v>0</v>
      </c>
      <c r="BV776" t="s">
        <v>25</v>
      </c>
      <c r="BW776" t="s">
        <v>189</v>
      </c>
      <c r="BX776">
        <v>5</v>
      </c>
      <c r="BY776">
        <v>342775</v>
      </c>
      <c r="BZ776">
        <v>0</v>
      </c>
      <c r="CA776" t="s">
        <v>1439</v>
      </c>
      <c r="CB776" t="s">
        <v>312</v>
      </c>
      <c r="CC776" t="s">
        <v>1440</v>
      </c>
      <c r="CD776">
        <v>0</v>
      </c>
      <c r="CE776">
        <v>5</v>
      </c>
      <c r="CF776" t="s">
        <v>466</v>
      </c>
      <c r="CG776">
        <v>342775</v>
      </c>
      <c r="CH776">
        <v>3.9999999105930328E-2</v>
      </c>
      <c r="CI776">
        <v>13800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 t="s">
        <v>88</v>
      </c>
      <c r="CT776" t="s">
        <v>142</v>
      </c>
      <c r="CU776" t="s">
        <v>1442</v>
      </c>
    </row>
    <row r="777" spans="1:99">
      <c r="A777" t="s">
        <v>3047</v>
      </c>
      <c r="B777" t="s">
        <v>34</v>
      </c>
      <c r="C777" t="s">
        <v>1846</v>
      </c>
      <c r="D777" t="s">
        <v>1847</v>
      </c>
      <c r="E777" t="s">
        <v>1848</v>
      </c>
      <c r="F777" t="s">
        <v>1849</v>
      </c>
      <c r="G777" t="s">
        <v>1479</v>
      </c>
      <c r="H777" t="s">
        <v>1850</v>
      </c>
      <c r="I777" t="s">
        <v>682</v>
      </c>
      <c r="J777" t="s">
        <v>484</v>
      </c>
      <c r="K777" t="s">
        <v>29</v>
      </c>
      <c r="L777" t="s">
        <v>30</v>
      </c>
      <c r="M777">
        <v>159</v>
      </c>
      <c r="N777" t="s">
        <v>32</v>
      </c>
      <c r="O777" t="s">
        <v>32</v>
      </c>
      <c r="Q777" t="s">
        <v>32</v>
      </c>
      <c r="S777" t="s">
        <v>40</v>
      </c>
      <c r="T777">
        <v>46081</v>
      </c>
      <c r="U777" t="s">
        <v>32</v>
      </c>
      <c r="V777" t="s">
        <v>32</v>
      </c>
      <c r="W777" t="s">
        <v>32</v>
      </c>
      <c r="X777" t="s">
        <v>32</v>
      </c>
      <c r="Y777" t="s">
        <v>32</v>
      </c>
      <c r="AA777" t="s">
        <v>88</v>
      </c>
      <c r="AB777" t="s">
        <v>32</v>
      </c>
      <c r="AE777" t="s">
        <v>32</v>
      </c>
      <c r="AH777" t="s">
        <v>32</v>
      </c>
      <c r="AK777" t="s">
        <v>32</v>
      </c>
      <c r="AN777" t="s">
        <v>32</v>
      </c>
      <c r="AO777" t="s">
        <v>32</v>
      </c>
      <c r="AR777">
        <v>0</v>
      </c>
      <c r="AU777" t="s">
        <v>32</v>
      </c>
      <c r="AV777">
        <v>2056650</v>
      </c>
      <c r="AW777" t="s">
        <v>32</v>
      </c>
      <c r="AX777" t="s">
        <v>32</v>
      </c>
      <c r="AY777" t="s">
        <v>356</v>
      </c>
      <c r="AZ777">
        <v>24</v>
      </c>
      <c r="BA777">
        <v>3004423</v>
      </c>
      <c r="BB777">
        <v>0.15999999642372131</v>
      </c>
      <c r="BC777">
        <v>480800</v>
      </c>
      <c r="BD777" t="s">
        <v>31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480800</v>
      </c>
      <c r="BK777" t="s">
        <v>25</v>
      </c>
      <c r="BL777" t="s">
        <v>1000</v>
      </c>
      <c r="BM777">
        <v>24</v>
      </c>
      <c r="BN777">
        <v>3004423</v>
      </c>
      <c r="BO777">
        <v>3.9999999105930328E-2</v>
      </c>
      <c r="BP777">
        <v>120200</v>
      </c>
      <c r="BQ777">
        <v>0</v>
      </c>
      <c r="BS777">
        <v>0</v>
      </c>
      <c r="BU777">
        <v>0</v>
      </c>
      <c r="BV777" t="s">
        <v>25</v>
      </c>
      <c r="BW777" t="s">
        <v>189</v>
      </c>
      <c r="BX777">
        <v>24</v>
      </c>
      <c r="BY777">
        <v>3004423</v>
      </c>
      <c r="BZ777">
        <v>6.9600000977516174E-2</v>
      </c>
      <c r="CA777" t="s">
        <v>1439</v>
      </c>
      <c r="CB777" t="s">
        <v>312</v>
      </c>
      <c r="CC777" t="s">
        <v>1440</v>
      </c>
      <c r="CD777">
        <v>209200</v>
      </c>
      <c r="CE777">
        <v>24</v>
      </c>
      <c r="CF777" t="s">
        <v>466</v>
      </c>
      <c r="CG777">
        <v>3921214</v>
      </c>
      <c r="CH777">
        <v>3.9999999105930328E-2</v>
      </c>
      <c r="CI777">
        <v>156900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 t="s">
        <v>88</v>
      </c>
      <c r="CT777" t="s">
        <v>142</v>
      </c>
      <c r="CU777" t="s">
        <v>1442</v>
      </c>
    </row>
    <row r="778" spans="1:99">
      <c r="A778" t="s">
        <v>3047</v>
      </c>
      <c r="B778" t="s">
        <v>34</v>
      </c>
      <c r="C778" t="s">
        <v>1851</v>
      </c>
      <c r="D778" t="s">
        <v>1852</v>
      </c>
      <c r="E778" t="s">
        <v>1506</v>
      </c>
      <c r="F778" t="s">
        <v>1853</v>
      </c>
      <c r="G778" t="s">
        <v>1489</v>
      </c>
      <c r="H778" t="s">
        <v>1854</v>
      </c>
      <c r="I778" t="s">
        <v>240</v>
      </c>
      <c r="J778" t="s">
        <v>46</v>
      </c>
      <c r="K778" t="s">
        <v>29</v>
      </c>
      <c r="L778" t="s">
        <v>30</v>
      </c>
      <c r="M778">
        <v>0</v>
      </c>
      <c r="N778" t="s">
        <v>32</v>
      </c>
      <c r="O778" t="s">
        <v>32</v>
      </c>
      <c r="Q778" t="s">
        <v>32</v>
      </c>
      <c r="S778" t="s">
        <v>32</v>
      </c>
      <c r="U778" t="s">
        <v>32</v>
      </c>
      <c r="V778" t="s">
        <v>32</v>
      </c>
      <c r="W778" t="s">
        <v>32</v>
      </c>
      <c r="X778" t="s">
        <v>32</v>
      </c>
      <c r="Y778" t="s">
        <v>32</v>
      </c>
      <c r="AA778" t="s">
        <v>32</v>
      </c>
      <c r="AB778" t="s">
        <v>32</v>
      </c>
      <c r="AE778" t="s">
        <v>32</v>
      </c>
      <c r="AH778" t="s">
        <v>32</v>
      </c>
      <c r="AK778" t="s">
        <v>128</v>
      </c>
      <c r="AL778">
        <v>46058</v>
      </c>
      <c r="AM778">
        <v>46058</v>
      </c>
      <c r="AN778" t="s">
        <v>32</v>
      </c>
      <c r="AO778" t="s">
        <v>32</v>
      </c>
      <c r="AR778">
        <v>0</v>
      </c>
      <c r="AU778" t="s">
        <v>32</v>
      </c>
      <c r="AV778">
        <v>2223339</v>
      </c>
      <c r="AW778" t="s">
        <v>32</v>
      </c>
      <c r="AX778" t="s">
        <v>32</v>
      </c>
      <c r="AY778" t="s">
        <v>317</v>
      </c>
      <c r="AZ778">
        <v>1</v>
      </c>
      <c r="BA778">
        <v>74112</v>
      </c>
      <c r="BB778">
        <v>0.15999999642372131</v>
      </c>
      <c r="BC778">
        <v>11900</v>
      </c>
      <c r="BD778" t="s">
        <v>31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11900</v>
      </c>
      <c r="BK778" t="s">
        <v>25</v>
      </c>
      <c r="BL778" t="s">
        <v>1064</v>
      </c>
      <c r="BM778">
        <v>1</v>
      </c>
      <c r="BN778">
        <v>74112</v>
      </c>
      <c r="BO778">
        <v>3.9999999105930328E-2</v>
      </c>
      <c r="BP778">
        <v>3000</v>
      </c>
      <c r="BQ778">
        <v>0</v>
      </c>
      <c r="BS778">
        <v>0</v>
      </c>
      <c r="BU778">
        <v>0</v>
      </c>
      <c r="BV778" t="s">
        <v>25</v>
      </c>
      <c r="BW778" t="s">
        <v>189</v>
      </c>
      <c r="BX778">
        <v>1</v>
      </c>
      <c r="BY778">
        <v>74112</v>
      </c>
      <c r="BZ778">
        <v>0</v>
      </c>
      <c r="CA778" t="s">
        <v>1439</v>
      </c>
      <c r="CB778" t="s">
        <v>227</v>
      </c>
      <c r="CC778" t="s">
        <v>1440</v>
      </c>
      <c r="CD778">
        <v>0</v>
      </c>
      <c r="CE778">
        <v>1</v>
      </c>
      <c r="CF778" t="s">
        <v>635</v>
      </c>
      <c r="CG778">
        <v>74112</v>
      </c>
      <c r="CH778">
        <v>3.9999999105930328E-2</v>
      </c>
      <c r="CI778">
        <v>3000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 t="s">
        <v>88</v>
      </c>
      <c r="CT778" t="s">
        <v>142</v>
      </c>
      <c r="CU778" t="s">
        <v>1442</v>
      </c>
    </row>
    <row r="779" spans="1:99">
      <c r="A779" t="s">
        <v>3047</v>
      </c>
      <c r="B779" t="s">
        <v>34</v>
      </c>
      <c r="C779" t="s">
        <v>1851</v>
      </c>
      <c r="D779" t="s">
        <v>1852</v>
      </c>
      <c r="E779" t="s">
        <v>1506</v>
      </c>
      <c r="F779" t="s">
        <v>1853</v>
      </c>
      <c r="G779" t="s">
        <v>1489</v>
      </c>
      <c r="H779" t="s">
        <v>1854</v>
      </c>
      <c r="I779" t="s">
        <v>240</v>
      </c>
      <c r="J779" t="s">
        <v>46</v>
      </c>
      <c r="K779" t="s">
        <v>29</v>
      </c>
      <c r="L779" t="s">
        <v>30</v>
      </c>
      <c r="M779">
        <v>204</v>
      </c>
      <c r="N779" t="s">
        <v>32</v>
      </c>
      <c r="O779" t="s">
        <v>32</v>
      </c>
      <c r="Q779" t="s">
        <v>32</v>
      </c>
      <c r="S779" t="s">
        <v>32</v>
      </c>
      <c r="U779" t="s">
        <v>32</v>
      </c>
      <c r="V779" t="s">
        <v>32</v>
      </c>
      <c r="W779" t="s">
        <v>32</v>
      </c>
      <c r="X779" t="s">
        <v>32</v>
      </c>
      <c r="Y779" t="s">
        <v>32</v>
      </c>
      <c r="AA779" t="s">
        <v>88</v>
      </c>
      <c r="AB779" t="s">
        <v>32</v>
      </c>
      <c r="AE779" t="s">
        <v>32</v>
      </c>
      <c r="AH779" t="s">
        <v>32</v>
      </c>
      <c r="AK779" t="s">
        <v>32</v>
      </c>
      <c r="AN779" t="s">
        <v>32</v>
      </c>
      <c r="AO779" t="s">
        <v>32</v>
      </c>
      <c r="AR779">
        <v>0</v>
      </c>
      <c r="AU779" t="s">
        <v>32</v>
      </c>
      <c r="AV779">
        <v>2223339</v>
      </c>
      <c r="AW779" t="s">
        <v>32</v>
      </c>
      <c r="AX779" t="s">
        <v>32</v>
      </c>
      <c r="AY779" t="s">
        <v>317</v>
      </c>
      <c r="AZ779">
        <v>29</v>
      </c>
      <c r="BA779">
        <v>2871596</v>
      </c>
      <c r="BB779">
        <v>0.15999999642372131</v>
      </c>
      <c r="BC779">
        <v>459500</v>
      </c>
      <c r="BD779" t="s">
        <v>31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459500</v>
      </c>
      <c r="BK779" t="s">
        <v>25</v>
      </c>
      <c r="BL779" t="s">
        <v>1064</v>
      </c>
      <c r="BM779">
        <v>29</v>
      </c>
      <c r="BN779">
        <v>2871596</v>
      </c>
      <c r="BO779">
        <v>3.9999999105930328E-2</v>
      </c>
      <c r="BP779">
        <v>114900</v>
      </c>
      <c r="BQ779">
        <v>0</v>
      </c>
      <c r="BS779">
        <v>0</v>
      </c>
      <c r="BU779">
        <v>0</v>
      </c>
      <c r="BV779" t="s">
        <v>25</v>
      </c>
      <c r="BW779" t="s">
        <v>189</v>
      </c>
      <c r="BX779">
        <v>29</v>
      </c>
      <c r="BY779">
        <v>2871596</v>
      </c>
      <c r="BZ779">
        <v>6.9600000977516174E-2</v>
      </c>
      <c r="CA779" t="s">
        <v>1439</v>
      </c>
      <c r="CB779" t="s">
        <v>227</v>
      </c>
      <c r="CC779" t="s">
        <v>1440</v>
      </c>
      <c r="CD779">
        <v>199900</v>
      </c>
      <c r="CE779">
        <v>29</v>
      </c>
      <c r="CF779" t="s">
        <v>635</v>
      </c>
      <c r="CG779">
        <v>2871596</v>
      </c>
      <c r="CH779">
        <v>3.9999999105930328E-2</v>
      </c>
      <c r="CI779">
        <v>114900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 t="s">
        <v>88</v>
      </c>
      <c r="CT779" t="s">
        <v>142</v>
      </c>
      <c r="CU779" t="s">
        <v>1442</v>
      </c>
    </row>
    <row r="780" spans="1:99">
      <c r="A780" t="s">
        <v>3047</v>
      </c>
      <c r="B780" t="s">
        <v>34</v>
      </c>
      <c r="C780" t="s">
        <v>1855</v>
      </c>
      <c r="D780" t="s">
        <v>1856</v>
      </c>
      <c r="E780" t="s">
        <v>1857</v>
      </c>
      <c r="F780" t="s">
        <v>1858</v>
      </c>
      <c r="G780" t="s">
        <v>1859</v>
      </c>
      <c r="H780" t="s">
        <v>1489</v>
      </c>
      <c r="I780" t="s">
        <v>240</v>
      </c>
      <c r="J780" t="s">
        <v>46</v>
      </c>
      <c r="K780" t="s">
        <v>29</v>
      </c>
      <c r="L780" t="s">
        <v>30</v>
      </c>
      <c r="M780">
        <v>204</v>
      </c>
      <c r="N780" t="s">
        <v>32</v>
      </c>
      <c r="O780" t="s">
        <v>32</v>
      </c>
      <c r="Q780" t="s">
        <v>32</v>
      </c>
      <c r="S780" t="s">
        <v>32</v>
      </c>
      <c r="U780" t="s">
        <v>32</v>
      </c>
      <c r="V780" t="s">
        <v>32</v>
      </c>
      <c r="W780" t="s">
        <v>32</v>
      </c>
      <c r="X780" t="s">
        <v>32</v>
      </c>
      <c r="Y780" t="s">
        <v>32</v>
      </c>
      <c r="AA780" t="s">
        <v>88</v>
      </c>
      <c r="AB780" t="s">
        <v>32</v>
      </c>
      <c r="AE780" t="s">
        <v>32</v>
      </c>
      <c r="AH780" t="s">
        <v>32</v>
      </c>
      <c r="AK780" t="s">
        <v>32</v>
      </c>
      <c r="AN780" t="s">
        <v>32</v>
      </c>
      <c r="AO780" t="s">
        <v>32</v>
      </c>
      <c r="AR780">
        <v>0</v>
      </c>
      <c r="AU780" t="s">
        <v>32</v>
      </c>
      <c r="AV780">
        <v>1785595</v>
      </c>
      <c r="AW780" t="s">
        <v>32</v>
      </c>
      <c r="AX780" t="s">
        <v>32</v>
      </c>
      <c r="AY780" t="s">
        <v>317</v>
      </c>
      <c r="AZ780">
        <v>30</v>
      </c>
      <c r="BA780">
        <v>2278258</v>
      </c>
      <c r="BB780">
        <v>0.15999999642372131</v>
      </c>
      <c r="BC780">
        <v>364600</v>
      </c>
      <c r="BD780" t="s">
        <v>31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364600</v>
      </c>
      <c r="BK780" t="s">
        <v>25</v>
      </c>
      <c r="BL780" t="s">
        <v>1010</v>
      </c>
      <c r="BM780">
        <v>30</v>
      </c>
      <c r="BN780">
        <v>2278258</v>
      </c>
      <c r="BO780">
        <v>3.9999999105930328E-2</v>
      </c>
      <c r="BP780">
        <v>91200</v>
      </c>
      <c r="BQ780">
        <v>0</v>
      </c>
      <c r="BS780">
        <v>0</v>
      </c>
      <c r="BU780">
        <v>0</v>
      </c>
      <c r="BV780" t="s">
        <v>25</v>
      </c>
      <c r="BW780" t="s">
        <v>189</v>
      </c>
      <c r="BX780">
        <v>30</v>
      </c>
      <c r="BY780">
        <v>2278258</v>
      </c>
      <c r="BZ780">
        <v>6.9600000977516174E-2</v>
      </c>
      <c r="CA780" t="s">
        <v>1439</v>
      </c>
      <c r="CB780" t="s">
        <v>227</v>
      </c>
      <c r="CC780" t="s">
        <v>1440</v>
      </c>
      <c r="CD780">
        <v>158600</v>
      </c>
      <c r="CE780">
        <v>30</v>
      </c>
      <c r="CF780" t="s">
        <v>635</v>
      </c>
      <c r="CG780">
        <v>2278258</v>
      </c>
      <c r="CH780">
        <v>3.9999999105930328E-2</v>
      </c>
      <c r="CI780">
        <v>91200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 t="s">
        <v>88</v>
      </c>
      <c r="CT780" t="s">
        <v>142</v>
      </c>
      <c r="CU780" t="s">
        <v>1442</v>
      </c>
    </row>
    <row r="781" spans="1:99">
      <c r="A781" t="s">
        <v>3047</v>
      </c>
      <c r="B781" t="s">
        <v>34</v>
      </c>
      <c r="C781" t="s">
        <v>1860</v>
      </c>
      <c r="D781" t="s">
        <v>1861</v>
      </c>
      <c r="E781" t="s">
        <v>1857</v>
      </c>
      <c r="F781" t="s">
        <v>1858</v>
      </c>
      <c r="G781" t="s">
        <v>1489</v>
      </c>
      <c r="H781" t="s">
        <v>1513</v>
      </c>
      <c r="I781" t="s">
        <v>240</v>
      </c>
      <c r="J781" t="s">
        <v>46</v>
      </c>
      <c r="K781" t="s">
        <v>29</v>
      </c>
      <c r="L781" t="s">
        <v>30</v>
      </c>
      <c r="M781">
        <v>212</v>
      </c>
      <c r="N781" t="s">
        <v>32</v>
      </c>
      <c r="O781" t="s">
        <v>32</v>
      </c>
      <c r="Q781" t="s">
        <v>32</v>
      </c>
      <c r="S781" t="s">
        <v>32</v>
      </c>
      <c r="U781" t="s">
        <v>32</v>
      </c>
      <c r="V781" t="s">
        <v>32</v>
      </c>
      <c r="W781" t="s">
        <v>32</v>
      </c>
      <c r="X781" t="s">
        <v>32</v>
      </c>
      <c r="Y781" t="s">
        <v>32</v>
      </c>
      <c r="AA781" t="s">
        <v>88</v>
      </c>
      <c r="AB781" t="s">
        <v>32</v>
      </c>
      <c r="AE781" t="s">
        <v>32</v>
      </c>
      <c r="AH781" t="s">
        <v>32</v>
      </c>
      <c r="AK781" t="s">
        <v>32</v>
      </c>
      <c r="AN781" t="s">
        <v>32</v>
      </c>
      <c r="AO781" t="s">
        <v>32</v>
      </c>
      <c r="AR781">
        <v>0</v>
      </c>
      <c r="AU781" t="s">
        <v>32</v>
      </c>
      <c r="AV781">
        <v>1785595</v>
      </c>
      <c r="AW781" t="s">
        <v>32</v>
      </c>
      <c r="AX781" t="s">
        <v>32</v>
      </c>
      <c r="AY781" t="s">
        <v>356</v>
      </c>
      <c r="AZ781">
        <v>30</v>
      </c>
      <c r="BA781">
        <v>2359421</v>
      </c>
      <c r="BB781">
        <v>0.15999999642372131</v>
      </c>
      <c r="BC781">
        <v>377600</v>
      </c>
      <c r="BD781" t="s">
        <v>31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377600</v>
      </c>
      <c r="BK781" t="s">
        <v>25</v>
      </c>
      <c r="BL781" t="s">
        <v>1010</v>
      </c>
      <c r="BM781">
        <v>30</v>
      </c>
      <c r="BN781">
        <v>2359421</v>
      </c>
      <c r="BO781">
        <v>3.9999999105930328E-2</v>
      </c>
      <c r="BP781">
        <v>94400</v>
      </c>
      <c r="BQ781">
        <v>0</v>
      </c>
      <c r="BS781">
        <v>0</v>
      </c>
      <c r="BU781">
        <v>0</v>
      </c>
      <c r="BV781" t="s">
        <v>25</v>
      </c>
      <c r="BW781" t="s">
        <v>189</v>
      </c>
      <c r="BX781">
        <v>30</v>
      </c>
      <c r="BY781">
        <v>2359421</v>
      </c>
      <c r="BZ781">
        <v>6.9600000977516174E-2</v>
      </c>
      <c r="CA781" t="s">
        <v>1439</v>
      </c>
      <c r="CB781" t="s">
        <v>227</v>
      </c>
      <c r="CC781" t="s">
        <v>1440</v>
      </c>
      <c r="CD781">
        <v>164300</v>
      </c>
      <c r="CE781">
        <v>30</v>
      </c>
      <c r="CF781" t="s">
        <v>635</v>
      </c>
      <c r="CG781">
        <v>2359421</v>
      </c>
      <c r="CH781">
        <v>3.9999999105930328E-2</v>
      </c>
      <c r="CI781">
        <v>94400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 t="s">
        <v>88</v>
      </c>
      <c r="CT781" t="s">
        <v>142</v>
      </c>
      <c r="CU781" t="s">
        <v>1442</v>
      </c>
    </row>
    <row r="782" spans="1:99">
      <c r="A782" t="s">
        <v>3047</v>
      </c>
      <c r="B782" t="s">
        <v>34</v>
      </c>
      <c r="C782" t="s">
        <v>1865</v>
      </c>
      <c r="D782" t="s">
        <v>1866</v>
      </c>
      <c r="E782" t="s">
        <v>1867</v>
      </c>
      <c r="F782" t="s">
        <v>1868</v>
      </c>
      <c r="G782" t="s">
        <v>1869</v>
      </c>
      <c r="H782" t="s">
        <v>1436</v>
      </c>
      <c r="I782" t="s">
        <v>240</v>
      </c>
      <c r="J782" t="s">
        <v>46</v>
      </c>
      <c r="K782" t="s">
        <v>29</v>
      </c>
      <c r="L782" t="s">
        <v>30</v>
      </c>
      <c r="M782">
        <v>0</v>
      </c>
      <c r="N782" t="s">
        <v>32</v>
      </c>
      <c r="O782" t="s">
        <v>32</v>
      </c>
      <c r="Q782" t="s">
        <v>32</v>
      </c>
      <c r="S782" t="s">
        <v>32</v>
      </c>
      <c r="U782" t="s">
        <v>32</v>
      </c>
      <c r="V782" t="s">
        <v>32</v>
      </c>
      <c r="W782" t="s">
        <v>32</v>
      </c>
      <c r="X782" t="s">
        <v>32</v>
      </c>
      <c r="Y782" t="s">
        <v>32</v>
      </c>
      <c r="AA782" t="s">
        <v>32</v>
      </c>
      <c r="AB782" t="s">
        <v>32</v>
      </c>
      <c r="AE782" t="s">
        <v>32</v>
      </c>
      <c r="AH782" t="s">
        <v>32</v>
      </c>
      <c r="AK782" t="s">
        <v>128</v>
      </c>
      <c r="AL782">
        <v>46054</v>
      </c>
      <c r="AM782">
        <v>46054</v>
      </c>
      <c r="AN782" t="s">
        <v>32</v>
      </c>
      <c r="AO782" t="s">
        <v>32</v>
      </c>
      <c r="AR782">
        <v>0</v>
      </c>
      <c r="AU782" t="s">
        <v>32</v>
      </c>
      <c r="AV782">
        <v>2074908</v>
      </c>
      <c r="AW782" t="s">
        <v>32</v>
      </c>
      <c r="AX782" t="s">
        <v>32</v>
      </c>
      <c r="AY782" t="s">
        <v>317</v>
      </c>
      <c r="AZ782">
        <v>1</v>
      </c>
      <c r="BA782">
        <v>69164</v>
      </c>
      <c r="BB782">
        <v>0.15999999642372131</v>
      </c>
      <c r="BC782">
        <v>11100</v>
      </c>
      <c r="BD782" t="s">
        <v>31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11100</v>
      </c>
      <c r="BK782" t="s">
        <v>25</v>
      </c>
      <c r="BL782" t="s">
        <v>1010</v>
      </c>
      <c r="BM782">
        <v>1</v>
      </c>
      <c r="BN782">
        <v>69164</v>
      </c>
      <c r="BO782">
        <v>3.9999999105930328E-2</v>
      </c>
      <c r="BP782">
        <v>2800</v>
      </c>
      <c r="BQ782">
        <v>0</v>
      </c>
      <c r="BS782">
        <v>0</v>
      </c>
      <c r="BU782">
        <v>0</v>
      </c>
      <c r="BV782" t="s">
        <v>25</v>
      </c>
      <c r="BW782" t="s">
        <v>189</v>
      </c>
      <c r="BX782">
        <v>1</v>
      </c>
      <c r="BY782">
        <v>69164</v>
      </c>
      <c r="BZ782">
        <v>0</v>
      </c>
      <c r="CA782" t="s">
        <v>1439</v>
      </c>
      <c r="CB782" t="s">
        <v>227</v>
      </c>
      <c r="CC782" t="s">
        <v>1440</v>
      </c>
      <c r="CD782">
        <v>0</v>
      </c>
      <c r="CE782">
        <v>1</v>
      </c>
      <c r="CF782" t="s">
        <v>635</v>
      </c>
      <c r="CG782">
        <v>69164</v>
      </c>
      <c r="CH782">
        <v>3.9999999105930328E-2</v>
      </c>
      <c r="CI782">
        <v>2800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 t="s">
        <v>88</v>
      </c>
      <c r="CT782" t="s">
        <v>142</v>
      </c>
      <c r="CU782" t="s">
        <v>1442</v>
      </c>
    </row>
    <row r="783" spans="1:99">
      <c r="A783" t="s">
        <v>3047</v>
      </c>
      <c r="B783" t="s">
        <v>34</v>
      </c>
      <c r="C783" t="s">
        <v>1865</v>
      </c>
      <c r="D783" t="s">
        <v>1866</v>
      </c>
      <c r="E783" t="s">
        <v>1867</v>
      </c>
      <c r="F783" t="s">
        <v>1868</v>
      </c>
      <c r="G783" t="s">
        <v>1869</v>
      </c>
      <c r="H783" t="s">
        <v>1436</v>
      </c>
      <c r="I783" t="s">
        <v>240</v>
      </c>
      <c r="J783" t="s">
        <v>46</v>
      </c>
      <c r="K783" t="s">
        <v>29</v>
      </c>
      <c r="L783" t="s">
        <v>30</v>
      </c>
      <c r="M783">
        <v>219</v>
      </c>
      <c r="N783" t="s">
        <v>32</v>
      </c>
      <c r="O783" t="s">
        <v>32</v>
      </c>
      <c r="Q783" t="s">
        <v>32</v>
      </c>
      <c r="S783" t="s">
        <v>32</v>
      </c>
      <c r="U783" t="s">
        <v>32</v>
      </c>
      <c r="V783" t="s">
        <v>32</v>
      </c>
      <c r="W783" t="s">
        <v>32</v>
      </c>
      <c r="X783" t="s">
        <v>32</v>
      </c>
      <c r="Y783" t="s">
        <v>32</v>
      </c>
      <c r="AA783" t="s">
        <v>88</v>
      </c>
      <c r="AB783" t="s">
        <v>32</v>
      </c>
      <c r="AE783" t="s">
        <v>32</v>
      </c>
      <c r="AH783" t="s">
        <v>32</v>
      </c>
      <c r="AK783" t="s">
        <v>32</v>
      </c>
      <c r="AN783" t="s">
        <v>32</v>
      </c>
      <c r="AO783" t="s">
        <v>32</v>
      </c>
      <c r="AR783">
        <v>0</v>
      </c>
      <c r="AU783" t="s">
        <v>32</v>
      </c>
      <c r="AV783">
        <v>2074908</v>
      </c>
      <c r="AW783" t="s">
        <v>32</v>
      </c>
      <c r="AX783" t="s">
        <v>32</v>
      </c>
      <c r="AY783" t="s">
        <v>317</v>
      </c>
      <c r="AZ783">
        <v>29</v>
      </c>
      <c r="BA783">
        <v>2905028</v>
      </c>
      <c r="BB783">
        <v>0.15999999642372131</v>
      </c>
      <c r="BC783">
        <v>464900</v>
      </c>
      <c r="BD783" t="s">
        <v>31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464900</v>
      </c>
      <c r="BK783" t="s">
        <v>25</v>
      </c>
      <c r="BL783" t="s">
        <v>1010</v>
      </c>
      <c r="BM783">
        <v>29</v>
      </c>
      <c r="BN783">
        <v>2905028</v>
      </c>
      <c r="BO783">
        <v>3.9999999105930328E-2</v>
      </c>
      <c r="BP783">
        <v>116300</v>
      </c>
      <c r="BQ783">
        <v>0</v>
      </c>
      <c r="BS783">
        <v>0</v>
      </c>
      <c r="BU783">
        <v>0</v>
      </c>
      <c r="BV783" t="s">
        <v>25</v>
      </c>
      <c r="BW783" t="s">
        <v>189</v>
      </c>
      <c r="BX783">
        <v>29</v>
      </c>
      <c r="BY783">
        <v>2905028</v>
      </c>
      <c r="BZ783">
        <v>6.9600000977516174E-2</v>
      </c>
      <c r="CA783" t="s">
        <v>1439</v>
      </c>
      <c r="CB783" t="s">
        <v>227</v>
      </c>
      <c r="CC783" t="s">
        <v>1440</v>
      </c>
      <c r="CD783">
        <v>202200</v>
      </c>
      <c r="CE783">
        <v>29</v>
      </c>
      <c r="CF783" t="s">
        <v>635</v>
      </c>
      <c r="CG783">
        <v>2905028</v>
      </c>
      <c r="CH783">
        <v>3.9999999105930328E-2</v>
      </c>
      <c r="CI783">
        <v>116300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 t="s">
        <v>88</v>
      </c>
      <c r="CT783" t="s">
        <v>142</v>
      </c>
      <c r="CU783" t="s">
        <v>1442</v>
      </c>
    </row>
    <row r="784" spans="1:99">
      <c r="A784" t="s">
        <v>3047</v>
      </c>
      <c r="B784" t="s">
        <v>34</v>
      </c>
      <c r="C784" t="s">
        <v>1870</v>
      </c>
      <c r="D784" t="s">
        <v>1871</v>
      </c>
      <c r="E784" t="s">
        <v>1867</v>
      </c>
      <c r="F784" t="s">
        <v>1868</v>
      </c>
      <c r="G784" t="s">
        <v>1872</v>
      </c>
      <c r="H784" t="s">
        <v>1873</v>
      </c>
      <c r="I784" t="s">
        <v>240</v>
      </c>
      <c r="J784" t="s">
        <v>46</v>
      </c>
      <c r="K784" t="s">
        <v>29</v>
      </c>
      <c r="L784" t="s">
        <v>30</v>
      </c>
      <c r="M784">
        <v>219</v>
      </c>
      <c r="N784" t="s">
        <v>32</v>
      </c>
      <c r="O784" t="s">
        <v>32</v>
      </c>
      <c r="Q784" t="s">
        <v>32</v>
      </c>
      <c r="S784" t="s">
        <v>32</v>
      </c>
      <c r="U784" t="s">
        <v>32</v>
      </c>
      <c r="V784" t="s">
        <v>32</v>
      </c>
      <c r="W784" t="s">
        <v>32</v>
      </c>
      <c r="X784" t="s">
        <v>32</v>
      </c>
      <c r="Y784" t="s">
        <v>32</v>
      </c>
      <c r="AA784" t="s">
        <v>88</v>
      </c>
      <c r="AB784" t="s">
        <v>32</v>
      </c>
      <c r="AE784" t="s">
        <v>32</v>
      </c>
      <c r="AH784" t="s">
        <v>32</v>
      </c>
      <c r="AK784" t="s">
        <v>32</v>
      </c>
      <c r="AN784" t="s">
        <v>32</v>
      </c>
      <c r="AO784" t="s">
        <v>32</v>
      </c>
      <c r="AR784">
        <v>0</v>
      </c>
      <c r="AU784" t="s">
        <v>32</v>
      </c>
      <c r="AV784">
        <v>1750905</v>
      </c>
      <c r="AW784" t="s">
        <v>32</v>
      </c>
      <c r="AX784" t="s">
        <v>32</v>
      </c>
      <c r="AY784" t="s">
        <v>185</v>
      </c>
      <c r="AZ784">
        <v>30</v>
      </c>
      <c r="BA784">
        <v>2368167</v>
      </c>
      <c r="BB784">
        <v>0.15999999642372131</v>
      </c>
      <c r="BC784">
        <v>379000</v>
      </c>
      <c r="BD784" t="s">
        <v>31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379000</v>
      </c>
      <c r="BK784" t="s">
        <v>25</v>
      </c>
      <c r="BL784" t="s">
        <v>1010</v>
      </c>
      <c r="BM784">
        <v>30</v>
      </c>
      <c r="BN784">
        <v>2368167</v>
      </c>
      <c r="BO784">
        <v>3.9999999105930328E-2</v>
      </c>
      <c r="BP784">
        <v>94800</v>
      </c>
      <c r="BQ784">
        <v>0</v>
      </c>
      <c r="BS784">
        <v>0</v>
      </c>
      <c r="BU784">
        <v>0</v>
      </c>
      <c r="BV784" t="s">
        <v>25</v>
      </c>
      <c r="BW784" t="s">
        <v>189</v>
      </c>
      <c r="BX784">
        <v>30</v>
      </c>
      <c r="BY784">
        <v>2368167</v>
      </c>
      <c r="BZ784">
        <v>6.9600000977516174E-2</v>
      </c>
      <c r="CA784" t="s">
        <v>1439</v>
      </c>
      <c r="CB784" t="s">
        <v>227</v>
      </c>
      <c r="CC784" t="s">
        <v>1440</v>
      </c>
      <c r="CD784">
        <v>164900</v>
      </c>
      <c r="CE784">
        <v>30</v>
      </c>
      <c r="CF784" t="s">
        <v>635</v>
      </c>
      <c r="CG784">
        <v>2368167</v>
      </c>
      <c r="CH784">
        <v>3.9999999105930328E-2</v>
      </c>
      <c r="CI784">
        <v>94800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 t="s">
        <v>88</v>
      </c>
      <c r="CT784" t="s">
        <v>142</v>
      </c>
      <c r="CU784" t="s">
        <v>1442</v>
      </c>
    </row>
    <row r="785" spans="1:99">
      <c r="A785" t="s">
        <v>3047</v>
      </c>
      <c r="B785" t="s">
        <v>34</v>
      </c>
      <c r="C785" t="s">
        <v>1874</v>
      </c>
      <c r="D785" t="s">
        <v>1875</v>
      </c>
      <c r="E785" t="s">
        <v>1648</v>
      </c>
      <c r="F785" t="s">
        <v>1535</v>
      </c>
      <c r="G785" t="s">
        <v>1730</v>
      </c>
      <c r="H785" t="s">
        <v>1876</v>
      </c>
      <c r="I785" t="s">
        <v>240</v>
      </c>
      <c r="J785" t="s">
        <v>46</v>
      </c>
      <c r="K785" t="s">
        <v>29</v>
      </c>
      <c r="L785" t="s">
        <v>30</v>
      </c>
      <c r="M785">
        <v>0</v>
      </c>
      <c r="N785" t="s">
        <v>32</v>
      </c>
      <c r="O785" t="s">
        <v>32</v>
      </c>
      <c r="Q785" t="s">
        <v>32</v>
      </c>
      <c r="S785" t="s">
        <v>32</v>
      </c>
      <c r="U785" t="s">
        <v>32</v>
      </c>
      <c r="V785" t="s">
        <v>32</v>
      </c>
      <c r="W785" t="s">
        <v>32</v>
      </c>
      <c r="X785" t="s">
        <v>32</v>
      </c>
      <c r="Y785" t="s">
        <v>32</v>
      </c>
      <c r="AA785" t="s">
        <v>32</v>
      </c>
      <c r="AB785" t="s">
        <v>32</v>
      </c>
      <c r="AE785" t="s">
        <v>32</v>
      </c>
      <c r="AH785" t="s">
        <v>32</v>
      </c>
      <c r="AK785" t="s">
        <v>128</v>
      </c>
      <c r="AL785">
        <v>46058</v>
      </c>
      <c r="AM785">
        <v>46064</v>
      </c>
      <c r="AN785" t="s">
        <v>32</v>
      </c>
      <c r="AO785" t="s">
        <v>32</v>
      </c>
      <c r="AR785">
        <v>0</v>
      </c>
      <c r="AU785" t="s">
        <v>32</v>
      </c>
      <c r="AV785">
        <v>4613967</v>
      </c>
      <c r="AW785" t="s">
        <v>32</v>
      </c>
      <c r="AX785" t="s">
        <v>32</v>
      </c>
      <c r="AY785" t="s">
        <v>185</v>
      </c>
      <c r="AZ785">
        <v>7</v>
      </c>
      <c r="BA785">
        <v>1076593</v>
      </c>
      <c r="BB785">
        <v>0.15999999642372131</v>
      </c>
      <c r="BC785">
        <v>172300</v>
      </c>
      <c r="BD785" t="s">
        <v>31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172300</v>
      </c>
      <c r="BK785" t="s">
        <v>25</v>
      </c>
      <c r="BL785" t="s">
        <v>885</v>
      </c>
      <c r="BM785">
        <v>7</v>
      </c>
      <c r="BN785">
        <v>1076593</v>
      </c>
      <c r="BO785">
        <v>3.9999999105930328E-2</v>
      </c>
      <c r="BP785">
        <v>43100</v>
      </c>
      <c r="BQ785">
        <v>0</v>
      </c>
      <c r="BS785">
        <v>0</v>
      </c>
      <c r="BU785">
        <v>0</v>
      </c>
      <c r="BV785" t="s">
        <v>25</v>
      </c>
      <c r="BW785" t="s">
        <v>189</v>
      </c>
      <c r="BX785">
        <v>7</v>
      </c>
      <c r="BY785">
        <v>1076593</v>
      </c>
      <c r="BZ785">
        <v>0</v>
      </c>
      <c r="CA785" t="s">
        <v>1439</v>
      </c>
      <c r="CB785" t="s">
        <v>227</v>
      </c>
      <c r="CC785" t="s">
        <v>1440</v>
      </c>
      <c r="CD785">
        <v>0</v>
      </c>
      <c r="CE785">
        <v>7</v>
      </c>
      <c r="CF785" t="s">
        <v>635</v>
      </c>
      <c r="CG785">
        <v>1076593</v>
      </c>
      <c r="CH785">
        <v>3.9999999105930328E-2</v>
      </c>
      <c r="CI785">
        <v>43100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 t="s">
        <v>88</v>
      </c>
      <c r="CT785" t="s">
        <v>142</v>
      </c>
      <c r="CU785" t="s">
        <v>1442</v>
      </c>
    </row>
    <row r="786" spans="1:99">
      <c r="A786" t="s">
        <v>3047</v>
      </c>
      <c r="B786" t="s">
        <v>34</v>
      </c>
      <c r="C786" t="s">
        <v>1874</v>
      </c>
      <c r="D786" t="s">
        <v>1875</v>
      </c>
      <c r="E786" t="s">
        <v>1648</v>
      </c>
      <c r="F786" t="s">
        <v>1535</v>
      </c>
      <c r="G786" t="s">
        <v>1730</v>
      </c>
      <c r="H786" t="s">
        <v>1876</v>
      </c>
      <c r="I786" t="s">
        <v>240</v>
      </c>
      <c r="J786" t="s">
        <v>46</v>
      </c>
      <c r="K786" t="s">
        <v>29</v>
      </c>
      <c r="L786" t="s">
        <v>30</v>
      </c>
      <c r="M786">
        <v>135</v>
      </c>
      <c r="N786" t="s">
        <v>32</v>
      </c>
      <c r="O786" t="s">
        <v>32</v>
      </c>
      <c r="Q786" t="s">
        <v>32</v>
      </c>
      <c r="S786" t="s">
        <v>32</v>
      </c>
      <c r="U786" t="s">
        <v>32</v>
      </c>
      <c r="V786" t="s">
        <v>32</v>
      </c>
      <c r="W786" t="s">
        <v>32</v>
      </c>
      <c r="X786" t="s">
        <v>32</v>
      </c>
      <c r="Y786" t="s">
        <v>88</v>
      </c>
      <c r="Z786">
        <v>46054</v>
      </c>
      <c r="AA786" t="s">
        <v>88</v>
      </c>
      <c r="AB786" t="s">
        <v>32</v>
      </c>
      <c r="AE786" t="s">
        <v>32</v>
      </c>
      <c r="AH786" t="s">
        <v>32</v>
      </c>
      <c r="AK786" t="s">
        <v>32</v>
      </c>
      <c r="AN786" t="s">
        <v>32</v>
      </c>
      <c r="AO786" t="s">
        <v>32</v>
      </c>
      <c r="AR786">
        <v>0</v>
      </c>
      <c r="AU786" t="s">
        <v>32</v>
      </c>
      <c r="AV786">
        <v>4613967</v>
      </c>
      <c r="AW786" t="s">
        <v>32</v>
      </c>
      <c r="AX786" t="s">
        <v>32</v>
      </c>
      <c r="AY786" t="s">
        <v>185</v>
      </c>
      <c r="AZ786">
        <v>23</v>
      </c>
      <c r="BA786">
        <v>3537375</v>
      </c>
      <c r="BB786">
        <v>0.15999999642372131</v>
      </c>
      <c r="BC786">
        <v>566000</v>
      </c>
      <c r="BD786" t="s">
        <v>31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566000</v>
      </c>
      <c r="BK786" t="s">
        <v>25</v>
      </c>
      <c r="BL786" t="s">
        <v>885</v>
      </c>
      <c r="BM786">
        <v>23</v>
      </c>
      <c r="BN786">
        <v>3537375</v>
      </c>
      <c r="BO786">
        <v>3.9999999105930328E-2</v>
      </c>
      <c r="BP786">
        <v>141500</v>
      </c>
      <c r="BQ786">
        <v>0</v>
      </c>
      <c r="BS786">
        <v>0</v>
      </c>
      <c r="BU786">
        <v>0</v>
      </c>
      <c r="BV786" t="s">
        <v>25</v>
      </c>
      <c r="BW786" t="s">
        <v>189</v>
      </c>
      <c r="BX786">
        <v>23</v>
      </c>
      <c r="BY786">
        <v>3537375</v>
      </c>
      <c r="BZ786">
        <v>6.9600000977516174E-2</v>
      </c>
      <c r="CA786" t="s">
        <v>1439</v>
      </c>
      <c r="CB786" t="s">
        <v>227</v>
      </c>
      <c r="CC786" t="s">
        <v>1440</v>
      </c>
      <c r="CD786">
        <v>246300</v>
      </c>
      <c r="CE786">
        <v>23</v>
      </c>
      <c r="CF786" t="s">
        <v>635</v>
      </c>
      <c r="CG786">
        <v>3537375</v>
      </c>
      <c r="CH786">
        <v>3.9999999105930328E-2</v>
      </c>
      <c r="CI786">
        <v>141500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 t="s">
        <v>88</v>
      </c>
      <c r="CT786" t="s">
        <v>142</v>
      </c>
      <c r="CU786" t="s">
        <v>1442</v>
      </c>
    </row>
    <row r="787" spans="1:99">
      <c r="A787" t="s">
        <v>3047</v>
      </c>
      <c r="B787" t="s">
        <v>34</v>
      </c>
      <c r="C787" t="s">
        <v>1877</v>
      </c>
      <c r="D787" t="s">
        <v>1878</v>
      </c>
      <c r="E787" t="s">
        <v>1879</v>
      </c>
      <c r="F787" t="s">
        <v>1598</v>
      </c>
      <c r="G787" t="s">
        <v>1725</v>
      </c>
      <c r="H787" t="s">
        <v>1489</v>
      </c>
      <c r="I787" t="s">
        <v>240</v>
      </c>
      <c r="J787" t="s">
        <v>46</v>
      </c>
      <c r="K787" t="s">
        <v>29</v>
      </c>
      <c r="L787" t="s">
        <v>30</v>
      </c>
      <c r="M787">
        <v>0</v>
      </c>
      <c r="N787" t="s">
        <v>32</v>
      </c>
      <c r="O787" t="s">
        <v>32</v>
      </c>
      <c r="Q787" t="s">
        <v>32</v>
      </c>
      <c r="S787" t="s">
        <v>32</v>
      </c>
      <c r="U787" t="s">
        <v>32</v>
      </c>
      <c r="V787" t="s">
        <v>32</v>
      </c>
      <c r="W787" t="s">
        <v>32</v>
      </c>
      <c r="X787" t="s">
        <v>32</v>
      </c>
      <c r="Y787" t="s">
        <v>32</v>
      </c>
      <c r="AA787" t="s">
        <v>32</v>
      </c>
      <c r="AB787" t="s">
        <v>37</v>
      </c>
      <c r="AC787">
        <v>46056</v>
      </c>
      <c r="AD787">
        <v>46057</v>
      </c>
      <c r="AE787" t="s">
        <v>32</v>
      </c>
      <c r="AH787" t="s">
        <v>32</v>
      </c>
      <c r="AK787" t="s">
        <v>32</v>
      </c>
      <c r="AN787" t="s">
        <v>32</v>
      </c>
      <c r="AO787" t="s">
        <v>32</v>
      </c>
      <c r="AR787">
        <v>0</v>
      </c>
      <c r="AU787" t="s">
        <v>32</v>
      </c>
      <c r="AV787">
        <v>1750905</v>
      </c>
      <c r="AW787" t="s">
        <v>32</v>
      </c>
      <c r="AX787" t="s">
        <v>32</v>
      </c>
      <c r="AY787" t="s">
        <v>317</v>
      </c>
      <c r="AZ787">
        <v>2</v>
      </c>
      <c r="BA787">
        <v>116727</v>
      </c>
      <c r="BB787">
        <v>0.15999999642372131</v>
      </c>
      <c r="BC787">
        <v>18700</v>
      </c>
      <c r="BD787" t="s">
        <v>31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18700</v>
      </c>
      <c r="BK787" t="s">
        <v>25</v>
      </c>
      <c r="BL787" t="s">
        <v>1000</v>
      </c>
      <c r="BM787">
        <v>2</v>
      </c>
      <c r="BN787">
        <v>116727</v>
      </c>
      <c r="BO787">
        <v>0</v>
      </c>
      <c r="BP787">
        <v>0</v>
      </c>
      <c r="BQ787">
        <v>0</v>
      </c>
      <c r="BS787">
        <v>0</v>
      </c>
      <c r="BU787">
        <v>0</v>
      </c>
      <c r="BV787" t="s">
        <v>25</v>
      </c>
      <c r="BW787" t="s">
        <v>189</v>
      </c>
      <c r="BX787">
        <v>2</v>
      </c>
      <c r="BY787">
        <v>116727</v>
      </c>
      <c r="BZ787">
        <v>0</v>
      </c>
      <c r="CA787" t="s">
        <v>1439</v>
      </c>
      <c r="CB787" t="s">
        <v>227</v>
      </c>
      <c r="CC787" t="s">
        <v>1440</v>
      </c>
      <c r="CD787">
        <v>0</v>
      </c>
      <c r="CE787">
        <v>2</v>
      </c>
      <c r="CF787" t="s">
        <v>635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 t="s">
        <v>88</v>
      </c>
      <c r="CT787" t="s">
        <v>142</v>
      </c>
      <c r="CU787" t="s">
        <v>1442</v>
      </c>
    </row>
    <row r="788" spans="1:99">
      <c r="A788" t="s">
        <v>3047</v>
      </c>
      <c r="B788" t="s">
        <v>34</v>
      </c>
      <c r="C788" t="s">
        <v>1877</v>
      </c>
      <c r="D788" t="s">
        <v>1878</v>
      </c>
      <c r="E788" t="s">
        <v>1879</v>
      </c>
      <c r="F788" t="s">
        <v>1598</v>
      </c>
      <c r="G788" t="s">
        <v>1725</v>
      </c>
      <c r="H788" t="s">
        <v>1489</v>
      </c>
      <c r="I788" t="s">
        <v>240</v>
      </c>
      <c r="J788" t="s">
        <v>46</v>
      </c>
      <c r="K788" t="s">
        <v>29</v>
      </c>
      <c r="L788" t="s">
        <v>30</v>
      </c>
      <c r="M788">
        <v>0</v>
      </c>
      <c r="N788" t="s">
        <v>32</v>
      </c>
      <c r="O788" t="s">
        <v>32</v>
      </c>
      <c r="Q788" t="s">
        <v>32</v>
      </c>
      <c r="S788" t="s">
        <v>32</v>
      </c>
      <c r="U788" t="s">
        <v>32</v>
      </c>
      <c r="V788" t="s">
        <v>32</v>
      </c>
      <c r="W788" t="s">
        <v>32</v>
      </c>
      <c r="X788" t="s">
        <v>32</v>
      </c>
      <c r="Y788" t="s">
        <v>32</v>
      </c>
      <c r="AA788" t="s">
        <v>32</v>
      </c>
      <c r="AB788" t="s">
        <v>37</v>
      </c>
      <c r="AC788">
        <v>46062</v>
      </c>
      <c r="AD788">
        <v>46063</v>
      </c>
      <c r="AE788" t="s">
        <v>32</v>
      </c>
      <c r="AH788" t="s">
        <v>32</v>
      </c>
      <c r="AK788" t="s">
        <v>32</v>
      </c>
      <c r="AN788" t="s">
        <v>32</v>
      </c>
      <c r="AO788" t="s">
        <v>32</v>
      </c>
      <c r="AR788">
        <v>0</v>
      </c>
      <c r="AU788" t="s">
        <v>32</v>
      </c>
      <c r="AV788">
        <v>1750905</v>
      </c>
      <c r="AW788" t="s">
        <v>32</v>
      </c>
      <c r="AX788" t="s">
        <v>32</v>
      </c>
      <c r="AY788" t="s">
        <v>317</v>
      </c>
      <c r="AZ788">
        <v>2</v>
      </c>
      <c r="BA788">
        <v>116727</v>
      </c>
      <c r="BB788">
        <v>0.15999999642372131</v>
      </c>
      <c r="BC788">
        <v>18700</v>
      </c>
      <c r="BD788" t="s">
        <v>31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18700</v>
      </c>
      <c r="BK788" t="s">
        <v>25</v>
      </c>
      <c r="BL788" t="s">
        <v>1000</v>
      </c>
      <c r="BM788">
        <v>2</v>
      </c>
      <c r="BN788">
        <v>116727</v>
      </c>
      <c r="BO788">
        <v>0</v>
      </c>
      <c r="BP788">
        <v>0</v>
      </c>
      <c r="BQ788">
        <v>0</v>
      </c>
      <c r="BS788">
        <v>0</v>
      </c>
      <c r="BU788">
        <v>0</v>
      </c>
      <c r="BV788" t="s">
        <v>25</v>
      </c>
      <c r="BW788" t="s">
        <v>189</v>
      </c>
      <c r="BX788">
        <v>2</v>
      </c>
      <c r="BY788">
        <v>116727</v>
      </c>
      <c r="BZ788">
        <v>0</v>
      </c>
      <c r="CA788" t="s">
        <v>1439</v>
      </c>
      <c r="CB788" t="s">
        <v>227</v>
      </c>
      <c r="CC788" t="s">
        <v>1440</v>
      </c>
      <c r="CD788">
        <v>0</v>
      </c>
      <c r="CE788">
        <v>2</v>
      </c>
      <c r="CF788" t="s">
        <v>635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 t="s">
        <v>88</v>
      </c>
      <c r="CT788" t="s">
        <v>142</v>
      </c>
      <c r="CU788" t="s">
        <v>1442</v>
      </c>
    </row>
    <row r="789" spans="1:99">
      <c r="A789" t="s">
        <v>3047</v>
      </c>
      <c r="B789" t="s">
        <v>34</v>
      </c>
      <c r="C789" t="s">
        <v>1877</v>
      </c>
      <c r="D789" t="s">
        <v>1878</v>
      </c>
      <c r="E789" t="s">
        <v>1879</v>
      </c>
      <c r="F789" t="s">
        <v>1598</v>
      </c>
      <c r="G789" t="s">
        <v>1725</v>
      </c>
      <c r="H789" t="s">
        <v>1489</v>
      </c>
      <c r="I789" t="s">
        <v>240</v>
      </c>
      <c r="J789" t="s">
        <v>46</v>
      </c>
      <c r="K789" t="s">
        <v>29</v>
      </c>
      <c r="L789" t="s">
        <v>30</v>
      </c>
      <c r="M789">
        <v>180</v>
      </c>
      <c r="N789" t="s">
        <v>32</v>
      </c>
      <c r="O789" t="s">
        <v>32</v>
      </c>
      <c r="Q789" t="s">
        <v>32</v>
      </c>
      <c r="S789" t="s">
        <v>32</v>
      </c>
      <c r="U789" t="s">
        <v>32</v>
      </c>
      <c r="V789" t="s">
        <v>32</v>
      </c>
      <c r="W789" t="s">
        <v>32</v>
      </c>
      <c r="X789" t="s">
        <v>32</v>
      </c>
      <c r="Y789" t="s">
        <v>32</v>
      </c>
      <c r="AA789" t="s">
        <v>88</v>
      </c>
      <c r="AB789" t="s">
        <v>32</v>
      </c>
      <c r="AE789" t="s">
        <v>32</v>
      </c>
      <c r="AH789" t="s">
        <v>32</v>
      </c>
      <c r="AK789" t="s">
        <v>32</v>
      </c>
      <c r="AN789" t="s">
        <v>32</v>
      </c>
      <c r="AO789" t="s">
        <v>32</v>
      </c>
      <c r="AR789">
        <v>0</v>
      </c>
      <c r="AU789" t="s">
        <v>32</v>
      </c>
      <c r="AV789">
        <v>1750905</v>
      </c>
      <c r="AW789" t="s">
        <v>32</v>
      </c>
      <c r="AX789" t="s">
        <v>32</v>
      </c>
      <c r="AY789" t="s">
        <v>317</v>
      </c>
      <c r="AZ789">
        <v>26</v>
      </c>
      <c r="BA789">
        <v>1885806</v>
      </c>
      <c r="BB789">
        <v>0.15999999642372131</v>
      </c>
      <c r="BC789">
        <v>301800</v>
      </c>
      <c r="BD789" t="s">
        <v>31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301800</v>
      </c>
      <c r="BK789" t="s">
        <v>25</v>
      </c>
      <c r="BL789" t="s">
        <v>1000</v>
      </c>
      <c r="BM789">
        <v>26</v>
      </c>
      <c r="BN789">
        <v>1885806</v>
      </c>
      <c r="BO789">
        <v>3.9999999105930328E-2</v>
      </c>
      <c r="BP789">
        <v>75500</v>
      </c>
      <c r="BQ789">
        <v>0</v>
      </c>
      <c r="BS789">
        <v>0</v>
      </c>
      <c r="BU789">
        <v>0</v>
      </c>
      <c r="BV789" t="s">
        <v>25</v>
      </c>
      <c r="BW789" t="s">
        <v>189</v>
      </c>
      <c r="BX789">
        <v>26</v>
      </c>
      <c r="BY789">
        <v>1885806</v>
      </c>
      <c r="BZ789">
        <v>6.9600000977516174E-2</v>
      </c>
      <c r="CA789" t="s">
        <v>1439</v>
      </c>
      <c r="CB789" t="s">
        <v>227</v>
      </c>
      <c r="CC789" t="s">
        <v>1440</v>
      </c>
      <c r="CD789">
        <v>131300</v>
      </c>
      <c r="CE789">
        <v>26</v>
      </c>
      <c r="CF789" t="s">
        <v>635</v>
      </c>
      <c r="CG789">
        <v>1885806</v>
      </c>
      <c r="CH789">
        <v>3.9999999105930328E-2</v>
      </c>
      <c r="CI789">
        <v>75500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 t="s">
        <v>88</v>
      </c>
      <c r="CT789" t="s">
        <v>142</v>
      </c>
      <c r="CU789" t="s">
        <v>1442</v>
      </c>
    </row>
    <row r="790" spans="1:99">
      <c r="A790" t="s">
        <v>3047</v>
      </c>
      <c r="B790" t="s">
        <v>34</v>
      </c>
      <c r="C790" t="s">
        <v>1880</v>
      </c>
      <c r="D790" t="s">
        <v>1881</v>
      </c>
      <c r="E790" t="s">
        <v>1882</v>
      </c>
      <c r="F790" t="s">
        <v>778</v>
      </c>
      <c r="G790" t="s">
        <v>1513</v>
      </c>
      <c r="H790" t="s">
        <v>1883</v>
      </c>
      <c r="I790" t="s">
        <v>240</v>
      </c>
      <c r="J790" t="s">
        <v>46</v>
      </c>
      <c r="K790" t="s">
        <v>29</v>
      </c>
      <c r="L790" t="s">
        <v>30</v>
      </c>
      <c r="M790">
        <v>200</v>
      </c>
      <c r="N790" t="s">
        <v>32</v>
      </c>
      <c r="O790" t="s">
        <v>32</v>
      </c>
      <c r="Q790" t="s">
        <v>32</v>
      </c>
      <c r="S790" t="s">
        <v>32</v>
      </c>
      <c r="U790" t="s">
        <v>32</v>
      </c>
      <c r="V790" t="s">
        <v>32</v>
      </c>
      <c r="W790" t="s">
        <v>32</v>
      </c>
      <c r="X790" t="s">
        <v>32</v>
      </c>
      <c r="Y790" t="s">
        <v>32</v>
      </c>
      <c r="AA790" t="s">
        <v>88</v>
      </c>
      <c r="AB790" t="s">
        <v>32</v>
      </c>
      <c r="AE790" t="s">
        <v>32</v>
      </c>
      <c r="AH790" t="s">
        <v>32</v>
      </c>
      <c r="AK790" t="s">
        <v>32</v>
      </c>
      <c r="AN790" t="s">
        <v>32</v>
      </c>
      <c r="AO790" t="s">
        <v>32</v>
      </c>
      <c r="AR790">
        <v>0</v>
      </c>
      <c r="AU790" t="s">
        <v>32</v>
      </c>
      <c r="AV790">
        <v>1750905</v>
      </c>
      <c r="AW790" t="s">
        <v>32</v>
      </c>
      <c r="AX790" t="s">
        <v>32</v>
      </c>
      <c r="AY790" t="s">
        <v>317</v>
      </c>
      <c r="AZ790">
        <v>30</v>
      </c>
      <c r="BA790">
        <v>2028398</v>
      </c>
      <c r="BB790">
        <v>0.15999999642372131</v>
      </c>
      <c r="BC790">
        <v>324600</v>
      </c>
      <c r="BD790" t="s">
        <v>31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324600</v>
      </c>
      <c r="BK790" t="s">
        <v>25</v>
      </c>
      <c r="BL790" t="s">
        <v>1010</v>
      </c>
      <c r="BM790">
        <v>30</v>
      </c>
      <c r="BN790">
        <v>2028398</v>
      </c>
      <c r="BO790">
        <v>3.9999999105930328E-2</v>
      </c>
      <c r="BP790">
        <v>81200</v>
      </c>
      <c r="BQ790">
        <v>0</v>
      </c>
      <c r="BS790">
        <v>0</v>
      </c>
      <c r="BU790">
        <v>0</v>
      </c>
      <c r="BV790" t="s">
        <v>25</v>
      </c>
      <c r="BW790" t="s">
        <v>189</v>
      </c>
      <c r="BX790">
        <v>30</v>
      </c>
      <c r="BY790">
        <v>2028398</v>
      </c>
      <c r="BZ790">
        <v>6.9600000977516174E-2</v>
      </c>
      <c r="CA790" t="s">
        <v>1439</v>
      </c>
      <c r="CB790" t="s">
        <v>227</v>
      </c>
      <c r="CC790" t="s">
        <v>1440</v>
      </c>
      <c r="CD790">
        <v>141200</v>
      </c>
      <c r="CE790">
        <v>30</v>
      </c>
      <c r="CF790" t="s">
        <v>635</v>
      </c>
      <c r="CG790">
        <v>2028398</v>
      </c>
      <c r="CH790">
        <v>3.9999999105930328E-2</v>
      </c>
      <c r="CI790">
        <v>81200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 t="s">
        <v>88</v>
      </c>
      <c r="CT790" t="s">
        <v>142</v>
      </c>
      <c r="CU790" t="s">
        <v>1442</v>
      </c>
    </row>
    <row r="791" spans="1:99">
      <c r="A791" t="s">
        <v>3047</v>
      </c>
      <c r="B791" t="s">
        <v>34</v>
      </c>
      <c r="C791" t="s">
        <v>1884</v>
      </c>
      <c r="D791" t="s">
        <v>1885</v>
      </c>
      <c r="E791" t="s">
        <v>1886</v>
      </c>
      <c r="F791" t="s">
        <v>1551</v>
      </c>
      <c r="G791" t="s">
        <v>1887</v>
      </c>
      <c r="H791" t="s">
        <v>1888</v>
      </c>
      <c r="I791" t="s">
        <v>240</v>
      </c>
      <c r="J791" t="s">
        <v>46</v>
      </c>
      <c r="K791" t="s">
        <v>29</v>
      </c>
      <c r="L791" t="s">
        <v>30</v>
      </c>
      <c r="M791">
        <v>0</v>
      </c>
      <c r="N791" t="s">
        <v>32</v>
      </c>
      <c r="O791" t="s">
        <v>32</v>
      </c>
      <c r="Q791" t="s">
        <v>32</v>
      </c>
      <c r="S791" t="s">
        <v>32</v>
      </c>
      <c r="U791" t="s">
        <v>32</v>
      </c>
      <c r="V791" t="s">
        <v>32</v>
      </c>
      <c r="W791" t="s">
        <v>32</v>
      </c>
      <c r="X791" t="s">
        <v>32</v>
      </c>
      <c r="Y791" t="s">
        <v>32</v>
      </c>
      <c r="AA791" t="s">
        <v>32</v>
      </c>
      <c r="AB791" t="s">
        <v>32</v>
      </c>
      <c r="AE791" t="s">
        <v>32</v>
      </c>
      <c r="AH791" t="s">
        <v>32</v>
      </c>
      <c r="AK791" t="s">
        <v>128</v>
      </c>
      <c r="AL791">
        <v>46061</v>
      </c>
      <c r="AM791">
        <v>46067</v>
      </c>
      <c r="AN791" t="s">
        <v>32</v>
      </c>
      <c r="AO791" t="s">
        <v>32</v>
      </c>
      <c r="AR791">
        <v>0</v>
      </c>
      <c r="AU791" t="s">
        <v>32</v>
      </c>
      <c r="AV791">
        <v>4024292</v>
      </c>
      <c r="AW791" t="s">
        <v>32</v>
      </c>
      <c r="AX791" t="s">
        <v>32</v>
      </c>
      <c r="AY791" t="s">
        <v>317</v>
      </c>
      <c r="AZ791">
        <v>7</v>
      </c>
      <c r="BA791">
        <v>939002</v>
      </c>
      <c r="BB791">
        <v>0.15999999642372131</v>
      </c>
      <c r="BC791">
        <v>150300</v>
      </c>
      <c r="BD791" t="s">
        <v>31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150300</v>
      </c>
      <c r="BK791" t="s">
        <v>25</v>
      </c>
      <c r="BL791" t="s">
        <v>1071</v>
      </c>
      <c r="BM791">
        <v>7</v>
      </c>
      <c r="BN791">
        <v>939002</v>
      </c>
      <c r="BO791">
        <v>3.9999999105930328E-2</v>
      </c>
      <c r="BP791">
        <v>37600</v>
      </c>
      <c r="BQ791">
        <v>0</v>
      </c>
      <c r="BS791">
        <v>0</v>
      </c>
      <c r="BU791">
        <v>0</v>
      </c>
      <c r="BV791" t="s">
        <v>25</v>
      </c>
      <c r="BW791" t="s">
        <v>189</v>
      </c>
      <c r="BX791">
        <v>7</v>
      </c>
      <c r="BY791">
        <v>939002</v>
      </c>
      <c r="BZ791">
        <v>0</v>
      </c>
      <c r="CA791" t="s">
        <v>1439</v>
      </c>
      <c r="CB791" t="s">
        <v>227</v>
      </c>
      <c r="CC791" t="s">
        <v>1440</v>
      </c>
      <c r="CD791">
        <v>0</v>
      </c>
      <c r="CE791">
        <v>7</v>
      </c>
      <c r="CF791" t="s">
        <v>635</v>
      </c>
      <c r="CG791">
        <v>939002</v>
      </c>
      <c r="CH791">
        <v>3.9999999105930328E-2</v>
      </c>
      <c r="CI791">
        <v>37600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 t="s">
        <v>88</v>
      </c>
      <c r="CT791" t="s">
        <v>142</v>
      </c>
      <c r="CU791" t="s">
        <v>1442</v>
      </c>
    </row>
    <row r="792" spans="1:99">
      <c r="A792" t="s">
        <v>3047</v>
      </c>
      <c r="B792" t="s">
        <v>34</v>
      </c>
      <c r="C792" t="s">
        <v>1884</v>
      </c>
      <c r="D792" t="s">
        <v>1885</v>
      </c>
      <c r="E792" t="s">
        <v>1886</v>
      </c>
      <c r="F792" t="s">
        <v>1551</v>
      </c>
      <c r="G792" t="s">
        <v>1887</v>
      </c>
      <c r="H792" t="s">
        <v>1888</v>
      </c>
      <c r="I792" t="s">
        <v>240</v>
      </c>
      <c r="J792" t="s">
        <v>46</v>
      </c>
      <c r="K792" t="s">
        <v>29</v>
      </c>
      <c r="L792" t="s">
        <v>30</v>
      </c>
      <c r="M792">
        <v>135</v>
      </c>
      <c r="N792" t="s">
        <v>32</v>
      </c>
      <c r="O792" t="s">
        <v>32</v>
      </c>
      <c r="Q792" t="s">
        <v>32</v>
      </c>
      <c r="S792" t="s">
        <v>32</v>
      </c>
      <c r="U792" t="s">
        <v>32</v>
      </c>
      <c r="V792" t="s">
        <v>32</v>
      </c>
      <c r="W792" t="s">
        <v>32</v>
      </c>
      <c r="X792" t="s">
        <v>32</v>
      </c>
      <c r="Y792" t="s">
        <v>32</v>
      </c>
      <c r="AA792" t="s">
        <v>88</v>
      </c>
      <c r="AB792" t="s">
        <v>32</v>
      </c>
      <c r="AE792" t="s">
        <v>32</v>
      </c>
      <c r="AH792" t="s">
        <v>32</v>
      </c>
      <c r="AK792" t="s">
        <v>32</v>
      </c>
      <c r="AN792" t="s">
        <v>32</v>
      </c>
      <c r="AO792" t="s">
        <v>32</v>
      </c>
      <c r="AR792">
        <v>0</v>
      </c>
      <c r="AU792" t="s">
        <v>32</v>
      </c>
      <c r="AV792">
        <v>4024292</v>
      </c>
      <c r="AW792" t="s">
        <v>32</v>
      </c>
      <c r="AX792" t="s">
        <v>32</v>
      </c>
      <c r="AY792" t="s">
        <v>317</v>
      </c>
      <c r="AZ792">
        <v>23</v>
      </c>
      <c r="BA792">
        <v>3854080</v>
      </c>
      <c r="BB792">
        <v>0.15999999642372131</v>
      </c>
      <c r="BC792">
        <v>616700</v>
      </c>
      <c r="BD792" t="s">
        <v>31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616700</v>
      </c>
      <c r="BK792" t="s">
        <v>25</v>
      </c>
      <c r="BL792" t="s">
        <v>1071</v>
      </c>
      <c r="BM792">
        <v>23</v>
      </c>
      <c r="BN792">
        <v>3854080</v>
      </c>
      <c r="BO792">
        <v>3.9999999105930328E-2</v>
      </c>
      <c r="BP792">
        <v>154200</v>
      </c>
      <c r="BQ792">
        <v>0</v>
      </c>
      <c r="BS792">
        <v>0</v>
      </c>
      <c r="BU792">
        <v>0</v>
      </c>
      <c r="BV792" t="s">
        <v>25</v>
      </c>
      <c r="BW792" t="s">
        <v>189</v>
      </c>
      <c r="BX792">
        <v>23</v>
      </c>
      <c r="BY792">
        <v>3854080</v>
      </c>
      <c r="BZ792">
        <v>6.9600000977516174E-2</v>
      </c>
      <c r="CA792" t="s">
        <v>1439</v>
      </c>
      <c r="CB792" t="s">
        <v>227</v>
      </c>
      <c r="CC792" t="s">
        <v>1440</v>
      </c>
      <c r="CD792">
        <v>268300</v>
      </c>
      <c r="CE792">
        <v>23</v>
      </c>
      <c r="CF792" t="s">
        <v>635</v>
      </c>
      <c r="CG792">
        <v>3085291</v>
      </c>
      <c r="CH792">
        <v>3.9999999105930328E-2</v>
      </c>
      <c r="CI792">
        <v>123500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 t="s">
        <v>88</v>
      </c>
      <c r="CT792" t="s">
        <v>142</v>
      </c>
      <c r="CU792" t="s">
        <v>1442</v>
      </c>
    </row>
    <row r="793" spans="1:99">
      <c r="A793" t="s">
        <v>3047</v>
      </c>
      <c r="B793" t="s">
        <v>34</v>
      </c>
      <c r="C793" t="s">
        <v>1889</v>
      </c>
      <c r="D793" t="s">
        <v>1890</v>
      </c>
      <c r="E793" t="s">
        <v>1891</v>
      </c>
      <c r="F793" t="s">
        <v>1892</v>
      </c>
      <c r="G793" t="s">
        <v>1484</v>
      </c>
      <c r="H793" t="s">
        <v>1893</v>
      </c>
      <c r="I793" t="s">
        <v>682</v>
      </c>
      <c r="J793" t="s">
        <v>484</v>
      </c>
      <c r="K793" t="s">
        <v>29</v>
      </c>
      <c r="L793" t="s">
        <v>30</v>
      </c>
      <c r="M793">
        <v>0</v>
      </c>
      <c r="N793" t="s">
        <v>32</v>
      </c>
      <c r="O793" t="s">
        <v>32</v>
      </c>
      <c r="Q793" t="s">
        <v>32</v>
      </c>
      <c r="S793" t="s">
        <v>32</v>
      </c>
      <c r="U793" t="s">
        <v>32</v>
      </c>
      <c r="V793" t="s">
        <v>32</v>
      </c>
      <c r="W793" t="s">
        <v>32</v>
      </c>
      <c r="X793" t="s">
        <v>32</v>
      </c>
      <c r="Y793" t="s">
        <v>32</v>
      </c>
      <c r="AA793" t="s">
        <v>32</v>
      </c>
      <c r="AB793" t="s">
        <v>32</v>
      </c>
      <c r="AE793" t="s">
        <v>32</v>
      </c>
      <c r="AH793" t="s">
        <v>32</v>
      </c>
      <c r="AK793" t="s">
        <v>128</v>
      </c>
      <c r="AL793">
        <v>46054</v>
      </c>
      <c r="AM793">
        <v>46061</v>
      </c>
      <c r="AN793" t="s">
        <v>32</v>
      </c>
      <c r="AO793" t="s">
        <v>32</v>
      </c>
      <c r="AR793">
        <v>0</v>
      </c>
      <c r="AU793" t="s">
        <v>32</v>
      </c>
      <c r="AV793">
        <v>4152090</v>
      </c>
      <c r="AW793" t="s">
        <v>32</v>
      </c>
      <c r="AX793" t="s">
        <v>32</v>
      </c>
      <c r="AY793" t="s">
        <v>356</v>
      </c>
      <c r="AZ793">
        <v>8</v>
      </c>
      <c r="BA793">
        <v>1107224</v>
      </c>
      <c r="BB793">
        <v>0.15999999642372131</v>
      </c>
      <c r="BC793">
        <v>177200</v>
      </c>
      <c r="BD793" t="s">
        <v>31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177200</v>
      </c>
      <c r="BK793" t="s">
        <v>25</v>
      </c>
      <c r="BL793" t="s">
        <v>1010</v>
      </c>
      <c r="BM793">
        <v>8</v>
      </c>
      <c r="BN793">
        <v>1107224</v>
      </c>
      <c r="BO793">
        <v>3.9999999105930328E-2</v>
      </c>
      <c r="BP793">
        <v>44300</v>
      </c>
      <c r="BQ793">
        <v>0</v>
      </c>
      <c r="BS793">
        <v>0</v>
      </c>
      <c r="BU793">
        <v>0</v>
      </c>
      <c r="BV793" t="s">
        <v>25</v>
      </c>
      <c r="BW793" t="s">
        <v>189</v>
      </c>
      <c r="BX793">
        <v>8</v>
      </c>
      <c r="BY793">
        <v>1107224</v>
      </c>
      <c r="BZ793">
        <v>0</v>
      </c>
      <c r="CA793" t="s">
        <v>1439</v>
      </c>
      <c r="CB793" t="s">
        <v>312</v>
      </c>
      <c r="CC793" t="s">
        <v>1440</v>
      </c>
      <c r="CD793">
        <v>0</v>
      </c>
      <c r="CE793">
        <v>8</v>
      </c>
      <c r="CF793" t="s">
        <v>466</v>
      </c>
      <c r="CG793">
        <v>1107224</v>
      </c>
      <c r="CH793">
        <v>3.9999999105930328E-2</v>
      </c>
      <c r="CI793">
        <v>44300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 t="s">
        <v>88</v>
      </c>
      <c r="CT793" t="s">
        <v>142</v>
      </c>
      <c r="CU793" t="s">
        <v>1442</v>
      </c>
    </row>
    <row r="794" spans="1:99">
      <c r="A794" t="s">
        <v>3047</v>
      </c>
      <c r="B794" t="s">
        <v>34</v>
      </c>
      <c r="C794" t="s">
        <v>1889</v>
      </c>
      <c r="D794" t="s">
        <v>1890</v>
      </c>
      <c r="E794" t="s">
        <v>1891</v>
      </c>
      <c r="F794" t="s">
        <v>1892</v>
      </c>
      <c r="G794" t="s">
        <v>1484</v>
      </c>
      <c r="H794" t="s">
        <v>1893</v>
      </c>
      <c r="I794" t="s">
        <v>682</v>
      </c>
      <c r="J794" t="s">
        <v>484</v>
      </c>
      <c r="K794" t="s">
        <v>29</v>
      </c>
      <c r="L794" t="s">
        <v>30</v>
      </c>
      <c r="M794">
        <v>135</v>
      </c>
      <c r="N794" t="s">
        <v>32</v>
      </c>
      <c r="O794" t="s">
        <v>32</v>
      </c>
      <c r="Q794" t="s">
        <v>32</v>
      </c>
      <c r="S794" t="s">
        <v>32</v>
      </c>
      <c r="U794" t="s">
        <v>32</v>
      </c>
      <c r="V794" t="s">
        <v>32</v>
      </c>
      <c r="W794" t="s">
        <v>32</v>
      </c>
      <c r="X794" t="s">
        <v>32</v>
      </c>
      <c r="Y794" t="s">
        <v>32</v>
      </c>
      <c r="AA794" t="s">
        <v>88</v>
      </c>
      <c r="AB794" t="s">
        <v>32</v>
      </c>
      <c r="AE794" t="s">
        <v>32</v>
      </c>
      <c r="AH794" t="s">
        <v>32</v>
      </c>
      <c r="AK794" t="s">
        <v>32</v>
      </c>
      <c r="AN794" t="s">
        <v>32</v>
      </c>
      <c r="AO794" t="s">
        <v>32</v>
      </c>
      <c r="AR794">
        <v>0</v>
      </c>
      <c r="AU794" t="s">
        <v>32</v>
      </c>
      <c r="AV794">
        <v>4152090</v>
      </c>
      <c r="AW794" t="s">
        <v>32</v>
      </c>
      <c r="AX794" t="s">
        <v>32</v>
      </c>
      <c r="AY794" t="s">
        <v>356</v>
      </c>
      <c r="AZ794">
        <v>22</v>
      </c>
      <c r="BA794">
        <v>3044866</v>
      </c>
      <c r="BB794">
        <v>0.15999999642372131</v>
      </c>
      <c r="BC794">
        <v>487200</v>
      </c>
      <c r="BD794" t="s">
        <v>31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487200</v>
      </c>
      <c r="BK794" t="s">
        <v>25</v>
      </c>
      <c r="BL794" t="s">
        <v>1010</v>
      </c>
      <c r="BM794">
        <v>22</v>
      </c>
      <c r="BN794">
        <v>3044866</v>
      </c>
      <c r="BO794">
        <v>3.9999999105930328E-2</v>
      </c>
      <c r="BP794">
        <v>121800</v>
      </c>
      <c r="BQ794">
        <v>0</v>
      </c>
      <c r="BS794">
        <v>0</v>
      </c>
      <c r="BU794">
        <v>0</v>
      </c>
      <c r="BV794" t="s">
        <v>25</v>
      </c>
      <c r="BW794" t="s">
        <v>189</v>
      </c>
      <c r="BX794">
        <v>22</v>
      </c>
      <c r="BY794">
        <v>3044866</v>
      </c>
      <c r="BZ794">
        <v>6.9600000977516174E-2</v>
      </c>
      <c r="CA794" t="s">
        <v>1439</v>
      </c>
      <c r="CB794" t="s">
        <v>312</v>
      </c>
      <c r="CC794" t="s">
        <v>1440</v>
      </c>
      <c r="CD794">
        <v>212000</v>
      </c>
      <c r="CE794">
        <v>22</v>
      </c>
      <c r="CF794" t="s">
        <v>466</v>
      </c>
      <c r="CG794">
        <v>3044866</v>
      </c>
      <c r="CH794">
        <v>3.9999999105930328E-2</v>
      </c>
      <c r="CI794">
        <v>121800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 t="s">
        <v>88</v>
      </c>
      <c r="CT794" t="s">
        <v>142</v>
      </c>
      <c r="CU794" t="s">
        <v>1442</v>
      </c>
    </row>
    <row r="795" spans="1:99">
      <c r="A795" t="s">
        <v>3047</v>
      </c>
      <c r="B795" t="s">
        <v>34</v>
      </c>
      <c r="C795" t="s">
        <v>1894</v>
      </c>
      <c r="D795" t="s">
        <v>1895</v>
      </c>
      <c r="E795" t="s">
        <v>1896</v>
      </c>
      <c r="F795" t="s">
        <v>914</v>
      </c>
      <c r="G795" t="s">
        <v>1897</v>
      </c>
      <c r="H795" t="s">
        <v>1558</v>
      </c>
      <c r="I795" t="s">
        <v>240</v>
      </c>
      <c r="J795" t="s">
        <v>46</v>
      </c>
      <c r="K795" t="s">
        <v>29</v>
      </c>
      <c r="L795" t="s">
        <v>30</v>
      </c>
      <c r="M795">
        <v>182</v>
      </c>
      <c r="N795" t="s">
        <v>32</v>
      </c>
      <c r="O795" t="s">
        <v>32</v>
      </c>
      <c r="Q795" t="s">
        <v>40</v>
      </c>
      <c r="R795">
        <v>46056</v>
      </c>
      <c r="S795" t="s">
        <v>32</v>
      </c>
      <c r="U795" t="s">
        <v>32</v>
      </c>
      <c r="V795" t="s">
        <v>32</v>
      </c>
      <c r="W795" t="s">
        <v>32</v>
      </c>
      <c r="X795" t="s">
        <v>32</v>
      </c>
      <c r="Y795" t="s">
        <v>32</v>
      </c>
      <c r="AA795" t="s">
        <v>88</v>
      </c>
      <c r="AB795" t="s">
        <v>32</v>
      </c>
      <c r="AE795" t="s">
        <v>32</v>
      </c>
      <c r="AH795" t="s">
        <v>32</v>
      </c>
      <c r="AK795" t="s">
        <v>32</v>
      </c>
      <c r="AN795" t="s">
        <v>32</v>
      </c>
      <c r="AO795" t="s">
        <v>32</v>
      </c>
      <c r="AR795">
        <v>0</v>
      </c>
      <c r="AU795" t="s">
        <v>32</v>
      </c>
      <c r="AV795">
        <v>2223339</v>
      </c>
      <c r="AW795" t="s">
        <v>32</v>
      </c>
      <c r="AX795" t="s">
        <v>32</v>
      </c>
      <c r="AY795" t="s">
        <v>185</v>
      </c>
      <c r="AZ795">
        <v>28</v>
      </c>
      <c r="BA795">
        <v>2582443</v>
      </c>
      <c r="BB795">
        <v>0.15999999642372131</v>
      </c>
      <c r="BC795">
        <v>413200</v>
      </c>
      <c r="BD795" t="s">
        <v>31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413200</v>
      </c>
      <c r="BK795" t="s">
        <v>25</v>
      </c>
      <c r="BL795" t="s">
        <v>885</v>
      </c>
      <c r="BM795">
        <v>28</v>
      </c>
      <c r="BN795">
        <v>2582443</v>
      </c>
      <c r="BO795">
        <v>3.9999999105930328E-2</v>
      </c>
      <c r="BP795">
        <v>103300</v>
      </c>
      <c r="BQ795">
        <v>0</v>
      </c>
      <c r="BS795">
        <v>0</v>
      </c>
      <c r="BU795">
        <v>0</v>
      </c>
      <c r="BV795" t="s">
        <v>25</v>
      </c>
      <c r="BW795" t="s">
        <v>189</v>
      </c>
      <c r="BX795">
        <v>28</v>
      </c>
      <c r="BY795">
        <v>2582443</v>
      </c>
      <c r="BZ795">
        <v>6.9600000977516174E-2</v>
      </c>
      <c r="CA795" t="s">
        <v>1439</v>
      </c>
      <c r="CB795" t="s">
        <v>227</v>
      </c>
      <c r="CC795" t="s">
        <v>1440</v>
      </c>
      <c r="CD795">
        <v>179800</v>
      </c>
      <c r="CE795">
        <v>28</v>
      </c>
      <c r="CF795" t="s">
        <v>635</v>
      </c>
      <c r="CG795">
        <v>2582443</v>
      </c>
      <c r="CH795">
        <v>3.9999999105930328E-2</v>
      </c>
      <c r="CI795">
        <v>103300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 t="s">
        <v>88</v>
      </c>
      <c r="CT795" t="s">
        <v>142</v>
      </c>
      <c r="CU795" t="s">
        <v>1442</v>
      </c>
    </row>
    <row r="796" spans="1:99">
      <c r="A796" t="s">
        <v>3047</v>
      </c>
      <c r="B796" t="s">
        <v>34</v>
      </c>
      <c r="C796" t="s">
        <v>1898</v>
      </c>
      <c r="D796" t="s">
        <v>1899</v>
      </c>
      <c r="E796" t="s">
        <v>1900</v>
      </c>
      <c r="F796" t="s">
        <v>1507</v>
      </c>
      <c r="G796" t="s">
        <v>1901</v>
      </c>
      <c r="H796" t="s">
        <v>1781</v>
      </c>
      <c r="I796" t="s">
        <v>240</v>
      </c>
      <c r="J796" t="s">
        <v>46</v>
      </c>
      <c r="K796" t="s">
        <v>29</v>
      </c>
      <c r="L796" t="s">
        <v>30</v>
      </c>
      <c r="M796">
        <v>0</v>
      </c>
      <c r="N796" t="s">
        <v>32</v>
      </c>
      <c r="O796" t="s">
        <v>32</v>
      </c>
      <c r="Q796" t="s">
        <v>32</v>
      </c>
      <c r="S796" t="s">
        <v>32</v>
      </c>
      <c r="U796" t="s">
        <v>32</v>
      </c>
      <c r="V796" t="s">
        <v>32</v>
      </c>
      <c r="W796" t="s">
        <v>32</v>
      </c>
      <c r="X796" t="s">
        <v>32</v>
      </c>
      <c r="Y796" t="s">
        <v>32</v>
      </c>
      <c r="AA796" t="s">
        <v>32</v>
      </c>
      <c r="AB796" t="s">
        <v>32</v>
      </c>
      <c r="AE796" t="s">
        <v>32</v>
      </c>
      <c r="AH796" t="s">
        <v>32</v>
      </c>
      <c r="AK796" t="s">
        <v>128</v>
      </c>
      <c r="AL796">
        <v>46069</v>
      </c>
      <c r="AM796">
        <v>46075</v>
      </c>
      <c r="AN796" t="s">
        <v>32</v>
      </c>
      <c r="AO796" t="s">
        <v>32</v>
      </c>
      <c r="AR796">
        <v>0</v>
      </c>
      <c r="AU796" t="s">
        <v>32</v>
      </c>
      <c r="AV796">
        <v>3415855</v>
      </c>
      <c r="AW796" t="s">
        <v>32</v>
      </c>
      <c r="AX796" t="s">
        <v>32</v>
      </c>
      <c r="AY796" t="s">
        <v>137</v>
      </c>
      <c r="AZ796">
        <v>7</v>
      </c>
      <c r="BA796">
        <v>797033</v>
      </c>
      <c r="BB796">
        <v>0.15999999642372131</v>
      </c>
      <c r="BC796">
        <v>127600</v>
      </c>
      <c r="BD796" t="s">
        <v>31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127600</v>
      </c>
      <c r="BK796" t="s">
        <v>25</v>
      </c>
      <c r="BL796" t="s">
        <v>1064</v>
      </c>
      <c r="BM796">
        <v>7</v>
      </c>
      <c r="BN796">
        <v>797033</v>
      </c>
      <c r="BO796">
        <v>3.9999999105930328E-2</v>
      </c>
      <c r="BP796">
        <v>31900</v>
      </c>
      <c r="BQ796">
        <v>0</v>
      </c>
      <c r="BS796">
        <v>0</v>
      </c>
      <c r="BU796">
        <v>0</v>
      </c>
      <c r="BV796" t="s">
        <v>25</v>
      </c>
      <c r="BW796" t="s">
        <v>189</v>
      </c>
      <c r="BX796">
        <v>7</v>
      </c>
      <c r="BY796">
        <v>797033</v>
      </c>
      <c r="BZ796">
        <v>0</v>
      </c>
      <c r="CA796" t="s">
        <v>1439</v>
      </c>
      <c r="CB796" t="s">
        <v>227</v>
      </c>
      <c r="CC796" t="s">
        <v>1440</v>
      </c>
      <c r="CD796">
        <v>0</v>
      </c>
      <c r="CE796">
        <v>7</v>
      </c>
      <c r="CF796" t="s">
        <v>635</v>
      </c>
      <c r="CG796">
        <v>797033</v>
      </c>
      <c r="CH796">
        <v>3.9999999105930328E-2</v>
      </c>
      <c r="CI796">
        <v>31900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 t="s">
        <v>88</v>
      </c>
      <c r="CT796" t="s">
        <v>142</v>
      </c>
      <c r="CU796" t="s">
        <v>1442</v>
      </c>
    </row>
    <row r="797" spans="1:99">
      <c r="A797" t="s">
        <v>3047</v>
      </c>
      <c r="B797" t="s">
        <v>34</v>
      </c>
      <c r="C797" t="s">
        <v>1898</v>
      </c>
      <c r="D797" t="s">
        <v>1899</v>
      </c>
      <c r="E797" t="s">
        <v>1900</v>
      </c>
      <c r="F797" t="s">
        <v>1507</v>
      </c>
      <c r="G797" t="s">
        <v>1901</v>
      </c>
      <c r="H797" t="s">
        <v>1781</v>
      </c>
      <c r="I797" t="s">
        <v>240</v>
      </c>
      <c r="J797" t="s">
        <v>46</v>
      </c>
      <c r="K797" t="s">
        <v>29</v>
      </c>
      <c r="L797" t="s">
        <v>30</v>
      </c>
      <c r="M797">
        <v>135</v>
      </c>
      <c r="N797" t="s">
        <v>32</v>
      </c>
      <c r="O797" t="s">
        <v>32</v>
      </c>
      <c r="Q797" t="s">
        <v>32</v>
      </c>
      <c r="S797" t="s">
        <v>32</v>
      </c>
      <c r="U797" t="s">
        <v>32</v>
      </c>
      <c r="V797" t="s">
        <v>32</v>
      </c>
      <c r="W797" t="s">
        <v>32</v>
      </c>
      <c r="X797" t="s">
        <v>32</v>
      </c>
      <c r="Y797" t="s">
        <v>32</v>
      </c>
      <c r="AA797" t="s">
        <v>88</v>
      </c>
      <c r="AB797" t="s">
        <v>32</v>
      </c>
      <c r="AE797" t="s">
        <v>32</v>
      </c>
      <c r="AH797" t="s">
        <v>32</v>
      </c>
      <c r="AK797" t="s">
        <v>32</v>
      </c>
      <c r="AN797" t="s">
        <v>32</v>
      </c>
      <c r="AO797" t="s">
        <v>32</v>
      </c>
      <c r="AR797">
        <v>0</v>
      </c>
      <c r="AU797" t="s">
        <v>32</v>
      </c>
      <c r="AV797">
        <v>3415855</v>
      </c>
      <c r="AW797" t="s">
        <v>32</v>
      </c>
      <c r="AX797" t="s">
        <v>32</v>
      </c>
      <c r="AY797" t="s">
        <v>137</v>
      </c>
      <c r="AZ797">
        <v>23</v>
      </c>
      <c r="BA797">
        <v>2904759</v>
      </c>
      <c r="BB797">
        <v>0.15999999642372131</v>
      </c>
      <c r="BC797">
        <v>464800</v>
      </c>
      <c r="BD797" t="s">
        <v>31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464800</v>
      </c>
      <c r="BK797" t="s">
        <v>25</v>
      </c>
      <c r="BL797" t="s">
        <v>1064</v>
      </c>
      <c r="BM797">
        <v>23</v>
      </c>
      <c r="BN797">
        <v>2904759</v>
      </c>
      <c r="BO797">
        <v>3.9999999105930328E-2</v>
      </c>
      <c r="BP797">
        <v>116200</v>
      </c>
      <c r="BQ797">
        <v>0</v>
      </c>
      <c r="BS797">
        <v>0</v>
      </c>
      <c r="BU797">
        <v>0</v>
      </c>
      <c r="BV797" t="s">
        <v>25</v>
      </c>
      <c r="BW797" t="s">
        <v>189</v>
      </c>
      <c r="BX797">
        <v>23</v>
      </c>
      <c r="BY797">
        <v>2904759</v>
      </c>
      <c r="BZ797">
        <v>6.9600000977516174E-2</v>
      </c>
      <c r="CA797" t="s">
        <v>1439</v>
      </c>
      <c r="CB797" t="s">
        <v>227</v>
      </c>
      <c r="CC797" t="s">
        <v>1440</v>
      </c>
      <c r="CD797">
        <v>202200</v>
      </c>
      <c r="CE797">
        <v>23</v>
      </c>
      <c r="CF797" t="s">
        <v>635</v>
      </c>
      <c r="CG797">
        <v>2841630</v>
      </c>
      <c r="CH797">
        <v>3.9999999105930328E-2</v>
      </c>
      <c r="CI797">
        <v>113700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 t="s">
        <v>88</v>
      </c>
      <c r="CT797" t="s">
        <v>142</v>
      </c>
      <c r="CU797" t="s">
        <v>1442</v>
      </c>
    </row>
    <row r="798" spans="1:99">
      <c r="A798" t="s">
        <v>3047</v>
      </c>
      <c r="B798" t="s">
        <v>34</v>
      </c>
      <c r="C798" t="s">
        <v>1902</v>
      </c>
      <c r="D798" t="s">
        <v>1903</v>
      </c>
      <c r="E798" t="s">
        <v>1904</v>
      </c>
      <c r="F798" t="s">
        <v>1905</v>
      </c>
      <c r="G798" t="s">
        <v>1906</v>
      </c>
      <c r="H798" t="s">
        <v>1558</v>
      </c>
      <c r="I798" t="s">
        <v>240</v>
      </c>
      <c r="J798" t="s">
        <v>46</v>
      </c>
      <c r="K798" t="s">
        <v>29</v>
      </c>
      <c r="L798" t="s">
        <v>30</v>
      </c>
      <c r="M798">
        <v>196</v>
      </c>
      <c r="N798" t="s">
        <v>32</v>
      </c>
      <c r="O798" t="s">
        <v>32</v>
      </c>
      <c r="Q798" t="s">
        <v>32</v>
      </c>
      <c r="S798" t="s">
        <v>32</v>
      </c>
      <c r="U798" t="s">
        <v>32</v>
      </c>
      <c r="V798" t="s">
        <v>32</v>
      </c>
      <c r="W798" t="s">
        <v>32</v>
      </c>
      <c r="X798" t="s">
        <v>32</v>
      </c>
      <c r="Y798" t="s">
        <v>88</v>
      </c>
      <c r="Z798">
        <v>46054</v>
      </c>
      <c r="AA798" t="s">
        <v>88</v>
      </c>
      <c r="AB798" t="s">
        <v>32</v>
      </c>
      <c r="AE798" t="s">
        <v>32</v>
      </c>
      <c r="AH798" t="s">
        <v>32</v>
      </c>
      <c r="AK798" t="s">
        <v>32</v>
      </c>
      <c r="AN798" t="s">
        <v>32</v>
      </c>
      <c r="AO798" t="s">
        <v>32</v>
      </c>
      <c r="AR798">
        <v>0</v>
      </c>
      <c r="AU798" t="s">
        <v>32</v>
      </c>
      <c r="AV798">
        <v>1898887</v>
      </c>
      <c r="AW798" t="s">
        <v>32</v>
      </c>
      <c r="AX798" t="s">
        <v>32</v>
      </c>
      <c r="AY798" t="s">
        <v>356</v>
      </c>
      <c r="AZ798">
        <v>30</v>
      </c>
      <c r="BA798">
        <v>1985201</v>
      </c>
      <c r="BB798">
        <v>0.15999999642372131</v>
      </c>
      <c r="BC798">
        <v>317700</v>
      </c>
      <c r="BD798" t="s">
        <v>31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317700</v>
      </c>
      <c r="BK798" t="s">
        <v>25</v>
      </c>
      <c r="BL798" t="s">
        <v>885</v>
      </c>
      <c r="BM798">
        <v>30</v>
      </c>
      <c r="BN798">
        <v>1985201</v>
      </c>
      <c r="BO798">
        <v>3.9999999105930328E-2</v>
      </c>
      <c r="BP798">
        <v>79500</v>
      </c>
      <c r="BQ798">
        <v>0</v>
      </c>
      <c r="BS798">
        <v>0</v>
      </c>
      <c r="BU798">
        <v>0</v>
      </c>
      <c r="BV798" t="s">
        <v>25</v>
      </c>
      <c r="BW798" t="s">
        <v>189</v>
      </c>
      <c r="BX798">
        <v>30</v>
      </c>
      <c r="BY798">
        <v>1985201</v>
      </c>
      <c r="BZ798">
        <v>2.4360001087188721E-2</v>
      </c>
      <c r="CA798" t="s">
        <v>1772</v>
      </c>
      <c r="CB798" t="s">
        <v>227</v>
      </c>
      <c r="CC798" t="s">
        <v>1773</v>
      </c>
      <c r="CD798">
        <v>48400</v>
      </c>
      <c r="CE798">
        <v>30</v>
      </c>
      <c r="CF798" t="s">
        <v>635</v>
      </c>
      <c r="CG798">
        <v>1985201</v>
      </c>
      <c r="CH798">
        <v>3.9999999105930328E-2</v>
      </c>
      <c r="CI798">
        <v>79500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 t="s">
        <v>88</v>
      </c>
      <c r="CT798" t="s">
        <v>142</v>
      </c>
      <c r="CU798" t="s">
        <v>1442</v>
      </c>
    </row>
    <row r="799" spans="1:99">
      <c r="A799" t="s">
        <v>3047</v>
      </c>
      <c r="B799" t="s">
        <v>34</v>
      </c>
      <c r="C799" t="s">
        <v>1907</v>
      </c>
      <c r="D799" t="s">
        <v>1908</v>
      </c>
      <c r="E799" t="s">
        <v>1909</v>
      </c>
      <c r="F799" t="s">
        <v>1789</v>
      </c>
      <c r="G799" t="s">
        <v>1910</v>
      </c>
      <c r="H799" t="s">
        <v>1558</v>
      </c>
      <c r="I799" t="s">
        <v>240</v>
      </c>
      <c r="J799" t="s">
        <v>46</v>
      </c>
      <c r="K799" t="s">
        <v>29</v>
      </c>
      <c r="L799" t="s">
        <v>30</v>
      </c>
      <c r="M799">
        <v>216</v>
      </c>
      <c r="N799" t="s">
        <v>32</v>
      </c>
      <c r="O799" t="s">
        <v>32</v>
      </c>
      <c r="Q799" t="s">
        <v>32</v>
      </c>
      <c r="S799" t="s">
        <v>32</v>
      </c>
      <c r="U799" t="s">
        <v>32</v>
      </c>
      <c r="V799" t="s">
        <v>32</v>
      </c>
      <c r="W799" t="s">
        <v>32</v>
      </c>
      <c r="X799" t="s">
        <v>32</v>
      </c>
      <c r="Y799" t="s">
        <v>32</v>
      </c>
      <c r="AA799" t="s">
        <v>88</v>
      </c>
      <c r="AB799" t="s">
        <v>32</v>
      </c>
      <c r="AE799" t="s">
        <v>32</v>
      </c>
      <c r="AH799" t="s">
        <v>32</v>
      </c>
      <c r="AK799" t="s">
        <v>32</v>
      </c>
      <c r="AN799" t="s">
        <v>32</v>
      </c>
      <c r="AO799" t="s">
        <v>32</v>
      </c>
      <c r="AR799">
        <v>0</v>
      </c>
      <c r="AU799" t="s">
        <v>32</v>
      </c>
      <c r="AV799">
        <v>2891569</v>
      </c>
      <c r="AW799" t="s">
        <v>32</v>
      </c>
      <c r="AX799" t="s">
        <v>32</v>
      </c>
      <c r="AY799" t="s">
        <v>317</v>
      </c>
      <c r="AZ799">
        <v>30</v>
      </c>
      <c r="BA799">
        <v>4341006</v>
      </c>
      <c r="BB799">
        <v>0.15999999642372131</v>
      </c>
      <c r="BC799">
        <v>694600</v>
      </c>
      <c r="BD799" t="s">
        <v>31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694600</v>
      </c>
      <c r="BK799" t="s">
        <v>25</v>
      </c>
      <c r="BL799" t="s">
        <v>1491</v>
      </c>
      <c r="BM799">
        <v>30</v>
      </c>
      <c r="BN799">
        <v>4341006</v>
      </c>
      <c r="BO799">
        <v>3.9999999105930328E-2</v>
      </c>
      <c r="BP799">
        <v>173700</v>
      </c>
      <c r="BQ799">
        <v>0</v>
      </c>
      <c r="BS799">
        <v>0</v>
      </c>
      <c r="BU799">
        <v>0</v>
      </c>
      <c r="BV799" t="s">
        <v>25</v>
      </c>
      <c r="BW799" t="s">
        <v>189</v>
      </c>
      <c r="BX799">
        <v>30</v>
      </c>
      <c r="BY799">
        <v>4341006</v>
      </c>
      <c r="BZ799">
        <v>6.9600000977516174E-2</v>
      </c>
      <c r="CA799" t="s">
        <v>1439</v>
      </c>
      <c r="CB799" t="s">
        <v>227</v>
      </c>
      <c r="CC799" t="s">
        <v>1440</v>
      </c>
      <c r="CD799">
        <v>302200</v>
      </c>
      <c r="CE799">
        <v>30</v>
      </c>
      <c r="CF799" t="s">
        <v>635</v>
      </c>
      <c r="CG799">
        <v>4113631</v>
      </c>
      <c r="CH799">
        <v>3.9999999105930328E-2</v>
      </c>
      <c r="CI799">
        <v>164600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 t="s">
        <v>88</v>
      </c>
      <c r="CT799" t="s">
        <v>142</v>
      </c>
      <c r="CU799" t="s">
        <v>1442</v>
      </c>
    </row>
    <row r="800" spans="1:99">
      <c r="A800" t="s">
        <v>3047</v>
      </c>
      <c r="B800" t="s">
        <v>34</v>
      </c>
      <c r="C800" t="s">
        <v>1911</v>
      </c>
      <c r="D800" t="s">
        <v>1912</v>
      </c>
      <c r="E800" t="s">
        <v>1913</v>
      </c>
      <c r="F800" t="s">
        <v>1914</v>
      </c>
      <c r="G800" t="s">
        <v>1915</v>
      </c>
      <c r="H800" t="s">
        <v>1916</v>
      </c>
      <c r="I800" t="s">
        <v>240</v>
      </c>
      <c r="J800" t="s">
        <v>46</v>
      </c>
      <c r="K800" t="s">
        <v>29</v>
      </c>
      <c r="L800" t="s">
        <v>30</v>
      </c>
      <c r="M800">
        <v>217</v>
      </c>
      <c r="N800" t="s">
        <v>32</v>
      </c>
      <c r="O800" t="s">
        <v>32</v>
      </c>
      <c r="Q800" t="s">
        <v>32</v>
      </c>
      <c r="S800" t="s">
        <v>32</v>
      </c>
      <c r="U800" t="s">
        <v>32</v>
      </c>
      <c r="V800" t="s">
        <v>32</v>
      </c>
      <c r="W800" t="s">
        <v>32</v>
      </c>
      <c r="X800" t="s">
        <v>32</v>
      </c>
      <c r="Y800" t="s">
        <v>32</v>
      </c>
      <c r="AA800" t="s">
        <v>88</v>
      </c>
      <c r="AB800" t="s">
        <v>32</v>
      </c>
      <c r="AE800" t="s">
        <v>32</v>
      </c>
      <c r="AH800" t="s">
        <v>32</v>
      </c>
      <c r="AK800" t="s">
        <v>32</v>
      </c>
      <c r="AN800" t="s">
        <v>32</v>
      </c>
      <c r="AO800" t="s">
        <v>32</v>
      </c>
      <c r="AR800">
        <v>0</v>
      </c>
      <c r="AU800" t="s">
        <v>32</v>
      </c>
      <c r="AV800">
        <v>1785595</v>
      </c>
      <c r="AW800" t="s">
        <v>32</v>
      </c>
      <c r="AX800" t="s">
        <v>32</v>
      </c>
      <c r="AY800" t="s">
        <v>356</v>
      </c>
      <c r="AZ800">
        <v>30</v>
      </c>
      <c r="BA800">
        <v>2411393</v>
      </c>
      <c r="BB800">
        <v>0.15999999642372131</v>
      </c>
      <c r="BC800">
        <v>385900</v>
      </c>
      <c r="BD800" t="s">
        <v>31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385900</v>
      </c>
      <c r="BK800" t="s">
        <v>25</v>
      </c>
      <c r="BL800" t="s">
        <v>1010</v>
      </c>
      <c r="BM800">
        <v>30</v>
      </c>
      <c r="BN800">
        <v>2411393</v>
      </c>
      <c r="BO800">
        <v>3.9999999105930328E-2</v>
      </c>
      <c r="BP800">
        <v>96500</v>
      </c>
      <c r="BQ800">
        <v>0</v>
      </c>
      <c r="BS800">
        <v>0</v>
      </c>
      <c r="BU800">
        <v>0</v>
      </c>
      <c r="BV800" t="s">
        <v>25</v>
      </c>
      <c r="BW800" t="s">
        <v>189</v>
      </c>
      <c r="BX800">
        <v>30</v>
      </c>
      <c r="BY800">
        <v>2411393</v>
      </c>
      <c r="BZ800">
        <v>6.9600000977516174E-2</v>
      </c>
      <c r="CA800" t="s">
        <v>1439</v>
      </c>
      <c r="CB800" t="s">
        <v>227</v>
      </c>
      <c r="CC800" t="s">
        <v>1440</v>
      </c>
      <c r="CD800">
        <v>167900</v>
      </c>
      <c r="CE800">
        <v>30</v>
      </c>
      <c r="CF800" t="s">
        <v>635</v>
      </c>
      <c r="CG800">
        <v>2411393</v>
      </c>
      <c r="CH800">
        <v>3.9999999105930328E-2</v>
      </c>
      <c r="CI800">
        <v>96500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 t="s">
        <v>88</v>
      </c>
      <c r="CT800" t="s">
        <v>142</v>
      </c>
      <c r="CU800" t="s">
        <v>1442</v>
      </c>
    </row>
    <row r="801" spans="1:99">
      <c r="A801" t="s">
        <v>3047</v>
      </c>
      <c r="B801" t="s">
        <v>34</v>
      </c>
      <c r="C801" t="s">
        <v>1917</v>
      </c>
      <c r="D801" t="s">
        <v>1918</v>
      </c>
      <c r="E801" t="s">
        <v>1919</v>
      </c>
      <c r="F801" t="s">
        <v>1920</v>
      </c>
      <c r="G801" t="s">
        <v>1706</v>
      </c>
      <c r="H801" t="s">
        <v>1498</v>
      </c>
      <c r="I801" t="s">
        <v>682</v>
      </c>
      <c r="J801" t="s">
        <v>484</v>
      </c>
      <c r="K801" t="s">
        <v>29</v>
      </c>
      <c r="L801" t="s">
        <v>30</v>
      </c>
      <c r="M801">
        <v>153</v>
      </c>
      <c r="N801" t="s">
        <v>32</v>
      </c>
      <c r="O801" t="s">
        <v>32</v>
      </c>
      <c r="Q801" t="s">
        <v>40</v>
      </c>
      <c r="R801">
        <v>46058</v>
      </c>
      <c r="S801" t="s">
        <v>40</v>
      </c>
      <c r="T801">
        <v>46081</v>
      </c>
      <c r="U801" t="s">
        <v>32</v>
      </c>
      <c r="V801" t="s">
        <v>32</v>
      </c>
      <c r="W801" t="s">
        <v>32</v>
      </c>
      <c r="X801" t="s">
        <v>32</v>
      </c>
      <c r="Y801" t="s">
        <v>32</v>
      </c>
      <c r="AA801" t="s">
        <v>88</v>
      </c>
      <c r="AB801" t="s">
        <v>32</v>
      </c>
      <c r="AE801" t="s">
        <v>32</v>
      </c>
      <c r="AH801" t="s">
        <v>32</v>
      </c>
      <c r="AK801" t="s">
        <v>32</v>
      </c>
      <c r="AN801" t="s">
        <v>32</v>
      </c>
      <c r="AO801" t="s">
        <v>32</v>
      </c>
      <c r="AR801">
        <v>0</v>
      </c>
      <c r="AU801" t="s">
        <v>32</v>
      </c>
      <c r="AV801">
        <v>3235758</v>
      </c>
      <c r="AW801" t="s">
        <v>32</v>
      </c>
      <c r="AX801" t="s">
        <v>88</v>
      </c>
      <c r="AY801" t="s">
        <v>356</v>
      </c>
      <c r="AZ801">
        <v>26</v>
      </c>
      <c r="BA801">
        <v>2912183</v>
      </c>
      <c r="BB801">
        <v>0.15999999642372131</v>
      </c>
      <c r="BC801">
        <v>466000</v>
      </c>
      <c r="BD801" t="s">
        <v>31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466000</v>
      </c>
      <c r="BK801" t="s">
        <v>25</v>
      </c>
      <c r="BL801" t="s">
        <v>1064</v>
      </c>
      <c r="BM801">
        <v>26</v>
      </c>
      <c r="BN801">
        <v>2912183</v>
      </c>
      <c r="BO801">
        <v>3.9999999105930328E-2</v>
      </c>
      <c r="BP801">
        <v>116500</v>
      </c>
      <c r="BQ801">
        <v>0</v>
      </c>
      <c r="BS801">
        <v>0</v>
      </c>
      <c r="BU801">
        <v>0</v>
      </c>
      <c r="BV801" t="s">
        <v>25</v>
      </c>
      <c r="BW801" t="s">
        <v>189</v>
      </c>
      <c r="BX801">
        <v>26</v>
      </c>
      <c r="BY801">
        <v>2912183</v>
      </c>
      <c r="BZ801">
        <v>6.9600000977516174E-2</v>
      </c>
      <c r="CA801" t="s">
        <v>1439</v>
      </c>
      <c r="CB801" t="s">
        <v>312</v>
      </c>
      <c r="CC801" t="s">
        <v>1440</v>
      </c>
      <c r="CD801">
        <v>202700</v>
      </c>
      <c r="CE801">
        <v>26</v>
      </c>
      <c r="CF801" t="s">
        <v>466</v>
      </c>
      <c r="CG801">
        <v>3018963</v>
      </c>
      <c r="CH801">
        <v>3.9999999105930328E-2</v>
      </c>
      <c r="CI801">
        <v>120800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 t="s">
        <v>88</v>
      </c>
      <c r="CT801" t="s">
        <v>142</v>
      </c>
      <c r="CU801" t="s">
        <v>1442</v>
      </c>
    </row>
    <row r="802" spans="1:99">
      <c r="A802" t="s">
        <v>3047</v>
      </c>
      <c r="B802" t="s">
        <v>34</v>
      </c>
      <c r="C802" t="s">
        <v>1921</v>
      </c>
      <c r="D802" t="s">
        <v>1922</v>
      </c>
      <c r="E802" t="s">
        <v>1923</v>
      </c>
      <c r="F802" t="s">
        <v>1924</v>
      </c>
      <c r="G802" t="s">
        <v>1925</v>
      </c>
      <c r="H802" t="s">
        <v>1489</v>
      </c>
      <c r="I802" t="s">
        <v>682</v>
      </c>
      <c r="J802" t="s">
        <v>484</v>
      </c>
      <c r="K802" t="s">
        <v>29</v>
      </c>
      <c r="L802" t="s">
        <v>30</v>
      </c>
      <c r="M802">
        <v>205</v>
      </c>
      <c r="N802" t="s">
        <v>32</v>
      </c>
      <c r="O802" t="s">
        <v>32</v>
      </c>
      <c r="Q802" t="s">
        <v>32</v>
      </c>
      <c r="S802" t="s">
        <v>32</v>
      </c>
      <c r="U802" t="s">
        <v>32</v>
      </c>
      <c r="V802" t="s">
        <v>32</v>
      </c>
      <c r="W802" t="s">
        <v>32</v>
      </c>
      <c r="X802" t="s">
        <v>32</v>
      </c>
      <c r="Y802" t="s">
        <v>32</v>
      </c>
      <c r="AA802" t="s">
        <v>88</v>
      </c>
      <c r="AB802" t="s">
        <v>32</v>
      </c>
      <c r="AE802" t="s">
        <v>32</v>
      </c>
      <c r="AH802" t="s">
        <v>32</v>
      </c>
      <c r="AK802" t="s">
        <v>32</v>
      </c>
      <c r="AN802" t="s">
        <v>32</v>
      </c>
      <c r="AO802" t="s">
        <v>32</v>
      </c>
      <c r="AR802">
        <v>0</v>
      </c>
      <c r="AU802" t="s">
        <v>32</v>
      </c>
      <c r="AV802">
        <v>2056650</v>
      </c>
      <c r="AW802" t="s">
        <v>32</v>
      </c>
      <c r="AX802" t="s">
        <v>32</v>
      </c>
      <c r="AY802" t="s">
        <v>317</v>
      </c>
      <c r="AZ802">
        <v>30</v>
      </c>
      <c r="BA802">
        <v>2544653</v>
      </c>
      <c r="BB802">
        <v>0.15999999642372131</v>
      </c>
      <c r="BC802">
        <v>407200</v>
      </c>
      <c r="BD802" t="s">
        <v>31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407200</v>
      </c>
      <c r="BK802" t="s">
        <v>25</v>
      </c>
      <c r="BL802" t="s">
        <v>1491</v>
      </c>
      <c r="BM802">
        <v>30</v>
      </c>
      <c r="BN802">
        <v>2544653</v>
      </c>
      <c r="BO802">
        <v>3.9999999105930328E-2</v>
      </c>
      <c r="BP802">
        <v>101800</v>
      </c>
      <c r="BQ802">
        <v>0</v>
      </c>
      <c r="BS802">
        <v>0</v>
      </c>
      <c r="BU802">
        <v>0</v>
      </c>
      <c r="BV802" t="s">
        <v>25</v>
      </c>
      <c r="BW802" t="s">
        <v>189</v>
      </c>
      <c r="BX802">
        <v>30</v>
      </c>
      <c r="BY802">
        <v>2544653</v>
      </c>
      <c r="BZ802">
        <v>6.9600000977516174E-2</v>
      </c>
      <c r="CA802" t="s">
        <v>1439</v>
      </c>
      <c r="CB802" t="s">
        <v>312</v>
      </c>
      <c r="CC802" t="s">
        <v>1440</v>
      </c>
      <c r="CD802">
        <v>177200</v>
      </c>
      <c r="CE802">
        <v>30</v>
      </c>
      <c r="CF802" t="s">
        <v>466</v>
      </c>
      <c r="CG802">
        <v>2373468</v>
      </c>
      <c r="CH802">
        <v>3.9999999105930328E-2</v>
      </c>
      <c r="CI802">
        <v>95000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 t="s">
        <v>88</v>
      </c>
      <c r="CT802" t="s">
        <v>142</v>
      </c>
      <c r="CU802" t="s">
        <v>1442</v>
      </c>
    </row>
    <row r="803" spans="1:99">
      <c r="A803" t="s">
        <v>3047</v>
      </c>
      <c r="B803" t="s">
        <v>34</v>
      </c>
      <c r="C803" t="s">
        <v>1926</v>
      </c>
      <c r="D803" t="s">
        <v>1927</v>
      </c>
      <c r="E803" t="s">
        <v>1506</v>
      </c>
      <c r="F803" t="s">
        <v>1507</v>
      </c>
      <c r="G803" t="s">
        <v>1513</v>
      </c>
      <c r="H803" t="s">
        <v>1928</v>
      </c>
      <c r="I803" t="s">
        <v>682</v>
      </c>
      <c r="J803" t="s">
        <v>484</v>
      </c>
      <c r="K803" t="s">
        <v>29</v>
      </c>
      <c r="L803" t="s">
        <v>30</v>
      </c>
      <c r="M803">
        <v>0</v>
      </c>
      <c r="N803" t="s">
        <v>32</v>
      </c>
      <c r="O803" t="s">
        <v>32</v>
      </c>
      <c r="Q803" t="s">
        <v>32</v>
      </c>
      <c r="S803" t="s">
        <v>32</v>
      </c>
      <c r="U803" t="s">
        <v>32</v>
      </c>
      <c r="V803" t="s">
        <v>32</v>
      </c>
      <c r="W803" t="s">
        <v>32</v>
      </c>
      <c r="X803" t="s">
        <v>32</v>
      </c>
      <c r="Y803" t="s">
        <v>32</v>
      </c>
      <c r="AA803" t="s">
        <v>32</v>
      </c>
      <c r="AB803" t="s">
        <v>32</v>
      </c>
      <c r="AE803" t="s">
        <v>32</v>
      </c>
      <c r="AH803" t="s">
        <v>32</v>
      </c>
      <c r="AK803" t="s">
        <v>128</v>
      </c>
      <c r="AL803">
        <v>46076</v>
      </c>
      <c r="AM803">
        <v>46079</v>
      </c>
      <c r="AN803" t="s">
        <v>32</v>
      </c>
      <c r="AO803" t="s">
        <v>32</v>
      </c>
      <c r="AR803">
        <v>0</v>
      </c>
      <c r="AU803" t="s">
        <v>32</v>
      </c>
      <c r="AV803">
        <v>2223339</v>
      </c>
      <c r="AW803" t="s">
        <v>32</v>
      </c>
      <c r="AX803" t="s">
        <v>32</v>
      </c>
      <c r="AY803" t="s">
        <v>317</v>
      </c>
      <c r="AZ803">
        <v>4</v>
      </c>
      <c r="BA803">
        <v>296446</v>
      </c>
      <c r="BB803">
        <v>0.15999999642372131</v>
      </c>
      <c r="BC803">
        <v>47500</v>
      </c>
      <c r="BD803" t="s">
        <v>31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47500</v>
      </c>
      <c r="BK803" t="s">
        <v>25</v>
      </c>
      <c r="BL803" t="s">
        <v>870</v>
      </c>
      <c r="BM803">
        <v>4</v>
      </c>
      <c r="BN803">
        <v>296446</v>
      </c>
      <c r="BO803">
        <v>3.9999999105930328E-2</v>
      </c>
      <c r="BP803">
        <v>11900</v>
      </c>
      <c r="BQ803">
        <v>0</v>
      </c>
      <c r="BS803">
        <v>0</v>
      </c>
      <c r="BU803">
        <v>0</v>
      </c>
      <c r="BV803" t="s">
        <v>25</v>
      </c>
      <c r="BW803" t="s">
        <v>189</v>
      </c>
      <c r="BX803">
        <v>4</v>
      </c>
      <c r="BY803">
        <v>296446</v>
      </c>
      <c r="BZ803">
        <v>0</v>
      </c>
      <c r="CA803" t="s">
        <v>1439</v>
      </c>
      <c r="CB803" t="s">
        <v>312</v>
      </c>
      <c r="CC803" t="s">
        <v>1440</v>
      </c>
      <c r="CD803">
        <v>0</v>
      </c>
      <c r="CE803">
        <v>4</v>
      </c>
      <c r="CF803" t="s">
        <v>466</v>
      </c>
      <c r="CG803">
        <v>296446</v>
      </c>
      <c r="CH803">
        <v>3.9999999105930328E-2</v>
      </c>
      <c r="CI803">
        <v>11900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 t="s">
        <v>88</v>
      </c>
      <c r="CT803" t="s">
        <v>142</v>
      </c>
      <c r="CU803" t="s">
        <v>1442</v>
      </c>
    </row>
    <row r="804" spans="1:99">
      <c r="A804" t="s">
        <v>3047</v>
      </c>
      <c r="B804" t="s">
        <v>34</v>
      </c>
      <c r="C804" t="s">
        <v>1926</v>
      </c>
      <c r="D804" t="s">
        <v>1927</v>
      </c>
      <c r="E804" t="s">
        <v>1506</v>
      </c>
      <c r="F804" t="s">
        <v>1507</v>
      </c>
      <c r="G804" t="s">
        <v>1513</v>
      </c>
      <c r="H804" t="s">
        <v>1928</v>
      </c>
      <c r="I804" t="s">
        <v>682</v>
      </c>
      <c r="J804" t="s">
        <v>484</v>
      </c>
      <c r="K804" t="s">
        <v>29</v>
      </c>
      <c r="L804" t="s">
        <v>30</v>
      </c>
      <c r="M804">
        <v>162</v>
      </c>
      <c r="N804" t="s">
        <v>32</v>
      </c>
      <c r="O804" t="s">
        <v>32</v>
      </c>
      <c r="Q804" t="s">
        <v>32</v>
      </c>
      <c r="S804" t="s">
        <v>40</v>
      </c>
      <c r="T804">
        <v>46079</v>
      </c>
      <c r="U804" t="s">
        <v>32</v>
      </c>
      <c r="V804" t="s">
        <v>32</v>
      </c>
      <c r="W804" t="s">
        <v>32</v>
      </c>
      <c r="X804" t="s">
        <v>32</v>
      </c>
      <c r="Y804" t="s">
        <v>32</v>
      </c>
      <c r="AA804" t="s">
        <v>88</v>
      </c>
      <c r="AB804" t="s">
        <v>32</v>
      </c>
      <c r="AE804" t="s">
        <v>32</v>
      </c>
      <c r="AH804" t="s">
        <v>32</v>
      </c>
      <c r="AK804" t="s">
        <v>32</v>
      </c>
      <c r="AN804" t="s">
        <v>32</v>
      </c>
      <c r="AO804" t="s">
        <v>32</v>
      </c>
      <c r="AR804">
        <v>0</v>
      </c>
      <c r="AU804" t="s">
        <v>32</v>
      </c>
      <c r="AV804">
        <v>2223339</v>
      </c>
      <c r="AW804" t="s">
        <v>32</v>
      </c>
      <c r="AX804" t="s">
        <v>32</v>
      </c>
      <c r="AY804" t="s">
        <v>317</v>
      </c>
      <c r="AZ804">
        <v>22</v>
      </c>
      <c r="BA804">
        <v>2371977</v>
      </c>
      <c r="BB804">
        <v>0.15999999642372131</v>
      </c>
      <c r="BC804">
        <v>379600</v>
      </c>
      <c r="BD804" t="s">
        <v>31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379600</v>
      </c>
      <c r="BK804" t="s">
        <v>25</v>
      </c>
      <c r="BL804" t="s">
        <v>870</v>
      </c>
      <c r="BM804">
        <v>22</v>
      </c>
      <c r="BN804">
        <v>2371977</v>
      </c>
      <c r="BO804">
        <v>3.9999999105930328E-2</v>
      </c>
      <c r="BP804">
        <v>94900</v>
      </c>
      <c r="BQ804">
        <v>0</v>
      </c>
      <c r="BS804">
        <v>0</v>
      </c>
      <c r="BU804">
        <v>0</v>
      </c>
      <c r="BV804" t="s">
        <v>25</v>
      </c>
      <c r="BW804" t="s">
        <v>189</v>
      </c>
      <c r="BX804">
        <v>22</v>
      </c>
      <c r="BY804">
        <v>2371977</v>
      </c>
      <c r="BZ804">
        <v>6.9600000977516174E-2</v>
      </c>
      <c r="CA804" t="s">
        <v>1439</v>
      </c>
      <c r="CB804" t="s">
        <v>312</v>
      </c>
      <c r="CC804" t="s">
        <v>1440</v>
      </c>
      <c r="CD804">
        <v>165100</v>
      </c>
      <c r="CE804">
        <v>22</v>
      </c>
      <c r="CF804" t="s">
        <v>466</v>
      </c>
      <c r="CG804">
        <v>2453570</v>
      </c>
      <c r="CH804">
        <v>3.9999999105930328E-2</v>
      </c>
      <c r="CI804">
        <v>98200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 t="s">
        <v>88</v>
      </c>
      <c r="CT804" t="s">
        <v>142</v>
      </c>
      <c r="CU804" t="s">
        <v>1442</v>
      </c>
    </row>
    <row r="805" spans="1:99">
      <c r="A805" t="s">
        <v>3047</v>
      </c>
      <c r="B805" t="s">
        <v>34</v>
      </c>
      <c r="C805" t="s">
        <v>1929</v>
      </c>
      <c r="D805" t="s">
        <v>1930</v>
      </c>
      <c r="E805" t="s">
        <v>1931</v>
      </c>
      <c r="F805" t="s">
        <v>667</v>
      </c>
      <c r="G805" t="s">
        <v>1932</v>
      </c>
      <c r="H805" t="s">
        <v>1933</v>
      </c>
      <c r="I805" t="s">
        <v>682</v>
      </c>
      <c r="J805" t="s">
        <v>484</v>
      </c>
      <c r="K805" t="s">
        <v>29</v>
      </c>
      <c r="L805" t="s">
        <v>30</v>
      </c>
      <c r="M805">
        <v>180</v>
      </c>
      <c r="N805" t="s">
        <v>32</v>
      </c>
      <c r="O805" t="s">
        <v>32</v>
      </c>
      <c r="Q805" t="s">
        <v>32</v>
      </c>
      <c r="S805" t="s">
        <v>32</v>
      </c>
      <c r="U805" t="s">
        <v>32</v>
      </c>
      <c r="V805" t="s">
        <v>32</v>
      </c>
      <c r="W805" t="s">
        <v>32</v>
      </c>
      <c r="X805" t="s">
        <v>32</v>
      </c>
      <c r="Y805" t="s">
        <v>88</v>
      </c>
      <c r="Z805">
        <v>46054</v>
      </c>
      <c r="AA805" t="s">
        <v>88</v>
      </c>
      <c r="AB805" t="s">
        <v>32</v>
      </c>
      <c r="AE805" t="s">
        <v>32</v>
      </c>
      <c r="AH805" t="s">
        <v>32</v>
      </c>
      <c r="AK805" t="s">
        <v>32</v>
      </c>
      <c r="AN805" t="s">
        <v>32</v>
      </c>
      <c r="AO805" t="s">
        <v>32</v>
      </c>
      <c r="AR805">
        <v>0</v>
      </c>
      <c r="AU805" t="s">
        <v>32</v>
      </c>
      <c r="AV805">
        <v>3140434</v>
      </c>
      <c r="AW805" t="s">
        <v>32</v>
      </c>
      <c r="AX805" t="s">
        <v>32</v>
      </c>
      <c r="AY805" t="s">
        <v>185</v>
      </c>
      <c r="AZ805">
        <v>30</v>
      </c>
      <c r="BA805">
        <v>3140434</v>
      </c>
      <c r="BB805">
        <v>0.15999999642372131</v>
      </c>
      <c r="BC805">
        <v>502500</v>
      </c>
      <c r="BD805" t="s">
        <v>31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502500</v>
      </c>
      <c r="BK805" t="s">
        <v>25</v>
      </c>
      <c r="BL805" t="s">
        <v>1071</v>
      </c>
      <c r="BM805">
        <v>30</v>
      </c>
      <c r="BN805">
        <v>3140434</v>
      </c>
      <c r="BO805">
        <v>3.9999999105930328E-2</v>
      </c>
      <c r="BP805">
        <v>125700</v>
      </c>
      <c r="BQ805">
        <v>0</v>
      </c>
      <c r="BS805">
        <v>0</v>
      </c>
      <c r="BU805">
        <v>0</v>
      </c>
      <c r="BV805" t="s">
        <v>25</v>
      </c>
      <c r="BW805" t="s">
        <v>189</v>
      </c>
      <c r="BX805">
        <v>30</v>
      </c>
      <c r="BY805">
        <v>3140434</v>
      </c>
      <c r="BZ805">
        <v>6.9600000977516174E-2</v>
      </c>
      <c r="CA805" t="s">
        <v>1439</v>
      </c>
      <c r="CB805" t="s">
        <v>312</v>
      </c>
      <c r="CC805" t="s">
        <v>1440</v>
      </c>
      <c r="CD805">
        <v>218600</v>
      </c>
      <c r="CE805">
        <v>30</v>
      </c>
      <c r="CF805" t="s">
        <v>466</v>
      </c>
      <c r="CG805">
        <v>3140434</v>
      </c>
      <c r="CH805">
        <v>3.9999999105930328E-2</v>
      </c>
      <c r="CI805">
        <v>125700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 t="s">
        <v>88</v>
      </c>
      <c r="CT805" t="s">
        <v>142</v>
      </c>
      <c r="CU805" t="s">
        <v>1442</v>
      </c>
    </row>
    <row r="806" spans="1:99">
      <c r="A806" t="s">
        <v>3047</v>
      </c>
      <c r="B806" t="s">
        <v>34</v>
      </c>
      <c r="C806" t="s">
        <v>1934</v>
      </c>
      <c r="D806" t="s">
        <v>1935</v>
      </c>
      <c r="E806" t="s">
        <v>1936</v>
      </c>
      <c r="F806" t="s">
        <v>1937</v>
      </c>
      <c r="G806" t="s">
        <v>1938</v>
      </c>
      <c r="H806" t="s">
        <v>1489</v>
      </c>
      <c r="I806" t="s">
        <v>682</v>
      </c>
      <c r="J806" t="s">
        <v>484</v>
      </c>
      <c r="K806" t="s">
        <v>29</v>
      </c>
      <c r="L806" t="s">
        <v>30</v>
      </c>
      <c r="M806">
        <v>180</v>
      </c>
      <c r="N806" t="s">
        <v>32</v>
      </c>
      <c r="O806" t="s">
        <v>32</v>
      </c>
      <c r="Q806" t="s">
        <v>32</v>
      </c>
      <c r="S806" t="s">
        <v>32</v>
      </c>
      <c r="U806" t="s">
        <v>32</v>
      </c>
      <c r="V806" t="s">
        <v>32</v>
      </c>
      <c r="W806" t="s">
        <v>32</v>
      </c>
      <c r="X806" t="s">
        <v>32</v>
      </c>
      <c r="Y806" t="s">
        <v>88</v>
      </c>
      <c r="Z806">
        <v>46054</v>
      </c>
      <c r="AA806" t="s">
        <v>88</v>
      </c>
      <c r="AB806" t="s">
        <v>32</v>
      </c>
      <c r="AE806" t="s">
        <v>32</v>
      </c>
      <c r="AH806" t="s">
        <v>32</v>
      </c>
      <c r="AK806" t="s">
        <v>32</v>
      </c>
      <c r="AN806" t="s">
        <v>32</v>
      </c>
      <c r="AO806" t="s">
        <v>32</v>
      </c>
      <c r="AR806">
        <v>0</v>
      </c>
      <c r="AU806" t="s">
        <v>32</v>
      </c>
      <c r="AV806">
        <v>3235758</v>
      </c>
      <c r="AW806" t="s">
        <v>32</v>
      </c>
      <c r="AX806" t="s">
        <v>32</v>
      </c>
      <c r="AY806" t="s">
        <v>317</v>
      </c>
      <c r="AZ806">
        <v>30</v>
      </c>
      <c r="BA806">
        <v>3235758</v>
      </c>
      <c r="BB806">
        <v>0.15999999642372131</v>
      </c>
      <c r="BC806">
        <v>517800</v>
      </c>
      <c r="BD806" t="s">
        <v>31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517800</v>
      </c>
      <c r="BK806" t="s">
        <v>25</v>
      </c>
      <c r="BL806" t="s">
        <v>1010</v>
      </c>
      <c r="BM806">
        <v>30</v>
      </c>
      <c r="BN806">
        <v>3235758</v>
      </c>
      <c r="BO806">
        <v>3.9999999105930328E-2</v>
      </c>
      <c r="BP806">
        <v>129500</v>
      </c>
      <c r="BQ806">
        <v>0</v>
      </c>
      <c r="BS806">
        <v>0</v>
      </c>
      <c r="BU806">
        <v>0</v>
      </c>
      <c r="BV806" t="s">
        <v>25</v>
      </c>
      <c r="BW806" t="s">
        <v>189</v>
      </c>
      <c r="BX806">
        <v>30</v>
      </c>
      <c r="BY806">
        <v>3235758</v>
      </c>
      <c r="BZ806">
        <v>6.9600000977516174E-2</v>
      </c>
      <c r="CA806" t="s">
        <v>1439</v>
      </c>
      <c r="CB806" t="s">
        <v>312</v>
      </c>
      <c r="CC806" t="s">
        <v>1440</v>
      </c>
      <c r="CD806">
        <v>225300</v>
      </c>
      <c r="CE806">
        <v>30</v>
      </c>
      <c r="CF806" t="s">
        <v>466</v>
      </c>
      <c r="CG806">
        <v>3235758</v>
      </c>
      <c r="CH806">
        <v>3.9999999105930328E-2</v>
      </c>
      <c r="CI806">
        <v>129500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 t="s">
        <v>88</v>
      </c>
      <c r="CT806" t="s">
        <v>142</v>
      </c>
      <c r="CU806" t="s">
        <v>1442</v>
      </c>
    </row>
    <row r="807" spans="1:99">
      <c r="A807" t="s">
        <v>3047</v>
      </c>
      <c r="B807" t="s">
        <v>34</v>
      </c>
      <c r="C807" t="s">
        <v>1939</v>
      </c>
      <c r="D807" t="s">
        <v>1940</v>
      </c>
      <c r="E807" t="s">
        <v>1941</v>
      </c>
      <c r="F807" t="s">
        <v>1942</v>
      </c>
      <c r="G807" t="s">
        <v>1943</v>
      </c>
      <c r="H807" t="s">
        <v>1738</v>
      </c>
      <c r="I807" t="s">
        <v>240</v>
      </c>
      <c r="J807" t="s">
        <v>46</v>
      </c>
      <c r="K807" t="s">
        <v>29</v>
      </c>
      <c r="L807" t="s">
        <v>30</v>
      </c>
      <c r="M807">
        <v>188</v>
      </c>
      <c r="N807" t="s">
        <v>32</v>
      </c>
      <c r="O807" t="s">
        <v>32</v>
      </c>
      <c r="Q807" t="s">
        <v>32</v>
      </c>
      <c r="S807" t="s">
        <v>32</v>
      </c>
      <c r="U807" t="s">
        <v>32</v>
      </c>
      <c r="V807" t="s">
        <v>32</v>
      </c>
      <c r="W807" t="s">
        <v>32</v>
      </c>
      <c r="X807" t="s">
        <v>32</v>
      </c>
      <c r="Y807" t="s">
        <v>32</v>
      </c>
      <c r="AA807" t="s">
        <v>88</v>
      </c>
      <c r="AB807" t="s">
        <v>32</v>
      </c>
      <c r="AE807" t="s">
        <v>32</v>
      </c>
      <c r="AH807" t="s">
        <v>32</v>
      </c>
      <c r="AK807" t="s">
        <v>32</v>
      </c>
      <c r="AN807" t="s">
        <v>32</v>
      </c>
      <c r="AO807" t="s">
        <v>32</v>
      </c>
      <c r="AR807">
        <v>0</v>
      </c>
      <c r="AU807" t="s">
        <v>32</v>
      </c>
      <c r="AV807">
        <v>5676577</v>
      </c>
      <c r="AW807" t="s">
        <v>32</v>
      </c>
      <c r="AX807" t="s">
        <v>32</v>
      </c>
      <c r="AY807" t="s">
        <v>317</v>
      </c>
      <c r="AZ807">
        <v>30</v>
      </c>
      <c r="BA807">
        <v>8523893</v>
      </c>
      <c r="BB807">
        <v>0.15999999642372131</v>
      </c>
      <c r="BC807">
        <v>1363900</v>
      </c>
      <c r="BD807" t="s">
        <v>31</v>
      </c>
      <c r="BE807">
        <v>0</v>
      </c>
      <c r="BF807">
        <v>0</v>
      </c>
      <c r="BG807">
        <v>42700</v>
      </c>
      <c r="BH807">
        <v>42700</v>
      </c>
      <c r="BI807">
        <v>0</v>
      </c>
      <c r="BJ807">
        <v>1449300</v>
      </c>
      <c r="BK807" t="s">
        <v>25</v>
      </c>
      <c r="BL807" t="s">
        <v>1071</v>
      </c>
      <c r="BM807">
        <v>30</v>
      </c>
      <c r="BN807">
        <v>8523893</v>
      </c>
      <c r="BO807">
        <v>3.9999999105930328E-2</v>
      </c>
      <c r="BP807">
        <v>341000</v>
      </c>
      <c r="BQ807">
        <v>0</v>
      </c>
      <c r="BS807">
        <v>0</v>
      </c>
      <c r="BU807">
        <v>0</v>
      </c>
      <c r="BV807" t="s">
        <v>25</v>
      </c>
      <c r="BW807" t="s">
        <v>189</v>
      </c>
      <c r="BX807">
        <v>30</v>
      </c>
      <c r="BY807">
        <v>8523893</v>
      </c>
      <c r="BZ807">
        <v>5.2200001664459705E-3</v>
      </c>
      <c r="CA807" t="s">
        <v>1592</v>
      </c>
      <c r="CB807" t="s">
        <v>227</v>
      </c>
      <c r="CC807" t="s">
        <v>1593</v>
      </c>
      <c r="CD807">
        <v>44500</v>
      </c>
      <c r="CE807">
        <v>30</v>
      </c>
      <c r="CF807" t="s">
        <v>635</v>
      </c>
      <c r="CG807">
        <v>5676577</v>
      </c>
      <c r="CH807">
        <v>3.9999999105930328E-2</v>
      </c>
      <c r="CI807">
        <v>227100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 t="s">
        <v>88</v>
      </c>
      <c r="CT807" t="s">
        <v>142</v>
      </c>
      <c r="CU807" t="s">
        <v>1442</v>
      </c>
    </row>
    <row r="808" spans="1:99">
      <c r="A808" t="s">
        <v>3047</v>
      </c>
      <c r="B808" t="s">
        <v>34</v>
      </c>
      <c r="C808" t="s">
        <v>1944</v>
      </c>
      <c r="D808" t="s">
        <v>1945</v>
      </c>
      <c r="E808" t="s">
        <v>1620</v>
      </c>
      <c r="F808" t="s">
        <v>1088</v>
      </c>
      <c r="G808" t="s">
        <v>1436</v>
      </c>
      <c r="H808" t="s">
        <v>1850</v>
      </c>
      <c r="I808" t="s">
        <v>682</v>
      </c>
      <c r="J808" t="s">
        <v>484</v>
      </c>
      <c r="K808" t="s">
        <v>29</v>
      </c>
      <c r="L808" t="s">
        <v>30</v>
      </c>
      <c r="M808">
        <v>151</v>
      </c>
      <c r="N808" t="s">
        <v>32</v>
      </c>
      <c r="O808" t="s">
        <v>32</v>
      </c>
      <c r="Q808" t="s">
        <v>40</v>
      </c>
      <c r="R808">
        <v>46059</v>
      </c>
      <c r="S808" t="s">
        <v>40</v>
      </c>
      <c r="T808">
        <v>46079</v>
      </c>
      <c r="U808" t="s">
        <v>32</v>
      </c>
      <c r="V808" t="s">
        <v>32</v>
      </c>
      <c r="W808" t="s">
        <v>32</v>
      </c>
      <c r="X808" t="s">
        <v>32</v>
      </c>
      <c r="Y808" t="s">
        <v>32</v>
      </c>
      <c r="AA808" t="s">
        <v>88</v>
      </c>
      <c r="AB808" t="s">
        <v>32</v>
      </c>
      <c r="AE808" t="s">
        <v>32</v>
      </c>
      <c r="AH808" t="s">
        <v>32</v>
      </c>
      <c r="AK808" t="s">
        <v>32</v>
      </c>
      <c r="AN808" t="s">
        <v>32</v>
      </c>
      <c r="AO808" t="s">
        <v>32</v>
      </c>
      <c r="AR808">
        <v>0</v>
      </c>
      <c r="AU808" t="s">
        <v>32</v>
      </c>
      <c r="AV808">
        <v>2223339</v>
      </c>
      <c r="AW808" t="s">
        <v>32</v>
      </c>
      <c r="AX808" t="s">
        <v>32</v>
      </c>
      <c r="AY808" t="s">
        <v>356</v>
      </c>
      <c r="AZ808">
        <v>21</v>
      </c>
      <c r="BA808">
        <v>2117562</v>
      </c>
      <c r="BB808">
        <v>0.15999999642372131</v>
      </c>
      <c r="BC808">
        <v>338900</v>
      </c>
      <c r="BD808" t="s">
        <v>31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338900</v>
      </c>
      <c r="BK808" t="s">
        <v>25</v>
      </c>
      <c r="BL808" t="s">
        <v>1010</v>
      </c>
      <c r="BM808">
        <v>21</v>
      </c>
      <c r="BN808">
        <v>2117562</v>
      </c>
      <c r="BO808">
        <v>3.9999999105930328E-2</v>
      </c>
      <c r="BP808">
        <v>84800</v>
      </c>
      <c r="BQ808">
        <v>0</v>
      </c>
      <c r="BS808">
        <v>0</v>
      </c>
      <c r="BU808">
        <v>0</v>
      </c>
      <c r="BV808" t="s">
        <v>25</v>
      </c>
      <c r="BW808" t="s">
        <v>189</v>
      </c>
      <c r="BX808">
        <v>21</v>
      </c>
      <c r="BY808">
        <v>2117562</v>
      </c>
      <c r="BZ808">
        <v>6.9600000977516174E-2</v>
      </c>
      <c r="CA808" t="s">
        <v>1439</v>
      </c>
      <c r="CB808" t="s">
        <v>312</v>
      </c>
      <c r="CC808" t="s">
        <v>1440</v>
      </c>
      <c r="CD808">
        <v>147400</v>
      </c>
      <c r="CE808">
        <v>21</v>
      </c>
      <c r="CF808" t="s">
        <v>466</v>
      </c>
      <c r="CG808">
        <v>1960078</v>
      </c>
      <c r="CH808">
        <v>3.9999999105930328E-2</v>
      </c>
      <c r="CI808">
        <v>78500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 t="s">
        <v>88</v>
      </c>
      <c r="CT808" t="s">
        <v>142</v>
      </c>
      <c r="CU808" t="s">
        <v>1442</v>
      </c>
    </row>
    <row r="809" spans="1:99">
      <c r="A809" t="s">
        <v>3047</v>
      </c>
      <c r="B809" t="s">
        <v>34</v>
      </c>
      <c r="C809" t="s">
        <v>1946</v>
      </c>
      <c r="D809" t="s">
        <v>1947</v>
      </c>
      <c r="E809" t="s">
        <v>457</v>
      </c>
      <c r="F809" t="s">
        <v>1948</v>
      </c>
      <c r="G809" t="s">
        <v>1949</v>
      </c>
      <c r="H809" t="s">
        <v>1548</v>
      </c>
      <c r="I809" t="s">
        <v>682</v>
      </c>
      <c r="J809" t="s">
        <v>484</v>
      </c>
      <c r="K809" t="s">
        <v>29</v>
      </c>
      <c r="L809" t="s">
        <v>30</v>
      </c>
      <c r="M809">
        <v>218</v>
      </c>
      <c r="N809" t="s">
        <v>32</v>
      </c>
      <c r="O809" t="s">
        <v>32</v>
      </c>
      <c r="Q809" t="s">
        <v>32</v>
      </c>
      <c r="S809" t="s">
        <v>32</v>
      </c>
      <c r="U809" t="s">
        <v>32</v>
      </c>
      <c r="V809" t="s">
        <v>32</v>
      </c>
      <c r="W809" t="s">
        <v>32</v>
      </c>
      <c r="X809" t="s">
        <v>32</v>
      </c>
      <c r="Y809" t="s">
        <v>32</v>
      </c>
      <c r="AA809" t="s">
        <v>88</v>
      </c>
      <c r="AB809" t="s">
        <v>32</v>
      </c>
      <c r="AE809" t="s">
        <v>32</v>
      </c>
      <c r="AH809" t="s">
        <v>32</v>
      </c>
      <c r="AK809" t="s">
        <v>32</v>
      </c>
      <c r="AN809" t="s">
        <v>32</v>
      </c>
      <c r="AO809" t="s">
        <v>32</v>
      </c>
      <c r="AR809">
        <v>0</v>
      </c>
      <c r="AU809" t="s">
        <v>32</v>
      </c>
      <c r="AV809">
        <v>2056650</v>
      </c>
      <c r="AW809" t="s">
        <v>32</v>
      </c>
      <c r="AX809" t="s">
        <v>32</v>
      </c>
      <c r="AY809" t="s">
        <v>317</v>
      </c>
      <c r="AZ809">
        <v>30</v>
      </c>
      <c r="BA809">
        <v>2666846</v>
      </c>
      <c r="BB809">
        <v>0.15999999642372131</v>
      </c>
      <c r="BC809">
        <v>426700</v>
      </c>
      <c r="BD809" t="s">
        <v>31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426700</v>
      </c>
      <c r="BK809" t="s">
        <v>25</v>
      </c>
      <c r="BL809" t="s">
        <v>1010</v>
      </c>
      <c r="BM809">
        <v>30</v>
      </c>
      <c r="BN809">
        <v>2666846</v>
      </c>
      <c r="BO809">
        <v>3.9999999105930328E-2</v>
      </c>
      <c r="BP809">
        <v>106700</v>
      </c>
      <c r="BQ809">
        <v>0</v>
      </c>
      <c r="BS809">
        <v>0</v>
      </c>
      <c r="BU809">
        <v>0</v>
      </c>
      <c r="BV809" t="s">
        <v>25</v>
      </c>
      <c r="BW809" t="s">
        <v>189</v>
      </c>
      <c r="BX809">
        <v>30</v>
      </c>
      <c r="BY809">
        <v>2666846</v>
      </c>
      <c r="BZ809">
        <v>6.9600000977516174E-2</v>
      </c>
      <c r="CA809" t="s">
        <v>1439</v>
      </c>
      <c r="CB809" t="s">
        <v>312</v>
      </c>
      <c r="CC809" t="s">
        <v>1440</v>
      </c>
      <c r="CD809">
        <v>185700</v>
      </c>
      <c r="CE809">
        <v>30</v>
      </c>
      <c r="CF809" t="s">
        <v>466</v>
      </c>
      <c r="CG809">
        <v>2577123</v>
      </c>
      <c r="CH809">
        <v>3.9999999105930328E-2</v>
      </c>
      <c r="CI809">
        <v>103100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 t="s">
        <v>88</v>
      </c>
      <c r="CT809" t="s">
        <v>142</v>
      </c>
      <c r="CU809" t="s">
        <v>1442</v>
      </c>
    </row>
    <row r="810" spans="1:99">
      <c r="A810" t="s">
        <v>3047</v>
      </c>
      <c r="B810" t="s">
        <v>34</v>
      </c>
      <c r="C810" t="s">
        <v>1950</v>
      </c>
      <c r="D810" t="s">
        <v>1951</v>
      </c>
      <c r="E810" t="s">
        <v>1952</v>
      </c>
      <c r="F810" t="s">
        <v>1953</v>
      </c>
      <c r="G810" t="s">
        <v>1446</v>
      </c>
      <c r="H810" t="s">
        <v>1830</v>
      </c>
      <c r="I810" t="s">
        <v>240</v>
      </c>
      <c r="J810" t="s">
        <v>46</v>
      </c>
      <c r="K810" t="s">
        <v>29</v>
      </c>
      <c r="L810" t="s">
        <v>30</v>
      </c>
      <c r="M810">
        <v>74</v>
      </c>
      <c r="N810" t="s">
        <v>32</v>
      </c>
      <c r="O810" t="s">
        <v>32</v>
      </c>
      <c r="Q810" t="s">
        <v>40</v>
      </c>
      <c r="R810">
        <v>46071</v>
      </c>
      <c r="S810" t="s">
        <v>32</v>
      </c>
      <c r="U810" t="s">
        <v>32</v>
      </c>
      <c r="V810" t="s">
        <v>32</v>
      </c>
      <c r="W810" t="s">
        <v>32</v>
      </c>
      <c r="X810" t="s">
        <v>32</v>
      </c>
      <c r="Y810" t="s">
        <v>32</v>
      </c>
      <c r="AA810" t="s">
        <v>88</v>
      </c>
      <c r="AB810" t="s">
        <v>32</v>
      </c>
      <c r="AE810" t="s">
        <v>32</v>
      </c>
      <c r="AH810" t="s">
        <v>32</v>
      </c>
      <c r="AK810" t="s">
        <v>32</v>
      </c>
      <c r="AN810" t="s">
        <v>32</v>
      </c>
      <c r="AO810" t="s">
        <v>32</v>
      </c>
      <c r="AR810">
        <v>0</v>
      </c>
      <c r="AU810" t="s">
        <v>32</v>
      </c>
      <c r="AV810">
        <v>2223339</v>
      </c>
      <c r="AW810" t="s">
        <v>32</v>
      </c>
      <c r="AX810" t="s">
        <v>32</v>
      </c>
      <c r="AY810" t="s">
        <v>356</v>
      </c>
      <c r="AZ810">
        <v>13</v>
      </c>
      <c r="BA810">
        <v>988712</v>
      </c>
      <c r="BB810">
        <v>0.15999999642372131</v>
      </c>
      <c r="BC810">
        <v>158200</v>
      </c>
      <c r="BD810" t="s">
        <v>31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158200</v>
      </c>
      <c r="BK810" t="s">
        <v>25</v>
      </c>
      <c r="BL810" t="s">
        <v>1010</v>
      </c>
      <c r="BM810">
        <v>13</v>
      </c>
      <c r="BN810">
        <v>988712</v>
      </c>
      <c r="BO810">
        <v>3.9999999105930328E-2</v>
      </c>
      <c r="BP810">
        <v>39600</v>
      </c>
      <c r="BQ810">
        <v>0</v>
      </c>
      <c r="BS810">
        <v>0</v>
      </c>
      <c r="BU810">
        <v>0</v>
      </c>
      <c r="BV810" t="s">
        <v>25</v>
      </c>
      <c r="BW810" t="s">
        <v>189</v>
      </c>
      <c r="BX810">
        <v>13</v>
      </c>
      <c r="BY810">
        <v>988712</v>
      </c>
      <c r="BZ810">
        <v>6.9600000977516174E-2</v>
      </c>
      <c r="CA810" t="s">
        <v>1439</v>
      </c>
      <c r="CB810" t="s">
        <v>227</v>
      </c>
      <c r="CC810" t="s">
        <v>1440</v>
      </c>
      <c r="CD810">
        <v>68900</v>
      </c>
      <c r="CE810">
        <v>13</v>
      </c>
      <c r="CF810" t="s">
        <v>635</v>
      </c>
      <c r="CG810">
        <v>988712</v>
      </c>
      <c r="CH810">
        <v>3.9999999105930328E-2</v>
      </c>
      <c r="CI810">
        <v>39600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 t="s">
        <v>88</v>
      </c>
      <c r="CT810" t="s">
        <v>142</v>
      </c>
      <c r="CU810" t="s">
        <v>1442</v>
      </c>
    </row>
    <row r="811" spans="1:99">
      <c r="A811" t="s">
        <v>3047</v>
      </c>
      <c r="B811" t="s">
        <v>34</v>
      </c>
      <c r="C811" t="s">
        <v>1954</v>
      </c>
      <c r="D811" t="s">
        <v>1955</v>
      </c>
      <c r="E811" t="s">
        <v>614</v>
      </c>
      <c r="F811" t="s">
        <v>1506</v>
      </c>
      <c r="G811" t="s">
        <v>1956</v>
      </c>
      <c r="H811" t="s">
        <v>1957</v>
      </c>
      <c r="I811" t="s">
        <v>240</v>
      </c>
      <c r="J811" t="s">
        <v>46</v>
      </c>
      <c r="K811" t="s">
        <v>29</v>
      </c>
      <c r="L811" t="s">
        <v>30</v>
      </c>
      <c r="M811">
        <v>0</v>
      </c>
      <c r="N811" t="s">
        <v>32</v>
      </c>
      <c r="O811" t="s">
        <v>32</v>
      </c>
      <c r="Q811" t="s">
        <v>32</v>
      </c>
      <c r="S811" t="s">
        <v>32</v>
      </c>
      <c r="U811" t="s">
        <v>32</v>
      </c>
      <c r="V811" t="s">
        <v>32</v>
      </c>
      <c r="W811" t="s">
        <v>32</v>
      </c>
      <c r="X811" t="s">
        <v>32</v>
      </c>
      <c r="Y811" t="s">
        <v>32</v>
      </c>
      <c r="AA811" t="s">
        <v>32</v>
      </c>
      <c r="AB811" t="s">
        <v>32</v>
      </c>
      <c r="AE811" t="s">
        <v>32</v>
      </c>
      <c r="AH811" t="s">
        <v>32</v>
      </c>
      <c r="AK811" t="s">
        <v>128</v>
      </c>
      <c r="AL811">
        <v>46069</v>
      </c>
      <c r="AM811">
        <v>46069</v>
      </c>
      <c r="AN811" t="s">
        <v>32</v>
      </c>
      <c r="AO811" t="s">
        <v>32</v>
      </c>
      <c r="AR811">
        <v>0</v>
      </c>
      <c r="AU811" t="s">
        <v>32</v>
      </c>
      <c r="AV811">
        <v>6384779</v>
      </c>
      <c r="AW811" t="s">
        <v>32</v>
      </c>
      <c r="AX811" t="s">
        <v>32</v>
      </c>
      <c r="AY811" t="s">
        <v>317</v>
      </c>
      <c r="AZ811">
        <v>1</v>
      </c>
      <c r="BA811">
        <v>212826</v>
      </c>
      <c r="BB811">
        <v>0.15999999642372131</v>
      </c>
      <c r="BC811">
        <v>34100</v>
      </c>
      <c r="BD811" t="s">
        <v>31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34100</v>
      </c>
      <c r="BK811" t="s">
        <v>25</v>
      </c>
      <c r="BL811" t="s">
        <v>1010</v>
      </c>
      <c r="BM811">
        <v>1</v>
      </c>
      <c r="BN811">
        <v>212826</v>
      </c>
      <c r="BO811">
        <v>3.9999999105930328E-2</v>
      </c>
      <c r="BP811">
        <v>8600</v>
      </c>
      <c r="BQ811">
        <v>0</v>
      </c>
      <c r="BS811">
        <v>0</v>
      </c>
      <c r="BU811">
        <v>0</v>
      </c>
      <c r="BV811" t="s">
        <v>25</v>
      </c>
      <c r="BW811" t="s">
        <v>189</v>
      </c>
      <c r="BX811">
        <v>1</v>
      </c>
      <c r="BY811">
        <v>212826</v>
      </c>
      <c r="BZ811">
        <v>0</v>
      </c>
      <c r="CA811" t="s">
        <v>1439</v>
      </c>
      <c r="CB811" t="s">
        <v>227</v>
      </c>
      <c r="CC811" t="s">
        <v>1440</v>
      </c>
      <c r="CD811">
        <v>0</v>
      </c>
      <c r="CE811">
        <v>1</v>
      </c>
      <c r="CF811" t="s">
        <v>635</v>
      </c>
      <c r="CG811">
        <v>212826</v>
      </c>
      <c r="CH811">
        <v>3.9999999105930328E-2</v>
      </c>
      <c r="CI811">
        <v>8600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 t="s">
        <v>88</v>
      </c>
      <c r="CT811" t="s">
        <v>142</v>
      </c>
      <c r="CU811" t="s">
        <v>1442</v>
      </c>
    </row>
    <row r="812" spans="1:99">
      <c r="A812" t="s">
        <v>3047</v>
      </c>
      <c r="B812" t="s">
        <v>34</v>
      </c>
      <c r="C812" t="s">
        <v>1954</v>
      </c>
      <c r="D812" t="s">
        <v>1955</v>
      </c>
      <c r="E812" t="s">
        <v>614</v>
      </c>
      <c r="F812" t="s">
        <v>1506</v>
      </c>
      <c r="G812" t="s">
        <v>1956</v>
      </c>
      <c r="H812" t="s">
        <v>1957</v>
      </c>
      <c r="I812" t="s">
        <v>240</v>
      </c>
      <c r="J812" t="s">
        <v>46</v>
      </c>
      <c r="K812" t="s">
        <v>29</v>
      </c>
      <c r="L812" t="s">
        <v>30</v>
      </c>
      <c r="M812">
        <v>171</v>
      </c>
      <c r="N812" t="s">
        <v>32</v>
      </c>
      <c r="O812" t="s">
        <v>32</v>
      </c>
      <c r="Q812" t="s">
        <v>32</v>
      </c>
      <c r="S812" t="s">
        <v>32</v>
      </c>
      <c r="U812" t="s">
        <v>32</v>
      </c>
      <c r="V812" t="s">
        <v>32</v>
      </c>
      <c r="W812" t="s">
        <v>32</v>
      </c>
      <c r="X812" t="s">
        <v>32</v>
      </c>
      <c r="Y812" t="s">
        <v>32</v>
      </c>
      <c r="AA812" t="s">
        <v>88</v>
      </c>
      <c r="AB812" t="s">
        <v>32</v>
      </c>
      <c r="AE812" t="s">
        <v>32</v>
      </c>
      <c r="AH812" t="s">
        <v>32</v>
      </c>
      <c r="AK812" t="s">
        <v>32</v>
      </c>
      <c r="AN812" t="s">
        <v>32</v>
      </c>
      <c r="AO812" t="s">
        <v>32</v>
      </c>
      <c r="AR812">
        <v>0</v>
      </c>
      <c r="AU812" t="s">
        <v>32</v>
      </c>
      <c r="AV812">
        <v>6384779</v>
      </c>
      <c r="AW812" t="s">
        <v>32</v>
      </c>
      <c r="AX812" t="s">
        <v>32</v>
      </c>
      <c r="AY812" t="s">
        <v>317</v>
      </c>
      <c r="AZ812">
        <v>29</v>
      </c>
      <c r="BA812">
        <v>6171954</v>
      </c>
      <c r="BB812">
        <v>0.15999999642372131</v>
      </c>
      <c r="BC812">
        <v>987600</v>
      </c>
      <c r="BD812" t="s">
        <v>31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987600</v>
      </c>
      <c r="BK812" t="s">
        <v>25</v>
      </c>
      <c r="BL812" t="s">
        <v>1010</v>
      </c>
      <c r="BM812">
        <v>29</v>
      </c>
      <c r="BN812">
        <v>6171954</v>
      </c>
      <c r="BO812">
        <v>3.9999999105930328E-2</v>
      </c>
      <c r="BP812">
        <v>246900</v>
      </c>
      <c r="BQ812">
        <v>0</v>
      </c>
      <c r="BS812">
        <v>0</v>
      </c>
      <c r="BU812">
        <v>0</v>
      </c>
      <c r="BV812" t="s">
        <v>25</v>
      </c>
      <c r="BW812" t="s">
        <v>189</v>
      </c>
      <c r="BX812">
        <v>29</v>
      </c>
      <c r="BY812">
        <v>6171954</v>
      </c>
      <c r="BZ812">
        <v>6.9600000977516174E-2</v>
      </c>
      <c r="CA812" t="s">
        <v>1439</v>
      </c>
      <c r="CB812" t="s">
        <v>227</v>
      </c>
      <c r="CC812" t="s">
        <v>1440</v>
      </c>
      <c r="CD812">
        <v>429600</v>
      </c>
      <c r="CE812">
        <v>29</v>
      </c>
      <c r="CF812" t="s">
        <v>635</v>
      </c>
      <c r="CG812">
        <v>6171954</v>
      </c>
      <c r="CH812">
        <v>3.9999999105930328E-2</v>
      </c>
      <c r="CI812">
        <v>246900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 t="s">
        <v>88</v>
      </c>
      <c r="CT812" t="s">
        <v>142</v>
      </c>
      <c r="CU812" t="s">
        <v>1442</v>
      </c>
    </row>
    <row r="813" spans="1:99">
      <c r="A813" t="s">
        <v>3047</v>
      </c>
      <c r="B813" t="s">
        <v>34</v>
      </c>
      <c r="C813" t="s">
        <v>1958</v>
      </c>
      <c r="D813" t="s">
        <v>1959</v>
      </c>
      <c r="E813" t="s">
        <v>1960</v>
      </c>
      <c r="F813" t="s">
        <v>1961</v>
      </c>
      <c r="G813" t="s">
        <v>1478</v>
      </c>
      <c r="H813" t="s">
        <v>1548</v>
      </c>
      <c r="I813" t="s">
        <v>240</v>
      </c>
      <c r="J813" t="s">
        <v>46</v>
      </c>
      <c r="K813" t="s">
        <v>29</v>
      </c>
      <c r="L813" t="s">
        <v>30</v>
      </c>
      <c r="M813">
        <v>180</v>
      </c>
      <c r="N813" t="s">
        <v>32</v>
      </c>
      <c r="O813" t="s">
        <v>32</v>
      </c>
      <c r="Q813" t="s">
        <v>32</v>
      </c>
      <c r="S813" t="s">
        <v>32</v>
      </c>
      <c r="U813" t="s">
        <v>32</v>
      </c>
      <c r="V813" t="s">
        <v>32</v>
      </c>
      <c r="W813" t="s">
        <v>32</v>
      </c>
      <c r="X813" t="s">
        <v>32</v>
      </c>
      <c r="Y813" t="s">
        <v>32</v>
      </c>
      <c r="AA813" t="s">
        <v>88</v>
      </c>
      <c r="AB813" t="s">
        <v>32</v>
      </c>
      <c r="AE813" t="s">
        <v>32</v>
      </c>
      <c r="AH813" t="s">
        <v>32</v>
      </c>
      <c r="AK813" t="s">
        <v>32</v>
      </c>
      <c r="AN813" t="s">
        <v>32</v>
      </c>
      <c r="AO813" t="s">
        <v>32</v>
      </c>
      <c r="AR813">
        <v>0</v>
      </c>
      <c r="AU813" t="s">
        <v>32</v>
      </c>
      <c r="AV813">
        <v>4152090</v>
      </c>
      <c r="AW813" t="s">
        <v>32</v>
      </c>
      <c r="AX813" t="s">
        <v>32</v>
      </c>
      <c r="AY813" t="s">
        <v>185</v>
      </c>
      <c r="AZ813">
        <v>30</v>
      </c>
      <c r="BA813">
        <v>4152090</v>
      </c>
      <c r="BB813">
        <v>0.15999999642372131</v>
      </c>
      <c r="BC813">
        <v>664400</v>
      </c>
      <c r="BD813" t="s">
        <v>31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664400</v>
      </c>
      <c r="BK813" t="s">
        <v>25</v>
      </c>
      <c r="BL813" t="s">
        <v>1071</v>
      </c>
      <c r="BM813">
        <v>30</v>
      </c>
      <c r="BN813">
        <v>4152090</v>
      </c>
      <c r="BO813">
        <v>3.9999999105930328E-2</v>
      </c>
      <c r="BP813">
        <v>166100</v>
      </c>
      <c r="BQ813">
        <v>0</v>
      </c>
      <c r="BS813">
        <v>0</v>
      </c>
      <c r="BU813">
        <v>0</v>
      </c>
      <c r="BV813" t="s">
        <v>25</v>
      </c>
      <c r="BW813" t="s">
        <v>189</v>
      </c>
      <c r="BX813">
        <v>30</v>
      </c>
      <c r="BY813">
        <v>4152090</v>
      </c>
      <c r="BZ813">
        <v>6.9600000977516174E-2</v>
      </c>
      <c r="CA813" t="s">
        <v>1439</v>
      </c>
      <c r="CB813" t="s">
        <v>227</v>
      </c>
      <c r="CC813" t="s">
        <v>1440</v>
      </c>
      <c r="CD813">
        <v>289000</v>
      </c>
      <c r="CE813">
        <v>30</v>
      </c>
      <c r="CF813" t="s">
        <v>635</v>
      </c>
      <c r="CG813">
        <v>4152090</v>
      </c>
      <c r="CH813">
        <v>3.9999999105930328E-2</v>
      </c>
      <c r="CI813">
        <v>166100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 t="s">
        <v>88</v>
      </c>
      <c r="CT813" t="s">
        <v>142</v>
      </c>
      <c r="CU813" t="s">
        <v>1442</v>
      </c>
    </row>
    <row r="814" spans="1:99">
      <c r="A814" t="s">
        <v>3047</v>
      </c>
      <c r="B814" t="s">
        <v>34</v>
      </c>
      <c r="C814" t="s">
        <v>1962</v>
      </c>
      <c r="D814" t="s">
        <v>1963</v>
      </c>
      <c r="E814" t="s">
        <v>1471</v>
      </c>
      <c r="F814" t="s">
        <v>1964</v>
      </c>
      <c r="G814" t="s">
        <v>1965</v>
      </c>
      <c r="H814" t="s">
        <v>1468</v>
      </c>
      <c r="I814" t="s">
        <v>240</v>
      </c>
      <c r="J814" t="s">
        <v>46</v>
      </c>
      <c r="K814" t="s">
        <v>29</v>
      </c>
      <c r="L814" t="s">
        <v>30</v>
      </c>
      <c r="M814">
        <v>218</v>
      </c>
      <c r="N814" t="s">
        <v>32</v>
      </c>
      <c r="O814" t="s">
        <v>32</v>
      </c>
      <c r="Q814" t="s">
        <v>32</v>
      </c>
      <c r="S814" t="s">
        <v>32</v>
      </c>
      <c r="U814" t="s">
        <v>32</v>
      </c>
      <c r="V814" t="s">
        <v>32</v>
      </c>
      <c r="W814" t="s">
        <v>32</v>
      </c>
      <c r="X814" t="s">
        <v>32</v>
      </c>
      <c r="Y814" t="s">
        <v>32</v>
      </c>
      <c r="AA814" t="s">
        <v>88</v>
      </c>
      <c r="AB814" t="s">
        <v>32</v>
      </c>
      <c r="AE814" t="s">
        <v>32</v>
      </c>
      <c r="AH814" t="s">
        <v>32</v>
      </c>
      <c r="AK814" t="s">
        <v>32</v>
      </c>
      <c r="AN814" t="s">
        <v>32</v>
      </c>
      <c r="AO814" t="s">
        <v>32</v>
      </c>
      <c r="AR814">
        <v>0</v>
      </c>
      <c r="AU814" t="s">
        <v>32</v>
      </c>
      <c r="AV814">
        <v>2223339</v>
      </c>
      <c r="AW814" t="s">
        <v>32</v>
      </c>
      <c r="AX814" t="s">
        <v>32</v>
      </c>
      <c r="AY814" t="s">
        <v>393</v>
      </c>
      <c r="AZ814">
        <v>30</v>
      </c>
      <c r="BA814">
        <v>3015186</v>
      </c>
      <c r="BB814">
        <v>0.15999999642372131</v>
      </c>
      <c r="BC814">
        <v>482500</v>
      </c>
      <c r="BD814" t="s">
        <v>31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482500</v>
      </c>
      <c r="BK814" t="s">
        <v>25</v>
      </c>
      <c r="BL814" t="s">
        <v>1064</v>
      </c>
      <c r="BM814">
        <v>30</v>
      </c>
      <c r="BN814">
        <v>3015186</v>
      </c>
      <c r="BO814">
        <v>3.9999999105930328E-2</v>
      </c>
      <c r="BP814">
        <v>120700</v>
      </c>
      <c r="BQ814">
        <v>0</v>
      </c>
      <c r="BS814">
        <v>0</v>
      </c>
      <c r="BU814">
        <v>0</v>
      </c>
      <c r="BV814" t="s">
        <v>25</v>
      </c>
      <c r="BW814" t="s">
        <v>189</v>
      </c>
      <c r="BX814">
        <v>30</v>
      </c>
      <c r="BY814">
        <v>3015186</v>
      </c>
      <c r="BZ814">
        <v>6.9600000977516174E-2</v>
      </c>
      <c r="CA814" t="s">
        <v>1439</v>
      </c>
      <c r="CB814" t="s">
        <v>227</v>
      </c>
      <c r="CC814" t="s">
        <v>1440</v>
      </c>
      <c r="CD814">
        <v>209900</v>
      </c>
      <c r="CE814">
        <v>30</v>
      </c>
      <c r="CF814" t="s">
        <v>635</v>
      </c>
      <c r="CG814">
        <v>3015186</v>
      </c>
      <c r="CH814">
        <v>3.9999999105930328E-2</v>
      </c>
      <c r="CI814">
        <v>120700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 t="s">
        <v>88</v>
      </c>
      <c r="CT814" t="s">
        <v>142</v>
      </c>
      <c r="CU814" t="s">
        <v>1442</v>
      </c>
    </row>
    <row r="815" spans="1:99">
      <c r="A815" t="s">
        <v>3047</v>
      </c>
      <c r="B815" t="s">
        <v>34</v>
      </c>
      <c r="C815" t="s">
        <v>1966</v>
      </c>
      <c r="D815" t="s">
        <v>1967</v>
      </c>
      <c r="E815" t="s">
        <v>916</v>
      </c>
      <c r="F815" t="s">
        <v>1506</v>
      </c>
      <c r="G815" t="s">
        <v>1436</v>
      </c>
      <c r="H815" t="s">
        <v>1968</v>
      </c>
      <c r="I815" t="s">
        <v>682</v>
      </c>
      <c r="J815" t="s">
        <v>484</v>
      </c>
      <c r="K815" t="s">
        <v>29</v>
      </c>
      <c r="L815" t="s">
        <v>30</v>
      </c>
      <c r="M815">
        <v>117</v>
      </c>
      <c r="N815" t="s">
        <v>32</v>
      </c>
      <c r="O815" t="s">
        <v>32</v>
      </c>
      <c r="Q815" t="s">
        <v>32</v>
      </c>
      <c r="S815" t="s">
        <v>40</v>
      </c>
      <c r="T815">
        <v>46071</v>
      </c>
      <c r="U815" t="s">
        <v>32</v>
      </c>
      <c r="V815" t="s">
        <v>32</v>
      </c>
      <c r="W815" t="s">
        <v>32</v>
      </c>
      <c r="X815" t="s">
        <v>32</v>
      </c>
      <c r="Y815" t="s">
        <v>88</v>
      </c>
      <c r="Z815">
        <v>46054</v>
      </c>
      <c r="AA815" t="s">
        <v>88</v>
      </c>
      <c r="AB815" t="s">
        <v>32</v>
      </c>
      <c r="AE815" t="s">
        <v>32</v>
      </c>
      <c r="AH815" t="s">
        <v>32</v>
      </c>
      <c r="AK815" t="s">
        <v>32</v>
      </c>
      <c r="AN815" t="s">
        <v>32</v>
      </c>
      <c r="AO815" t="s">
        <v>32</v>
      </c>
      <c r="AR815">
        <v>0</v>
      </c>
      <c r="AU815" t="s">
        <v>32</v>
      </c>
      <c r="AV815">
        <v>4798033</v>
      </c>
      <c r="AW815" t="s">
        <v>32</v>
      </c>
      <c r="AX815" t="s">
        <v>32</v>
      </c>
      <c r="AY815" t="s">
        <v>185</v>
      </c>
      <c r="AZ815">
        <v>18</v>
      </c>
      <c r="BA815">
        <v>3360524</v>
      </c>
      <c r="BB815">
        <v>0.15999999642372131</v>
      </c>
      <c r="BC815">
        <v>537700</v>
      </c>
      <c r="BD815" t="s">
        <v>31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537700</v>
      </c>
      <c r="BK815" t="s">
        <v>25</v>
      </c>
      <c r="BL815" t="s">
        <v>1071</v>
      </c>
      <c r="BM815">
        <v>18</v>
      </c>
      <c r="BN815">
        <v>3360524</v>
      </c>
      <c r="BO815">
        <v>3.9999999105930328E-2</v>
      </c>
      <c r="BP815">
        <v>134500</v>
      </c>
      <c r="BQ815">
        <v>0</v>
      </c>
      <c r="BS815">
        <v>0</v>
      </c>
      <c r="BU815">
        <v>0</v>
      </c>
      <c r="BV815" t="s">
        <v>25</v>
      </c>
      <c r="BW815" t="s">
        <v>189</v>
      </c>
      <c r="BX815">
        <v>18</v>
      </c>
      <c r="BY815">
        <v>3360524</v>
      </c>
      <c r="BZ815">
        <v>6.9600000977516174E-2</v>
      </c>
      <c r="CA815" t="s">
        <v>1439</v>
      </c>
      <c r="CB815" t="s">
        <v>312</v>
      </c>
      <c r="CC815" t="s">
        <v>1440</v>
      </c>
      <c r="CD815">
        <v>233900</v>
      </c>
      <c r="CE815">
        <v>18</v>
      </c>
      <c r="CF815" t="s">
        <v>466</v>
      </c>
      <c r="CG815">
        <v>6440560</v>
      </c>
      <c r="CH815">
        <v>3.9999999105930328E-2</v>
      </c>
      <c r="CI815">
        <v>257700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 t="s">
        <v>88</v>
      </c>
      <c r="CT815" t="s">
        <v>142</v>
      </c>
      <c r="CU815" t="s">
        <v>1442</v>
      </c>
    </row>
    <row r="816" spans="1:99">
      <c r="A816" t="s">
        <v>3047</v>
      </c>
      <c r="B816" t="s">
        <v>34</v>
      </c>
      <c r="C816" t="s">
        <v>1969</v>
      </c>
      <c r="D816" t="s">
        <v>1970</v>
      </c>
      <c r="E816" t="s">
        <v>1971</v>
      </c>
      <c r="F816" t="s">
        <v>1972</v>
      </c>
      <c r="G816" t="s">
        <v>1973</v>
      </c>
      <c r="H816" t="s">
        <v>1876</v>
      </c>
      <c r="I816" t="s">
        <v>240</v>
      </c>
      <c r="J816" t="s">
        <v>46</v>
      </c>
      <c r="K816" t="s">
        <v>29</v>
      </c>
      <c r="L816" t="s">
        <v>30</v>
      </c>
      <c r="M816">
        <v>196</v>
      </c>
      <c r="N816" t="s">
        <v>32</v>
      </c>
      <c r="O816" t="s">
        <v>32</v>
      </c>
      <c r="Q816" t="s">
        <v>32</v>
      </c>
      <c r="S816" t="s">
        <v>32</v>
      </c>
      <c r="U816" t="s">
        <v>32</v>
      </c>
      <c r="V816" t="s">
        <v>32</v>
      </c>
      <c r="W816" t="s">
        <v>32</v>
      </c>
      <c r="X816" t="s">
        <v>32</v>
      </c>
      <c r="Y816" t="s">
        <v>32</v>
      </c>
      <c r="AA816" t="s">
        <v>88</v>
      </c>
      <c r="AB816" t="s">
        <v>32</v>
      </c>
      <c r="AE816" t="s">
        <v>32</v>
      </c>
      <c r="AH816" t="s">
        <v>32</v>
      </c>
      <c r="AK816" t="s">
        <v>32</v>
      </c>
      <c r="AN816" t="s">
        <v>32</v>
      </c>
      <c r="AO816" t="s">
        <v>32</v>
      </c>
      <c r="AR816">
        <v>0</v>
      </c>
      <c r="AU816" t="s">
        <v>32</v>
      </c>
      <c r="AV816">
        <v>1750905</v>
      </c>
      <c r="AW816" t="s">
        <v>32</v>
      </c>
      <c r="AX816" t="s">
        <v>32</v>
      </c>
      <c r="AY816" t="s">
        <v>317</v>
      </c>
      <c r="AZ816">
        <v>30</v>
      </c>
      <c r="BA816">
        <v>1830493</v>
      </c>
      <c r="BB816">
        <v>0.15999999642372131</v>
      </c>
      <c r="BC816">
        <v>292900</v>
      </c>
      <c r="BD816" t="s">
        <v>31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292900</v>
      </c>
      <c r="BK816" t="s">
        <v>25</v>
      </c>
      <c r="BL816" t="s">
        <v>885</v>
      </c>
      <c r="BM816">
        <v>30</v>
      </c>
      <c r="BN816">
        <v>1830493</v>
      </c>
      <c r="BO816">
        <v>3.9999999105930328E-2</v>
      </c>
      <c r="BP816">
        <v>73300</v>
      </c>
      <c r="BQ816">
        <v>0</v>
      </c>
      <c r="BS816">
        <v>0</v>
      </c>
      <c r="BU816">
        <v>0</v>
      </c>
      <c r="BV816" t="s">
        <v>25</v>
      </c>
      <c r="BW816" t="s">
        <v>189</v>
      </c>
      <c r="BX816">
        <v>30</v>
      </c>
      <c r="BY816">
        <v>1830493</v>
      </c>
      <c r="BZ816">
        <v>2.4360001087188721E-2</v>
      </c>
      <c r="CA816" t="s">
        <v>1772</v>
      </c>
      <c r="CB816" t="s">
        <v>227</v>
      </c>
      <c r="CC816" t="s">
        <v>1773</v>
      </c>
      <c r="CD816">
        <v>44600</v>
      </c>
      <c r="CE816">
        <v>30</v>
      </c>
      <c r="CF816" t="s">
        <v>635</v>
      </c>
      <c r="CG816">
        <v>1830493</v>
      </c>
      <c r="CH816">
        <v>3.9999999105930328E-2</v>
      </c>
      <c r="CI816">
        <v>73300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 t="s">
        <v>88</v>
      </c>
      <c r="CT816" t="s">
        <v>142</v>
      </c>
      <c r="CU816" t="s">
        <v>1442</v>
      </c>
    </row>
    <row r="817" spans="1:99">
      <c r="A817" t="s">
        <v>3047</v>
      </c>
      <c r="B817" t="s">
        <v>34</v>
      </c>
      <c r="C817" t="s">
        <v>1974</v>
      </c>
      <c r="D817" t="s">
        <v>1975</v>
      </c>
      <c r="E817" t="s">
        <v>1976</v>
      </c>
      <c r="F817" t="s">
        <v>1977</v>
      </c>
      <c r="G817" t="s">
        <v>1978</v>
      </c>
      <c r="H817" t="s">
        <v>1933</v>
      </c>
      <c r="I817" t="s">
        <v>240</v>
      </c>
      <c r="J817" t="s">
        <v>46</v>
      </c>
      <c r="K817" t="s">
        <v>29</v>
      </c>
      <c r="L817" t="s">
        <v>30</v>
      </c>
      <c r="M817">
        <v>188</v>
      </c>
      <c r="N817" t="s">
        <v>32</v>
      </c>
      <c r="O817" t="s">
        <v>32</v>
      </c>
      <c r="Q817" t="s">
        <v>32</v>
      </c>
      <c r="S817" t="s">
        <v>32</v>
      </c>
      <c r="U817" t="s">
        <v>32</v>
      </c>
      <c r="V817" t="s">
        <v>32</v>
      </c>
      <c r="W817" t="s">
        <v>32</v>
      </c>
      <c r="X817" t="s">
        <v>32</v>
      </c>
      <c r="Y817" t="s">
        <v>32</v>
      </c>
      <c r="AA817" t="s">
        <v>88</v>
      </c>
      <c r="AB817" t="s">
        <v>32</v>
      </c>
      <c r="AE817" t="s">
        <v>32</v>
      </c>
      <c r="AH817" t="s">
        <v>32</v>
      </c>
      <c r="AK817" t="s">
        <v>32</v>
      </c>
      <c r="AN817" t="s">
        <v>32</v>
      </c>
      <c r="AO817" t="s">
        <v>32</v>
      </c>
      <c r="AR817">
        <v>0</v>
      </c>
      <c r="AU817" t="s">
        <v>32</v>
      </c>
      <c r="AV817">
        <v>3360265</v>
      </c>
      <c r="AW817" t="s">
        <v>32</v>
      </c>
      <c r="AX817" t="s">
        <v>32</v>
      </c>
      <c r="AY817" t="s">
        <v>317</v>
      </c>
      <c r="AZ817">
        <v>30</v>
      </c>
      <c r="BA817">
        <v>3360265</v>
      </c>
      <c r="BB817">
        <v>0.15999999642372131</v>
      </c>
      <c r="BC817">
        <v>537700</v>
      </c>
      <c r="BD817" t="s">
        <v>31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537700</v>
      </c>
      <c r="BK817" t="s">
        <v>25</v>
      </c>
      <c r="BL817" t="s">
        <v>1064</v>
      </c>
      <c r="BM817">
        <v>30</v>
      </c>
      <c r="BN817">
        <v>3360265</v>
      </c>
      <c r="BO817">
        <v>3.9999999105930328E-2</v>
      </c>
      <c r="BP817">
        <v>134500</v>
      </c>
      <c r="BQ817">
        <v>0</v>
      </c>
      <c r="BS817">
        <v>0</v>
      </c>
      <c r="BU817">
        <v>0</v>
      </c>
      <c r="BV817" t="s">
        <v>25</v>
      </c>
      <c r="BW817" t="s">
        <v>189</v>
      </c>
      <c r="BX817">
        <v>30</v>
      </c>
      <c r="BY817">
        <v>3360265</v>
      </c>
      <c r="BZ817">
        <v>2.4360001087188721E-2</v>
      </c>
      <c r="CA817" t="s">
        <v>1772</v>
      </c>
      <c r="CB817" t="s">
        <v>227</v>
      </c>
      <c r="CC817" t="s">
        <v>1773</v>
      </c>
      <c r="CD817">
        <v>81900</v>
      </c>
      <c r="CE817">
        <v>30</v>
      </c>
      <c r="CF817" t="s">
        <v>635</v>
      </c>
      <c r="CG817">
        <v>3360265</v>
      </c>
      <c r="CH817">
        <v>3.9999999105930328E-2</v>
      </c>
      <c r="CI817">
        <v>134500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 t="s">
        <v>88</v>
      </c>
      <c r="CT817" t="s">
        <v>142</v>
      </c>
      <c r="CU817" t="s">
        <v>1442</v>
      </c>
    </row>
    <row r="818" spans="1:99">
      <c r="A818" t="s">
        <v>3047</v>
      </c>
      <c r="B818" t="s">
        <v>34</v>
      </c>
      <c r="C818" t="s">
        <v>1979</v>
      </c>
      <c r="D818" t="s">
        <v>1980</v>
      </c>
      <c r="E818" t="s">
        <v>1466</v>
      </c>
      <c r="F818" t="s">
        <v>1981</v>
      </c>
      <c r="G818" t="s">
        <v>1901</v>
      </c>
      <c r="H818" t="s">
        <v>1468</v>
      </c>
      <c r="I818" t="s">
        <v>240</v>
      </c>
      <c r="J818" t="s">
        <v>46</v>
      </c>
      <c r="K818" t="s">
        <v>29</v>
      </c>
      <c r="L818" t="s">
        <v>30</v>
      </c>
      <c r="M818">
        <v>218</v>
      </c>
      <c r="N818" t="s">
        <v>32</v>
      </c>
      <c r="O818" t="s">
        <v>32</v>
      </c>
      <c r="Q818" t="s">
        <v>32</v>
      </c>
      <c r="S818" t="s">
        <v>32</v>
      </c>
      <c r="U818" t="s">
        <v>32</v>
      </c>
      <c r="V818" t="s">
        <v>32</v>
      </c>
      <c r="W818" t="s">
        <v>32</v>
      </c>
      <c r="X818" t="s">
        <v>32</v>
      </c>
      <c r="Y818" t="s">
        <v>32</v>
      </c>
      <c r="AA818" t="s">
        <v>88</v>
      </c>
      <c r="AB818" t="s">
        <v>32</v>
      </c>
      <c r="AE818" t="s">
        <v>32</v>
      </c>
      <c r="AH818" t="s">
        <v>32</v>
      </c>
      <c r="AK818" t="s">
        <v>32</v>
      </c>
      <c r="AN818" t="s">
        <v>32</v>
      </c>
      <c r="AO818" t="s">
        <v>32</v>
      </c>
      <c r="AR818">
        <v>0</v>
      </c>
      <c r="AU818" t="s">
        <v>32</v>
      </c>
      <c r="AV818">
        <v>1750905</v>
      </c>
      <c r="AW818" t="s">
        <v>32</v>
      </c>
      <c r="AX818" t="s">
        <v>32</v>
      </c>
      <c r="AY818" t="s">
        <v>317</v>
      </c>
      <c r="AZ818">
        <v>30</v>
      </c>
      <c r="BA818">
        <v>2368367</v>
      </c>
      <c r="BB818">
        <v>0.15999999642372131</v>
      </c>
      <c r="BC818">
        <v>379000</v>
      </c>
      <c r="BD818" t="s">
        <v>31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379000</v>
      </c>
      <c r="BK818" t="s">
        <v>25</v>
      </c>
      <c r="BL818" t="s">
        <v>870</v>
      </c>
      <c r="BM818">
        <v>30</v>
      </c>
      <c r="BN818">
        <v>2368367</v>
      </c>
      <c r="BO818">
        <v>3.9999999105930328E-2</v>
      </c>
      <c r="BP818">
        <v>94800</v>
      </c>
      <c r="BQ818">
        <v>0</v>
      </c>
      <c r="BS818">
        <v>0</v>
      </c>
      <c r="BU818">
        <v>0</v>
      </c>
      <c r="BV818" t="s">
        <v>25</v>
      </c>
      <c r="BW818" t="s">
        <v>189</v>
      </c>
      <c r="BX818">
        <v>30</v>
      </c>
      <c r="BY818">
        <v>2368367</v>
      </c>
      <c r="BZ818">
        <v>6.9600000977516174E-2</v>
      </c>
      <c r="CA818" t="s">
        <v>1439</v>
      </c>
      <c r="CB818" t="s">
        <v>227</v>
      </c>
      <c r="CC818" t="s">
        <v>1440</v>
      </c>
      <c r="CD818">
        <v>164900</v>
      </c>
      <c r="CE818">
        <v>30</v>
      </c>
      <c r="CF818" t="s">
        <v>635</v>
      </c>
      <c r="CG818">
        <v>2368367</v>
      </c>
      <c r="CH818">
        <v>3.9999999105930328E-2</v>
      </c>
      <c r="CI818">
        <v>94800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 t="s">
        <v>88</v>
      </c>
      <c r="CT818" t="s">
        <v>142</v>
      </c>
      <c r="CU818" t="s">
        <v>1442</v>
      </c>
    </row>
    <row r="819" spans="1:99">
      <c r="A819" t="s">
        <v>3047</v>
      </c>
      <c r="B819" t="s">
        <v>34</v>
      </c>
      <c r="C819" t="s">
        <v>1982</v>
      </c>
      <c r="D819" t="s">
        <v>1983</v>
      </c>
      <c r="E819" t="s">
        <v>1913</v>
      </c>
      <c r="F819" t="s">
        <v>1526</v>
      </c>
      <c r="G819" t="s">
        <v>1479</v>
      </c>
      <c r="H819" t="s">
        <v>1984</v>
      </c>
      <c r="I819" t="s">
        <v>240</v>
      </c>
      <c r="J819" t="s">
        <v>46</v>
      </c>
      <c r="K819" t="s">
        <v>29</v>
      </c>
      <c r="L819" t="s">
        <v>30</v>
      </c>
      <c r="M819">
        <v>199</v>
      </c>
      <c r="N819" t="s">
        <v>32</v>
      </c>
      <c r="O819" t="s">
        <v>32</v>
      </c>
      <c r="Q819" t="s">
        <v>40</v>
      </c>
      <c r="R819">
        <v>46055</v>
      </c>
      <c r="S819" t="s">
        <v>32</v>
      </c>
      <c r="U819" t="s">
        <v>32</v>
      </c>
      <c r="V819" t="s">
        <v>32</v>
      </c>
      <c r="W819" t="s">
        <v>32</v>
      </c>
      <c r="X819" t="s">
        <v>32</v>
      </c>
      <c r="Y819" t="s">
        <v>32</v>
      </c>
      <c r="AA819" t="s">
        <v>88</v>
      </c>
      <c r="AB819" t="s">
        <v>32</v>
      </c>
      <c r="AE819" t="s">
        <v>32</v>
      </c>
      <c r="AH819" t="s">
        <v>32</v>
      </c>
      <c r="AK819" t="s">
        <v>32</v>
      </c>
      <c r="AN819" t="s">
        <v>32</v>
      </c>
      <c r="AO819" t="s">
        <v>32</v>
      </c>
      <c r="AR819">
        <v>0</v>
      </c>
      <c r="AU819" t="s">
        <v>32</v>
      </c>
      <c r="AV819">
        <v>2891569</v>
      </c>
      <c r="AW819" t="s">
        <v>32</v>
      </c>
      <c r="AX819" t="s">
        <v>32</v>
      </c>
      <c r="AY819" t="s">
        <v>137</v>
      </c>
      <c r="AZ819">
        <v>29</v>
      </c>
      <c r="BA819">
        <v>3107342</v>
      </c>
      <c r="BB819">
        <v>0.15999999642372131</v>
      </c>
      <c r="BC819">
        <v>497200</v>
      </c>
      <c r="BD819" t="s">
        <v>31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497200</v>
      </c>
      <c r="BK819" t="s">
        <v>25</v>
      </c>
      <c r="BL819" t="s">
        <v>1064</v>
      </c>
      <c r="BM819">
        <v>29</v>
      </c>
      <c r="BN819">
        <v>3107342</v>
      </c>
      <c r="BO819">
        <v>3.9999999105930328E-2</v>
      </c>
      <c r="BP819">
        <v>124300</v>
      </c>
      <c r="BQ819">
        <v>0</v>
      </c>
      <c r="BS819">
        <v>0</v>
      </c>
      <c r="BU819">
        <v>0</v>
      </c>
      <c r="BV819" t="s">
        <v>25</v>
      </c>
      <c r="BW819" t="s">
        <v>189</v>
      </c>
      <c r="BX819">
        <v>29</v>
      </c>
      <c r="BY819">
        <v>3107342</v>
      </c>
      <c r="BZ819">
        <v>6.9600000977516174E-2</v>
      </c>
      <c r="CA819" t="s">
        <v>1439</v>
      </c>
      <c r="CB819" t="s">
        <v>227</v>
      </c>
      <c r="CC819" t="s">
        <v>1440</v>
      </c>
      <c r="CD819">
        <v>216300</v>
      </c>
      <c r="CE819">
        <v>29</v>
      </c>
      <c r="CF819" t="s">
        <v>635</v>
      </c>
      <c r="CG819">
        <v>3107342</v>
      </c>
      <c r="CH819">
        <v>3.9999999105930328E-2</v>
      </c>
      <c r="CI819">
        <v>124300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 t="s">
        <v>88</v>
      </c>
      <c r="CT819" t="s">
        <v>142</v>
      </c>
      <c r="CU819" t="s">
        <v>1442</v>
      </c>
    </row>
    <row r="820" spans="1:99">
      <c r="A820" t="s">
        <v>3047</v>
      </c>
      <c r="B820" t="s">
        <v>34</v>
      </c>
      <c r="C820" t="s">
        <v>1985</v>
      </c>
      <c r="D820" t="s">
        <v>1986</v>
      </c>
      <c r="E820" t="s">
        <v>1987</v>
      </c>
      <c r="F820" t="s">
        <v>1988</v>
      </c>
      <c r="G820" t="s">
        <v>1478</v>
      </c>
      <c r="H820" t="s">
        <v>1840</v>
      </c>
      <c r="I820" t="s">
        <v>240</v>
      </c>
      <c r="J820" t="s">
        <v>46</v>
      </c>
      <c r="K820" t="s">
        <v>29</v>
      </c>
      <c r="L820" t="s">
        <v>30</v>
      </c>
      <c r="M820">
        <v>188</v>
      </c>
      <c r="N820" t="s">
        <v>32</v>
      </c>
      <c r="O820" t="s">
        <v>32</v>
      </c>
      <c r="Q820" t="s">
        <v>32</v>
      </c>
      <c r="S820" t="s">
        <v>32</v>
      </c>
      <c r="U820" t="s">
        <v>32</v>
      </c>
      <c r="V820" t="s">
        <v>32</v>
      </c>
      <c r="W820" t="s">
        <v>32</v>
      </c>
      <c r="X820" t="s">
        <v>32</v>
      </c>
      <c r="Y820" t="s">
        <v>88</v>
      </c>
      <c r="Z820">
        <v>46054</v>
      </c>
      <c r="AA820" t="s">
        <v>88</v>
      </c>
      <c r="AB820" t="s">
        <v>32</v>
      </c>
      <c r="AE820" t="s">
        <v>32</v>
      </c>
      <c r="AH820" t="s">
        <v>32</v>
      </c>
      <c r="AK820" t="s">
        <v>32</v>
      </c>
      <c r="AN820" t="s">
        <v>32</v>
      </c>
      <c r="AO820" t="s">
        <v>32</v>
      </c>
      <c r="AR820">
        <v>0</v>
      </c>
      <c r="AU820" t="s">
        <v>32</v>
      </c>
      <c r="AV820">
        <v>3207525</v>
      </c>
      <c r="AW820" t="s">
        <v>32</v>
      </c>
      <c r="AX820" t="s">
        <v>32</v>
      </c>
      <c r="AY820" t="s">
        <v>317</v>
      </c>
      <c r="AZ820">
        <v>30</v>
      </c>
      <c r="BA820">
        <v>5747910</v>
      </c>
      <c r="BB820">
        <v>0.15999999642372131</v>
      </c>
      <c r="BC820">
        <v>919700</v>
      </c>
      <c r="BD820" t="s">
        <v>31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919700</v>
      </c>
      <c r="BK820" t="s">
        <v>25</v>
      </c>
      <c r="BL820" t="s">
        <v>1010</v>
      </c>
      <c r="BM820">
        <v>30</v>
      </c>
      <c r="BN820">
        <v>5747910</v>
      </c>
      <c r="BO820">
        <v>3.9999999105930328E-2</v>
      </c>
      <c r="BP820">
        <v>230000</v>
      </c>
      <c r="BQ820">
        <v>0</v>
      </c>
      <c r="BS820">
        <v>0</v>
      </c>
      <c r="BU820">
        <v>0</v>
      </c>
      <c r="BV820" t="s">
        <v>25</v>
      </c>
      <c r="BW820" t="s">
        <v>189</v>
      </c>
      <c r="BX820">
        <v>30</v>
      </c>
      <c r="BY820">
        <v>5747910</v>
      </c>
      <c r="BZ820">
        <v>5.2200001664459705E-3</v>
      </c>
      <c r="CA820" t="s">
        <v>1592</v>
      </c>
      <c r="CB820" t="s">
        <v>227</v>
      </c>
      <c r="CC820" t="s">
        <v>1593</v>
      </c>
      <c r="CD820">
        <v>30100</v>
      </c>
      <c r="CE820">
        <v>30</v>
      </c>
      <c r="CF820" t="s">
        <v>635</v>
      </c>
      <c r="CG820">
        <v>3207525</v>
      </c>
      <c r="CH820">
        <v>3.9999999105930328E-2</v>
      </c>
      <c r="CI820">
        <v>128400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 t="s">
        <v>88</v>
      </c>
      <c r="CT820" t="s">
        <v>142</v>
      </c>
      <c r="CU820" t="s">
        <v>1442</v>
      </c>
    </row>
    <row r="821" spans="1:99">
      <c r="A821" t="s">
        <v>3047</v>
      </c>
      <c r="B821" t="s">
        <v>34</v>
      </c>
      <c r="C821" t="s">
        <v>1989</v>
      </c>
      <c r="D821" t="s">
        <v>1990</v>
      </c>
      <c r="E821" t="s">
        <v>510</v>
      </c>
      <c r="F821" t="s">
        <v>1090</v>
      </c>
      <c r="G821" t="s">
        <v>1991</v>
      </c>
      <c r="H821" t="s">
        <v>1543</v>
      </c>
      <c r="I821" t="s">
        <v>240</v>
      </c>
      <c r="J821" t="s">
        <v>46</v>
      </c>
      <c r="K821" t="s">
        <v>29</v>
      </c>
      <c r="L821" t="s">
        <v>30</v>
      </c>
      <c r="M821">
        <v>0</v>
      </c>
      <c r="N821" t="s">
        <v>32</v>
      </c>
      <c r="O821" t="s">
        <v>32</v>
      </c>
      <c r="Q821" t="s">
        <v>32</v>
      </c>
      <c r="S821" t="s">
        <v>32</v>
      </c>
      <c r="U821" t="s">
        <v>32</v>
      </c>
      <c r="V821" t="s">
        <v>32</v>
      </c>
      <c r="W821" t="s">
        <v>32</v>
      </c>
      <c r="X821" t="s">
        <v>32</v>
      </c>
      <c r="Y821" t="s">
        <v>32</v>
      </c>
      <c r="AA821" t="s">
        <v>32</v>
      </c>
      <c r="AB821" t="s">
        <v>37</v>
      </c>
      <c r="AC821">
        <v>46069</v>
      </c>
      <c r="AD821">
        <v>46069</v>
      </c>
      <c r="AE821" t="s">
        <v>32</v>
      </c>
      <c r="AH821" t="s">
        <v>32</v>
      </c>
      <c r="AK821" t="s">
        <v>32</v>
      </c>
      <c r="AN821" t="s">
        <v>32</v>
      </c>
      <c r="AO821" t="s">
        <v>32</v>
      </c>
      <c r="AR821">
        <v>0</v>
      </c>
      <c r="AU821" t="s">
        <v>32</v>
      </c>
      <c r="AV821">
        <v>2223339</v>
      </c>
      <c r="AW821" t="s">
        <v>32</v>
      </c>
      <c r="AX821" t="s">
        <v>32</v>
      </c>
      <c r="AY821" t="s">
        <v>317</v>
      </c>
      <c r="AZ821">
        <v>1</v>
      </c>
      <c r="BA821">
        <v>74112</v>
      </c>
      <c r="BB821">
        <v>0.15999999642372131</v>
      </c>
      <c r="BC821">
        <v>11900</v>
      </c>
      <c r="BD821" t="s">
        <v>31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11900</v>
      </c>
      <c r="BK821" t="s">
        <v>25</v>
      </c>
      <c r="BL821" t="s">
        <v>1010</v>
      </c>
      <c r="BM821">
        <v>1</v>
      </c>
      <c r="BN821">
        <v>74112</v>
      </c>
      <c r="BO821">
        <v>0</v>
      </c>
      <c r="BP821">
        <v>0</v>
      </c>
      <c r="BQ821">
        <v>0</v>
      </c>
      <c r="BS821">
        <v>0</v>
      </c>
      <c r="BU821">
        <v>0</v>
      </c>
      <c r="BV821" t="s">
        <v>25</v>
      </c>
      <c r="BW821" t="s">
        <v>189</v>
      </c>
      <c r="BX821">
        <v>1</v>
      </c>
      <c r="BY821">
        <v>74112</v>
      </c>
      <c r="BZ821">
        <v>0</v>
      </c>
      <c r="CA821" t="s">
        <v>1439</v>
      </c>
      <c r="CB821" t="s">
        <v>227</v>
      </c>
      <c r="CC821" t="s">
        <v>1440</v>
      </c>
      <c r="CD821">
        <v>0</v>
      </c>
      <c r="CE821">
        <v>1</v>
      </c>
      <c r="CF821" t="s">
        <v>635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 t="s">
        <v>88</v>
      </c>
      <c r="CT821" t="s">
        <v>142</v>
      </c>
      <c r="CU821" t="s">
        <v>1442</v>
      </c>
    </row>
    <row r="822" spans="1:99">
      <c r="A822" t="s">
        <v>3047</v>
      </c>
      <c r="B822" t="s">
        <v>34</v>
      </c>
      <c r="C822" t="s">
        <v>1989</v>
      </c>
      <c r="D822" t="s">
        <v>1990</v>
      </c>
      <c r="E822" t="s">
        <v>510</v>
      </c>
      <c r="F822" t="s">
        <v>1090</v>
      </c>
      <c r="G822" t="s">
        <v>1991</v>
      </c>
      <c r="H822" t="s">
        <v>1543</v>
      </c>
      <c r="I822" t="s">
        <v>240</v>
      </c>
      <c r="J822" t="s">
        <v>46</v>
      </c>
      <c r="K822" t="s">
        <v>29</v>
      </c>
      <c r="L822" t="s">
        <v>30</v>
      </c>
      <c r="M822">
        <v>164</v>
      </c>
      <c r="N822" t="s">
        <v>32</v>
      </c>
      <c r="O822" t="s">
        <v>32</v>
      </c>
      <c r="Q822" t="s">
        <v>40</v>
      </c>
      <c r="R822">
        <v>46058</v>
      </c>
      <c r="S822" t="s">
        <v>32</v>
      </c>
      <c r="U822" t="s">
        <v>32</v>
      </c>
      <c r="V822" t="s">
        <v>32</v>
      </c>
      <c r="W822" t="s">
        <v>32</v>
      </c>
      <c r="X822" t="s">
        <v>32</v>
      </c>
      <c r="Y822" t="s">
        <v>32</v>
      </c>
      <c r="AA822" t="s">
        <v>88</v>
      </c>
      <c r="AB822" t="s">
        <v>32</v>
      </c>
      <c r="AE822" t="s">
        <v>32</v>
      </c>
      <c r="AH822" t="s">
        <v>32</v>
      </c>
      <c r="AK822" t="s">
        <v>32</v>
      </c>
      <c r="AN822" t="s">
        <v>32</v>
      </c>
      <c r="AO822" t="s">
        <v>32</v>
      </c>
      <c r="AR822">
        <v>0</v>
      </c>
      <c r="AU822" t="s">
        <v>32</v>
      </c>
      <c r="AV822">
        <v>2223339</v>
      </c>
      <c r="AW822" t="s">
        <v>32</v>
      </c>
      <c r="AX822" t="s">
        <v>32</v>
      </c>
      <c r="AY822" t="s">
        <v>317</v>
      </c>
      <c r="AZ822">
        <v>25</v>
      </c>
      <c r="BA822">
        <v>2365162</v>
      </c>
      <c r="BB822">
        <v>0.15999999642372131</v>
      </c>
      <c r="BC822">
        <v>378500</v>
      </c>
      <c r="BD822" t="s">
        <v>31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378500</v>
      </c>
      <c r="BK822" t="s">
        <v>25</v>
      </c>
      <c r="BL822" t="s">
        <v>1010</v>
      </c>
      <c r="BM822">
        <v>25</v>
      </c>
      <c r="BN822">
        <v>2365162</v>
      </c>
      <c r="BO822">
        <v>3.9999999105930328E-2</v>
      </c>
      <c r="BP822">
        <v>94700</v>
      </c>
      <c r="BQ822">
        <v>0</v>
      </c>
      <c r="BS822">
        <v>0</v>
      </c>
      <c r="BU822">
        <v>0</v>
      </c>
      <c r="BV822" t="s">
        <v>25</v>
      </c>
      <c r="BW822" t="s">
        <v>189</v>
      </c>
      <c r="BX822">
        <v>25</v>
      </c>
      <c r="BY822">
        <v>2365162</v>
      </c>
      <c r="BZ822">
        <v>6.9600000977516174E-2</v>
      </c>
      <c r="CA822" t="s">
        <v>1439</v>
      </c>
      <c r="CB822" t="s">
        <v>227</v>
      </c>
      <c r="CC822" t="s">
        <v>1440</v>
      </c>
      <c r="CD822">
        <v>164700</v>
      </c>
      <c r="CE822">
        <v>25</v>
      </c>
      <c r="CF822" t="s">
        <v>635</v>
      </c>
      <c r="CG822">
        <v>2365162</v>
      </c>
      <c r="CH822">
        <v>3.9999999105930328E-2</v>
      </c>
      <c r="CI822">
        <v>94700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 t="s">
        <v>88</v>
      </c>
      <c r="CT822" t="s">
        <v>142</v>
      </c>
      <c r="CU822" t="s">
        <v>1442</v>
      </c>
    </row>
    <row r="823" spans="1:99">
      <c r="A823" t="s">
        <v>3047</v>
      </c>
      <c r="B823" t="s">
        <v>34</v>
      </c>
      <c r="C823" t="s">
        <v>1992</v>
      </c>
      <c r="D823" t="s">
        <v>1993</v>
      </c>
      <c r="E823" t="s">
        <v>1628</v>
      </c>
      <c r="F823" t="s">
        <v>520</v>
      </c>
      <c r="G823" t="s">
        <v>1994</v>
      </c>
      <c r="H823" t="s">
        <v>1548</v>
      </c>
      <c r="I823" t="s">
        <v>240</v>
      </c>
      <c r="J823" t="s">
        <v>46</v>
      </c>
      <c r="K823" t="s">
        <v>29</v>
      </c>
      <c r="L823" t="s">
        <v>30</v>
      </c>
      <c r="M823">
        <v>9</v>
      </c>
      <c r="N823" t="s">
        <v>32</v>
      </c>
      <c r="O823" t="s">
        <v>32</v>
      </c>
      <c r="Q823" t="s">
        <v>40</v>
      </c>
      <c r="R823">
        <v>46080</v>
      </c>
      <c r="S823" t="s">
        <v>32</v>
      </c>
      <c r="U823" t="s">
        <v>32</v>
      </c>
      <c r="V823" t="s">
        <v>32</v>
      </c>
      <c r="W823" t="s">
        <v>32</v>
      </c>
      <c r="X823" t="s">
        <v>32</v>
      </c>
      <c r="Y823" t="s">
        <v>32</v>
      </c>
      <c r="AA823" t="s">
        <v>88</v>
      </c>
      <c r="AB823" t="s">
        <v>32</v>
      </c>
      <c r="AE823" t="s">
        <v>32</v>
      </c>
      <c r="AH823" t="s">
        <v>32</v>
      </c>
      <c r="AK823" t="s">
        <v>32</v>
      </c>
      <c r="AN823" t="s">
        <v>32</v>
      </c>
      <c r="AO823" t="s">
        <v>32</v>
      </c>
      <c r="AR823">
        <v>0</v>
      </c>
      <c r="AU823" t="s">
        <v>32</v>
      </c>
      <c r="AV823">
        <v>1785595</v>
      </c>
      <c r="AW823" t="s">
        <v>32</v>
      </c>
      <c r="AX823" t="s">
        <v>32</v>
      </c>
      <c r="AY823" t="s">
        <v>317</v>
      </c>
      <c r="AZ823">
        <v>4</v>
      </c>
      <c r="BA823">
        <v>238080</v>
      </c>
      <c r="BB823">
        <v>0.15999999642372131</v>
      </c>
      <c r="BC823">
        <v>38100</v>
      </c>
      <c r="BD823" t="s">
        <v>31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38100</v>
      </c>
      <c r="BK823" t="s">
        <v>25</v>
      </c>
      <c r="BL823" t="s">
        <v>1010</v>
      </c>
      <c r="BM823">
        <v>4</v>
      </c>
      <c r="BN823">
        <v>238080</v>
      </c>
      <c r="BO823">
        <v>3.9999999105930328E-2</v>
      </c>
      <c r="BP823">
        <v>9600</v>
      </c>
      <c r="BQ823">
        <v>0</v>
      </c>
      <c r="BS823">
        <v>0</v>
      </c>
      <c r="BU823">
        <v>0</v>
      </c>
      <c r="BV823" t="s">
        <v>25</v>
      </c>
      <c r="BW823" t="s">
        <v>189</v>
      </c>
      <c r="BX823">
        <v>4</v>
      </c>
      <c r="BY823">
        <v>238080</v>
      </c>
      <c r="BZ823">
        <v>6.9600000977516174E-2</v>
      </c>
      <c r="CA823" t="s">
        <v>1439</v>
      </c>
      <c r="CB823" t="s">
        <v>227</v>
      </c>
      <c r="CC823" t="s">
        <v>1440</v>
      </c>
      <c r="CD823">
        <v>16600</v>
      </c>
      <c r="CE823">
        <v>4</v>
      </c>
      <c r="CF823" t="s">
        <v>635</v>
      </c>
      <c r="CG823">
        <v>238080</v>
      </c>
      <c r="CH823">
        <v>3.9999999105930328E-2</v>
      </c>
      <c r="CI823">
        <v>9600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 t="s">
        <v>88</v>
      </c>
      <c r="CT823" t="s">
        <v>142</v>
      </c>
      <c r="CU823" t="s">
        <v>1442</v>
      </c>
    </row>
    <row r="824" spans="1:99">
      <c r="A824" t="s">
        <v>3047</v>
      </c>
      <c r="B824" t="s">
        <v>34</v>
      </c>
      <c r="C824" t="s">
        <v>1995</v>
      </c>
      <c r="D824" t="s">
        <v>1996</v>
      </c>
      <c r="E824" t="s">
        <v>1634</v>
      </c>
      <c r="F824" t="s">
        <v>1688</v>
      </c>
      <c r="G824" t="s">
        <v>1436</v>
      </c>
      <c r="H824" t="s">
        <v>1543</v>
      </c>
      <c r="I824" t="s">
        <v>240</v>
      </c>
      <c r="J824" t="s">
        <v>46</v>
      </c>
      <c r="K824" t="s">
        <v>29</v>
      </c>
      <c r="L824" t="s">
        <v>30</v>
      </c>
      <c r="M824">
        <v>0</v>
      </c>
      <c r="N824" t="s">
        <v>32</v>
      </c>
      <c r="O824" t="s">
        <v>32</v>
      </c>
      <c r="Q824" t="s">
        <v>32</v>
      </c>
      <c r="S824" t="s">
        <v>32</v>
      </c>
      <c r="U824" t="s">
        <v>32</v>
      </c>
      <c r="V824" t="s">
        <v>32</v>
      </c>
      <c r="W824" t="s">
        <v>32</v>
      </c>
      <c r="X824" t="s">
        <v>32</v>
      </c>
      <c r="Y824" t="s">
        <v>32</v>
      </c>
      <c r="AA824" t="s">
        <v>32</v>
      </c>
      <c r="AB824" t="s">
        <v>32</v>
      </c>
      <c r="AE824" t="s">
        <v>32</v>
      </c>
      <c r="AH824" t="s">
        <v>32</v>
      </c>
      <c r="AK824" t="s">
        <v>128</v>
      </c>
      <c r="AL824">
        <v>46054</v>
      </c>
      <c r="AM824">
        <v>46055</v>
      </c>
      <c r="AN824" t="s">
        <v>32</v>
      </c>
      <c r="AO824" t="s">
        <v>32</v>
      </c>
      <c r="AR824">
        <v>0</v>
      </c>
      <c r="AU824" t="s">
        <v>32</v>
      </c>
      <c r="AV824">
        <v>4152090</v>
      </c>
      <c r="AW824" t="s">
        <v>32</v>
      </c>
      <c r="AX824" t="s">
        <v>32</v>
      </c>
      <c r="AY824" t="s">
        <v>317</v>
      </c>
      <c r="AZ824">
        <v>2</v>
      </c>
      <c r="BA824">
        <v>276806</v>
      </c>
      <c r="BB824">
        <v>0.15999999642372131</v>
      </c>
      <c r="BC824">
        <v>44300</v>
      </c>
      <c r="BD824" t="s">
        <v>31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44300</v>
      </c>
      <c r="BK824" t="s">
        <v>25</v>
      </c>
      <c r="BL824" t="s">
        <v>1071</v>
      </c>
      <c r="BM824">
        <v>2</v>
      </c>
      <c r="BN824">
        <v>276806</v>
      </c>
      <c r="BO824">
        <v>3.9999999105930328E-2</v>
      </c>
      <c r="BP824">
        <v>11100</v>
      </c>
      <c r="BQ824">
        <v>0</v>
      </c>
      <c r="BS824">
        <v>0</v>
      </c>
      <c r="BU824">
        <v>0</v>
      </c>
      <c r="BV824" t="s">
        <v>25</v>
      </c>
      <c r="BW824" t="s">
        <v>189</v>
      </c>
      <c r="BX824">
        <v>2</v>
      </c>
      <c r="BY824">
        <v>276806</v>
      </c>
      <c r="BZ824">
        <v>0</v>
      </c>
      <c r="CA824" t="s">
        <v>1439</v>
      </c>
      <c r="CB824" t="s">
        <v>227</v>
      </c>
      <c r="CC824" t="s">
        <v>1440</v>
      </c>
      <c r="CD824">
        <v>0</v>
      </c>
      <c r="CE824">
        <v>2</v>
      </c>
      <c r="CF824" t="s">
        <v>635</v>
      </c>
      <c r="CG824">
        <v>276806</v>
      </c>
      <c r="CH824">
        <v>3.9999999105930328E-2</v>
      </c>
      <c r="CI824">
        <v>11100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 t="s">
        <v>88</v>
      </c>
      <c r="CT824" t="s">
        <v>142</v>
      </c>
      <c r="CU824" t="s">
        <v>1442</v>
      </c>
    </row>
    <row r="825" spans="1:99">
      <c r="A825" t="s">
        <v>3047</v>
      </c>
      <c r="B825" t="s">
        <v>34</v>
      </c>
      <c r="C825" t="s">
        <v>1995</v>
      </c>
      <c r="D825" t="s">
        <v>1996</v>
      </c>
      <c r="E825" t="s">
        <v>1634</v>
      </c>
      <c r="F825" t="s">
        <v>1688</v>
      </c>
      <c r="G825" t="s">
        <v>1436</v>
      </c>
      <c r="H825" t="s">
        <v>1543</v>
      </c>
      <c r="I825" t="s">
        <v>240</v>
      </c>
      <c r="J825" t="s">
        <v>46</v>
      </c>
      <c r="K825" t="s">
        <v>29</v>
      </c>
      <c r="L825" t="s">
        <v>30</v>
      </c>
      <c r="M825">
        <v>171</v>
      </c>
      <c r="N825" t="s">
        <v>32</v>
      </c>
      <c r="O825" t="s">
        <v>32</v>
      </c>
      <c r="Q825" t="s">
        <v>32</v>
      </c>
      <c r="S825" t="s">
        <v>32</v>
      </c>
      <c r="U825" t="s">
        <v>32</v>
      </c>
      <c r="V825" t="s">
        <v>32</v>
      </c>
      <c r="W825" t="s">
        <v>32</v>
      </c>
      <c r="X825" t="s">
        <v>32</v>
      </c>
      <c r="Y825" t="s">
        <v>88</v>
      </c>
      <c r="Z825">
        <v>46054</v>
      </c>
      <c r="AA825" t="s">
        <v>88</v>
      </c>
      <c r="AB825" t="s">
        <v>32</v>
      </c>
      <c r="AE825" t="s">
        <v>32</v>
      </c>
      <c r="AH825" t="s">
        <v>32</v>
      </c>
      <c r="AK825" t="s">
        <v>32</v>
      </c>
      <c r="AN825" t="s">
        <v>32</v>
      </c>
      <c r="AO825" t="s">
        <v>32</v>
      </c>
      <c r="AR825">
        <v>0</v>
      </c>
      <c r="AU825" t="s">
        <v>32</v>
      </c>
      <c r="AV825">
        <v>4152090</v>
      </c>
      <c r="AW825" t="s">
        <v>32</v>
      </c>
      <c r="AX825" t="s">
        <v>32</v>
      </c>
      <c r="AY825" t="s">
        <v>317</v>
      </c>
      <c r="AZ825">
        <v>28</v>
      </c>
      <c r="BA825">
        <v>3875284</v>
      </c>
      <c r="BB825">
        <v>0.15999999642372131</v>
      </c>
      <c r="BC825">
        <v>620100</v>
      </c>
      <c r="BD825" t="s">
        <v>31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620100</v>
      </c>
      <c r="BK825" t="s">
        <v>25</v>
      </c>
      <c r="BL825" t="s">
        <v>1071</v>
      </c>
      <c r="BM825">
        <v>28</v>
      </c>
      <c r="BN825">
        <v>3875284</v>
      </c>
      <c r="BO825">
        <v>3.9999999105930328E-2</v>
      </c>
      <c r="BP825">
        <v>155100</v>
      </c>
      <c r="BQ825">
        <v>0</v>
      </c>
      <c r="BS825">
        <v>0</v>
      </c>
      <c r="BU825">
        <v>0</v>
      </c>
      <c r="BV825" t="s">
        <v>25</v>
      </c>
      <c r="BW825" t="s">
        <v>189</v>
      </c>
      <c r="BX825">
        <v>28</v>
      </c>
      <c r="BY825">
        <v>3875284</v>
      </c>
      <c r="BZ825">
        <v>6.9600000977516174E-2</v>
      </c>
      <c r="CA825" t="s">
        <v>1439</v>
      </c>
      <c r="CB825" t="s">
        <v>227</v>
      </c>
      <c r="CC825" t="s">
        <v>1440</v>
      </c>
      <c r="CD825">
        <v>269800</v>
      </c>
      <c r="CE825">
        <v>28</v>
      </c>
      <c r="CF825" t="s">
        <v>635</v>
      </c>
      <c r="CG825">
        <v>3875284</v>
      </c>
      <c r="CH825">
        <v>3.9999999105930328E-2</v>
      </c>
      <c r="CI825">
        <v>155100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 t="s">
        <v>88</v>
      </c>
      <c r="CT825" t="s">
        <v>142</v>
      </c>
      <c r="CU825" t="s">
        <v>1442</v>
      </c>
    </row>
    <row r="826" spans="1:99">
      <c r="A826" t="s">
        <v>3047</v>
      </c>
      <c r="B826" t="s">
        <v>34</v>
      </c>
      <c r="C826" t="s">
        <v>1997</v>
      </c>
      <c r="D826" t="s">
        <v>1998</v>
      </c>
      <c r="E826" t="s">
        <v>1999</v>
      </c>
      <c r="F826" t="s">
        <v>1620</v>
      </c>
      <c r="G826" t="s">
        <v>1498</v>
      </c>
      <c r="H826" t="s">
        <v>1840</v>
      </c>
      <c r="I826" t="s">
        <v>240</v>
      </c>
      <c r="J826" t="s">
        <v>46</v>
      </c>
      <c r="K826" t="s">
        <v>29</v>
      </c>
      <c r="L826" t="s">
        <v>30</v>
      </c>
      <c r="M826">
        <v>186</v>
      </c>
      <c r="N826" t="s">
        <v>32</v>
      </c>
      <c r="O826" t="s">
        <v>32</v>
      </c>
      <c r="Q826" t="s">
        <v>40</v>
      </c>
      <c r="R826">
        <v>46055</v>
      </c>
      <c r="S826" t="s">
        <v>32</v>
      </c>
      <c r="U826" t="s">
        <v>32</v>
      </c>
      <c r="V826" t="s">
        <v>32</v>
      </c>
      <c r="W826" t="s">
        <v>32</v>
      </c>
      <c r="X826" t="s">
        <v>32</v>
      </c>
      <c r="Y826" t="s">
        <v>32</v>
      </c>
      <c r="AA826" t="s">
        <v>88</v>
      </c>
      <c r="AB826" t="s">
        <v>32</v>
      </c>
      <c r="AE826" t="s">
        <v>32</v>
      </c>
      <c r="AH826" t="s">
        <v>32</v>
      </c>
      <c r="AK826" t="s">
        <v>32</v>
      </c>
      <c r="AN826" t="s">
        <v>32</v>
      </c>
      <c r="AO826" t="s">
        <v>32</v>
      </c>
      <c r="AR826">
        <v>0</v>
      </c>
      <c r="AU826" t="s">
        <v>32</v>
      </c>
      <c r="AV826">
        <v>1785595</v>
      </c>
      <c r="AW826" t="s">
        <v>32</v>
      </c>
      <c r="AX826" t="s">
        <v>32</v>
      </c>
      <c r="AY826" t="s">
        <v>317</v>
      </c>
      <c r="AZ826">
        <v>29</v>
      </c>
      <c r="BA826">
        <v>1889215</v>
      </c>
      <c r="BB826">
        <v>0.15999999642372131</v>
      </c>
      <c r="BC826">
        <v>302300</v>
      </c>
      <c r="BD826" t="s">
        <v>31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302300</v>
      </c>
      <c r="BK826" t="s">
        <v>25</v>
      </c>
      <c r="BL826" t="s">
        <v>635</v>
      </c>
      <c r="BM826">
        <v>29</v>
      </c>
      <c r="BN826">
        <v>1889215</v>
      </c>
      <c r="BO826">
        <v>3.9999999105930328E-2</v>
      </c>
      <c r="BP826">
        <v>75600</v>
      </c>
      <c r="BQ826">
        <v>0</v>
      </c>
      <c r="BS826">
        <v>0</v>
      </c>
      <c r="BU826">
        <v>0</v>
      </c>
      <c r="BV826" t="s">
        <v>25</v>
      </c>
      <c r="BW826" t="s">
        <v>189</v>
      </c>
      <c r="BX826">
        <v>29</v>
      </c>
      <c r="BY826">
        <v>1889215</v>
      </c>
      <c r="BZ826">
        <v>6.9600000977516174E-2</v>
      </c>
      <c r="CA826" t="s">
        <v>1439</v>
      </c>
      <c r="CB826" t="s">
        <v>227</v>
      </c>
      <c r="CC826" t="s">
        <v>1440</v>
      </c>
      <c r="CD826">
        <v>131500</v>
      </c>
      <c r="CE826">
        <v>29</v>
      </c>
      <c r="CF826" t="s">
        <v>635</v>
      </c>
      <c r="CG826">
        <v>1889215</v>
      </c>
      <c r="CH826">
        <v>3.9999999105930328E-2</v>
      </c>
      <c r="CI826">
        <v>75600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 t="s">
        <v>88</v>
      </c>
      <c r="CT826" t="s">
        <v>142</v>
      </c>
      <c r="CU826" t="s">
        <v>1442</v>
      </c>
    </row>
    <row r="827" spans="1:99">
      <c r="A827" t="s">
        <v>3047</v>
      </c>
      <c r="B827" t="s">
        <v>34</v>
      </c>
      <c r="C827" t="s">
        <v>2000</v>
      </c>
      <c r="D827" t="s">
        <v>2001</v>
      </c>
      <c r="E827" t="s">
        <v>1211</v>
      </c>
      <c r="F827" t="s">
        <v>2002</v>
      </c>
      <c r="G827" t="s">
        <v>1742</v>
      </c>
      <c r="H827" t="s">
        <v>1584</v>
      </c>
      <c r="I827" t="s">
        <v>240</v>
      </c>
      <c r="J827" t="s">
        <v>46</v>
      </c>
      <c r="K827" t="s">
        <v>29</v>
      </c>
      <c r="L827" t="s">
        <v>30</v>
      </c>
      <c r="M827">
        <v>67</v>
      </c>
      <c r="N827" t="s">
        <v>32</v>
      </c>
      <c r="O827" t="s">
        <v>32</v>
      </c>
      <c r="Q827" t="s">
        <v>32</v>
      </c>
      <c r="S827" t="s">
        <v>40</v>
      </c>
      <c r="T827">
        <v>46060</v>
      </c>
      <c r="U827" t="s">
        <v>32</v>
      </c>
      <c r="V827" t="s">
        <v>32</v>
      </c>
      <c r="W827" t="s">
        <v>32</v>
      </c>
      <c r="X827" t="s">
        <v>32</v>
      </c>
      <c r="Y827" t="s">
        <v>32</v>
      </c>
      <c r="AA827" t="s">
        <v>88</v>
      </c>
      <c r="AB827" t="s">
        <v>32</v>
      </c>
      <c r="AE827" t="s">
        <v>32</v>
      </c>
      <c r="AH827" t="s">
        <v>32</v>
      </c>
      <c r="AK827" t="s">
        <v>32</v>
      </c>
      <c r="AN827" t="s">
        <v>32</v>
      </c>
      <c r="AO827" t="s">
        <v>32</v>
      </c>
      <c r="AR827">
        <v>0</v>
      </c>
      <c r="AU827" t="s">
        <v>32</v>
      </c>
      <c r="AV827">
        <v>2665550</v>
      </c>
      <c r="AW827" t="s">
        <v>32</v>
      </c>
      <c r="AX827" t="s">
        <v>32</v>
      </c>
      <c r="AY827" t="s">
        <v>137</v>
      </c>
      <c r="AZ827">
        <v>7</v>
      </c>
      <c r="BA827">
        <v>1712354</v>
      </c>
      <c r="BB827">
        <v>0.15999999642372131</v>
      </c>
      <c r="BC827">
        <v>274000</v>
      </c>
      <c r="BD827" t="s">
        <v>31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274000</v>
      </c>
      <c r="BK827" t="s">
        <v>25</v>
      </c>
      <c r="BL827" t="s">
        <v>1071</v>
      </c>
      <c r="BM827">
        <v>7</v>
      </c>
      <c r="BN827">
        <v>1712354</v>
      </c>
      <c r="BO827">
        <v>3.9999999105930328E-2</v>
      </c>
      <c r="BP827">
        <v>68500</v>
      </c>
      <c r="BQ827">
        <v>0</v>
      </c>
      <c r="BS827">
        <v>0</v>
      </c>
      <c r="BU827">
        <v>0</v>
      </c>
      <c r="BV827" t="s">
        <v>25</v>
      </c>
      <c r="BW827" t="s">
        <v>189</v>
      </c>
      <c r="BX827">
        <v>7</v>
      </c>
      <c r="BY827">
        <v>1712354</v>
      </c>
      <c r="BZ827">
        <v>6.9600000977516174E-2</v>
      </c>
      <c r="CA827" t="s">
        <v>1439</v>
      </c>
      <c r="CB827" t="s">
        <v>227</v>
      </c>
      <c r="CC827" t="s">
        <v>1440</v>
      </c>
      <c r="CD827">
        <v>119200</v>
      </c>
      <c r="CE827">
        <v>7</v>
      </c>
      <c r="CF827" t="s">
        <v>635</v>
      </c>
      <c r="CG827">
        <v>2143706</v>
      </c>
      <c r="CH827">
        <v>3.9999999105930328E-2</v>
      </c>
      <c r="CI827">
        <v>85800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 t="s">
        <v>88</v>
      </c>
      <c r="CT827" t="s">
        <v>142</v>
      </c>
      <c r="CU827" t="s">
        <v>1442</v>
      </c>
    </row>
    <row r="828" spans="1:99">
      <c r="A828" t="s">
        <v>3047</v>
      </c>
      <c r="B828" t="s">
        <v>34</v>
      </c>
      <c r="C828" t="s">
        <v>2003</v>
      </c>
      <c r="D828" t="s">
        <v>2004</v>
      </c>
      <c r="E828" t="s">
        <v>1506</v>
      </c>
      <c r="F828" t="s">
        <v>2005</v>
      </c>
      <c r="G828" t="s">
        <v>1436</v>
      </c>
      <c r="H828" t="s">
        <v>1498</v>
      </c>
      <c r="I828" t="s">
        <v>240</v>
      </c>
      <c r="J828" t="s">
        <v>46</v>
      </c>
      <c r="K828" t="s">
        <v>29</v>
      </c>
      <c r="L828" t="s">
        <v>30</v>
      </c>
      <c r="M828">
        <v>0</v>
      </c>
      <c r="N828" t="s">
        <v>32</v>
      </c>
      <c r="O828" t="s">
        <v>32</v>
      </c>
      <c r="Q828" t="s">
        <v>32</v>
      </c>
      <c r="S828" t="s">
        <v>32</v>
      </c>
      <c r="U828" t="s">
        <v>32</v>
      </c>
      <c r="V828" t="s">
        <v>32</v>
      </c>
      <c r="W828" t="s">
        <v>32</v>
      </c>
      <c r="X828" t="s">
        <v>32</v>
      </c>
      <c r="Y828" t="s">
        <v>32</v>
      </c>
      <c r="AA828" t="s">
        <v>32</v>
      </c>
      <c r="AB828" t="s">
        <v>32</v>
      </c>
      <c r="AE828" t="s">
        <v>32</v>
      </c>
      <c r="AH828" t="s">
        <v>32</v>
      </c>
      <c r="AK828" t="s">
        <v>128</v>
      </c>
      <c r="AL828">
        <v>46054</v>
      </c>
      <c r="AM828">
        <v>46054</v>
      </c>
      <c r="AN828" t="s">
        <v>32</v>
      </c>
      <c r="AO828" t="s">
        <v>32</v>
      </c>
      <c r="AR828">
        <v>0</v>
      </c>
      <c r="AU828" t="s">
        <v>32</v>
      </c>
      <c r="AV828">
        <v>2223339</v>
      </c>
      <c r="AW828" t="s">
        <v>32</v>
      </c>
      <c r="AX828" t="s">
        <v>32</v>
      </c>
      <c r="AY828" t="s">
        <v>317</v>
      </c>
      <c r="AZ828">
        <v>1</v>
      </c>
      <c r="BA828">
        <v>74112</v>
      </c>
      <c r="BB828">
        <v>0.15999999642372131</v>
      </c>
      <c r="BC828">
        <v>11900</v>
      </c>
      <c r="BD828" t="s">
        <v>31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11900</v>
      </c>
      <c r="BK828" t="s">
        <v>25</v>
      </c>
      <c r="BL828" t="s">
        <v>885</v>
      </c>
      <c r="BM828">
        <v>1</v>
      </c>
      <c r="BN828">
        <v>74112</v>
      </c>
      <c r="BO828">
        <v>3.9999999105930328E-2</v>
      </c>
      <c r="BP828">
        <v>3000</v>
      </c>
      <c r="BQ828">
        <v>0</v>
      </c>
      <c r="BS828">
        <v>0</v>
      </c>
      <c r="BU828">
        <v>0</v>
      </c>
      <c r="BV828" t="s">
        <v>25</v>
      </c>
      <c r="BW828" t="s">
        <v>189</v>
      </c>
      <c r="BX828">
        <v>1</v>
      </c>
      <c r="BY828">
        <v>74112</v>
      </c>
      <c r="BZ828">
        <v>0</v>
      </c>
      <c r="CA828" t="s">
        <v>1439</v>
      </c>
      <c r="CB828" t="s">
        <v>227</v>
      </c>
      <c r="CC828" t="s">
        <v>1440</v>
      </c>
      <c r="CD828">
        <v>0</v>
      </c>
      <c r="CE828">
        <v>1</v>
      </c>
      <c r="CF828" t="s">
        <v>635</v>
      </c>
      <c r="CG828">
        <v>74112</v>
      </c>
      <c r="CH828">
        <v>3.9999999105930328E-2</v>
      </c>
      <c r="CI828">
        <v>3000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 t="s">
        <v>88</v>
      </c>
      <c r="CT828" t="s">
        <v>142</v>
      </c>
      <c r="CU828" t="s">
        <v>1442</v>
      </c>
    </row>
    <row r="829" spans="1:99">
      <c r="A829" t="s">
        <v>3047</v>
      </c>
      <c r="B829" t="s">
        <v>34</v>
      </c>
      <c r="C829" t="s">
        <v>2003</v>
      </c>
      <c r="D829" t="s">
        <v>2004</v>
      </c>
      <c r="E829" t="s">
        <v>1506</v>
      </c>
      <c r="F829" t="s">
        <v>2005</v>
      </c>
      <c r="G829" t="s">
        <v>1436</v>
      </c>
      <c r="H829" t="s">
        <v>1498</v>
      </c>
      <c r="I829" t="s">
        <v>240</v>
      </c>
      <c r="J829" t="s">
        <v>46</v>
      </c>
      <c r="K829" t="s">
        <v>29</v>
      </c>
      <c r="L829" t="s">
        <v>30</v>
      </c>
      <c r="M829">
        <v>0</v>
      </c>
      <c r="N829" t="s">
        <v>32</v>
      </c>
      <c r="O829" t="s">
        <v>32</v>
      </c>
      <c r="Q829" t="s">
        <v>32</v>
      </c>
      <c r="S829" t="s">
        <v>32</v>
      </c>
      <c r="U829" t="s">
        <v>32</v>
      </c>
      <c r="V829" t="s">
        <v>32</v>
      </c>
      <c r="W829" t="s">
        <v>32</v>
      </c>
      <c r="X829" t="s">
        <v>32</v>
      </c>
      <c r="Y829" t="s">
        <v>32</v>
      </c>
      <c r="AA829" t="s">
        <v>32</v>
      </c>
      <c r="AB829" t="s">
        <v>37</v>
      </c>
      <c r="AC829">
        <v>46055</v>
      </c>
      <c r="AD829">
        <v>46056</v>
      </c>
      <c r="AE829" t="s">
        <v>32</v>
      </c>
      <c r="AH829" t="s">
        <v>32</v>
      </c>
      <c r="AK829" t="s">
        <v>32</v>
      </c>
      <c r="AN829" t="s">
        <v>32</v>
      </c>
      <c r="AO829" t="s">
        <v>32</v>
      </c>
      <c r="AR829">
        <v>0</v>
      </c>
      <c r="AU829" t="s">
        <v>32</v>
      </c>
      <c r="AV829">
        <v>2223339</v>
      </c>
      <c r="AW829" t="s">
        <v>32</v>
      </c>
      <c r="AX829" t="s">
        <v>32</v>
      </c>
      <c r="AY829" t="s">
        <v>317</v>
      </c>
      <c r="AZ829">
        <v>2</v>
      </c>
      <c r="BA829">
        <v>148223</v>
      </c>
      <c r="BB829">
        <v>0.15999999642372131</v>
      </c>
      <c r="BC829">
        <v>23800</v>
      </c>
      <c r="BD829" t="s">
        <v>31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23800</v>
      </c>
      <c r="BK829" t="s">
        <v>25</v>
      </c>
      <c r="BL829" t="s">
        <v>885</v>
      </c>
      <c r="BM829">
        <v>2</v>
      </c>
      <c r="BN829">
        <v>148223</v>
      </c>
      <c r="BO829">
        <v>0</v>
      </c>
      <c r="BP829">
        <v>0</v>
      </c>
      <c r="BQ829">
        <v>0</v>
      </c>
      <c r="BS829">
        <v>0</v>
      </c>
      <c r="BU829">
        <v>0</v>
      </c>
      <c r="BV829" t="s">
        <v>25</v>
      </c>
      <c r="BW829" t="s">
        <v>189</v>
      </c>
      <c r="BX829">
        <v>2</v>
      </c>
      <c r="BY829">
        <v>148223</v>
      </c>
      <c r="BZ829">
        <v>0</v>
      </c>
      <c r="CA829" t="s">
        <v>1439</v>
      </c>
      <c r="CB829" t="s">
        <v>227</v>
      </c>
      <c r="CC829" t="s">
        <v>1440</v>
      </c>
      <c r="CD829">
        <v>0</v>
      </c>
      <c r="CE829">
        <v>2</v>
      </c>
      <c r="CF829" t="s">
        <v>635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 t="s">
        <v>88</v>
      </c>
      <c r="CT829" t="s">
        <v>142</v>
      </c>
      <c r="CU829" t="s">
        <v>1442</v>
      </c>
    </row>
    <row r="830" spans="1:99">
      <c r="A830" t="s">
        <v>3047</v>
      </c>
      <c r="B830" t="s">
        <v>34</v>
      </c>
      <c r="C830" t="s">
        <v>2003</v>
      </c>
      <c r="D830" t="s">
        <v>2004</v>
      </c>
      <c r="E830" t="s">
        <v>1506</v>
      </c>
      <c r="F830" t="s">
        <v>2005</v>
      </c>
      <c r="G830" t="s">
        <v>1436</v>
      </c>
      <c r="H830" t="s">
        <v>1498</v>
      </c>
      <c r="I830" t="s">
        <v>240</v>
      </c>
      <c r="J830" t="s">
        <v>46</v>
      </c>
      <c r="K830" t="s">
        <v>29</v>
      </c>
      <c r="L830" t="s">
        <v>30</v>
      </c>
      <c r="M830">
        <v>198</v>
      </c>
      <c r="N830" t="s">
        <v>32</v>
      </c>
      <c r="O830" t="s">
        <v>32</v>
      </c>
      <c r="Q830" t="s">
        <v>32</v>
      </c>
      <c r="S830" t="s">
        <v>32</v>
      </c>
      <c r="U830" t="s">
        <v>32</v>
      </c>
      <c r="V830" t="s">
        <v>32</v>
      </c>
      <c r="W830" t="s">
        <v>32</v>
      </c>
      <c r="X830" t="s">
        <v>32</v>
      </c>
      <c r="Y830" t="s">
        <v>32</v>
      </c>
      <c r="AA830" t="s">
        <v>88</v>
      </c>
      <c r="AB830" t="s">
        <v>32</v>
      </c>
      <c r="AE830" t="s">
        <v>32</v>
      </c>
      <c r="AH830" t="s">
        <v>32</v>
      </c>
      <c r="AK830" t="s">
        <v>32</v>
      </c>
      <c r="AN830" t="s">
        <v>32</v>
      </c>
      <c r="AO830" t="s">
        <v>32</v>
      </c>
      <c r="AR830">
        <v>0</v>
      </c>
      <c r="AU830" t="s">
        <v>32</v>
      </c>
      <c r="AV830">
        <v>2223339</v>
      </c>
      <c r="AW830" t="s">
        <v>32</v>
      </c>
      <c r="AX830" t="s">
        <v>32</v>
      </c>
      <c r="AY830" t="s">
        <v>317</v>
      </c>
      <c r="AZ830">
        <v>27</v>
      </c>
      <c r="BA830">
        <v>2829839</v>
      </c>
      <c r="BB830">
        <v>0.15999999642372131</v>
      </c>
      <c r="BC830">
        <v>452800</v>
      </c>
      <c r="BD830" t="s">
        <v>31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452800</v>
      </c>
      <c r="BK830" t="s">
        <v>25</v>
      </c>
      <c r="BL830" t="s">
        <v>885</v>
      </c>
      <c r="BM830">
        <v>27</v>
      </c>
      <c r="BN830">
        <v>2829839</v>
      </c>
      <c r="BO830">
        <v>3.9999999105930328E-2</v>
      </c>
      <c r="BP830">
        <v>113200</v>
      </c>
      <c r="BQ830">
        <v>0</v>
      </c>
      <c r="BS830">
        <v>0</v>
      </c>
      <c r="BU830">
        <v>0</v>
      </c>
      <c r="BV830" t="s">
        <v>25</v>
      </c>
      <c r="BW830" t="s">
        <v>189</v>
      </c>
      <c r="BX830">
        <v>27</v>
      </c>
      <c r="BY830">
        <v>2829839</v>
      </c>
      <c r="BZ830">
        <v>6.9600000977516174E-2</v>
      </c>
      <c r="CA830" t="s">
        <v>1439</v>
      </c>
      <c r="CB830" t="s">
        <v>227</v>
      </c>
      <c r="CC830" t="s">
        <v>1440</v>
      </c>
      <c r="CD830">
        <v>197000</v>
      </c>
      <c r="CE830">
        <v>27</v>
      </c>
      <c r="CF830" t="s">
        <v>635</v>
      </c>
      <c r="CG830">
        <v>2829840</v>
      </c>
      <c r="CH830">
        <v>3.9999999105930328E-2</v>
      </c>
      <c r="CI830">
        <v>113200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 t="s">
        <v>88</v>
      </c>
      <c r="CT830" t="s">
        <v>142</v>
      </c>
      <c r="CU830" t="s">
        <v>1442</v>
      </c>
    </row>
    <row r="831" spans="1:99">
      <c r="A831" t="s">
        <v>3047</v>
      </c>
      <c r="B831" t="s">
        <v>34</v>
      </c>
      <c r="C831" t="s">
        <v>2009</v>
      </c>
      <c r="D831" t="s">
        <v>3053</v>
      </c>
      <c r="E831" t="s">
        <v>2011</v>
      </c>
      <c r="F831" t="s">
        <v>2012</v>
      </c>
      <c r="G831" t="s">
        <v>3054</v>
      </c>
      <c r="H831" t="s">
        <v>1876</v>
      </c>
      <c r="I831" t="s">
        <v>240</v>
      </c>
      <c r="J831" t="s">
        <v>46</v>
      </c>
      <c r="K831" t="s">
        <v>29</v>
      </c>
      <c r="L831" t="s">
        <v>30</v>
      </c>
      <c r="M831">
        <v>0</v>
      </c>
      <c r="N831" t="s">
        <v>32</v>
      </c>
      <c r="O831" t="s">
        <v>32</v>
      </c>
      <c r="Q831" t="s">
        <v>32</v>
      </c>
      <c r="S831" t="s">
        <v>32</v>
      </c>
      <c r="U831" t="s">
        <v>32</v>
      </c>
      <c r="V831" t="s">
        <v>32</v>
      </c>
      <c r="W831" t="s">
        <v>32</v>
      </c>
      <c r="X831" t="s">
        <v>32</v>
      </c>
      <c r="Y831" t="s">
        <v>32</v>
      </c>
      <c r="AA831" t="s">
        <v>32</v>
      </c>
      <c r="AB831" t="s">
        <v>37</v>
      </c>
      <c r="AC831">
        <v>46054</v>
      </c>
      <c r="AD831">
        <v>46054</v>
      </c>
      <c r="AE831" t="s">
        <v>32</v>
      </c>
      <c r="AH831" t="s">
        <v>32</v>
      </c>
      <c r="AK831" t="s">
        <v>32</v>
      </c>
      <c r="AN831" t="s">
        <v>32</v>
      </c>
      <c r="AO831" t="s">
        <v>32</v>
      </c>
      <c r="AR831">
        <v>0</v>
      </c>
      <c r="AU831" t="s">
        <v>32</v>
      </c>
      <c r="AV831">
        <v>1750905</v>
      </c>
      <c r="AW831" t="s">
        <v>32</v>
      </c>
      <c r="AX831" t="s">
        <v>32</v>
      </c>
      <c r="AY831" t="s">
        <v>356</v>
      </c>
      <c r="AZ831">
        <v>1</v>
      </c>
      <c r="BA831">
        <v>58364</v>
      </c>
      <c r="BB831">
        <v>0.15999999642372131</v>
      </c>
      <c r="BC831">
        <v>9400</v>
      </c>
      <c r="BD831" t="s">
        <v>31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9400</v>
      </c>
      <c r="BK831" t="s">
        <v>25</v>
      </c>
      <c r="BL831" t="s">
        <v>1064</v>
      </c>
      <c r="BM831">
        <v>1</v>
      </c>
      <c r="BN831">
        <v>58364</v>
      </c>
      <c r="BO831">
        <v>0</v>
      </c>
      <c r="BP831">
        <v>0</v>
      </c>
      <c r="BQ831">
        <v>0</v>
      </c>
      <c r="BS831">
        <v>0</v>
      </c>
      <c r="BU831">
        <v>0</v>
      </c>
      <c r="BV831" t="s">
        <v>25</v>
      </c>
      <c r="BW831" t="s">
        <v>189</v>
      </c>
      <c r="BX831">
        <v>1</v>
      </c>
      <c r="BY831">
        <v>58364</v>
      </c>
      <c r="BZ831">
        <v>0</v>
      </c>
      <c r="CA831" t="s">
        <v>1439</v>
      </c>
      <c r="CB831" t="s">
        <v>227</v>
      </c>
      <c r="CC831" t="s">
        <v>1440</v>
      </c>
      <c r="CD831">
        <v>0</v>
      </c>
      <c r="CE831">
        <v>1</v>
      </c>
      <c r="CF831" t="s">
        <v>635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 t="s">
        <v>88</v>
      </c>
      <c r="CT831" t="s">
        <v>142</v>
      </c>
      <c r="CU831" t="s">
        <v>1442</v>
      </c>
    </row>
    <row r="832" spans="1:99">
      <c r="A832" t="s">
        <v>3047</v>
      </c>
      <c r="B832" t="s">
        <v>34</v>
      </c>
      <c r="C832" t="s">
        <v>2009</v>
      </c>
      <c r="D832" t="s">
        <v>3053</v>
      </c>
      <c r="E832" t="s">
        <v>2011</v>
      </c>
      <c r="F832" t="s">
        <v>2012</v>
      </c>
      <c r="G832" t="s">
        <v>3054</v>
      </c>
      <c r="H832" t="s">
        <v>1876</v>
      </c>
      <c r="I832" t="s">
        <v>240</v>
      </c>
      <c r="J832" t="s">
        <v>46</v>
      </c>
      <c r="K832" t="s">
        <v>29</v>
      </c>
      <c r="L832" t="s">
        <v>30</v>
      </c>
      <c r="M832">
        <v>0</v>
      </c>
      <c r="N832" t="s">
        <v>32</v>
      </c>
      <c r="O832" t="s">
        <v>32</v>
      </c>
      <c r="Q832" t="s">
        <v>32</v>
      </c>
      <c r="S832" t="s">
        <v>32</v>
      </c>
      <c r="U832" t="s">
        <v>32</v>
      </c>
      <c r="V832" t="s">
        <v>32</v>
      </c>
      <c r="W832" t="s">
        <v>32</v>
      </c>
      <c r="X832" t="s">
        <v>32</v>
      </c>
      <c r="Y832" t="s">
        <v>32</v>
      </c>
      <c r="AA832" t="s">
        <v>32</v>
      </c>
      <c r="AB832" t="s">
        <v>32</v>
      </c>
      <c r="AE832" t="s">
        <v>32</v>
      </c>
      <c r="AH832" t="s">
        <v>32</v>
      </c>
      <c r="AK832" t="s">
        <v>128</v>
      </c>
      <c r="AL832">
        <v>46058</v>
      </c>
      <c r="AM832">
        <v>46058</v>
      </c>
      <c r="AN832" t="s">
        <v>32</v>
      </c>
      <c r="AO832" t="s">
        <v>32</v>
      </c>
      <c r="AR832">
        <v>0</v>
      </c>
      <c r="AU832" t="s">
        <v>32</v>
      </c>
      <c r="AV832">
        <v>1750905</v>
      </c>
      <c r="AW832" t="s">
        <v>32</v>
      </c>
      <c r="AX832" t="s">
        <v>32</v>
      </c>
      <c r="AY832" t="s">
        <v>356</v>
      </c>
      <c r="AZ832">
        <v>1</v>
      </c>
      <c r="BA832">
        <v>58364</v>
      </c>
      <c r="BB832">
        <v>0.15999999642372131</v>
      </c>
      <c r="BC832">
        <v>9400</v>
      </c>
      <c r="BD832" t="s">
        <v>31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9400</v>
      </c>
      <c r="BK832" t="s">
        <v>25</v>
      </c>
      <c r="BL832" t="s">
        <v>1064</v>
      </c>
      <c r="BM832">
        <v>1</v>
      </c>
      <c r="BN832">
        <v>58364</v>
      </c>
      <c r="BO832">
        <v>3.9999999105930328E-2</v>
      </c>
      <c r="BP832">
        <v>2400</v>
      </c>
      <c r="BQ832">
        <v>0</v>
      </c>
      <c r="BS832">
        <v>0</v>
      </c>
      <c r="BU832">
        <v>0</v>
      </c>
      <c r="BV832" t="s">
        <v>25</v>
      </c>
      <c r="BW832" t="s">
        <v>189</v>
      </c>
      <c r="BX832">
        <v>1</v>
      </c>
      <c r="BY832">
        <v>58364</v>
      </c>
      <c r="BZ832">
        <v>0</v>
      </c>
      <c r="CA832" t="s">
        <v>1439</v>
      </c>
      <c r="CB832" t="s">
        <v>227</v>
      </c>
      <c r="CC832" t="s">
        <v>1440</v>
      </c>
      <c r="CD832">
        <v>0</v>
      </c>
      <c r="CE832">
        <v>1</v>
      </c>
      <c r="CF832" t="s">
        <v>635</v>
      </c>
      <c r="CG832">
        <v>58364</v>
      </c>
      <c r="CH832">
        <v>3.9999999105930328E-2</v>
      </c>
      <c r="CI832">
        <v>2400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 t="s">
        <v>88</v>
      </c>
      <c r="CT832" t="s">
        <v>142</v>
      </c>
      <c r="CU832" t="s">
        <v>1442</v>
      </c>
    </row>
    <row r="833" spans="1:99">
      <c r="A833" t="s">
        <v>3047</v>
      </c>
      <c r="B833" t="s">
        <v>34</v>
      </c>
      <c r="C833" t="s">
        <v>2009</v>
      </c>
      <c r="D833" t="s">
        <v>3053</v>
      </c>
      <c r="E833" t="s">
        <v>2011</v>
      </c>
      <c r="F833" t="s">
        <v>2012</v>
      </c>
      <c r="G833" t="s">
        <v>3054</v>
      </c>
      <c r="H833" t="s">
        <v>1876</v>
      </c>
      <c r="I833" t="s">
        <v>240</v>
      </c>
      <c r="J833" t="s">
        <v>46</v>
      </c>
      <c r="K833" t="s">
        <v>29</v>
      </c>
      <c r="L833" t="s">
        <v>30</v>
      </c>
      <c r="M833">
        <v>205</v>
      </c>
      <c r="N833" t="s">
        <v>32</v>
      </c>
      <c r="O833" t="s">
        <v>32</v>
      </c>
      <c r="Q833" t="s">
        <v>32</v>
      </c>
      <c r="S833" t="s">
        <v>32</v>
      </c>
      <c r="U833" t="s">
        <v>32</v>
      </c>
      <c r="V833" t="s">
        <v>32</v>
      </c>
      <c r="W833" t="s">
        <v>32</v>
      </c>
      <c r="X833" t="s">
        <v>32</v>
      </c>
      <c r="Y833" t="s">
        <v>32</v>
      </c>
      <c r="AA833" t="s">
        <v>88</v>
      </c>
      <c r="AB833" t="s">
        <v>32</v>
      </c>
      <c r="AE833" t="s">
        <v>32</v>
      </c>
      <c r="AH833" t="s">
        <v>32</v>
      </c>
      <c r="AK833" t="s">
        <v>32</v>
      </c>
      <c r="AN833" t="s">
        <v>32</v>
      </c>
      <c r="AO833" t="s">
        <v>32</v>
      </c>
      <c r="AR833">
        <v>0</v>
      </c>
      <c r="AU833" t="s">
        <v>32</v>
      </c>
      <c r="AV833">
        <v>1750905</v>
      </c>
      <c r="AW833" t="s">
        <v>32</v>
      </c>
      <c r="AX833" t="s">
        <v>32</v>
      </c>
      <c r="AY833" t="s">
        <v>356</v>
      </c>
      <c r="AZ833">
        <v>28</v>
      </c>
      <c r="BA833">
        <v>2092266</v>
      </c>
      <c r="BB833">
        <v>0.15999999642372131</v>
      </c>
      <c r="BC833">
        <v>334800</v>
      </c>
      <c r="BD833" t="s">
        <v>31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334800</v>
      </c>
      <c r="BK833" t="s">
        <v>25</v>
      </c>
      <c r="BL833" t="s">
        <v>1064</v>
      </c>
      <c r="BM833">
        <v>28</v>
      </c>
      <c r="BN833">
        <v>2092266</v>
      </c>
      <c r="BO833">
        <v>3.9999999105930328E-2</v>
      </c>
      <c r="BP833">
        <v>83700</v>
      </c>
      <c r="BQ833">
        <v>0</v>
      </c>
      <c r="BS833">
        <v>0</v>
      </c>
      <c r="BU833">
        <v>0</v>
      </c>
      <c r="BV833" t="s">
        <v>25</v>
      </c>
      <c r="BW833" t="s">
        <v>189</v>
      </c>
      <c r="BX833">
        <v>28</v>
      </c>
      <c r="BY833">
        <v>2092266</v>
      </c>
      <c r="BZ833">
        <v>6.9600000977516174E-2</v>
      </c>
      <c r="CA833" t="s">
        <v>1439</v>
      </c>
      <c r="CB833" t="s">
        <v>227</v>
      </c>
      <c r="CC833" t="s">
        <v>1440</v>
      </c>
      <c r="CD833">
        <v>145700</v>
      </c>
      <c r="CE833">
        <v>28</v>
      </c>
      <c r="CF833" t="s">
        <v>635</v>
      </c>
      <c r="CG833">
        <v>2092267</v>
      </c>
      <c r="CH833">
        <v>3.9999999105930328E-2</v>
      </c>
      <c r="CI833">
        <v>83700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 t="s">
        <v>88</v>
      </c>
      <c r="CT833" t="s">
        <v>142</v>
      </c>
      <c r="CU833" t="s">
        <v>1442</v>
      </c>
    </row>
    <row r="834" spans="1:99">
      <c r="A834" t="s">
        <v>3047</v>
      </c>
      <c r="B834" t="s">
        <v>34</v>
      </c>
      <c r="C834" t="s">
        <v>2013</v>
      </c>
      <c r="D834" t="s">
        <v>2014</v>
      </c>
      <c r="E834" t="s">
        <v>1435</v>
      </c>
      <c r="F834" t="s">
        <v>1562</v>
      </c>
      <c r="G834" t="s">
        <v>2015</v>
      </c>
      <c r="H834" t="s">
        <v>2016</v>
      </c>
      <c r="I834" t="s">
        <v>240</v>
      </c>
      <c r="J834" t="s">
        <v>46</v>
      </c>
      <c r="K834" t="s">
        <v>29</v>
      </c>
      <c r="L834" t="s">
        <v>30</v>
      </c>
      <c r="M834">
        <v>67</v>
      </c>
      <c r="N834" t="s">
        <v>32</v>
      </c>
      <c r="O834" t="s">
        <v>32</v>
      </c>
      <c r="Q834" t="s">
        <v>32</v>
      </c>
      <c r="S834" t="s">
        <v>40</v>
      </c>
      <c r="T834">
        <v>46060</v>
      </c>
      <c r="U834" t="s">
        <v>32</v>
      </c>
      <c r="V834" t="s">
        <v>32</v>
      </c>
      <c r="W834" t="s">
        <v>32</v>
      </c>
      <c r="X834" t="s">
        <v>32</v>
      </c>
      <c r="Y834" t="s">
        <v>32</v>
      </c>
      <c r="AA834" t="s">
        <v>88</v>
      </c>
      <c r="AB834" t="s">
        <v>32</v>
      </c>
      <c r="AE834" t="s">
        <v>32</v>
      </c>
      <c r="AH834" t="s">
        <v>32</v>
      </c>
      <c r="AK834" t="s">
        <v>32</v>
      </c>
      <c r="AN834" t="s">
        <v>32</v>
      </c>
      <c r="AO834" t="s">
        <v>32</v>
      </c>
      <c r="AR834">
        <v>0</v>
      </c>
      <c r="AU834" t="s">
        <v>32</v>
      </c>
      <c r="AV834">
        <v>1750905</v>
      </c>
      <c r="AW834" t="s">
        <v>32</v>
      </c>
      <c r="AX834" t="s">
        <v>32</v>
      </c>
      <c r="AY834" t="s">
        <v>185</v>
      </c>
      <c r="AZ834">
        <v>7</v>
      </c>
      <c r="BA834">
        <v>1056288</v>
      </c>
      <c r="BB834">
        <v>0.15999999642372131</v>
      </c>
      <c r="BC834">
        <v>169100</v>
      </c>
      <c r="BD834" t="s">
        <v>31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169100</v>
      </c>
      <c r="BK834" t="s">
        <v>25</v>
      </c>
      <c r="BL834" t="s">
        <v>1064</v>
      </c>
      <c r="BM834">
        <v>7</v>
      </c>
      <c r="BN834">
        <v>1056288</v>
      </c>
      <c r="BO834">
        <v>3.9999999105930328E-2</v>
      </c>
      <c r="BP834">
        <v>42300</v>
      </c>
      <c r="BQ834">
        <v>0</v>
      </c>
      <c r="BS834">
        <v>0</v>
      </c>
      <c r="BU834">
        <v>0</v>
      </c>
      <c r="BV834" t="s">
        <v>25</v>
      </c>
      <c r="BW834" t="s">
        <v>189</v>
      </c>
      <c r="BX834">
        <v>7</v>
      </c>
      <c r="BY834">
        <v>1056288</v>
      </c>
      <c r="BZ834">
        <v>6.9600000977516174E-2</v>
      </c>
      <c r="CA834" t="s">
        <v>1439</v>
      </c>
      <c r="CB834" t="s">
        <v>227</v>
      </c>
      <c r="CC834" t="s">
        <v>1440</v>
      </c>
      <c r="CD834">
        <v>73600</v>
      </c>
      <c r="CE834">
        <v>7</v>
      </c>
      <c r="CF834" t="s">
        <v>635</v>
      </c>
      <c r="CG834">
        <v>1407037</v>
      </c>
      <c r="CH834">
        <v>3.9999999105930328E-2</v>
      </c>
      <c r="CI834">
        <v>56300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 t="s">
        <v>88</v>
      </c>
      <c r="CT834" t="s">
        <v>142</v>
      </c>
      <c r="CU834" t="s">
        <v>1442</v>
      </c>
    </row>
    <row r="835" spans="1:99">
      <c r="A835" t="s">
        <v>3047</v>
      </c>
      <c r="B835" t="s">
        <v>34</v>
      </c>
      <c r="C835" t="s">
        <v>2017</v>
      </c>
      <c r="D835" t="s">
        <v>2018</v>
      </c>
      <c r="E835" t="s">
        <v>2019</v>
      </c>
      <c r="F835" t="s">
        <v>2020</v>
      </c>
      <c r="G835" t="s">
        <v>2021</v>
      </c>
      <c r="H835" t="s">
        <v>1498</v>
      </c>
      <c r="I835" t="s">
        <v>240</v>
      </c>
      <c r="J835" t="s">
        <v>46</v>
      </c>
      <c r="K835" t="s">
        <v>29</v>
      </c>
      <c r="L835" t="s">
        <v>30</v>
      </c>
      <c r="M835">
        <v>24</v>
      </c>
      <c r="N835" t="s">
        <v>32</v>
      </c>
      <c r="O835" t="s">
        <v>32</v>
      </c>
      <c r="Q835" t="s">
        <v>32</v>
      </c>
      <c r="S835" t="s">
        <v>40</v>
      </c>
      <c r="T835">
        <v>46055</v>
      </c>
      <c r="U835" t="s">
        <v>32</v>
      </c>
      <c r="V835" t="s">
        <v>32</v>
      </c>
      <c r="W835" t="s">
        <v>32</v>
      </c>
      <c r="X835" t="s">
        <v>32</v>
      </c>
      <c r="Y835" t="s">
        <v>32</v>
      </c>
      <c r="AA835" t="s">
        <v>88</v>
      </c>
      <c r="AB835" t="s">
        <v>32</v>
      </c>
      <c r="AE835" t="s">
        <v>32</v>
      </c>
      <c r="AH835" t="s">
        <v>32</v>
      </c>
      <c r="AK835" t="s">
        <v>32</v>
      </c>
      <c r="AN835" t="s">
        <v>32</v>
      </c>
      <c r="AO835" t="s">
        <v>32</v>
      </c>
      <c r="AR835">
        <v>0</v>
      </c>
      <c r="AU835" t="s">
        <v>32</v>
      </c>
      <c r="AV835">
        <v>1750905</v>
      </c>
      <c r="AW835" t="s">
        <v>32</v>
      </c>
      <c r="AX835" t="s">
        <v>32</v>
      </c>
      <c r="AY835" t="s">
        <v>185</v>
      </c>
      <c r="AZ835">
        <v>2</v>
      </c>
      <c r="BA835">
        <v>607074</v>
      </c>
      <c r="BB835">
        <v>0.15999999642372131</v>
      </c>
      <c r="BC835">
        <v>97200</v>
      </c>
      <c r="BD835" t="s">
        <v>31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97200</v>
      </c>
      <c r="BK835" t="s">
        <v>25</v>
      </c>
      <c r="BL835" t="s">
        <v>870</v>
      </c>
      <c r="BM835">
        <v>2</v>
      </c>
      <c r="BN835">
        <v>607074</v>
      </c>
      <c r="BO835">
        <v>0.125</v>
      </c>
      <c r="BP835">
        <v>75900</v>
      </c>
      <c r="BQ835">
        <v>0</v>
      </c>
      <c r="BS835">
        <v>0</v>
      </c>
      <c r="BU835">
        <v>0</v>
      </c>
      <c r="BV835" t="s">
        <v>25</v>
      </c>
      <c r="BW835" t="s">
        <v>189</v>
      </c>
      <c r="BX835">
        <v>2</v>
      </c>
      <c r="BY835">
        <v>607074</v>
      </c>
      <c r="BZ835">
        <v>6.9600000977516174E-2</v>
      </c>
      <c r="CA835" t="s">
        <v>1439</v>
      </c>
      <c r="CB835" t="s">
        <v>227</v>
      </c>
      <c r="CC835" t="s">
        <v>1440</v>
      </c>
      <c r="CD835">
        <v>42300</v>
      </c>
      <c r="CE835">
        <v>2</v>
      </c>
      <c r="CF835" t="s">
        <v>635</v>
      </c>
      <c r="CG835">
        <v>1093712</v>
      </c>
      <c r="CH835">
        <v>3.9999999105930328E-2</v>
      </c>
      <c r="CI835">
        <v>43800</v>
      </c>
      <c r="CJ835">
        <v>1093712</v>
      </c>
      <c r="CK835">
        <v>1.9999999552965164E-2</v>
      </c>
      <c r="CL835">
        <v>21900</v>
      </c>
      <c r="CM835">
        <v>2.9999999329447746E-2</v>
      </c>
      <c r="CN835">
        <v>32900</v>
      </c>
      <c r="CO835">
        <v>0</v>
      </c>
      <c r="CP835">
        <v>0</v>
      </c>
      <c r="CQ835">
        <v>0</v>
      </c>
      <c r="CR835">
        <v>0</v>
      </c>
      <c r="CS835" t="s">
        <v>32</v>
      </c>
      <c r="CT835" t="s">
        <v>142</v>
      </c>
      <c r="CU835" t="s">
        <v>1442</v>
      </c>
    </row>
    <row r="836" spans="1:99">
      <c r="A836" t="s">
        <v>3047</v>
      </c>
      <c r="B836" t="s">
        <v>34</v>
      </c>
      <c r="C836" t="s">
        <v>2022</v>
      </c>
      <c r="D836" t="s">
        <v>2023</v>
      </c>
      <c r="E836" t="s">
        <v>774</v>
      </c>
      <c r="F836" t="s">
        <v>2024</v>
      </c>
      <c r="G836" t="s">
        <v>2025</v>
      </c>
      <c r="H836" t="s">
        <v>2026</v>
      </c>
      <c r="I836" t="s">
        <v>240</v>
      </c>
      <c r="J836" t="s">
        <v>46</v>
      </c>
      <c r="K836" t="s">
        <v>29</v>
      </c>
      <c r="L836" t="s">
        <v>30</v>
      </c>
      <c r="M836">
        <v>0</v>
      </c>
      <c r="N836" t="s">
        <v>32</v>
      </c>
      <c r="O836" t="s">
        <v>32</v>
      </c>
      <c r="Q836" t="s">
        <v>32</v>
      </c>
      <c r="S836" t="s">
        <v>32</v>
      </c>
      <c r="U836" t="s">
        <v>32</v>
      </c>
      <c r="V836" t="s">
        <v>32</v>
      </c>
      <c r="W836" t="s">
        <v>32</v>
      </c>
      <c r="X836" t="s">
        <v>32</v>
      </c>
      <c r="Y836" t="s">
        <v>32</v>
      </c>
      <c r="AA836" t="s">
        <v>32</v>
      </c>
      <c r="AB836" t="s">
        <v>32</v>
      </c>
      <c r="AE836" t="s">
        <v>32</v>
      </c>
      <c r="AH836" t="s">
        <v>32</v>
      </c>
      <c r="AK836" t="s">
        <v>128</v>
      </c>
      <c r="AL836">
        <v>46054</v>
      </c>
      <c r="AM836">
        <v>46054</v>
      </c>
      <c r="AN836" t="s">
        <v>32</v>
      </c>
      <c r="AO836" t="s">
        <v>32</v>
      </c>
      <c r="AR836">
        <v>0</v>
      </c>
      <c r="AU836" t="s">
        <v>32</v>
      </c>
      <c r="AV836">
        <v>1750905</v>
      </c>
      <c r="AW836" t="s">
        <v>32</v>
      </c>
      <c r="AX836" t="s">
        <v>32</v>
      </c>
      <c r="AY836" t="s">
        <v>185</v>
      </c>
      <c r="AZ836">
        <v>1</v>
      </c>
      <c r="BA836">
        <v>58364</v>
      </c>
      <c r="BB836">
        <v>0.15999999642372131</v>
      </c>
      <c r="BC836">
        <v>9400</v>
      </c>
      <c r="BD836" t="s">
        <v>31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9400</v>
      </c>
      <c r="BK836" t="s">
        <v>25</v>
      </c>
      <c r="BL836" t="s">
        <v>885</v>
      </c>
      <c r="BM836">
        <v>1</v>
      </c>
      <c r="BN836">
        <v>58364</v>
      </c>
      <c r="BO836">
        <v>3.9999999105930328E-2</v>
      </c>
      <c r="BP836">
        <v>2400</v>
      </c>
      <c r="BQ836">
        <v>0</v>
      </c>
      <c r="BS836">
        <v>0</v>
      </c>
      <c r="BU836">
        <v>0</v>
      </c>
      <c r="BV836" t="s">
        <v>25</v>
      </c>
      <c r="BW836" t="s">
        <v>189</v>
      </c>
      <c r="BX836">
        <v>1</v>
      </c>
      <c r="BY836">
        <v>58364</v>
      </c>
      <c r="BZ836">
        <v>0</v>
      </c>
      <c r="CA836" t="s">
        <v>1439</v>
      </c>
      <c r="CB836" t="s">
        <v>227</v>
      </c>
      <c r="CC836" t="s">
        <v>1440</v>
      </c>
      <c r="CD836">
        <v>0</v>
      </c>
      <c r="CE836">
        <v>1</v>
      </c>
      <c r="CF836" t="s">
        <v>635</v>
      </c>
      <c r="CG836">
        <v>58364</v>
      </c>
      <c r="CH836">
        <v>3.9999999105930328E-2</v>
      </c>
      <c r="CI836">
        <v>2400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 t="s">
        <v>88</v>
      </c>
      <c r="CT836" t="s">
        <v>142</v>
      </c>
      <c r="CU836" t="s">
        <v>1442</v>
      </c>
    </row>
    <row r="837" spans="1:99">
      <c r="A837" t="s">
        <v>3047</v>
      </c>
      <c r="B837" t="s">
        <v>34</v>
      </c>
      <c r="C837" t="s">
        <v>2022</v>
      </c>
      <c r="D837" t="s">
        <v>2023</v>
      </c>
      <c r="E837" t="s">
        <v>774</v>
      </c>
      <c r="F837" t="s">
        <v>2024</v>
      </c>
      <c r="G837" t="s">
        <v>2025</v>
      </c>
      <c r="H837" t="s">
        <v>2026</v>
      </c>
      <c r="I837" t="s">
        <v>240</v>
      </c>
      <c r="J837" t="s">
        <v>46</v>
      </c>
      <c r="K837" t="s">
        <v>29</v>
      </c>
      <c r="L837" t="s">
        <v>30</v>
      </c>
      <c r="M837">
        <v>0</v>
      </c>
      <c r="N837" t="s">
        <v>32</v>
      </c>
      <c r="O837" t="s">
        <v>32</v>
      </c>
      <c r="Q837" t="s">
        <v>32</v>
      </c>
      <c r="S837" t="s">
        <v>32</v>
      </c>
      <c r="U837" t="s">
        <v>32</v>
      </c>
      <c r="V837" t="s">
        <v>32</v>
      </c>
      <c r="W837" t="s">
        <v>32</v>
      </c>
      <c r="X837" t="s">
        <v>32</v>
      </c>
      <c r="Y837" t="s">
        <v>32</v>
      </c>
      <c r="AA837" t="s">
        <v>32</v>
      </c>
      <c r="AB837" t="s">
        <v>32</v>
      </c>
      <c r="AE837" t="s">
        <v>32</v>
      </c>
      <c r="AH837" t="s">
        <v>32</v>
      </c>
      <c r="AK837" t="s">
        <v>128</v>
      </c>
      <c r="AL837">
        <v>46056</v>
      </c>
      <c r="AM837">
        <v>46056</v>
      </c>
      <c r="AN837" t="s">
        <v>32</v>
      </c>
      <c r="AO837" t="s">
        <v>32</v>
      </c>
      <c r="AR837">
        <v>0</v>
      </c>
      <c r="AU837" t="s">
        <v>32</v>
      </c>
      <c r="AV837">
        <v>1750905</v>
      </c>
      <c r="AW837" t="s">
        <v>32</v>
      </c>
      <c r="AX837" t="s">
        <v>32</v>
      </c>
      <c r="AY837" t="s">
        <v>185</v>
      </c>
      <c r="AZ837">
        <v>1</v>
      </c>
      <c r="BA837">
        <v>58364</v>
      </c>
      <c r="BB837">
        <v>0.15999999642372131</v>
      </c>
      <c r="BC837">
        <v>9400</v>
      </c>
      <c r="BD837" t="s">
        <v>31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9400</v>
      </c>
      <c r="BK837" t="s">
        <v>25</v>
      </c>
      <c r="BL837" t="s">
        <v>885</v>
      </c>
      <c r="BM837">
        <v>1</v>
      </c>
      <c r="BN837">
        <v>58364</v>
      </c>
      <c r="BO837">
        <v>3.9999999105930328E-2</v>
      </c>
      <c r="BP837">
        <v>2400</v>
      </c>
      <c r="BQ837">
        <v>0</v>
      </c>
      <c r="BS837">
        <v>0</v>
      </c>
      <c r="BU837">
        <v>0</v>
      </c>
      <c r="BV837" t="s">
        <v>25</v>
      </c>
      <c r="BW837" t="s">
        <v>189</v>
      </c>
      <c r="BX837">
        <v>1</v>
      </c>
      <c r="BY837">
        <v>58364</v>
      </c>
      <c r="BZ837">
        <v>0</v>
      </c>
      <c r="CA837" t="s">
        <v>1439</v>
      </c>
      <c r="CB837" t="s">
        <v>227</v>
      </c>
      <c r="CC837" t="s">
        <v>1440</v>
      </c>
      <c r="CD837">
        <v>0</v>
      </c>
      <c r="CE837">
        <v>1</v>
      </c>
      <c r="CF837" t="s">
        <v>635</v>
      </c>
      <c r="CG837">
        <v>58364</v>
      </c>
      <c r="CH837">
        <v>3.9999999105930328E-2</v>
      </c>
      <c r="CI837">
        <v>2400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 t="s">
        <v>88</v>
      </c>
      <c r="CT837" t="s">
        <v>142</v>
      </c>
      <c r="CU837" t="s">
        <v>1442</v>
      </c>
    </row>
    <row r="838" spans="1:99">
      <c r="A838" t="s">
        <v>3047</v>
      </c>
      <c r="B838" t="s">
        <v>34</v>
      </c>
      <c r="C838" t="s">
        <v>2022</v>
      </c>
      <c r="D838" t="s">
        <v>2023</v>
      </c>
      <c r="E838" t="s">
        <v>774</v>
      </c>
      <c r="F838" t="s">
        <v>2024</v>
      </c>
      <c r="G838" t="s">
        <v>2025</v>
      </c>
      <c r="H838" t="s">
        <v>2026</v>
      </c>
      <c r="I838" t="s">
        <v>240</v>
      </c>
      <c r="J838" t="s">
        <v>46</v>
      </c>
      <c r="K838" t="s">
        <v>29</v>
      </c>
      <c r="L838" t="s">
        <v>30</v>
      </c>
      <c r="M838">
        <v>52</v>
      </c>
      <c r="N838" t="s">
        <v>32</v>
      </c>
      <c r="O838" t="s">
        <v>32</v>
      </c>
      <c r="Q838" t="s">
        <v>32</v>
      </c>
      <c r="S838" t="s">
        <v>40</v>
      </c>
      <c r="T838">
        <v>46060</v>
      </c>
      <c r="U838" t="s">
        <v>32</v>
      </c>
      <c r="V838" t="s">
        <v>32</v>
      </c>
      <c r="W838" t="s">
        <v>32</v>
      </c>
      <c r="X838" t="s">
        <v>32</v>
      </c>
      <c r="Y838" t="s">
        <v>32</v>
      </c>
      <c r="AA838" t="s">
        <v>88</v>
      </c>
      <c r="AB838" t="s">
        <v>32</v>
      </c>
      <c r="AE838" t="s">
        <v>32</v>
      </c>
      <c r="AH838" t="s">
        <v>32</v>
      </c>
      <c r="AK838" t="s">
        <v>32</v>
      </c>
      <c r="AN838" t="s">
        <v>32</v>
      </c>
      <c r="AO838" t="s">
        <v>32</v>
      </c>
      <c r="AR838">
        <v>0</v>
      </c>
      <c r="AU838" t="s">
        <v>32</v>
      </c>
      <c r="AV838">
        <v>1750905</v>
      </c>
      <c r="AW838" t="s">
        <v>32</v>
      </c>
      <c r="AX838" t="s">
        <v>32</v>
      </c>
      <c r="AY838" t="s">
        <v>185</v>
      </c>
      <c r="AZ838">
        <v>5</v>
      </c>
      <c r="BA838">
        <v>1043593</v>
      </c>
      <c r="BB838">
        <v>0.15999999642372131</v>
      </c>
      <c r="BC838">
        <v>167000</v>
      </c>
      <c r="BD838" t="s">
        <v>31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167000</v>
      </c>
      <c r="BK838" t="s">
        <v>25</v>
      </c>
      <c r="BL838" t="s">
        <v>885</v>
      </c>
      <c r="BM838">
        <v>5</v>
      </c>
      <c r="BN838">
        <v>1043593</v>
      </c>
      <c r="BO838">
        <v>3.9999999105930328E-2</v>
      </c>
      <c r="BP838">
        <v>41800</v>
      </c>
      <c r="BQ838">
        <v>0</v>
      </c>
      <c r="BS838">
        <v>0</v>
      </c>
      <c r="BU838">
        <v>0</v>
      </c>
      <c r="BV838" t="s">
        <v>25</v>
      </c>
      <c r="BW838" t="s">
        <v>189</v>
      </c>
      <c r="BX838">
        <v>5</v>
      </c>
      <c r="BY838">
        <v>1043593</v>
      </c>
      <c r="BZ838">
        <v>6.9600000977516174E-2</v>
      </c>
      <c r="CA838" t="s">
        <v>1439</v>
      </c>
      <c r="CB838" t="s">
        <v>227</v>
      </c>
      <c r="CC838" t="s">
        <v>1440</v>
      </c>
      <c r="CD838">
        <v>72700</v>
      </c>
      <c r="CE838">
        <v>5</v>
      </c>
      <c r="CF838" t="s">
        <v>635</v>
      </c>
      <c r="CG838">
        <v>1435802</v>
      </c>
      <c r="CH838">
        <v>3.9999999105930328E-2</v>
      </c>
      <c r="CI838">
        <v>57500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 t="s">
        <v>88</v>
      </c>
      <c r="CT838" t="s">
        <v>142</v>
      </c>
      <c r="CU838" t="s">
        <v>1442</v>
      </c>
    </row>
    <row r="839" spans="1:99">
      <c r="A839" t="s">
        <v>3047</v>
      </c>
      <c r="B839" t="s">
        <v>34</v>
      </c>
      <c r="C839" t="s">
        <v>2027</v>
      </c>
      <c r="D839" t="s">
        <v>2028</v>
      </c>
      <c r="E839" t="s">
        <v>2029</v>
      </c>
      <c r="F839" t="s">
        <v>1923</v>
      </c>
      <c r="G839" t="s">
        <v>2030</v>
      </c>
      <c r="H839" t="s">
        <v>2031</v>
      </c>
      <c r="I839" t="s">
        <v>240</v>
      </c>
      <c r="J839" t="s">
        <v>46</v>
      </c>
      <c r="K839" t="s">
        <v>29</v>
      </c>
      <c r="L839" t="s">
        <v>30</v>
      </c>
      <c r="M839">
        <v>0</v>
      </c>
      <c r="N839" t="s">
        <v>32</v>
      </c>
      <c r="O839" t="s">
        <v>32</v>
      </c>
      <c r="Q839" t="s">
        <v>32</v>
      </c>
      <c r="S839" t="s">
        <v>32</v>
      </c>
      <c r="U839" t="s">
        <v>32</v>
      </c>
      <c r="V839" t="s">
        <v>32</v>
      </c>
      <c r="W839" t="s">
        <v>32</v>
      </c>
      <c r="X839" t="s">
        <v>32</v>
      </c>
      <c r="Y839" t="s">
        <v>32</v>
      </c>
      <c r="AA839" t="s">
        <v>32</v>
      </c>
      <c r="AB839" t="s">
        <v>32</v>
      </c>
      <c r="AE839" t="s">
        <v>32</v>
      </c>
      <c r="AH839" t="s">
        <v>32</v>
      </c>
      <c r="AK839" t="s">
        <v>74</v>
      </c>
      <c r="AL839">
        <v>46058</v>
      </c>
      <c r="AM839">
        <v>46063</v>
      </c>
      <c r="AN839" t="s">
        <v>32</v>
      </c>
      <c r="AO839" t="s">
        <v>32</v>
      </c>
      <c r="AR839">
        <v>0</v>
      </c>
      <c r="AU839" t="s">
        <v>32</v>
      </c>
      <c r="AV839">
        <v>6384779</v>
      </c>
      <c r="AW839" t="s">
        <v>32</v>
      </c>
      <c r="AX839" t="s">
        <v>32</v>
      </c>
      <c r="AY839" t="s">
        <v>185</v>
      </c>
      <c r="AZ839">
        <v>6</v>
      </c>
      <c r="BA839">
        <v>1237988</v>
      </c>
      <c r="BB839">
        <v>0.15999999642372131</v>
      </c>
      <c r="BC839">
        <v>198100</v>
      </c>
      <c r="BD839" t="s">
        <v>31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198100</v>
      </c>
      <c r="BK839" t="s">
        <v>25</v>
      </c>
      <c r="BL839" t="s">
        <v>885</v>
      </c>
      <c r="BM839">
        <v>6</v>
      </c>
      <c r="BN839">
        <v>1237988</v>
      </c>
      <c r="BO839">
        <v>3.9999999105930328E-2</v>
      </c>
      <c r="BP839">
        <v>49600</v>
      </c>
      <c r="BQ839">
        <v>0</v>
      </c>
      <c r="BS839">
        <v>0</v>
      </c>
      <c r="BU839">
        <v>0</v>
      </c>
      <c r="BV839" t="s">
        <v>25</v>
      </c>
      <c r="BW839" t="s">
        <v>189</v>
      </c>
      <c r="BX839">
        <v>6</v>
      </c>
      <c r="BY839">
        <v>1237988</v>
      </c>
      <c r="BZ839">
        <v>0</v>
      </c>
      <c r="CA839" t="s">
        <v>1439</v>
      </c>
      <c r="CB839" t="s">
        <v>227</v>
      </c>
      <c r="CC839" t="s">
        <v>1440</v>
      </c>
      <c r="CD839">
        <v>0</v>
      </c>
      <c r="CE839">
        <v>6</v>
      </c>
      <c r="CF839" t="s">
        <v>635</v>
      </c>
      <c r="CG839">
        <v>1276956</v>
      </c>
      <c r="CH839">
        <v>3.9999999105930328E-2</v>
      </c>
      <c r="CI839">
        <v>51100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 t="s">
        <v>88</v>
      </c>
      <c r="CT839" t="s">
        <v>142</v>
      </c>
      <c r="CU839" t="s">
        <v>1442</v>
      </c>
    </row>
    <row r="840" spans="1:99">
      <c r="A840" t="s">
        <v>3047</v>
      </c>
      <c r="B840" t="s">
        <v>34</v>
      </c>
      <c r="C840" t="s">
        <v>2027</v>
      </c>
      <c r="D840" t="s">
        <v>2028</v>
      </c>
      <c r="E840" t="s">
        <v>2029</v>
      </c>
      <c r="F840" t="s">
        <v>1923</v>
      </c>
      <c r="G840" t="s">
        <v>2030</v>
      </c>
      <c r="H840" t="s">
        <v>2031</v>
      </c>
      <c r="I840" t="s">
        <v>240</v>
      </c>
      <c r="J840" t="s">
        <v>46</v>
      </c>
      <c r="K840" t="s">
        <v>29</v>
      </c>
      <c r="L840" t="s">
        <v>30</v>
      </c>
      <c r="M840">
        <v>149</v>
      </c>
      <c r="N840" t="s">
        <v>32</v>
      </c>
      <c r="O840" t="s">
        <v>32</v>
      </c>
      <c r="Q840" t="s">
        <v>32</v>
      </c>
      <c r="S840" t="s">
        <v>32</v>
      </c>
      <c r="U840" t="s">
        <v>32</v>
      </c>
      <c r="V840" t="s">
        <v>32</v>
      </c>
      <c r="W840" t="s">
        <v>32</v>
      </c>
      <c r="X840" t="s">
        <v>32</v>
      </c>
      <c r="Y840" t="s">
        <v>88</v>
      </c>
      <c r="Z840">
        <v>46054</v>
      </c>
      <c r="AA840" t="s">
        <v>88</v>
      </c>
      <c r="AB840" t="s">
        <v>32</v>
      </c>
      <c r="AE840" t="s">
        <v>32</v>
      </c>
      <c r="AH840" t="s">
        <v>32</v>
      </c>
      <c r="AK840" t="s">
        <v>32</v>
      </c>
      <c r="AN840" t="s">
        <v>32</v>
      </c>
      <c r="AO840" t="s">
        <v>32</v>
      </c>
      <c r="AR840">
        <v>0</v>
      </c>
      <c r="AU840" t="s">
        <v>32</v>
      </c>
      <c r="AV840">
        <v>6384779</v>
      </c>
      <c r="AW840" t="s">
        <v>32</v>
      </c>
      <c r="AX840" t="s">
        <v>32</v>
      </c>
      <c r="AY840" t="s">
        <v>185</v>
      </c>
      <c r="AZ840">
        <v>24</v>
      </c>
      <c r="BA840">
        <v>5107824</v>
      </c>
      <c r="BB840">
        <v>0.15999999642372131</v>
      </c>
      <c r="BC840">
        <v>817300</v>
      </c>
      <c r="BD840" t="s">
        <v>31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817300</v>
      </c>
      <c r="BK840" t="s">
        <v>25</v>
      </c>
      <c r="BL840" t="s">
        <v>885</v>
      </c>
      <c r="BM840">
        <v>24</v>
      </c>
      <c r="BN840">
        <v>5107824</v>
      </c>
      <c r="BO840">
        <v>3.9999999105930328E-2</v>
      </c>
      <c r="BP840">
        <v>204400</v>
      </c>
      <c r="BQ840">
        <v>0</v>
      </c>
      <c r="BS840">
        <v>0</v>
      </c>
      <c r="BU840">
        <v>0</v>
      </c>
      <c r="BV840" t="s">
        <v>25</v>
      </c>
      <c r="BW840" t="s">
        <v>189</v>
      </c>
      <c r="BX840">
        <v>24</v>
      </c>
      <c r="BY840">
        <v>5107824</v>
      </c>
      <c r="BZ840">
        <v>6.9600000977516174E-2</v>
      </c>
      <c r="CA840" t="s">
        <v>1439</v>
      </c>
      <c r="CB840" t="s">
        <v>227</v>
      </c>
      <c r="CC840" t="s">
        <v>1440</v>
      </c>
      <c r="CD840">
        <v>355600</v>
      </c>
      <c r="CE840">
        <v>24</v>
      </c>
      <c r="CF840" t="s">
        <v>635</v>
      </c>
      <c r="CG840">
        <v>5107824</v>
      </c>
      <c r="CH840">
        <v>3.9999999105930328E-2</v>
      </c>
      <c r="CI840">
        <v>204400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 t="s">
        <v>88</v>
      </c>
      <c r="CT840" t="s">
        <v>142</v>
      </c>
      <c r="CU840" t="s">
        <v>1442</v>
      </c>
    </row>
    <row r="841" spans="1:99">
      <c r="A841" t="s">
        <v>3047</v>
      </c>
      <c r="B841" t="s">
        <v>34</v>
      </c>
      <c r="C841" t="s">
        <v>2032</v>
      </c>
      <c r="D841" t="s">
        <v>2033</v>
      </c>
      <c r="E841" t="s">
        <v>2034</v>
      </c>
      <c r="F841" t="s">
        <v>2035</v>
      </c>
      <c r="G841" t="s">
        <v>2036</v>
      </c>
      <c r="H841" t="s">
        <v>2037</v>
      </c>
      <c r="I841" t="s">
        <v>240</v>
      </c>
      <c r="J841" t="s">
        <v>46</v>
      </c>
      <c r="K841" t="s">
        <v>29</v>
      </c>
      <c r="L841" t="s">
        <v>30</v>
      </c>
      <c r="M841">
        <v>166</v>
      </c>
      <c r="N841" t="s">
        <v>32</v>
      </c>
      <c r="O841" t="s">
        <v>32</v>
      </c>
      <c r="Q841" t="s">
        <v>40</v>
      </c>
      <c r="R841">
        <v>46058</v>
      </c>
      <c r="S841" t="s">
        <v>32</v>
      </c>
      <c r="U841" t="s">
        <v>32</v>
      </c>
      <c r="V841" t="s">
        <v>32</v>
      </c>
      <c r="W841" t="s">
        <v>32</v>
      </c>
      <c r="X841" t="s">
        <v>32</v>
      </c>
      <c r="Y841" t="s">
        <v>32</v>
      </c>
      <c r="AA841" t="s">
        <v>88</v>
      </c>
      <c r="AB841" t="s">
        <v>32</v>
      </c>
      <c r="AE841" t="s">
        <v>32</v>
      </c>
      <c r="AH841" t="s">
        <v>32</v>
      </c>
      <c r="AK841" t="s">
        <v>32</v>
      </c>
      <c r="AN841" t="s">
        <v>32</v>
      </c>
      <c r="AO841" t="s">
        <v>32</v>
      </c>
      <c r="AR841">
        <v>0</v>
      </c>
      <c r="AU841" t="s">
        <v>32</v>
      </c>
      <c r="AV841">
        <v>2074908</v>
      </c>
      <c r="AW841" t="s">
        <v>32</v>
      </c>
      <c r="AX841" t="s">
        <v>32</v>
      </c>
      <c r="AY841" t="s">
        <v>317</v>
      </c>
      <c r="AZ841">
        <v>26</v>
      </c>
      <c r="BA841">
        <v>2228799</v>
      </c>
      <c r="BB841">
        <v>0.15999999642372131</v>
      </c>
      <c r="BC841">
        <v>356700</v>
      </c>
      <c r="BD841" t="s">
        <v>31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356700</v>
      </c>
      <c r="BK841" t="s">
        <v>25</v>
      </c>
      <c r="BL841" t="s">
        <v>1071</v>
      </c>
      <c r="BM841">
        <v>26</v>
      </c>
      <c r="BN841">
        <v>2228799</v>
      </c>
      <c r="BO841">
        <v>3.9999999105930328E-2</v>
      </c>
      <c r="BP841">
        <v>89200</v>
      </c>
      <c r="BQ841">
        <v>0</v>
      </c>
      <c r="BS841">
        <v>0</v>
      </c>
      <c r="BU841">
        <v>0</v>
      </c>
      <c r="BV841" t="s">
        <v>25</v>
      </c>
      <c r="BW841" t="s">
        <v>189</v>
      </c>
      <c r="BX841">
        <v>26</v>
      </c>
      <c r="BY841">
        <v>2228799</v>
      </c>
      <c r="BZ841">
        <v>6.9600000977516174E-2</v>
      </c>
      <c r="CA841" t="s">
        <v>1439</v>
      </c>
      <c r="CB841" t="s">
        <v>227</v>
      </c>
      <c r="CC841" t="s">
        <v>1440</v>
      </c>
      <c r="CD841">
        <v>155200</v>
      </c>
      <c r="CE841">
        <v>26</v>
      </c>
      <c r="CF841" t="s">
        <v>635</v>
      </c>
      <c r="CG841">
        <v>2228799</v>
      </c>
      <c r="CH841">
        <v>3.9999999105930328E-2</v>
      </c>
      <c r="CI841">
        <v>89200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 t="s">
        <v>88</v>
      </c>
      <c r="CT841" t="s">
        <v>142</v>
      </c>
      <c r="CU841" t="s">
        <v>1442</v>
      </c>
    </row>
    <row r="842" spans="1:99">
      <c r="A842" t="s">
        <v>3047</v>
      </c>
      <c r="B842" t="s">
        <v>34</v>
      </c>
      <c r="C842" t="s">
        <v>2038</v>
      </c>
      <c r="D842" t="s">
        <v>2039</v>
      </c>
      <c r="E842" t="s">
        <v>2040</v>
      </c>
      <c r="F842" t="s">
        <v>2041</v>
      </c>
      <c r="G842" t="s">
        <v>2042</v>
      </c>
      <c r="H842" t="s">
        <v>1685</v>
      </c>
      <c r="I842" t="s">
        <v>240</v>
      </c>
      <c r="J842" t="s">
        <v>46</v>
      </c>
      <c r="K842" t="s">
        <v>29</v>
      </c>
      <c r="L842" t="s">
        <v>30</v>
      </c>
      <c r="M842">
        <v>173</v>
      </c>
      <c r="N842" t="s">
        <v>32</v>
      </c>
      <c r="O842" t="s">
        <v>32</v>
      </c>
      <c r="Q842" t="s">
        <v>40</v>
      </c>
      <c r="R842">
        <v>46057</v>
      </c>
      <c r="S842" t="s">
        <v>32</v>
      </c>
      <c r="U842" t="s">
        <v>32</v>
      </c>
      <c r="V842" t="s">
        <v>32</v>
      </c>
      <c r="W842" t="s">
        <v>32</v>
      </c>
      <c r="X842" t="s">
        <v>32</v>
      </c>
      <c r="Y842" t="s">
        <v>32</v>
      </c>
      <c r="AA842" t="s">
        <v>88</v>
      </c>
      <c r="AB842" t="s">
        <v>32</v>
      </c>
      <c r="AE842" t="s">
        <v>32</v>
      </c>
      <c r="AH842" t="s">
        <v>32</v>
      </c>
      <c r="AK842" t="s">
        <v>32</v>
      </c>
      <c r="AN842" t="s">
        <v>32</v>
      </c>
      <c r="AO842" t="s">
        <v>32</v>
      </c>
      <c r="AR842">
        <v>0</v>
      </c>
      <c r="AU842" t="s">
        <v>32</v>
      </c>
      <c r="AV842">
        <v>1750905</v>
      </c>
      <c r="AW842" t="s">
        <v>32</v>
      </c>
      <c r="AX842" t="s">
        <v>32</v>
      </c>
      <c r="AY842" t="s">
        <v>317</v>
      </c>
      <c r="AZ842">
        <v>27</v>
      </c>
      <c r="BA842">
        <v>1961013</v>
      </c>
      <c r="BB842">
        <v>0.15999999642372131</v>
      </c>
      <c r="BC842">
        <v>313800</v>
      </c>
      <c r="BD842" t="s">
        <v>31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313800</v>
      </c>
      <c r="BK842" t="s">
        <v>25</v>
      </c>
      <c r="BL842" t="s">
        <v>793</v>
      </c>
      <c r="BM842">
        <v>27</v>
      </c>
      <c r="BN842">
        <v>1961013</v>
      </c>
      <c r="BO842">
        <v>3.9999999105930328E-2</v>
      </c>
      <c r="BP842">
        <v>78500</v>
      </c>
      <c r="BQ842">
        <v>0</v>
      </c>
      <c r="BS842">
        <v>0</v>
      </c>
      <c r="BU842">
        <v>0</v>
      </c>
      <c r="BV842" t="s">
        <v>25</v>
      </c>
      <c r="BW842" t="s">
        <v>189</v>
      </c>
      <c r="BX842">
        <v>27</v>
      </c>
      <c r="BY842">
        <v>1961013</v>
      </c>
      <c r="BZ842">
        <v>6.9600000977516174E-2</v>
      </c>
      <c r="CA842" t="s">
        <v>1439</v>
      </c>
      <c r="CB842" t="s">
        <v>227</v>
      </c>
      <c r="CC842" t="s">
        <v>1440</v>
      </c>
      <c r="CD842">
        <v>136500</v>
      </c>
      <c r="CE842">
        <v>27</v>
      </c>
      <c r="CF842" t="s">
        <v>635</v>
      </c>
      <c r="CG842">
        <v>1961013</v>
      </c>
      <c r="CH842">
        <v>3.9999999105930328E-2</v>
      </c>
      <c r="CI842">
        <v>78500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 t="s">
        <v>88</v>
      </c>
      <c r="CT842" t="s">
        <v>142</v>
      </c>
      <c r="CU842" t="s">
        <v>1442</v>
      </c>
    </row>
    <row r="843" spans="1:99">
      <c r="A843" t="s">
        <v>3047</v>
      </c>
      <c r="B843" t="s">
        <v>34</v>
      </c>
      <c r="C843" t="s">
        <v>2043</v>
      </c>
      <c r="D843" t="s">
        <v>2044</v>
      </c>
      <c r="E843" t="s">
        <v>667</v>
      </c>
      <c r="F843" t="s">
        <v>1536</v>
      </c>
      <c r="G843" t="s">
        <v>2045</v>
      </c>
      <c r="H843" t="s">
        <v>2046</v>
      </c>
      <c r="I843" t="s">
        <v>240</v>
      </c>
      <c r="J843" t="s">
        <v>46</v>
      </c>
      <c r="K843" t="s">
        <v>29</v>
      </c>
      <c r="L843" t="s">
        <v>30</v>
      </c>
      <c r="M843">
        <v>0</v>
      </c>
      <c r="N843" t="s">
        <v>32</v>
      </c>
      <c r="O843" t="s">
        <v>32</v>
      </c>
      <c r="Q843" t="s">
        <v>32</v>
      </c>
      <c r="S843" t="s">
        <v>32</v>
      </c>
      <c r="U843" t="s">
        <v>32</v>
      </c>
      <c r="V843" t="s">
        <v>32</v>
      </c>
      <c r="W843" t="s">
        <v>32</v>
      </c>
      <c r="X843" t="s">
        <v>32</v>
      </c>
      <c r="Y843" t="s">
        <v>32</v>
      </c>
      <c r="AA843" t="s">
        <v>32</v>
      </c>
      <c r="AB843" t="s">
        <v>32</v>
      </c>
      <c r="AE843" t="s">
        <v>32</v>
      </c>
      <c r="AH843" t="s">
        <v>32</v>
      </c>
      <c r="AK843" t="s">
        <v>128</v>
      </c>
      <c r="AL843">
        <v>46069</v>
      </c>
      <c r="AM843">
        <v>46069</v>
      </c>
      <c r="AN843" t="s">
        <v>32</v>
      </c>
      <c r="AO843" t="s">
        <v>32</v>
      </c>
      <c r="AR843">
        <v>0</v>
      </c>
      <c r="AU843" t="s">
        <v>32</v>
      </c>
      <c r="AV843">
        <v>3360265</v>
      </c>
      <c r="AW843" t="s">
        <v>32</v>
      </c>
      <c r="AX843" t="s">
        <v>32</v>
      </c>
      <c r="AY843" t="s">
        <v>317</v>
      </c>
      <c r="AZ843">
        <v>1</v>
      </c>
      <c r="BA843">
        <v>112009</v>
      </c>
      <c r="BB843">
        <v>0.15999999642372131</v>
      </c>
      <c r="BC843">
        <v>18000</v>
      </c>
      <c r="BD843" t="s">
        <v>31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18000</v>
      </c>
      <c r="BK843" t="s">
        <v>25</v>
      </c>
      <c r="BL843" t="s">
        <v>635</v>
      </c>
      <c r="BM843">
        <v>1</v>
      </c>
      <c r="BN843">
        <v>112009</v>
      </c>
      <c r="BO843">
        <v>3.9999999105930328E-2</v>
      </c>
      <c r="BP843">
        <v>4500</v>
      </c>
      <c r="BQ843">
        <v>0</v>
      </c>
      <c r="BS843">
        <v>0</v>
      </c>
      <c r="BU843">
        <v>0</v>
      </c>
      <c r="BV843" t="s">
        <v>25</v>
      </c>
      <c r="BW843" t="s">
        <v>189</v>
      </c>
      <c r="BX843">
        <v>1</v>
      </c>
      <c r="BY843">
        <v>112009</v>
      </c>
      <c r="BZ843">
        <v>0</v>
      </c>
      <c r="CA843" t="s">
        <v>1439</v>
      </c>
      <c r="CB843" t="s">
        <v>227</v>
      </c>
      <c r="CC843" t="s">
        <v>1440</v>
      </c>
      <c r="CD843">
        <v>0</v>
      </c>
      <c r="CE843">
        <v>1</v>
      </c>
      <c r="CF843" t="s">
        <v>635</v>
      </c>
      <c r="CG843">
        <v>112009</v>
      </c>
      <c r="CH843">
        <v>3.9999999105930328E-2</v>
      </c>
      <c r="CI843">
        <v>4500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 t="s">
        <v>88</v>
      </c>
      <c r="CT843" t="s">
        <v>142</v>
      </c>
      <c r="CU843" t="s">
        <v>1442</v>
      </c>
    </row>
    <row r="844" spans="1:99">
      <c r="A844" t="s">
        <v>3047</v>
      </c>
      <c r="B844" t="s">
        <v>34</v>
      </c>
      <c r="C844" t="s">
        <v>2043</v>
      </c>
      <c r="D844" t="s">
        <v>2044</v>
      </c>
      <c r="E844" t="s">
        <v>667</v>
      </c>
      <c r="F844" t="s">
        <v>1536</v>
      </c>
      <c r="G844" t="s">
        <v>2045</v>
      </c>
      <c r="H844" t="s">
        <v>2046</v>
      </c>
      <c r="I844" t="s">
        <v>240</v>
      </c>
      <c r="J844" t="s">
        <v>46</v>
      </c>
      <c r="K844" t="s">
        <v>29</v>
      </c>
      <c r="L844" t="s">
        <v>30</v>
      </c>
      <c r="M844">
        <v>171</v>
      </c>
      <c r="N844" t="s">
        <v>32</v>
      </c>
      <c r="O844" t="s">
        <v>32</v>
      </c>
      <c r="Q844" t="s">
        <v>32</v>
      </c>
      <c r="S844" t="s">
        <v>32</v>
      </c>
      <c r="U844" t="s">
        <v>32</v>
      </c>
      <c r="V844" t="s">
        <v>32</v>
      </c>
      <c r="W844" t="s">
        <v>32</v>
      </c>
      <c r="X844" t="s">
        <v>32</v>
      </c>
      <c r="Y844" t="s">
        <v>32</v>
      </c>
      <c r="AA844" t="s">
        <v>88</v>
      </c>
      <c r="AB844" t="s">
        <v>32</v>
      </c>
      <c r="AE844" t="s">
        <v>32</v>
      </c>
      <c r="AH844" t="s">
        <v>32</v>
      </c>
      <c r="AK844" t="s">
        <v>32</v>
      </c>
      <c r="AN844" t="s">
        <v>32</v>
      </c>
      <c r="AO844" t="s">
        <v>32</v>
      </c>
      <c r="AR844">
        <v>0</v>
      </c>
      <c r="AU844" t="s">
        <v>32</v>
      </c>
      <c r="AV844">
        <v>3360265</v>
      </c>
      <c r="AW844" t="s">
        <v>32</v>
      </c>
      <c r="AX844" t="s">
        <v>32</v>
      </c>
      <c r="AY844" t="s">
        <v>317</v>
      </c>
      <c r="AZ844">
        <v>29</v>
      </c>
      <c r="BA844">
        <v>3346010</v>
      </c>
      <c r="BB844">
        <v>0.15999999642372131</v>
      </c>
      <c r="BC844">
        <v>535400</v>
      </c>
      <c r="BD844" t="s">
        <v>31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535400</v>
      </c>
      <c r="BK844" t="s">
        <v>25</v>
      </c>
      <c r="BL844" t="s">
        <v>635</v>
      </c>
      <c r="BM844">
        <v>29</v>
      </c>
      <c r="BN844">
        <v>3346010</v>
      </c>
      <c r="BO844">
        <v>3.9999999105930328E-2</v>
      </c>
      <c r="BP844">
        <v>133900</v>
      </c>
      <c r="BQ844">
        <v>0</v>
      </c>
      <c r="BS844">
        <v>0</v>
      </c>
      <c r="BU844">
        <v>0</v>
      </c>
      <c r="BV844" t="s">
        <v>25</v>
      </c>
      <c r="BW844" t="s">
        <v>189</v>
      </c>
      <c r="BX844">
        <v>29</v>
      </c>
      <c r="BY844">
        <v>3346010</v>
      </c>
      <c r="BZ844">
        <v>6.9600000977516174E-2</v>
      </c>
      <c r="CA844" t="s">
        <v>1439</v>
      </c>
      <c r="CB844" t="s">
        <v>227</v>
      </c>
      <c r="CC844" t="s">
        <v>1440</v>
      </c>
      <c r="CD844">
        <v>232900</v>
      </c>
      <c r="CE844">
        <v>29</v>
      </c>
      <c r="CF844" t="s">
        <v>635</v>
      </c>
      <c r="CG844">
        <v>3346010</v>
      </c>
      <c r="CH844">
        <v>3.9999999105930328E-2</v>
      </c>
      <c r="CI844">
        <v>133900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 t="s">
        <v>88</v>
      </c>
      <c r="CT844" t="s">
        <v>142</v>
      </c>
      <c r="CU844" t="s">
        <v>1442</v>
      </c>
    </row>
    <row r="845" spans="1:99">
      <c r="A845" t="s">
        <v>3047</v>
      </c>
      <c r="B845" t="s">
        <v>34</v>
      </c>
      <c r="C845" t="s">
        <v>2047</v>
      </c>
      <c r="D845" t="s">
        <v>2048</v>
      </c>
      <c r="E845" t="s">
        <v>2049</v>
      </c>
      <c r="F845" t="s">
        <v>1516</v>
      </c>
      <c r="G845" t="s">
        <v>1532</v>
      </c>
      <c r="H845" t="s">
        <v>1519</v>
      </c>
      <c r="I845" t="s">
        <v>240</v>
      </c>
      <c r="J845" t="s">
        <v>46</v>
      </c>
      <c r="K845" t="s">
        <v>29</v>
      </c>
      <c r="L845" t="s">
        <v>30</v>
      </c>
      <c r="M845">
        <v>222</v>
      </c>
      <c r="N845" t="s">
        <v>32</v>
      </c>
      <c r="O845" t="s">
        <v>32</v>
      </c>
      <c r="Q845" t="s">
        <v>32</v>
      </c>
      <c r="S845" t="s">
        <v>32</v>
      </c>
      <c r="U845" t="s">
        <v>32</v>
      </c>
      <c r="V845" t="s">
        <v>32</v>
      </c>
      <c r="W845" t="s">
        <v>32</v>
      </c>
      <c r="X845" t="s">
        <v>32</v>
      </c>
      <c r="Y845" t="s">
        <v>32</v>
      </c>
      <c r="AA845" t="s">
        <v>88</v>
      </c>
      <c r="AB845" t="s">
        <v>32</v>
      </c>
      <c r="AE845" t="s">
        <v>32</v>
      </c>
      <c r="AH845" t="s">
        <v>32</v>
      </c>
      <c r="AK845" t="s">
        <v>32</v>
      </c>
      <c r="AN845" t="s">
        <v>32</v>
      </c>
      <c r="AO845" t="s">
        <v>32</v>
      </c>
      <c r="AR845">
        <v>0</v>
      </c>
      <c r="AU845" t="s">
        <v>32</v>
      </c>
      <c r="AV845">
        <v>2074908</v>
      </c>
      <c r="AW845" t="s">
        <v>32</v>
      </c>
      <c r="AX845" t="s">
        <v>32</v>
      </c>
      <c r="AY845" t="s">
        <v>317</v>
      </c>
      <c r="AZ845">
        <v>30</v>
      </c>
      <c r="BA845">
        <v>2861047</v>
      </c>
      <c r="BB845">
        <v>0.15999999642372131</v>
      </c>
      <c r="BC845">
        <v>457800</v>
      </c>
      <c r="BD845" t="s">
        <v>31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457800</v>
      </c>
      <c r="BK845" t="s">
        <v>25</v>
      </c>
      <c r="BL845" t="s">
        <v>1010</v>
      </c>
      <c r="BM845">
        <v>30</v>
      </c>
      <c r="BN845">
        <v>2861047</v>
      </c>
      <c r="BO845">
        <v>3.9999999105930328E-2</v>
      </c>
      <c r="BP845">
        <v>114500</v>
      </c>
      <c r="BQ845">
        <v>0</v>
      </c>
      <c r="BS845">
        <v>0</v>
      </c>
      <c r="BU845">
        <v>0</v>
      </c>
      <c r="BV845" t="s">
        <v>25</v>
      </c>
      <c r="BW845" t="s">
        <v>189</v>
      </c>
      <c r="BX845">
        <v>30</v>
      </c>
      <c r="BY845">
        <v>2861047</v>
      </c>
      <c r="BZ845">
        <v>6.9600000977516174E-2</v>
      </c>
      <c r="CA845" t="s">
        <v>1439</v>
      </c>
      <c r="CB845" t="s">
        <v>227</v>
      </c>
      <c r="CC845" t="s">
        <v>1440</v>
      </c>
      <c r="CD845">
        <v>199200</v>
      </c>
      <c r="CE845">
        <v>30</v>
      </c>
      <c r="CF845" t="s">
        <v>635</v>
      </c>
      <c r="CG845">
        <v>2861047</v>
      </c>
      <c r="CH845">
        <v>3.9999999105930328E-2</v>
      </c>
      <c r="CI845">
        <v>114500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 t="s">
        <v>88</v>
      </c>
      <c r="CT845" t="s">
        <v>142</v>
      </c>
      <c r="CU845" t="s">
        <v>1442</v>
      </c>
    </row>
    <row r="846" spans="1:99">
      <c r="A846" t="s">
        <v>3047</v>
      </c>
      <c r="B846" t="s">
        <v>34</v>
      </c>
      <c r="C846" t="s">
        <v>2050</v>
      </c>
      <c r="D846" t="s">
        <v>2051</v>
      </c>
      <c r="E846" t="s">
        <v>2052</v>
      </c>
      <c r="F846" t="s">
        <v>2053</v>
      </c>
      <c r="G846" t="s">
        <v>1436</v>
      </c>
      <c r="H846" t="s">
        <v>1451</v>
      </c>
      <c r="I846" t="s">
        <v>240</v>
      </c>
      <c r="J846" t="s">
        <v>46</v>
      </c>
      <c r="K846" t="s">
        <v>29</v>
      </c>
      <c r="L846" t="s">
        <v>30</v>
      </c>
      <c r="M846">
        <v>220</v>
      </c>
      <c r="N846" t="s">
        <v>32</v>
      </c>
      <c r="O846" t="s">
        <v>32</v>
      </c>
      <c r="Q846" t="s">
        <v>32</v>
      </c>
      <c r="S846" t="s">
        <v>32</v>
      </c>
      <c r="U846" t="s">
        <v>32</v>
      </c>
      <c r="V846" t="s">
        <v>32</v>
      </c>
      <c r="W846" t="s">
        <v>32</v>
      </c>
      <c r="X846" t="s">
        <v>32</v>
      </c>
      <c r="Y846" t="s">
        <v>32</v>
      </c>
      <c r="AA846" t="s">
        <v>88</v>
      </c>
      <c r="AB846" t="s">
        <v>32</v>
      </c>
      <c r="AE846" t="s">
        <v>32</v>
      </c>
      <c r="AH846" t="s">
        <v>32</v>
      </c>
      <c r="AK846" t="s">
        <v>32</v>
      </c>
      <c r="AN846" t="s">
        <v>32</v>
      </c>
      <c r="AO846" t="s">
        <v>32</v>
      </c>
      <c r="AR846">
        <v>0</v>
      </c>
      <c r="AU846" t="s">
        <v>32</v>
      </c>
      <c r="AV846">
        <v>2074908</v>
      </c>
      <c r="AW846" t="s">
        <v>32</v>
      </c>
      <c r="AX846" t="s">
        <v>32</v>
      </c>
      <c r="AY846" t="s">
        <v>317</v>
      </c>
      <c r="AZ846">
        <v>30</v>
      </c>
      <c r="BA846">
        <v>3276717</v>
      </c>
      <c r="BB846">
        <v>0.15999999642372131</v>
      </c>
      <c r="BC846">
        <v>524300</v>
      </c>
      <c r="BD846" t="s">
        <v>31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524300</v>
      </c>
      <c r="BK846" t="s">
        <v>25</v>
      </c>
      <c r="BL846" t="s">
        <v>1010</v>
      </c>
      <c r="BM846">
        <v>30</v>
      </c>
      <c r="BN846">
        <v>3276717</v>
      </c>
      <c r="BO846">
        <v>3.9999999105930328E-2</v>
      </c>
      <c r="BP846">
        <v>131100</v>
      </c>
      <c r="BQ846">
        <v>0</v>
      </c>
      <c r="BS846">
        <v>0</v>
      </c>
      <c r="BU846">
        <v>0</v>
      </c>
      <c r="BV846" t="s">
        <v>25</v>
      </c>
      <c r="BW846" t="s">
        <v>189</v>
      </c>
      <c r="BX846">
        <v>30</v>
      </c>
      <c r="BY846">
        <v>3276717</v>
      </c>
      <c r="BZ846">
        <v>6.9600000977516174E-2</v>
      </c>
      <c r="CA846" t="s">
        <v>1439</v>
      </c>
      <c r="CB846" t="s">
        <v>227</v>
      </c>
      <c r="CC846" t="s">
        <v>1440</v>
      </c>
      <c r="CD846">
        <v>228100</v>
      </c>
      <c r="CE846">
        <v>30</v>
      </c>
      <c r="CF846" t="s">
        <v>635</v>
      </c>
      <c r="CG846">
        <v>2973280</v>
      </c>
      <c r="CH846">
        <v>3.9999999105930328E-2</v>
      </c>
      <c r="CI846">
        <v>119000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 t="s">
        <v>88</v>
      </c>
      <c r="CT846" t="s">
        <v>142</v>
      </c>
      <c r="CU846" t="s">
        <v>1442</v>
      </c>
    </row>
    <row r="847" spans="1:99">
      <c r="A847" t="s">
        <v>3047</v>
      </c>
      <c r="B847" t="s">
        <v>34</v>
      </c>
      <c r="C847" t="s">
        <v>2054</v>
      </c>
      <c r="D847" t="s">
        <v>3055</v>
      </c>
      <c r="E847" t="s">
        <v>1697</v>
      </c>
      <c r="F847" t="s">
        <v>510</v>
      </c>
      <c r="G847" t="s">
        <v>1489</v>
      </c>
      <c r="H847" t="s">
        <v>1513</v>
      </c>
      <c r="I847" t="s">
        <v>240</v>
      </c>
      <c r="J847" t="s">
        <v>46</v>
      </c>
      <c r="K847" t="s">
        <v>29</v>
      </c>
      <c r="L847" t="s">
        <v>30</v>
      </c>
      <c r="M847">
        <v>55</v>
      </c>
      <c r="N847" t="s">
        <v>32</v>
      </c>
      <c r="O847" t="s">
        <v>32</v>
      </c>
      <c r="Q847" t="s">
        <v>32</v>
      </c>
      <c r="S847" t="s">
        <v>40</v>
      </c>
      <c r="T847">
        <v>46058</v>
      </c>
      <c r="U847" t="s">
        <v>32</v>
      </c>
      <c r="V847" t="s">
        <v>32</v>
      </c>
      <c r="W847" t="s">
        <v>32</v>
      </c>
      <c r="X847" t="s">
        <v>32</v>
      </c>
      <c r="Y847" t="s">
        <v>32</v>
      </c>
      <c r="AA847" t="s">
        <v>88</v>
      </c>
      <c r="AB847" t="s">
        <v>32</v>
      </c>
      <c r="AE847" t="s">
        <v>32</v>
      </c>
      <c r="AH847" t="s">
        <v>32</v>
      </c>
      <c r="AK847" t="s">
        <v>32</v>
      </c>
      <c r="AN847" t="s">
        <v>32</v>
      </c>
      <c r="AO847" t="s">
        <v>32</v>
      </c>
      <c r="AR847">
        <v>0</v>
      </c>
      <c r="AU847" t="s">
        <v>32</v>
      </c>
      <c r="AV847">
        <v>2891569</v>
      </c>
      <c r="AW847" t="s">
        <v>32</v>
      </c>
      <c r="AX847" t="s">
        <v>32</v>
      </c>
      <c r="AY847" t="s">
        <v>356</v>
      </c>
      <c r="AZ847">
        <v>5</v>
      </c>
      <c r="BA847">
        <v>1412223</v>
      </c>
      <c r="BB847">
        <v>0.15999999642372131</v>
      </c>
      <c r="BC847">
        <v>226000</v>
      </c>
      <c r="BD847" t="s">
        <v>31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226000</v>
      </c>
      <c r="BK847" t="s">
        <v>25</v>
      </c>
      <c r="BL847" t="s">
        <v>1064</v>
      </c>
      <c r="BM847">
        <v>5</v>
      </c>
      <c r="BN847">
        <v>1412223</v>
      </c>
      <c r="BO847">
        <v>3.9999999105930328E-2</v>
      </c>
      <c r="BP847">
        <v>56500</v>
      </c>
      <c r="BQ847">
        <v>0</v>
      </c>
      <c r="BS847">
        <v>0</v>
      </c>
      <c r="BU847">
        <v>0</v>
      </c>
      <c r="BV847" t="s">
        <v>25</v>
      </c>
      <c r="BW847" t="s">
        <v>189</v>
      </c>
      <c r="BX847">
        <v>5</v>
      </c>
      <c r="BY847">
        <v>1412223</v>
      </c>
      <c r="BZ847">
        <v>6.9600000977516174E-2</v>
      </c>
      <c r="CA847" t="s">
        <v>1439</v>
      </c>
      <c r="CB847" t="s">
        <v>227</v>
      </c>
      <c r="CC847" t="s">
        <v>1440</v>
      </c>
      <c r="CD847">
        <v>98300</v>
      </c>
      <c r="CE847">
        <v>5</v>
      </c>
      <c r="CF847" t="s">
        <v>635</v>
      </c>
      <c r="CG847">
        <v>2009828</v>
      </c>
      <c r="CH847">
        <v>3.9999999105930328E-2</v>
      </c>
      <c r="CI847">
        <v>80400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 t="s">
        <v>88</v>
      </c>
      <c r="CT847" t="s">
        <v>142</v>
      </c>
      <c r="CU847" t="s">
        <v>1442</v>
      </c>
    </row>
    <row r="848" spans="1:99">
      <c r="A848" t="s">
        <v>3047</v>
      </c>
      <c r="B848" t="s">
        <v>34</v>
      </c>
      <c r="C848" t="s">
        <v>2054</v>
      </c>
      <c r="D848" t="s">
        <v>3055</v>
      </c>
      <c r="E848" t="s">
        <v>1697</v>
      </c>
      <c r="F848" t="s">
        <v>510</v>
      </c>
      <c r="G848" t="s">
        <v>1489</v>
      </c>
      <c r="H848" t="s">
        <v>1513</v>
      </c>
      <c r="I848" t="s">
        <v>682</v>
      </c>
      <c r="J848" t="s">
        <v>484</v>
      </c>
      <c r="K848" t="s">
        <v>29</v>
      </c>
      <c r="L848" t="s">
        <v>30</v>
      </c>
      <c r="M848">
        <v>51</v>
      </c>
      <c r="N848" t="s">
        <v>32</v>
      </c>
      <c r="O848" t="s">
        <v>32</v>
      </c>
      <c r="Q848" t="s">
        <v>40</v>
      </c>
      <c r="R848">
        <v>46073</v>
      </c>
      <c r="S848" t="s">
        <v>40</v>
      </c>
      <c r="T848">
        <v>46079</v>
      </c>
      <c r="U848" t="s">
        <v>32</v>
      </c>
      <c r="V848" t="s">
        <v>32</v>
      </c>
      <c r="W848" t="s">
        <v>32</v>
      </c>
      <c r="X848" t="s">
        <v>32</v>
      </c>
      <c r="Y848" t="s">
        <v>32</v>
      </c>
      <c r="AA848" t="s">
        <v>88</v>
      </c>
      <c r="AB848" t="s">
        <v>32</v>
      </c>
      <c r="AE848" t="s">
        <v>32</v>
      </c>
      <c r="AH848" t="s">
        <v>32</v>
      </c>
      <c r="AK848" t="s">
        <v>32</v>
      </c>
      <c r="AN848" t="s">
        <v>32</v>
      </c>
      <c r="AO848" t="s">
        <v>32</v>
      </c>
      <c r="AR848">
        <v>0</v>
      </c>
      <c r="AU848" t="s">
        <v>32</v>
      </c>
      <c r="AV848">
        <v>2891569</v>
      </c>
      <c r="AW848" t="s">
        <v>32</v>
      </c>
      <c r="AX848" t="s">
        <v>32</v>
      </c>
      <c r="AY848" t="s">
        <v>356</v>
      </c>
      <c r="AZ848">
        <v>7</v>
      </c>
      <c r="BA848">
        <v>819541</v>
      </c>
      <c r="BB848">
        <v>0.15999999642372131</v>
      </c>
      <c r="BC848">
        <v>131200</v>
      </c>
      <c r="BD848" t="s">
        <v>31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131200</v>
      </c>
      <c r="BK848" t="s">
        <v>25</v>
      </c>
      <c r="BL848" t="s">
        <v>1064</v>
      </c>
      <c r="BM848">
        <v>7</v>
      </c>
      <c r="BN848">
        <v>819541</v>
      </c>
      <c r="BO848">
        <v>3.9999999105930328E-2</v>
      </c>
      <c r="BP848">
        <v>32800</v>
      </c>
      <c r="BQ848">
        <v>0</v>
      </c>
      <c r="BS848">
        <v>0</v>
      </c>
      <c r="BU848">
        <v>0</v>
      </c>
      <c r="BV848" t="s">
        <v>25</v>
      </c>
      <c r="BW848" t="s">
        <v>189</v>
      </c>
      <c r="BX848">
        <v>7</v>
      </c>
      <c r="BY848">
        <v>819541</v>
      </c>
      <c r="BZ848">
        <v>6.9600000977516174E-2</v>
      </c>
      <c r="CA848" t="s">
        <v>1439</v>
      </c>
      <c r="CB848" t="s">
        <v>312</v>
      </c>
      <c r="CC848" t="s">
        <v>1440</v>
      </c>
      <c r="CD848">
        <v>57100</v>
      </c>
      <c r="CE848">
        <v>7</v>
      </c>
      <c r="CF848" t="s">
        <v>466</v>
      </c>
      <c r="CG848">
        <v>853493</v>
      </c>
      <c r="CH848">
        <v>3.9999999105930328E-2</v>
      </c>
      <c r="CI848">
        <v>34200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 t="s">
        <v>88</v>
      </c>
      <c r="CT848" t="s">
        <v>142</v>
      </c>
      <c r="CU848" t="s">
        <v>1442</v>
      </c>
    </row>
    <row r="849" spans="1:99">
      <c r="A849" t="s">
        <v>3047</v>
      </c>
      <c r="B849" t="s">
        <v>34</v>
      </c>
      <c r="C849" t="s">
        <v>2057</v>
      </c>
      <c r="D849" t="s">
        <v>2058</v>
      </c>
      <c r="E849" t="s">
        <v>1809</v>
      </c>
      <c r="F849" t="s">
        <v>1644</v>
      </c>
      <c r="G849" t="s">
        <v>1489</v>
      </c>
      <c r="H849" t="s">
        <v>1479</v>
      </c>
      <c r="I849" t="s">
        <v>682</v>
      </c>
      <c r="J849" t="s">
        <v>484</v>
      </c>
      <c r="K849" t="s">
        <v>29</v>
      </c>
      <c r="L849" t="s">
        <v>30</v>
      </c>
      <c r="M849">
        <v>0</v>
      </c>
      <c r="N849" t="s">
        <v>32</v>
      </c>
      <c r="O849" t="s">
        <v>32</v>
      </c>
      <c r="Q849" t="s">
        <v>32</v>
      </c>
      <c r="S849" t="s">
        <v>32</v>
      </c>
      <c r="U849" t="s">
        <v>32</v>
      </c>
      <c r="V849" t="s">
        <v>32</v>
      </c>
      <c r="W849" t="s">
        <v>32</v>
      </c>
      <c r="X849" t="s">
        <v>32</v>
      </c>
      <c r="Y849" t="s">
        <v>32</v>
      </c>
      <c r="AA849" t="s">
        <v>32</v>
      </c>
      <c r="AB849" t="s">
        <v>37</v>
      </c>
      <c r="AC849">
        <v>46054</v>
      </c>
      <c r="AD849">
        <v>46055</v>
      </c>
      <c r="AE849" t="s">
        <v>32</v>
      </c>
      <c r="AH849" t="s">
        <v>32</v>
      </c>
      <c r="AK849" t="s">
        <v>32</v>
      </c>
      <c r="AN849" t="s">
        <v>32</v>
      </c>
      <c r="AO849" t="s">
        <v>32</v>
      </c>
      <c r="AR849">
        <v>0</v>
      </c>
      <c r="AU849" t="s">
        <v>32</v>
      </c>
      <c r="AV849">
        <v>2665550</v>
      </c>
      <c r="AW849" t="s">
        <v>32</v>
      </c>
      <c r="AX849" t="s">
        <v>32</v>
      </c>
      <c r="AY849" t="s">
        <v>137</v>
      </c>
      <c r="AZ849">
        <v>2</v>
      </c>
      <c r="BA849">
        <v>177704</v>
      </c>
      <c r="BB849">
        <v>0.15999999642372131</v>
      </c>
      <c r="BC849">
        <v>28500</v>
      </c>
      <c r="BD849" t="s">
        <v>31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28500</v>
      </c>
      <c r="BK849" t="s">
        <v>25</v>
      </c>
      <c r="BL849" t="s">
        <v>1064</v>
      </c>
      <c r="BM849">
        <v>2</v>
      </c>
      <c r="BN849">
        <v>177704</v>
      </c>
      <c r="BO849">
        <v>0</v>
      </c>
      <c r="BP849">
        <v>0</v>
      </c>
      <c r="BQ849">
        <v>0</v>
      </c>
      <c r="BS849">
        <v>0</v>
      </c>
      <c r="BU849">
        <v>0</v>
      </c>
      <c r="BV849" t="s">
        <v>25</v>
      </c>
      <c r="BW849" t="s">
        <v>189</v>
      </c>
      <c r="BX849">
        <v>2</v>
      </c>
      <c r="BY849">
        <v>177704</v>
      </c>
      <c r="BZ849">
        <v>0</v>
      </c>
      <c r="CA849" t="s">
        <v>1439</v>
      </c>
      <c r="CB849" t="s">
        <v>312</v>
      </c>
      <c r="CC849" t="s">
        <v>1440</v>
      </c>
      <c r="CD849">
        <v>0</v>
      </c>
      <c r="CE849">
        <v>2</v>
      </c>
      <c r="CF849" t="s">
        <v>466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 t="s">
        <v>88</v>
      </c>
      <c r="CT849" t="s">
        <v>142</v>
      </c>
      <c r="CU849" t="s">
        <v>1442</v>
      </c>
    </row>
    <row r="850" spans="1:99">
      <c r="A850" t="s">
        <v>3047</v>
      </c>
      <c r="B850" t="s">
        <v>34</v>
      </c>
      <c r="C850" t="s">
        <v>2057</v>
      </c>
      <c r="D850" t="s">
        <v>2058</v>
      </c>
      <c r="E850" t="s">
        <v>1809</v>
      </c>
      <c r="F850" t="s">
        <v>1644</v>
      </c>
      <c r="G850" t="s">
        <v>1489</v>
      </c>
      <c r="H850" t="s">
        <v>1479</v>
      </c>
      <c r="I850" t="s">
        <v>682</v>
      </c>
      <c r="J850" t="s">
        <v>484</v>
      </c>
      <c r="K850" t="s">
        <v>29</v>
      </c>
      <c r="L850" t="s">
        <v>30</v>
      </c>
      <c r="M850">
        <v>0</v>
      </c>
      <c r="N850" t="s">
        <v>32</v>
      </c>
      <c r="O850" t="s">
        <v>32</v>
      </c>
      <c r="Q850" t="s">
        <v>32</v>
      </c>
      <c r="S850" t="s">
        <v>32</v>
      </c>
      <c r="U850" t="s">
        <v>32</v>
      </c>
      <c r="V850" t="s">
        <v>32</v>
      </c>
      <c r="W850" t="s">
        <v>32</v>
      </c>
      <c r="X850" t="s">
        <v>32</v>
      </c>
      <c r="Y850" t="s">
        <v>32</v>
      </c>
      <c r="AA850" t="s">
        <v>32</v>
      </c>
      <c r="AB850" t="s">
        <v>32</v>
      </c>
      <c r="AE850" t="s">
        <v>32</v>
      </c>
      <c r="AH850" t="s">
        <v>32</v>
      </c>
      <c r="AK850" t="s">
        <v>128</v>
      </c>
      <c r="AL850">
        <v>46069</v>
      </c>
      <c r="AM850">
        <v>46073</v>
      </c>
      <c r="AN850" t="s">
        <v>32</v>
      </c>
      <c r="AO850" t="s">
        <v>32</v>
      </c>
      <c r="AR850">
        <v>0</v>
      </c>
      <c r="AU850" t="s">
        <v>32</v>
      </c>
      <c r="AV850">
        <v>2665550</v>
      </c>
      <c r="AW850" t="s">
        <v>32</v>
      </c>
      <c r="AX850" t="s">
        <v>32</v>
      </c>
      <c r="AY850" t="s">
        <v>137</v>
      </c>
      <c r="AZ850">
        <v>5</v>
      </c>
      <c r="BA850">
        <v>444259</v>
      </c>
      <c r="BB850">
        <v>0.15999999642372131</v>
      </c>
      <c r="BC850">
        <v>71100</v>
      </c>
      <c r="BD850" t="s">
        <v>31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71100</v>
      </c>
      <c r="BK850" t="s">
        <v>25</v>
      </c>
      <c r="BL850" t="s">
        <v>1064</v>
      </c>
      <c r="BM850">
        <v>5</v>
      </c>
      <c r="BN850">
        <v>444259</v>
      </c>
      <c r="BO850">
        <v>3.9999999105930328E-2</v>
      </c>
      <c r="BP850">
        <v>17800</v>
      </c>
      <c r="BQ850">
        <v>0</v>
      </c>
      <c r="BS850">
        <v>0</v>
      </c>
      <c r="BU850">
        <v>0</v>
      </c>
      <c r="BV850" t="s">
        <v>25</v>
      </c>
      <c r="BW850" t="s">
        <v>189</v>
      </c>
      <c r="BX850">
        <v>5</v>
      </c>
      <c r="BY850">
        <v>444259</v>
      </c>
      <c r="BZ850">
        <v>0</v>
      </c>
      <c r="CA850" t="s">
        <v>1439</v>
      </c>
      <c r="CB850" t="s">
        <v>312</v>
      </c>
      <c r="CC850" t="s">
        <v>1440</v>
      </c>
      <c r="CD850">
        <v>0</v>
      </c>
      <c r="CE850">
        <v>5</v>
      </c>
      <c r="CF850" t="s">
        <v>466</v>
      </c>
      <c r="CG850">
        <v>444259</v>
      </c>
      <c r="CH850">
        <v>3.9999999105930328E-2</v>
      </c>
      <c r="CI850">
        <v>17800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 t="s">
        <v>88</v>
      </c>
      <c r="CT850" t="s">
        <v>142</v>
      </c>
      <c r="CU850" t="s">
        <v>1442</v>
      </c>
    </row>
    <row r="851" spans="1:99">
      <c r="A851" t="s">
        <v>3047</v>
      </c>
      <c r="B851" t="s">
        <v>34</v>
      </c>
      <c r="C851" t="s">
        <v>2057</v>
      </c>
      <c r="D851" t="s">
        <v>2058</v>
      </c>
      <c r="E851" t="s">
        <v>1809</v>
      </c>
      <c r="F851" t="s">
        <v>1644</v>
      </c>
      <c r="G851" t="s">
        <v>1489</v>
      </c>
      <c r="H851" t="s">
        <v>1479</v>
      </c>
      <c r="I851" t="s">
        <v>682</v>
      </c>
      <c r="J851" t="s">
        <v>484</v>
      </c>
      <c r="K851" t="s">
        <v>29</v>
      </c>
      <c r="L851" t="s">
        <v>30</v>
      </c>
      <c r="M851">
        <v>142</v>
      </c>
      <c r="N851" t="s">
        <v>32</v>
      </c>
      <c r="O851" t="s">
        <v>32</v>
      </c>
      <c r="Q851" t="s">
        <v>32</v>
      </c>
      <c r="S851" t="s">
        <v>32</v>
      </c>
      <c r="U851" t="s">
        <v>32</v>
      </c>
      <c r="V851" t="s">
        <v>32</v>
      </c>
      <c r="W851" t="s">
        <v>32</v>
      </c>
      <c r="X851" t="s">
        <v>32</v>
      </c>
      <c r="Y851" t="s">
        <v>32</v>
      </c>
      <c r="AA851" t="s">
        <v>88</v>
      </c>
      <c r="AB851" t="s">
        <v>32</v>
      </c>
      <c r="AE851" t="s">
        <v>32</v>
      </c>
      <c r="AH851" t="s">
        <v>32</v>
      </c>
      <c r="AK851" t="s">
        <v>32</v>
      </c>
      <c r="AN851" t="s">
        <v>32</v>
      </c>
      <c r="AO851" t="s">
        <v>32</v>
      </c>
      <c r="AR851">
        <v>0</v>
      </c>
      <c r="AU851" t="s">
        <v>32</v>
      </c>
      <c r="AV851">
        <v>2665550</v>
      </c>
      <c r="AW851" t="s">
        <v>32</v>
      </c>
      <c r="AX851" t="s">
        <v>32</v>
      </c>
      <c r="AY851" t="s">
        <v>137</v>
      </c>
      <c r="AZ851">
        <v>23</v>
      </c>
      <c r="BA851">
        <v>3085889</v>
      </c>
      <c r="BB851">
        <v>0.15999999642372131</v>
      </c>
      <c r="BC851">
        <v>493800</v>
      </c>
      <c r="BD851" t="s">
        <v>31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493800</v>
      </c>
      <c r="BK851" t="s">
        <v>25</v>
      </c>
      <c r="BL851" t="s">
        <v>1064</v>
      </c>
      <c r="BM851">
        <v>23</v>
      </c>
      <c r="BN851">
        <v>3085889</v>
      </c>
      <c r="BO851">
        <v>3.9999999105930328E-2</v>
      </c>
      <c r="BP851">
        <v>123500</v>
      </c>
      <c r="BQ851">
        <v>0</v>
      </c>
      <c r="BS851">
        <v>0</v>
      </c>
      <c r="BU851">
        <v>0</v>
      </c>
      <c r="BV851" t="s">
        <v>25</v>
      </c>
      <c r="BW851" t="s">
        <v>189</v>
      </c>
      <c r="BX851">
        <v>23</v>
      </c>
      <c r="BY851">
        <v>3085889</v>
      </c>
      <c r="BZ851">
        <v>6.9600000977516174E-2</v>
      </c>
      <c r="CA851" t="s">
        <v>1439</v>
      </c>
      <c r="CB851" t="s">
        <v>312</v>
      </c>
      <c r="CC851" t="s">
        <v>1440</v>
      </c>
      <c r="CD851">
        <v>214800</v>
      </c>
      <c r="CE851">
        <v>23</v>
      </c>
      <c r="CF851" t="s">
        <v>466</v>
      </c>
      <c r="CG851">
        <v>3085890</v>
      </c>
      <c r="CH851">
        <v>3.9999999105930328E-2</v>
      </c>
      <c r="CI851">
        <v>123500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 t="s">
        <v>88</v>
      </c>
      <c r="CT851" t="s">
        <v>142</v>
      </c>
      <c r="CU851" t="s">
        <v>1442</v>
      </c>
    </row>
    <row r="852" spans="1:99">
      <c r="A852" t="s">
        <v>3047</v>
      </c>
      <c r="B852" t="s">
        <v>34</v>
      </c>
      <c r="C852" t="s">
        <v>2059</v>
      </c>
      <c r="D852" t="s">
        <v>3056</v>
      </c>
      <c r="E852" t="s">
        <v>1516</v>
      </c>
      <c r="F852" t="s">
        <v>1769</v>
      </c>
      <c r="G852" t="s">
        <v>3057</v>
      </c>
      <c r="H852" t="s">
        <v>1456</v>
      </c>
      <c r="I852" t="s">
        <v>682</v>
      </c>
      <c r="J852" t="s">
        <v>484</v>
      </c>
      <c r="K852" t="s">
        <v>29</v>
      </c>
      <c r="L852" t="s">
        <v>30</v>
      </c>
      <c r="M852">
        <v>154</v>
      </c>
      <c r="N852" t="s">
        <v>32</v>
      </c>
      <c r="O852" t="s">
        <v>32</v>
      </c>
      <c r="Q852" t="s">
        <v>40</v>
      </c>
      <c r="R852">
        <v>46059</v>
      </c>
      <c r="S852" t="s">
        <v>32</v>
      </c>
      <c r="U852" t="s">
        <v>32</v>
      </c>
      <c r="V852" t="s">
        <v>32</v>
      </c>
      <c r="W852" t="s">
        <v>32</v>
      </c>
      <c r="X852" t="s">
        <v>32</v>
      </c>
      <c r="Y852" t="s">
        <v>32</v>
      </c>
      <c r="AA852" t="s">
        <v>88</v>
      </c>
      <c r="AB852" t="s">
        <v>32</v>
      </c>
      <c r="AE852" t="s">
        <v>32</v>
      </c>
      <c r="AH852" t="s">
        <v>32</v>
      </c>
      <c r="AK852" t="s">
        <v>32</v>
      </c>
      <c r="AN852" t="s">
        <v>32</v>
      </c>
      <c r="AO852" t="s">
        <v>32</v>
      </c>
      <c r="AR852">
        <v>0</v>
      </c>
      <c r="AU852" t="s">
        <v>32</v>
      </c>
      <c r="AV852">
        <v>2891569</v>
      </c>
      <c r="AW852" t="s">
        <v>32</v>
      </c>
      <c r="AX852" t="s">
        <v>32</v>
      </c>
      <c r="AY852" t="s">
        <v>137</v>
      </c>
      <c r="AZ852">
        <v>25</v>
      </c>
      <c r="BA852">
        <v>2573935</v>
      </c>
      <c r="BB852">
        <v>0.15999999642372131</v>
      </c>
      <c r="BC852">
        <v>411900</v>
      </c>
      <c r="BD852" t="s">
        <v>31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411900</v>
      </c>
      <c r="BK852" t="s">
        <v>25</v>
      </c>
      <c r="BL852" t="s">
        <v>1071</v>
      </c>
      <c r="BM852">
        <v>25</v>
      </c>
      <c r="BN852">
        <v>2573935</v>
      </c>
      <c r="BO852">
        <v>3.9999999105930328E-2</v>
      </c>
      <c r="BP852">
        <v>103000</v>
      </c>
      <c r="BQ852">
        <v>0</v>
      </c>
      <c r="BS852">
        <v>0</v>
      </c>
      <c r="BU852">
        <v>0</v>
      </c>
      <c r="BV852" t="s">
        <v>25</v>
      </c>
      <c r="BW852" t="s">
        <v>189</v>
      </c>
      <c r="BX852">
        <v>25</v>
      </c>
      <c r="BY852">
        <v>2573935</v>
      </c>
      <c r="BZ852">
        <v>6.9600000977516174E-2</v>
      </c>
      <c r="CA852" t="s">
        <v>1439</v>
      </c>
      <c r="CB852" t="s">
        <v>312</v>
      </c>
      <c r="CC852" t="s">
        <v>1440</v>
      </c>
      <c r="CD852">
        <v>179200</v>
      </c>
      <c r="CE852">
        <v>25</v>
      </c>
      <c r="CF852" t="s">
        <v>466</v>
      </c>
      <c r="CG852">
        <v>2573935</v>
      </c>
      <c r="CH852">
        <v>3.9999999105930328E-2</v>
      </c>
      <c r="CI852">
        <v>103000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 t="s">
        <v>88</v>
      </c>
      <c r="CT852" t="s">
        <v>142</v>
      </c>
      <c r="CU852" t="s">
        <v>1442</v>
      </c>
    </row>
    <row r="853" spans="1:99">
      <c r="A853" t="s">
        <v>3047</v>
      </c>
      <c r="B853" t="s">
        <v>34</v>
      </c>
      <c r="C853" t="s">
        <v>2062</v>
      </c>
      <c r="D853" t="s">
        <v>2063</v>
      </c>
      <c r="E853" t="s">
        <v>2064</v>
      </c>
      <c r="F853" t="s">
        <v>2065</v>
      </c>
      <c r="G853" t="s">
        <v>2066</v>
      </c>
      <c r="H853" t="s">
        <v>1437</v>
      </c>
      <c r="I853" t="s">
        <v>682</v>
      </c>
      <c r="J853" t="s">
        <v>484</v>
      </c>
      <c r="K853" t="s">
        <v>29</v>
      </c>
      <c r="L853" t="s">
        <v>30</v>
      </c>
      <c r="M853">
        <v>0</v>
      </c>
      <c r="N853" t="s">
        <v>32</v>
      </c>
      <c r="O853" t="s">
        <v>32</v>
      </c>
      <c r="Q853" t="s">
        <v>32</v>
      </c>
      <c r="S853" t="s">
        <v>32</v>
      </c>
      <c r="U853" t="s">
        <v>32</v>
      </c>
      <c r="V853" t="s">
        <v>32</v>
      </c>
      <c r="W853" t="s">
        <v>32</v>
      </c>
      <c r="X853" t="s">
        <v>32</v>
      </c>
      <c r="Y853" t="s">
        <v>32</v>
      </c>
      <c r="AA853" t="s">
        <v>32</v>
      </c>
      <c r="AB853" t="s">
        <v>32</v>
      </c>
      <c r="AE853" t="s">
        <v>32</v>
      </c>
      <c r="AH853" t="s">
        <v>32</v>
      </c>
      <c r="AK853" t="s">
        <v>128</v>
      </c>
      <c r="AL853">
        <v>46069</v>
      </c>
      <c r="AM853">
        <v>46073</v>
      </c>
      <c r="AN853" t="s">
        <v>32</v>
      </c>
      <c r="AO853" t="s">
        <v>32</v>
      </c>
      <c r="AR853">
        <v>0</v>
      </c>
      <c r="AU853" t="s">
        <v>32</v>
      </c>
      <c r="AV853">
        <v>2891569</v>
      </c>
      <c r="AW853" t="s">
        <v>32</v>
      </c>
      <c r="AX853" t="s">
        <v>32</v>
      </c>
      <c r="AY853" t="s">
        <v>317</v>
      </c>
      <c r="AZ853">
        <v>5</v>
      </c>
      <c r="BA853">
        <v>481929</v>
      </c>
      <c r="BB853">
        <v>0.15999999642372131</v>
      </c>
      <c r="BC853">
        <v>77200</v>
      </c>
      <c r="BD853" t="s">
        <v>31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77200</v>
      </c>
      <c r="BK853" t="s">
        <v>25</v>
      </c>
      <c r="BL853" t="s">
        <v>1071</v>
      </c>
      <c r="BM853">
        <v>5</v>
      </c>
      <c r="BN853">
        <v>481929</v>
      </c>
      <c r="BO853">
        <v>3.9999999105930328E-2</v>
      </c>
      <c r="BP853">
        <v>19300</v>
      </c>
      <c r="BQ853">
        <v>0</v>
      </c>
      <c r="BS853">
        <v>0</v>
      </c>
      <c r="BU853">
        <v>0</v>
      </c>
      <c r="BV853" t="s">
        <v>25</v>
      </c>
      <c r="BW853" t="s">
        <v>189</v>
      </c>
      <c r="BX853">
        <v>5</v>
      </c>
      <c r="BY853">
        <v>481929</v>
      </c>
      <c r="BZ853">
        <v>0</v>
      </c>
      <c r="CA853" t="s">
        <v>1439</v>
      </c>
      <c r="CB853" t="s">
        <v>312</v>
      </c>
      <c r="CC853" t="s">
        <v>1440</v>
      </c>
      <c r="CD853">
        <v>0</v>
      </c>
      <c r="CE853">
        <v>5</v>
      </c>
      <c r="CF853" t="s">
        <v>466</v>
      </c>
      <c r="CG853">
        <v>481929</v>
      </c>
      <c r="CH853">
        <v>3.9999999105930328E-2</v>
      </c>
      <c r="CI853">
        <v>19300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 t="s">
        <v>88</v>
      </c>
      <c r="CT853" t="s">
        <v>142</v>
      </c>
      <c r="CU853" t="s">
        <v>1442</v>
      </c>
    </row>
    <row r="854" spans="1:99">
      <c r="A854" t="s">
        <v>3047</v>
      </c>
      <c r="B854" t="s">
        <v>34</v>
      </c>
      <c r="C854" t="s">
        <v>2062</v>
      </c>
      <c r="D854" t="s">
        <v>2063</v>
      </c>
      <c r="E854" t="s">
        <v>2064</v>
      </c>
      <c r="F854" t="s">
        <v>2065</v>
      </c>
      <c r="G854" t="s">
        <v>2066</v>
      </c>
      <c r="H854" t="s">
        <v>1437</v>
      </c>
      <c r="I854" t="s">
        <v>682</v>
      </c>
      <c r="J854" t="s">
        <v>484</v>
      </c>
      <c r="K854" t="s">
        <v>29</v>
      </c>
      <c r="L854" t="s">
        <v>30</v>
      </c>
      <c r="M854">
        <v>0</v>
      </c>
      <c r="N854" t="s">
        <v>32</v>
      </c>
      <c r="O854" t="s">
        <v>32</v>
      </c>
      <c r="Q854" t="s">
        <v>32</v>
      </c>
      <c r="S854" t="s">
        <v>32</v>
      </c>
      <c r="U854" t="s">
        <v>32</v>
      </c>
      <c r="V854" t="s">
        <v>32</v>
      </c>
      <c r="W854" t="s">
        <v>32</v>
      </c>
      <c r="X854" t="s">
        <v>32</v>
      </c>
      <c r="Y854" t="s">
        <v>32</v>
      </c>
      <c r="AA854" t="s">
        <v>32</v>
      </c>
      <c r="AB854" t="s">
        <v>32</v>
      </c>
      <c r="AE854" t="s">
        <v>1492</v>
      </c>
      <c r="AF854">
        <v>46075</v>
      </c>
      <c r="AG854">
        <v>46077</v>
      </c>
      <c r="AH854" t="s">
        <v>32</v>
      </c>
      <c r="AK854" t="s">
        <v>32</v>
      </c>
      <c r="AN854" t="s">
        <v>32</v>
      </c>
      <c r="AO854" t="s">
        <v>32</v>
      </c>
      <c r="AR854">
        <v>0</v>
      </c>
      <c r="AU854" t="s">
        <v>32</v>
      </c>
      <c r="AV854">
        <v>2891569</v>
      </c>
      <c r="AW854" t="s">
        <v>32</v>
      </c>
      <c r="AX854" t="s">
        <v>32</v>
      </c>
      <c r="AY854" t="s">
        <v>317</v>
      </c>
      <c r="AZ854">
        <v>3</v>
      </c>
      <c r="BA854">
        <v>351391</v>
      </c>
      <c r="BB854">
        <v>0.15999999642372131</v>
      </c>
      <c r="BC854">
        <v>56300</v>
      </c>
      <c r="BD854" t="s">
        <v>31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56300</v>
      </c>
      <c r="BK854" t="s">
        <v>25</v>
      </c>
      <c r="BL854" t="s">
        <v>1071</v>
      </c>
      <c r="BM854">
        <v>3</v>
      </c>
      <c r="BN854">
        <v>351391</v>
      </c>
      <c r="BO854">
        <v>3.9999999105930328E-2</v>
      </c>
      <c r="BP854">
        <v>14100</v>
      </c>
      <c r="BQ854">
        <v>0</v>
      </c>
      <c r="BS854">
        <v>0</v>
      </c>
      <c r="BU854">
        <v>0</v>
      </c>
      <c r="BV854" t="s">
        <v>25</v>
      </c>
      <c r="BW854" t="s">
        <v>189</v>
      </c>
      <c r="BX854">
        <v>3</v>
      </c>
      <c r="BY854">
        <v>351391</v>
      </c>
      <c r="BZ854">
        <v>0</v>
      </c>
      <c r="CA854" t="s">
        <v>1439</v>
      </c>
      <c r="CB854" t="s">
        <v>312</v>
      </c>
      <c r="CC854" t="s">
        <v>1440</v>
      </c>
      <c r="CD854">
        <v>0</v>
      </c>
      <c r="CE854">
        <v>3</v>
      </c>
      <c r="CF854" t="s">
        <v>466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 t="s">
        <v>88</v>
      </c>
      <c r="CT854" t="s">
        <v>142</v>
      </c>
      <c r="CU854" t="s">
        <v>1442</v>
      </c>
    </row>
    <row r="855" spans="1:99">
      <c r="A855" t="s">
        <v>3047</v>
      </c>
      <c r="B855" t="s">
        <v>34</v>
      </c>
      <c r="C855" t="s">
        <v>2062</v>
      </c>
      <c r="D855" t="s">
        <v>2063</v>
      </c>
      <c r="E855" t="s">
        <v>2064</v>
      </c>
      <c r="F855" t="s">
        <v>2065</v>
      </c>
      <c r="G855" t="s">
        <v>2066</v>
      </c>
      <c r="H855" t="s">
        <v>1437</v>
      </c>
      <c r="I855" t="s">
        <v>682</v>
      </c>
      <c r="J855" t="s">
        <v>484</v>
      </c>
      <c r="K855" t="s">
        <v>29</v>
      </c>
      <c r="L855" t="s">
        <v>30</v>
      </c>
      <c r="M855">
        <v>138</v>
      </c>
      <c r="N855" t="s">
        <v>32</v>
      </c>
      <c r="O855" t="s">
        <v>32</v>
      </c>
      <c r="Q855" t="s">
        <v>32</v>
      </c>
      <c r="S855" t="s">
        <v>32</v>
      </c>
      <c r="U855" t="s">
        <v>32</v>
      </c>
      <c r="V855" t="s">
        <v>32</v>
      </c>
      <c r="W855" t="s">
        <v>32</v>
      </c>
      <c r="X855" t="s">
        <v>32</v>
      </c>
      <c r="Y855" t="s">
        <v>32</v>
      </c>
      <c r="AA855" t="s">
        <v>88</v>
      </c>
      <c r="AB855" t="s">
        <v>32</v>
      </c>
      <c r="AE855" t="s">
        <v>32</v>
      </c>
      <c r="AH855" t="s">
        <v>32</v>
      </c>
      <c r="AK855" t="s">
        <v>32</v>
      </c>
      <c r="AN855" t="s">
        <v>32</v>
      </c>
      <c r="AO855" t="s">
        <v>32</v>
      </c>
      <c r="AR855">
        <v>0</v>
      </c>
      <c r="AU855" t="s">
        <v>32</v>
      </c>
      <c r="AV855">
        <v>2891569</v>
      </c>
      <c r="AW855" t="s">
        <v>32</v>
      </c>
      <c r="AX855" t="s">
        <v>32</v>
      </c>
      <c r="AY855" t="s">
        <v>317</v>
      </c>
      <c r="AZ855">
        <v>22</v>
      </c>
      <c r="BA855">
        <v>3381165</v>
      </c>
      <c r="BB855">
        <v>0.15999999642372131</v>
      </c>
      <c r="BC855">
        <v>541000</v>
      </c>
      <c r="BD855" t="s">
        <v>31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541000</v>
      </c>
      <c r="BK855" t="s">
        <v>25</v>
      </c>
      <c r="BL855" t="s">
        <v>1071</v>
      </c>
      <c r="BM855">
        <v>22</v>
      </c>
      <c r="BN855">
        <v>3381165</v>
      </c>
      <c r="BO855">
        <v>3.9999999105930328E-2</v>
      </c>
      <c r="BP855">
        <v>135300</v>
      </c>
      <c r="BQ855">
        <v>0</v>
      </c>
      <c r="BS855">
        <v>0</v>
      </c>
      <c r="BU855">
        <v>0</v>
      </c>
      <c r="BV855" t="s">
        <v>25</v>
      </c>
      <c r="BW855" t="s">
        <v>189</v>
      </c>
      <c r="BX855">
        <v>22</v>
      </c>
      <c r="BY855">
        <v>3381165</v>
      </c>
      <c r="BZ855">
        <v>6.9600000977516174E-2</v>
      </c>
      <c r="CA855" t="s">
        <v>1439</v>
      </c>
      <c r="CB855" t="s">
        <v>312</v>
      </c>
      <c r="CC855" t="s">
        <v>1440</v>
      </c>
      <c r="CD855">
        <v>235400</v>
      </c>
      <c r="CE855">
        <v>22</v>
      </c>
      <c r="CF855" t="s">
        <v>466</v>
      </c>
      <c r="CG855">
        <v>3381165</v>
      </c>
      <c r="CH855">
        <v>3.9999999105930328E-2</v>
      </c>
      <c r="CI855">
        <v>135300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 t="s">
        <v>88</v>
      </c>
      <c r="CT855" t="s">
        <v>142</v>
      </c>
      <c r="CU855" t="s">
        <v>1442</v>
      </c>
    </row>
    <row r="856" spans="1:99">
      <c r="A856" t="s">
        <v>3047</v>
      </c>
      <c r="B856" t="s">
        <v>34</v>
      </c>
      <c r="C856" t="s">
        <v>2067</v>
      </c>
      <c r="D856" t="s">
        <v>2068</v>
      </c>
      <c r="E856" t="s">
        <v>1459</v>
      </c>
      <c r="F856" t="s">
        <v>2069</v>
      </c>
      <c r="G856" t="s">
        <v>2070</v>
      </c>
      <c r="H856" t="s">
        <v>1542</v>
      </c>
      <c r="I856" t="s">
        <v>240</v>
      </c>
      <c r="J856" t="s">
        <v>46</v>
      </c>
      <c r="K856" t="s">
        <v>29</v>
      </c>
      <c r="L856" t="s">
        <v>30</v>
      </c>
      <c r="M856">
        <v>220</v>
      </c>
      <c r="N856" t="s">
        <v>32</v>
      </c>
      <c r="O856" t="s">
        <v>32</v>
      </c>
      <c r="Q856" t="s">
        <v>32</v>
      </c>
      <c r="S856" t="s">
        <v>32</v>
      </c>
      <c r="U856" t="s">
        <v>32</v>
      </c>
      <c r="V856" t="s">
        <v>32</v>
      </c>
      <c r="W856" t="s">
        <v>32</v>
      </c>
      <c r="X856" t="s">
        <v>32</v>
      </c>
      <c r="Y856" t="s">
        <v>32</v>
      </c>
      <c r="AA856" t="s">
        <v>88</v>
      </c>
      <c r="AB856" t="s">
        <v>32</v>
      </c>
      <c r="AE856" t="s">
        <v>32</v>
      </c>
      <c r="AH856" t="s">
        <v>32</v>
      </c>
      <c r="AK856" t="s">
        <v>32</v>
      </c>
      <c r="AN856" t="s">
        <v>32</v>
      </c>
      <c r="AO856" t="s">
        <v>32</v>
      </c>
      <c r="AR856">
        <v>0</v>
      </c>
      <c r="AU856" t="s">
        <v>32</v>
      </c>
      <c r="AV856">
        <v>2223339</v>
      </c>
      <c r="AW856" t="s">
        <v>32</v>
      </c>
      <c r="AX856" t="s">
        <v>32</v>
      </c>
      <c r="AY856" t="s">
        <v>356</v>
      </c>
      <c r="AZ856">
        <v>30</v>
      </c>
      <c r="BA856">
        <v>3185978</v>
      </c>
      <c r="BB856">
        <v>0.15999999642372131</v>
      </c>
      <c r="BC856">
        <v>509800</v>
      </c>
      <c r="BD856" t="s">
        <v>31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509800</v>
      </c>
      <c r="BK856" t="s">
        <v>25</v>
      </c>
      <c r="BL856" t="s">
        <v>1010</v>
      </c>
      <c r="BM856">
        <v>30</v>
      </c>
      <c r="BN856">
        <v>3185978</v>
      </c>
      <c r="BO856">
        <v>3.9999999105930328E-2</v>
      </c>
      <c r="BP856">
        <v>127500</v>
      </c>
      <c r="BQ856">
        <v>0</v>
      </c>
      <c r="BS856">
        <v>0</v>
      </c>
      <c r="BU856">
        <v>0</v>
      </c>
      <c r="BV856" t="s">
        <v>25</v>
      </c>
      <c r="BW856" t="s">
        <v>189</v>
      </c>
      <c r="BX856">
        <v>30</v>
      </c>
      <c r="BY856">
        <v>3185978</v>
      </c>
      <c r="BZ856">
        <v>6.9600000977516174E-2</v>
      </c>
      <c r="CA856" t="s">
        <v>1439</v>
      </c>
      <c r="CB856" t="s">
        <v>227</v>
      </c>
      <c r="CC856" t="s">
        <v>1440</v>
      </c>
      <c r="CD856">
        <v>221800</v>
      </c>
      <c r="CE856">
        <v>30</v>
      </c>
      <c r="CF856" t="s">
        <v>635</v>
      </c>
      <c r="CG856">
        <v>3185978</v>
      </c>
      <c r="CH856">
        <v>3.9999999105930328E-2</v>
      </c>
      <c r="CI856">
        <v>127500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 t="s">
        <v>88</v>
      </c>
      <c r="CT856" t="s">
        <v>142</v>
      </c>
      <c r="CU856" t="s">
        <v>1442</v>
      </c>
    </row>
    <row r="857" spans="1:99">
      <c r="A857" t="s">
        <v>3047</v>
      </c>
      <c r="B857" t="s">
        <v>34</v>
      </c>
      <c r="C857" t="s">
        <v>2071</v>
      </c>
      <c r="D857" t="s">
        <v>2072</v>
      </c>
      <c r="E857" t="s">
        <v>2073</v>
      </c>
      <c r="F857" t="s">
        <v>1535</v>
      </c>
      <c r="G857" t="s">
        <v>2074</v>
      </c>
      <c r="H857" t="s">
        <v>1468</v>
      </c>
      <c r="I857" t="s">
        <v>240</v>
      </c>
      <c r="J857" t="s">
        <v>46</v>
      </c>
      <c r="K857" t="s">
        <v>29</v>
      </c>
      <c r="L857" t="s">
        <v>30</v>
      </c>
      <c r="M857">
        <v>0</v>
      </c>
      <c r="N857" t="s">
        <v>32</v>
      </c>
      <c r="O857" t="s">
        <v>32</v>
      </c>
      <c r="Q857" t="s">
        <v>32</v>
      </c>
      <c r="S857" t="s">
        <v>32</v>
      </c>
      <c r="U857" t="s">
        <v>32</v>
      </c>
      <c r="V857" t="s">
        <v>32</v>
      </c>
      <c r="W857" t="s">
        <v>32</v>
      </c>
      <c r="X857" t="s">
        <v>32</v>
      </c>
      <c r="Y857" t="s">
        <v>32</v>
      </c>
      <c r="AA857" t="s">
        <v>32</v>
      </c>
      <c r="AB857" t="s">
        <v>37</v>
      </c>
      <c r="AC857">
        <v>46054</v>
      </c>
      <c r="AD857">
        <v>46056</v>
      </c>
      <c r="AE857" t="s">
        <v>32</v>
      </c>
      <c r="AH857" t="s">
        <v>32</v>
      </c>
      <c r="AK857" t="s">
        <v>32</v>
      </c>
      <c r="AN857" t="s">
        <v>32</v>
      </c>
      <c r="AO857" t="s">
        <v>32</v>
      </c>
      <c r="AR857">
        <v>0</v>
      </c>
      <c r="AU857" t="s">
        <v>32</v>
      </c>
      <c r="AV857">
        <v>1785595</v>
      </c>
      <c r="AW857" t="s">
        <v>32</v>
      </c>
      <c r="AX857" t="s">
        <v>32</v>
      </c>
      <c r="AY857" t="s">
        <v>317</v>
      </c>
      <c r="AZ857">
        <v>3</v>
      </c>
      <c r="BA857">
        <v>178560</v>
      </c>
      <c r="BB857">
        <v>0.15999999642372131</v>
      </c>
      <c r="BC857">
        <v>28600</v>
      </c>
      <c r="BD857" t="s">
        <v>31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28600</v>
      </c>
      <c r="BK857" t="s">
        <v>25</v>
      </c>
      <c r="BL857" t="s">
        <v>1491</v>
      </c>
      <c r="BM857">
        <v>3</v>
      </c>
      <c r="BN857">
        <v>178560</v>
      </c>
      <c r="BO857">
        <v>0</v>
      </c>
      <c r="BP857">
        <v>0</v>
      </c>
      <c r="BQ857">
        <v>0</v>
      </c>
      <c r="BS857">
        <v>0</v>
      </c>
      <c r="BU857">
        <v>0</v>
      </c>
      <c r="BV857" t="s">
        <v>25</v>
      </c>
      <c r="BW857" t="s">
        <v>189</v>
      </c>
      <c r="BX857">
        <v>3</v>
      </c>
      <c r="BY857">
        <v>178560</v>
      </c>
      <c r="BZ857">
        <v>0</v>
      </c>
      <c r="CA857" t="s">
        <v>1439</v>
      </c>
      <c r="CB857" t="s">
        <v>227</v>
      </c>
      <c r="CC857" t="s">
        <v>1440</v>
      </c>
      <c r="CD857">
        <v>0</v>
      </c>
      <c r="CE857">
        <v>3</v>
      </c>
      <c r="CF857" t="s">
        <v>635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 t="s">
        <v>88</v>
      </c>
      <c r="CT857" t="s">
        <v>142</v>
      </c>
      <c r="CU857" t="s">
        <v>1442</v>
      </c>
    </row>
    <row r="858" spans="1:99">
      <c r="A858" t="s">
        <v>3047</v>
      </c>
      <c r="B858" t="s">
        <v>34</v>
      </c>
      <c r="C858" t="s">
        <v>2071</v>
      </c>
      <c r="D858" t="s">
        <v>2072</v>
      </c>
      <c r="E858" t="s">
        <v>2073</v>
      </c>
      <c r="F858" t="s">
        <v>1535</v>
      </c>
      <c r="G858" t="s">
        <v>2074</v>
      </c>
      <c r="H858" t="s">
        <v>1468</v>
      </c>
      <c r="I858" t="s">
        <v>240</v>
      </c>
      <c r="J858" t="s">
        <v>46</v>
      </c>
      <c r="K858" t="s">
        <v>29</v>
      </c>
      <c r="L858" t="s">
        <v>30</v>
      </c>
      <c r="M858">
        <v>0</v>
      </c>
      <c r="N858" t="s">
        <v>32</v>
      </c>
      <c r="O858" t="s">
        <v>32</v>
      </c>
      <c r="Q858" t="s">
        <v>32</v>
      </c>
      <c r="S858" t="s">
        <v>32</v>
      </c>
      <c r="U858" t="s">
        <v>32</v>
      </c>
      <c r="V858" t="s">
        <v>32</v>
      </c>
      <c r="W858" t="s">
        <v>32</v>
      </c>
      <c r="X858" t="s">
        <v>32</v>
      </c>
      <c r="Y858" t="s">
        <v>32</v>
      </c>
      <c r="AA858" t="s">
        <v>32</v>
      </c>
      <c r="AB858" t="s">
        <v>37</v>
      </c>
      <c r="AC858">
        <v>46064</v>
      </c>
      <c r="AD858">
        <v>46065</v>
      </c>
      <c r="AE858" t="s">
        <v>32</v>
      </c>
      <c r="AH858" t="s">
        <v>32</v>
      </c>
      <c r="AK858" t="s">
        <v>32</v>
      </c>
      <c r="AN858" t="s">
        <v>32</v>
      </c>
      <c r="AO858" t="s">
        <v>32</v>
      </c>
      <c r="AR858">
        <v>0</v>
      </c>
      <c r="AU858" t="s">
        <v>32</v>
      </c>
      <c r="AV858">
        <v>1785595</v>
      </c>
      <c r="AW858" t="s">
        <v>32</v>
      </c>
      <c r="AX858" t="s">
        <v>32</v>
      </c>
      <c r="AY858" t="s">
        <v>317</v>
      </c>
      <c r="AZ858">
        <v>2</v>
      </c>
      <c r="BA858">
        <v>119040</v>
      </c>
      <c r="BB858">
        <v>0.15999999642372131</v>
      </c>
      <c r="BC858">
        <v>19100</v>
      </c>
      <c r="BD858" t="s">
        <v>31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19100</v>
      </c>
      <c r="BK858" t="s">
        <v>25</v>
      </c>
      <c r="BL858" t="s">
        <v>1491</v>
      </c>
      <c r="BM858">
        <v>2</v>
      </c>
      <c r="BN858">
        <v>119040</v>
      </c>
      <c r="BO858">
        <v>0</v>
      </c>
      <c r="BP858">
        <v>0</v>
      </c>
      <c r="BQ858">
        <v>0</v>
      </c>
      <c r="BS858">
        <v>0</v>
      </c>
      <c r="BU858">
        <v>0</v>
      </c>
      <c r="BV858" t="s">
        <v>25</v>
      </c>
      <c r="BW858" t="s">
        <v>189</v>
      </c>
      <c r="BX858">
        <v>2</v>
      </c>
      <c r="BY858">
        <v>119040</v>
      </c>
      <c r="BZ858">
        <v>0</v>
      </c>
      <c r="CA858" t="s">
        <v>1439</v>
      </c>
      <c r="CB858" t="s">
        <v>227</v>
      </c>
      <c r="CC858" t="s">
        <v>1440</v>
      </c>
      <c r="CD858">
        <v>0</v>
      </c>
      <c r="CE858">
        <v>2</v>
      </c>
      <c r="CF858" t="s">
        <v>635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 t="s">
        <v>88</v>
      </c>
      <c r="CT858" t="s">
        <v>142</v>
      </c>
      <c r="CU858" t="s">
        <v>1442</v>
      </c>
    </row>
    <row r="859" spans="1:99">
      <c r="A859" t="s">
        <v>3047</v>
      </c>
      <c r="B859" t="s">
        <v>34</v>
      </c>
      <c r="C859" t="s">
        <v>2071</v>
      </c>
      <c r="D859" t="s">
        <v>2072</v>
      </c>
      <c r="E859" t="s">
        <v>2073</v>
      </c>
      <c r="F859" t="s">
        <v>1535</v>
      </c>
      <c r="G859" t="s">
        <v>2074</v>
      </c>
      <c r="H859" t="s">
        <v>1468</v>
      </c>
      <c r="I859" t="s">
        <v>240</v>
      </c>
      <c r="J859" t="s">
        <v>46</v>
      </c>
      <c r="K859" t="s">
        <v>29</v>
      </c>
      <c r="L859" t="s">
        <v>30</v>
      </c>
      <c r="M859">
        <v>64</v>
      </c>
      <c r="N859" t="s">
        <v>32</v>
      </c>
      <c r="O859" t="s">
        <v>32</v>
      </c>
      <c r="Q859" t="s">
        <v>32</v>
      </c>
      <c r="S859" t="s">
        <v>40</v>
      </c>
      <c r="T859">
        <v>46065</v>
      </c>
      <c r="U859" t="s">
        <v>32</v>
      </c>
      <c r="V859" t="s">
        <v>32</v>
      </c>
      <c r="W859" t="s">
        <v>32</v>
      </c>
      <c r="X859" t="s">
        <v>32</v>
      </c>
      <c r="Y859" t="s">
        <v>32</v>
      </c>
      <c r="AA859" t="s">
        <v>88</v>
      </c>
      <c r="AB859" t="s">
        <v>32</v>
      </c>
      <c r="AE859" t="s">
        <v>32</v>
      </c>
      <c r="AH859" t="s">
        <v>32</v>
      </c>
      <c r="AK859" t="s">
        <v>32</v>
      </c>
      <c r="AN859" t="s">
        <v>32</v>
      </c>
      <c r="AO859" t="s">
        <v>32</v>
      </c>
      <c r="AR859">
        <v>0</v>
      </c>
      <c r="AU859" t="s">
        <v>32</v>
      </c>
      <c r="AV859">
        <v>1785595</v>
      </c>
      <c r="AW859" t="s">
        <v>32</v>
      </c>
      <c r="AX859" t="s">
        <v>32</v>
      </c>
      <c r="AY859" t="s">
        <v>317</v>
      </c>
      <c r="AZ859">
        <v>7</v>
      </c>
      <c r="BA859">
        <v>1260481</v>
      </c>
      <c r="BB859">
        <v>0.15999999642372131</v>
      </c>
      <c r="BC859">
        <v>201700</v>
      </c>
      <c r="BD859" t="s">
        <v>31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201700</v>
      </c>
      <c r="BK859" t="s">
        <v>25</v>
      </c>
      <c r="BL859" t="s">
        <v>1491</v>
      </c>
      <c r="BM859">
        <v>7</v>
      </c>
      <c r="BN859">
        <v>1260481</v>
      </c>
      <c r="BO859">
        <v>3.9999999105930328E-2</v>
      </c>
      <c r="BP859">
        <v>50500</v>
      </c>
      <c r="BQ859">
        <v>0</v>
      </c>
      <c r="BS859">
        <v>0</v>
      </c>
      <c r="BU859">
        <v>0</v>
      </c>
      <c r="BV859" t="s">
        <v>25</v>
      </c>
      <c r="BW859" t="s">
        <v>189</v>
      </c>
      <c r="BX859">
        <v>7</v>
      </c>
      <c r="BY859">
        <v>1260481</v>
      </c>
      <c r="BZ859">
        <v>6.9600000977516174E-2</v>
      </c>
      <c r="CA859" t="s">
        <v>1439</v>
      </c>
      <c r="CB859" t="s">
        <v>227</v>
      </c>
      <c r="CC859" t="s">
        <v>1440</v>
      </c>
      <c r="CD859">
        <v>87800</v>
      </c>
      <c r="CE859">
        <v>7</v>
      </c>
      <c r="CF859" t="s">
        <v>635</v>
      </c>
      <c r="CG859">
        <v>1826773</v>
      </c>
      <c r="CH859">
        <v>3.9999999105930328E-2</v>
      </c>
      <c r="CI859">
        <v>73100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 t="s">
        <v>88</v>
      </c>
      <c r="CT859" t="s">
        <v>142</v>
      </c>
      <c r="CU859" t="s">
        <v>1442</v>
      </c>
    </row>
    <row r="860" spans="1:99">
      <c r="A860" t="s">
        <v>3047</v>
      </c>
      <c r="B860" t="s">
        <v>34</v>
      </c>
      <c r="C860" t="s">
        <v>2075</v>
      </c>
      <c r="D860" t="s">
        <v>2076</v>
      </c>
      <c r="E860" t="s">
        <v>972</v>
      </c>
      <c r="F860" t="s">
        <v>2077</v>
      </c>
      <c r="G860" t="s">
        <v>2008</v>
      </c>
      <c r="H860" t="s">
        <v>1558</v>
      </c>
      <c r="I860" t="s">
        <v>240</v>
      </c>
      <c r="J860" t="s">
        <v>46</v>
      </c>
      <c r="K860" t="s">
        <v>29</v>
      </c>
      <c r="L860" t="s">
        <v>30</v>
      </c>
      <c r="M860">
        <v>0</v>
      </c>
      <c r="N860" t="s">
        <v>32</v>
      </c>
      <c r="O860" t="s">
        <v>32</v>
      </c>
      <c r="Q860" t="s">
        <v>32</v>
      </c>
      <c r="S860" t="s">
        <v>32</v>
      </c>
      <c r="U860" t="s">
        <v>32</v>
      </c>
      <c r="V860" t="s">
        <v>32</v>
      </c>
      <c r="W860" t="s">
        <v>32</v>
      </c>
      <c r="X860" t="s">
        <v>32</v>
      </c>
      <c r="Y860" t="s">
        <v>32</v>
      </c>
      <c r="AA860" t="s">
        <v>32</v>
      </c>
      <c r="AB860" t="s">
        <v>32</v>
      </c>
      <c r="AE860" t="s">
        <v>32</v>
      </c>
      <c r="AH860" t="s">
        <v>32</v>
      </c>
      <c r="AK860" t="s">
        <v>128</v>
      </c>
      <c r="AL860">
        <v>46054</v>
      </c>
      <c r="AM860">
        <v>46054</v>
      </c>
      <c r="AN860" t="s">
        <v>32</v>
      </c>
      <c r="AO860" t="s">
        <v>32</v>
      </c>
      <c r="AR860">
        <v>0</v>
      </c>
      <c r="AU860" t="s">
        <v>32</v>
      </c>
      <c r="AV860">
        <v>6384779</v>
      </c>
      <c r="AW860" t="s">
        <v>32</v>
      </c>
      <c r="AX860" t="s">
        <v>32</v>
      </c>
      <c r="AY860" t="s">
        <v>185</v>
      </c>
      <c r="AZ860">
        <v>1</v>
      </c>
      <c r="BA860">
        <v>212826</v>
      </c>
      <c r="BB860">
        <v>0.15999999642372131</v>
      </c>
      <c r="BC860">
        <v>34100</v>
      </c>
      <c r="BD860" t="s">
        <v>31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34100</v>
      </c>
      <c r="BK860" t="s">
        <v>25</v>
      </c>
      <c r="BL860" t="s">
        <v>1043</v>
      </c>
      <c r="BM860">
        <v>1</v>
      </c>
      <c r="BN860">
        <v>212826</v>
      </c>
      <c r="BO860">
        <v>3.9999999105930328E-2</v>
      </c>
      <c r="BP860">
        <v>8600</v>
      </c>
      <c r="BQ860">
        <v>0</v>
      </c>
      <c r="BS860">
        <v>0</v>
      </c>
      <c r="BU860">
        <v>0</v>
      </c>
      <c r="BV860" t="s">
        <v>25</v>
      </c>
      <c r="BW860" t="s">
        <v>189</v>
      </c>
      <c r="BX860">
        <v>1</v>
      </c>
      <c r="BY860">
        <v>212826</v>
      </c>
      <c r="BZ860">
        <v>0</v>
      </c>
      <c r="CA860" t="s">
        <v>1439</v>
      </c>
      <c r="CB860" t="s">
        <v>227</v>
      </c>
      <c r="CC860" t="s">
        <v>1440</v>
      </c>
      <c r="CD860">
        <v>0</v>
      </c>
      <c r="CE860">
        <v>1</v>
      </c>
      <c r="CF860" t="s">
        <v>635</v>
      </c>
      <c r="CG860">
        <v>212826</v>
      </c>
      <c r="CH860">
        <v>3.9999999105930328E-2</v>
      </c>
      <c r="CI860">
        <v>8600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 t="s">
        <v>88</v>
      </c>
      <c r="CT860" t="s">
        <v>142</v>
      </c>
      <c r="CU860" t="s">
        <v>1442</v>
      </c>
    </row>
    <row r="861" spans="1:99">
      <c r="A861" t="s">
        <v>3047</v>
      </c>
      <c r="B861" t="s">
        <v>34</v>
      </c>
      <c r="C861" t="s">
        <v>2075</v>
      </c>
      <c r="D861" t="s">
        <v>2076</v>
      </c>
      <c r="E861" t="s">
        <v>972</v>
      </c>
      <c r="F861" t="s">
        <v>2077</v>
      </c>
      <c r="G861" t="s">
        <v>2008</v>
      </c>
      <c r="H861" t="s">
        <v>1558</v>
      </c>
      <c r="I861" t="s">
        <v>240</v>
      </c>
      <c r="J861" t="s">
        <v>46</v>
      </c>
      <c r="K861" t="s">
        <v>29</v>
      </c>
      <c r="L861" t="s">
        <v>30</v>
      </c>
      <c r="M861">
        <v>0</v>
      </c>
      <c r="N861" t="s">
        <v>32</v>
      </c>
      <c r="O861" t="s">
        <v>32</v>
      </c>
      <c r="Q861" t="s">
        <v>32</v>
      </c>
      <c r="S861" t="s">
        <v>32</v>
      </c>
      <c r="U861" t="s">
        <v>32</v>
      </c>
      <c r="V861" t="s">
        <v>32</v>
      </c>
      <c r="W861" t="s">
        <v>32</v>
      </c>
      <c r="X861" t="s">
        <v>32</v>
      </c>
      <c r="Y861" t="s">
        <v>32</v>
      </c>
      <c r="AA861" t="s">
        <v>32</v>
      </c>
      <c r="AB861" t="s">
        <v>32</v>
      </c>
      <c r="AE861" t="s">
        <v>32</v>
      </c>
      <c r="AH861" t="s">
        <v>32</v>
      </c>
      <c r="AK861" t="s">
        <v>128</v>
      </c>
      <c r="AL861">
        <v>46069</v>
      </c>
      <c r="AM861">
        <v>46075</v>
      </c>
      <c r="AN861" t="s">
        <v>32</v>
      </c>
      <c r="AO861" t="s">
        <v>32</v>
      </c>
      <c r="AR861">
        <v>0</v>
      </c>
      <c r="AU861" t="s">
        <v>32</v>
      </c>
      <c r="AV861">
        <v>6384779</v>
      </c>
      <c r="AW861" t="s">
        <v>32</v>
      </c>
      <c r="AX861" t="s">
        <v>32</v>
      </c>
      <c r="AY861" t="s">
        <v>185</v>
      </c>
      <c r="AZ861">
        <v>7</v>
      </c>
      <c r="BA861">
        <v>1489782</v>
      </c>
      <c r="BB861">
        <v>0.15999999642372131</v>
      </c>
      <c r="BC861">
        <v>238400</v>
      </c>
      <c r="BD861" t="s">
        <v>31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238400</v>
      </c>
      <c r="BK861" t="s">
        <v>25</v>
      </c>
      <c r="BL861" t="s">
        <v>1043</v>
      </c>
      <c r="BM861">
        <v>7</v>
      </c>
      <c r="BN861">
        <v>1489782</v>
      </c>
      <c r="BO861">
        <v>3.9999999105930328E-2</v>
      </c>
      <c r="BP861">
        <v>59600</v>
      </c>
      <c r="BQ861">
        <v>0</v>
      </c>
      <c r="BS861">
        <v>0</v>
      </c>
      <c r="BU861">
        <v>0</v>
      </c>
      <c r="BV861" t="s">
        <v>25</v>
      </c>
      <c r="BW861" t="s">
        <v>189</v>
      </c>
      <c r="BX861">
        <v>7</v>
      </c>
      <c r="BY861">
        <v>1489782</v>
      </c>
      <c r="BZ861">
        <v>0</v>
      </c>
      <c r="CA861" t="s">
        <v>1439</v>
      </c>
      <c r="CB861" t="s">
        <v>227</v>
      </c>
      <c r="CC861" t="s">
        <v>1440</v>
      </c>
      <c r="CD861">
        <v>0</v>
      </c>
      <c r="CE861">
        <v>7</v>
      </c>
      <c r="CF861" t="s">
        <v>635</v>
      </c>
      <c r="CG861">
        <v>1489782</v>
      </c>
      <c r="CH861">
        <v>3.9999999105930328E-2</v>
      </c>
      <c r="CI861">
        <v>59600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 t="s">
        <v>88</v>
      </c>
      <c r="CT861" t="s">
        <v>142</v>
      </c>
      <c r="CU861" t="s">
        <v>1442</v>
      </c>
    </row>
    <row r="862" spans="1:99">
      <c r="A862" t="s">
        <v>3047</v>
      </c>
      <c r="B862" t="s">
        <v>34</v>
      </c>
      <c r="C862" t="s">
        <v>2075</v>
      </c>
      <c r="D862" t="s">
        <v>2076</v>
      </c>
      <c r="E862" t="s">
        <v>972</v>
      </c>
      <c r="F862" t="s">
        <v>2077</v>
      </c>
      <c r="G862" t="s">
        <v>2008</v>
      </c>
      <c r="H862" t="s">
        <v>1558</v>
      </c>
      <c r="I862" t="s">
        <v>240</v>
      </c>
      <c r="J862" t="s">
        <v>46</v>
      </c>
      <c r="K862" t="s">
        <v>29</v>
      </c>
      <c r="L862" t="s">
        <v>30</v>
      </c>
      <c r="M862">
        <v>135</v>
      </c>
      <c r="N862" t="s">
        <v>32</v>
      </c>
      <c r="O862" t="s">
        <v>32</v>
      </c>
      <c r="Q862" t="s">
        <v>32</v>
      </c>
      <c r="S862" t="s">
        <v>32</v>
      </c>
      <c r="U862" t="s">
        <v>32</v>
      </c>
      <c r="V862" t="s">
        <v>32</v>
      </c>
      <c r="W862" t="s">
        <v>32</v>
      </c>
      <c r="X862" t="s">
        <v>32</v>
      </c>
      <c r="Y862" t="s">
        <v>88</v>
      </c>
      <c r="Z862">
        <v>46054</v>
      </c>
      <c r="AA862" t="s">
        <v>88</v>
      </c>
      <c r="AB862" t="s">
        <v>32</v>
      </c>
      <c r="AE862" t="s">
        <v>32</v>
      </c>
      <c r="AH862" t="s">
        <v>32</v>
      </c>
      <c r="AK862" t="s">
        <v>32</v>
      </c>
      <c r="AN862" t="s">
        <v>32</v>
      </c>
      <c r="AO862" t="s">
        <v>32</v>
      </c>
      <c r="AR862">
        <v>0</v>
      </c>
      <c r="AU862" t="s">
        <v>32</v>
      </c>
      <c r="AV862">
        <v>6384779</v>
      </c>
      <c r="AW862" t="s">
        <v>32</v>
      </c>
      <c r="AX862" t="s">
        <v>32</v>
      </c>
      <c r="AY862" t="s">
        <v>185</v>
      </c>
      <c r="AZ862">
        <v>22</v>
      </c>
      <c r="BA862">
        <v>4682172</v>
      </c>
      <c r="BB862">
        <v>0.15999999642372131</v>
      </c>
      <c r="BC862">
        <v>749200</v>
      </c>
      <c r="BD862" t="s">
        <v>31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749200</v>
      </c>
      <c r="BK862" t="s">
        <v>25</v>
      </c>
      <c r="BL862" t="s">
        <v>1043</v>
      </c>
      <c r="BM862">
        <v>22</v>
      </c>
      <c r="BN862">
        <v>4682172</v>
      </c>
      <c r="BO862">
        <v>3.9999999105930328E-2</v>
      </c>
      <c r="BP862">
        <v>187300</v>
      </c>
      <c r="BQ862">
        <v>0</v>
      </c>
      <c r="BS862">
        <v>0</v>
      </c>
      <c r="BU862">
        <v>0</v>
      </c>
      <c r="BV862" t="s">
        <v>25</v>
      </c>
      <c r="BW862" t="s">
        <v>189</v>
      </c>
      <c r="BX862">
        <v>22</v>
      </c>
      <c r="BY862">
        <v>4682172</v>
      </c>
      <c r="BZ862">
        <v>6.9600000977516174E-2</v>
      </c>
      <c r="CA862" t="s">
        <v>1439</v>
      </c>
      <c r="CB862" t="s">
        <v>227</v>
      </c>
      <c r="CC862" t="s">
        <v>1440</v>
      </c>
      <c r="CD862">
        <v>325900</v>
      </c>
      <c r="CE862">
        <v>22</v>
      </c>
      <c r="CF862" t="s">
        <v>635</v>
      </c>
      <c r="CG862">
        <v>4682172</v>
      </c>
      <c r="CH862">
        <v>3.9999999105930328E-2</v>
      </c>
      <c r="CI862">
        <v>187300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 t="s">
        <v>88</v>
      </c>
      <c r="CT862" t="s">
        <v>142</v>
      </c>
      <c r="CU862" t="s">
        <v>1442</v>
      </c>
    </row>
    <row r="863" spans="1:99">
      <c r="A863" t="s">
        <v>3047</v>
      </c>
      <c r="B863" t="s">
        <v>34</v>
      </c>
      <c r="C863" t="s">
        <v>2078</v>
      </c>
      <c r="D863" t="s">
        <v>2079</v>
      </c>
      <c r="E863" t="s">
        <v>2080</v>
      </c>
      <c r="F863" t="s">
        <v>2081</v>
      </c>
      <c r="G863" t="s">
        <v>2082</v>
      </c>
      <c r="H863" t="s">
        <v>2083</v>
      </c>
      <c r="I863" t="s">
        <v>240</v>
      </c>
      <c r="J863" t="s">
        <v>46</v>
      </c>
      <c r="K863" t="s">
        <v>29</v>
      </c>
      <c r="L863" t="s">
        <v>30</v>
      </c>
      <c r="M863">
        <v>45</v>
      </c>
      <c r="N863" t="s">
        <v>32</v>
      </c>
      <c r="O863" t="s">
        <v>32</v>
      </c>
      <c r="Q863" t="s">
        <v>40</v>
      </c>
      <c r="R863">
        <v>46074</v>
      </c>
      <c r="S863" t="s">
        <v>32</v>
      </c>
      <c r="U863" t="s">
        <v>32</v>
      </c>
      <c r="V863" t="s">
        <v>32</v>
      </c>
      <c r="W863" t="s">
        <v>32</v>
      </c>
      <c r="X863" t="s">
        <v>32</v>
      </c>
      <c r="Y863" t="s">
        <v>32</v>
      </c>
      <c r="AA863" t="s">
        <v>88</v>
      </c>
      <c r="AB863" t="s">
        <v>32</v>
      </c>
      <c r="AE863" t="s">
        <v>32</v>
      </c>
      <c r="AH863" t="s">
        <v>32</v>
      </c>
      <c r="AK863" t="s">
        <v>32</v>
      </c>
      <c r="AN863" t="s">
        <v>32</v>
      </c>
      <c r="AO863" t="s">
        <v>32</v>
      </c>
      <c r="AR863">
        <v>0</v>
      </c>
      <c r="AU863" t="s">
        <v>32</v>
      </c>
      <c r="AV863">
        <v>2113182</v>
      </c>
      <c r="AW863" t="s">
        <v>32</v>
      </c>
      <c r="AX863" t="s">
        <v>32</v>
      </c>
      <c r="AY863" t="s">
        <v>317</v>
      </c>
      <c r="AZ863">
        <v>10</v>
      </c>
      <c r="BA863">
        <v>704394</v>
      </c>
      <c r="BB863">
        <v>0.15999999642372131</v>
      </c>
      <c r="BC863">
        <v>112800</v>
      </c>
      <c r="BD863" t="s">
        <v>31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112800</v>
      </c>
      <c r="BK863" t="s">
        <v>25</v>
      </c>
      <c r="BL863" t="s">
        <v>726</v>
      </c>
      <c r="BM863">
        <v>10</v>
      </c>
      <c r="BN863">
        <v>704394</v>
      </c>
      <c r="BO863">
        <v>3.9999999105930328E-2</v>
      </c>
      <c r="BP863">
        <v>28200</v>
      </c>
      <c r="BQ863">
        <v>0</v>
      </c>
      <c r="BS863">
        <v>0</v>
      </c>
      <c r="BU863">
        <v>0</v>
      </c>
      <c r="BV863" t="s">
        <v>25</v>
      </c>
      <c r="BW863" t="s">
        <v>189</v>
      </c>
      <c r="BX863">
        <v>10</v>
      </c>
      <c r="BY863">
        <v>704394</v>
      </c>
      <c r="BZ863">
        <v>6.9600000977516174E-2</v>
      </c>
      <c r="CA863" t="s">
        <v>1439</v>
      </c>
      <c r="CB863" t="s">
        <v>227</v>
      </c>
      <c r="CC863" t="s">
        <v>1440</v>
      </c>
      <c r="CD863">
        <v>49100</v>
      </c>
      <c r="CE863">
        <v>10</v>
      </c>
      <c r="CF863" t="s">
        <v>635</v>
      </c>
      <c r="CG863">
        <v>704394</v>
      </c>
      <c r="CH863">
        <v>3.9999999105930328E-2</v>
      </c>
      <c r="CI863">
        <v>28200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 t="s">
        <v>88</v>
      </c>
      <c r="CT863" t="s">
        <v>142</v>
      </c>
      <c r="CU863" t="s">
        <v>1442</v>
      </c>
    </row>
    <row r="864" spans="1:99">
      <c r="A864" t="s">
        <v>3047</v>
      </c>
      <c r="B864" t="s">
        <v>34</v>
      </c>
      <c r="C864" t="s">
        <v>2084</v>
      </c>
      <c r="D864" t="s">
        <v>2085</v>
      </c>
      <c r="E864" t="s">
        <v>2086</v>
      </c>
      <c r="F864" t="s">
        <v>1886</v>
      </c>
      <c r="G864" t="s">
        <v>1984</v>
      </c>
      <c r="H864" t="s">
        <v>2087</v>
      </c>
      <c r="I864" t="s">
        <v>240</v>
      </c>
      <c r="J864" t="s">
        <v>46</v>
      </c>
      <c r="K864" t="s">
        <v>29</v>
      </c>
      <c r="L864" t="s">
        <v>30</v>
      </c>
      <c r="M864">
        <v>180</v>
      </c>
      <c r="N864" t="s">
        <v>32</v>
      </c>
      <c r="O864" t="s">
        <v>32</v>
      </c>
      <c r="Q864" t="s">
        <v>32</v>
      </c>
      <c r="S864" t="s">
        <v>32</v>
      </c>
      <c r="U864" t="s">
        <v>32</v>
      </c>
      <c r="V864" t="s">
        <v>32</v>
      </c>
      <c r="W864" t="s">
        <v>32</v>
      </c>
      <c r="X864" t="s">
        <v>32</v>
      </c>
      <c r="Y864" t="s">
        <v>88</v>
      </c>
      <c r="Z864">
        <v>46054</v>
      </c>
      <c r="AA864" t="s">
        <v>88</v>
      </c>
      <c r="AB864" t="s">
        <v>32</v>
      </c>
      <c r="AE864" t="s">
        <v>32</v>
      </c>
      <c r="AH864" t="s">
        <v>32</v>
      </c>
      <c r="AK864" t="s">
        <v>32</v>
      </c>
      <c r="AN864" t="s">
        <v>32</v>
      </c>
      <c r="AO864" t="s">
        <v>32</v>
      </c>
      <c r="AR864">
        <v>0</v>
      </c>
      <c r="AU864" t="s">
        <v>32</v>
      </c>
      <c r="AV864">
        <v>6384779</v>
      </c>
      <c r="AW864" t="s">
        <v>32</v>
      </c>
      <c r="AX864" t="s">
        <v>88</v>
      </c>
      <c r="AY864" t="s">
        <v>317</v>
      </c>
      <c r="AZ864">
        <v>30</v>
      </c>
      <c r="BA864">
        <v>6384779</v>
      </c>
      <c r="BB864">
        <v>0.15999999642372131</v>
      </c>
      <c r="BC864">
        <v>1021600</v>
      </c>
      <c r="BD864" t="s">
        <v>31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1021600</v>
      </c>
      <c r="BK864" t="s">
        <v>25</v>
      </c>
      <c r="BL864" t="s">
        <v>1010</v>
      </c>
      <c r="BM864">
        <v>30</v>
      </c>
      <c r="BN864">
        <v>6384779</v>
      </c>
      <c r="BO864">
        <v>3.9999999105930328E-2</v>
      </c>
      <c r="BP864">
        <v>255400</v>
      </c>
      <c r="BQ864">
        <v>0</v>
      </c>
      <c r="BS864">
        <v>0</v>
      </c>
      <c r="BU864">
        <v>0</v>
      </c>
      <c r="BV864" t="s">
        <v>25</v>
      </c>
      <c r="BW864" t="s">
        <v>189</v>
      </c>
      <c r="BX864">
        <v>30</v>
      </c>
      <c r="BY864">
        <v>6384779</v>
      </c>
      <c r="BZ864">
        <v>6.9600000977516174E-2</v>
      </c>
      <c r="CA864" t="s">
        <v>1439</v>
      </c>
      <c r="CB864" t="s">
        <v>227</v>
      </c>
      <c r="CC864" t="s">
        <v>1440</v>
      </c>
      <c r="CD864">
        <v>444400</v>
      </c>
      <c r="CE864">
        <v>30</v>
      </c>
      <c r="CF864" t="s">
        <v>635</v>
      </c>
      <c r="CG864">
        <v>6384779</v>
      </c>
      <c r="CH864">
        <v>3.9999999105930328E-2</v>
      </c>
      <c r="CI864">
        <v>255400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 t="s">
        <v>88</v>
      </c>
      <c r="CT864" t="s">
        <v>142</v>
      </c>
      <c r="CU864" t="s">
        <v>1442</v>
      </c>
    </row>
    <row r="865" spans="1:99">
      <c r="A865" t="s">
        <v>3047</v>
      </c>
      <c r="B865" t="s">
        <v>34</v>
      </c>
      <c r="C865" t="s">
        <v>2088</v>
      </c>
      <c r="D865" t="s">
        <v>2089</v>
      </c>
      <c r="E865" t="s">
        <v>1628</v>
      </c>
      <c r="F865" t="s">
        <v>2090</v>
      </c>
      <c r="G865" t="s">
        <v>2091</v>
      </c>
      <c r="H865" t="s">
        <v>1558</v>
      </c>
      <c r="I865" t="s">
        <v>240</v>
      </c>
      <c r="J865" t="s">
        <v>46</v>
      </c>
      <c r="K865" t="s">
        <v>29</v>
      </c>
      <c r="L865" t="s">
        <v>30</v>
      </c>
      <c r="M865">
        <v>193</v>
      </c>
      <c r="N865" t="s">
        <v>32</v>
      </c>
      <c r="O865" t="s">
        <v>32</v>
      </c>
      <c r="Q865" t="s">
        <v>40</v>
      </c>
      <c r="R865">
        <v>46055</v>
      </c>
      <c r="S865" t="s">
        <v>32</v>
      </c>
      <c r="U865" t="s">
        <v>32</v>
      </c>
      <c r="V865" t="s">
        <v>32</v>
      </c>
      <c r="W865" t="s">
        <v>32</v>
      </c>
      <c r="X865" t="s">
        <v>32</v>
      </c>
      <c r="Y865" t="s">
        <v>32</v>
      </c>
      <c r="AA865" t="s">
        <v>88</v>
      </c>
      <c r="AB865" t="s">
        <v>32</v>
      </c>
      <c r="AE865" t="s">
        <v>32</v>
      </c>
      <c r="AH865" t="s">
        <v>32</v>
      </c>
      <c r="AK865" t="s">
        <v>32</v>
      </c>
      <c r="AN865" t="s">
        <v>32</v>
      </c>
      <c r="AO865" t="s">
        <v>32</v>
      </c>
      <c r="AR865">
        <v>0</v>
      </c>
      <c r="AU865" t="s">
        <v>32</v>
      </c>
      <c r="AV865">
        <v>2970185</v>
      </c>
      <c r="AW865" t="s">
        <v>32</v>
      </c>
      <c r="AX865" t="s">
        <v>32</v>
      </c>
      <c r="AY865" t="s">
        <v>356</v>
      </c>
      <c r="AZ865">
        <v>29</v>
      </c>
      <c r="BA865">
        <v>3451039</v>
      </c>
      <c r="BB865">
        <v>0.15999999642372131</v>
      </c>
      <c r="BC865">
        <v>552200</v>
      </c>
      <c r="BD865" t="s">
        <v>31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552200</v>
      </c>
      <c r="BK865" t="s">
        <v>25</v>
      </c>
      <c r="BL865" t="s">
        <v>1010</v>
      </c>
      <c r="BM865">
        <v>29</v>
      </c>
      <c r="BN865">
        <v>3451039</v>
      </c>
      <c r="BO865">
        <v>3.9999999105930328E-2</v>
      </c>
      <c r="BP865">
        <v>138100</v>
      </c>
      <c r="BQ865">
        <v>0</v>
      </c>
      <c r="BS865">
        <v>0</v>
      </c>
      <c r="BU865">
        <v>0</v>
      </c>
      <c r="BV865" t="s">
        <v>25</v>
      </c>
      <c r="BW865" t="s">
        <v>189</v>
      </c>
      <c r="BX865">
        <v>29</v>
      </c>
      <c r="BY865">
        <v>3451039</v>
      </c>
      <c r="BZ865">
        <v>6.9600000977516174E-2</v>
      </c>
      <c r="CA865" t="s">
        <v>1439</v>
      </c>
      <c r="CB865" t="s">
        <v>227</v>
      </c>
      <c r="CC865" t="s">
        <v>1440</v>
      </c>
      <c r="CD865">
        <v>240200</v>
      </c>
      <c r="CE865">
        <v>29</v>
      </c>
      <c r="CF865" t="s">
        <v>635</v>
      </c>
      <c r="CG865">
        <v>3451039</v>
      </c>
      <c r="CH865">
        <v>3.9999999105930328E-2</v>
      </c>
      <c r="CI865">
        <v>138100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 t="s">
        <v>88</v>
      </c>
      <c r="CT865" t="s">
        <v>142</v>
      </c>
      <c r="CU865" t="s">
        <v>1442</v>
      </c>
    </row>
    <row r="866" spans="1:99">
      <c r="A866" t="s">
        <v>3047</v>
      </c>
      <c r="B866" t="s">
        <v>34</v>
      </c>
      <c r="C866" t="s">
        <v>2092</v>
      </c>
      <c r="D866" t="s">
        <v>2093</v>
      </c>
      <c r="E866" t="s">
        <v>2081</v>
      </c>
      <c r="F866" t="s">
        <v>2094</v>
      </c>
      <c r="G866" t="s">
        <v>2095</v>
      </c>
      <c r="H866" t="s">
        <v>2096</v>
      </c>
      <c r="I866" t="s">
        <v>682</v>
      </c>
      <c r="J866" t="s">
        <v>484</v>
      </c>
      <c r="K866" t="s">
        <v>29</v>
      </c>
      <c r="L866" t="s">
        <v>30</v>
      </c>
      <c r="M866">
        <v>202</v>
      </c>
      <c r="N866" t="s">
        <v>32</v>
      </c>
      <c r="O866" t="s">
        <v>32</v>
      </c>
      <c r="Q866" t="s">
        <v>32</v>
      </c>
      <c r="S866" t="s">
        <v>40</v>
      </c>
      <c r="T866">
        <v>46079</v>
      </c>
      <c r="U866" t="s">
        <v>32</v>
      </c>
      <c r="V866" t="s">
        <v>32</v>
      </c>
      <c r="W866" t="s">
        <v>32</v>
      </c>
      <c r="X866" t="s">
        <v>32</v>
      </c>
      <c r="Y866" t="s">
        <v>32</v>
      </c>
      <c r="AA866" t="s">
        <v>88</v>
      </c>
      <c r="AB866" t="s">
        <v>32</v>
      </c>
      <c r="AE866" t="s">
        <v>32</v>
      </c>
      <c r="AH866" t="s">
        <v>32</v>
      </c>
      <c r="AK866" t="s">
        <v>32</v>
      </c>
      <c r="AN866" t="s">
        <v>32</v>
      </c>
      <c r="AO866" t="s">
        <v>32</v>
      </c>
      <c r="AR866">
        <v>0</v>
      </c>
      <c r="AU866" t="s">
        <v>32</v>
      </c>
      <c r="AV866">
        <v>2223339</v>
      </c>
      <c r="AW866" t="s">
        <v>32</v>
      </c>
      <c r="AX866" t="s">
        <v>32</v>
      </c>
      <c r="AY866" t="s">
        <v>317</v>
      </c>
      <c r="AZ866">
        <v>26</v>
      </c>
      <c r="BA866">
        <v>3148977</v>
      </c>
      <c r="BB866">
        <v>0.15999999642372131</v>
      </c>
      <c r="BC866">
        <v>503900</v>
      </c>
      <c r="BD866" t="s">
        <v>31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503900</v>
      </c>
      <c r="BK866" t="s">
        <v>25</v>
      </c>
      <c r="BL866" t="s">
        <v>1010</v>
      </c>
      <c r="BM866">
        <v>26</v>
      </c>
      <c r="BN866">
        <v>3148977</v>
      </c>
      <c r="BO866">
        <v>3.9999999105930328E-2</v>
      </c>
      <c r="BP866">
        <v>126000</v>
      </c>
      <c r="BQ866">
        <v>0</v>
      </c>
      <c r="BS866">
        <v>0</v>
      </c>
      <c r="BU866">
        <v>0</v>
      </c>
      <c r="BV866" t="s">
        <v>25</v>
      </c>
      <c r="BW866" t="s">
        <v>189</v>
      </c>
      <c r="BX866">
        <v>26</v>
      </c>
      <c r="BY866">
        <v>3148977</v>
      </c>
      <c r="BZ866">
        <v>6.9600000977516174E-2</v>
      </c>
      <c r="CA866" t="s">
        <v>1439</v>
      </c>
      <c r="CB866" t="s">
        <v>312</v>
      </c>
      <c r="CC866" t="s">
        <v>1440</v>
      </c>
      <c r="CD866">
        <v>219200</v>
      </c>
      <c r="CE866">
        <v>26</v>
      </c>
      <c r="CF866" t="s">
        <v>466</v>
      </c>
      <c r="CG866">
        <v>3559092</v>
      </c>
      <c r="CH866">
        <v>3.9999999105930328E-2</v>
      </c>
      <c r="CI866">
        <v>142400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 t="s">
        <v>88</v>
      </c>
      <c r="CT866" t="s">
        <v>142</v>
      </c>
      <c r="CU866" t="s">
        <v>1442</v>
      </c>
    </row>
    <row r="867" spans="1:99">
      <c r="A867" t="s">
        <v>3047</v>
      </c>
      <c r="B867" t="s">
        <v>34</v>
      </c>
      <c r="C867" t="s">
        <v>2097</v>
      </c>
      <c r="D867" t="s">
        <v>2098</v>
      </c>
      <c r="E867" t="s">
        <v>1657</v>
      </c>
      <c r="F867" t="s">
        <v>2099</v>
      </c>
      <c r="G867" t="s">
        <v>2070</v>
      </c>
      <c r="H867" t="s">
        <v>1498</v>
      </c>
      <c r="I867" t="s">
        <v>240</v>
      </c>
      <c r="J867" t="s">
        <v>46</v>
      </c>
      <c r="K867" t="s">
        <v>29</v>
      </c>
      <c r="L867" t="s">
        <v>30</v>
      </c>
      <c r="M867">
        <v>115</v>
      </c>
      <c r="N867" t="s">
        <v>32</v>
      </c>
      <c r="O867" t="s">
        <v>32</v>
      </c>
      <c r="Q867" t="s">
        <v>32</v>
      </c>
      <c r="S867" t="s">
        <v>40</v>
      </c>
      <c r="T867">
        <v>46066</v>
      </c>
      <c r="U867" t="s">
        <v>32</v>
      </c>
      <c r="V867" t="s">
        <v>32</v>
      </c>
      <c r="W867" t="s">
        <v>32</v>
      </c>
      <c r="X867" t="s">
        <v>32</v>
      </c>
      <c r="Y867" t="s">
        <v>32</v>
      </c>
      <c r="AA867" t="s">
        <v>88</v>
      </c>
      <c r="AB867" t="s">
        <v>32</v>
      </c>
      <c r="AE867" t="s">
        <v>32</v>
      </c>
      <c r="AH867" t="s">
        <v>32</v>
      </c>
      <c r="AK867" t="s">
        <v>32</v>
      </c>
      <c r="AN867" t="s">
        <v>32</v>
      </c>
      <c r="AO867" t="s">
        <v>32</v>
      </c>
      <c r="AR867">
        <v>0</v>
      </c>
      <c r="AU867" t="s">
        <v>32</v>
      </c>
      <c r="AV867">
        <v>2308750</v>
      </c>
      <c r="AW867" t="s">
        <v>32</v>
      </c>
      <c r="AX867" t="s">
        <v>32</v>
      </c>
      <c r="AY867" t="s">
        <v>356</v>
      </c>
      <c r="AZ867">
        <v>13</v>
      </c>
      <c r="BA867">
        <v>1591541</v>
      </c>
      <c r="BB867">
        <v>0.15999999642372131</v>
      </c>
      <c r="BC867">
        <v>254700</v>
      </c>
      <c r="BD867" t="s">
        <v>31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254700</v>
      </c>
      <c r="BK867" t="s">
        <v>25</v>
      </c>
      <c r="BL867" t="s">
        <v>1071</v>
      </c>
      <c r="BM867">
        <v>13</v>
      </c>
      <c r="BN867">
        <v>1591541</v>
      </c>
      <c r="BO867">
        <v>3.9999999105930328E-2</v>
      </c>
      <c r="BP867">
        <v>63700</v>
      </c>
      <c r="BQ867">
        <v>0</v>
      </c>
      <c r="BS867">
        <v>0</v>
      </c>
      <c r="BU867">
        <v>0</v>
      </c>
      <c r="BV867" t="s">
        <v>25</v>
      </c>
      <c r="BW867" t="s">
        <v>189</v>
      </c>
      <c r="BX867">
        <v>13</v>
      </c>
      <c r="BY867">
        <v>1591541</v>
      </c>
      <c r="BZ867">
        <v>6.9600000977516174E-2</v>
      </c>
      <c r="CA867" t="s">
        <v>1439</v>
      </c>
      <c r="CB867" t="s">
        <v>227</v>
      </c>
      <c r="CC867" t="s">
        <v>1440</v>
      </c>
      <c r="CD867">
        <v>110800</v>
      </c>
      <c r="CE867">
        <v>13</v>
      </c>
      <c r="CF867" t="s">
        <v>635</v>
      </c>
      <c r="CG867">
        <v>2179740</v>
      </c>
      <c r="CH867">
        <v>3.9999999105930328E-2</v>
      </c>
      <c r="CI867">
        <v>87200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 t="s">
        <v>88</v>
      </c>
      <c r="CT867" t="s">
        <v>142</v>
      </c>
      <c r="CU867" t="s">
        <v>1442</v>
      </c>
    </row>
    <row r="868" spans="1:99">
      <c r="A868" t="s">
        <v>3047</v>
      </c>
      <c r="B868" t="s">
        <v>34</v>
      </c>
      <c r="C868" t="s">
        <v>2100</v>
      </c>
      <c r="D868" t="s">
        <v>2101</v>
      </c>
      <c r="E868" t="s">
        <v>2102</v>
      </c>
      <c r="F868" t="s">
        <v>667</v>
      </c>
      <c r="G868" t="s">
        <v>1957</v>
      </c>
      <c r="H868" t="s">
        <v>1489</v>
      </c>
      <c r="I868" t="s">
        <v>240</v>
      </c>
      <c r="J868" t="s">
        <v>46</v>
      </c>
      <c r="K868" t="s">
        <v>29</v>
      </c>
      <c r="L868" t="s">
        <v>30</v>
      </c>
      <c r="M868">
        <v>118</v>
      </c>
      <c r="N868" t="s">
        <v>32</v>
      </c>
      <c r="O868" t="s">
        <v>32</v>
      </c>
      <c r="Q868" t="s">
        <v>32</v>
      </c>
      <c r="S868" t="s">
        <v>40</v>
      </c>
      <c r="T868">
        <v>46068</v>
      </c>
      <c r="U868" t="s">
        <v>32</v>
      </c>
      <c r="V868" t="s">
        <v>32</v>
      </c>
      <c r="W868" t="s">
        <v>32</v>
      </c>
      <c r="X868" t="s">
        <v>32</v>
      </c>
      <c r="Y868" t="s">
        <v>32</v>
      </c>
      <c r="AA868" t="s">
        <v>88</v>
      </c>
      <c r="AB868" t="s">
        <v>32</v>
      </c>
      <c r="AE868" t="s">
        <v>32</v>
      </c>
      <c r="AH868" t="s">
        <v>32</v>
      </c>
      <c r="AK868" t="s">
        <v>32</v>
      </c>
      <c r="AN868" t="s">
        <v>32</v>
      </c>
      <c r="AO868" t="s">
        <v>32</v>
      </c>
      <c r="AR868">
        <v>0</v>
      </c>
      <c r="AU868" t="s">
        <v>32</v>
      </c>
      <c r="AV868">
        <v>2223339</v>
      </c>
      <c r="AW868" t="s">
        <v>32</v>
      </c>
      <c r="AX868" t="s">
        <v>32</v>
      </c>
      <c r="AY868" t="s">
        <v>356</v>
      </c>
      <c r="AZ868">
        <v>15</v>
      </c>
      <c r="BA868">
        <v>2058492</v>
      </c>
      <c r="BB868">
        <v>0.15999999642372131</v>
      </c>
      <c r="BC868">
        <v>329400</v>
      </c>
      <c r="BD868" t="s">
        <v>31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329400</v>
      </c>
      <c r="BK868" t="s">
        <v>25</v>
      </c>
      <c r="BL868" t="s">
        <v>1010</v>
      </c>
      <c r="BM868">
        <v>15</v>
      </c>
      <c r="BN868">
        <v>2058492</v>
      </c>
      <c r="BO868">
        <v>3.9999999105930328E-2</v>
      </c>
      <c r="BP868">
        <v>82400</v>
      </c>
      <c r="BQ868">
        <v>0</v>
      </c>
      <c r="BS868">
        <v>0</v>
      </c>
      <c r="BU868">
        <v>0</v>
      </c>
      <c r="BV868" t="s">
        <v>25</v>
      </c>
      <c r="BW868" t="s">
        <v>189</v>
      </c>
      <c r="BX868">
        <v>15</v>
      </c>
      <c r="BY868">
        <v>2058492</v>
      </c>
      <c r="BZ868">
        <v>6.9600000977516174E-2</v>
      </c>
      <c r="CA868" t="s">
        <v>1439</v>
      </c>
      <c r="CB868" t="s">
        <v>227</v>
      </c>
      <c r="CC868" t="s">
        <v>1440</v>
      </c>
      <c r="CD868">
        <v>143300</v>
      </c>
      <c r="CE868">
        <v>15</v>
      </c>
      <c r="CF868" t="s">
        <v>635</v>
      </c>
      <c r="CG868">
        <v>2151588</v>
      </c>
      <c r="CH868">
        <v>3.9999999105930328E-2</v>
      </c>
      <c r="CI868">
        <v>86100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 t="s">
        <v>88</v>
      </c>
      <c r="CT868" t="s">
        <v>142</v>
      </c>
      <c r="CU868" t="s">
        <v>1442</v>
      </c>
    </row>
    <row r="869" spans="1:99">
      <c r="A869" t="s">
        <v>3047</v>
      </c>
      <c r="B869" t="s">
        <v>34</v>
      </c>
      <c r="C869" t="s">
        <v>2103</v>
      </c>
      <c r="D869" t="s">
        <v>2104</v>
      </c>
      <c r="E869" t="s">
        <v>1634</v>
      </c>
      <c r="F869" t="s">
        <v>1060</v>
      </c>
      <c r="G869" t="s">
        <v>1897</v>
      </c>
      <c r="H869" t="s">
        <v>2105</v>
      </c>
      <c r="I869" t="s">
        <v>240</v>
      </c>
      <c r="J869" t="s">
        <v>46</v>
      </c>
      <c r="K869" t="s">
        <v>29</v>
      </c>
      <c r="L869" t="s">
        <v>30</v>
      </c>
      <c r="M869">
        <v>206</v>
      </c>
      <c r="N869" t="s">
        <v>32</v>
      </c>
      <c r="O869" t="s">
        <v>32</v>
      </c>
      <c r="Q869" t="s">
        <v>32</v>
      </c>
      <c r="S869" t="s">
        <v>32</v>
      </c>
      <c r="U869" t="s">
        <v>32</v>
      </c>
      <c r="V869" t="s">
        <v>32</v>
      </c>
      <c r="W869" t="s">
        <v>32</v>
      </c>
      <c r="X869" t="s">
        <v>32</v>
      </c>
      <c r="Y869" t="s">
        <v>32</v>
      </c>
      <c r="AA869" t="s">
        <v>88</v>
      </c>
      <c r="AB869" t="s">
        <v>32</v>
      </c>
      <c r="AE869" t="s">
        <v>32</v>
      </c>
      <c r="AH869" t="s">
        <v>32</v>
      </c>
      <c r="AK869" t="s">
        <v>32</v>
      </c>
      <c r="AN869" t="s">
        <v>32</v>
      </c>
      <c r="AO869" t="s">
        <v>32</v>
      </c>
      <c r="AR869">
        <v>0</v>
      </c>
      <c r="AU869" t="s">
        <v>32</v>
      </c>
      <c r="AV869">
        <v>2223339</v>
      </c>
      <c r="AW869" t="s">
        <v>32</v>
      </c>
      <c r="AX869" t="s">
        <v>32</v>
      </c>
      <c r="AY869" t="s">
        <v>356</v>
      </c>
      <c r="AZ869">
        <v>30</v>
      </c>
      <c r="BA869">
        <v>2811127</v>
      </c>
      <c r="BB869">
        <v>0.15999999642372131</v>
      </c>
      <c r="BC869">
        <v>449800</v>
      </c>
      <c r="BD869" t="s">
        <v>31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449800</v>
      </c>
      <c r="BK869" t="s">
        <v>25</v>
      </c>
      <c r="BL869" t="s">
        <v>1071</v>
      </c>
      <c r="BM869">
        <v>30</v>
      </c>
      <c r="BN869">
        <v>2811127</v>
      </c>
      <c r="BO869">
        <v>3.9999999105930328E-2</v>
      </c>
      <c r="BP869">
        <v>112500</v>
      </c>
      <c r="BQ869">
        <v>0</v>
      </c>
      <c r="BS869">
        <v>0</v>
      </c>
      <c r="BU869">
        <v>0</v>
      </c>
      <c r="BV869" t="s">
        <v>25</v>
      </c>
      <c r="BW869" t="s">
        <v>189</v>
      </c>
      <c r="BX869">
        <v>30</v>
      </c>
      <c r="BY869">
        <v>2811127</v>
      </c>
      <c r="BZ869">
        <v>6.9600000977516174E-2</v>
      </c>
      <c r="CA869" t="s">
        <v>1439</v>
      </c>
      <c r="CB869" t="s">
        <v>227</v>
      </c>
      <c r="CC869" t="s">
        <v>1440</v>
      </c>
      <c r="CD869">
        <v>195700</v>
      </c>
      <c r="CE869">
        <v>30</v>
      </c>
      <c r="CF869" t="s">
        <v>635</v>
      </c>
      <c r="CG869">
        <v>2811127</v>
      </c>
      <c r="CH869">
        <v>3.9999999105930328E-2</v>
      </c>
      <c r="CI869">
        <v>112500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 t="s">
        <v>88</v>
      </c>
      <c r="CT869" t="s">
        <v>142</v>
      </c>
      <c r="CU869" t="s">
        <v>1442</v>
      </c>
    </row>
    <row r="870" spans="1:99">
      <c r="A870" t="s">
        <v>3047</v>
      </c>
      <c r="B870" t="s">
        <v>34</v>
      </c>
      <c r="C870" t="s">
        <v>2106</v>
      </c>
      <c r="D870" t="s">
        <v>2107</v>
      </c>
      <c r="E870" t="s">
        <v>1972</v>
      </c>
      <c r="F870" t="s">
        <v>2108</v>
      </c>
      <c r="G870" t="s">
        <v>2109</v>
      </c>
      <c r="H870" t="s">
        <v>2110</v>
      </c>
      <c r="I870" t="s">
        <v>240</v>
      </c>
      <c r="J870" t="s">
        <v>46</v>
      </c>
      <c r="K870" t="s">
        <v>29</v>
      </c>
      <c r="L870" t="s">
        <v>30</v>
      </c>
      <c r="M870">
        <v>0</v>
      </c>
      <c r="N870" t="s">
        <v>32</v>
      </c>
      <c r="O870" t="s">
        <v>32</v>
      </c>
      <c r="Q870" t="s">
        <v>32</v>
      </c>
      <c r="S870" t="s">
        <v>32</v>
      </c>
      <c r="U870" t="s">
        <v>32</v>
      </c>
      <c r="V870" t="s">
        <v>32</v>
      </c>
      <c r="W870" t="s">
        <v>32</v>
      </c>
      <c r="X870" t="s">
        <v>32</v>
      </c>
      <c r="Y870" t="s">
        <v>32</v>
      </c>
      <c r="AA870" t="s">
        <v>32</v>
      </c>
      <c r="AB870" t="s">
        <v>32</v>
      </c>
      <c r="AE870" t="s">
        <v>32</v>
      </c>
      <c r="AH870" t="s">
        <v>32</v>
      </c>
      <c r="AK870" t="s">
        <v>74</v>
      </c>
      <c r="AL870">
        <v>46056</v>
      </c>
      <c r="AM870">
        <v>46061</v>
      </c>
      <c r="AN870" t="s">
        <v>32</v>
      </c>
      <c r="AO870" t="s">
        <v>32</v>
      </c>
      <c r="AR870">
        <v>0</v>
      </c>
      <c r="AU870" t="s">
        <v>32</v>
      </c>
      <c r="AV870">
        <v>8569658</v>
      </c>
      <c r="AW870" t="s">
        <v>32</v>
      </c>
      <c r="AX870" t="s">
        <v>32</v>
      </c>
      <c r="AY870" t="s">
        <v>317</v>
      </c>
      <c r="AZ870">
        <v>6</v>
      </c>
      <c r="BA870">
        <v>1776815</v>
      </c>
      <c r="BB870">
        <v>0.15999999642372131</v>
      </c>
      <c r="BC870">
        <v>284300</v>
      </c>
      <c r="BD870" t="s">
        <v>31</v>
      </c>
      <c r="BE870">
        <v>0</v>
      </c>
      <c r="BF870">
        <v>0</v>
      </c>
      <c r="BG870">
        <v>8900</v>
      </c>
      <c r="BH870">
        <v>8900</v>
      </c>
      <c r="BI870">
        <v>0</v>
      </c>
      <c r="BJ870">
        <v>302100</v>
      </c>
      <c r="BK870" t="s">
        <v>25</v>
      </c>
      <c r="BL870" t="s">
        <v>1071</v>
      </c>
      <c r="BM870">
        <v>6</v>
      </c>
      <c r="BN870">
        <v>1776815</v>
      </c>
      <c r="BO870">
        <v>3.9999999105930328E-2</v>
      </c>
      <c r="BP870">
        <v>71100</v>
      </c>
      <c r="BQ870">
        <v>0</v>
      </c>
      <c r="BS870">
        <v>0</v>
      </c>
      <c r="BU870">
        <v>0</v>
      </c>
      <c r="BV870" t="s">
        <v>25</v>
      </c>
      <c r="BW870" t="s">
        <v>189</v>
      </c>
      <c r="BX870">
        <v>6</v>
      </c>
      <c r="BY870">
        <v>1776815</v>
      </c>
      <c r="BZ870">
        <v>0</v>
      </c>
      <c r="CA870" t="s">
        <v>1592</v>
      </c>
      <c r="CB870" t="s">
        <v>227</v>
      </c>
      <c r="CC870" t="s">
        <v>1593</v>
      </c>
      <c r="CD870">
        <v>0</v>
      </c>
      <c r="CE870">
        <v>6</v>
      </c>
      <c r="CF870" t="s">
        <v>635</v>
      </c>
      <c r="CG870">
        <v>1713932</v>
      </c>
      <c r="CH870">
        <v>3.9999999105930328E-2</v>
      </c>
      <c r="CI870">
        <v>68600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 t="s">
        <v>88</v>
      </c>
      <c r="CT870" t="s">
        <v>142</v>
      </c>
      <c r="CU870" t="s">
        <v>1442</v>
      </c>
    </row>
    <row r="871" spans="1:99">
      <c r="A871" t="s">
        <v>3047</v>
      </c>
      <c r="B871" t="s">
        <v>34</v>
      </c>
      <c r="C871" t="s">
        <v>2106</v>
      </c>
      <c r="D871" t="s">
        <v>2107</v>
      </c>
      <c r="E871" t="s">
        <v>1972</v>
      </c>
      <c r="F871" t="s">
        <v>2108</v>
      </c>
      <c r="G871" t="s">
        <v>2109</v>
      </c>
      <c r="H871" t="s">
        <v>2110</v>
      </c>
      <c r="I871" t="s">
        <v>240</v>
      </c>
      <c r="J871" t="s">
        <v>46</v>
      </c>
      <c r="K871" t="s">
        <v>29</v>
      </c>
      <c r="L871" t="s">
        <v>30</v>
      </c>
      <c r="M871">
        <v>149</v>
      </c>
      <c r="N871" t="s">
        <v>32</v>
      </c>
      <c r="O871" t="s">
        <v>32</v>
      </c>
      <c r="Q871" t="s">
        <v>32</v>
      </c>
      <c r="S871" t="s">
        <v>32</v>
      </c>
      <c r="U871" t="s">
        <v>32</v>
      </c>
      <c r="V871" t="s">
        <v>32</v>
      </c>
      <c r="W871" t="s">
        <v>32</v>
      </c>
      <c r="X871" t="s">
        <v>32</v>
      </c>
      <c r="Y871" t="s">
        <v>32</v>
      </c>
      <c r="AA871" t="s">
        <v>88</v>
      </c>
      <c r="AB871" t="s">
        <v>32</v>
      </c>
      <c r="AE871" t="s">
        <v>32</v>
      </c>
      <c r="AH871" t="s">
        <v>32</v>
      </c>
      <c r="AK871" t="s">
        <v>32</v>
      </c>
      <c r="AN871" t="s">
        <v>32</v>
      </c>
      <c r="AO871" t="s">
        <v>32</v>
      </c>
      <c r="AR871">
        <v>0</v>
      </c>
      <c r="AU871" t="s">
        <v>32</v>
      </c>
      <c r="AV871">
        <v>8569658</v>
      </c>
      <c r="AW871" t="s">
        <v>32</v>
      </c>
      <c r="AX871" t="s">
        <v>32</v>
      </c>
      <c r="AY871" t="s">
        <v>317</v>
      </c>
      <c r="AZ871">
        <v>24</v>
      </c>
      <c r="BA871">
        <v>6855727</v>
      </c>
      <c r="BB871">
        <v>0.15999999642372131</v>
      </c>
      <c r="BC871">
        <v>1097000</v>
      </c>
      <c r="BD871" t="s">
        <v>31</v>
      </c>
      <c r="BE871">
        <v>0</v>
      </c>
      <c r="BF871">
        <v>0</v>
      </c>
      <c r="BG871">
        <v>34300</v>
      </c>
      <c r="BH871">
        <v>34300</v>
      </c>
      <c r="BI871">
        <v>0</v>
      </c>
      <c r="BJ871">
        <v>1165600</v>
      </c>
      <c r="BK871" t="s">
        <v>25</v>
      </c>
      <c r="BL871" t="s">
        <v>1071</v>
      </c>
      <c r="BM871">
        <v>24</v>
      </c>
      <c r="BN871">
        <v>6855727</v>
      </c>
      <c r="BO871">
        <v>3.9999999105930328E-2</v>
      </c>
      <c r="BP871">
        <v>274300</v>
      </c>
      <c r="BQ871">
        <v>0</v>
      </c>
      <c r="BS871">
        <v>0</v>
      </c>
      <c r="BU871">
        <v>0</v>
      </c>
      <c r="BV871" t="s">
        <v>25</v>
      </c>
      <c r="BW871" t="s">
        <v>189</v>
      </c>
      <c r="BX871">
        <v>24</v>
      </c>
      <c r="BY871">
        <v>6855727</v>
      </c>
      <c r="BZ871">
        <v>5.2200001664459705E-3</v>
      </c>
      <c r="CA871" t="s">
        <v>1592</v>
      </c>
      <c r="CB871" t="s">
        <v>227</v>
      </c>
      <c r="CC871" t="s">
        <v>1593</v>
      </c>
      <c r="CD871">
        <v>35800</v>
      </c>
      <c r="CE871">
        <v>24</v>
      </c>
      <c r="CF871" t="s">
        <v>635</v>
      </c>
      <c r="CG871">
        <v>6855727</v>
      </c>
      <c r="CH871">
        <v>3.9999999105930328E-2</v>
      </c>
      <c r="CI871">
        <v>274300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 t="s">
        <v>88</v>
      </c>
      <c r="CT871" t="s">
        <v>142</v>
      </c>
      <c r="CU871" t="s">
        <v>1442</v>
      </c>
    </row>
    <row r="872" spans="1:99">
      <c r="A872" t="s">
        <v>3047</v>
      </c>
      <c r="B872" t="s">
        <v>34</v>
      </c>
      <c r="C872" t="s">
        <v>2111</v>
      </c>
      <c r="D872" t="s">
        <v>2112</v>
      </c>
      <c r="E872" t="s">
        <v>1776</v>
      </c>
      <c r="F872" t="s">
        <v>992</v>
      </c>
      <c r="G872" t="s">
        <v>1498</v>
      </c>
      <c r="H872" t="s">
        <v>1537</v>
      </c>
      <c r="I872" t="s">
        <v>240</v>
      </c>
      <c r="J872" t="s">
        <v>46</v>
      </c>
      <c r="K872" t="s">
        <v>29</v>
      </c>
      <c r="L872" t="s">
        <v>30</v>
      </c>
      <c r="M872">
        <v>180</v>
      </c>
      <c r="N872" t="s">
        <v>32</v>
      </c>
      <c r="O872" t="s">
        <v>32</v>
      </c>
      <c r="Q872" t="s">
        <v>32</v>
      </c>
      <c r="S872" t="s">
        <v>32</v>
      </c>
      <c r="U872" t="s">
        <v>32</v>
      </c>
      <c r="V872" t="s">
        <v>32</v>
      </c>
      <c r="W872" t="s">
        <v>32</v>
      </c>
      <c r="X872" t="s">
        <v>32</v>
      </c>
      <c r="Y872" t="s">
        <v>88</v>
      </c>
      <c r="Z872">
        <v>46054</v>
      </c>
      <c r="AA872" t="s">
        <v>88</v>
      </c>
      <c r="AB872" t="s">
        <v>32</v>
      </c>
      <c r="AE872" t="s">
        <v>32</v>
      </c>
      <c r="AH872" t="s">
        <v>32</v>
      </c>
      <c r="AK872" t="s">
        <v>32</v>
      </c>
      <c r="AN872" t="s">
        <v>32</v>
      </c>
      <c r="AO872" t="s">
        <v>32</v>
      </c>
      <c r="AR872">
        <v>0</v>
      </c>
      <c r="AU872" t="s">
        <v>32</v>
      </c>
      <c r="AV872">
        <v>4484143</v>
      </c>
      <c r="AW872" t="s">
        <v>32</v>
      </c>
      <c r="AX872" t="s">
        <v>32</v>
      </c>
      <c r="AY872" t="s">
        <v>317</v>
      </c>
      <c r="AZ872">
        <v>30</v>
      </c>
      <c r="BA872">
        <v>4493062</v>
      </c>
      <c r="BB872">
        <v>0.15999999642372131</v>
      </c>
      <c r="BC872">
        <v>718900</v>
      </c>
      <c r="BD872" t="s">
        <v>31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718900</v>
      </c>
      <c r="BK872" t="s">
        <v>25</v>
      </c>
      <c r="BL872" t="s">
        <v>870</v>
      </c>
      <c r="BM872">
        <v>30</v>
      </c>
      <c r="BN872">
        <v>4493062</v>
      </c>
      <c r="BO872">
        <v>3.9999999105930328E-2</v>
      </c>
      <c r="BP872">
        <v>179800</v>
      </c>
      <c r="BQ872">
        <v>0</v>
      </c>
      <c r="BS872">
        <v>0</v>
      </c>
      <c r="BU872">
        <v>0</v>
      </c>
      <c r="BV872" t="s">
        <v>25</v>
      </c>
      <c r="BW872" t="s">
        <v>189</v>
      </c>
      <c r="BX872">
        <v>30</v>
      </c>
      <c r="BY872">
        <v>4493062</v>
      </c>
      <c r="BZ872">
        <v>6.9600000977516174E-2</v>
      </c>
      <c r="CA872" t="s">
        <v>1439</v>
      </c>
      <c r="CB872" t="s">
        <v>227</v>
      </c>
      <c r="CC872" t="s">
        <v>1440</v>
      </c>
      <c r="CD872">
        <v>312800</v>
      </c>
      <c r="CE872">
        <v>30</v>
      </c>
      <c r="CF872" t="s">
        <v>635</v>
      </c>
      <c r="CG872">
        <v>4484143</v>
      </c>
      <c r="CH872">
        <v>3.9999999105930328E-2</v>
      </c>
      <c r="CI872">
        <v>179400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 t="s">
        <v>88</v>
      </c>
      <c r="CT872" t="s">
        <v>142</v>
      </c>
      <c r="CU872" t="s">
        <v>1442</v>
      </c>
    </row>
    <row r="873" spans="1:99">
      <c r="A873" t="s">
        <v>3047</v>
      </c>
      <c r="B873" t="s">
        <v>34</v>
      </c>
      <c r="C873" t="s">
        <v>2113</v>
      </c>
      <c r="D873" t="s">
        <v>2114</v>
      </c>
      <c r="E873" t="s">
        <v>2115</v>
      </c>
      <c r="F873" t="s">
        <v>2116</v>
      </c>
      <c r="G873" t="s">
        <v>2117</v>
      </c>
      <c r="H873" t="s">
        <v>2118</v>
      </c>
      <c r="I873" t="s">
        <v>240</v>
      </c>
      <c r="J873" t="s">
        <v>46</v>
      </c>
      <c r="K873" t="s">
        <v>29</v>
      </c>
      <c r="L873" t="s">
        <v>30</v>
      </c>
      <c r="M873">
        <v>0</v>
      </c>
      <c r="N873" t="s">
        <v>32</v>
      </c>
      <c r="O873" t="s">
        <v>32</v>
      </c>
      <c r="Q873" t="s">
        <v>32</v>
      </c>
      <c r="S873" t="s">
        <v>32</v>
      </c>
      <c r="U873" t="s">
        <v>32</v>
      </c>
      <c r="V873" t="s">
        <v>32</v>
      </c>
      <c r="W873" t="s">
        <v>32</v>
      </c>
      <c r="X873" t="s">
        <v>32</v>
      </c>
      <c r="Y873" t="s">
        <v>32</v>
      </c>
      <c r="AA873" t="s">
        <v>32</v>
      </c>
      <c r="AB873" t="s">
        <v>37</v>
      </c>
      <c r="AC873">
        <v>46054</v>
      </c>
      <c r="AD873">
        <v>46055</v>
      </c>
      <c r="AE873" t="s">
        <v>32</v>
      </c>
      <c r="AH873" t="s">
        <v>32</v>
      </c>
      <c r="AK873" t="s">
        <v>32</v>
      </c>
      <c r="AN873" t="s">
        <v>32</v>
      </c>
      <c r="AO873" t="s">
        <v>32</v>
      </c>
      <c r="AR873">
        <v>0</v>
      </c>
      <c r="AU873" t="s">
        <v>32</v>
      </c>
      <c r="AV873">
        <v>1750905</v>
      </c>
      <c r="AW873" t="s">
        <v>32</v>
      </c>
      <c r="AX873" t="s">
        <v>32</v>
      </c>
      <c r="AY873" t="s">
        <v>317</v>
      </c>
      <c r="AZ873">
        <v>2</v>
      </c>
      <c r="BA873">
        <v>116727</v>
      </c>
      <c r="BB873">
        <v>0.15999999642372131</v>
      </c>
      <c r="BC873">
        <v>18700</v>
      </c>
      <c r="BD873" t="s">
        <v>31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18700</v>
      </c>
      <c r="BK873" t="s">
        <v>25</v>
      </c>
      <c r="BL873" t="s">
        <v>1010</v>
      </c>
      <c r="BM873">
        <v>2</v>
      </c>
      <c r="BN873">
        <v>116727</v>
      </c>
      <c r="BO873">
        <v>0</v>
      </c>
      <c r="BP873">
        <v>0</v>
      </c>
      <c r="BQ873">
        <v>0</v>
      </c>
      <c r="BS873">
        <v>0</v>
      </c>
      <c r="BU873">
        <v>0</v>
      </c>
      <c r="BV873" t="s">
        <v>25</v>
      </c>
      <c r="BW873" t="s">
        <v>189</v>
      </c>
      <c r="BX873">
        <v>2</v>
      </c>
      <c r="BY873">
        <v>116727</v>
      </c>
      <c r="BZ873">
        <v>0</v>
      </c>
      <c r="CA873" t="s">
        <v>1439</v>
      </c>
      <c r="CB873" t="s">
        <v>227</v>
      </c>
      <c r="CC873" t="s">
        <v>1440</v>
      </c>
      <c r="CD873">
        <v>0</v>
      </c>
      <c r="CE873">
        <v>2</v>
      </c>
      <c r="CF873" t="s">
        <v>635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 t="s">
        <v>88</v>
      </c>
      <c r="CT873" t="s">
        <v>142</v>
      </c>
      <c r="CU873" t="s">
        <v>1442</v>
      </c>
    </row>
    <row r="874" spans="1:99">
      <c r="A874" t="s">
        <v>3047</v>
      </c>
      <c r="B874" t="s">
        <v>34</v>
      </c>
      <c r="C874" t="s">
        <v>2113</v>
      </c>
      <c r="D874" t="s">
        <v>2114</v>
      </c>
      <c r="E874" t="s">
        <v>2115</v>
      </c>
      <c r="F874" t="s">
        <v>2116</v>
      </c>
      <c r="G874" t="s">
        <v>2117</v>
      </c>
      <c r="H874" t="s">
        <v>2118</v>
      </c>
      <c r="I874" t="s">
        <v>240</v>
      </c>
      <c r="J874" t="s">
        <v>46</v>
      </c>
      <c r="K874" t="s">
        <v>29</v>
      </c>
      <c r="L874" t="s">
        <v>30</v>
      </c>
      <c r="M874">
        <v>0</v>
      </c>
      <c r="N874" t="s">
        <v>32</v>
      </c>
      <c r="O874" t="s">
        <v>32</v>
      </c>
      <c r="Q874" t="s">
        <v>32</v>
      </c>
      <c r="S874" t="s">
        <v>32</v>
      </c>
      <c r="U874" t="s">
        <v>32</v>
      </c>
      <c r="V874" t="s">
        <v>32</v>
      </c>
      <c r="W874" t="s">
        <v>32</v>
      </c>
      <c r="X874" t="s">
        <v>32</v>
      </c>
      <c r="Y874" t="s">
        <v>32</v>
      </c>
      <c r="AA874" t="s">
        <v>32</v>
      </c>
      <c r="AB874" t="s">
        <v>32</v>
      </c>
      <c r="AE874" t="s">
        <v>32</v>
      </c>
      <c r="AH874" t="s">
        <v>32</v>
      </c>
      <c r="AK874" t="s">
        <v>128</v>
      </c>
      <c r="AL874">
        <v>46055</v>
      </c>
      <c r="AM874">
        <v>46055</v>
      </c>
      <c r="AN874" t="s">
        <v>32</v>
      </c>
      <c r="AO874" t="s">
        <v>32</v>
      </c>
      <c r="AR874">
        <v>0</v>
      </c>
      <c r="AU874" t="s">
        <v>32</v>
      </c>
      <c r="AV874">
        <v>1750905</v>
      </c>
      <c r="AW874" t="s">
        <v>32</v>
      </c>
      <c r="AX874" t="s">
        <v>32</v>
      </c>
      <c r="AY874" t="s">
        <v>317</v>
      </c>
      <c r="AZ874">
        <v>1</v>
      </c>
      <c r="BA874">
        <v>58364</v>
      </c>
      <c r="BB874">
        <v>0.15999999642372131</v>
      </c>
      <c r="BC874">
        <v>9400</v>
      </c>
      <c r="BD874" t="s">
        <v>31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9400</v>
      </c>
      <c r="BK874" t="s">
        <v>25</v>
      </c>
      <c r="BL874" t="s">
        <v>1010</v>
      </c>
      <c r="BM874">
        <v>1</v>
      </c>
      <c r="BN874">
        <v>58364</v>
      </c>
      <c r="BO874">
        <v>3.9999999105930328E-2</v>
      </c>
      <c r="BP874">
        <v>2400</v>
      </c>
      <c r="BQ874">
        <v>0</v>
      </c>
      <c r="BS874">
        <v>0</v>
      </c>
      <c r="BU874">
        <v>0</v>
      </c>
      <c r="BV874" t="s">
        <v>25</v>
      </c>
      <c r="BW874" t="s">
        <v>189</v>
      </c>
      <c r="BX874">
        <v>1</v>
      </c>
      <c r="BY874">
        <v>58364</v>
      </c>
      <c r="BZ874">
        <v>0</v>
      </c>
      <c r="CA874" t="s">
        <v>1439</v>
      </c>
      <c r="CB874" t="s">
        <v>227</v>
      </c>
      <c r="CC874" t="s">
        <v>1440</v>
      </c>
      <c r="CD874">
        <v>0</v>
      </c>
      <c r="CE874">
        <v>1</v>
      </c>
      <c r="CF874" t="s">
        <v>635</v>
      </c>
      <c r="CG874">
        <v>58364</v>
      </c>
      <c r="CH874">
        <v>3.9999999105930328E-2</v>
      </c>
      <c r="CI874">
        <v>2400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 t="s">
        <v>88</v>
      </c>
      <c r="CT874" t="s">
        <v>142</v>
      </c>
      <c r="CU874" t="s">
        <v>1442</v>
      </c>
    </row>
    <row r="875" spans="1:99">
      <c r="A875" t="s">
        <v>3047</v>
      </c>
      <c r="B875" t="s">
        <v>34</v>
      </c>
      <c r="C875" t="s">
        <v>2113</v>
      </c>
      <c r="D875" t="s">
        <v>2114</v>
      </c>
      <c r="E875" t="s">
        <v>2115</v>
      </c>
      <c r="F875" t="s">
        <v>2116</v>
      </c>
      <c r="G875" t="s">
        <v>2117</v>
      </c>
      <c r="H875" t="s">
        <v>2118</v>
      </c>
      <c r="I875" t="s">
        <v>240</v>
      </c>
      <c r="J875" t="s">
        <v>46</v>
      </c>
      <c r="K875" t="s">
        <v>29</v>
      </c>
      <c r="L875" t="s">
        <v>30</v>
      </c>
      <c r="M875">
        <v>0</v>
      </c>
      <c r="N875" t="s">
        <v>32</v>
      </c>
      <c r="O875" t="s">
        <v>32</v>
      </c>
      <c r="Q875" t="s">
        <v>32</v>
      </c>
      <c r="S875" t="s">
        <v>32</v>
      </c>
      <c r="U875" t="s">
        <v>32</v>
      </c>
      <c r="V875" t="s">
        <v>32</v>
      </c>
      <c r="W875" t="s">
        <v>32</v>
      </c>
      <c r="X875" t="s">
        <v>32</v>
      </c>
      <c r="Y875" t="s">
        <v>32</v>
      </c>
      <c r="AA875" t="s">
        <v>32</v>
      </c>
      <c r="AB875" t="s">
        <v>32</v>
      </c>
      <c r="AE875" t="s">
        <v>1492</v>
      </c>
      <c r="AF875">
        <v>46057</v>
      </c>
      <c r="AG875">
        <v>46058</v>
      </c>
      <c r="AH875" t="s">
        <v>32</v>
      </c>
      <c r="AK875" t="s">
        <v>32</v>
      </c>
      <c r="AN875" t="s">
        <v>32</v>
      </c>
      <c r="AO875" t="s">
        <v>32</v>
      </c>
      <c r="AR875">
        <v>0</v>
      </c>
      <c r="AU875" t="s">
        <v>32</v>
      </c>
      <c r="AV875">
        <v>1750905</v>
      </c>
      <c r="AW875" t="s">
        <v>32</v>
      </c>
      <c r="AX875" t="s">
        <v>32</v>
      </c>
      <c r="AY875" t="s">
        <v>317</v>
      </c>
      <c r="AZ875">
        <v>2</v>
      </c>
      <c r="BA875">
        <v>122540</v>
      </c>
      <c r="BB875">
        <v>0.15999999642372131</v>
      </c>
      <c r="BC875">
        <v>19700</v>
      </c>
      <c r="BD875" t="s">
        <v>31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19700</v>
      </c>
      <c r="BK875" t="s">
        <v>25</v>
      </c>
      <c r="BL875" t="s">
        <v>1010</v>
      </c>
      <c r="BM875">
        <v>2</v>
      </c>
      <c r="BN875">
        <v>122540</v>
      </c>
      <c r="BO875">
        <v>3.9999999105930328E-2</v>
      </c>
      <c r="BP875">
        <v>5000</v>
      </c>
      <c r="BQ875">
        <v>0</v>
      </c>
      <c r="BS875">
        <v>0</v>
      </c>
      <c r="BU875">
        <v>0</v>
      </c>
      <c r="BV875" t="s">
        <v>25</v>
      </c>
      <c r="BW875" t="s">
        <v>189</v>
      </c>
      <c r="BX875">
        <v>2</v>
      </c>
      <c r="BY875">
        <v>122540</v>
      </c>
      <c r="BZ875">
        <v>0</v>
      </c>
      <c r="CA875" t="s">
        <v>1439</v>
      </c>
      <c r="CB875" t="s">
        <v>227</v>
      </c>
      <c r="CC875" t="s">
        <v>1440</v>
      </c>
      <c r="CD875">
        <v>0</v>
      </c>
      <c r="CE875">
        <v>2</v>
      </c>
      <c r="CF875" t="s">
        <v>635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 t="s">
        <v>88</v>
      </c>
      <c r="CT875" t="s">
        <v>142</v>
      </c>
      <c r="CU875" t="s">
        <v>1442</v>
      </c>
    </row>
    <row r="876" spans="1:99">
      <c r="A876" t="s">
        <v>3047</v>
      </c>
      <c r="B876" t="s">
        <v>34</v>
      </c>
      <c r="C876" t="s">
        <v>2113</v>
      </c>
      <c r="D876" t="s">
        <v>2114</v>
      </c>
      <c r="E876" t="s">
        <v>2115</v>
      </c>
      <c r="F876" t="s">
        <v>2116</v>
      </c>
      <c r="G876" t="s">
        <v>2117</v>
      </c>
      <c r="H876" t="s">
        <v>2118</v>
      </c>
      <c r="I876" t="s">
        <v>240</v>
      </c>
      <c r="J876" t="s">
        <v>46</v>
      </c>
      <c r="K876" t="s">
        <v>29</v>
      </c>
      <c r="L876" t="s">
        <v>30</v>
      </c>
      <c r="M876">
        <v>0</v>
      </c>
      <c r="N876" t="s">
        <v>32</v>
      </c>
      <c r="O876" t="s">
        <v>32</v>
      </c>
      <c r="Q876" t="s">
        <v>32</v>
      </c>
      <c r="S876" t="s">
        <v>32</v>
      </c>
      <c r="U876" t="s">
        <v>32</v>
      </c>
      <c r="V876" t="s">
        <v>32</v>
      </c>
      <c r="W876" t="s">
        <v>32</v>
      </c>
      <c r="X876" t="s">
        <v>32</v>
      </c>
      <c r="Y876" t="s">
        <v>32</v>
      </c>
      <c r="AA876" t="s">
        <v>32</v>
      </c>
      <c r="AB876" t="s">
        <v>37</v>
      </c>
      <c r="AC876">
        <v>46069</v>
      </c>
      <c r="AD876">
        <v>46069</v>
      </c>
      <c r="AE876" t="s">
        <v>32</v>
      </c>
      <c r="AH876" t="s">
        <v>32</v>
      </c>
      <c r="AK876" t="s">
        <v>32</v>
      </c>
      <c r="AN876" t="s">
        <v>32</v>
      </c>
      <c r="AO876" t="s">
        <v>32</v>
      </c>
      <c r="AR876">
        <v>0</v>
      </c>
      <c r="AU876" t="s">
        <v>32</v>
      </c>
      <c r="AV876">
        <v>1750905</v>
      </c>
      <c r="AW876" t="s">
        <v>32</v>
      </c>
      <c r="AX876" t="s">
        <v>32</v>
      </c>
      <c r="AY876" t="s">
        <v>317</v>
      </c>
      <c r="AZ876">
        <v>1</v>
      </c>
      <c r="BA876">
        <v>58364</v>
      </c>
      <c r="BB876">
        <v>0.15999999642372131</v>
      </c>
      <c r="BC876">
        <v>9400</v>
      </c>
      <c r="BD876" t="s">
        <v>31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9400</v>
      </c>
      <c r="BK876" t="s">
        <v>25</v>
      </c>
      <c r="BL876" t="s">
        <v>1010</v>
      </c>
      <c r="BM876">
        <v>1</v>
      </c>
      <c r="BN876">
        <v>58364</v>
      </c>
      <c r="BO876">
        <v>0</v>
      </c>
      <c r="BP876">
        <v>0</v>
      </c>
      <c r="BQ876">
        <v>0</v>
      </c>
      <c r="BS876">
        <v>0</v>
      </c>
      <c r="BU876">
        <v>0</v>
      </c>
      <c r="BV876" t="s">
        <v>25</v>
      </c>
      <c r="BW876" t="s">
        <v>189</v>
      </c>
      <c r="BX876">
        <v>1</v>
      </c>
      <c r="BY876">
        <v>58364</v>
      </c>
      <c r="BZ876">
        <v>0</v>
      </c>
      <c r="CA876" t="s">
        <v>1439</v>
      </c>
      <c r="CB876" t="s">
        <v>227</v>
      </c>
      <c r="CC876" t="s">
        <v>1440</v>
      </c>
      <c r="CD876">
        <v>0</v>
      </c>
      <c r="CE876">
        <v>1</v>
      </c>
      <c r="CF876" t="s">
        <v>635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 t="s">
        <v>88</v>
      </c>
      <c r="CT876" t="s">
        <v>142</v>
      </c>
      <c r="CU876" t="s">
        <v>1442</v>
      </c>
    </row>
    <row r="877" spans="1:99">
      <c r="A877" t="s">
        <v>3047</v>
      </c>
      <c r="B877" t="s">
        <v>34</v>
      </c>
      <c r="C877" t="s">
        <v>2113</v>
      </c>
      <c r="D877" t="s">
        <v>2114</v>
      </c>
      <c r="E877" t="s">
        <v>2115</v>
      </c>
      <c r="F877" t="s">
        <v>2116</v>
      </c>
      <c r="G877" t="s">
        <v>2117</v>
      </c>
      <c r="H877" t="s">
        <v>2118</v>
      </c>
      <c r="I877" t="s">
        <v>240</v>
      </c>
      <c r="J877" t="s">
        <v>46</v>
      </c>
      <c r="K877" t="s">
        <v>29</v>
      </c>
      <c r="L877" t="s">
        <v>30</v>
      </c>
      <c r="M877">
        <v>157</v>
      </c>
      <c r="N877" t="s">
        <v>32</v>
      </c>
      <c r="O877" t="s">
        <v>32</v>
      </c>
      <c r="Q877" t="s">
        <v>32</v>
      </c>
      <c r="S877" t="s">
        <v>32</v>
      </c>
      <c r="U877" t="s">
        <v>32</v>
      </c>
      <c r="V877" t="s">
        <v>32</v>
      </c>
      <c r="W877" t="s">
        <v>32</v>
      </c>
      <c r="X877" t="s">
        <v>32</v>
      </c>
      <c r="Y877" t="s">
        <v>32</v>
      </c>
      <c r="AA877" t="s">
        <v>88</v>
      </c>
      <c r="AB877" t="s">
        <v>32</v>
      </c>
      <c r="AE877" t="s">
        <v>32</v>
      </c>
      <c r="AH877" t="s">
        <v>32</v>
      </c>
      <c r="AK877" t="s">
        <v>32</v>
      </c>
      <c r="AN877" t="s">
        <v>32</v>
      </c>
      <c r="AO877" t="s">
        <v>32</v>
      </c>
      <c r="AR877">
        <v>0</v>
      </c>
      <c r="AU877" t="s">
        <v>32</v>
      </c>
      <c r="AV877">
        <v>1750905</v>
      </c>
      <c r="AW877" t="s">
        <v>32</v>
      </c>
      <c r="AX877" t="s">
        <v>32</v>
      </c>
      <c r="AY877" t="s">
        <v>317</v>
      </c>
      <c r="AZ877">
        <v>24</v>
      </c>
      <c r="BA877">
        <v>1749313</v>
      </c>
      <c r="BB877">
        <v>0.15999999642372131</v>
      </c>
      <c r="BC877">
        <v>279900</v>
      </c>
      <c r="BD877" t="s">
        <v>31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279900</v>
      </c>
      <c r="BK877" t="s">
        <v>25</v>
      </c>
      <c r="BL877" t="s">
        <v>1010</v>
      </c>
      <c r="BM877">
        <v>24</v>
      </c>
      <c r="BN877">
        <v>1749313</v>
      </c>
      <c r="BO877">
        <v>3.9999999105930328E-2</v>
      </c>
      <c r="BP877">
        <v>70000</v>
      </c>
      <c r="BQ877">
        <v>0</v>
      </c>
      <c r="BS877">
        <v>0</v>
      </c>
      <c r="BU877">
        <v>0</v>
      </c>
      <c r="BV877" t="s">
        <v>25</v>
      </c>
      <c r="BW877" t="s">
        <v>189</v>
      </c>
      <c r="BX877">
        <v>24</v>
      </c>
      <c r="BY877">
        <v>1749313</v>
      </c>
      <c r="BZ877">
        <v>6.9600000977516174E-2</v>
      </c>
      <c r="CA877" t="s">
        <v>1439</v>
      </c>
      <c r="CB877" t="s">
        <v>227</v>
      </c>
      <c r="CC877" t="s">
        <v>1440</v>
      </c>
      <c r="CD877">
        <v>121800</v>
      </c>
      <c r="CE877">
        <v>24</v>
      </c>
      <c r="CF877" t="s">
        <v>635</v>
      </c>
      <c r="CG877">
        <v>1749314</v>
      </c>
      <c r="CH877">
        <v>3.9999999105930328E-2</v>
      </c>
      <c r="CI877">
        <v>70000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 t="s">
        <v>88</v>
      </c>
      <c r="CT877" t="s">
        <v>142</v>
      </c>
      <c r="CU877" t="s">
        <v>1442</v>
      </c>
    </row>
    <row r="878" spans="1:99">
      <c r="A878" t="s">
        <v>3047</v>
      </c>
      <c r="B878" t="s">
        <v>34</v>
      </c>
      <c r="C878" t="s">
        <v>2119</v>
      </c>
      <c r="D878" t="s">
        <v>2120</v>
      </c>
      <c r="E878" t="s">
        <v>2121</v>
      </c>
      <c r="F878" t="s">
        <v>510</v>
      </c>
      <c r="G878" t="s">
        <v>1478</v>
      </c>
      <c r="H878" t="s">
        <v>1712</v>
      </c>
      <c r="I878" t="s">
        <v>240</v>
      </c>
      <c r="J878" t="s">
        <v>46</v>
      </c>
      <c r="K878" t="s">
        <v>29</v>
      </c>
      <c r="L878" t="s">
        <v>30</v>
      </c>
      <c r="M878">
        <v>191</v>
      </c>
      <c r="N878" t="s">
        <v>32</v>
      </c>
      <c r="O878" t="s">
        <v>32</v>
      </c>
      <c r="Q878" t="s">
        <v>40</v>
      </c>
      <c r="R878">
        <v>46057</v>
      </c>
      <c r="S878" t="s">
        <v>32</v>
      </c>
      <c r="U878" t="s">
        <v>32</v>
      </c>
      <c r="V878" t="s">
        <v>32</v>
      </c>
      <c r="W878" t="s">
        <v>32</v>
      </c>
      <c r="X878" t="s">
        <v>32</v>
      </c>
      <c r="Y878" t="s">
        <v>32</v>
      </c>
      <c r="AA878" t="s">
        <v>88</v>
      </c>
      <c r="AB878" t="s">
        <v>32</v>
      </c>
      <c r="AE878" t="s">
        <v>32</v>
      </c>
      <c r="AH878" t="s">
        <v>32</v>
      </c>
      <c r="AK878" t="s">
        <v>32</v>
      </c>
      <c r="AN878" t="s">
        <v>32</v>
      </c>
      <c r="AO878" t="s">
        <v>32</v>
      </c>
      <c r="AR878">
        <v>0</v>
      </c>
      <c r="AU878" t="s">
        <v>32</v>
      </c>
      <c r="AV878">
        <v>1750905</v>
      </c>
      <c r="AW878" t="s">
        <v>32</v>
      </c>
      <c r="AX878" t="s">
        <v>32</v>
      </c>
      <c r="AY878" t="s">
        <v>317</v>
      </c>
      <c r="AZ878">
        <v>27</v>
      </c>
      <c r="BA878">
        <v>2155604</v>
      </c>
      <c r="BB878">
        <v>0.15999999642372131</v>
      </c>
      <c r="BC878">
        <v>344900</v>
      </c>
      <c r="BD878" t="s">
        <v>31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344900</v>
      </c>
      <c r="BK878" t="s">
        <v>25</v>
      </c>
      <c r="BL878" t="s">
        <v>870</v>
      </c>
      <c r="BM878">
        <v>27</v>
      </c>
      <c r="BN878">
        <v>2155604</v>
      </c>
      <c r="BO878">
        <v>3.9999999105930328E-2</v>
      </c>
      <c r="BP878">
        <v>86300</v>
      </c>
      <c r="BQ878">
        <v>0</v>
      </c>
      <c r="BS878">
        <v>0</v>
      </c>
      <c r="BU878">
        <v>0</v>
      </c>
      <c r="BV878" t="s">
        <v>25</v>
      </c>
      <c r="BW878" t="s">
        <v>189</v>
      </c>
      <c r="BX878">
        <v>27</v>
      </c>
      <c r="BY878">
        <v>2155604</v>
      </c>
      <c r="BZ878">
        <v>6.9600000977516174E-2</v>
      </c>
      <c r="CA878" t="s">
        <v>1439</v>
      </c>
      <c r="CB878" t="s">
        <v>227</v>
      </c>
      <c r="CC878" t="s">
        <v>1440</v>
      </c>
      <c r="CD878">
        <v>150100</v>
      </c>
      <c r="CE878">
        <v>27</v>
      </c>
      <c r="CF878" t="s">
        <v>635</v>
      </c>
      <c r="CG878">
        <v>2155604</v>
      </c>
      <c r="CH878">
        <v>3.9999999105930328E-2</v>
      </c>
      <c r="CI878">
        <v>86300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 t="s">
        <v>88</v>
      </c>
      <c r="CT878" t="s">
        <v>142</v>
      </c>
      <c r="CU878" t="s">
        <v>1442</v>
      </c>
    </row>
    <row r="879" spans="1:99">
      <c r="A879" t="s">
        <v>3047</v>
      </c>
      <c r="B879" t="s">
        <v>34</v>
      </c>
      <c r="C879" t="s">
        <v>2122</v>
      </c>
      <c r="D879" t="s">
        <v>2123</v>
      </c>
      <c r="E879" t="s">
        <v>2124</v>
      </c>
      <c r="F879" t="s">
        <v>2125</v>
      </c>
      <c r="G879" t="s">
        <v>2126</v>
      </c>
      <c r="H879" t="s">
        <v>2127</v>
      </c>
      <c r="I879" t="s">
        <v>240</v>
      </c>
      <c r="J879" t="s">
        <v>46</v>
      </c>
      <c r="K879" t="s">
        <v>29</v>
      </c>
      <c r="L879" t="s">
        <v>30</v>
      </c>
      <c r="M879">
        <v>201</v>
      </c>
      <c r="N879" t="s">
        <v>32</v>
      </c>
      <c r="O879" t="s">
        <v>32</v>
      </c>
      <c r="Q879" t="s">
        <v>32</v>
      </c>
      <c r="S879" t="s">
        <v>32</v>
      </c>
      <c r="U879" t="s">
        <v>32</v>
      </c>
      <c r="V879" t="s">
        <v>32</v>
      </c>
      <c r="W879" t="s">
        <v>32</v>
      </c>
      <c r="X879" t="s">
        <v>32</v>
      </c>
      <c r="Y879" t="s">
        <v>88</v>
      </c>
      <c r="Z879">
        <v>46054</v>
      </c>
      <c r="AA879" t="s">
        <v>88</v>
      </c>
      <c r="AB879" t="s">
        <v>32</v>
      </c>
      <c r="AE879" t="s">
        <v>32</v>
      </c>
      <c r="AH879" t="s">
        <v>32</v>
      </c>
      <c r="AK879" t="s">
        <v>32</v>
      </c>
      <c r="AN879" t="s">
        <v>32</v>
      </c>
      <c r="AO879" t="s">
        <v>32</v>
      </c>
      <c r="AR879">
        <v>0</v>
      </c>
      <c r="AU879" t="s">
        <v>32</v>
      </c>
      <c r="AV879">
        <v>2102789</v>
      </c>
      <c r="AW879" t="s">
        <v>32</v>
      </c>
      <c r="AX879" t="s">
        <v>32</v>
      </c>
      <c r="AY879" t="s">
        <v>317</v>
      </c>
      <c r="AZ879">
        <v>30</v>
      </c>
      <c r="BA879">
        <v>2353691</v>
      </c>
      <c r="BB879">
        <v>0.15999999642372131</v>
      </c>
      <c r="BC879">
        <v>376600</v>
      </c>
      <c r="BD879" t="s">
        <v>31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376600</v>
      </c>
      <c r="BK879" t="s">
        <v>25</v>
      </c>
      <c r="BL879" t="s">
        <v>1010</v>
      </c>
      <c r="BM879">
        <v>30</v>
      </c>
      <c r="BN879">
        <v>2353691</v>
      </c>
      <c r="BO879">
        <v>3.9999999105930328E-2</v>
      </c>
      <c r="BP879">
        <v>94200</v>
      </c>
      <c r="BQ879">
        <v>0</v>
      </c>
      <c r="BS879">
        <v>0</v>
      </c>
      <c r="BU879">
        <v>0</v>
      </c>
      <c r="BV879" t="s">
        <v>25</v>
      </c>
      <c r="BW879" t="s">
        <v>189</v>
      </c>
      <c r="BX879">
        <v>30</v>
      </c>
      <c r="BY879">
        <v>2353691</v>
      </c>
      <c r="BZ879">
        <v>6.9600000977516174E-2</v>
      </c>
      <c r="CA879" t="s">
        <v>1439</v>
      </c>
      <c r="CB879" t="s">
        <v>227</v>
      </c>
      <c r="CC879" t="s">
        <v>1440</v>
      </c>
      <c r="CD879">
        <v>163900</v>
      </c>
      <c r="CE879">
        <v>30</v>
      </c>
      <c r="CF879" t="s">
        <v>635</v>
      </c>
      <c r="CG879">
        <v>2353691</v>
      </c>
      <c r="CH879">
        <v>3.9999999105930328E-2</v>
      </c>
      <c r="CI879">
        <v>94200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 t="s">
        <v>88</v>
      </c>
      <c r="CT879" t="s">
        <v>142</v>
      </c>
      <c r="CU879" t="s">
        <v>1442</v>
      </c>
    </row>
    <row r="880" spans="1:99">
      <c r="A880" t="s">
        <v>3047</v>
      </c>
      <c r="B880" t="s">
        <v>34</v>
      </c>
      <c r="C880" t="s">
        <v>2128</v>
      </c>
      <c r="D880" t="s">
        <v>2129</v>
      </c>
      <c r="E880" t="s">
        <v>2130</v>
      </c>
      <c r="F880" t="s">
        <v>2131</v>
      </c>
      <c r="G880" t="s">
        <v>2132</v>
      </c>
      <c r="H880" t="s">
        <v>2046</v>
      </c>
      <c r="I880" t="s">
        <v>240</v>
      </c>
      <c r="J880" t="s">
        <v>46</v>
      </c>
      <c r="K880" t="s">
        <v>29</v>
      </c>
      <c r="L880" t="s">
        <v>30</v>
      </c>
      <c r="M880">
        <v>180</v>
      </c>
      <c r="N880" t="s">
        <v>32</v>
      </c>
      <c r="O880" t="s">
        <v>32</v>
      </c>
      <c r="Q880" t="s">
        <v>32</v>
      </c>
      <c r="S880" t="s">
        <v>32</v>
      </c>
      <c r="U880" t="s">
        <v>32</v>
      </c>
      <c r="V880" t="s">
        <v>32</v>
      </c>
      <c r="W880" t="s">
        <v>32</v>
      </c>
      <c r="X880" t="s">
        <v>32</v>
      </c>
      <c r="Y880" t="s">
        <v>88</v>
      </c>
      <c r="Z880">
        <v>46054</v>
      </c>
      <c r="AA880" t="s">
        <v>88</v>
      </c>
      <c r="AB880" t="s">
        <v>32</v>
      </c>
      <c r="AE880" t="s">
        <v>32</v>
      </c>
      <c r="AH880" t="s">
        <v>32</v>
      </c>
      <c r="AK880" t="s">
        <v>32</v>
      </c>
      <c r="AN880" t="s">
        <v>32</v>
      </c>
      <c r="AO880" t="s">
        <v>32</v>
      </c>
      <c r="AR880">
        <v>0</v>
      </c>
      <c r="AU880" t="s">
        <v>32</v>
      </c>
      <c r="AV880">
        <v>5967083</v>
      </c>
      <c r="AW880" t="s">
        <v>32</v>
      </c>
      <c r="AX880" t="s">
        <v>32</v>
      </c>
      <c r="AY880" t="s">
        <v>317</v>
      </c>
      <c r="AZ880">
        <v>30</v>
      </c>
      <c r="BA880">
        <v>5967083</v>
      </c>
      <c r="BB880">
        <v>0.15999999642372131</v>
      </c>
      <c r="BC880">
        <v>954800</v>
      </c>
      <c r="BD880" t="s">
        <v>31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954800</v>
      </c>
      <c r="BK880" t="s">
        <v>25</v>
      </c>
      <c r="BL880" t="s">
        <v>1064</v>
      </c>
      <c r="BM880">
        <v>30</v>
      </c>
      <c r="BN880">
        <v>5967083</v>
      </c>
      <c r="BO880">
        <v>3.9999999105930328E-2</v>
      </c>
      <c r="BP880">
        <v>238700</v>
      </c>
      <c r="BQ880">
        <v>0</v>
      </c>
      <c r="BS880">
        <v>0</v>
      </c>
      <c r="BU880">
        <v>0</v>
      </c>
      <c r="BV880" t="s">
        <v>25</v>
      </c>
      <c r="BW880" t="s">
        <v>189</v>
      </c>
      <c r="BX880">
        <v>30</v>
      </c>
      <c r="BY880">
        <v>5967083</v>
      </c>
      <c r="BZ880">
        <v>6.9600000977516174E-2</v>
      </c>
      <c r="CA880" t="s">
        <v>1439</v>
      </c>
      <c r="CB880" t="s">
        <v>227</v>
      </c>
      <c r="CC880" t="s">
        <v>1440</v>
      </c>
      <c r="CD880">
        <v>415400</v>
      </c>
      <c r="CE880">
        <v>30</v>
      </c>
      <c r="CF880" t="s">
        <v>635</v>
      </c>
      <c r="CG880">
        <v>5967083</v>
      </c>
      <c r="CH880">
        <v>3.9999999105930328E-2</v>
      </c>
      <c r="CI880">
        <v>238700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 t="s">
        <v>88</v>
      </c>
      <c r="CT880" t="s">
        <v>142</v>
      </c>
      <c r="CU880" t="s">
        <v>1442</v>
      </c>
    </row>
    <row r="881" spans="1:99">
      <c r="A881" t="s">
        <v>3047</v>
      </c>
      <c r="B881" t="s">
        <v>34</v>
      </c>
      <c r="C881" t="s">
        <v>2133</v>
      </c>
      <c r="D881" t="s">
        <v>2134</v>
      </c>
      <c r="E881" t="s">
        <v>1648</v>
      </c>
      <c r="F881" t="s">
        <v>1920</v>
      </c>
      <c r="G881" t="s">
        <v>2135</v>
      </c>
      <c r="H881" t="s">
        <v>2136</v>
      </c>
      <c r="I881" t="s">
        <v>240</v>
      </c>
      <c r="J881" t="s">
        <v>46</v>
      </c>
      <c r="K881" t="s">
        <v>29</v>
      </c>
      <c r="L881" t="s">
        <v>30</v>
      </c>
      <c r="M881">
        <v>180</v>
      </c>
      <c r="N881" t="s">
        <v>32</v>
      </c>
      <c r="O881" t="s">
        <v>32</v>
      </c>
      <c r="Q881" t="s">
        <v>32</v>
      </c>
      <c r="S881" t="s">
        <v>32</v>
      </c>
      <c r="U881" t="s">
        <v>32</v>
      </c>
      <c r="V881" t="s">
        <v>32</v>
      </c>
      <c r="W881" t="s">
        <v>32</v>
      </c>
      <c r="X881" t="s">
        <v>32</v>
      </c>
      <c r="Y881" t="s">
        <v>32</v>
      </c>
      <c r="AA881" t="s">
        <v>88</v>
      </c>
      <c r="AB881" t="s">
        <v>32</v>
      </c>
      <c r="AE881" t="s">
        <v>32</v>
      </c>
      <c r="AH881" t="s">
        <v>32</v>
      </c>
      <c r="AK881" t="s">
        <v>32</v>
      </c>
      <c r="AN881" t="s">
        <v>32</v>
      </c>
      <c r="AO881" t="s">
        <v>32</v>
      </c>
      <c r="AR881">
        <v>0</v>
      </c>
      <c r="AU881" t="s">
        <v>32</v>
      </c>
      <c r="AV881">
        <v>4151984</v>
      </c>
      <c r="AW881" t="s">
        <v>32</v>
      </c>
      <c r="AX881" t="s">
        <v>88</v>
      </c>
      <c r="AY881" t="s">
        <v>356</v>
      </c>
      <c r="AZ881">
        <v>30</v>
      </c>
      <c r="BA881">
        <v>4151984</v>
      </c>
      <c r="BB881">
        <v>0.15999999642372131</v>
      </c>
      <c r="BC881">
        <v>664400</v>
      </c>
      <c r="BD881" t="s">
        <v>31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664400</v>
      </c>
      <c r="BK881" t="s">
        <v>25</v>
      </c>
      <c r="BL881" t="s">
        <v>885</v>
      </c>
      <c r="BM881">
        <v>30</v>
      </c>
      <c r="BN881">
        <v>4151984</v>
      </c>
      <c r="BO881">
        <v>3.9999999105930328E-2</v>
      </c>
      <c r="BP881">
        <v>166100</v>
      </c>
      <c r="BQ881">
        <v>0</v>
      </c>
      <c r="BS881">
        <v>0</v>
      </c>
      <c r="BU881">
        <v>0</v>
      </c>
      <c r="BV881" t="s">
        <v>25</v>
      </c>
      <c r="BW881" t="s">
        <v>189</v>
      </c>
      <c r="BX881">
        <v>30</v>
      </c>
      <c r="BY881">
        <v>4151984</v>
      </c>
      <c r="BZ881">
        <v>6.9600000977516174E-2</v>
      </c>
      <c r="CA881" t="s">
        <v>1439</v>
      </c>
      <c r="CB881" t="s">
        <v>227</v>
      </c>
      <c r="CC881" t="s">
        <v>1440</v>
      </c>
      <c r="CD881">
        <v>289000</v>
      </c>
      <c r="CE881">
        <v>30</v>
      </c>
      <c r="CF881" t="s">
        <v>635</v>
      </c>
      <c r="CG881">
        <v>4151984</v>
      </c>
      <c r="CH881">
        <v>3.9999999105930328E-2</v>
      </c>
      <c r="CI881">
        <v>166100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 t="s">
        <v>88</v>
      </c>
      <c r="CT881" t="s">
        <v>142</v>
      </c>
      <c r="CU881" t="s">
        <v>1442</v>
      </c>
    </row>
    <row r="882" spans="1:99">
      <c r="A882" t="s">
        <v>3047</v>
      </c>
      <c r="B882" t="s">
        <v>34</v>
      </c>
      <c r="C882" t="s">
        <v>2137</v>
      </c>
      <c r="D882" t="s">
        <v>2138</v>
      </c>
      <c r="E882" t="s">
        <v>2139</v>
      </c>
      <c r="F882" t="s">
        <v>1920</v>
      </c>
      <c r="G882" t="s">
        <v>1806</v>
      </c>
      <c r="H882" t="s">
        <v>1584</v>
      </c>
      <c r="I882" t="s">
        <v>240</v>
      </c>
      <c r="J882" t="s">
        <v>46</v>
      </c>
      <c r="K882" t="s">
        <v>29</v>
      </c>
      <c r="L882" t="s">
        <v>30</v>
      </c>
      <c r="M882">
        <v>193</v>
      </c>
      <c r="N882" t="s">
        <v>32</v>
      </c>
      <c r="O882" t="s">
        <v>32</v>
      </c>
      <c r="Q882" t="s">
        <v>32</v>
      </c>
      <c r="S882" t="s">
        <v>32</v>
      </c>
      <c r="U882" t="s">
        <v>32</v>
      </c>
      <c r="V882" t="s">
        <v>32</v>
      </c>
      <c r="W882" t="s">
        <v>32</v>
      </c>
      <c r="X882" t="s">
        <v>32</v>
      </c>
      <c r="Y882" t="s">
        <v>32</v>
      </c>
      <c r="AA882" t="s">
        <v>88</v>
      </c>
      <c r="AB882" t="s">
        <v>32</v>
      </c>
      <c r="AE882" t="s">
        <v>32</v>
      </c>
      <c r="AH882" t="s">
        <v>32</v>
      </c>
      <c r="AK882" t="s">
        <v>32</v>
      </c>
      <c r="AN882" t="s">
        <v>32</v>
      </c>
      <c r="AO882" t="s">
        <v>32</v>
      </c>
      <c r="AR882">
        <v>0</v>
      </c>
      <c r="AU882" t="s">
        <v>32</v>
      </c>
      <c r="AV882">
        <v>3534205</v>
      </c>
      <c r="AW882" t="s">
        <v>32</v>
      </c>
      <c r="AX882" t="s">
        <v>32</v>
      </c>
      <c r="AY882" t="s">
        <v>317</v>
      </c>
      <c r="AZ882">
        <v>30</v>
      </c>
      <c r="BA882">
        <v>3679590</v>
      </c>
      <c r="BB882">
        <v>0.15999999642372131</v>
      </c>
      <c r="BC882">
        <v>588800</v>
      </c>
      <c r="BD882" t="s">
        <v>31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588800</v>
      </c>
      <c r="BK882" t="s">
        <v>25</v>
      </c>
      <c r="BL882" t="s">
        <v>1010</v>
      </c>
      <c r="BM882">
        <v>30</v>
      </c>
      <c r="BN882">
        <v>3679590</v>
      </c>
      <c r="BO882">
        <v>3.9999999105930328E-2</v>
      </c>
      <c r="BP882">
        <v>147200</v>
      </c>
      <c r="BQ882">
        <v>0</v>
      </c>
      <c r="BS882">
        <v>0</v>
      </c>
      <c r="BU882">
        <v>0</v>
      </c>
      <c r="BV882" t="s">
        <v>25</v>
      </c>
      <c r="BW882" t="s">
        <v>189</v>
      </c>
      <c r="BX882">
        <v>30</v>
      </c>
      <c r="BY882">
        <v>3679590</v>
      </c>
      <c r="BZ882">
        <v>6.9600000977516174E-2</v>
      </c>
      <c r="CA882" t="s">
        <v>1439</v>
      </c>
      <c r="CB882" t="s">
        <v>227</v>
      </c>
      <c r="CC882" t="s">
        <v>1440</v>
      </c>
      <c r="CD882">
        <v>256100</v>
      </c>
      <c r="CE882">
        <v>30</v>
      </c>
      <c r="CF882" t="s">
        <v>635</v>
      </c>
      <c r="CG882">
        <v>3679590</v>
      </c>
      <c r="CH882">
        <v>3.9999999105930328E-2</v>
      </c>
      <c r="CI882">
        <v>147200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 t="s">
        <v>88</v>
      </c>
      <c r="CT882" t="s">
        <v>142</v>
      </c>
      <c r="CU882" t="s">
        <v>1442</v>
      </c>
    </row>
    <row r="883" spans="1:99">
      <c r="A883" t="s">
        <v>3047</v>
      </c>
      <c r="B883" t="s">
        <v>34</v>
      </c>
      <c r="C883" t="s">
        <v>2140</v>
      </c>
      <c r="D883" t="s">
        <v>2141</v>
      </c>
      <c r="E883" t="s">
        <v>1551</v>
      </c>
      <c r="F883" t="s">
        <v>2142</v>
      </c>
      <c r="G883" t="s">
        <v>2143</v>
      </c>
      <c r="H883" t="s">
        <v>2144</v>
      </c>
      <c r="I883" t="s">
        <v>240</v>
      </c>
      <c r="J883" t="s">
        <v>46</v>
      </c>
      <c r="K883" t="s">
        <v>29</v>
      </c>
      <c r="L883" t="s">
        <v>30</v>
      </c>
      <c r="M883">
        <v>0</v>
      </c>
      <c r="N883" t="s">
        <v>32</v>
      </c>
      <c r="O883" t="s">
        <v>32</v>
      </c>
      <c r="Q883" t="s">
        <v>32</v>
      </c>
      <c r="S883" t="s">
        <v>32</v>
      </c>
      <c r="U883" t="s">
        <v>32</v>
      </c>
      <c r="V883" t="s">
        <v>32</v>
      </c>
      <c r="W883" t="s">
        <v>32</v>
      </c>
      <c r="X883" t="s">
        <v>32</v>
      </c>
      <c r="Y883" t="s">
        <v>32</v>
      </c>
      <c r="AA883" t="s">
        <v>32</v>
      </c>
      <c r="AB883" t="s">
        <v>32</v>
      </c>
      <c r="AE883" t="s">
        <v>32</v>
      </c>
      <c r="AH883" t="s">
        <v>32</v>
      </c>
      <c r="AK883" t="s">
        <v>128</v>
      </c>
      <c r="AL883">
        <v>46069</v>
      </c>
      <c r="AM883">
        <v>46074</v>
      </c>
      <c r="AN883" t="s">
        <v>32</v>
      </c>
      <c r="AO883" t="s">
        <v>32</v>
      </c>
      <c r="AR883">
        <v>0</v>
      </c>
      <c r="AU883" t="s">
        <v>32</v>
      </c>
      <c r="AV883">
        <v>4484143</v>
      </c>
      <c r="AW883" t="s">
        <v>32</v>
      </c>
      <c r="AX883" t="s">
        <v>32</v>
      </c>
      <c r="AY883" t="s">
        <v>317</v>
      </c>
      <c r="AZ883">
        <v>6</v>
      </c>
      <c r="BA883">
        <v>896829</v>
      </c>
      <c r="BB883">
        <v>0.15999999642372131</v>
      </c>
      <c r="BC883">
        <v>143500</v>
      </c>
      <c r="BD883" t="s">
        <v>31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143500</v>
      </c>
      <c r="BK883" t="s">
        <v>25</v>
      </c>
      <c r="BL883" t="s">
        <v>1064</v>
      </c>
      <c r="BM883">
        <v>6</v>
      </c>
      <c r="BN883">
        <v>896829</v>
      </c>
      <c r="BO883">
        <v>3.9999999105930328E-2</v>
      </c>
      <c r="BP883">
        <v>35900</v>
      </c>
      <c r="BQ883">
        <v>0</v>
      </c>
      <c r="BS883">
        <v>0</v>
      </c>
      <c r="BU883">
        <v>0</v>
      </c>
      <c r="BV883" t="s">
        <v>25</v>
      </c>
      <c r="BW883" t="s">
        <v>189</v>
      </c>
      <c r="BX883">
        <v>6</v>
      </c>
      <c r="BY883">
        <v>896829</v>
      </c>
      <c r="BZ883">
        <v>0</v>
      </c>
      <c r="CA883" t="s">
        <v>1439</v>
      </c>
      <c r="CB883" t="s">
        <v>227</v>
      </c>
      <c r="CC883" t="s">
        <v>1440</v>
      </c>
      <c r="CD883">
        <v>0</v>
      </c>
      <c r="CE883">
        <v>6</v>
      </c>
      <c r="CF883" t="s">
        <v>635</v>
      </c>
      <c r="CG883">
        <v>896829</v>
      </c>
      <c r="CH883">
        <v>3.9999999105930328E-2</v>
      </c>
      <c r="CI883">
        <v>35900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 t="s">
        <v>88</v>
      </c>
      <c r="CT883" t="s">
        <v>142</v>
      </c>
      <c r="CU883" t="s">
        <v>1442</v>
      </c>
    </row>
    <row r="884" spans="1:99">
      <c r="A884" t="s">
        <v>3047</v>
      </c>
      <c r="B884" t="s">
        <v>34</v>
      </c>
      <c r="C884" t="s">
        <v>2140</v>
      </c>
      <c r="D884" t="s">
        <v>2141</v>
      </c>
      <c r="E884" t="s">
        <v>1551</v>
      </c>
      <c r="F884" t="s">
        <v>2142</v>
      </c>
      <c r="G884" t="s">
        <v>2143</v>
      </c>
      <c r="H884" t="s">
        <v>2144</v>
      </c>
      <c r="I884" t="s">
        <v>240</v>
      </c>
      <c r="J884" t="s">
        <v>46</v>
      </c>
      <c r="K884" t="s">
        <v>29</v>
      </c>
      <c r="L884" t="s">
        <v>30</v>
      </c>
      <c r="M884">
        <v>117</v>
      </c>
      <c r="N884" t="s">
        <v>32</v>
      </c>
      <c r="O884" t="s">
        <v>32</v>
      </c>
      <c r="Q884" t="s">
        <v>32</v>
      </c>
      <c r="S884" t="s">
        <v>40</v>
      </c>
      <c r="T884">
        <v>46078</v>
      </c>
      <c r="U884" t="s">
        <v>32</v>
      </c>
      <c r="V884" t="s">
        <v>32</v>
      </c>
      <c r="W884" t="s">
        <v>32</v>
      </c>
      <c r="X884" t="s">
        <v>32</v>
      </c>
      <c r="Y884" t="s">
        <v>88</v>
      </c>
      <c r="Z884">
        <v>46054</v>
      </c>
      <c r="AA884" t="s">
        <v>88</v>
      </c>
      <c r="AB884" t="s">
        <v>32</v>
      </c>
      <c r="AE884" t="s">
        <v>32</v>
      </c>
      <c r="AH884" t="s">
        <v>32</v>
      </c>
      <c r="AK884" t="s">
        <v>32</v>
      </c>
      <c r="AN884" t="s">
        <v>32</v>
      </c>
      <c r="AO884" t="s">
        <v>32</v>
      </c>
      <c r="AR884">
        <v>0</v>
      </c>
      <c r="AU884" t="s">
        <v>32</v>
      </c>
      <c r="AV884">
        <v>4484143</v>
      </c>
      <c r="AW884" t="s">
        <v>32</v>
      </c>
      <c r="AX884" t="s">
        <v>32</v>
      </c>
      <c r="AY884" t="s">
        <v>317</v>
      </c>
      <c r="AZ884">
        <v>19</v>
      </c>
      <c r="BA884">
        <v>3022149</v>
      </c>
      <c r="BB884">
        <v>0.15999999642372131</v>
      </c>
      <c r="BC884">
        <v>483600</v>
      </c>
      <c r="BD884" t="s">
        <v>31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483600</v>
      </c>
      <c r="BK884" t="s">
        <v>25</v>
      </c>
      <c r="BL884" t="s">
        <v>1064</v>
      </c>
      <c r="BM884">
        <v>19</v>
      </c>
      <c r="BN884">
        <v>3022149</v>
      </c>
      <c r="BO884">
        <v>3.9999999105930328E-2</v>
      </c>
      <c r="BP884">
        <v>120900</v>
      </c>
      <c r="BQ884">
        <v>0</v>
      </c>
      <c r="BS884">
        <v>0</v>
      </c>
      <c r="BU884">
        <v>0</v>
      </c>
      <c r="BV884" t="s">
        <v>25</v>
      </c>
      <c r="BW884" t="s">
        <v>189</v>
      </c>
      <c r="BX884">
        <v>19</v>
      </c>
      <c r="BY884">
        <v>3022149</v>
      </c>
      <c r="BZ884">
        <v>6.9600000977516174E-2</v>
      </c>
      <c r="CA884" t="s">
        <v>1439</v>
      </c>
      <c r="CB884" t="s">
        <v>227</v>
      </c>
      <c r="CC884" t="s">
        <v>1440</v>
      </c>
      <c r="CD884">
        <v>210400</v>
      </c>
      <c r="CE884">
        <v>19</v>
      </c>
      <c r="CF884" t="s">
        <v>635</v>
      </c>
      <c r="CG884">
        <v>3786111</v>
      </c>
      <c r="CH884">
        <v>3.9999999105930328E-2</v>
      </c>
      <c r="CI884">
        <v>151500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 t="s">
        <v>88</v>
      </c>
      <c r="CT884" t="s">
        <v>142</v>
      </c>
      <c r="CU884" t="s">
        <v>1442</v>
      </c>
    </row>
    <row r="885" spans="1:99">
      <c r="A885" t="s">
        <v>3047</v>
      </c>
      <c r="B885" t="s">
        <v>34</v>
      </c>
      <c r="C885" t="s">
        <v>2145</v>
      </c>
      <c r="D885" t="s">
        <v>2146</v>
      </c>
      <c r="E885" t="s">
        <v>1601</v>
      </c>
      <c r="F885" t="s">
        <v>2147</v>
      </c>
      <c r="G885" t="s">
        <v>2148</v>
      </c>
      <c r="H885" t="s">
        <v>1558</v>
      </c>
      <c r="I885" t="s">
        <v>240</v>
      </c>
      <c r="J885" t="s">
        <v>46</v>
      </c>
      <c r="K885" t="s">
        <v>29</v>
      </c>
      <c r="L885" t="s">
        <v>30</v>
      </c>
      <c r="M885">
        <v>20</v>
      </c>
      <c r="N885" t="s">
        <v>32</v>
      </c>
      <c r="O885" t="s">
        <v>32</v>
      </c>
      <c r="Q885" t="s">
        <v>32</v>
      </c>
      <c r="S885" t="s">
        <v>40</v>
      </c>
      <c r="T885">
        <v>46055</v>
      </c>
      <c r="U885" t="s">
        <v>32</v>
      </c>
      <c r="V885" t="s">
        <v>32</v>
      </c>
      <c r="W885" t="s">
        <v>32</v>
      </c>
      <c r="X885" t="s">
        <v>32</v>
      </c>
      <c r="Y885" t="s">
        <v>32</v>
      </c>
      <c r="AA885" t="s">
        <v>88</v>
      </c>
      <c r="AB885" t="s">
        <v>32</v>
      </c>
      <c r="AE885" t="s">
        <v>32</v>
      </c>
      <c r="AH885" t="s">
        <v>32</v>
      </c>
      <c r="AK885" t="s">
        <v>32</v>
      </c>
      <c r="AN885" t="s">
        <v>32</v>
      </c>
      <c r="AO885" t="s">
        <v>32</v>
      </c>
      <c r="AR885">
        <v>0</v>
      </c>
      <c r="AU885" t="s">
        <v>32</v>
      </c>
      <c r="AV885">
        <v>1956650</v>
      </c>
      <c r="AW885" t="s">
        <v>32</v>
      </c>
      <c r="AX885" t="s">
        <v>32</v>
      </c>
      <c r="AY885" t="s">
        <v>317</v>
      </c>
      <c r="AZ885">
        <v>2</v>
      </c>
      <c r="BA885">
        <v>399183</v>
      </c>
      <c r="BB885">
        <v>0.15999999642372131</v>
      </c>
      <c r="BC885">
        <v>63900</v>
      </c>
      <c r="BD885" t="s">
        <v>31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63900</v>
      </c>
      <c r="BK885" t="s">
        <v>25</v>
      </c>
      <c r="BL885" t="s">
        <v>885</v>
      </c>
      <c r="BM885">
        <v>2</v>
      </c>
      <c r="BN885">
        <v>399183</v>
      </c>
      <c r="BO885">
        <v>3.9999999105930328E-2</v>
      </c>
      <c r="BP885">
        <v>16000</v>
      </c>
      <c r="BQ885">
        <v>0</v>
      </c>
      <c r="BS885">
        <v>0</v>
      </c>
      <c r="BU885">
        <v>0</v>
      </c>
      <c r="BV885" t="s">
        <v>25</v>
      </c>
      <c r="BW885" t="s">
        <v>189</v>
      </c>
      <c r="BX885">
        <v>2</v>
      </c>
      <c r="BY885">
        <v>399183</v>
      </c>
      <c r="BZ885">
        <v>6.9600000977516174E-2</v>
      </c>
      <c r="CA885" t="s">
        <v>1439</v>
      </c>
      <c r="CB885" t="s">
        <v>227</v>
      </c>
      <c r="CC885" t="s">
        <v>1440</v>
      </c>
      <c r="CD885">
        <v>27800</v>
      </c>
      <c r="CE885">
        <v>2</v>
      </c>
      <c r="CF885" t="s">
        <v>635</v>
      </c>
      <c r="CG885">
        <v>545054</v>
      </c>
      <c r="CH885">
        <v>3.9999999105930328E-2</v>
      </c>
      <c r="CI885">
        <v>21900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 t="s">
        <v>88</v>
      </c>
      <c r="CT885" t="s">
        <v>142</v>
      </c>
      <c r="CU885" t="s">
        <v>1442</v>
      </c>
    </row>
    <row r="886" spans="1:99">
      <c r="A886" t="s">
        <v>3047</v>
      </c>
      <c r="B886" t="s">
        <v>34</v>
      </c>
      <c r="C886" t="s">
        <v>2149</v>
      </c>
      <c r="D886" t="s">
        <v>2150</v>
      </c>
      <c r="E886" t="s">
        <v>2151</v>
      </c>
      <c r="F886" t="s">
        <v>1566</v>
      </c>
      <c r="G886" t="s">
        <v>1761</v>
      </c>
      <c r="H886" t="s">
        <v>1558</v>
      </c>
      <c r="I886" t="s">
        <v>682</v>
      </c>
      <c r="J886" t="s">
        <v>484</v>
      </c>
      <c r="K886" t="s">
        <v>29</v>
      </c>
      <c r="L886" t="s">
        <v>30</v>
      </c>
      <c r="M886">
        <v>0</v>
      </c>
      <c r="N886" t="s">
        <v>32</v>
      </c>
      <c r="O886" t="s">
        <v>32</v>
      </c>
      <c r="Q886" t="s">
        <v>32</v>
      </c>
      <c r="S886" t="s">
        <v>32</v>
      </c>
      <c r="U886" t="s">
        <v>32</v>
      </c>
      <c r="V886" t="s">
        <v>32</v>
      </c>
      <c r="W886" t="s">
        <v>32</v>
      </c>
      <c r="X886" t="s">
        <v>32</v>
      </c>
      <c r="Y886" t="s">
        <v>32</v>
      </c>
      <c r="AA886" t="s">
        <v>32</v>
      </c>
      <c r="AB886" t="s">
        <v>32</v>
      </c>
      <c r="AE886" t="s">
        <v>32</v>
      </c>
      <c r="AH886" t="s">
        <v>32</v>
      </c>
      <c r="AK886" t="s">
        <v>128</v>
      </c>
      <c r="AL886">
        <v>46058</v>
      </c>
      <c r="AM886">
        <v>46062</v>
      </c>
      <c r="AN886" t="s">
        <v>32</v>
      </c>
      <c r="AO886" t="s">
        <v>32</v>
      </c>
      <c r="AR886">
        <v>0</v>
      </c>
      <c r="AU886" t="s">
        <v>32</v>
      </c>
      <c r="AV886">
        <v>2074908</v>
      </c>
      <c r="AW886" t="s">
        <v>32</v>
      </c>
      <c r="AX886" t="s">
        <v>32</v>
      </c>
      <c r="AY886" t="s">
        <v>317</v>
      </c>
      <c r="AZ886">
        <v>5</v>
      </c>
      <c r="BA886">
        <v>345818</v>
      </c>
      <c r="BB886">
        <v>0.15999999642372131</v>
      </c>
      <c r="BC886">
        <v>55400</v>
      </c>
      <c r="BD886" t="s">
        <v>31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55400</v>
      </c>
      <c r="BK886" t="s">
        <v>25</v>
      </c>
      <c r="BL886" t="s">
        <v>1010</v>
      </c>
      <c r="BM886">
        <v>5</v>
      </c>
      <c r="BN886">
        <v>345818</v>
      </c>
      <c r="BO886">
        <v>3.9999999105930328E-2</v>
      </c>
      <c r="BP886">
        <v>13900</v>
      </c>
      <c r="BQ886">
        <v>0</v>
      </c>
      <c r="BS886">
        <v>0</v>
      </c>
      <c r="BU886">
        <v>0</v>
      </c>
      <c r="BV886" t="s">
        <v>25</v>
      </c>
      <c r="BW886" t="s">
        <v>189</v>
      </c>
      <c r="BX886">
        <v>5</v>
      </c>
      <c r="BY886">
        <v>345818</v>
      </c>
      <c r="BZ886">
        <v>0</v>
      </c>
      <c r="CA886" t="s">
        <v>1439</v>
      </c>
      <c r="CB886" t="s">
        <v>312</v>
      </c>
      <c r="CC886" t="s">
        <v>1440</v>
      </c>
      <c r="CD886">
        <v>0</v>
      </c>
      <c r="CE886">
        <v>5</v>
      </c>
      <c r="CF886" t="s">
        <v>466</v>
      </c>
      <c r="CG886">
        <v>345818</v>
      </c>
      <c r="CH886">
        <v>3.9999999105930328E-2</v>
      </c>
      <c r="CI886">
        <v>13900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 t="s">
        <v>88</v>
      </c>
      <c r="CT886" t="s">
        <v>142</v>
      </c>
      <c r="CU886" t="s">
        <v>1442</v>
      </c>
    </row>
    <row r="887" spans="1:99">
      <c r="A887" t="s">
        <v>3047</v>
      </c>
      <c r="B887" t="s">
        <v>34</v>
      </c>
      <c r="C887" t="s">
        <v>2149</v>
      </c>
      <c r="D887" t="s">
        <v>2150</v>
      </c>
      <c r="E887" t="s">
        <v>2151</v>
      </c>
      <c r="F887" t="s">
        <v>1566</v>
      </c>
      <c r="G887" t="s">
        <v>1761</v>
      </c>
      <c r="H887" t="s">
        <v>1558</v>
      </c>
      <c r="I887" t="s">
        <v>682</v>
      </c>
      <c r="J887" t="s">
        <v>484</v>
      </c>
      <c r="K887" t="s">
        <v>29</v>
      </c>
      <c r="L887" t="s">
        <v>30</v>
      </c>
      <c r="M887">
        <v>170</v>
      </c>
      <c r="N887" t="s">
        <v>32</v>
      </c>
      <c r="O887" t="s">
        <v>32</v>
      </c>
      <c r="Q887" t="s">
        <v>32</v>
      </c>
      <c r="S887" t="s">
        <v>32</v>
      </c>
      <c r="U887" t="s">
        <v>32</v>
      </c>
      <c r="V887" t="s">
        <v>32</v>
      </c>
      <c r="W887" t="s">
        <v>32</v>
      </c>
      <c r="X887" t="s">
        <v>32</v>
      </c>
      <c r="Y887" t="s">
        <v>32</v>
      </c>
      <c r="AA887" t="s">
        <v>88</v>
      </c>
      <c r="AB887" t="s">
        <v>32</v>
      </c>
      <c r="AE887" t="s">
        <v>32</v>
      </c>
      <c r="AH887" t="s">
        <v>32</v>
      </c>
      <c r="AK887" t="s">
        <v>32</v>
      </c>
      <c r="AN887" t="s">
        <v>32</v>
      </c>
      <c r="AO887" t="s">
        <v>32</v>
      </c>
      <c r="AR887">
        <v>0</v>
      </c>
      <c r="AU887" t="s">
        <v>32</v>
      </c>
      <c r="AV887">
        <v>2074908</v>
      </c>
      <c r="AW887" t="s">
        <v>32</v>
      </c>
      <c r="AX887" t="s">
        <v>32</v>
      </c>
      <c r="AY887" t="s">
        <v>317</v>
      </c>
      <c r="AZ887">
        <v>25</v>
      </c>
      <c r="BA887">
        <v>1971005</v>
      </c>
      <c r="BB887">
        <v>0.15999999642372131</v>
      </c>
      <c r="BC887">
        <v>315400</v>
      </c>
      <c r="BD887" t="s">
        <v>31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315400</v>
      </c>
      <c r="BK887" t="s">
        <v>25</v>
      </c>
      <c r="BL887" t="s">
        <v>1010</v>
      </c>
      <c r="BM887">
        <v>25</v>
      </c>
      <c r="BN887">
        <v>1971005</v>
      </c>
      <c r="BO887">
        <v>3.9999999105930328E-2</v>
      </c>
      <c r="BP887">
        <v>78900</v>
      </c>
      <c r="BQ887">
        <v>0</v>
      </c>
      <c r="BS887">
        <v>0</v>
      </c>
      <c r="BU887">
        <v>0</v>
      </c>
      <c r="BV887" t="s">
        <v>25</v>
      </c>
      <c r="BW887" t="s">
        <v>189</v>
      </c>
      <c r="BX887">
        <v>25</v>
      </c>
      <c r="BY887">
        <v>1971005</v>
      </c>
      <c r="BZ887">
        <v>6.9600000977516174E-2</v>
      </c>
      <c r="CA887" t="s">
        <v>1439</v>
      </c>
      <c r="CB887" t="s">
        <v>312</v>
      </c>
      <c r="CC887" t="s">
        <v>1440</v>
      </c>
      <c r="CD887">
        <v>137200</v>
      </c>
      <c r="CE887">
        <v>25</v>
      </c>
      <c r="CF887" t="s">
        <v>466</v>
      </c>
      <c r="CG887">
        <v>1971005</v>
      </c>
      <c r="CH887">
        <v>3.9999999105930328E-2</v>
      </c>
      <c r="CI887">
        <v>78900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 t="s">
        <v>88</v>
      </c>
      <c r="CT887" t="s">
        <v>142</v>
      </c>
      <c r="CU887" t="s">
        <v>1442</v>
      </c>
    </row>
    <row r="888" spans="1:99">
      <c r="A888" t="s">
        <v>3047</v>
      </c>
      <c r="B888" t="s">
        <v>34</v>
      </c>
      <c r="C888" t="s">
        <v>2152</v>
      </c>
      <c r="D888" t="s">
        <v>2153</v>
      </c>
      <c r="E888" t="s">
        <v>1776</v>
      </c>
      <c r="F888" t="s">
        <v>2154</v>
      </c>
      <c r="G888" t="s">
        <v>2155</v>
      </c>
      <c r="H888" t="s">
        <v>1584</v>
      </c>
      <c r="I888" t="s">
        <v>682</v>
      </c>
      <c r="J888" t="s">
        <v>484</v>
      </c>
      <c r="K888" t="s">
        <v>29</v>
      </c>
      <c r="L888" t="s">
        <v>30</v>
      </c>
      <c r="M888">
        <v>0</v>
      </c>
      <c r="N888" t="s">
        <v>32</v>
      </c>
      <c r="O888" t="s">
        <v>32</v>
      </c>
      <c r="Q888" t="s">
        <v>32</v>
      </c>
      <c r="S888" t="s">
        <v>32</v>
      </c>
      <c r="U888" t="s">
        <v>32</v>
      </c>
      <c r="V888" t="s">
        <v>32</v>
      </c>
      <c r="W888" t="s">
        <v>32</v>
      </c>
      <c r="X888" t="s">
        <v>32</v>
      </c>
      <c r="Y888" t="s">
        <v>32</v>
      </c>
      <c r="AA888" t="s">
        <v>32</v>
      </c>
      <c r="AB888" t="s">
        <v>37</v>
      </c>
      <c r="AC888">
        <v>46054</v>
      </c>
      <c r="AD888">
        <v>46054</v>
      </c>
      <c r="AE888" t="s">
        <v>32</v>
      </c>
      <c r="AH888" t="s">
        <v>32</v>
      </c>
      <c r="AK888" t="s">
        <v>32</v>
      </c>
      <c r="AN888" t="s">
        <v>32</v>
      </c>
      <c r="AO888" t="s">
        <v>32</v>
      </c>
      <c r="AR888">
        <v>0</v>
      </c>
      <c r="AU888" t="s">
        <v>32</v>
      </c>
      <c r="AV888">
        <v>1750905</v>
      </c>
      <c r="AW888" t="s">
        <v>32</v>
      </c>
      <c r="AX888" t="s">
        <v>32</v>
      </c>
      <c r="AY888" t="s">
        <v>185</v>
      </c>
      <c r="AZ888">
        <v>1</v>
      </c>
      <c r="BA888">
        <v>58364</v>
      </c>
      <c r="BB888">
        <v>0.15999999642372131</v>
      </c>
      <c r="BC888">
        <v>9400</v>
      </c>
      <c r="BD888" t="s">
        <v>31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9400</v>
      </c>
      <c r="BK888" t="s">
        <v>25</v>
      </c>
      <c r="BL888" t="s">
        <v>1071</v>
      </c>
      <c r="BM888">
        <v>1</v>
      </c>
      <c r="BN888">
        <v>58364</v>
      </c>
      <c r="BO888">
        <v>0</v>
      </c>
      <c r="BP888">
        <v>0</v>
      </c>
      <c r="BQ888">
        <v>0</v>
      </c>
      <c r="BS888">
        <v>0</v>
      </c>
      <c r="BU888">
        <v>0</v>
      </c>
      <c r="BV888" t="s">
        <v>25</v>
      </c>
      <c r="BW888" t="s">
        <v>189</v>
      </c>
      <c r="BX888">
        <v>1</v>
      </c>
      <c r="BY888">
        <v>58364</v>
      </c>
      <c r="BZ888">
        <v>0</v>
      </c>
      <c r="CA888" t="s">
        <v>1439</v>
      </c>
      <c r="CB888" t="s">
        <v>312</v>
      </c>
      <c r="CC888" t="s">
        <v>1440</v>
      </c>
      <c r="CD888">
        <v>0</v>
      </c>
      <c r="CE888">
        <v>1</v>
      </c>
      <c r="CF888" t="s">
        <v>466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 t="s">
        <v>88</v>
      </c>
      <c r="CT888" t="s">
        <v>142</v>
      </c>
      <c r="CU888" t="s">
        <v>1442</v>
      </c>
    </row>
    <row r="889" spans="1:99">
      <c r="A889" t="s">
        <v>3047</v>
      </c>
      <c r="B889" t="s">
        <v>34</v>
      </c>
      <c r="C889" t="s">
        <v>2152</v>
      </c>
      <c r="D889" t="s">
        <v>2153</v>
      </c>
      <c r="E889" t="s">
        <v>1776</v>
      </c>
      <c r="F889" t="s">
        <v>2154</v>
      </c>
      <c r="G889" t="s">
        <v>2155</v>
      </c>
      <c r="H889" t="s">
        <v>1584</v>
      </c>
      <c r="I889" t="s">
        <v>682</v>
      </c>
      <c r="J889" t="s">
        <v>484</v>
      </c>
      <c r="K889" t="s">
        <v>29</v>
      </c>
      <c r="L889" t="s">
        <v>30</v>
      </c>
      <c r="M889">
        <v>0</v>
      </c>
      <c r="N889" t="s">
        <v>32</v>
      </c>
      <c r="O889" t="s">
        <v>32</v>
      </c>
      <c r="Q889" t="s">
        <v>32</v>
      </c>
      <c r="S889" t="s">
        <v>32</v>
      </c>
      <c r="U889" t="s">
        <v>32</v>
      </c>
      <c r="V889" t="s">
        <v>32</v>
      </c>
      <c r="W889" t="s">
        <v>32</v>
      </c>
      <c r="X889" t="s">
        <v>32</v>
      </c>
      <c r="Y889" t="s">
        <v>32</v>
      </c>
      <c r="AA889" t="s">
        <v>32</v>
      </c>
      <c r="AB889" t="s">
        <v>32</v>
      </c>
      <c r="AE889" t="s">
        <v>1492</v>
      </c>
      <c r="AF889">
        <v>46076</v>
      </c>
      <c r="AG889">
        <v>46076</v>
      </c>
      <c r="AH889" t="s">
        <v>32</v>
      </c>
      <c r="AK889" t="s">
        <v>32</v>
      </c>
      <c r="AN889" t="s">
        <v>32</v>
      </c>
      <c r="AO889" t="s">
        <v>32</v>
      </c>
      <c r="AR889">
        <v>0</v>
      </c>
      <c r="AU889" t="s">
        <v>32</v>
      </c>
      <c r="AV889">
        <v>1750905</v>
      </c>
      <c r="AW889" t="s">
        <v>32</v>
      </c>
      <c r="AX889" t="s">
        <v>32</v>
      </c>
      <c r="AY889" t="s">
        <v>185</v>
      </c>
      <c r="AZ889">
        <v>1</v>
      </c>
      <c r="BA889">
        <v>67629</v>
      </c>
      <c r="BB889">
        <v>0.15999999642372131</v>
      </c>
      <c r="BC889">
        <v>10900</v>
      </c>
      <c r="BD889" t="s">
        <v>31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10900</v>
      </c>
      <c r="BK889" t="s">
        <v>25</v>
      </c>
      <c r="BL889" t="s">
        <v>1071</v>
      </c>
      <c r="BM889">
        <v>1</v>
      </c>
      <c r="BN889">
        <v>67629</v>
      </c>
      <c r="BO889">
        <v>3.9999999105930328E-2</v>
      </c>
      <c r="BP889">
        <v>2800</v>
      </c>
      <c r="BQ889">
        <v>0</v>
      </c>
      <c r="BS889">
        <v>0</v>
      </c>
      <c r="BU889">
        <v>0</v>
      </c>
      <c r="BV889" t="s">
        <v>25</v>
      </c>
      <c r="BW889" t="s">
        <v>189</v>
      </c>
      <c r="BX889">
        <v>1</v>
      </c>
      <c r="BY889">
        <v>67629</v>
      </c>
      <c r="BZ889">
        <v>0</v>
      </c>
      <c r="CA889" t="s">
        <v>1439</v>
      </c>
      <c r="CB889" t="s">
        <v>312</v>
      </c>
      <c r="CC889" t="s">
        <v>1440</v>
      </c>
      <c r="CD889">
        <v>0</v>
      </c>
      <c r="CE889">
        <v>1</v>
      </c>
      <c r="CF889" t="s">
        <v>466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 t="s">
        <v>88</v>
      </c>
      <c r="CT889" t="s">
        <v>142</v>
      </c>
      <c r="CU889" t="s">
        <v>1442</v>
      </c>
    </row>
    <row r="890" spans="1:99">
      <c r="A890" t="s">
        <v>3047</v>
      </c>
      <c r="B890" t="s">
        <v>34</v>
      </c>
      <c r="C890" t="s">
        <v>2152</v>
      </c>
      <c r="D890" t="s">
        <v>2153</v>
      </c>
      <c r="E890" t="s">
        <v>1776</v>
      </c>
      <c r="F890" t="s">
        <v>2154</v>
      </c>
      <c r="G890" t="s">
        <v>2155</v>
      </c>
      <c r="H890" t="s">
        <v>1584</v>
      </c>
      <c r="I890" t="s">
        <v>682</v>
      </c>
      <c r="J890" t="s">
        <v>484</v>
      </c>
      <c r="K890" t="s">
        <v>29</v>
      </c>
      <c r="L890" t="s">
        <v>30</v>
      </c>
      <c r="M890">
        <v>196</v>
      </c>
      <c r="N890" t="s">
        <v>32</v>
      </c>
      <c r="O890" t="s">
        <v>32</v>
      </c>
      <c r="Q890" t="s">
        <v>32</v>
      </c>
      <c r="S890" t="s">
        <v>32</v>
      </c>
      <c r="U890" t="s">
        <v>32</v>
      </c>
      <c r="V890" t="s">
        <v>32</v>
      </c>
      <c r="W890" t="s">
        <v>32</v>
      </c>
      <c r="X890" t="s">
        <v>32</v>
      </c>
      <c r="Y890" t="s">
        <v>32</v>
      </c>
      <c r="AA890" t="s">
        <v>88</v>
      </c>
      <c r="AB890" t="s">
        <v>32</v>
      </c>
      <c r="AE890" t="s">
        <v>32</v>
      </c>
      <c r="AH890" t="s">
        <v>32</v>
      </c>
      <c r="AK890" t="s">
        <v>32</v>
      </c>
      <c r="AN890" t="s">
        <v>32</v>
      </c>
      <c r="AO890" t="s">
        <v>32</v>
      </c>
      <c r="AR890">
        <v>0</v>
      </c>
      <c r="AU890" t="s">
        <v>32</v>
      </c>
      <c r="AV890">
        <v>1750905</v>
      </c>
      <c r="AW890" t="s">
        <v>32</v>
      </c>
      <c r="AX890" t="s">
        <v>32</v>
      </c>
      <c r="AY890" t="s">
        <v>185</v>
      </c>
      <c r="AZ890">
        <v>28</v>
      </c>
      <c r="BA890">
        <v>1917905</v>
      </c>
      <c r="BB890">
        <v>0.15999999642372131</v>
      </c>
      <c r="BC890">
        <v>306900</v>
      </c>
      <c r="BD890" t="s">
        <v>31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306900</v>
      </c>
      <c r="BK890" t="s">
        <v>25</v>
      </c>
      <c r="BL890" t="s">
        <v>1071</v>
      </c>
      <c r="BM890">
        <v>28</v>
      </c>
      <c r="BN890">
        <v>1917905</v>
      </c>
      <c r="BO890">
        <v>3.9999999105930328E-2</v>
      </c>
      <c r="BP890">
        <v>76800</v>
      </c>
      <c r="BQ890">
        <v>0</v>
      </c>
      <c r="BS890">
        <v>0</v>
      </c>
      <c r="BU890">
        <v>0</v>
      </c>
      <c r="BV890" t="s">
        <v>25</v>
      </c>
      <c r="BW890" t="s">
        <v>189</v>
      </c>
      <c r="BX890">
        <v>28</v>
      </c>
      <c r="BY890">
        <v>1917905</v>
      </c>
      <c r="BZ890">
        <v>6.9600000977516174E-2</v>
      </c>
      <c r="CA890" t="s">
        <v>1439</v>
      </c>
      <c r="CB890" t="s">
        <v>312</v>
      </c>
      <c r="CC890" t="s">
        <v>1440</v>
      </c>
      <c r="CD890">
        <v>133500</v>
      </c>
      <c r="CE890">
        <v>28</v>
      </c>
      <c r="CF890" t="s">
        <v>466</v>
      </c>
      <c r="CG890">
        <v>1917905</v>
      </c>
      <c r="CH890">
        <v>3.9999999105930328E-2</v>
      </c>
      <c r="CI890">
        <v>76800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 t="s">
        <v>88</v>
      </c>
      <c r="CT890" t="s">
        <v>142</v>
      </c>
      <c r="CU890" t="s">
        <v>1442</v>
      </c>
    </row>
    <row r="891" spans="1:99">
      <c r="A891" t="s">
        <v>3047</v>
      </c>
      <c r="B891" t="s">
        <v>34</v>
      </c>
      <c r="C891" t="s">
        <v>2156</v>
      </c>
      <c r="D891" t="s">
        <v>2157</v>
      </c>
      <c r="E891" t="s">
        <v>2158</v>
      </c>
      <c r="F891" t="s">
        <v>2159</v>
      </c>
      <c r="G891" t="s">
        <v>1673</v>
      </c>
      <c r="H891" t="s">
        <v>1674</v>
      </c>
      <c r="I891" t="s">
        <v>682</v>
      </c>
      <c r="J891" t="s">
        <v>484</v>
      </c>
      <c r="K891" t="s">
        <v>29</v>
      </c>
      <c r="L891" t="s">
        <v>30</v>
      </c>
      <c r="M891">
        <v>0</v>
      </c>
      <c r="N891" t="s">
        <v>32</v>
      </c>
      <c r="O891" t="s">
        <v>32</v>
      </c>
      <c r="Q891" t="s">
        <v>32</v>
      </c>
      <c r="S891" t="s">
        <v>32</v>
      </c>
      <c r="U891" t="s">
        <v>32</v>
      </c>
      <c r="V891" t="s">
        <v>32</v>
      </c>
      <c r="W891" t="s">
        <v>32</v>
      </c>
      <c r="X891" t="s">
        <v>32</v>
      </c>
      <c r="Y891" t="s">
        <v>32</v>
      </c>
      <c r="AA891" t="s">
        <v>32</v>
      </c>
      <c r="AB891" t="s">
        <v>32</v>
      </c>
      <c r="AE891" t="s">
        <v>32</v>
      </c>
      <c r="AH891" t="s">
        <v>32</v>
      </c>
      <c r="AK891" t="s">
        <v>128</v>
      </c>
      <c r="AL891">
        <v>46054</v>
      </c>
      <c r="AM891">
        <v>46054</v>
      </c>
      <c r="AN891" t="s">
        <v>32</v>
      </c>
      <c r="AO891" t="s">
        <v>32</v>
      </c>
      <c r="AR891">
        <v>0</v>
      </c>
      <c r="AU891" t="s">
        <v>32</v>
      </c>
      <c r="AV891">
        <v>1750905</v>
      </c>
      <c r="AW891" t="s">
        <v>32</v>
      </c>
      <c r="AX891" t="s">
        <v>32</v>
      </c>
      <c r="AY891" t="s">
        <v>317</v>
      </c>
      <c r="AZ891">
        <v>1</v>
      </c>
      <c r="BA891">
        <v>58364</v>
      </c>
      <c r="BB891">
        <v>0.15999999642372131</v>
      </c>
      <c r="BC891">
        <v>9400</v>
      </c>
      <c r="BD891" t="s">
        <v>31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9400</v>
      </c>
      <c r="BK891" t="s">
        <v>25</v>
      </c>
      <c r="BL891" t="s">
        <v>1491</v>
      </c>
      <c r="BM891">
        <v>1</v>
      </c>
      <c r="BN891">
        <v>58364</v>
      </c>
      <c r="BO891">
        <v>3.9999999105930328E-2</v>
      </c>
      <c r="BP891">
        <v>2400</v>
      </c>
      <c r="BQ891">
        <v>0</v>
      </c>
      <c r="BS891">
        <v>0</v>
      </c>
      <c r="BU891">
        <v>0</v>
      </c>
      <c r="BV891" t="s">
        <v>25</v>
      </c>
      <c r="BW891" t="s">
        <v>189</v>
      </c>
      <c r="BX891">
        <v>1</v>
      </c>
      <c r="BY891">
        <v>58364</v>
      </c>
      <c r="BZ891">
        <v>0</v>
      </c>
      <c r="CA891" t="s">
        <v>1439</v>
      </c>
      <c r="CB891" t="s">
        <v>312</v>
      </c>
      <c r="CC891" t="s">
        <v>1440</v>
      </c>
      <c r="CD891">
        <v>0</v>
      </c>
      <c r="CE891">
        <v>1</v>
      </c>
      <c r="CF891" t="s">
        <v>466</v>
      </c>
      <c r="CG891">
        <v>58364</v>
      </c>
      <c r="CH891">
        <v>3.9999999105930328E-2</v>
      </c>
      <c r="CI891">
        <v>2400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 t="s">
        <v>88</v>
      </c>
      <c r="CT891" t="s">
        <v>142</v>
      </c>
      <c r="CU891" t="s">
        <v>1442</v>
      </c>
    </row>
    <row r="892" spans="1:99">
      <c r="A892" t="s">
        <v>3047</v>
      </c>
      <c r="B892" t="s">
        <v>34</v>
      </c>
      <c r="C892" t="s">
        <v>2156</v>
      </c>
      <c r="D892" t="s">
        <v>2157</v>
      </c>
      <c r="E892" t="s">
        <v>2158</v>
      </c>
      <c r="F892" t="s">
        <v>2159</v>
      </c>
      <c r="G892" t="s">
        <v>1673</v>
      </c>
      <c r="H892" t="s">
        <v>1674</v>
      </c>
      <c r="I892" t="s">
        <v>682</v>
      </c>
      <c r="J892" t="s">
        <v>484</v>
      </c>
      <c r="K892" t="s">
        <v>29</v>
      </c>
      <c r="L892" t="s">
        <v>30</v>
      </c>
      <c r="M892">
        <v>204</v>
      </c>
      <c r="N892" t="s">
        <v>32</v>
      </c>
      <c r="O892" t="s">
        <v>32</v>
      </c>
      <c r="Q892" t="s">
        <v>32</v>
      </c>
      <c r="S892" t="s">
        <v>32</v>
      </c>
      <c r="U892" t="s">
        <v>32</v>
      </c>
      <c r="V892" t="s">
        <v>32</v>
      </c>
      <c r="W892" t="s">
        <v>32</v>
      </c>
      <c r="X892" t="s">
        <v>32</v>
      </c>
      <c r="Y892" t="s">
        <v>32</v>
      </c>
      <c r="AA892" t="s">
        <v>88</v>
      </c>
      <c r="AB892" t="s">
        <v>32</v>
      </c>
      <c r="AE892" t="s">
        <v>32</v>
      </c>
      <c r="AH892" t="s">
        <v>32</v>
      </c>
      <c r="AK892" t="s">
        <v>32</v>
      </c>
      <c r="AN892" t="s">
        <v>32</v>
      </c>
      <c r="AO892" t="s">
        <v>32</v>
      </c>
      <c r="AR892">
        <v>0</v>
      </c>
      <c r="AU892" t="s">
        <v>32</v>
      </c>
      <c r="AV892">
        <v>1750905</v>
      </c>
      <c r="AW892" t="s">
        <v>32</v>
      </c>
      <c r="AX892" t="s">
        <v>32</v>
      </c>
      <c r="AY892" t="s">
        <v>317</v>
      </c>
      <c r="AZ892">
        <v>29</v>
      </c>
      <c r="BA892">
        <v>1931302</v>
      </c>
      <c r="BB892">
        <v>0.15999999642372131</v>
      </c>
      <c r="BC892">
        <v>309100</v>
      </c>
      <c r="BD892" t="s">
        <v>31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309100</v>
      </c>
      <c r="BK892" t="s">
        <v>25</v>
      </c>
      <c r="BL892" t="s">
        <v>1491</v>
      </c>
      <c r="BM892">
        <v>29</v>
      </c>
      <c r="BN892">
        <v>1931302</v>
      </c>
      <c r="BO892">
        <v>3.9999999105930328E-2</v>
      </c>
      <c r="BP892">
        <v>77300</v>
      </c>
      <c r="BQ892">
        <v>0</v>
      </c>
      <c r="BS892">
        <v>0</v>
      </c>
      <c r="BU892">
        <v>0</v>
      </c>
      <c r="BV892" t="s">
        <v>25</v>
      </c>
      <c r="BW892" t="s">
        <v>189</v>
      </c>
      <c r="BX892">
        <v>29</v>
      </c>
      <c r="BY892">
        <v>1931302</v>
      </c>
      <c r="BZ892">
        <v>6.9600000977516174E-2</v>
      </c>
      <c r="CA892" t="s">
        <v>1439</v>
      </c>
      <c r="CB892" t="s">
        <v>312</v>
      </c>
      <c r="CC892" t="s">
        <v>1440</v>
      </c>
      <c r="CD892">
        <v>134500</v>
      </c>
      <c r="CE892">
        <v>29</v>
      </c>
      <c r="CF892" t="s">
        <v>466</v>
      </c>
      <c r="CG892">
        <v>1931302</v>
      </c>
      <c r="CH892">
        <v>3.9999999105930328E-2</v>
      </c>
      <c r="CI892">
        <v>77300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 t="s">
        <v>88</v>
      </c>
      <c r="CT892" t="s">
        <v>142</v>
      </c>
      <c r="CU892" t="s">
        <v>1442</v>
      </c>
    </row>
    <row r="893" spans="1:99">
      <c r="A893" t="s">
        <v>3047</v>
      </c>
      <c r="B893" t="s">
        <v>34</v>
      </c>
      <c r="C893" t="s">
        <v>2160</v>
      </c>
      <c r="D893" t="s">
        <v>2161</v>
      </c>
      <c r="E893" t="s">
        <v>1555</v>
      </c>
      <c r="F893" t="s">
        <v>1562</v>
      </c>
      <c r="G893" t="s">
        <v>2162</v>
      </c>
      <c r="H893" t="s">
        <v>1558</v>
      </c>
      <c r="I893" t="s">
        <v>682</v>
      </c>
      <c r="J893" t="s">
        <v>484</v>
      </c>
      <c r="K893" t="s">
        <v>29</v>
      </c>
      <c r="L893" t="s">
        <v>30</v>
      </c>
      <c r="M893">
        <v>205</v>
      </c>
      <c r="N893" t="s">
        <v>32</v>
      </c>
      <c r="O893" t="s">
        <v>32</v>
      </c>
      <c r="Q893" t="s">
        <v>32</v>
      </c>
      <c r="S893" t="s">
        <v>32</v>
      </c>
      <c r="U893" t="s">
        <v>32</v>
      </c>
      <c r="V893" t="s">
        <v>32</v>
      </c>
      <c r="W893" t="s">
        <v>32</v>
      </c>
      <c r="X893" t="s">
        <v>32</v>
      </c>
      <c r="Y893" t="s">
        <v>32</v>
      </c>
      <c r="AA893" t="s">
        <v>88</v>
      </c>
      <c r="AB893" t="s">
        <v>32</v>
      </c>
      <c r="AE893" t="s">
        <v>32</v>
      </c>
      <c r="AH893" t="s">
        <v>32</v>
      </c>
      <c r="AK893" t="s">
        <v>32</v>
      </c>
      <c r="AN893" t="s">
        <v>32</v>
      </c>
      <c r="AO893" t="s">
        <v>32</v>
      </c>
      <c r="AR893">
        <v>0</v>
      </c>
      <c r="AU893" t="s">
        <v>32</v>
      </c>
      <c r="AV893">
        <v>2074908</v>
      </c>
      <c r="AW893" t="s">
        <v>32</v>
      </c>
      <c r="AX893" t="s">
        <v>32</v>
      </c>
      <c r="AY893" t="s">
        <v>317</v>
      </c>
      <c r="AZ893">
        <v>30</v>
      </c>
      <c r="BA893">
        <v>2452635</v>
      </c>
      <c r="BB893">
        <v>0.15999999642372131</v>
      </c>
      <c r="BC893">
        <v>392500</v>
      </c>
      <c r="BD893" t="s">
        <v>31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392500</v>
      </c>
      <c r="BK893" t="s">
        <v>25</v>
      </c>
      <c r="BL893" t="s">
        <v>1010</v>
      </c>
      <c r="BM893">
        <v>30</v>
      </c>
      <c r="BN893">
        <v>2452635</v>
      </c>
      <c r="BO893">
        <v>3.9999999105930328E-2</v>
      </c>
      <c r="BP893">
        <v>98200</v>
      </c>
      <c r="BQ893">
        <v>0</v>
      </c>
      <c r="BS893">
        <v>0</v>
      </c>
      <c r="BU893">
        <v>0</v>
      </c>
      <c r="BV893" t="s">
        <v>25</v>
      </c>
      <c r="BW893" t="s">
        <v>189</v>
      </c>
      <c r="BX893">
        <v>30</v>
      </c>
      <c r="BY893">
        <v>2452635</v>
      </c>
      <c r="BZ893">
        <v>6.9600000977516174E-2</v>
      </c>
      <c r="CA893" t="s">
        <v>1439</v>
      </c>
      <c r="CB893" t="s">
        <v>312</v>
      </c>
      <c r="CC893" t="s">
        <v>1440</v>
      </c>
      <c r="CD893">
        <v>170800</v>
      </c>
      <c r="CE893">
        <v>30</v>
      </c>
      <c r="CF893" t="s">
        <v>466</v>
      </c>
      <c r="CG893">
        <v>2452635</v>
      </c>
      <c r="CH893">
        <v>3.9999999105930328E-2</v>
      </c>
      <c r="CI893">
        <v>98200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 t="s">
        <v>88</v>
      </c>
      <c r="CT893" t="s">
        <v>142</v>
      </c>
      <c r="CU893" t="s">
        <v>1442</v>
      </c>
    </row>
    <row r="894" spans="1:99">
      <c r="A894" t="s">
        <v>3047</v>
      </c>
      <c r="B894" t="s">
        <v>34</v>
      </c>
      <c r="C894" t="s">
        <v>2163</v>
      </c>
      <c r="D894" t="s">
        <v>2164</v>
      </c>
      <c r="E894" t="s">
        <v>1628</v>
      </c>
      <c r="F894" t="s">
        <v>2165</v>
      </c>
      <c r="G894" t="s">
        <v>1965</v>
      </c>
      <c r="H894" t="s">
        <v>1473</v>
      </c>
      <c r="I894" t="s">
        <v>682</v>
      </c>
      <c r="J894" t="s">
        <v>484</v>
      </c>
      <c r="K894" t="s">
        <v>29</v>
      </c>
      <c r="L894" t="s">
        <v>30</v>
      </c>
      <c r="M894">
        <v>0</v>
      </c>
      <c r="N894" t="s">
        <v>32</v>
      </c>
      <c r="O894" t="s">
        <v>32</v>
      </c>
      <c r="Q894" t="s">
        <v>32</v>
      </c>
      <c r="S894" t="s">
        <v>32</v>
      </c>
      <c r="U894" t="s">
        <v>32</v>
      </c>
      <c r="V894" t="s">
        <v>32</v>
      </c>
      <c r="W894" t="s">
        <v>32</v>
      </c>
      <c r="X894" t="s">
        <v>32</v>
      </c>
      <c r="Y894" t="s">
        <v>32</v>
      </c>
      <c r="AA894" t="s">
        <v>32</v>
      </c>
      <c r="AB894" t="s">
        <v>32</v>
      </c>
      <c r="AE894" t="s">
        <v>1492</v>
      </c>
      <c r="AF894">
        <v>46062</v>
      </c>
      <c r="AG894">
        <v>46062</v>
      </c>
      <c r="AH894" t="s">
        <v>32</v>
      </c>
      <c r="AK894" t="s">
        <v>32</v>
      </c>
      <c r="AN894" t="s">
        <v>32</v>
      </c>
      <c r="AO894" t="s">
        <v>32</v>
      </c>
      <c r="AR894">
        <v>0</v>
      </c>
      <c r="AU894" t="s">
        <v>32</v>
      </c>
      <c r="AV894">
        <v>2223339</v>
      </c>
      <c r="AW894" t="s">
        <v>32</v>
      </c>
      <c r="AX894" t="s">
        <v>32</v>
      </c>
      <c r="AY894" t="s">
        <v>317</v>
      </c>
      <c r="AZ894">
        <v>1</v>
      </c>
      <c r="BA894">
        <v>86020</v>
      </c>
      <c r="BB894">
        <v>0.15999999642372131</v>
      </c>
      <c r="BC894">
        <v>13800</v>
      </c>
      <c r="BD894" t="s">
        <v>31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13800</v>
      </c>
      <c r="BK894" t="s">
        <v>25</v>
      </c>
      <c r="BL894" t="s">
        <v>1010</v>
      </c>
      <c r="BM894">
        <v>1</v>
      </c>
      <c r="BN894">
        <v>86020</v>
      </c>
      <c r="BO894">
        <v>3.9999999105930328E-2</v>
      </c>
      <c r="BP894">
        <v>3500</v>
      </c>
      <c r="BQ894">
        <v>0</v>
      </c>
      <c r="BS894">
        <v>0</v>
      </c>
      <c r="BU894">
        <v>0</v>
      </c>
      <c r="BV894" t="s">
        <v>25</v>
      </c>
      <c r="BW894" t="s">
        <v>189</v>
      </c>
      <c r="BX894">
        <v>1</v>
      </c>
      <c r="BY894">
        <v>86020</v>
      </c>
      <c r="BZ894">
        <v>0</v>
      </c>
      <c r="CA894" t="s">
        <v>1439</v>
      </c>
      <c r="CB894" t="s">
        <v>312</v>
      </c>
      <c r="CC894" t="s">
        <v>1440</v>
      </c>
      <c r="CD894">
        <v>0</v>
      </c>
      <c r="CE894">
        <v>1</v>
      </c>
      <c r="CF894" t="s">
        <v>466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 t="s">
        <v>88</v>
      </c>
      <c r="CT894" t="s">
        <v>142</v>
      </c>
      <c r="CU894" t="s">
        <v>1442</v>
      </c>
    </row>
    <row r="895" spans="1:99">
      <c r="A895" t="s">
        <v>3047</v>
      </c>
      <c r="B895" t="s">
        <v>34</v>
      </c>
      <c r="C895" t="s">
        <v>2163</v>
      </c>
      <c r="D895" t="s">
        <v>2164</v>
      </c>
      <c r="E895" t="s">
        <v>1628</v>
      </c>
      <c r="F895" t="s">
        <v>2165</v>
      </c>
      <c r="G895" t="s">
        <v>1965</v>
      </c>
      <c r="H895" t="s">
        <v>1473</v>
      </c>
      <c r="I895" t="s">
        <v>682</v>
      </c>
      <c r="J895" t="s">
        <v>484</v>
      </c>
      <c r="K895" t="s">
        <v>29</v>
      </c>
      <c r="L895" t="s">
        <v>30</v>
      </c>
      <c r="M895">
        <v>191</v>
      </c>
      <c r="N895" t="s">
        <v>32</v>
      </c>
      <c r="O895" t="s">
        <v>32</v>
      </c>
      <c r="Q895" t="s">
        <v>32</v>
      </c>
      <c r="S895" t="s">
        <v>40</v>
      </c>
      <c r="T895">
        <v>46079</v>
      </c>
      <c r="U895" t="s">
        <v>32</v>
      </c>
      <c r="V895" t="s">
        <v>32</v>
      </c>
      <c r="W895" t="s">
        <v>32</v>
      </c>
      <c r="X895" t="s">
        <v>32</v>
      </c>
      <c r="Y895" t="s">
        <v>32</v>
      </c>
      <c r="AA895" t="s">
        <v>88</v>
      </c>
      <c r="AB895" t="s">
        <v>32</v>
      </c>
      <c r="AE895" t="s">
        <v>32</v>
      </c>
      <c r="AH895" t="s">
        <v>32</v>
      </c>
      <c r="AK895" t="s">
        <v>32</v>
      </c>
      <c r="AN895" t="s">
        <v>32</v>
      </c>
      <c r="AO895" t="s">
        <v>32</v>
      </c>
      <c r="AR895">
        <v>0</v>
      </c>
      <c r="AU895" t="s">
        <v>32</v>
      </c>
      <c r="AV895">
        <v>2223339</v>
      </c>
      <c r="AW895" t="s">
        <v>32</v>
      </c>
      <c r="AX895" t="s">
        <v>32</v>
      </c>
      <c r="AY895" t="s">
        <v>317</v>
      </c>
      <c r="AZ895">
        <v>25</v>
      </c>
      <c r="BA895">
        <v>2711229</v>
      </c>
      <c r="BB895">
        <v>0.15999999642372131</v>
      </c>
      <c r="BC895">
        <v>433800</v>
      </c>
      <c r="BD895" t="s">
        <v>31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433800</v>
      </c>
      <c r="BK895" t="s">
        <v>25</v>
      </c>
      <c r="BL895" t="s">
        <v>1010</v>
      </c>
      <c r="BM895">
        <v>25</v>
      </c>
      <c r="BN895">
        <v>2711229</v>
      </c>
      <c r="BO895">
        <v>3.9999999105930328E-2</v>
      </c>
      <c r="BP895">
        <v>108500</v>
      </c>
      <c r="BQ895">
        <v>0</v>
      </c>
      <c r="BS895">
        <v>0</v>
      </c>
      <c r="BU895">
        <v>0</v>
      </c>
      <c r="BV895" t="s">
        <v>25</v>
      </c>
      <c r="BW895" t="s">
        <v>189</v>
      </c>
      <c r="BX895">
        <v>25</v>
      </c>
      <c r="BY895">
        <v>2711229</v>
      </c>
      <c r="BZ895">
        <v>6.9600000977516174E-2</v>
      </c>
      <c r="CA895" t="s">
        <v>1439</v>
      </c>
      <c r="CB895" t="s">
        <v>312</v>
      </c>
      <c r="CC895" t="s">
        <v>1440</v>
      </c>
      <c r="CD895">
        <v>188800</v>
      </c>
      <c r="CE895">
        <v>25</v>
      </c>
      <c r="CF895" t="s">
        <v>466</v>
      </c>
      <c r="CG895">
        <v>3175155</v>
      </c>
      <c r="CH895">
        <v>3.9999999105930328E-2</v>
      </c>
      <c r="CI895">
        <v>127100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 t="s">
        <v>88</v>
      </c>
      <c r="CT895" t="s">
        <v>142</v>
      </c>
      <c r="CU895" t="s">
        <v>1442</v>
      </c>
    </row>
    <row r="896" spans="1:99">
      <c r="A896" t="s">
        <v>3047</v>
      </c>
      <c r="B896" t="s">
        <v>34</v>
      </c>
      <c r="C896" t="s">
        <v>2166</v>
      </c>
      <c r="D896" t="s">
        <v>2167</v>
      </c>
      <c r="E896" t="s">
        <v>2168</v>
      </c>
      <c r="F896" t="s">
        <v>1511</v>
      </c>
      <c r="G896" t="s">
        <v>1490</v>
      </c>
      <c r="H896" t="s">
        <v>1519</v>
      </c>
      <c r="I896" t="s">
        <v>682</v>
      </c>
      <c r="J896" t="s">
        <v>484</v>
      </c>
      <c r="K896" t="s">
        <v>29</v>
      </c>
      <c r="L896" t="s">
        <v>30</v>
      </c>
      <c r="M896">
        <v>0</v>
      </c>
      <c r="N896" t="s">
        <v>32</v>
      </c>
      <c r="O896" t="s">
        <v>32</v>
      </c>
      <c r="Q896" t="s">
        <v>32</v>
      </c>
      <c r="S896" t="s">
        <v>32</v>
      </c>
      <c r="U896" t="s">
        <v>32</v>
      </c>
      <c r="V896" t="s">
        <v>32</v>
      </c>
      <c r="W896" t="s">
        <v>32</v>
      </c>
      <c r="X896" t="s">
        <v>32</v>
      </c>
      <c r="Y896" t="s">
        <v>32</v>
      </c>
      <c r="AA896" t="s">
        <v>32</v>
      </c>
      <c r="AB896" t="s">
        <v>37</v>
      </c>
      <c r="AC896">
        <v>46054</v>
      </c>
      <c r="AD896">
        <v>46054</v>
      </c>
      <c r="AE896" t="s">
        <v>32</v>
      </c>
      <c r="AH896" t="s">
        <v>32</v>
      </c>
      <c r="AK896" t="s">
        <v>32</v>
      </c>
      <c r="AN896" t="s">
        <v>32</v>
      </c>
      <c r="AO896" t="s">
        <v>32</v>
      </c>
      <c r="AR896">
        <v>0</v>
      </c>
      <c r="AU896" t="s">
        <v>32</v>
      </c>
      <c r="AV896">
        <v>1750905</v>
      </c>
      <c r="AW896" t="s">
        <v>32</v>
      </c>
      <c r="AX896" t="s">
        <v>32</v>
      </c>
      <c r="AY896" t="s">
        <v>317</v>
      </c>
      <c r="AZ896">
        <v>1</v>
      </c>
      <c r="BA896">
        <v>58364</v>
      </c>
      <c r="BB896">
        <v>0.15999999642372131</v>
      </c>
      <c r="BC896">
        <v>9400</v>
      </c>
      <c r="BD896" t="s">
        <v>31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9400</v>
      </c>
      <c r="BK896" t="s">
        <v>25</v>
      </c>
      <c r="BL896" t="s">
        <v>1010</v>
      </c>
      <c r="BM896">
        <v>1</v>
      </c>
      <c r="BN896">
        <v>58364</v>
      </c>
      <c r="BO896">
        <v>0</v>
      </c>
      <c r="BP896">
        <v>0</v>
      </c>
      <c r="BQ896">
        <v>0</v>
      </c>
      <c r="BS896">
        <v>0</v>
      </c>
      <c r="BU896">
        <v>0</v>
      </c>
      <c r="BV896" t="s">
        <v>25</v>
      </c>
      <c r="BW896" t="s">
        <v>189</v>
      </c>
      <c r="BX896">
        <v>1</v>
      </c>
      <c r="BY896">
        <v>58364</v>
      </c>
      <c r="BZ896">
        <v>0</v>
      </c>
      <c r="CA896" t="s">
        <v>1439</v>
      </c>
      <c r="CB896" t="s">
        <v>312</v>
      </c>
      <c r="CC896" t="s">
        <v>1440</v>
      </c>
      <c r="CD896">
        <v>0</v>
      </c>
      <c r="CE896">
        <v>1</v>
      </c>
      <c r="CF896" t="s">
        <v>466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 t="s">
        <v>88</v>
      </c>
      <c r="CT896" t="s">
        <v>142</v>
      </c>
      <c r="CU896" t="s">
        <v>1442</v>
      </c>
    </row>
    <row r="897" spans="1:99">
      <c r="A897" t="s">
        <v>3047</v>
      </c>
      <c r="B897" t="s">
        <v>34</v>
      </c>
      <c r="C897" t="s">
        <v>2166</v>
      </c>
      <c r="D897" t="s">
        <v>2167</v>
      </c>
      <c r="E897" t="s">
        <v>2168</v>
      </c>
      <c r="F897" t="s">
        <v>1511</v>
      </c>
      <c r="G897" t="s">
        <v>1490</v>
      </c>
      <c r="H897" t="s">
        <v>1519</v>
      </c>
      <c r="I897" t="s">
        <v>682</v>
      </c>
      <c r="J897" t="s">
        <v>484</v>
      </c>
      <c r="K897" t="s">
        <v>29</v>
      </c>
      <c r="L897" t="s">
        <v>30</v>
      </c>
      <c r="M897">
        <v>0</v>
      </c>
      <c r="N897" t="s">
        <v>32</v>
      </c>
      <c r="O897" t="s">
        <v>32</v>
      </c>
      <c r="Q897" t="s">
        <v>32</v>
      </c>
      <c r="S897" t="s">
        <v>32</v>
      </c>
      <c r="U897" t="s">
        <v>32</v>
      </c>
      <c r="V897" t="s">
        <v>32</v>
      </c>
      <c r="W897" t="s">
        <v>32</v>
      </c>
      <c r="X897" t="s">
        <v>32</v>
      </c>
      <c r="Y897" t="s">
        <v>32</v>
      </c>
      <c r="AA897" t="s">
        <v>32</v>
      </c>
      <c r="AB897" t="s">
        <v>37</v>
      </c>
      <c r="AC897">
        <v>46069</v>
      </c>
      <c r="AD897">
        <v>46069</v>
      </c>
      <c r="AE897" t="s">
        <v>32</v>
      </c>
      <c r="AH897" t="s">
        <v>32</v>
      </c>
      <c r="AK897" t="s">
        <v>32</v>
      </c>
      <c r="AN897" t="s">
        <v>32</v>
      </c>
      <c r="AO897" t="s">
        <v>32</v>
      </c>
      <c r="AR897">
        <v>0</v>
      </c>
      <c r="AU897" t="s">
        <v>32</v>
      </c>
      <c r="AV897">
        <v>1750905</v>
      </c>
      <c r="AW897" t="s">
        <v>32</v>
      </c>
      <c r="AX897" t="s">
        <v>32</v>
      </c>
      <c r="AY897" t="s">
        <v>317</v>
      </c>
      <c r="AZ897">
        <v>1</v>
      </c>
      <c r="BA897">
        <v>58364</v>
      </c>
      <c r="BB897">
        <v>0.15999999642372131</v>
      </c>
      <c r="BC897">
        <v>9400</v>
      </c>
      <c r="BD897" t="s">
        <v>31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9400</v>
      </c>
      <c r="BK897" t="s">
        <v>25</v>
      </c>
      <c r="BL897" t="s">
        <v>1010</v>
      </c>
      <c r="BM897">
        <v>1</v>
      </c>
      <c r="BN897">
        <v>58364</v>
      </c>
      <c r="BO897">
        <v>0</v>
      </c>
      <c r="BP897">
        <v>0</v>
      </c>
      <c r="BQ897">
        <v>0</v>
      </c>
      <c r="BS897">
        <v>0</v>
      </c>
      <c r="BU897">
        <v>0</v>
      </c>
      <c r="BV897" t="s">
        <v>25</v>
      </c>
      <c r="BW897" t="s">
        <v>189</v>
      </c>
      <c r="BX897">
        <v>1</v>
      </c>
      <c r="BY897">
        <v>58364</v>
      </c>
      <c r="BZ897">
        <v>0</v>
      </c>
      <c r="CA897" t="s">
        <v>1439</v>
      </c>
      <c r="CB897" t="s">
        <v>312</v>
      </c>
      <c r="CC897" t="s">
        <v>1440</v>
      </c>
      <c r="CD897">
        <v>0</v>
      </c>
      <c r="CE897">
        <v>1</v>
      </c>
      <c r="CF897" t="s">
        <v>466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 t="s">
        <v>88</v>
      </c>
      <c r="CT897" t="s">
        <v>142</v>
      </c>
      <c r="CU897" t="s">
        <v>1442</v>
      </c>
    </row>
    <row r="898" spans="1:99">
      <c r="A898" t="s">
        <v>3047</v>
      </c>
      <c r="B898" t="s">
        <v>34</v>
      </c>
      <c r="C898" t="s">
        <v>2166</v>
      </c>
      <c r="D898" t="s">
        <v>2167</v>
      </c>
      <c r="E898" t="s">
        <v>2168</v>
      </c>
      <c r="F898" t="s">
        <v>1511</v>
      </c>
      <c r="G898" t="s">
        <v>1490</v>
      </c>
      <c r="H898" t="s">
        <v>1519</v>
      </c>
      <c r="I898" t="s">
        <v>682</v>
      </c>
      <c r="J898" t="s">
        <v>484</v>
      </c>
      <c r="K898" t="s">
        <v>29</v>
      </c>
      <c r="L898" t="s">
        <v>30</v>
      </c>
      <c r="M898">
        <v>194</v>
      </c>
      <c r="N898" t="s">
        <v>32</v>
      </c>
      <c r="O898" t="s">
        <v>32</v>
      </c>
      <c r="Q898" t="s">
        <v>32</v>
      </c>
      <c r="S898" t="s">
        <v>32</v>
      </c>
      <c r="U898" t="s">
        <v>32</v>
      </c>
      <c r="V898" t="s">
        <v>32</v>
      </c>
      <c r="W898" t="s">
        <v>32</v>
      </c>
      <c r="X898" t="s">
        <v>32</v>
      </c>
      <c r="Y898" t="s">
        <v>32</v>
      </c>
      <c r="AA898" t="s">
        <v>88</v>
      </c>
      <c r="AB898" t="s">
        <v>32</v>
      </c>
      <c r="AE898" t="s">
        <v>32</v>
      </c>
      <c r="AH898" t="s">
        <v>32</v>
      </c>
      <c r="AK898" t="s">
        <v>32</v>
      </c>
      <c r="AN898" t="s">
        <v>32</v>
      </c>
      <c r="AO898" t="s">
        <v>32</v>
      </c>
      <c r="AR898">
        <v>0</v>
      </c>
      <c r="AU898" t="s">
        <v>32</v>
      </c>
      <c r="AV898">
        <v>1750905</v>
      </c>
      <c r="AW898" t="s">
        <v>32</v>
      </c>
      <c r="AX898" t="s">
        <v>32</v>
      </c>
      <c r="AY898" t="s">
        <v>317</v>
      </c>
      <c r="AZ898">
        <v>28</v>
      </c>
      <c r="BA898">
        <v>1933024</v>
      </c>
      <c r="BB898">
        <v>0.15999999642372131</v>
      </c>
      <c r="BC898">
        <v>309300</v>
      </c>
      <c r="BD898" t="s">
        <v>31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309300</v>
      </c>
      <c r="BK898" t="s">
        <v>25</v>
      </c>
      <c r="BL898" t="s">
        <v>1010</v>
      </c>
      <c r="BM898">
        <v>28</v>
      </c>
      <c r="BN898">
        <v>1933024</v>
      </c>
      <c r="BO898">
        <v>3.9999999105930328E-2</v>
      </c>
      <c r="BP898">
        <v>77400</v>
      </c>
      <c r="BQ898">
        <v>0</v>
      </c>
      <c r="BS898">
        <v>0</v>
      </c>
      <c r="BU898">
        <v>0</v>
      </c>
      <c r="BV898" t="s">
        <v>25</v>
      </c>
      <c r="BW898" t="s">
        <v>189</v>
      </c>
      <c r="BX898">
        <v>28</v>
      </c>
      <c r="BY898">
        <v>1933024</v>
      </c>
      <c r="BZ898">
        <v>6.9600000977516174E-2</v>
      </c>
      <c r="CA898" t="s">
        <v>1439</v>
      </c>
      <c r="CB898" t="s">
        <v>312</v>
      </c>
      <c r="CC898" t="s">
        <v>1440</v>
      </c>
      <c r="CD898">
        <v>134600</v>
      </c>
      <c r="CE898">
        <v>28</v>
      </c>
      <c r="CF898" t="s">
        <v>466</v>
      </c>
      <c r="CG898">
        <v>1933025</v>
      </c>
      <c r="CH898">
        <v>3.9999999105930328E-2</v>
      </c>
      <c r="CI898">
        <v>77400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 t="s">
        <v>88</v>
      </c>
      <c r="CT898" t="s">
        <v>142</v>
      </c>
      <c r="CU898" t="s">
        <v>1442</v>
      </c>
    </row>
    <row r="899" spans="1:99">
      <c r="A899" t="s">
        <v>3047</v>
      </c>
      <c r="B899" t="s">
        <v>34</v>
      </c>
      <c r="C899" t="s">
        <v>2169</v>
      </c>
      <c r="D899" t="s">
        <v>2170</v>
      </c>
      <c r="E899" t="s">
        <v>1566</v>
      </c>
      <c r="F899" t="s">
        <v>2171</v>
      </c>
      <c r="G899" t="s">
        <v>2070</v>
      </c>
      <c r="H899" t="s">
        <v>2172</v>
      </c>
      <c r="I899" t="s">
        <v>682</v>
      </c>
      <c r="J899" t="s">
        <v>484</v>
      </c>
      <c r="K899" t="s">
        <v>29</v>
      </c>
      <c r="L899" t="s">
        <v>30</v>
      </c>
      <c r="M899">
        <v>205</v>
      </c>
      <c r="N899" t="s">
        <v>32</v>
      </c>
      <c r="O899" t="s">
        <v>32</v>
      </c>
      <c r="Q899" t="s">
        <v>32</v>
      </c>
      <c r="S899" t="s">
        <v>32</v>
      </c>
      <c r="U899" t="s">
        <v>32</v>
      </c>
      <c r="V899" t="s">
        <v>32</v>
      </c>
      <c r="W899" t="s">
        <v>32</v>
      </c>
      <c r="X899" t="s">
        <v>32</v>
      </c>
      <c r="Y899" t="s">
        <v>32</v>
      </c>
      <c r="AA899" t="s">
        <v>88</v>
      </c>
      <c r="AB899" t="s">
        <v>32</v>
      </c>
      <c r="AE899" t="s">
        <v>32</v>
      </c>
      <c r="AH899" t="s">
        <v>32</v>
      </c>
      <c r="AK899" t="s">
        <v>32</v>
      </c>
      <c r="AN899" t="s">
        <v>32</v>
      </c>
      <c r="AO899" t="s">
        <v>32</v>
      </c>
      <c r="AR899">
        <v>0</v>
      </c>
      <c r="AU899" t="s">
        <v>32</v>
      </c>
      <c r="AV899">
        <v>1785595</v>
      </c>
      <c r="AW899" t="s">
        <v>32</v>
      </c>
      <c r="AX899" t="s">
        <v>32</v>
      </c>
      <c r="AY899" t="s">
        <v>356</v>
      </c>
      <c r="AZ899">
        <v>30</v>
      </c>
      <c r="BA899">
        <v>2110655</v>
      </c>
      <c r="BB899">
        <v>0.15999999642372131</v>
      </c>
      <c r="BC899">
        <v>337800</v>
      </c>
      <c r="BD899" t="s">
        <v>31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337800</v>
      </c>
      <c r="BK899" t="s">
        <v>25</v>
      </c>
      <c r="BL899" t="s">
        <v>1491</v>
      </c>
      <c r="BM899">
        <v>30</v>
      </c>
      <c r="BN899">
        <v>2110655</v>
      </c>
      <c r="BO899">
        <v>3.9999999105930328E-2</v>
      </c>
      <c r="BP899">
        <v>84500</v>
      </c>
      <c r="BQ899">
        <v>0</v>
      </c>
      <c r="BS899">
        <v>0</v>
      </c>
      <c r="BU899">
        <v>0</v>
      </c>
      <c r="BV899" t="s">
        <v>25</v>
      </c>
      <c r="BW899" t="s">
        <v>189</v>
      </c>
      <c r="BX899">
        <v>30</v>
      </c>
      <c r="BY899">
        <v>2110655</v>
      </c>
      <c r="BZ899">
        <v>6.9600000977516174E-2</v>
      </c>
      <c r="CA899" t="s">
        <v>1439</v>
      </c>
      <c r="CB899" t="s">
        <v>312</v>
      </c>
      <c r="CC899" t="s">
        <v>1440</v>
      </c>
      <c r="CD899">
        <v>147000</v>
      </c>
      <c r="CE899">
        <v>30</v>
      </c>
      <c r="CF899" t="s">
        <v>466</v>
      </c>
      <c r="CG899">
        <v>2110655</v>
      </c>
      <c r="CH899">
        <v>3.9999999105930328E-2</v>
      </c>
      <c r="CI899">
        <v>84500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 t="s">
        <v>88</v>
      </c>
      <c r="CT899" t="s">
        <v>142</v>
      </c>
      <c r="CU899" t="s">
        <v>1442</v>
      </c>
    </row>
    <row r="900" spans="1:99">
      <c r="A900" t="s">
        <v>3047</v>
      </c>
      <c r="B900" t="s">
        <v>34</v>
      </c>
      <c r="C900" t="s">
        <v>2173</v>
      </c>
      <c r="D900" t="s">
        <v>3058</v>
      </c>
      <c r="E900" t="s">
        <v>1620</v>
      </c>
      <c r="F900" t="s">
        <v>2175</v>
      </c>
      <c r="G900" t="s">
        <v>3059</v>
      </c>
      <c r="H900" t="s">
        <v>1928</v>
      </c>
      <c r="I900" t="s">
        <v>682</v>
      </c>
      <c r="J900" t="s">
        <v>484</v>
      </c>
      <c r="K900" t="s">
        <v>29</v>
      </c>
      <c r="L900" t="s">
        <v>30</v>
      </c>
      <c r="M900">
        <v>205</v>
      </c>
      <c r="N900" t="s">
        <v>32</v>
      </c>
      <c r="O900" t="s">
        <v>32</v>
      </c>
      <c r="Q900" t="s">
        <v>32</v>
      </c>
      <c r="S900" t="s">
        <v>32</v>
      </c>
      <c r="U900" t="s">
        <v>32</v>
      </c>
      <c r="V900" t="s">
        <v>32</v>
      </c>
      <c r="W900" t="s">
        <v>32</v>
      </c>
      <c r="X900" t="s">
        <v>32</v>
      </c>
      <c r="Y900" t="s">
        <v>32</v>
      </c>
      <c r="AA900" t="s">
        <v>88</v>
      </c>
      <c r="AB900" t="s">
        <v>32</v>
      </c>
      <c r="AE900" t="s">
        <v>32</v>
      </c>
      <c r="AH900" t="s">
        <v>32</v>
      </c>
      <c r="AK900" t="s">
        <v>32</v>
      </c>
      <c r="AN900" t="s">
        <v>32</v>
      </c>
      <c r="AO900" t="s">
        <v>32</v>
      </c>
      <c r="AR900">
        <v>0</v>
      </c>
      <c r="AU900" t="s">
        <v>32</v>
      </c>
      <c r="AV900">
        <v>2074908</v>
      </c>
      <c r="AW900" t="s">
        <v>32</v>
      </c>
      <c r="AX900" t="s">
        <v>32</v>
      </c>
      <c r="AY900" t="s">
        <v>317</v>
      </c>
      <c r="AZ900">
        <v>30</v>
      </c>
      <c r="BA900">
        <v>2452635</v>
      </c>
      <c r="BB900">
        <v>0.15999999642372131</v>
      </c>
      <c r="BC900">
        <v>392500</v>
      </c>
      <c r="BD900" t="s">
        <v>31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392500</v>
      </c>
      <c r="BK900" t="s">
        <v>25</v>
      </c>
      <c r="BL900" t="s">
        <v>1491</v>
      </c>
      <c r="BM900">
        <v>30</v>
      </c>
      <c r="BN900">
        <v>2452635</v>
      </c>
      <c r="BO900">
        <v>3.9999999105930328E-2</v>
      </c>
      <c r="BP900">
        <v>98200</v>
      </c>
      <c r="BQ900">
        <v>0</v>
      </c>
      <c r="BS900">
        <v>0</v>
      </c>
      <c r="BU900">
        <v>0</v>
      </c>
      <c r="BV900" t="s">
        <v>25</v>
      </c>
      <c r="BW900" t="s">
        <v>189</v>
      </c>
      <c r="BX900">
        <v>30</v>
      </c>
      <c r="BY900">
        <v>2452635</v>
      </c>
      <c r="BZ900">
        <v>6.9600000977516174E-2</v>
      </c>
      <c r="CA900" t="s">
        <v>1439</v>
      </c>
      <c r="CB900" t="s">
        <v>312</v>
      </c>
      <c r="CC900" t="s">
        <v>1440</v>
      </c>
      <c r="CD900">
        <v>170800</v>
      </c>
      <c r="CE900">
        <v>30</v>
      </c>
      <c r="CF900" t="s">
        <v>466</v>
      </c>
      <c r="CG900">
        <v>2452635</v>
      </c>
      <c r="CH900">
        <v>3.9999999105930328E-2</v>
      </c>
      <c r="CI900">
        <v>98200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 t="s">
        <v>88</v>
      </c>
      <c r="CT900" t="s">
        <v>142</v>
      </c>
      <c r="CU900" t="s">
        <v>1442</v>
      </c>
    </row>
    <row r="901" spans="1:99">
      <c r="A901" t="s">
        <v>3047</v>
      </c>
      <c r="B901" t="s">
        <v>34</v>
      </c>
      <c r="C901" t="s">
        <v>2177</v>
      </c>
      <c r="D901" t="s">
        <v>2178</v>
      </c>
      <c r="E901" t="s">
        <v>1502</v>
      </c>
      <c r="F901" t="s">
        <v>2179</v>
      </c>
      <c r="G901" t="s">
        <v>2066</v>
      </c>
      <c r="H901" t="s">
        <v>1613</v>
      </c>
      <c r="I901" t="s">
        <v>682</v>
      </c>
      <c r="J901" t="s">
        <v>484</v>
      </c>
      <c r="K901" t="s">
        <v>29</v>
      </c>
      <c r="L901" t="s">
        <v>30</v>
      </c>
      <c r="M901">
        <v>197</v>
      </c>
      <c r="N901" t="s">
        <v>32</v>
      </c>
      <c r="O901" t="s">
        <v>32</v>
      </c>
      <c r="Q901" t="s">
        <v>40</v>
      </c>
      <c r="R901">
        <v>46055</v>
      </c>
      <c r="S901" t="s">
        <v>32</v>
      </c>
      <c r="U901" t="s">
        <v>32</v>
      </c>
      <c r="V901" t="s">
        <v>32</v>
      </c>
      <c r="W901" t="s">
        <v>32</v>
      </c>
      <c r="X901" t="s">
        <v>32</v>
      </c>
      <c r="Y901" t="s">
        <v>32</v>
      </c>
      <c r="AA901" t="s">
        <v>88</v>
      </c>
      <c r="AB901" t="s">
        <v>32</v>
      </c>
      <c r="AE901" t="s">
        <v>32</v>
      </c>
      <c r="AH901" t="s">
        <v>32</v>
      </c>
      <c r="AK901" t="s">
        <v>32</v>
      </c>
      <c r="AN901" t="s">
        <v>32</v>
      </c>
      <c r="AO901" t="s">
        <v>32</v>
      </c>
      <c r="AR901">
        <v>0</v>
      </c>
      <c r="AU901" t="s">
        <v>32</v>
      </c>
      <c r="AV901">
        <v>1785595</v>
      </c>
      <c r="AW901" t="s">
        <v>32</v>
      </c>
      <c r="AX901" t="s">
        <v>32</v>
      </c>
      <c r="AY901" t="s">
        <v>317</v>
      </c>
      <c r="AZ901">
        <v>29</v>
      </c>
      <c r="BA901">
        <v>1898548</v>
      </c>
      <c r="BB901">
        <v>0.15999999642372131</v>
      </c>
      <c r="BC901">
        <v>303800</v>
      </c>
      <c r="BD901" t="s">
        <v>31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303800</v>
      </c>
      <c r="BK901" t="s">
        <v>25</v>
      </c>
      <c r="BL901" t="s">
        <v>726</v>
      </c>
      <c r="BM901">
        <v>29</v>
      </c>
      <c r="BN901">
        <v>1898548</v>
      </c>
      <c r="BO901">
        <v>3.9999999105930328E-2</v>
      </c>
      <c r="BP901">
        <v>76000</v>
      </c>
      <c r="BQ901">
        <v>0</v>
      </c>
      <c r="BS901">
        <v>0</v>
      </c>
      <c r="BU901">
        <v>0</v>
      </c>
      <c r="BV901" t="s">
        <v>25</v>
      </c>
      <c r="BW901" t="s">
        <v>189</v>
      </c>
      <c r="BX901">
        <v>29</v>
      </c>
      <c r="BY901">
        <v>1898548</v>
      </c>
      <c r="BZ901">
        <v>6.9600000977516174E-2</v>
      </c>
      <c r="CA901" t="s">
        <v>1439</v>
      </c>
      <c r="CB901" t="s">
        <v>312</v>
      </c>
      <c r="CC901" t="s">
        <v>1440</v>
      </c>
      <c r="CD901">
        <v>132200</v>
      </c>
      <c r="CE901">
        <v>29</v>
      </c>
      <c r="CF901" t="s">
        <v>466</v>
      </c>
      <c r="CG901">
        <v>1898548</v>
      </c>
      <c r="CH901">
        <v>3.9999999105930328E-2</v>
      </c>
      <c r="CI901">
        <v>76000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 t="s">
        <v>88</v>
      </c>
      <c r="CT901" t="s">
        <v>142</v>
      </c>
      <c r="CU901" t="s">
        <v>1442</v>
      </c>
    </row>
    <row r="902" spans="1:99">
      <c r="A902" t="s">
        <v>3047</v>
      </c>
      <c r="B902" t="s">
        <v>34</v>
      </c>
      <c r="C902" t="s">
        <v>2180</v>
      </c>
      <c r="D902" t="s">
        <v>2181</v>
      </c>
      <c r="E902" t="s">
        <v>1914</v>
      </c>
      <c r="F902" t="s">
        <v>2182</v>
      </c>
      <c r="G902" t="s">
        <v>2183</v>
      </c>
      <c r="H902" t="s">
        <v>1498</v>
      </c>
      <c r="I902" t="s">
        <v>240</v>
      </c>
      <c r="J902" t="s">
        <v>46</v>
      </c>
      <c r="K902" t="s">
        <v>29</v>
      </c>
      <c r="L902" t="s">
        <v>30</v>
      </c>
      <c r="M902">
        <v>0</v>
      </c>
      <c r="N902" t="s">
        <v>32</v>
      </c>
      <c r="O902" t="s">
        <v>32</v>
      </c>
      <c r="Q902" t="s">
        <v>32</v>
      </c>
      <c r="S902" t="s">
        <v>32</v>
      </c>
      <c r="U902" t="s">
        <v>32</v>
      </c>
      <c r="V902" t="s">
        <v>32</v>
      </c>
      <c r="W902" t="s">
        <v>32</v>
      </c>
      <c r="X902" t="s">
        <v>32</v>
      </c>
      <c r="Y902" t="s">
        <v>32</v>
      </c>
      <c r="AA902" t="s">
        <v>32</v>
      </c>
      <c r="AB902" t="s">
        <v>37</v>
      </c>
      <c r="AC902">
        <v>46054</v>
      </c>
      <c r="AD902">
        <v>46055</v>
      </c>
      <c r="AE902" t="s">
        <v>32</v>
      </c>
      <c r="AH902" t="s">
        <v>32</v>
      </c>
      <c r="AK902" t="s">
        <v>32</v>
      </c>
      <c r="AN902" t="s">
        <v>32</v>
      </c>
      <c r="AO902" t="s">
        <v>32</v>
      </c>
      <c r="AR902">
        <v>0</v>
      </c>
      <c r="AU902" t="s">
        <v>32</v>
      </c>
      <c r="AV902">
        <v>1785595</v>
      </c>
      <c r="AW902" t="s">
        <v>32</v>
      </c>
      <c r="AX902" t="s">
        <v>32</v>
      </c>
      <c r="AY902" t="s">
        <v>317</v>
      </c>
      <c r="AZ902">
        <v>2</v>
      </c>
      <c r="BA902">
        <v>178560</v>
      </c>
      <c r="BB902">
        <v>0.15999999642372131</v>
      </c>
      <c r="BC902">
        <v>28600</v>
      </c>
      <c r="BD902" t="s">
        <v>31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28600</v>
      </c>
      <c r="BK902" t="s">
        <v>25</v>
      </c>
      <c r="BL902" t="s">
        <v>1064</v>
      </c>
      <c r="BM902">
        <v>2</v>
      </c>
      <c r="BN902">
        <v>178560</v>
      </c>
      <c r="BO902">
        <v>0</v>
      </c>
      <c r="BP902">
        <v>0</v>
      </c>
      <c r="BQ902">
        <v>0</v>
      </c>
      <c r="BS902">
        <v>0</v>
      </c>
      <c r="BU902">
        <v>0</v>
      </c>
      <c r="BV902" t="s">
        <v>25</v>
      </c>
      <c r="BW902" t="s">
        <v>189</v>
      </c>
      <c r="BX902">
        <v>2</v>
      </c>
      <c r="BY902">
        <v>178560</v>
      </c>
      <c r="BZ902">
        <v>0</v>
      </c>
      <c r="CA902" t="s">
        <v>1439</v>
      </c>
      <c r="CB902" t="s">
        <v>227</v>
      </c>
      <c r="CC902" t="s">
        <v>1440</v>
      </c>
      <c r="CD902">
        <v>0</v>
      </c>
      <c r="CE902">
        <v>2</v>
      </c>
      <c r="CF902" t="s">
        <v>635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 t="s">
        <v>88</v>
      </c>
      <c r="CT902" t="s">
        <v>142</v>
      </c>
      <c r="CU902" t="s">
        <v>1442</v>
      </c>
    </row>
    <row r="903" spans="1:99">
      <c r="A903" t="s">
        <v>3047</v>
      </c>
      <c r="B903" t="s">
        <v>34</v>
      </c>
      <c r="C903" t="s">
        <v>2180</v>
      </c>
      <c r="D903" t="s">
        <v>2181</v>
      </c>
      <c r="E903" t="s">
        <v>1914</v>
      </c>
      <c r="F903" t="s">
        <v>2182</v>
      </c>
      <c r="G903" t="s">
        <v>2183</v>
      </c>
      <c r="H903" t="s">
        <v>1498</v>
      </c>
      <c r="I903" t="s">
        <v>240</v>
      </c>
      <c r="J903" t="s">
        <v>46</v>
      </c>
      <c r="K903" t="s">
        <v>29</v>
      </c>
      <c r="L903" t="s">
        <v>30</v>
      </c>
      <c r="M903">
        <v>13</v>
      </c>
      <c r="N903" t="s">
        <v>32</v>
      </c>
      <c r="O903" t="s">
        <v>32</v>
      </c>
      <c r="Q903" t="s">
        <v>32</v>
      </c>
      <c r="S903" t="s">
        <v>40</v>
      </c>
      <c r="T903">
        <v>46056</v>
      </c>
      <c r="U903" t="s">
        <v>32</v>
      </c>
      <c r="V903" t="s">
        <v>32</v>
      </c>
      <c r="W903" t="s">
        <v>32</v>
      </c>
      <c r="X903" t="s">
        <v>32</v>
      </c>
      <c r="Y903" t="s">
        <v>32</v>
      </c>
      <c r="AA903" t="s">
        <v>88</v>
      </c>
      <c r="AB903" t="s">
        <v>32</v>
      </c>
      <c r="AE903" t="s">
        <v>32</v>
      </c>
      <c r="AH903" t="s">
        <v>32</v>
      </c>
      <c r="AK903" t="s">
        <v>32</v>
      </c>
      <c r="AN903" t="s">
        <v>32</v>
      </c>
      <c r="AO903" t="s">
        <v>32</v>
      </c>
      <c r="AR903">
        <v>0</v>
      </c>
      <c r="AU903" t="s">
        <v>32</v>
      </c>
      <c r="AV903">
        <v>1785595</v>
      </c>
      <c r="AW903" t="s">
        <v>32</v>
      </c>
      <c r="AX903" t="s">
        <v>32</v>
      </c>
      <c r="AY903" t="s">
        <v>317</v>
      </c>
      <c r="AZ903">
        <v>1</v>
      </c>
      <c r="BA903">
        <v>560122</v>
      </c>
      <c r="BB903">
        <v>0.15999999642372131</v>
      </c>
      <c r="BC903">
        <v>89700</v>
      </c>
      <c r="BD903" t="s">
        <v>31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89700</v>
      </c>
      <c r="BK903" t="s">
        <v>25</v>
      </c>
      <c r="BL903" t="s">
        <v>1064</v>
      </c>
      <c r="BM903">
        <v>1</v>
      </c>
      <c r="BN903">
        <v>560122</v>
      </c>
      <c r="BO903">
        <v>3.9999999105930328E-2</v>
      </c>
      <c r="BP903">
        <v>22500</v>
      </c>
      <c r="BQ903">
        <v>0</v>
      </c>
      <c r="BS903">
        <v>0</v>
      </c>
      <c r="BU903">
        <v>0</v>
      </c>
      <c r="BV903" t="s">
        <v>25</v>
      </c>
      <c r="BW903" t="s">
        <v>189</v>
      </c>
      <c r="BX903">
        <v>1</v>
      </c>
      <c r="BY903">
        <v>560122</v>
      </c>
      <c r="BZ903">
        <v>6.9600000977516174E-2</v>
      </c>
      <c r="CA903" t="s">
        <v>1439</v>
      </c>
      <c r="CB903" t="s">
        <v>227</v>
      </c>
      <c r="CC903" t="s">
        <v>1440</v>
      </c>
      <c r="CD903">
        <v>39000</v>
      </c>
      <c r="CE903">
        <v>1</v>
      </c>
      <c r="CF903" t="s">
        <v>635</v>
      </c>
      <c r="CG903">
        <v>1159900</v>
      </c>
      <c r="CH903">
        <v>3.9999999105930328E-2</v>
      </c>
      <c r="CI903">
        <v>46400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 t="s">
        <v>88</v>
      </c>
      <c r="CT903" t="s">
        <v>142</v>
      </c>
      <c r="CU903" t="s">
        <v>1442</v>
      </c>
    </row>
    <row r="904" spans="1:99">
      <c r="A904" t="s">
        <v>3047</v>
      </c>
      <c r="B904" t="s">
        <v>34</v>
      </c>
      <c r="C904" t="s">
        <v>2184</v>
      </c>
      <c r="D904" t="s">
        <v>2185</v>
      </c>
      <c r="E904" t="s">
        <v>1900</v>
      </c>
      <c r="F904" t="s">
        <v>2186</v>
      </c>
      <c r="G904" t="s">
        <v>1859</v>
      </c>
      <c r="H904" t="s">
        <v>2046</v>
      </c>
      <c r="I904" t="s">
        <v>682</v>
      </c>
      <c r="J904" t="s">
        <v>484</v>
      </c>
      <c r="K904" t="s">
        <v>29</v>
      </c>
      <c r="L904" t="s">
        <v>30</v>
      </c>
      <c r="M904">
        <v>0</v>
      </c>
      <c r="N904" t="s">
        <v>32</v>
      </c>
      <c r="O904" t="s">
        <v>32</v>
      </c>
      <c r="Q904" t="s">
        <v>32</v>
      </c>
      <c r="S904" t="s">
        <v>32</v>
      </c>
      <c r="U904" t="s">
        <v>32</v>
      </c>
      <c r="V904" t="s">
        <v>32</v>
      </c>
      <c r="W904" t="s">
        <v>32</v>
      </c>
      <c r="X904" t="s">
        <v>32</v>
      </c>
      <c r="Y904" t="s">
        <v>32</v>
      </c>
      <c r="AA904" t="s">
        <v>32</v>
      </c>
      <c r="AB904" t="s">
        <v>37</v>
      </c>
      <c r="AC904">
        <v>46055</v>
      </c>
      <c r="AD904">
        <v>46055</v>
      </c>
      <c r="AE904" t="s">
        <v>32</v>
      </c>
      <c r="AH904" t="s">
        <v>32</v>
      </c>
      <c r="AK904" t="s">
        <v>32</v>
      </c>
      <c r="AN904" t="s">
        <v>32</v>
      </c>
      <c r="AO904" t="s">
        <v>32</v>
      </c>
      <c r="AR904">
        <v>0</v>
      </c>
      <c r="AU904" t="s">
        <v>32</v>
      </c>
      <c r="AV904">
        <v>1750905</v>
      </c>
      <c r="AW904" t="s">
        <v>32</v>
      </c>
      <c r="AX904" t="s">
        <v>32</v>
      </c>
      <c r="AY904" t="s">
        <v>317</v>
      </c>
      <c r="AZ904">
        <v>1</v>
      </c>
      <c r="BA904">
        <v>58364</v>
      </c>
      <c r="BB904">
        <v>0.15999999642372131</v>
      </c>
      <c r="BC904">
        <v>9400</v>
      </c>
      <c r="BD904" t="s">
        <v>31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9400</v>
      </c>
      <c r="BK904" t="s">
        <v>25</v>
      </c>
      <c r="BL904" t="s">
        <v>1071</v>
      </c>
      <c r="BM904">
        <v>1</v>
      </c>
      <c r="BN904">
        <v>58364</v>
      </c>
      <c r="BO904">
        <v>0</v>
      </c>
      <c r="BP904">
        <v>0</v>
      </c>
      <c r="BQ904">
        <v>0</v>
      </c>
      <c r="BS904">
        <v>0</v>
      </c>
      <c r="BU904">
        <v>0</v>
      </c>
      <c r="BV904" t="s">
        <v>25</v>
      </c>
      <c r="BW904" t="s">
        <v>189</v>
      </c>
      <c r="BX904">
        <v>1</v>
      </c>
      <c r="BY904">
        <v>58364</v>
      </c>
      <c r="BZ904">
        <v>0</v>
      </c>
      <c r="CA904" t="s">
        <v>1439</v>
      </c>
      <c r="CB904" t="s">
        <v>312</v>
      </c>
      <c r="CC904" t="s">
        <v>1440</v>
      </c>
      <c r="CD904">
        <v>0</v>
      </c>
      <c r="CE904">
        <v>1</v>
      </c>
      <c r="CF904" t="s">
        <v>466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 t="s">
        <v>88</v>
      </c>
      <c r="CT904" t="s">
        <v>142</v>
      </c>
      <c r="CU904" t="s">
        <v>1442</v>
      </c>
    </row>
    <row r="905" spans="1:99">
      <c r="A905" t="s">
        <v>3047</v>
      </c>
      <c r="B905" t="s">
        <v>34</v>
      </c>
      <c r="C905" t="s">
        <v>2184</v>
      </c>
      <c r="D905" t="s">
        <v>2185</v>
      </c>
      <c r="E905" t="s">
        <v>1900</v>
      </c>
      <c r="F905" t="s">
        <v>2186</v>
      </c>
      <c r="G905" t="s">
        <v>1859</v>
      </c>
      <c r="H905" t="s">
        <v>2046</v>
      </c>
      <c r="I905" t="s">
        <v>682</v>
      </c>
      <c r="J905" t="s">
        <v>484</v>
      </c>
      <c r="K905" t="s">
        <v>29</v>
      </c>
      <c r="L905" t="s">
        <v>30</v>
      </c>
      <c r="M905">
        <v>0</v>
      </c>
      <c r="N905" t="s">
        <v>32</v>
      </c>
      <c r="O905" t="s">
        <v>32</v>
      </c>
      <c r="Q905" t="s">
        <v>32</v>
      </c>
      <c r="S905" t="s">
        <v>32</v>
      </c>
      <c r="U905" t="s">
        <v>32</v>
      </c>
      <c r="V905" t="s">
        <v>32</v>
      </c>
      <c r="W905" t="s">
        <v>32</v>
      </c>
      <c r="X905" t="s">
        <v>32</v>
      </c>
      <c r="Y905" t="s">
        <v>32</v>
      </c>
      <c r="AA905" t="s">
        <v>32</v>
      </c>
      <c r="AB905" t="s">
        <v>37</v>
      </c>
      <c r="AC905">
        <v>46069</v>
      </c>
      <c r="AD905">
        <v>46069</v>
      </c>
      <c r="AE905" t="s">
        <v>32</v>
      </c>
      <c r="AH905" t="s">
        <v>32</v>
      </c>
      <c r="AK905" t="s">
        <v>32</v>
      </c>
      <c r="AN905" t="s">
        <v>32</v>
      </c>
      <c r="AO905" t="s">
        <v>32</v>
      </c>
      <c r="AR905">
        <v>0</v>
      </c>
      <c r="AU905" t="s">
        <v>32</v>
      </c>
      <c r="AV905">
        <v>1750905</v>
      </c>
      <c r="AW905" t="s">
        <v>32</v>
      </c>
      <c r="AX905" t="s">
        <v>32</v>
      </c>
      <c r="AY905" t="s">
        <v>317</v>
      </c>
      <c r="AZ905">
        <v>1</v>
      </c>
      <c r="BA905">
        <v>58364</v>
      </c>
      <c r="BB905">
        <v>0.15999999642372131</v>
      </c>
      <c r="BC905">
        <v>9400</v>
      </c>
      <c r="BD905" t="s">
        <v>31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9400</v>
      </c>
      <c r="BK905" t="s">
        <v>25</v>
      </c>
      <c r="BL905" t="s">
        <v>1071</v>
      </c>
      <c r="BM905">
        <v>1</v>
      </c>
      <c r="BN905">
        <v>58364</v>
      </c>
      <c r="BO905">
        <v>0</v>
      </c>
      <c r="BP905">
        <v>0</v>
      </c>
      <c r="BQ905">
        <v>0</v>
      </c>
      <c r="BS905">
        <v>0</v>
      </c>
      <c r="BU905">
        <v>0</v>
      </c>
      <c r="BV905" t="s">
        <v>25</v>
      </c>
      <c r="BW905" t="s">
        <v>189</v>
      </c>
      <c r="BX905">
        <v>1</v>
      </c>
      <c r="BY905">
        <v>58364</v>
      </c>
      <c r="BZ905">
        <v>0</v>
      </c>
      <c r="CA905" t="s">
        <v>1439</v>
      </c>
      <c r="CB905" t="s">
        <v>312</v>
      </c>
      <c r="CC905" t="s">
        <v>1440</v>
      </c>
      <c r="CD905">
        <v>0</v>
      </c>
      <c r="CE905">
        <v>1</v>
      </c>
      <c r="CF905" t="s">
        <v>466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 t="s">
        <v>88</v>
      </c>
      <c r="CT905" t="s">
        <v>142</v>
      </c>
      <c r="CU905" t="s">
        <v>1442</v>
      </c>
    </row>
    <row r="906" spans="1:99">
      <c r="A906" t="s">
        <v>3047</v>
      </c>
      <c r="B906" t="s">
        <v>34</v>
      </c>
      <c r="C906" t="s">
        <v>2184</v>
      </c>
      <c r="D906" t="s">
        <v>2185</v>
      </c>
      <c r="E906" t="s">
        <v>1900</v>
      </c>
      <c r="F906" t="s">
        <v>2186</v>
      </c>
      <c r="G906" t="s">
        <v>1859</v>
      </c>
      <c r="H906" t="s">
        <v>2046</v>
      </c>
      <c r="I906" t="s">
        <v>682</v>
      </c>
      <c r="J906" t="s">
        <v>484</v>
      </c>
      <c r="K906" t="s">
        <v>29</v>
      </c>
      <c r="L906" t="s">
        <v>30</v>
      </c>
      <c r="M906">
        <v>190</v>
      </c>
      <c r="N906" t="s">
        <v>32</v>
      </c>
      <c r="O906" t="s">
        <v>32</v>
      </c>
      <c r="Q906" t="s">
        <v>32</v>
      </c>
      <c r="S906" t="s">
        <v>32</v>
      </c>
      <c r="U906" t="s">
        <v>32</v>
      </c>
      <c r="V906" t="s">
        <v>32</v>
      </c>
      <c r="W906" t="s">
        <v>32</v>
      </c>
      <c r="X906" t="s">
        <v>32</v>
      </c>
      <c r="Y906" t="s">
        <v>32</v>
      </c>
      <c r="AA906" t="s">
        <v>88</v>
      </c>
      <c r="AB906" t="s">
        <v>32</v>
      </c>
      <c r="AE906" t="s">
        <v>32</v>
      </c>
      <c r="AH906" t="s">
        <v>32</v>
      </c>
      <c r="AK906" t="s">
        <v>32</v>
      </c>
      <c r="AN906" t="s">
        <v>32</v>
      </c>
      <c r="AO906" t="s">
        <v>32</v>
      </c>
      <c r="AR906">
        <v>0</v>
      </c>
      <c r="AU906" t="s">
        <v>32</v>
      </c>
      <c r="AV906">
        <v>1750905</v>
      </c>
      <c r="AW906" t="s">
        <v>32</v>
      </c>
      <c r="AX906" t="s">
        <v>32</v>
      </c>
      <c r="AY906" t="s">
        <v>317</v>
      </c>
      <c r="AZ906">
        <v>28</v>
      </c>
      <c r="BA906">
        <v>1947748</v>
      </c>
      <c r="BB906">
        <v>0.15999999642372131</v>
      </c>
      <c r="BC906">
        <v>311700</v>
      </c>
      <c r="BD906" t="s">
        <v>31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311700</v>
      </c>
      <c r="BK906" t="s">
        <v>25</v>
      </c>
      <c r="BL906" t="s">
        <v>1071</v>
      </c>
      <c r="BM906">
        <v>28</v>
      </c>
      <c r="BN906">
        <v>1947748</v>
      </c>
      <c r="BO906">
        <v>3.9999999105930328E-2</v>
      </c>
      <c r="BP906">
        <v>78000</v>
      </c>
      <c r="BQ906">
        <v>0</v>
      </c>
      <c r="BS906">
        <v>0</v>
      </c>
      <c r="BU906">
        <v>0</v>
      </c>
      <c r="BV906" t="s">
        <v>25</v>
      </c>
      <c r="BW906" t="s">
        <v>189</v>
      </c>
      <c r="BX906">
        <v>28</v>
      </c>
      <c r="BY906">
        <v>1947748</v>
      </c>
      <c r="BZ906">
        <v>6.9600000977516174E-2</v>
      </c>
      <c r="CA906" t="s">
        <v>1439</v>
      </c>
      <c r="CB906" t="s">
        <v>312</v>
      </c>
      <c r="CC906" t="s">
        <v>1440</v>
      </c>
      <c r="CD906">
        <v>135600</v>
      </c>
      <c r="CE906">
        <v>28</v>
      </c>
      <c r="CF906" t="s">
        <v>466</v>
      </c>
      <c r="CG906">
        <v>1947749</v>
      </c>
      <c r="CH906">
        <v>3.9999999105930328E-2</v>
      </c>
      <c r="CI906">
        <v>78000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 t="s">
        <v>88</v>
      </c>
      <c r="CT906" t="s">
        <v>142</v>
      </c>
      <c r="CU906" t="s">
        <v>1442</v>
      </c>
    </row>
    <row r="907" spans="1:99">
      <c r="A907" t="s">
        <v>3047</v>
      </c>
      <c r="B907" t="s">
        <v>34</v>
      </c>
      <c r="C907" t="s">
        <v>2187</v>
      </c>
      <c r="D907" t="s">
        <v>2188</v>
      </c>
      <c r="E907" t="s">
        <v>2189</v>
      </c>
      <c r="F907" t="s">
        <v>2190</v>
      </c>
      <c r="G907" t="s">
        <v>1479</v>
      </c>
      <c r="H907" t="s">
        <v>1436</v>
      </c>
      <c r="I907" t="s">
        <v>240</v>
      </c>
      <c r="J907" t="s">
        <v>46</v>
      </c>
      <c r="K907" t="s">
        <v>29</v>
      </c>
      <c r="L907" t="s">
        <v>30</v>
      </c>
      <c r="M907">
        <v>0</v>
      </c>
      <c r="N907" t="s">
        <v>32</v>
      </c>
      <c r="O907" t="s">
        <v>32</v>
      </c>
      <c r="Q907" t="s">
        <v>32</v>
      </c>
      <c r="S907" t="s">
        <v>32</v>
      </c>
      <c r="U907" t="s">
        <v>32</v>
      </c>
      <c r="V907" t="s">
        <v>32</v>
      </c>
      <c r="W907" t="s">
        <v>32</v>
      </c>
      <c r="X907" t="s">
        <v>32</v>
      </c>
      <c r="Y907" t="s">
        <v>32</v>
      </c>
      <c r="AA907" t="s">
        <v>32</v>
      </c>
      <c r="AB907" t="s">
        <v>37</v>
      </c>
      <c r="AC907">
        <v>46054</v>
      </c>
      <c r="AD907">
        <v>46055</v>
      </c>
      <c r="AE907" t="s">
        <v>32</v>
      </c>
      <c r="AH907" t="s">
        <v>32</v>
      </c>
      <c r="AK907" t="s">
        <v>32</v>
      </c>
      <c r="AN907" t="s">
        <v>32</v>
      </c>
      <c r="AO907" t="s">
        <v>32</v>
      </c>
      <c r="AR907">
        <v>0</v>
      </c>
      <c r="AU907" t="s">
        <v>32</v>
      </c>
      <c r="AV907">
        <v>1750905</v>
      </c>
      <c r="AW907" t="s">
        <v>32</v>
      </c>
      <c r="AX907" t="s">
        <v>32</v>
      </c>
      <c r="AY907" t="s">
        <v>317</v>
      </c>
      <c r="AZ907">
        <v>2</v>
      </c>
      <c r="BA907">
        <v>116727</v>
      </c>
      <c r="BB907">
        <v>0.15999999642372131</v>
      </c>
      <c r="BC907">
        <v>18700</v>
      </c>
      <c r="BD907" t="s">
        <v>31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18700</v>
      </c>
      <c r="BK907" t="s">
        <v>25</v>
      </c>
      <c r="BL907" t="s">
        <v>1010</v>
      </c>
      <c r="BM907">
        <v>2</v>
      </c>
      <c r="BN907">
        <v>116727</v>
      </c>
      <c r="BO907">
        <v>0</v>
      </c>
      <c r="BP907">
        <v>0</v>
      </c>
      <c r="BQ907">
        <v>0</v>
      </c>
      <c r="BS907">
        <v>0</v>
      </c>
      <c r="BU907">
        <v>0</v>
      </c>
      <c r="BV907" t="s">
        <v>25</v>
      </c>
      <c r="BW907" t="s">
        <v>189</v>
      </c>
      <c r="BX907">
        <v>2</v>
      </c>
      <c r="BY907">
        <v>116727</v>
      </c>
      <c r="BZ907">
        <v>0</v>
      </c>
      <c r="CA907" t="s">
        <v>1439</v>
      </c>
      <c r="CB907" t="s">
        <v>227</v>
      </c>
      <c r="CC907" t="s">
        <v>1440</v>
      </c>
      <c r="CD907">
        <v>0</v>
      </c>
      <c r="CE907">
        <v>2</v>
      </c>
      <c r="CF907" t="s">
        <v>635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 t="s">
        <v>88</v>
      </c>
      <c r="CT907" t="s">
        <v>142</v>
      </c>
      <c r="CU907" t="s">
        <v>1442</v>
      </c>
    </row>
    <row r="908" spans="1:99">
      <c r="A908" t="s">
        <v>3047</v>
      </c>
      <c r="B908" t="s">
        <v>34</v>
      </c>
      <c r="C908" t="s">
        <v>2187</v>
      </c>
      <c r="D908" t="s">
        <v>2188</v>
      </c>
      <c r="E908" t="s">
        <v>2189</v>
      </c>
      <c r="F908" t="s">
        <v>2190</v>
      </c>
      <c r="G908" t="s">
        <v>1479</v>
      </c>
      <c r="H908" t="s">
        <v>1436</v>
      </c>
      <c r="I908" t="s">
        <v>240</v>
      </c>
      <c r="J908" t="s">
        <v>46</v>
      </c>
      <c r="K908" t="s">
        <v>29</v>
      </c>
      <c r="L908" t="s">
        <v>30</v>
      </c>
      <c r="M908">
        <v>0</v>
      </c>
      <c r="N908" t="s">
        <v>32</v>
      </c>
      <c r="O908" t="s">
        <v>32</v>
      </c>
      <c r="Q908" t="s">
        <v>32</v>
      </c>
      <c r="S908" t="s">
        <v>32</v>
      </c>
      <c r="U908" t="s">
        <v>32</v>
      </c>
      <c r="V908" t="s">
        <v>32</v>
      </c>
      <c r="W908" t="s">
        <v>32</v>
      </c>
      <c r="X908" t="s">
        <v>32</v>
      </c>
      <c r="Y908" t="s">
        <v>32</v>
      </c>
      <c r="AA908" t="s">
        <v>32</v>
      </c>
      <c r="AB908" t="s">
        <v>37</v>
      </c>
      <c r="AC908">
        <v>46058</v>
      </c>
      <c r="AD908">
        <v>46060</v>
      </c>
      <c r="AE908" t="s">
        <v>32</v>
      </c>
      <c r="AH908" t="s">
        <v>32</v>
      </c>
      <c r="AK908" t="s">
        <v>32</v>
      </c>
      <c r="AN908" t="s">
        <v>32</v>
      </c>
      <c r="AO908" t="s">
        <v>32</v>
      </c>
      <c r="AR908">
        <v>0</v>
      </c>
      <c r="AU908" t="s">
        <v>32</v>
      </c>
      <c r="AV908">
        <v>1750905</v>
      </c>
      <c r="AW908" t="s">
        <v>32</v>
      </c>
      <c r="AX908" t="s">
        <v>32</v>
      </c>
      <c r="AY908" t="s">
        <v>317</v>
      </c>
      <c r="AZ908">
        <v>3</v>
      </c>
      <c r="BA908">
        <v>175091</v>
      </c>
      <c r="BB908">
        <v>0.15999999642372131</v>
      </c>
      <c r="BC908">
        <v>28100</v>
      </c>
      <c r="BD908" t="s">
        <v>31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28100</v>
      </c>
      <c r="BK908" t="s">
        <v>25</v>
      </c>
      <c r="BL908" t="s">
        <v>1010</v>
      </c>
      <c r="BM908">
        <v>3</v>
      </c>
      <c r="BN908">
        <v>175091</v>
      </c>
      <c r="BO908">
        <v>0</v>
      </c>
      <c r="BP908">
        <v>0</v>
      </c>
      <c r="BQ908">
        <v>0</v>
      </c>
      <c r="BS908">
        <v>0</v>
      </c>
      <c r="BU908">
        <v>0</v>
      </c>
      <c r="BV908" t="s">
        <v>25</v>
      </c>
      <c r="BW908" t="s">
        <v>189</v>
      </c>
      <c r="BX908">
        <v>3</v>
      </c>
      <c r="BY908">
        <v>175091</v>
      </c>
      <c r="BZ908">
        <v>0</v>
      </c>
      <c r="CA908" t="s">
        <v>1439</v>
      </c>
      <c r="CB908" t="s">
        <v>227</v>
      </c>
      <c r="CC908" t="s">
        <v>1440</v>
      </c>
      <c r="CD908">
        <v>0</v>
      </c>
      <c r="CE908">
        <v>3</v>
      </c>
      <c r="CF908" t="s">
        <v>635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 t="s">
        <v>88</v>
      </c>
      <c r="CT908" t="s">
        <v>142</v>
      </c>
      <c r="CU908" t="s">
        <v>1442</v>
      </c>
    </row>
    <row r="909" spans="1:99">
      <c r="A909" t="s">
        <v>3047</v>
      </c>
      <c r="B909" t="s">
        <v>34</v>
      </c>
      <c r="C909" t="s">
        <v>2187</v>
      </c>
      <c r="D909" t="s">
        <v>2188</v>
      </c>
      <c r="E909" t="s">
        <v>2189</v>
      </c>
      <c r="F909" t="s">
        <v>2190</v>
      </c>
      <c r="G909" t="s">
        <v>1479</v>
      </c>
      <c r="H909" t="s">
        <v>1436</v>
      </c>
      <c r="I909" t="s">
        <v>240</v>
      </c>
      <c r="J909" t="s">
        <v>46</v>
      </c>
      <c r="K909" t="s">
        <v>29</v>
      </c>
      <c r="L909" t="s">
        <v>30</v>
      </c>
      <c r="M909">
        <v>35</v>
      </c>
      <c r="N909" t="s">
        <v>32</v>
      </c>
      <c r="O909" t="s">
        <v>32</v>
      </c>
      <c r="Q909" t="s">
        <v>32</v>
      </c>
      <c r="S909" t="s">
        <v>40</v>
      </c>
      <c r="T909">
        <v>46060</v>
      </c>
      <c r="U909" t="s">
        <v>32</v>
      </c>
      <c r="V909" t="s">
        <v>32</v>
      </c>
      <c r="W909" t="s">
        <v>32</v>
      </c>
      <c r="X909" t="s">
        <v>32</v>
      </c>
      <c r="Y909" t="s">
        <v>32</v>
      </c>
      <c r="AA909" t="s">
        <v>88</v>
      </c>
      <c r="AB909" t="s">
        <v>32</v>
      </c>
      <c r="AE909" t="s">
        <v>32</v>
      </c>
      <c r="AH909" t="s">
        <v>32</v>
      </c>
      <c r="AK909" t="s">
        <v>32</v>
      </c>
      <c r="AN909" t="s">
        <v>32</v>
      </c>
      <c r="AO909" t="s">
        <v>32</v>
      </c>
      <c r="AR909">
        <v>0</v>
      </c>
      <c r="AU909" t="s">
        <v>32</v>
      </c>
      <c r="AV909">
        <v>1750905</v>
      </c>
      <c r="AW909" t="s">
        <v>32</v>
      </c>
      <c r="AX909" t="s">
        <v>32</v>
      </c>
      <c r="AY909" t="s">
        <v>317</v>
      </c>
      <c r="AZ909">
        <v>2</v>
      </c>
      <c r="BA909">
        <v>635725</v>
      </c>
      <c r="BB909">
        <v>0.15999999642372131</v>
      </c>
      <c r="BC909">
        <v>101800</v>
      </c>
      <c r="BD909" t="s">
        <v>31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101800</v>
      </c>
      <c r="BK909" t="s">
        <v>25</v>
      </c>
      <c r="BL909" t="s">
        <v>1010</v>
      </c>
      <c r="BM909">
        <v>2</v>
      </c>
      <c r="BN909">
        <v>635725</v>
      </c>
      <c r="BO909">
        <v>3.9999999105930328E-2</v>
      </c>
      <c r="BP909">
        <v>25500</v>
      </c>
      <c r="BQ909">
        <v>0</v>
      </c>
      <c r="BS909">
        <v>0</v>
      </c>
      <c r="BU909">
        <v>0</v>
      </c>
      <c r="BV909" t="s">
        <v>25</v>
      </c>
      <c r="BW909" t="s">
        <v>189</v>
      </c>
      <c r="BX909">
        <v>2</v>
      </c>
      <c r="BY909">
        <v>635725</v>
      </c>
      <c r="BZ909">
        <v>6.9600000977516174E-2</v>
      </c>
      <c r="CA909" t="s">
        <v>1439</v>
      </c>
      <c r="CB909" t="s">
        <v>227</v>
      </c>
      <c r="CC909" t="s">
        <v>1440</v>
      </c>
      <c r="CD909">
        <v>44300</v>
      </c>
      <c r="CE909">
        <v>2</v>
      </c>
      <c r="CF909" t="s">
        <v>635</v>
      </c>
      <c r="CG909">
        <v>1052570</v>
      </c>
      <c r="CH909">
        <v>3.9999999105930328E-2</v>
      </c>
      <c r="CI909">
        <v>42200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 t="s">
        <v>88</v>
      </c>
      <c r="CT909" t="s">
        <v>142</v>
      </c>
      <c r="CU909" t="s">
        <v>1442</v>
      </c>
    </row>
    <row r="910" spans="1:99">
      <c r="A910" t="s">
        <v>3047</v>
      </c>
      <c r="B910" t="s">
        <v>34</v>
      </c>
      <c r="C910" t="s">
        <v>2191</v>
      </c>
      <c r="D910" t="s">
        <v>2192</v>
      </c>
      <c r="E910" t="s">
        <v>1818</v>
      </c>
      <c r="F910" t="s">
        <v>2193</v>
      </c>
      <c r="G910" t="s">
        <v>2194</v>
      </c>
      <c r="H910" t="s">
        <v>2046</v>
      </c>
      <c r="I910" t="s">
        <v>682</v>
      </c>
      <c r="J910" t="s">
        <v>484</v>
      </c>
      <c r="K910" t="s">
        <v>29</v>
      </c>
      <c r="L910" t="s">
        <v>30</v>
      </c>
      <c r="M910">
        <v>0</v>
      </c>
      <c r="N910" t="s">
        <v>32</v>
      </c>
      <c r="O910" t="s">
        <v>32</v>
      </c>
      <c r="Q910" t="s">
        <v>32</v>
      </c>
      <c r="S910" t="s">
        <v>32</v>
      </c>
      <c r="U910" t="s">
        <v>32</v>
      </c>
      <c r="V910" t="s">
        <v>32</v>
      </c>
      <c r="W910" t="s">
        <v>32</v>
      </c>
      <c r="X910" t="s">
        <v>32</v>
      </c>
      <c r="Y910" t="s">
        <v>32</v>
      </c>
      <c r="AA910" t="s">
        <v>32</v>
      </c>
      <c r="AB910" t="s">
        <v>37</v>
      </c>
      <c r="AC910">
        <v>46054</v>
      </c>
      <c r="AD910">
        <v>46054</v>
      </c>
      <c r="AE910" t="s">
        <v>32</v>
      </c>
      <c r="AH910" t="s">
        <v>32</v>
      </c>
      <c r="AK910" t="s">
        <v>32</v>
      </c>
      <c r="AN910" t="s">
        <v>32</v>
      </c>
      <c r="AO910" t="s">
        <v>32</v>
      </c>
      <c r="AR910">
        <v>0</v>
      </c>
      <c r="AU910" t="s">
        <v>32</v>
      </c>
      <c r="AV910">
        <v>1750905</v>
      </c>
      <c r="AW910" t="s">
        <v>32</v>
      </c>
      <c r="AX910" t="s">
        <v>32</v>
      </c>
      <c r="AY910" t="s">
        <v>317</v>
      </c>
      <c r="AZ910">
        <v>1</v>
      </c>
      <c r="BA910">
        <v>58364</v>
      </c>
      <c r="BB910">
        <v>0.15999999642372131</v>
      </c>
      <c r="BC910">
        <v>9400</v>
      </c>
      <c r="BD910" t="s">
        <v>31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9400</v>
      </c>
      <c r="BK910" t="s">
        <v>25</v>
      </c>
      <c r="BL910" t="s">
        <v>1010</v>
      </c>
      <c r="BM910">
        <v>1</v>
      </c>
      <c r="BN910">
        <v>58364</v>
      </c>
      <c r="BO910">
        <v>0</v>
      </c>
      <c r="BP910">
        <v>0</v>
      </c>
      <c r="BQ910">
        <v>0</v>
      </c>
      <c r="BS910">
        <v>0</v>
      </c>
      <c r="BU910">
        <v>0</v>
      </c>
      <c r="BV910" t="s">
        <v>25</v>
      </c>
      <c r="BW910" t="s">
        <v>189</v>
      </c>
      <c r="BX910">
        <v>1</v>
      </c>
      <c r="BY910">
        <v>58364</v>
      </c>
      <c r="BZ910">
        <v>0</v>
      </c>
      <c r="CA910" t="s">
        <v>1439</v>
      </c>
      <c r="CB910" t="s">
        <v>312</v>
      </c>
      <c r="CC910" t="s">
        <v>1440</v>
      </c>
      <c r="CD910">
        <v>0</v>
      </c>
      <c r="CE910">
        <v>1</v>
      </c>
      <c r="CF910" t="s">
        <v>466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 t="s">
        <v>88</v>
      </c>
      <c r="CT910" t="s">
        <v>142</v>
      </c>
      <c r="CU910" t="s">
        <v>1442</v>
      </c>
    </row>
    <row r="911" spans="1:99">
      <c r="A911" t="s">
        <v>3047</v>
      </c>
      <c r="B911" t="s">
        <v>34</v>
      </c>
      <c r="C911" t="s">
        <v>2191</v>
      </c>
      <c r="D911" t="s">
        <v>2192</v>
      </c>
      <c r="E911" t="s">
        <v>1818</v>
      </c>
      <c r="F911" t="s">
        <v>2193</v>
      </c>
      <c r="G911" t="s">
        <v>2194</v>
      </c>
      <c r="H911" t="s">
        <v>2046</v>
      </c>
      <c r="I911" t="s">
        <v>682</v>
      </c>
      <c r="J911" t="s">
        <v>484</v>
      </c>
      <c r="K911" t="s">
        <v>29</v>
      </c>
      <c r="L911" t="s">
        <v>30</v>
      </c>
      <c r="M911">
        <v>204</v>
      </c>
      <c r="N911" t="s">
        <v>32</v>
      </c>
      <c r="O911" t="s">
        <v>32</v>
      </c>
      <c r="Q911" t="s">
        <v>32</v>
      </c>
      <c r="S911" t="s">
        <v>32</v>
      </c>
      <c r="U911" t="s">
        <v>32</v>
      </c>
      <c r="V911" t="s">
        <v>32</v>
      </c>
      <c r="W911" t="s">
        <v>32</v>
      </c>
      <c r="X911" t="s">
        <v>32</v>
      </c>
      <c r="Y911" t="s">
        <v>32</v>
      </c>
      <c r="AA911" t="s">
        <v>88</v>
      </c>
      <c r="AB911" t="s">
        <v>32</v>
      </c>
      <c r="AE911" t="s">
        <v>32</v>
      </c>
      <c r="AH911" t="s">
        <v>32</v>
      </c>
      <c r="AK911" t="s">
        <v>32</v>
      </c>
      <c r="AN911" t="s">
        <v>32</v>
      </c>
      <c r="AO911" t="s">
        <v>32</v>
      </c>
      <c r="AR911">
        <v>0</v>
      </c>
      <c r="AU911" t="s">
        <v>32</v>
      </c>
      <c r="AV911">
        <v>1750905</v>
      </c>
      <c r="AW911" t="s">
        <v>32</v>
      </c>
      <c r="AX911" t="s">
        <v>32</v>
      </c>
      <c r="AY911" t="s">
        <v>317</v>
      </c>
      <c r="AZ911">
        <v>29</v>
      </c>
      <c r="BA911">
        <v>2001338</v>
      </c>
      <c r="BB911">
        <v>0.15999999642372131</v>
      </c>
      <c r="BC911">
        <v>320300</v>
      </c>
      <c r="BD911" t="s">
        <v>31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320300</v>
      </c>
      <c r="BK911" t="s">
        <v>25</v>
      </c>
      <c r="BL911" t="s">
        <v>1010</v>
      </c>
      <c r="BM911">
        <v>29</v>
      </c>
      <c r="BN911">
        <v>2001338</v>
      </c>
      <c r="BO911">
        <v>3.9999999105930328E-2</v>
      </c>
      <c r="BP911">
        <v>80100</v>
      </c>
      <c r="BQ911">
        <v>0</v>
      </c>
      <c r="BS911">
        <v>0</v>
      </c>
      <c r="BU911">
        <v>0</v>
      </c>
      <c r="BV911" t="s">
        <v>25</v>
      </c>
      <c r="BW911" t="s">
        <v>189</v>
      </c>
      <c r="BX911">
        <v>29</v>
      </c>
      <c r="BY911">
        <v>2001338</v>
      </c>
      <c r="BZ911">
        <v>6.9600000977516174E-2</v>
      </c>
      <c r="CA911" t="s">
        <v>1439</v>
      </c>
      <c r="CB911" t="s">
        <v>312</v>
      </c>
      <c r="CC911" t="s">
        <v>1440</v>
      </c>
      <c r="CD911">
        <v>139300</v>
      </c>
      <c r="CE911">
        <v>29</v>
      </c>
      <c r="CF911" t="s">
        <v>466</v>
      </c>
      <c r="CG911">
        <v>2001338</v>
      </c>
      <c r="CH911">
        <v>3.9999999105930328E-2</v>
      </c>
      <c r="CI911">
        <v>80100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 t="s">
        <v>88</v>
      </c>
      <c r="CT911" t="s">
        <v>142</v>
      </c>
      <c r="CU911" t="s">
        <v>1442</v>
      </c>
    </row>
    <row r="912" spans="1:99">
      <c r="A912" t="s">
        <v>3047</v>
      </c>
      <c r="B912" t="s">
        <v>34</v>
      </c>
      <c r="C912" t="s">
        <v>2195</v>
      </c>
      <c r="D912" t="s">
        <v>2196</v>
      </c>
      <c r="E912" t="s">
        <v>2168</v>
      </c>
      <c r="F912" t="s">
        <v>2197</v>
      </c>
      <c r="G912" t="s">
        <v>2198</v>
      </c>
      <c r="H912" t="s">
        <v>2199</v>
      </c>
      <c r="I912" t="s">
        <v>682</v>
      </c>
      <c r="J912" t="s">
        <v>484</v>
      </c>
      <c r="K912" t="s">
        <v>29</v>
      </c>
      <c r="L912" t="s">
        <v>30</v>
      </c>
      <c r="M912">
        <v>201</v>
      </c>
      <c r="N912" t="s">
        <v>32</v>
      </c>
      <c r="O912" t="s">
        <v>32</v>
      </c>
      <c r="Q912" t="s">
        <v>32</v>
      </c>
      <c r="S912" t="s">
        <v>32</v>
      </c>
      <c r="U912" t="s">
        <v>32</v>
      </c>
      <c r="V912" t="s">
        <v>32</v>
      </c>
      <c r="W912" t="s">
        <v>32</v>
      </c>
      <c r="X912" t="s">
        <v>32</v>
      </c>
      <c r="Y912" t="s">
        <v>32</v>
      </c>
      <c r="AA912" t="s">
        <v>88</v>
      </c>
      <c r="AB912" t="s">
        <v>32</v>
      </c>
      <c r="AE912" t="s">
        <v>32</v>
      </c>
      <c r="AH912" t="s">
        <v>32</v>
      </c>
      <c r="AK912" t="s">
        <v>32</v>
      </c>
      <c r="AN912" t="s">
        <v>32</v>
      </c>
      <c r="AO912" t="s">
        <v>32</v>
      </c>
      <c r="AR912">
        <v>0</v>
      </c>
      <c r="AU912" t="s">
        <v>32</v>
      </c>
      <c r="AV912">
        <v>2074908</v>
      </c>
      <c r="AW912" t="s">
        <v>32</v>
      </c>
      <c r="AX912" t="s">
        <v>32</v>
      </c>
      <c r="AY912" t="s">
        <v>356</v>
      </c>
      <c r="AZ912">
        <v>30</v>
      </c>
      <c r="BA912">
        <v>2363980</v>
      </c>
      <c r="BB912">
        <v>0.15999999642372131</v>
      </c>
      <c r="BC912">
        <v>378300</v>
      </c>
      <c r="BD912" t="s">
        <v>31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378300</v>
      </c>
      <c r="BK912" t="s">
        <v>25</v>
      </c>
      <c r="BL912" t="s">
        <v>1010</v>
      </c>
      <c r="BM912">
        <v>30</v>
      </c>
      <c r="BN912">
        <v>2363980</v>
      </c>
      <c r="BO912">
        <v>3.9999999105930328E-2</v>
      </c>
      <c r="BP912">
        <v>94600</v>
      </c>
      <c r="BQ912">
        <v>0</v>
      </c>
      <c r="BS912">
        <v>0</v>
      </c>
      <c r="BU912">
        <v>0</v>
      </c>
      <c r="BV912" t="s">
        <v>25</v>
      </c>
      <c r="BW912" t="s">
        <v>189</v>
      </c>
      <c r="BX912">
        <v>30</v>
      </c>
      <c r="BY912">
        <v>2363980</v>
      </c>
      <c r="BZ912">
        <v>6.9600000977516174E-2</v>
      </c>
      <c r="CA912" t="s">
        <v>1439</v>
      </c>
      <c r="CB912" t="s">
        <v>312</v>
      </c>
      <c r="CC912" t="s">
        <v>1440</v>
      </c>
      <c r="CD912">
        <v>164600</v>
      </c>
      <c r="CE912">
        <v>30</v>
      </c>
      <c r="CF912" t="s">
        <v>466</v>
      </c>
      <c r="CG912">
        <v>2363980</v>
      </c>
      <c r="CH912">
        <v>3.9999999105930328E-2</v>
      </c>
      <c r="CI912">
        <v>94600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 t="s">
        <v>88</v>
      </c>
      <c r="CT912" t="s">
        <v>142</v>
      </c>
      <c r="CU912" t="s">
        <v>1442</v>
      </c>
    </row>
    <row r="913" spans="1:99">
      <c r="A913" t="s">
        <v>3047</v>
      </c>
      <c r="B913" t="s">
        <v>34</v>
      </c>
      <c r="C913" t="s">
        <v>2200</v>
      </c>
      <c r="D913" t="s">
        <v>2201</v>
      </c>
      <c r="E913" t="s">
        <v>2080</v>
      </c>
      <c r="F913" t="s">
        <v>2202</v>
      </c>
      <c r="G913" t="s">
        <v>1479</v>
      </c>
      <c r="H913" t="s">
        <v>1706</v>
      </c>
      <c r="I913" t="s">
        <v>682</v>
      </c>
      <c r="J913" t="s">
        <v>484</v>
      </c>
      <c r="K913" t="s">
        <v>29</v>
      </c>
      <c r="L913" t="s">
        <v>30</v>
      </c>
      <c r="M913">
        <v>0</v>
      </c>
      <c r="N913" t="s">
        <v>32</v>
      </c>
      <c r="O913" t="s">
        <v>32</v>
      </c>
      <c r="Q913" t="s">
        <v>32</v>
      </c>
      <c r="S913" t="s">
        <v>32</v>
      </c>
      <c r="U913" t="s">
        <v>32</v>
      </c>
      <c r="V913" t="s">
        <v>32</v>
      </c>
      <c r="W913" t="s">
        <v>32</v>
      </c>
      <c r="X913" t="s">
        <v>32</v>
      </c>
      <c r="Y913" t="s">
        <v>32</v>
      </c>
      <c r="AA913" t="s">
        <v>32</v>
      </c>
      <c r="AB913" t="s">
        <v>37</v>
      </c>
      <c r="AC913">
        <v>46054</v>
      </c>
      <c r="AD913">
        <v>46054</v>
      </c>
      <c r="AE913" t="s">
        <v>32</v>
      </c>
      <c r="AH913" t="s">
        <v>32</v>
      </c>
      <c r="AK913" t="s">
        <v>32</v>
      </c>
      <c r="AN913" t="s">
        <v>32</v>
      </c>
      <c r="AO913" t="s">
        <v>32</v>
      </c>
      <c r="AR913">
        <v>0</v>
      </c>
      <c r="AU913" t="s">
        <v>32</v>
      </c>
      <c r="AV913">
        <v>1750905</v>
      </c>
      <c r="AW913" t="s">
        <v>32</v>
      </c>
      <c r="AX913" t="s">
        <v>32</v>
      </c>
      <c r="AY913" t="s">
        <v>185</v>
      </c>
      <c r="AZ913">
        <v>1</v>
      </c>
      <c r="BA913">
        <v>58364</v>
      </c>
      <c r="BB913">
        <v>0.15999999642372131</v>
      </c>
      <c r="BC913">
        <v>9400</v>
      </c>
      <c r="BD913" t="s">
        <v>31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9400</v>
      </c>
      <c r="BK913" t="s">
        <v>25</v>
      </c>
      <c r="BL913" t="s">
        <v>1010</v>
      </c>
      <c r="BM913">
        <v>1</v>
      </c>
      <c r="BN913">
        <v>58364</v>
      </c>
      <c r="BO913">
        <v>0</v>
      </c>
      <c r="BP913">
        <v>0</v>
      </c>
      <c r="BQ913">
        <v>0</v>
      </c>
      <c r="BS913">
        <v>0</v>
      </c>
      <c r="BU913">
        <v>0</v>
      </c>
      <c r="BV913" t="s">
        <v>25</v>
      </c>
      <c r="BW913" t="s">
        <v>189</v>
      </c>
      <c r="BX913">
        <v>1</v>
      </c>
      <c r="BY913">
        <v>58364</v>
      </c>
      <c r="BZ913">
        <v>0</v>
      </c>
      <c r="CA913" t="s">
        <v>1439</v>
      </c>
      <c r="CB913" t="s">
        <v>312</v>
      </c>
      <c r="CC913" t="s">
        <v>1440</v>
      </c>
      <c r="CD913">
        <v>0</v>
      </c>
      <c r="CE913">
        <v>1</v>
      </c>
      <c r="CF913" t="s">
        <v>466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 t="s">
        <v>88</v>
      </c>
      <c r="CT913" t="s">
        <v>142</v>
      </c>
      <c r="CU913" t="s">
        <v>1442</v>
      </c>
    </row>
    <row r="914" spans="1:99">
      <c r="A914" t="s">
        <v>3047</v>
      </c>
      <c r="B914" t="s">
        <v>34</v>
      </c>
      <c r="C914" t="s">
        <v>2200</v>
      </c>
      <c r="D914" t="s">
        <v>2201</v>
      </c>
      <c r="E914" t="s">
        <v>2080</v>
      </c>
      <c r="F914" t="s">
        <v>2202</v>
      </c>
      <c r="G914" t="s">
        <v>1479</v>
      </c>
      <c r="H914" t="s">
        <v>1706</v>
      </c>
      <c r="I914" t="s">
        <v>682</v>
      </c>
      <c r="J914" t="s">
        <v>484</v>
      </c>
      <c r="K914" t="s">
        <v>29</v>
      </c>
      <c r="L914" t="s">
        <v>30</v>
      </c>
      <c r="M914">
        <v>214</v>
      </c>
      <c r="N914" t="s">
        <v>32</v>
      </c>
      <c r="O914" t="s">
        <v>32</v>
      </c>
      <c r="Q914" t="s">
        <v>32</v>
      </c>
      <c r="S914" t="s">
        <v>32</v>
      </c>
      <c r="U914" t="s">
        <v>32</v>
      </c>
      <c r="V914" t="s">
        <v>32</v>
      </c>
      <c r="W914" t="s">
        <v>32</v>
      </c>
      <c r="X914" t="s">
        <v>32</v>
      </c>
      <c r="Y914" t="s">
        <v>32</v>
      </c>
      <c r="AA914" t="s">
        <v>88</v>
      </c>
      <c r="AB914" t="s">
        <v>32</v>
      </c>
      <c r="AE914" t="s">
        <v>32</v>
      </c>
      <c r="AH914" t="s">
        <v>32</v>
      </c>
      <c r="AK914" t="s">
        <v>32</v>
      </c>
      <c r="AN914" t="s">
        <v>32</v>
      </c>
      <c r="AO914" t="s">
        <v>32</v>
      </c>
      <c r="AR914">
        <v>0</v>
      </c>
      <c r="AU914" t="s">
        <v>32</v>
      </c>
      <c r="AV914">
        <v>1750905</v>
      </c>
      <c r="AW914" t="s">
        <v>32</v>
      </c>
      <c r="AX914" t="s">
        <v>32</v>
      </c>
      <c r="AY914" t="s">
        <v>185</v>
      </c>
      <c r="AZ914">
        <v>29</v>
      </c>
      <c r="BA914">
        <v>2095847</v>
      </c>
      <c r="BB914">
        <v>0.15999999642372131</v>
      </c>
      <c r="BC914">
        <v>335400</v>
      </c>
      <c r="BD914" t="s">
        <v>31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335400</v>
      </c>
      <c r="BK914" t="s">
        <v>25</v>
      </c>
      <c r="BL914" t="s">
        <v>1010</v>
      </c>
      <c r="BM914">
        <v>29</v>
      </c>
      <c r="BN914">
        <v>2095847</v>
      </c>
      <c r="BO914">
        <v>3.9999999105930328E-2</v>
      </c>
      <c r="BP914">
        <v>83900</v>
      </c>
      <c r="BQ914">
        <v>0</v>
      </c>
      <c r="BS914">
        <v>0</v>
      </c>
      <c r="BU914">
        <v>0</v>
      </c>
      <c r="BV914" t="s">
        <v>25</v>
      </c>
      <c r="BW914" t="s">
        <v>189</v>
      </c>
      <c r="BX914">
        <v>29</v>
      </c>
      <c r="BY914">
        <v>2095847</v>
      </c>
      <c r="BZ914">
        <v>6.9600000977516174E-2</v>
      </c>
      <c r="CA914" t="s">
        <v>1439</v>
      </c>
      <c r="CB914" t="s">
        <v>312</v>
      </c>
      <c r="CC914" t="s">
        <v>1440</v>
      </c>
      <c r="CD914">
        <v>145900</v>
      </c>
      <c r="CE914">
        <v>29</v>
      </c>
      <c r="CF914" t="s">
        <v>466</v>
      </c>
      <c r="CG914">
        <v>2095847</v>
      </c>
      <c r="CH914">
        <v>3.9999999105930328E-2</v>
      </c>
      <c r="CI914">
        <v>83900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 t="s">
        <v>88</v>
      </c>
      <c r="CT914" t="s">
        <v>142</v>
      </c>
      <c r="CU914" t="s">
        <v>1442</v>
      </c>
    </row>
    <row r="915" spans="1:99">
      <c r="A915" t="s">
        <v>3047</v>
      </c>
      <c r="B915" t="s">
        <v>34</v>
      </c>
      <c r="C915" t="s">
        <v>2203</v>
      </c>
      <c r="D915" t="s">
        <v>2204</v>
      </c>
      <c r="E915" t="s">
        <v>2080</v>
      </c>
      <c r="F915" t="s">
        <v>2205</v>
      </c>
      <c r="G915" t="s">
        <v>1436</v>
      </c>
      <c r="H915" t="s">
        <v>1543</v>
      </c>
      <c r="I915" t="s">
        <v>682</v>
      </c>
      <c r="J915" t="s">
        <v>484</v>
      </c>
      <c r="K915" t="s">
        <v>29</v>
      </c>
      <c r="L915" t="s">
        <v>30</v>
      </c>
      <c r="M915">
        <v>0</v>
      </c>
      <c r="N915" t="s">
        <v>32</v>
      </c>
      <c r="O915" t="s">
        <v>32</v>
      </c>
      <c r="Q915" t="s">
        <v>32</v>
      </c>
      <c r="S915" t="s">
        <v>32</v>
      </c>
      <c r="U915" t="s">
        <v>32</v>
      </c>
      <c r="V915" t="s">
        <v>32</v>
      </c>
      <c r="W915" t="s">
        <v>32</v>
      </c>
      <c r="X915" t="s">
        <v>32</v>
      </c>
      <c r="Y915" t="s">
        <v>32</v>
      </c>
      <c r="AA915" t="s">
        <v>32</v>
      </c>
      <c r="AB915" t="s">
        <v>32</v>
      </c>
      <c r="AE915" t="s">
        <v>1492</v>
      </c>
      <c r="AF915">
        <v>46069</v>
      </c>
      <c r="AG915">
        <v>46069</v>
      </c>
      <c r="AH915" t="s">
        <v>32</v>
      </c>
      <c r="AK915" t="s">
        <v>32</v>
      </c>
      <c r="AN915" t="s">
        <v>32</v>
      </c>
      <c r="AO915" t="s">
        <v>32</v>
      </c>
      <c r="AR915">
        <v>0</v>
      </c>
      <c r="AU915" t="s">
        <v>32</v>
      </c>
      <c r="AV915">
        <v>1750905</v>
      </c>
      <c r="AW915" t="s">
        <v>32</v>
      </c>
      <c r="AX915" t="s">
        <v>32</v>
      </c>
      <c r="AY915" t="s">
        <v>317</v>
      </c>
      <c r="AZ915">
        <v>1</v>
      </c>
      <c r="BA915">
        <v>67629</v>
      </c>
      <c r="BB915">
        <v>0.15999999642372131</v>
      </c>
      <c r="BC915">
        <v>10900</v>
      </c>
      <c r="BD915" t="s">
        <v>31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10900</v>
      </c>
      <c r="BK915" t="s">
        <v>25</v>
      </c>
      <c r="BL915" t="s">
        <v>748</v>
      </c>
      <c r="BM915">
        <v>1</v>
      </c>
      <c r="BN915">
        <v>67629</v>
      </c>
      <c r="BO915">
        <v>3.9999999105930328E-2</v>
      </c>
      <c r="BP915">
        <v>2800</v>
      </c>
      <c r="BQ915">
        <v>0</v>
      </c>
      <c r="BS915">
        <v>0</v>
      </c>
      <c r="BU915">
        <v>0</v>
      </c>
      <c r="BV915" t="s">
        <v>25</v>
      </c>
      <c r="BW915" t="s">
        <v>189</v>
      </c>
      <c r="BX915">
        <v>1</v>
      </c>
      <c r="BY915">
        <v>67629</v>
      </c>
      <c r="BZ915">
        <v>0</v>
      </c>
      <c r="CA915" t="s">
        <v>1439</v>
      </c>
      <c r="CB915" t="s">
        <v>312</v>
      </c>
      <c r="CC915" t="s">
        <v>1440</v>
      </c>
      <c r="CD915">
        <v>0</v>
      </c>
      <c r="CE915">
        <v>1</v>
      </c>
      <c r="CF915" t="s">
        <v>466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 t="s">
        <v>88</v>
      </c>
      <c r="CT915" t="s">
        <v>142</v>
      </c>
      <c r="CU915" t="s">
        <v>1442</v>
      </c>
    </row>
    <row r="916" spans="1:99">
      <c r="A916" t="s">
        <v>3047</v>
      </c>
      <c r="B916" t="s">
        <v>34</v>
      </c>
      <c r="C916" t="s">
        <v>2203</v>
      </c>
      <c r="D916" t="s">
        <v>2204</v>
      </c>
      <c r="E916" t="s">
        <v>2080</v>
      </c>
      <c r="F916" t="s">
        <v>2205</v>
      </c>
      <c r="G916" t="s">
        <v>1436</v>
      </c>
      <c r="H916" t="s">
        <v>1543</v>
      </c>
      <c r="I916" t="s">
        <v>682</v>
      </c>
      <c r="J916" t="s">
        <v>484</v>
      </c>
      <c r="K916" t="s">
        <v>29</v>
      </c>
      <c r="L916" t="s">
        <v>30</v>
      </c>
      <c r="M916">
        <v>195</v>
      </c>
      <c r="N916" t="s">
        <v>32</v>
      </c>
      <c r="O916" t="s">
        <v>32</v>
      </c>
      <c r="Q916" t="s">
        <v>32</v>
      </c>
      <c r="S916" t="s">
        <v>32</v>
      </c>
      <c r="U916" t="s">
        <v>32</v>
      </c>
      <c r="V916" t="s">
        <v>32</v>
      </c>
      <c r="W916" t="s">
        <v>32</v>
      </c>
      <c r="X916" t="s">
        <v>32</v>
      </c>
      <c r="Y916" t="s">
        <v>32</v>
      </c>
      <c r="AA916" t="s">
        <v>88</v>
      </c>
      <c r="AB916" t="s">
        <v>32</v>
      </c>
      <c r="AE916" t="s">
        <v>32</v>
      </c>
      <c r="AH916" t="s">
        <v>32</v>
      </c>
      <c r="AK916" t="s">
        <v>32</v>
      </c>
      <c r="AN916" t="s">
        <v>32</v>
      </c>
      <c r="AO916" t="s">
        <v>32</v>
      </c>
      <c r="AR916">
        <v>0</v>
      </c>
      <c r="AU916" t="s">
        <v>32</v>
      </c>
      <c r="AV916">
        <v>1750905</v>
      </c>
      <c r="AW916" t="s">
        <v>32</v>
      </c>
      <c r="AX916" t="s">
        <v>32</v>
      </c>
      <c r="AY916" t="s">
        <v>317</v>
      </c>
      <c r="AZ916">
        <v>29</v>
      </c>
      <c r="BA916">
        <v>2001338</v>
      </c>
      <c r="BB916">
        <v>0.15999999642372131</v>
      </c>
      <c r="BC916">
        <v>320300</v>
      </c>
      <c r="BD916" t="s">
        <v>31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320300</v>
      </c>
      <c r="BK916" t="s">
        <v>25</v>
      </c>
      <c r="BL916" t="s">
        <v>748</v>
      </c>
      <c r="BM916">
        <v>29</v>
      </c>
      <c r="BN916">
        <v>2001338</v>
      </c>
      <c r="BO916">
        <v>3.9999999105930328E-2</v>
      </c>
      <c r="BP916">
        <v>80100</v>
      </c>
      <c r="BQ916">
        <v>0</v>
      </c>
      <c r="BS916">
        <v>0</v>
      </c>
      <c r="BU916">
        <v>0</v>
      </c>
      <c r="BV916" t="s">
        <v>25</v>
      </c>
      <c r="BW916" t="s">
        <v>189</v>
      </c>
      <c r="BX916">
        <v>29</v>
      </c>
      <c r="BY916">
        <v>2001338</v>
      </c>
      <c r="BZ916">
        <v>6.9600000977516174E-2</v>
      </c>
      <c r="CA916" t="s">
        <v>1439</v>
      </c>
      <c r="CB916" t="s">
        <v>312</v>
      </c>
      <c r="CC916" t="s">
        <v>1440</v>
      </c>
      <c r="CD916">
        <v>139300</v>
      </c>
      <c r="CE916">
        <v>29</v>
      </c>
      <c r="CF916" t="s">
        <v>466</v>
      </c>
      <c r="CG916">
        <v>2001338</v>
      </c>
      <c r="CH916">
        <v>3.9999999105930328E-2</v>
      </c>
      <c r="CI916">
        <v>80100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 t="s">
        <v>88</v>
      </c>
      <c r="CT916" t="s">
        <v>142</v>
      </c>
      <c r="CU916" t="s">
        <v>1442</v>
      </c>
    </row>
    <row r="917" spans="1:99">
      <c r="A917" t="s">
        <v>3047</v>
      </c>
      <c r="B917" t="s">
        <v>34</v>
      </c>
      <c r="C917" t="s">
        <v>2206</v>
      </c>
      <c r="D917" t="s">
        <v>3060</v>
      </c>
      <c r="E917" t="s">
        <v>3061</v>
      </c>
      <c r="F917" t="s">
        <v>1540</v>
      </c>
      <c r="G917" t="s">
        <v>1478</v>
      </c>
      <c r="H917" t="s">
        <v>1519</v>
      </c>
      <c r="I917" t="s">
        <v>682</v>
      </c>
      <c r="J917" t="s">
        <v>484</v>
      </c>
      <c r="K917" t="s">
        <v>29</v>
      </c>
      <c r="L917" t="s">
        <v>30</v>
      </c>
      <c r="M917">
        <v>0</v>
      </c>
      <c r="N917" t="s">
        <v>32</v>
      </c>
      <c r="O917" t="s">
        <v>32</v>
      </c>
      <c r="Q917" t="s">
        <v>32</v>
      </c>
      <c r="S917" t="s">
        <v>32</v>
      </c>
      <c r="U917" t="s">
        <v>32</v>
      </c>
      <c r="V917" t="s">
        <v>32</v>
      </c>
      <c r="W917" t="s">
        <v>32</v>
      </c>
      <c r="X917" t="s">
        <v>32</v>
      </c>
      <c r="Y917" t="s">
        <v>32</v>
      </c>
      <c r="AA917" t="s">
        <v>32</v>
      </c>
      <c r="AB917" t="s">
        <v>37</v>
      </c>
      <c r="AC917">
        <v>46054</v>
      </c>
      <c r="AD917">
        <v>46054</v>
      </c>
      <c r="AE917" t="s">
        <v>32</v>
      </c>
      <c r="AH917" t="s">
        <v>32</v>
      </c>
      <c r="AK917" t="s">
        <v>32</v>
      </c>
      <c r="AN917" t="s">
        <v>32</v>
      </c>
      <c r="AO917" t="s">
        <v>32</v>
      </c>
      <c r="AR917">
        <v>0</v>
      </c>
      <c r="AU917" t="s">
        <v>32</v>
      </c>
      <c r="AV917">
        <v>1785595</v>
      </c>
      <c r="AW917" t="s">
        <v>32</v>
      </c>
      <c r="AX917" t="s">
        <v>32</v>
      </c>
      <c r="AY917" t="s">
        <v>137</v>
      </c>
      <c r="AZ917">
        <v>1</v>
      </c>
      <c r="BA917">
        <v>59520</v>
      </c>
      <c r="BB917">
        <v>0.15999999642372131</v>
      </c>
      <c r="BC917">
        <v>9600</v>
      </c>
      <c r="BD917" t="s">
        <v>31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9600</v>
      </c>
      <c r="BK917" t="s">
        <v>25</v>
      </c>
      <c r="BL917" t="s">
        <v>1010</v>
      </c>
      <c r="BM917">
        <v>1</v>
      </c>
      <c r="BN917">
        <v>59520</v>
      </c>
      <c r="BO917">
        <v>0</v>
      </c>
      <c r="BP917">
        <v>0</v>
      </c>
      <c r="BQ917">
        <v>0</v>
      </c>
      <c r="BS917">
        <v>0</v>
      </c>
      <c r="BU917">
        <v>0</v>
      </c>
      <c r="BV917" t="s">
        <v>25</v>
      </c>
      <c r="BW917" t="s">
        <v>189</v>
      </c>
      <c r="BX917">
        <v>1</v>
      </c>
      <c r="BY917">
        <v>59520</v>
      </c>
      <c r="BZ917">
        <v>0</v>
      </c>
      <c r="CA917" t="s">
        <v>1439</v>
      </c>
      <c r="CB917" t="s">
        <v>312</v>
      </c>
      <c r="CC917" t="s">
        <v>1440</v>
      </c>
      <c r="CD917">
        <v>0</v>
      </c>
      <c r="CE917">
        <v>1</v>
      </c>
      <c r="CF917" t="s">
        <v>466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 t="s">
        <v>88</v>
      </c>
      <c r="CT917" t="s">
        <v>142</v>
      </c>
      <c r="CU917" t="s">
        <v>1442</v>
      </c>
    </row>
    <row r="918" spans="1:99">
      <c r="A918" t="s">
        <v>3047</v>
      </c>
      <c r="B918" t="s">
        <v>34</v>
      </c>
      <c r="C918" t="s">
        <v>2206</v>
      </c>
      <c r="D918" t="s">
        <v>3060</v>
      </c>
      <c r="E918" t="s">
        <v>3061</v>
      </c>
      <c r="F918" t="s">
        <v>1540</v>
      </c>
      <c r="G918" t="s">
        <v>1478</v>
      </c>
      <c r="H918" t="s">
        <v>1519</v>
      </c>
      <c r="I918" t="s">
        <v>682</v>
      </c>
      <c r="J918" t="s">
        <v>484</v>
      </c>
      <c r="K918" t="s">
        <v>29</v>
      </c>
      <c r="L918" t="s">
        <v>30</v>
      </c>
      <c r="M918">
        <v>209</v>
      </c>
      <c r="N918" t="s">
        <v>32</v>
      </c>
      <c r="O918" t="s">
        <v>32</v>
      </c>
      <c r="Q918" t="s">
        <v>32</v>
      </c>
      <c r="S918" t="s">
        <v>32</v>
      </c>
      <c r="U918" t="s">
        <v>32</v>
      </c>
      <c r="V918" t="s">
        <v>32</v>
      </c>
      <c r="W918" t="s">
        <v>32</v>
      </c>
      <c r="X918" t="s">
        <v>32</v>
      </c>
      <c r="Y918" t="s">
        <v>32</v>
      </c>
      <c r="AA918" t="s">
        <v>88</v>
      </c>
      <c r="AB918" t="s">
        <v>32</v>
      </c>
      <c r="AE918" t="s">
        <v>32</v>
      </c>
      <c r="AH918" t="s">
        <v>32</v>
      </c>
      <c r="AK918" t="s">
        <v>32</v>
      </c>
      <c r="AN918" t="s">
        <v>32</v>
      </c>
      <c r="AO918" t="s">
        <v>32</v>
      </c>
      <c r="AR918">
        <v>0</v>
      </c>
      <c r="AU918" t="s">
        <v>32</v>
      </c>
      <c r="AV918">
        <v>1785595</v>
      </c>
      <c r="AW918" t="s">
        <v>32</v>
      </c>
      <c r="AX918" t="s">
        <v>32</v>
      </c>
      <c r="AY918" t="s">
        <v>137</v>
      </c>
      <c r="AZ918">
        <v>29</v>
      </c>
      <c r="BA918">
        <v>2086644</v>
      </c>
      <c r="BB918">
        <v>0.15999999642372131</v>
      </c>
      <c r="BC918">
        <v>333900</v>
      </c>
      <c r="BD918" t="s">
        <v>31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333900</v>
      </c>
      <c r="BK918" t="s">
        <v>25</v>
      </c>
      <c r="BL918" t="s">
        <v>1010</v>
      </c>
      <c r="BM918">
        <v>29</v>
      </c>
      <c r="BN918">
        <v>2086644</v>
      </c>
      <c r="BO918">
        <v>3.9999999105930328E-2</v>
      </c>
      <c r="BP918">
        <v>83500</v>
      </c>
      <c r="BQ918">
        <v>0</v>
      </c>
      <c r="BS918">
        <v>0</v>
      </c>
      <c r="BU918">
        <v>0</v>
      </c>
      <c r="BV918" t="s">
        <v>25</v>
      </c>
      <c r="BW918" t="s">
        <v>189</v>
      </c>
      <c r="BX918">
        <v>29</v>
      </c>
      <c r="BY918">
        <v>2086644</v>
      </c>
      <c r="BZ918">
        <v>6.9600000977516174E-2</v>
      </c>
      <c r="CA918" t="s">
        <v>1439</v>
      </c>
      <c r="CB918" t="s">
        <v>312</v>
      </c>
      <c r="CC918" t="s">
        <v>1440</v>
      </c>
      <c r="CD918">
        <v>145300</v>
      </c>
      <c r="CE918">
        <v>29</v>
      </c>
      <c r="CF918" t="s">
        <v>466</v>
      </c>
      <c r="CG918">
        <v>2086644</v>
      </c>
      <c r="CH918">
        <v>3.9999999105930328E-2</v>
      </c>
      <c r="CI918">
        <v>83500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 t="s">
        <v>88</v>
      </c>
      <c r="CT918" t="s">
        <v>142</v>
      </c>
      <c r="CU918" t="s">
        <v>1442</v>
      </c>
    </row>
    <row r="919" spans="1:99">
      <c r="A919" t="s">
        <v>3047</v>
      </c>
      <c r="B919" t="s">
        <v>34</v>
      </c>
      <c r="C919" t="s">
        <v>2209</v>
      </c>
      <c r="D919" t="s">
        <v>3062</v>
      </c>
      <c r="E919" t="s">
        <v>2211</v>
      </c>
      <c r="F919" t="s">
        <v>756</v>
      </c>
      <c r="G919" t="s">
        <v>2930</v>
      </c>
      <c r="H919" t="s">
        <v>1503</v>
      </c>
      <c r="I919" t="s">
        <v>682</v>
      </c>
      <c r="J919" t="s">
        <v>484</v>
      </c>
      <c r="K919" t="s">
        <v>29</v>
      </c>
      <c r="L919" t="s">
        <v>30</v>
      </c>
      <c r="M919">
        <v>205</v>
      </c>
      <c r="N919" t="s">
        <v>32</v>
      </c>
      <c r="O919" t="s">
        <v>32</v>
      </c>
      <c r="Q919" t="s">
        <v>32</v>
      </c>
      <c r="S919" t="s">
        <v>32</v>
      </c>
      <c r="U919" t="s">
        <v>32</v>
      </c>
      <c r="V919" t="s">
        <v>32</v>
      </c>
      <c r="W919" t="s">
        <v>32</v>
      </c>
      <c r="X919" t="s">
        <v>32</v>
      </c>
      <c r="Y919" t="s">
        <v>32</v>
      </c>
      <c r="AA919" t="s">
        <v>88</v>
      </c>
      <c r="AB919" t="s">
        <v>32</v>
      </c>
      <c r="AE919" t="s">
        <v>32</v>
      </c>
      <c r="AH919" t="s">
        <v>32</v>
      </c>
      <c r="AK919" t="s">
        <v>32</v>
      </c>
      <c r="AN919" t="s">
        <v>32</v>
      </c>
      <c r="AO919" t="s">
        <v>32</v>
      </c>
      <c r="AR919">
        <v>0</v>
      </c>
      <c r="AU919" t="s">
        <v>32</v>
      </c>
      <c r="AV919">
        <v>1750905</v>
      </c>
      <c r="AW919" t="s">
        <v>32</v>
      </c>
      <c r="AX919" t="s">
        <v>32</v>
      </c>
      <c r="AY919" t="s">
        <v>317</v>
      </c>
      <c r="AZ919">
        <v>30</v>
      </c>
      <c r="BA919">
        <v>2020626</v>
      </c>
      <c r="BB919">
        <v>0.15999999642372131</v>
      </c>
      <c r="BC919">
        <v>323400</v>
      </c>
      <c r="BD919" t="s">
        <v>31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323400</v>
      </c>
      <c r="BK919" t="s">
        <v>25</v>
      </c>
      <c r="BL919" t="s">
        <v>1071</v>
      </c>
      <c r="BM919">
        <v>30</v>
      </c>
      <c r="BN919">
        <v>2020626</v>
      </c>
      <c r="BO919">
        <v>3.9999999105930328E-2</v>
      </c>
      <c r="BP919">
        <v>80900</v>
      </c>
      <c r="BQ919">
        <v>0</v>
      </c>
      <c r="BS919">
        <v>0</v>
      </c>
      <c r="BU919">
        <v>0</v>
      </c>
      <c r="BV919" t="s">
        <v>25</v>
      </c>
      <c r="BW919" t="s">
        <v>189</v>
      </c>
      <c r="BX919">
        <v>30</v>
      </c>
      <c r="BY919">
        <v>2020626</v>
      </c>
      <c r="BZ919">
        <v>6.9600000977516174E-2</v>
      </c>
      <c r="CA919" t="s">
        <v>1439</v>
      </c>
      <c r="CB919" t="s">
        <v>312</v>
      </c>
      <c r="CC919" t="s">
        <v>1440</v>
      </c>
      <c r="CD919">
        <v>140700</v>
      </c>
      <c r="CE919">
        <v>30</v>
      </c>
      <c r="CF919" t="s">
        <v>466</v>
      </c>
      <c r="CG919">
        <v>2020626</v>
      </c>
      <c r="CH919">
        <v>3.9999999105930328E-2</v>
      </c>
      <c r="CI919">
        <v>80900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 t="s">
        <v>88</v>
      </c>
      <c r="CT919" t="s">
        <v>142</v>
      </c>
      <c r="CU919" t="s">
        <v>1442</v>
      </c>
    </row>
    <row r="920" spans="1:99">
      <c r="A920" t="s">
        <v>3047</v>
      </c>
      <c r="B920" t="s">
        <v>34</v>
      </c>
      <c r="C920" t="s">
        <v>2213</v>
      </c>
      <c r="D920" t="s">
        <v>2214</v>
      </c>
      <c r="E920" t="s">
        <v>2197</v>
      </c>
      <c r="F920" t="s">
        <v>1629</v>
      </c>
      <c r="G920" t="s">
        <v>2070</v>
      </c>
      <c r="H920" t="s">
        <v>2215</v>
      </c>
      <c r="I920" t="s">
        <v>682</v>
      </c>
      <c r="J920" t="s">
        <v>484</v>
      </c>
      <c r="K920" t="s">
        <v>29</v>
      </c>
      <c r="L920" t="s">
        <v>30</v>
      </c>
      <c r="M920">
        <v>205</v>
      </c>
      <c r="N920" t="s">
        <v>32</v>
      </c>
      <c r="O920" t="s">
        <v>32</v>
      </c>
      <c r="Q920" t="s">
        <v>32</v>
      </c>
      <c r="S920" t="s">
        <v>32</v>
      </c>
      <c r="U920" t="s">
        <v>32</v>
      </c>
      <c r="V920" t="s">
        <v>32</v>
      </c>
      <c r="W920" t="s">
        <v>32</v>
      </c>
      <c r="X920" t="s">
        <v>32</v>
      </c>
      <c r="Y920" t="s">
        <v>32</v>
      </c>
      <c r="AA920" t="s">
        <v>88</v>
      </c>
      <c r="AB920" t="s">
        <v>32</v>
      </c>
      <c r="AE920" t="s">
        <v>32</v>
      </c>
      <c r="AH920" t="s">
        <v>32</v>
      </c>
      <c r="AK920" t="s">
        <v>32</v>
      </c>
      <c r="AN920" t="s">
        <v>32</v>
      </c>
      <c r="AO920" t="s">
        <v>32</v>
      </c>
      <c r="AR920">
        <v>0</v>
      </c>
      <c r="AU920" t="s">
        <v>32</v>
      </c>
      <c r="AV920">
        <v>1750905</v>
      </c>
      <c r="AW920" t="s">
        <v>32</v>
      </c>
      <c r="AX920" t="s">
        <v>32</v>
      </c>
      <c r="AY920" t="s">
        <v>317</v>
      </c>
      <c r="AZ920">
        <v>30</v>
      </c>
      <c r="BA920">
        <v>2069651</v>
      </c>
      <c r="BB920">
        <v>0.15999999642372131</v>
      </c>
      <c r="BC920">
        <v>331200</v>
      </c>
      <c r="BD920" t="s">
        <v>31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331200</v>
      </c>
      <c r="BK920" t="s">
        <v>25</v>
      </c>
      <c r="BL920" t="s">
        <v>1010</v>
      </c>
      <c r="BM920">
        <v>30</v>
      </c>
      <c r="BN920">
        <v>2069651</v>
      </c>
      <c r="BO920">
        <v>3.9999999105930328E-2</v>
      </c>
      <c r="BP920">
        <v>82800</v>
      </c>
      <c r="BQ920">
        <v>0</v>
      </c>
      <c r="BS920">
        <v>0</v>
      </c>
      <c r="BU920">
        <v>0</v>
      </c>
      <c r="BV920" t="s">
        <v>25</v>
      </c>
      <c r="BW920" t="s">
        <v>189</v>
      </c>
      <c r="BX920">
        <v>30</v>
      </c>
      <c r="BY920">
        <v>2069651</v>
      </c>
      <c r="BZ920">
        <v>6.9600000977516174E-2</v>
      </c>
      <c r="CA920" t="s">
        <v>1439</v>
      </c>
      <c r="CB920" t="s">
        <v>312</v>
      </c>
      <c r="CC920" t="s">
        <v>1440</v>
      </c>
      <c r="CD920">
        <v>144100</v>
      </c>
      <c r="CE920">
        <v>30</v>
      </c>
      <c r="CF920" t="s">
        <v>466</v>
      </c>
      <c r="CG920">
        <v>2069651</v>
      </c>
      <c r="CH920">
        <v>3.9999999105930328E-2</v>
      </c>
      <c r="CI920">
        <v>82800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 t="s">
        <v>88</v>
      </c>
      <c r="CT920" t="s">
        <v>142</v>
      </c>
      <c r="CU920" t="s">
        <v>1442</v>
      </c>
    </row>
    <row r="921" spans="1:99">
      <c r="A921" t="s">
        <v>3047</v>
      </c>
      <c r="B921" t="s">
        <v>34</v>
      </c>
      <c r="C921" t="s">
        <v>2216</v>
      </c>
      <c r="D921" t="s">
        <v>2217</v>
      </c>
      <c r="E921" t="s">
        <v>2218</v>
      </c>
      <c r="F921" t="s">
        <v>1522</v>
      </c>
      <c r="G921" t="s">
        <v>2219</v>
      </c>
      <c r="H921" t="s">
        <v>1548</v>
      </c>
      <c r="I921" t="s">
        <v>682</v>
      </c>
      <c r="J921" t="s">
        <v>484</v>
      </c>
      <c r="K921" t="s">
        <v>29</v>
      </c>
      <c r="L921" t="s">
        <v>30</v>
      </c>
      <c r="M921">
        <v>207</v>
      </c>
      <c r="N921" t="s">
        <v>32</v>
      </c>
      <c r="O921" t="s">
        <v>32</v>
      </c>
      <c r="Q921" t="s">
        <v>32</v>
      </c>
      <c r="S921" t="s">
        <v>32</v>
      </c>
      <c r="U921" t="s">
        <v>32</v>
      </c>
      <c r="V921" t="s">
        <v>32</v>
      </c>
      <c r="W921" t="s">
        <v>32</v>
      </c>
      <c r="X921" t="s">
        <v>32</v>
      </c>
      <c r="Y921" t="s">
        <v>32</v>
      </c>
      <c r="AA921" t="s">
        <v>88</v>
      </c>
      <c r="AB921" t="s">
        <v>32</v>
      </c>
      <c r="AE921" t="s">
        <v>32</v>
      </c>
      <c r="AH921" t="s">
        <v>32</v>
      </c>
      <c r="AK921" t="s">
        <v>32</v>
      </c>
      <c r="AN921" t="s">
        <v>32</v>
      </c>
      <c r="AO921" t="s">
        <v>32</v>
      </c>
      <c r="AR921">
        <v>0</v>
      </c>
      <c r="AU921" t="s">
        <v>32</v>
      </c>
      <c r="AV921">
        <v>2056650</v>
      </c>
      <c r="AW921" t="s">
        <v>32</v>
      </c>
      <c r="AX921" t="s">
        <v>32</v>
      </c>
      <c r="AY921" t="s">
        <v>137</v>
      </c>
      <c r="AZ921">
        <v>30</v>
      </c>
      <c r="BA921">
        <v>2593227</v>
      </c>
      <c r="BB921">
        <v>0.15999999642372131</v>
      </c>
      <c r="BC921">
        <v>415000</v>
      </c>
      <c r="BD921" t="s">
        <v>31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415000</v>
      </c>
      <c r="BK921" t="s">
        <v>25</v>
      </c>
      <c r="BL921" t="s">
        <v>1071</v>
      </c>
      <c r="BM921">
        <v>30</v>
      </c>
      <c r="BN921">
        <v>2593227</v>
      </c>
      <c r="BO921">
        <v>3.9999999105930328E-2</v>
      </c>
      <c r="BP921">
        <v>103800</v>
      </c>
      <c r="BQ921">
        <v>0</v>
      </c>
      <c r="BS921">
        <v>0</v>
      </c>
      <c r="BU921">
        <v>0</v>
      </c>
      <c r="BV921" t="s">
        <v>25</v>
      </c>
      <c r="BW921" t="s">
        <v>189</v>
      </c>
      <c r="BX921">
        <v>30</v>
      </c>
      <c r="BY921">
        <v>2593227</v>
      </c>
      <c r="BZ921">
        <v>6.9600000977516174E-2</v>
      </c>
      <c r="CA921" t="s">
        <v>1439</v>
      </c>
      <c r="CB921" t="s">
        <v>312</v>
      </c>
      <c r="CC921" t="s">
        <v>1440</v>
      </c>
      <c r="CD921">
        <v>180500</v>
      </c>
      <c r="CE921">
        <v>30</v>
      </c>
      <c r="CF921" t="s">
        <v>466</v>
      </c>
      <c r="CG921">
        <v>2454425</v>
      </c>
      <c r="CH921">
        <v>3.9999999105930328E-2</v>
      </c>
      <c r="CI921">
        <v>98200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 t="s">
        <v>88</v>
      </c>
      <c r="CT921" t="s">
        <v>142</v>
      </c>
      <c r="CU921" t="s">
        <v>1442</v>
      </c>
    </row>
    <row r="922" spans="1:99">
      <c r="A922" t="s">
        <v>3047</v>
      </c>
      <c r="B922" t="s">
        <v>34</v>
      </c>
      <c r="C922" t="s">
        <v>2220</v>
      </c>
      <c r="D922" t="s">
        <v>2221</v>
      </c>
      <c r="E922" t="s">
        <v>2222</v>
      </c>
      <c r="F922" t="s">
        <v>1634</v>
      </c>
      <c r="G922" t="s">
        <v>2223</v>
      </c>
      <c r="H922" t="s">
        <v>1558</v>
      </c>
      <c r="I922" t="s">
        <v>682</v>
      </c>
      <c r="J922" t="s">
        <v>484</v>
      </c>
      <c r="K922" t="s">
        <v>29</v>
      </c>
      <c r="L922" t="s">
        <v>30</v>
      </c>
      <c r="M922">
        <v>145</v>
      </c>
      <c r="N922" t="s">
        <v>32</v>
      </c>
      <c r="O922" t="s">
        <v>32</v>
      </c>
      <c r="Q922" t="s">
        <v>40</v>
      </c>
      <c r="R922">
        <v>46062</v>
      </c>
      <c r="S922" t="s">
        <v>32</v>
      </c>
      <c r="U922" t="s">
        <v>32</v>
      </c>
      <c r="V922" t="s">
        <v>32</v>
      </c>
      <c r="W922" t="s">
        <v>32</v>
      </c>
      <c r="X922" t="s">
        <v>32</v>
      </c>
      <c r="Y922" t="s">
        <v>32</v>
      </c>
      <c r="AA922" t="s">
        <v>88</v>
      </c>
      <c r="AB922" t="s">
        <v>32</v>
      </c>
      <c r="AE922" t="s">
        <v>32</v>
      </c>
      <c r="AH922" t="s">
        <v>32</v>
      </c>
      <c r="AK922" t="s">
        <v>32</v>
      </c>
      <c r="AN922" t="s">
        <v>32</v>
      </c>
      <c r="AO922" t="s">
        <v>32</v>
      </c>
      <c r="AR922">
        <v>0</v>
      </c>
      <c r="AU922" t="s">
        <v>32</v>
      </c>
      <c r="AV922">
        <v>1750905</v>
      </c>
      <c r="AW922" t="s">
        <v>32</v>
      </c>
      <c r="AX922" t="s">
        <v>32</v>
      </c>
      <c r="AY922" t="s">
        <v>317</v>
      </c>
      <c r="AZ922">
        <v>22</v>
      </c>
      <c r="BA922">
        <v>1383482</v>
      </c>
      <c r="BB922">
        <v>0.15999999642372131</v>
      </c>
      <c r="BC922">
        <v>221400</v>
      </c>
      <c r="BD922" t="s">
        <v>31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221400</v>
      </c>
      <c r="BK922" t="s">
        <v>25</v>
      </c>
      <c r="BL922" t="s">
        <v>748</v>
      </c>
      <c r="BM922">
        <v>22</v>
      </c>
      <c r="BN922">
        <v>1383482</v>
      </c>
      <c r="BO922">
        <v>3.9999999105930328E-2</v>
      </c>
      <c r="BP922">
        <v>55400</v>
      </c>
      <c r="BQ922">
        <v>0</v>
      </c>
      <c r="BS922">
        <v>0</v>
      </c>
      <c r="BU922">
        <v>0</v>
      </c>
      <c r="BV922" t="s">
        <v>25</v>
      </c>
      <c r="BW922" t="s">
        <v>189</v>
      </c>
      <c r="BX922">
        <v>22</v>
      </c>
      <c r="BY922">
        <v>1383482</v>
      </c>
      <c r="BZ922">
        <v>6.9600000977516174E-2</v>
      </c>
      <c r="CA922" t="s">
        <v>1439</v>
      </c>
      <c r="CB922" t="s">
        <v>312</v>
      </c>
      <c r="CC922" t="s">
        <v>1440</v>
      </c>
      <c r="CD922">
        <v>96300</v>
      </c>
      <c r="CE922">
        <v>22</v>
      </c>
      <c r="CF922" t="s">
        <v>466</v>
      </c>
      <c r="CG922">
        <v>1383482</v>
      </c>
      <c r="CH922">
        <v>3.9999999105930328E-2</v>
      </c>
      <c r="CI922">
        <v>55400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 t="s">
        <v>88</v>
      </c>
      <c r="CT922" t="s">
        <v>142</v>
      </c>
      <c r="CU922" t="s">
        <v>1442</v>
      </c>
    </row>
    <row r="923" spans="1:99">
      <c r="A923" t="s">
        <v>3047</v>
      </c>
      <c r="B923" t="s">
        <v>34</v>
      </c>
      <c r="C923" t="s">
        <v>2224</v>
      </c>
      <c r="D923" t="s">
        <v>2225</v>
      </c>
      <c r="E923" t="s">
        <v>667</v>
      </c>
      <c r="F923" t="s">
        <v>2226</v>
      </c>
      <c r="G923" t="s">
        <v>1436</v>
      </c>
      <c r="H923" t="s">
        <v>1451</v>
      </c>
      <c r="I923" t="s">
        <v>682</v>
      </c>
      <c r="J923" t="s">
        <v>484</v>
      </c>
      <c r="K923" t="s">
        <v>29</v>
      </c>
      <c r="L923" t="s">
        <v>30</v>
      </c>
      <c r="M923">
        <v>213</v>
      </c>
      <c r="N923" t="s">
        <v>32</v>
      </c>
      <c r="O923" t="s">
        <v>32</v>
      </c>
      <c r="Q923" t="s">
        <v>32</v>
      </c>
      <c r="S923" t="s">
        <v>32</v>
      </c>
      <c r="U923" t="s">
        <v>32</v>
      </c>
      <c r="V923" t="s">
        <v>32</v>
      </c>
      <c r="W923" t="s">
        <v>32</v>
      </c>
      <c r="X923" t="s">
        <v>32</v>
      </c>
      <c r="Y923" t="s">
        <v>32</v>
      </c>
      <c r="AA923" t="s">
        <v>88</v>
      </c>
      <c r="AB923" t="s">
        <v>32</v>
      </c>
      <c r="AE923" t="s">
        <v>32</v>
      </c>
      <c r="AH923" t="s">
        <v>32</v>
      </c>
      <c r="AK923" t="s">
        <v>32</v>
      </c>
      <c r="AN923" t="s">
        <v>32</v>
      </c>
      <c r="AO923" t="s">
        <v>32</v>
      </c>
      <c r="AR923">
        <v>0</v>
      </c>
      <c r="AU923" t="s">
        <v>32</v>
      </c>
      <c r="AV923">
        <v>1889179</v>
      </c>
      <c r="AW923" t="s">
        <v>32</v>
      </c>
      <c r="AX923" t="s">
        <v>32</v>
      </c>
      <c r="AY923" t="s">
        <v>317</v>
      </c>
      <c r="AZ923">
        <v>30</v>
      </c>
      <c r="BA923">
        <v>2318969</v>
      </c>
      <c r="BB923">
        <v>0.15999999642372131</v>
      </c>
      <c r="BC923">
        <v>371100</v>
      </c>
      <c r="BD923" t="s">
        <v>31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371100</v>
      </c>
      <c r="BK923" t="s">
        <v>25</v>
      </c>
      <c r="BL923" t="s">
        <v>1010</v>
      </c>
      <c r="BM923">
        <v>30</v>
      </c>
      <c r="BN923">
        <v>2318969</v>
      </c>
      <c r="BO923">
        <v>3.9999999105930328E-2</v>
      </c>
      <c r="BP923">
        <v>92800</v>
      </c>
      <c r="BQ923">
        <v>0</v>
      </c>
      <c r="BS923">
        <v>0</v>
      </c>
      <c r="BU923">
        <v>0</v>
      </c>
      <c r="BV923" t="s">
        <v>25</v>
      </c>
      <c r="BW923" t="s">
        <v>189</v>
      </c>
      <c r="BX923">
        <v>30</v>
      </c>
      <c r="BY923">
        <v>2318969</v>
      </c>
      <c r="BZ923">
        <v>6.9600000977516174E-2</v>
      </c>
      <c r="CA923" t="s">
        <v>1439</v>
      </c>
      <c r="CB923" t="s">
        <v>312</v>
      </c>
      <c r="CC923" t="s">
        <v>1440</v>
      </c>
      <c r="CD923">
        <v>161500</v>
      </c>
      <c r="CE923">
        <v>30</v>
      </c>
      <c r="CF923" t="s">
        <v>466</v>
      </c>
      <c r="CG923">
        <v>2318969</v>
      </c>
      <c r="CH923">
        <v>3.9999999105930328E-2</v>
      </c>
      <c r="CI923">
        <v>92800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 t="s">
        <v>88</v>
      </c>
      <c r="CT923" t="s">
        <v>142</v>
      </c>
      <c r="CU923" t="s">
        <v>1442</v>
      </c>
    </row>
    <row r="924" spans="1:99">
      <c r="A924" t="s">
        <v>3047</v>
      </c>
      <c r="B924" t="s">
        <v>34</v>
      </c>
      <c r="C924" t="s">
        <v>2227</v>
      </c>
      <c r="D924" t="s">
        <v>2228</v>
      </c>
      <c r="E924" t="s">
        <v>2229</v>
      </c>
      <c r="F924" t="s">
        <v>1526</v>
      </c>
      <c r="G924" t="s">
        <v>2230</v>
      </c>
      <c r="H924" t="s">
        <v>1558</v>
      </c>
      <c r="I924" t="s">
        <v>682</v>
      </c>
      <c r="J924" t="s">
        <v>484</v>
      </c>
      <c r="K924" t="s">
        <v>29</v>
      </c>
      <c r="L924" t="s">
        <v>30</v>
      </c>
      <c r="M924">
        <v>0</v>
      </c>
      <c r="N924" t="s">
        <v>32</v>
      </c>
      <c r="O924" t="s">
        <v>32</v>
      </c>
      <c r="Q924" t="s">
        <v>32</v>
      </c>
      <c r="S924" t="s">
        <v>32</v>
      </c>
      <c r="U924" t="s">
        <v>32</v>
      </c>
      <c r="V924" t="s">
        <v>32</v>
      </c>
      <c r="W924" t="s">
        <v>32</v>
      </c>
      <c r="X924" t="s">
        <v>32</v>
      </c>
      <c r="Y924" t="s">
        <v>32</v>
      </c>
      <c r="AA924" t="s">
        <v>32</v>
      </c>
      <c r="AB924" t="s">
        <v>32</v>
      </c>
      <c r="AE924" t="s">
        <v>32</v>
      </c>
      <c r="AH924" t="s">
        <v>32</v>
      </c>
      <c r="AK924" t="s">
        <v>128</v>
      </c>
      <c r="AL924">
        <v>46054</v>
      </c>
      <c r="AM924">
        <v>46054</v>
      </c>
      <c r="AN924" t="s">
        <v>32</v>
      </c>
      <c r="AO924" t="s">
        <v>32</v>
      </c>
      <c r="AR924">
        <v>0</v>
      </c>
      <c r="AU924" t="s">
        <v>32</v>
      </c>
      <c r="AV924">
        <v>1785595</v>
      </c>
      <c r="AW924" t="s">
        <v>32</v>
      </c>
      <c r="AX924" t="s">
        <v>32</v>
      </c>
      <c r="AY924" t="s">
        <v>317</v>
      </c>
      <c r="AZ924">
        <v>1</v>
      </c>
      <c r="BA924">
        <v>59520</v>
      </c>
      <c r="BB924">
        <v>0.15999999642372131</v>
      </c>
      <c r="BC924">
        <v>9600</v>
      </c>
      <c r="BD924" t="s">
        <v>31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9600</v>
      </c>
      <c r="BK924" t="s">
        <v>25</v>
      </c>
      <c r="BL924" t="s">
        <v>1010</v>
      </c>
      <c r="BM924">
        <v>1</v>
      </c>
      <c r="BN924">
        <v>59520</v>
      </c>
      <c r="BO924">
        <v>3.9999999105930328E-2</v>
      </c>
      <c r="BP924">
        <v>2400</v>
      </c>
      <c r="BQ924">
        <v>0</v>
      </c>
      <c r="BS924">
        <v>0</v>
      </c>
      <c r="BU924">
        <v>0</v>
      </c>
      <c r="BV924" t="s">
        <v>25</v>
      </c>
      <c r="BW924" t="s">
        <v>189</v>
      </c>
      <c r="BX924">
        <v>1</v>
      </c>
      <c r="BY924">
        <v>59520</v>
      </c>
      <c r="BZ924">
        <v>0</v>
      </c>
      <c r="CA924" t="s">
        <v>1439</v>
      </c>
      <c r="CB924" t="s">
        <v>312</v>
      </c>
      <c r="CC924" t="s">
        <v>1440</v>
      </c>
      <c r="CD924">
        <v>0</v>
      </c>
      <c r="CE924">
        <v>1</v>
      </c>
      <c r="CF924" t="s">
        <v>466</v>
      </c>
      <c r="CG924">
        <v>59520</v>
      </c>
      <c r="CH924">
        <v>3.9999999105930328E-2</v>
      </c>
      <c r="CI924">
        <v>2400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 t="s">
        <v>88</v>
      </c>
      <c r="CT924" t="s">
        <v>142</v>
      </c>
      <c r="CU924" t="s">
        <v>1442</v>
      </c>
    </row>
    <row r="925" spans="1:99">
      <c r="A925" t="s">
        <v>3047</v>
      </c>
      <c r="B925" t="s">
        <v>34</v>
      </c>
      <c r="C925" t="s">
        <v>2227</v>
      </c>
      <c r="D925" t="s">
        <v>2228</v>
      </c>
      <c r="E925" t="s">
        <v>2229</v>
      </c>
      <c r="F925" t="s">
        <v>1526</v>
      </c>
      <c r="G925" t="s">
        <v>2230</v>
      </c>
      <c r="H925" t="s">
        <v>1558</v>
      </c>
      <c r="I925" t="s">
        <v>682</v>
      </c>
      <c r="J925" t="s">
        <v>484</v>
      </c>
      <c r="K925" t="s">
        <v>29</v>
      </c>
      <c r="L925" t="s">
        <v>30</v>
      </c>
      <c r="M925">
        <v>0</v>
      </c>
      <c r="N925" t="s">
        <v>32</v>
      </c>
      <c r="O925" t="s">
        <v>32</v>
      </c>
      <c r="Q925" t="s">
        <v>32</v>
      </c>
      <c r="S925" t="s">
        <v>32</v>
      </c>
      <c r="U925" t="s">
        <v>32</v>
      </c>
      <c r="V925" t="s">
        <v>32</v>
      </c>
      <c r="W925" t="s">
        <v>32</v>
      </c>
      <c r="X925" t="s">
        <v>32</v>
      </c>
      <c r="Y925" t="s">
        <v>32</v>
      </c>
      <c r="AA925" t="s">
        <v>32</v>
      </c>
      <c r="AB925" t="s">
        <v>37</v>
      </c>
      <c r="AC925">
        <v>46069</v>
      </c>
      <c r="AD925">
        <v>46069</v>
      </c>
      <c r="AE925" t="s">
        <v>32</v>
      </c>
      <c r="AH925" t="s">
        <v>32</v>
      </c>
      <c r="AK925" t="s">
        <v>32</v>
      </c>
      <c r="AN925" t="s">
        <v>32</v>
      </c>
      <c r="AO925" t="s">
        <v>32</v>
      </c>
      <c r="AR925">
        <v>0</v>
      </c>
      <c r="AU925" t="s">
        <v>32</v>
      </c>
      <c r="AV925">
        <v>1785595</v>
      </c>
      <c r="AW925" t="s">
        <v>32</v>
      </c>
      <c r="AX925" t="s">
        <v>32</v>
      </c>
      <c r="AY925" t="s">
        <v>317</v>
      </c>
      <c r="AZ925">
        <v>1</v>
      </c>
      <c r="BA925">
        <v>59520</v>
      </c>
      <c r="BB925">
        <v>0.15999999642372131</v>
      </c>
      <c r="BC925">
        <v>9600</v>
      </c>
      <c r="BD925" t="s">
        <v>31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9600</v>
      </c>
      <c r="BK925" t="s">
        <v>25</v>
      </c>
      <c r="BL925" t="s">
        <v>1010</v>
      </c>
      <c r="BM925">
        <v>1</v>
      </c>
      <c r="BN925">
        <v>59520</v>
      </c>
      <c r="BO925">
        <v>0</v>
      </c>
      <c r="BP925">
        <v>0</v>
      </c>
      <c r="BQ925">
        <v>0</v>
      </c>
      <c r="BS925">
        <v>0</v>
      </c>
      <c r="BU925">
        <v>0</v>
      </c>
      <c r="BV925" t="s">
        <v>25</v>
      </c>
      <c r="BW925" t="s">
        <v>189</v>
      </c>
      <c r="BX925">
        <v>1</v>
      </c>
      <c r="BY925">
        <v>59520</v>
      </c>
      <c r="BZ925">
        <v>0</v>
      </c>
      <c r="CA925" t="s">
        <v>1439</v>
      </c>
      <c r="CB925" t="s">
        <v>312</v>
      </c>
      <c r="CC925" t="s">
        <v>1440</v>
      </c>
      <c r="CD925">
        <v>0</v>
      </c>
      <c r="CE925">
        <v>1</v>
      </c>
      <c r="CF925" t="s">
        <v>466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 t="s">
        <v>88</v>
      </c>
      <c r="CT925" t="s">
        <v>142</v>
      </c>
      <c r="CU925" t="s">
        <v>1442</v>
      </c>
    </row>
    <row r="926" spans="1:99">
      <c r="A926" t="s">
        <v>3047</v>
      </c>
      <c r="B926" t="s">
        <v>34</v>
      </c>
      <c r="C926" t="s">
        <v>2227</v>
      </c>
      <c r="D926" t="s">
        <v>2228</v>
      </c>
      <c r="E926" t="s">
        <v>2229</v>
      </c>
      <c r="F926" t="s">
        <v>1526</v>
      </c>
      <c r="G926" t="s">
        <v>2230</v>
      </c>
      <c r="H926" t="s">
        <v>1558</v>
      </c>
      <c r="I926" t="s">
        <v>682</v>
      </c>
      <c r="J926" t="s">
        <v>484</v>
      </c>
      <c r="K926" t="s">
        <v>29</v>
      </c>
      <c r="L926" t="s">
        <v>30</v>
      </c>
      <c r="M926">
        <v>194</v>
      </c>
      <c r="N926" t="s">
        <v>32</v>
      </c>
      <c r="O926" t="s">
        <v>32</v>
      </c>
      <c r="Q926" t="s">
        <v>32</v>
      </c>
      <c r="S926" t="s">
        <v>32</v>
      </c>
      <c r="U926" t="s">
        <v>32</v>
      </c>
      <c r="V926" t="s">
        <v>32</v>
      </c>
      <c r="W926" t="s">
        <v>32</v>
      </c>
      <c r="X926" t="s">
        <v>32</v>
      </c>
      <c r="Y926" t="s">
        <v>32</v>
      </c>
      <c r="AA926" t="s">
        <v>88</v>
      </c>
      <c r="AB926" t="s">
        <v>32</v>
      </c>
      <c r="AE926" t="s">
        <v>32</v>
      </c>
      <c r="AH926" t="s">
        <v>32</v>
      </c>
      <c r="AK926" t="s">
        <v>32</v>
      </c>
      <c r="AN926" t="s">
        <v>32</v>
      </c>
      <c r="AO926" t="s">
        <v>32</v>
      </c>
      <c r="AR926">
        <v>0</v>
      </c>
      <c r="AU926" t="s">
        <v>32</v>
      </c>
      <c r="AV926">
        <v>1785595</v>
      </c>
      <c r="AW926" t="s">
        <v>32</v>
      </c>
      <c r="AX926" t="s">
        <v>32</v>
      </c>
      <c r="AY926" t="s">
        <v>317</v>
      </c>
      <c r="AZ926">
        <v>28</v>
      </c>
      <c r="BA926">
        <v>1971325</v>
      </c>
      <c r="BB926">
        <v>0.15999999642372131</v>
      </c>
      <c r="BC926">
        <v>315500</v>
      </c>
      <c r="BD926" t="s">
        <v>31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315500</v>
      </c>
      <c r="BK926" t="s">
        <v>25</v>
      </c>
      <c r="BL926" t="s">
        <v>1010</v>
      </c>
      <c r="BM926">
        <v>28</v>
      </c>
      <c r="BN926">
        <v>1971325</v>
      </c>
      <c r="BO926">
        <v>3.9999999105930328E-2</v>
      </c>
      <c r="BP926">
        <v>78900</v>
      </c>
      <c r="BQ926">
        <v>0</v>
      </c>
      <c r="BS926">
        <v>0</v>
      </c>
      <c r="BU926">
        <v>0</v>
      </c>
      <c r="BV926" t="s">
        <v>25</v>
      </c>
      <c r="BW926" t="s">
        <v>189</v>
      </c>
      <c r="BX926">
        <v>28</v>
      </c>
      <c r="BY926">
        <v>1971325</v>
      </c>
      <c r="BZ926">
        <v>6.9600000977516174E-2</v>
      </c>
      <c r="CA926" t="s">
        <v>1439</v>
      </c>
      <c r="CB926" t="s">
        <v>312</v>
      </c>
      <c r="CC926" t="s">
        <v>1440</v>
      </c>
      <c r="CD926">
        <v>137300</v>
      </c>
      <c r="CE926">
        <v>28</v>
      </c>
      <c r="CF926" t="s">
        <v>466</v>
      </c>
      <c r="CG926">
        <v>1971325</v>
      </c>
      <c r="CH926">
        <v>3.9999999105930328E-2</v>
      </c>
      <c r="CI926">
        <v>78900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 t="s">
        <v>88</v>
      </c>
      <c r="CT926" t="s">
        <v>142</v>
      </c>
      <c r="CU926" t="s">
        <v>1442</v>
      </c>
    </row>
    <row r="927" spans="1:99">
      <c r="A927" t="s">
        <v>3047</v>
      </c>
      <c r="B927" t="s">
        <v>34</v>
      </c>
      <c r="C927" t="s">
        <v>2231</v>
      </c>
      <c r="D927" t="s">
        <v>2232</v>
      </c>
      <c r="E927" t="s">
        <v>2233</v>
      </c>
      <c r="F927" t="s">
        <v>2234</v>
      </c>
      <c r="G927" t="s">
        <v>1991</v>
      </c>
      <c r="H927" t="s">
        <v>1519</v>
      </c>
      <c r="I927" t="s">
        <v>682</v>
      </c>
      <c r="J927" t="s">
        <v>484</v>
      </c>
      <c r="K927" t="s">
        <v>29</v>
      </c>
      <c r="L927" t="s">
        <v>30</v>
      </c>
      <c r="M927">
        <v>210</v>
      </c>
      <c r="N927" t="s">
        <v>32</v>
      </c>
      <c r="O927" t="s">
        <v>32</v>
      </c>
      <c r="Q927" t="s">
        <v>32</v>
      </c>
      <c r="S927" t="s">
        <v>32</v>
      </c>
      <c r="U927" t="s">
        <v>32</v>
      </c>
      <c r="V927" t="s">
        <v>32</v>
      </c>
      <c r="W927" t="s">
        <v>32</v>
      </c>
      <c r="X927" t="s">
        <v>32</v>
      </c>
      <c r="Y927" t="s">
        <v>32</v>
      </c>
      <c r="AA927" t="s">
        <v>88</v>
      </c>
      <c r="AB927" t="s">
        <v>32</v>
      </c>
      <c r="AE927" t="s">
        <v>32</v>
      </c>
      <c r="AH927" t="s">
        <v>32</v>
      </c>
      <c r="AK927" t="s">
        <v>32</v>
      </c>
      <c r="AN927" t="s">
        <v>32</v>
      </c>
      <c r="AO927" t="s">
        <v>32</v>
      </c>
      <c r="AR927">
        <v>0</v>
      </c>
      <c r="AU927" t="s">
        <v>32</v>
      </c>
      <c r="AV927">
        <v>1750905</v>
      </c>
      <c r="AW927" t="s">
        <v>32</v>
      </c>
      <c r="AX927" t="s">
        <v>32</v>
      </c>
      <c r="AY927" t="s">
        <v>317</v>
      </c>
      <c r="AZ927">
        <v>30</v>
      </c>
      <c r="BA927">
        <v>2119392</v>
      </c>
      <c r="BB927">
        <v>0.15999999642372131</v>
      </c>
      <c r="BC927">
        <v>339200</v>
      </c>
      <c r="BD927" t="s">
        <v>31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339200</v>
      </c>
      <c r="BK927" t="s">
        <v>25</v>
      </c>
      <c r="BL927" t="s">
        <v>748</v>
      </c>
      <c r="BM927">
        <v>30</v>
      </c>
      <c r="BN927">
        <v>2119392</v>
      </c>
      <c r="BO927">
        <v>3.9999999105930328E-2</v>
      </c>
      <c r="BP927">
        <v>84800</v>
      </c>
      <c r="BQ927">
        <v>0</v>
      </c>
      <c r="BS927">
        <v>0</v>
      </c>
      <c r="BU927">
        <v>0</v>
      </c>
      <c r="BV927" t="s">
        <v>25</v>
      </c>
      <c r="BW927" t="s">
        <v>189</v>
      </c>
      <c r="BX927">
        <v>30</v>
      </c>
      <c r="BY927">
        <v>2119392</v>
      </c>
      <c r="BZ927">
        <v>6.9600000977516174E-2</v>
      </c>
      <c r="CA927" t="s">
        <v>1439</v>
      </c>
      <c r="CB927" t="s">
        <v>312</v>
      </c>
      <c r="CC927" t="s">
        <v>1440</v>
      </c>
      <c r="CD927">
        <v>147600</v>
      </c>
      <c r="CE927">
        <v>30</v>
      </c>
      <c r="CF927" t="s">
        <v>466</v>
      </c>
      <c r="CG927">
        <v>2119392</v>
      </c>
      <c r="CH927">
        <v>3.9999999105930328E-2</v>
      </c>
      <c r="CI927">
        <v>84800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 t="s">
        <v>88</v>
      </c>
      <c r="CT927" t="s">
        <v>142</v>
      </c>
      <c r="CU927" t="s">
        <v>1442</v>
      </c>
    </row>
    <row r="928" spans="1:99">
      <c r="A928" t="s">
        <v>3047</v>
      </c>
      <c r="B928" t="s">
        <v>34</v>
      </c>
      <c r="C928" t="s">
        <v>2235</v>
      </c>
      <c r="D928" t="s">
        <v>2236</v>
      </c>
      <c r="E928" t="s">
        <v>2237</v>
      </c>
      <c r="F928" t="s">
        <v>263</v>
      </c>
      <c r="G928" t="s">
        <v>1781</v>
      </c>
      <c r="H928" t="s">
        <v>1968</v>
      </c>
      <c r="I928" t="s">
        <v>682</v>
      </c>
      <c r="J928" t="s">
        <v>484</v>
      </c>
      <c r="K928" t="s">
        <v>29</v>
      </c>
      <c r="L928" t="s">
        <v>30</v>
      </c>
      <c r="M928">
        <v>0</v>
      </c>
      <c r="N928" t="s">
        <v>32</v>
      </c>
      <c r="O928" t="s">
        <v>32</v>
      </c>
      <c r="Q928" t="s">
        <v>32</v>
      </c>
      <c r="S928" t="s">
        <v>32</v>
      </c>
      <c r="U928" t="s">
        <v>32</v>
      </c>
      <c r="V928" t="s">
        <v>32</v>
      </c>
      <c r="W928" t="s">
        <v>32</v>
      </c>
      <c r="X928" t="s">
        <v>32</v>
      </c>
      <c r="Y928" t="s">
        <v>32</v>
      </c>
      <c r="AA928" t="s">
        <v>32</v>
      </c>
      <c r="AB928" t="s">
        <v>32</v>
      </c>
      <c r="AE928" t="s">
        <v>32</v>
      </c>
      <c r="AH928" t="s">
        <v>32</v>
      </c>
      <c r="AK928" t="s">
        <v>128</v>
      </c>
      <c r="AL928">
        <v>46057</v>
      </c>
      <c r="AM928">
        <v>46057</v>
      </c>
      <c r="AN928" t="s">
        <v>32</v>
      </c>
      <c r="AO928" t="s">
        <v>32</v>
      </c>
      <c r="AR928">
        <v>0</v>
      </c>
      <c r="AU928" t="s">
        <v>32</v>
      </c>
      <c r="AV928">
        <v>1750905</v>
      </c>
      <c r="AW928" t="s">
        <v>32</v>
      </c>
      <c r="AX928" t="s">
        <v>32</v>
      </c>
      <c r="AY928" t="s">
        <v>317</v>
      </c>
      <c r="AZ928">
        <v>1</v>
      </c>
      <c r="BA928">
        <v>58364</v>
      </c>
      <c r="BB928">
        <v>0.15999999642372131</v>
      </c>
      <c r="BC928">
        <v>9400</v>
      </c>
      <c r="BD928" t="s">
        <v>31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9400</v>
      </c>
      <c r="BK928" t="s">
        <v>25</v>
      </c>
      <c r="BL928" t="s">
        <v>1010</v>
      </c>
      <c r="BM928">
        <v>1</v>
      </c>
      <c r="BN928">
        <v>58364</v>
      </c>
      <c r="BO928">
        <v>3.9999999105930328E-2</v>
      </c>
      <c r="BP928">
        <v>2400</v>
      </c>
      <c r="BQ928">
        <v>0</v>
      </c>
      <c r="BS928">
        <v>0</v>
      </c>
      <c r="BU928">
        <v>0</v>
      </c>
      <c r="BV928" t="s">
        <v>25</v>
      </c>
      <c r="BW928" t="s">
        <v>189</v>
      </c>
      <c r="BX928">
        <v>1</v>
      </c>
      <c r="BY928">
        <v>58364</v>
      </c>
      <c r="BZ928">
        <v>0</v>
      </c>
      <c r="CA928" t="s">
        <v>1439</v>
      </c>
      <c r="CB928" t="s">
        <v>312</v>
      </c>
      <c r="CC928" t="s">
        <v>1440</v>
      </c>
      <c r="CD928">
        <v>0</v>
      </c>
      <c r="CE928">
        <v>1</v>
      </c>
      <c r="CF928" t="s">
        <v>466</v>
      </c>
      <c r="CG928">
        <v>58364</v>
      </c>
      <c r="CH928">
        <v>3.9999999105930328E-2</v>
      </c>
      <c r="CI928">
        <v>2400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 t="s">
        <v>88</v>
      </c>
      <c r="CT928" t="s">
        <v>142</v>
      </c>
      <c r="CU928" t="s">
        <v>1442</v>
      </c>
    </row>
    <row r="929" spans="1:99">
      <c r="A929" t="s">
        <v>3047</v>
      </c>
      <c r="B929" t="s">
        <v>34</v>
      </c>
      <c r="C929" t="s">
        <v>2235</v>
      </c>
      <c r="D929" t="s">
        <v>2236</v>
      </c>
      <c r="E929" t="s">
        <v>2237</v>
      </c>
      <c r="F929" t="s">
        <v>263</v>
      </c>
      <c r="G929" t="s">
        <v>1781</v>
      </c>
      <c r="H929" t="s">
        <v>1968</v>
      </c>
      <c r="I929" t="s">
        <v>682</v>
      </c>
      <c r="J929" t="s">
        <v>484</v>
      </c>
      <c r="K929" t="s">
        <v>29</v>
      </c>
      <c r="L929" t="s">
        <v>30</v>
      </c>
      <c r="M929">
        <v>42</v>
      </c>
      <c r="N929" t="s">
        <v>32</v>
      </c>
      <c r="O929" t="s">
        <v>32</v>
      </c>
      <c r="Q929" t="s">
        <v>32</v>
      </c>
      <c r="S929" t="s">
        <v>40</v>
      </c>
      <c r="T929">
        <v>46057</v>
      </c>
      <c r="U929" t="s">
        <v>32</v>
      </c>
      <c r="V929" t="s">
        <v>32</v>
      </c>
      <c r="W929" t="s">
        <v>32</v>
      </c>
      <c r="X929" t="s">
        <v>32</v>
      </c>
      <c r="Y929" t="s">
        <v>32</v>
      </c>
      <c r="AA929" t="s">
        <v>88</v>
      </c>
      <c r="AB929" t="s">
        <v>32</v>
      </c>
      <c r="AE929" t="s">
        <v>32</v>
      </c>
      <c r="AH929" t="s">
        <v>32</v>
      </c>
      <c r="AK929" t="s">
        <v>32</v>
      </c>
      <c r="AN929" t="s">
        <v>32</v>
      </c>
      <c r="AO929" t="s">
        <v>32</v>
      </c>
      <c r="AR929">
        <v>0</v>
      </c>
      <c r="AU929" t="s">
        <v>32</v>
      </c>
      <c r="AV929">
        <v>1750905</v>
      </c>
      <c r="AW929" t="s">
        <v>32</v>
      </c>
      <c r="AX929" t="s">
        <v>32</v>
      </c>
      <c r="AY929" t="s">
        <v>317</v>
      </c>
      <c r="AZ929">
        <v>3</v>
      </c>
      <c r="BA929">
        <v>499406</v>
      </c>
      <c r="BB929">
        <v>0.15999999642372131</v>
      </c>
      <c r="BC929">
        <v>80000</v>
      </c>
      <c r="BD929" t="s">
        <v>31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80000</v>
      </c>
      <c r="BK929" t="s">
        <v>25</v>
      </c>
      <c r="BL929" t="s">
        <v>1010</v>
      </c>
      <c r="BM929">
        <v>3</v>
      </c>
      <c r="BN929">
        <v>499406</v>
      </c>
      <c r="BO929">
        <v>3.9999999105930328E-2</v>
      </c>
      <c r="BP929">
        <v>20000</v>
      </c>
      <c r="BQ929">
        <v>0</v>
      </c>
      <c r="BS929">
        <v>0</v>
      </c>
      <c r="BU929">
        <v>0</v>
      </c>
      <c r="BV929" t="s">
        <v>25</v>
      </c>
      <c r="BW929" t="s">
        <v>189</v>
      </c>
      <c r="BX929">
        <v>3</v>
      </c>
      <c r="BY929">
        <v>499406</v>
      </c>
      <c r="BZ929">
        <v>6.9600000977516174E-2</v>
      </c>
      <c r="CA929" t="s">
        <v>1439</v>
      </c>
      <c r="CB929" t="s">
        <v>312</v>
      </c>
      <c r="CC929" t="s">
        <v>1440</v>
      </c>
      <c r="CD929">
        <v>34800</v>
      </c>
      <c r="CE929">
        <v>3</v>
      </c>
      <c r="CF929" t="s">
        <v>466</v>
      </c>
      <c r="CG929">
        <v>544663</v>
      </c>
      <c r="CH929">
        <v>3.9999999105930328E-2</v>
      </c>
      <c r="CI929">
        <v>21800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 t="s">
        <v>88</v>
      </c>
      <c r="CT929" t="s">
        <v>142</v>
      </c>
      <c r="CU929" t="s">
        <v>1442</v>
      </c>
    </row>
    <row r="930" spans="1:99">
      <c r="A930" t="s">
        <v>3047</v>
      </c>
      <c r="B930" t="s">
        <v>34</v>
      </c>
      <c r="C930" t="s">
        <v>2238</v>
      </c>
      <c r="D930" t="s">
        <v>2239</v>
      </c>
      <c r="E930" t="s">
        <v>1606</v>
      </c>
      <c r="F930" t="s">
        <v>992</v>
      </c>
      <c r="G930" t="s">
        <v>1680</v>
      </c>
      <c r="H930" t="s">
        <v>1579</v>
      </c>
      <c r="I930" t="s">
        <v>240</v>
      </c>
      <c r="J930" t="s">
        <v>46</v>
      </c>
      <c r="K930" t="s">
        <v>29</v>
      </c>
      <c r="L930" t="s">
        <v>30</v>
      </c>
      <c r="M930">
        <v>135</v>
      </c>
      <c r="N930" t="s">
        <v>32</v>
      </c>
      <c r="O930" t="s">
        <v>32</v>
      </c>
      <c r="Q930" t="s">
        <v>32</v>
      </c>
      <c r="S930" t="s">
        <v>40</v>
      </c>
      <c r="T930">
        <v>46074</v>
      </c>
      <c r="U930" t="s">
        <v>32</v>
      </c>
      <c r="V930" t="s">
        <v>32</v>
      </c>
      <c r="W930" t="s">
        <v>32</v>
      </c>
      <c r="X930" t="s">
        <v>32</v>
      </c>
      <c r="Y930" t="s">
        <v>32</v>
      </c>
      <c r="AA930" t="s">
        <v>88</v>
      </c>
      <c r="AB930" t="s">
        <v>32</v>
      </c>
      <c r="AE930" t="s">
        <v>32</v>
      </c>
      <c r="AH930" t="s">
        <v>32</v>
      </c>
      <c r="AK930" t="s">
        <v>32</v>
      </c>
      <c r="AN930" t="s">
        <v>32</v>
      </c>
      <c r="AO930" t="s">
        <v>32</v>
      </c>
      <c r="AR930">
        <v>0</v>
      </c>
      <c r="AU930" t="s">
        <v>32</v>
      </c>
      <c r="AV930">
        <v>3977061</v>
      </c>
      <c r="AW930" t="s">
        <v>32</v>
      </c>
      <c r="AX930" t="s">
        <v>32</v>
      </c>
      <c r="AY930" t="s">
        <v>317</v>
      </c>
      <c r="AZ930">
        <v>21</v>
      </c>
      <c r="BA930">
        <v>4011811</v>
      </c>
      <c r="BB930">
        <v>0.15999999642372131</v>
      </c>
      <c r="BC930">
        <v>641900</v>
      </c>
      <c r="BD930" t="s">
        <v>31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641900</v>
      </c>
      <c r="BK930" t="s">
        <v>25</v>
      </c>
      <c r="BL930" t="s">
        <v>726</v>
      </c>
      <c r="BM930">
        <v>21</v>
      </c>
      <c r="BN930">
        <v>4011811</v>
      </c>
      <c r="BO930">
        <v>3.9999999105930328E-2</v>
      </c>
      <c r="BP930">
        <v>160500</v>
      </c>
      <c r="BQ930">
        <v>0</v>
      </c>
      <c r="BS930">
        <v>0</v>
      </c>
      <c r="BU930">
        <v>0</v>
      </c>
      <c r="BV930" t="s">
        <v>25</v>
      </c>
      <c r="BW930" t="s">
        <v>189</v>
      </c>
      <c r="BX930">
        <v>21</v>
      </c>
      <c r="BY930">
        <v>4011811</v>
      </c>
      <c r="BZ930">
        <v>6.9600000977516174E-2</v>
      </c>
      <c r="CA930" t="s">
        <v>1439</v>
      </c>
      <c r="CB930" t="s">
        <v>227</v>
      </c>
      <c r="CC930" t="s">
        <v>1440</v>
      </c>
      <c r="CD930">
        <v>279300</v>
      </c>
      <c r="CE930">
        <v>21</v>
      </c>
      <c r="CF930" t="s">
        <v>635</v>
      </c>
      <c r="CG930">
        <v>4144152</v>
      </c>
      <c r="CH930">
        <v>3.9999999105930328E-2</v>
      </c>
      <c r="CI930">
        <v>165800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 t="s">
        <v>88</v>
      </c>
      <c r="CT930" t="s">
        <v>142</v>
      </c>
      <c r="CU930" t="s">
        <v>1442</v>
      </c>
    </row>
    <row r="931" spans="1:99">
      <c r="A931" t="s">
        <v>3047</v>
      </c>
      <c r="B931" t="s">
        <v>34</v>
      </c>
      <c r="C931" t="s">
        <v>2240</v>
      </c>
      <c r="D931" t="s">
        <v>2241</v>
      </c>
      <c r="E931" t="s">
        <v>2242</v>
      </c>
      <c r="F931" t="s">
        <v>2243</v>
      </c>
      <c r="G931" t="s">
        <v>1436</v>
      </c>
      <c r="H931" t="s">
        <v>1456</v>
      </c>
      <c r="I931" t="s">
        <v>682</v>
      </c>
      <c r="J931" t="s">
        <v>484</v>
      </c>
      <c r="K931" t="s">
        <v>29</v>
      </c>
      <c r="L931" t="s">
        <v>30</v>
      </c>
      <c r="M931">
        <v>0</v>
      </c>
      <c r="N931" t="s">
        <v>32</v>
      </c>
      <c r="O931" t="s">
        <v>32</v>
      </c>
      <c r="Q931" t="s">
        <v>32</v>
      </c>
      <c r="S931" t="s">
        <v>32</v>
      </c>
      <c r="U931" t="s">
        <v>32</v>
      </c>
      <c r="V931" t="s">
        <v>32</v>
      </c>
      <c r="W931" t="s">
        <v>32</v>
      </c>
      <c r="X931" t="s">
        <v>32</v>
      </c>
      <c r="Y931" t="s">
        <v>32</v>
      </c>
      <c r="AA931" t="s">
        <v>32</v>
      </c>
      <c r="AB931" t="s">
        <v>37</v>
      </c>
      <c r="AC931">
        <v>46069</v>
      </c>
      <c r="AD931">
        <v>46069</v>
      </c>
      <c r="AE931" t="s">
        <v>32</v>
      </c>
      <c r="AH931" t="s">
        <v>32</v>
      </c>
      <c r="AK931" t="s">
        <v>32</v>
      </c>
      <c r="AN931" t="s">
        <v>32</v>
      </c>
      <c r="AO931" t="s">
        <v>32</v>
      </c>
      <c r="AR931">
        <v>0</v>
      </c>
      <c r="AU931" t="s">
        <v>32</v>
      </c>
      <c r="AV931">
        <v>1750905</v>
      </c>
      <c r="AW931" t="s">
        <v>32</v>
      </c>
      <c r="AX931" t="s">
        <v>32</v>
      </c>
      <c r="AY931" t="s">
        <v>185</v>
      </c>
      <c r="AZ931">
        <v>1</v>
      </c>
      <c r="BA931">
        <v>58364</v>
      </c>
      <c r="BB931">
        <v>0.15999999642372131</v>
      </c>
      <c r="BC931">
        <v>9400</v>
      </c>
      <c r="BD931" t="s">
        <v>31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9400</v>
      </c>
      <c r="BK931" t="s">
        <v>25</v>
      </c>
      <c r="BL931" t="s">
        <v>1071</v>
      </c>
      <c r="BM931">
        <v>1</v>
      </c>
      <c r="BN931">
        <v>58364</v>
      </c>
      <c r="BO931">
        <v>0</v>
      </c>
      <c r="BP931">
        <v>0</v>
      </c>
      <c r="BQ931">
        <v>0</v>
      </c>
      <c r="BS931">
        <v>0</v>
      </c>
      <c r="BU931">
        <v>0</v>
      </c>
      <c r="BV931" t="s">
        <v>25</v>
      </c>
      <c r="BW931" t="s">
        <v>189</v>
      </c>
      <c r="BX931">
        <v>1</v>
      </c>
      <c r="BY931">
        <v>58364</v>
      </c>
      <c r="BZ931">
        <v>0</v>
      </c>
      <c r="CA931" t="s">
        <v>1439</v>
      </c>
      <c r="CB931" t="s">
        <v>312</v>
      </c>
      <c r="CC931" t="s">
        <v>1440</v>
      </c>
      <c r="CD931">
        <v>0</v>
      </c>
      <c r="CE931">
        <v>1</v>
      </c>
      <c r="CF931" t="s">
        <v>466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 t="s">
        <v>88</v>
      </c>
      <c r="CT931" t="s">
        <v>142</v>
      </c>
      <c r="CU931" t="s">
        <v>1442</v>
      </c>
    </row>
    <row r="932" spans="1:99">
      <c r="A932" t="s">
        <v>3047</v>
      </c>
      <c r="B932" t="s">
        <v>34</v>
      </c>
      <c r="C932" t="s">
        <v>2240</v>
      </c>
      <c r="D932" t="s">
        <v>2241</v>
      </c>
      <c r="E932" t="s">
        <v>2242</v>
      </c>
      <c r="F932" t="s">
        <v>2243</v>
      </c>
      <c r="G932" t="s">
        <v>1436</v>
      </c>
      <c r="H932" t="s">
        <v>1456</v>
      </c>
      <c r="I932" t="s">
        <v>682</v>
      </c>
      <c r="J932" t="s">
        <v>484</v>
      </c>
      <c r="K932" t="s">
        <v>29</v>
      </c>
      <c r="L932" t="s">
        <v>30</v>
      </c>
      <c r="M932">
        <v>135</v>
      </c>
      <c r="N932" t="s">
        <v>32</v>
      </c>
      <c r="O932" t="s">
        <v>32</v>
      </c>
      <c r="Q932" t="s">
        <v>40</v>
      </c>
      <c r="R932">
        <v>46062</v>
      </c>
      <c r="S932" t="s">
        <v>32</v>
      </c>
      <c r="U932" t="s">
        <v>32</v>
      </c>
      <c r="V932" t="s">
        <v>32</v>
      </c>
      <c r="W932" t="s">
        <v>32</v>
      </c>
      <c r="X932" t="s">
        <v>32</v>
      </c>
      <c r="Y932" t="s">
        <v>32</v>
      </c>
      <c r="AA932" t="s">
        <v>88</v>
      </c>
      <c r="AB932" t="s">
        <v>32</v>
      </c>
      <c r="AE932" t="s">
        <v>32</v>
      </c>
      <c r="AH932" t="s">
        <v>32</v>
      </c>
      <c r="AK932" t="s">
        <v>32</v>
      </c>
      <c r="AN932" t="s">
        <v>32</v>
      </c>
      <c r="AO932" t="s">
        <v>32</v>
      </c>
      <c r="AR932">
        <v>0</v>
      </c>
      <c r="AU932" t="s">
        <v>32</v>
      </c>
      <c r="AV932">
        <v>1750905</v>
      </c>
      <c r="AW932" t="s">
        <v>32</v>
      </c>
      <c r="AX932" t="s">
        <v>32</v>
      </c>
      <c r="AY932" t="s">
        <v>185</v>
      </c>
      <c r="AZ932">
        <v>21</v>
      </c>
      <c r="BA932">
        <v>1315169</v>
      </c>
      <c r="BB932">
        <v>0.15999999642372131</v>
      </c>
      <c r="BC932">
        <v>210500</v>
      </c>
      <c r="BD932" t="s">
        <v>31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210500</v>
      </c>
      <c r="BK932" t="s">
        <v>25</v>
      </c>
      <c r="BL932" t="s">
        <v>1071</v>
      </c>
      <c r="BM932">
        <v>21</v>
      </c>
      <c r="BN932">
        <v>1315169</v>
      </c>
      <c r="BO932">
        <v>3.9999999105930328E-2</v>
      </c>
      <c r="BP932">
        <v>52700</v>
      </c>
      <c r="BQ932">
        <v>0</v>
      </c>
      <c r="BS932">
        <v>0</v>
      </c>
      <c r="BU932">
        <v>0</v>
      </c>
      <c r="BV932" t="s">
        <v>25</v>
      </c>
      <c r="BW932" t="s">
        <v>189</v>
      </c>
      <c r="BX932">
        <v>21</v>
      </c>
      <c r="BY932">
        <v>1315169</v>
      </c>
      <c r="BZ932">
        <v>6.9600000977516174E-2</v>
      </c>
      <c r="CA932" t="s">
        <v>1439</v>
      </c>
      <c r="CB932" t="s">
        <v>312</v>
      </c>
      <c r="CC932" t="s">
        <v>1440</v>
      </c>
      <c r="CD932">
        <v>91600</v>
      </c>
      <c r="CE932">
        <v>21</v>
      </c>
      <c r="CF932" t="s">
        <v>466</v>
      </c>
      <c r="CG932">
        <v>1315169</v>
      </c>
      <c r="CH932">
        <v>3.9999999105930328E-2</v>
      </c>
      <c r="CI932">
        <v>52700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 t="s">
        <v>88</v>
      </c>
      <c r="CT932" t="s">
        <v>142</v>
      </c>
      <c r="CU932" t="s">
        <v>1442</v>
      </c>
    </row>
    <row r="933" spans="1:99">
      <c r="A933" t="s">
        <v>3047</v>
      </c>
      <c r="B933" t="s">
        <v>34</v>
      </c>
      <c r="C933" t="s">
        <v>2244</v>
      </c>
      <c r="D933" t="s">
        <v>3063</v>
      </c>
      <c r="E933" t="s">
        <v>3064</v>
      </c>
      <c r="F933" t="s">
        <v>1460</v>
      </c>
      <c r="G933" t="s">
        <v>2247</v>
      </c>
      <c r="H933" t="s">
        <v>1558</v>
      </c>
      <c r="I933" t="s">
        <v>682</v>
      </c>
      <c r="J933" t="s">
        <v>484</v>
      </c>
      <c r="K933" t="s">
        <v>29</v>
      </c>
      <c r="L933" t="s">
        <v>30</v>
      </c>
      <c r="M933">
        <v>204</v>
      </c>
      <c r="N933" t="s">
        <v>32</v>
      </c>
      <c r="O933" t="s">
        <v>32</v>
      </c>
      <c r="Q933" t="s">
        <v>32</v>
      </c>
      <c r="S933" t="s">
        <v>32</v>
      </c>
      <c r="U933" t="s">
        <v>32</v>
      </c>
      <c r="V933" t="s">
        <v>32</v>
      </c>
      <c r="W933" t="s">
        <v>32</v>
      </c>
      <c r="X933" t="s">
        <v>32</v>
      </c>
      <c r="Y933" t="s">
        <v>32</v>
      </c>
      <c r="AA933" t="s">
        <v>88</v>
      </c>
      <c r="AB933" t="s">
        <v>32</v>
      </c>
      <c r="AE933" t="s">
        <v>32</v>
      </c>
      <c r="AH933" t="s">
        <v>32</v>
      </c>
      <c r="AK933" t="s">
        <v>32</v>
      </c>
      <c r="AN933" t="s">
        <v>32</v>
      </c>
      <c r="AO933" t="s">
        <v>32</v>
      </c>
      <c r="AR933">
        <v>0</v>
      </c>
      <c r="AU933" t="s">
        <v>32</v>
      </c>
      <c r="AV933">
        <v>1750905</v>
      </c>
      <c r="AW933" t="s">
        <v>32</v>
      </c>
      <c r="AX933" t="s">
        <v>32</v>
      </c>
      <c r="AY933" t="s">
        <v>356</v>
      </c>
      <c r="AZ933">
        <v>30</v>
      </c>
      <c r="BA933">
        <v>2024684</v>
      </c>
      <c r="BB933">
        <v>0.15999999642372131</v>
      </c>
      <c r="BC933">
        <v>324000</v>
      </c>
      <c r="BD933" t="s">
        <v>31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324000</v>
      </c>
      <c r="BK933" t="s">
        <v>25</v>
      </c>
      <c r="BL933" t="s">
        <v>870</v>
      </c>
      <c r="BM933">
        <v>30</v>
      </c>
      <c r="BN933">
        <v>2024684</v>
      </c>
      <c r="BO933">
        <v>3.9999999105930328E-2</v>
      </c>
      <c r="BP933">
        <v>81000</v>
      </c>
      <c r="BQ933">
        <v>0</v>
      </c>
      <c r="BS933">
        <v>0</v>
      </c>
      <c r="BU933">
        <v>0</v>
      </c>
      <c r="BV933" t="s">
        <v>25</v>
      </c>
      <c r="BW933" t="s">
        <v>189</v>
      </c>
      <c r="BX933">
        <v>30</v>
      </c>
      <c r="BY933">
        <v>2024684</v>
      </c>
      <c r="BZ933">
        <v>6.9600000977516174E-2</v>
      </c>
      <c r="CA933" t="s">
        <v>1439</v>
      </c>
      <c r="CB933" t="s">
        <v>312</v>
      </c>
      <c r="CC933" t="s">
        <v>1440</v>
      </c>
      <c r="CD933">
        <v>141000</v>
      </c>
      <c r="CE933">
        <v>30</v>
      </c>
      <c r="CF933" t="s">
        <v>466</v>
      </c>
      <c r="CG933">
        <v>2024684</v>
      </c>
      <c r="CH933">
        <v>3.9999999105930328E-2</v>
      </c>
      <c r="CI933">
        <v>81000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 t="s">
        <v>88</v>
      </c>
      <c r="CT933" t="s">
        <v>142</v>
      </c>
      <c r="CU933" t="s">
        <v>1442</v>
      </c>
    </row>
    <row r="934" spans="1:99">
      <c r="A934" t="s">
        <v>3047</v>
      </c>
      <c r="B934" t="s">
        <v>34</v>
      </c>
      <c r="C934" t="s">
        <v>2248</v>
      </c>
      <c r="D934" t="s">
        <v>2249</v>
      </c>
      <c r="E934" t="s">
        <v>2250</v>
      </c>
      <c r="F934" t="s">
        <v>2186</v>
      </c>
      <c r="G934" t="s">
        <v>1436</v>
      </c>
      <c r="H934" t="s">
        <v>2251</v>
      </c>
      <c r="I934" t="s">
        <v>682</v>
      </c>
      <c r="J934" t="s">
        <v>484</v>
      </c>
      <c r="K934" t="s">
        <v>29</v>
      </c>
      <c r="L934" t="s">
        <v>30</v>
      </c>
      <c r="M934">
        <v>205</v>
      </c>
      <c r="N934" t="s">
        <v>32</v>
      </c>
      <c r="O934" t="s">
        <v>32</v>
      </c>
      <c r="Q934" t="s">
        <v>32</v>
      </c>
      <c r="S934" t="s">
        <v>32</v>
      </c>
      <c r="U934" t="s">
        <v>32</v>
      </c>
      <c r="V934" t="s">
        <v>32</v>
      </c>
      <c r="W934" t="s">
        <v>32</v>
      </c>
      <c r="X934" t="s">
        <v>32</v>
      </c>
      <c r="Y934" t="s">
        <v>32</v>
      </c>
      <c r="AA934" t="s">
        <v>88</v>
      </c>
      <c r="AB934" t="s">
        <v>32</v>
      </c>
      <c r="AE934" t="s">
        <v>32</v>
      </c>
      <c r="AH934" t="s">
        <v>32</v>
      </c>
      <c r="AK934" t="s">
        <v>32</v>
      </c>
      <c r="AN934" t="s">
        <v>32</v>
      </c>
      <c r="AO934" t="s">
        <v>32</v>
      </c>
      <c r="AR934">
        <v>0</v>
      </c>
      <c r="AU934" t="s">
        <v>32</v>
      </c>
      <c r="AV934">
        <v>1785595</v>
      </c>
      <c r="AW934" t="s">
        <v>32</v>
      </c>
      <c r="AX934" t="s">
        <v>32</v>
      </c>
      <c r="AY934" t="s">
        <v>317</v>
      </c>
      <c r="AZ934">
        <v>30</v>
      </c>
      <c r="BA934">
        <v>2060658</v>
      </c>
      <c r="BB934">
        <v>0.15999999642372131</v>
      </c>
      <c r="BC934">
        <v>329800</v>
      </c>
      <c r="BD934" t="s">
        <v>31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329800</v>
      </c>
      <c r="BK934" t="s">
        <v>25</v>
      </c>
      <c r="BL934" t="s">
        <v>1071</v>
      </c>
      <c r="BM934">
        <v>30</v>
      </c>
      <c r="BN934">
        <v>2060658</v>
      </c>
      <c r="BO934">
        <v>3.9999999105930328E-2</v>
      </c>
      <c r="BP934">
        <v>82500</v>
      </c>
      <c r="BQ934">
        <v>0</v>
      </c>
      <c r="BS934">
        <v>0</v>
      </c>
      <c r="BU934">
        <v>0</v>
      </c>
      <c r="BV934" t="s">
        <v>25</v>
      </c>
      <c r="BW934" t="s">
        <v>189</v>
      </c>
      <c r="BX934">
        <v>30</v>
      </c>
      <c r="BY934">
        <v>2060658</v>
      </c>
      <c r="BZ934">
        <v>6.9600000977516174E-2</v>
      </c>
      <c r="CA934" t="s">
        <v>1439</v>
      </c>
      <c r="CB934" t="s">
        <v>312</v>
      </c>
      <c r="CC934" t="s">
        <v>1440</v>
      </c>
      <c r="CD934">
        <v>143500</v>
      </c>
      <c r="CE934">
        <v>30</v>
      </c>
      <c r="CF934" t="s">
        <v>466</v>
      </c>
      <c r="CG934">
        <v>2060658</v>
      </c>
      <c r="CH934">
        <v>3.9999999105930328E-2</v>
      </c>
      <c r="CI934">
        <v>82500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 t="s">
        <v>88</v>
      </c>
      <c r="CT934" t="s">
        <v>142</v>
      </c>
      <c r="CU934" t="s">
        <v>1442</v>
      </c>
    </row>
    <row r="935" spans="1:99">
      <c r="A935" t="s">
        <v>3047</v>
      </c>
      <c r="B935" t="s">
        <v>34</v>
      </c>
      <c r="C935" t="s">
        <v>2252</v>
      </c>
      <c r="D935" t="s">
        <v>2253</v>
      </c>
      <c r="E935" t="s">
        <v>2254</v>
      </c>
      <c r="F935" t="s">
        <v>1530</v>
      </c>
      <c r="G935" t="s">
        <v>2255</v>
      </c>
      <c r="H935" t="s">
        <v>1738</v>
      </c>
      <c r="I935" t="s">
        <v>682</v>
      </c>
      <c r="J935" t="s">
        <v>484</v>
      </c>
      <c r="K935" t="s">
        <v>29</v>
      </c>
      <c r="L935" t="s">
        <v>30</v>
      </c>
      <c r="M935">
        <v>205</v>
      </c>
      <c r="N935" t="s">
        <v>32</v>
      </c>
      <c r="O935" t="s">
        <v>32</v>
      </c>
      <c r="Q935" t="s">
        <v>32</v>
      </c>
      <c r="S935" t="s">
        <v>32</v>
      </c>
      <c r="U935" t="s">
        <v>32</v>
      </c>
      <c r="V935" t="s">
        <v>32</v>
      </c>
      <c r="W935" t="s">
        <v>32</v>
      </c>
      <c r="X935" t="s">
        <v>32</v>
      </c>
      <c r="Y935" t="s">
        <v>32</v>
      </c>
      <c r="AA935" t="s">
        <v>88</v>
      </c>
      <c r="AB935" t="s">
        <v>32</v>
      </c>
      <c r="AE935" t="s">
        <v>32</v>
      </c>
      <c r="AH935" t="s">
        <v>32</v>
      </c>
      <c r="AK935" t="s">
        <v>32</v>
      </c>
      <c r="AN935" t="s">
        <v>32</v>
      </c>
      <c r="AO935" t="s">
        <v>32</v>
      </c>
      <c r="AR935">
        <v>0</v>
      </c>
      <c r="AU935" t="s">
        <v>32</v>
      </c>
      <c r="AV935">
        <v>1785595</v>
      </c>
      <c r="AW935" t="s">
        <v>32</v>
      </c>
      <c r="AX935" t="s">
        <v>32</v>
      </c>
      <c r="AY935" t="s">
        <v>317</v>
      </c>
      <c r="AZ935">
        <v>30</v>
      </c>
      <c r="BA935">
        <v>2060658</v>
      </c>
      <c r="BB935">
        <v>0.15999999642372131</v>
      </c>
      <c r="BC935">
        <v>329800</v>
      </c>
      <c r="BD935" t="s">
        <v>31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329800</v>
      </c>
      <c r="BK935" t="s">
        <v>25</v>
      </c>
      <c r="BL935" t="s">
        <v>1071</v>
      </c>
      <c r="BM935">
        <v>30</v>
      </c>
      <c r="BN935">
        <v>2060658</v>
      </c>
      <c r="BO935">
        <v>3.9999999105930328E-2</v>
      </c>
      <c r="BP935">
        <v>82500</v>
      </c>
      <c r="BQ935">
        <v>0</v>
      </c>
      <c r="BS935">
        <v>0</v>
      </c>
      <c r="BU935">
        <v>0</v>
      </c>
      <c r="BV935" t="s">
        <v>25</v>
      </c>
      <c r="BW935" t="s">
        <v>189</v>
      </c>
      <c r="BX935">
        <v>30</v>
      </c>
      <c r="BY935">
        <v>2060658</v>
      </c>
      <c r="BZ935">
        <v>6.9600000977516174E-2</v>
      </c>
      <c r="CA935" t="s">
        <v>1439</v>
      </c>
      <c r="CB935" t="s">
        <v>312</v>
      </c>
      <c r="CC935" t="s">
        <v>1440</v>
      </c>
      <c r="CD935">
        <v>143500</v>
      </c>
      <c r="CE935">
        <v>30</v>
      </c>
      <c r="CF935" t="s">
        <v>466</v>
      </c>
      <c r="CG935">
        <v>2060658</v>
      </c>
      <c r="CH935">
        <v>3.9999999105930328E-2</v>
      </c>
      <c r="CI935">
        <v>82500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 t="s">
        <v>88</v>
      </c>
      <c r="CT935" t="s">
        <v>142</v>
      </c>
      <c r="CU935" t="s">
        <v>1442</v>
      </c>
    </row>
    <row r="936" spans="1:99">
      <c r="A936" t="s">
        <v>3047</v>
      </c>
      <c r="B936" t="s">
        <v>34</v>
      </c>
      <c r="C936" t="s">
        <v>2256</v>
      </c>
      <c r="D936" t="s">
        <v>2257</v>
      </c>
      <c r="E936" t="s">
        <v>2258</v>
      </c>
      <c r="F936" t="s">
        <v>2259</v>
      </c>
      <c r="G936" t="s">
        <v>2260</v>
      </c>
      <c r="H936" t="s">
        <v>1519</v>
      </c>
      <c r="I936" t="s">
        <v>682</v>
      </c>
      <c r="J936" t="s">
        <v>484</v>
      </c>
      <c r="K936" t="s">
        <v>29</v>
      </c>
      <c r="L936" t="s">
        <v>30</v>
      </c>
      <c r="M936">
        <v>200</v>
      </c>
      <c r="N936" t="s">
        <v>32</v>
      </c>
      <c r="O936" t="s">
        <v>32</v>
      </c>
      <c r="Q936" t="s">
        <v>32</v>
      </c>
      <c r="S936" t="s">
        <v>40</v>
      </c>
      <c r="T936">
        <v>46079</v>
      </c>
      <c r="U936" t="s">
        <v>32</v>
      </c>
      <c r="V936" t="s">
        <v>32</v>
      </c>
      <c r="W936" t="s">
        <v>32</v>
      </c>
      <c r="X936" t="s">
        <v>32</v>
      </c>
      <c r="Y936" t="s">
        <v>32</v>
      </c>
      <c r="AA936" t="s">
        <v>88</v>
      </c>
      <c r="AB936" t="s">
        <v>32</v>
      </c>
      <c r="AE936" t="s">
        <v>32</v>
      </c>
      <c r="AH936" t="s">
        <v>32</v>
      </c>
      <c r="AK936" t="s">
        <v>32</v>
      </c>
      <c r="AN936" t="s">
        <v>32</v>
      </c>
      <c r="AO936" t="s">
        <v>32</v>
      </c>
      <c r="AR936">
        <v>0</v>
      </c>
      <c r="AU936" t="s">
        <v>32</v>
      </c>
      <c r="AV936">
        <v>1750905</v>
      </c>
      <c r="AW936" t="s">
        <v>32</v>
      </c>
      <c r="AX936" t="s">
        <v>32</v>
      </c>
      <c r="AY936" t="s">
        <v>317</v>
      </c>
      <c r="AZ936">
        <v>26</v>
      </c>
      <c r="BA936">
        <v>1971705</v>
      </c>
      <c r="BB936">
        <v>0.15999999642372131</v>
      </c>
      <c r="BC936">
        <v>315500</v>
      </c>
      <c r="BD936" t="s">
        <v>31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315500</v>
      </c>
      <c r="BK936" t="s">
        <v>25</v>
      </c>
      <c r="BL936" t="s">
        <v>1010</v>
      </c>
      <c r="BM936">
        <v>26</v>
      </c>
      <c r="BN936">
        <v>1971705</v>
      </c>
      <c r="BO936">
        <v>3.9999999105930328E-2</v>
      </c>
      <c r="BP936">
        <v>78900</v>
      </c>
      <c r="BQ936">
        <v>0</v>
      </c>
      <c r="BS936">
        <v>0</v>
      </c>
      <c r="BU936">
        <v>0</v>
      </c>
      <c r="BV936" t="s">
        <v>25</v>
      </c>
      <c r="BW936" t="s">
        <v>189</v>
      </c>
      <c r="BX936">
        <v>26</v>
      </c>
      <c r="BY936">
        <v>1971705</v>
      </c>
      <c r="BZ936">
        <v>6.9600000977516174E-2</v>
      </c>
      <c r="CA936" t="s">
        <v>1439</v>
      </c>
      <c r="CB936" t="s">
        <v>312</v>
      </c>
      <c r="CC936" t="s">
        <v>1440</v>
      </c>
      <c r="CD936">
        <v>137300</v>
      </c>
      <c r="CE936">
        <v>26</v>
      </c>
      <c r="CF936" t="s">
        <v>466</v>
      </c>
      <c r="CG936">
        <v>2077291</v>
      </c>
      <c r="CH936">
        <v>3.9999999105930328E-2</v>
      </c>
      <c r="CI936">
        <v>83100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 t="s">
        <v>88</v>
      </c>
      <c r="CT936" t="s">
        <v>142</v>
      </c>
      <c r="CU936" t="s">
        <v>1442</v>
      </c>
    </row>
    <row r="937" spans="1:99">
      <c r="A937" t="s">
        <v>3047</v>
      </c>
      <c r="B937" t="s">
        <v>34</v>
      </c>
      <c r="C937" t="s">
        <v>2261</v>
      </c>
      <c r="D937" t="s">
        <v>2262</v>
      </c>
      <c r="E937" t="s">
        <v>2263</v>
      </c>
      <c r="F937" t="s">
        <v>335</v>
      </c>
      <c r="G937" t="s">
        <v>2264</v>
      </c>
      <c r="H937" t="s">
        <v>1468</v>
      </c>
      <c r="I937" t="s">
        <v>682</v>
      </c>
      <c r="J937" t="s">
        <v>484</v>
      </c>
      <c r="K937" t="s">
        <v>29</v>
      </c>
      <c r="L937" t="s">
        <v>30</v>
      </c>
      <c r="M937">
        <v>202</v>
      </c>
      <c r="N937" t="s">
        <v>32</v>
      </c>
      <c r="O937" t="s">
        <v>32</v>
      </c>
      <c r="Q937" t="s">
        <v>32</v>
      </c>
      <c r="S937" t="s">
        <v>40</v>
      </c>
      <c r="T937">
        <v>46079</v>
      </c>
      <c r="U937" t="s">
        <v>32</v>
      </c>
      <c r="V937" t="s">
        <v>32</v>
      </c>
      <c r="W937" t="s">
        <v>32</v>
      </c>
      <c r="X937" t="s">
        <v>32</v>
      </c>
      <c r="Y937" t="s">
        <v>32</v>
      </c>
      <c r="AA937" t="s">
        <v>88</v>
      </c>
      <c r="AB937" t="s">
        <v>32</v>
      </c>
      <c r="AE937" t="s">
        <v>32</v>
      </c>
      <c r="AH937" t="s">
        <v>32</v>
      </c>
      <c r="AK937" t="s">
        <v>32</v>
      </c>
      <c r="AN937" t="s">
        <v>32</v>
      </c>
      <c r="AO937" t="s">
        <v>32</v>
      </c>
      <c r="AR937">
        <v>0</v>
      </c>
      <c r="AU937" t="s">
        <v>32</v>
      </c>
      <c r="AV937">
        <v>1785595</v>
      </c>
      <c r="AW937" t="s">
        <v>32</v>
      </c>
      <c r="AX937" t="s">
        <v>32</v>
      </c>
      <c r="AY937" t="s">
        <v>317</v>
      </c>
      <c r="AZ937">
        <v>26</v>
      </c>
      <c r="BA937">
        <v>2031061</v>
      </c>
      <c r="BB937">
        <v>0.15999999642372131</v>
      </c>
      <c r="BC937">
        <v>325000</v>
      </c>
      <c r="BD937" t="s">
        <v>31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325000</v>
      </c>
      <c r="BK937" t="s">
        <v>25</v>
      </c>
      <c r="BL937" t="s">
        <v>1010</v>
      </c>
      <c r="BM937">
        <v>26</v>
      </c>
      <c r="BN937">
        <v>2031061</v>
      </c>
      <c r="BO937">
        <v>3.9999999105930328E-2</v>
      </c>
      <c r="BP937">
        <v>81300</v>
      </c>
      <c r="BQ937">
        <v>0</v>
      </c>
      <c r="BS937">
        <v>0</v>
      </c>
      <c r="BU937">
        <v>0</v>
      </c>
      <c r="BV937" t="s">
        <v>25</v>
      </c>
      <c r="BW937" t="s">
        <v>189</v>
      </c>
      <c r="BX937">
        <v>26</v>
      </c>
      <c r="BY937">
        <v>2031061</v>
      </c>
      <c r="BZ937">
        <v>6.9600000977516174E-2</v>
      </c>
      <c r="CA937" t="s">
        <v>1439</v>
      </c>
      <c r="CB937" t="s">
        <v>312</v>
      </c>
      <c r="CC937" t="s">
        <v>1440</v>
      </c>
      <c r="CD937">
        <v>141400</v>
      </c>
      <c r="CE937">
        <v>26</v>
      </c>
      <c r="CF937" t="s">
        <v>466</v>
      </c>
      <c r="CG937">
        <v>2139597</v>
      </c>
      <c r="CH937">
        <v>3.9999999105930328E-2</v>
      </c>
      <c r="CI937">
        <v>85600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 t="s">
        <v>88</v>
      </c>
      <c r="CT937" t="s">
        <v>142</v>
      </c>
      <c r="CU937" t="s">
        <v>1442</v>
      </c>
    </row>
    <row r="938" spans="1:99">
      <c r="A938" t="s">
        <v>3047</v>
      </c>
      <c r="B938" t="s">
        <v>34</v>
      </c>
      <c r="C938" t="s">
        <v>2265</v>
      </c>
      <c r="D938" t="s">
        <v>2266</v>
      </c>
      <c r="E938" t="s">
        <v>1530</v>
      </c>
      <c r="F938" t="s">
        <v>2267</v>
      </c>
      <c r="G938" t="s">
        <v>2268</v>
      </c>
      <c r="H938" t="s">
        <v>1437</v>
      </c>
      <c r="I938" t="s">
        <v>682</v>
      </c>
      <c r="J938" t="s">
        <v>484</v>
      </c>
      <c r="K938" t="s">
        <v>29</v>
      </c>
      <c r="L938" t="s">
        <v>30</v>
      </c>
      <c r="M938">
        <v>261</v>
      </c>
      <c r="N938" t="s">
        <v>32</v>
      </c>
      <c r="O938" t="s">
        <v>32</v>
      </c>
      <c r="Q938" t="s">
        <v>32</v>
      </c>
      <c r="S938" t="s">
        <v>32</v>
      </c>
      <c r="U938" t="s">
        <v>32</v>
      </c>
      <c r="V938" t="s">
        <v>32</v>
      </c>
      <c r="W938" t="s">
        <v>32</v>
      </c>
      <c r="X938" t="s">
        <v>32</v>
      </c>
      <c r="Y938" t="s">
        <v>32</v>
      </c>
      <c r="AA938" t="s">
        <v>88</v>
      </c>
      <c r="AB938" t="s">
        <v>32</v>
      </c>
      <c r="AE938" t="s">
        <v>32</v>
      </c>
      <c r="AH938" t="s">
        <v>32</v>
      </c>
      <c r="AK938" t="s">
        <v>32</v>
      </c>
      <c r="AN938" t="s">
        <v>32</v>
      </c>
      <c r="AO938" t="s">
        <v>32</v>
      </c>
      <c r="AR938">
        <v>0</v>
      </c>
      <c r="AU938" t="s">
        <v>32</v>
      </c>
      <c r="AV938">
        <v>1895244</v>
      </c>
      <c r="AW938" t="s">
        <v>32</v>
      </c>
      <c r="AX938" t="s">
        <v>32</v>
      </c>
      <c r="AY938" t="s">
        <v>317</v>
      </c>
      <c r="AZ938">
        <v>30</v>
      </c>
      <c r="BA938">
        <v>2803669</v>
      </c>
      <c r="BB938">
        <v>0.15999999642372131</v>
      </c>
      <c r="BC938">
        <v>448600</v>
      </c>
      <c r="BD938" t="s">
        <v>31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448600</v>
      </c>
      <c r="BK938" t="s">
        <v>25</v>
      </c>
      <c r="BL938" t="s">
        <v>748</v>
      </c>
      <c r="BM938">
        <v>30</v>
      </c>
      <c r="BN938">
        <v>2803669</v>
      </c>
      <c r="BO938">
        <v>3.9999999105930328E-2</v>
      </c>
      <c r="BP938">
        <v>112200</v>
      </c>
      <c r="BQ938">
        <v>0</v>
      </c>
      <c r="BS938">
        <v>0</v>
      </c>
      <c r="BU938">
        <v>0</v>
      </c>
      <c r="BV938" t="s">
        <v>25</v>
      </c>
      <c r="BW938" t="s">
        <v>189</v>
      </c>
      <c r="BX938">
        <v>30</v>
      </c>
      <c r="BY938">
        <v>2803669</v>
      </c>
      <c r="BZ938">
        <v>6.9600000977516174E-2</v>
      </c>
      <c r="CA938" t="s">
        <v>1439</v>
      </c>
      <c r="CB938" t="s">
        <v>312</v>
      </c>
      <c r="CC938" t="s">
        <v>1440</v>
      </c>
      <c r="CD938">
        <v>195200</v>
      </c>
      <c r="CE938">
        <v>30</v>
      </c>
      <c r="CF938" t="s">
        <v>466</v>
      </c>
      <c r="CG938">
        <v>2803669</v>
      </c>
      <c r="CH938">
        <v>3.9999999105930328E-2</v>
      </c>
      <c r="CI938">
        <v>112200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 t="s">
        <v>88</v>
      </c>
      <c r="CT938" t="s">
        <v>142</v>
      </c>
      <c r="CU938" t="s">
        <v>1442</v>
      </c>
    </row>
    <row r="939" spans="1:99">
      <c r="A939" t="s">
        <v>3047</v>
      </c>
      <c r="B939" t="s">
        <v>34</v>
      </c>
      <c r="C939" t="s">
        <v>2269</v>
      </c>
      <c r="D939" t="s">
        <v>2270</v>
      </c>
      <c r="E939" t="s">
        <v>2102</v>
      </c>
      <c r="F939" t="s">
        <v>1540</v>
      </c>
      <c r="G939" t="s">
        <v>2271</v>
      </c>
      <c r="H939" t="s">
        <v>1498</v>
      </c>
      <c r="I939" t="s">
        <v>682</v>
      </c>
      <c r="J939" t="s">
        <v>484</v>
      </c>
      <c r="K939" t="s">
        <v>29</v>
      </c>
      <c r="L939" t="s">
        <v>30</v>
      </c>
      <c r="M939">
        <v>205</v>
      </c>
      <c r="N939" t="s">
        <v>32</v>
      </c>
      <c r="O939" t="s">
        <v>32</v>
      </c>
      <c r="Q939" t="s">
        <v>32</v>
      </c>
      <c r="S939" t="s">
        <v>32</v>
      </c>
      <c r="U939" t="s">
        <v>32</v>
      </c>
      <c r="V939" t="s">
        <v>32</v>
      </c>
      <c r="W939" t="s">
        <v>32</v>
      </c>
      <c r="X939" t="s">
        <v>32</v>
      </c>
      <c r="Y939" t="s">
        <v>32</v>
      </c>
      <c r="AA939" t="s">
        <v>88</v>
      </c>
      <c r="AB939" t="s">
        <v>32</v>
      </c>
      <c r="AE939" t="s">
        <v>32</v>
      </c>
      <c r="AH939" t="s">
        <v>32</v>
      </c>
      <c r="AK939" t="s">
        <v>32</v>
      </c>
      <c r="AN939" t="s">
        <v>32</v>
      </c>
      <c r="AO939" t="s">
        <v>32</v>
      </c>
      <c r="AR939">
        <v>0</v>
      </c>
      <c r="AU939" t="s">
        <v>32</v>
      </c>
      <c r="AV939">
        <v>1785595</v>
      </c>
      <c r="AW939" t="s">
        <v>32</v>
      </c>
      <c r="AX939" t="s">
        <v>32</v>
      </c>
      <c r="AY939" t="s">
        <v>317</v>
      </c>
      <c r="AZ939">
        <v>30</v>
      </c>
      <c r="BA939">
        <v>2110655</v>
      </c>
      <c r="BB939">
        <v>0.15999999642372131</v>
      </c>
      <c r="BC939">
        <v>337800</v>
      </c>
      <c r="BD939" t="s">
        <v>31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337800</v>
      </c>
      <c r="BK939" t="s">
        <v>25</v>
      </c>
      <c r="BL939" t="s">
        <v>1064</v>
      </c>
      <c r="BM939">
        <v>30</v>
      </c>
      <c r="BN939">
        <v>2110655</v>
      </c>
      <c r="BO939">
        <v>3.9999999105930328E-2</v>
      </c>
      <c r="BP939">
        <v>84500</v>
      </c>
      <c r="BQ939">
        <v>0</v>
      </c>
      <c r="BS939">
        <v>0</v>
      </c>
      <c r="BU939">
        <v>0</v>
      </c>
      <c r="BV939" t="s">
        <v>25</v>
      </c>
      <c r="BW939" t="s">
        <v>189</v>
      </c>
      <c r="BX939">
        <v>30</v>
      </c>
      <c r="BY939">
        <v>2110655</v>
      </c>
      <c r="BZ939">
        <v>6.9600000977516174E-2</v>
      </c>
      <c r="CA939" t="s">
        <v>1439</v>
      </c>
      <c r="CB939" t="s">
        <v>312</v>
      </c>
      <c r="CC939" t="s">
        <v>1440</v>
      </c>
      <c r="CD939">
        <v>147000</v>
      </c>
      <c r="CE939">
        <v>30</v>
      </c>
      <c r="CF939" t="s">
        <v>466</v>
      </c>
      <c r="CG939">
        <v>2110655</v>
      </c>
      <c r="CH939">
        <v>3.9999999105930328E-2</v>
      </c>
      <c r="CI939">
        <v>84500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 t="s">
        <v>88</v>
      </c>
      <c r="CT939" t="s">
        <v>142</v>
      </c>
      <c r="CU939" t="s">
        <v>1442</v>
      </c>
    </row>
    <row r="940" spans="1:99">
      <c r="A940" t="s">
        <v>3047</v>
      </c>
      <c r="B940" t="s">
        <v>34</v>
      </c>
      <c r="C940" t="s">
        <v>2272</v>
      </c>
      <c r="D940" t="s">
        <v>2273</v>
      </c>
      <c r="E940" t="s">
        <v>2274</v>
      </c>
      <c r="F940" t="s">
        <v>2275</v>
      </c>
      <c r="G940" t="s">
        <v>2194</v>
      </c>
      <c r="H940" t="s">
        <v>1543</v>
      </c>
      <c r="I940" t="s">
        <v>682</v>
      </c>
      <c r="J940" t="s">
        <v>484</v>
      </c>
      <c r="K940" t="s">
        <v>29</v>
      </c>
      <c r="L940" t="s">
        <v>30</v>
      </c>
      <c r="M940">
        <v>212</v>
      </c>
      <c r="N940" t="s">
        <v>32</v>
      </c>
      <c r="O940" t="s">
        <v>32</v>
      </c>
      <c r="Q940" t="s">
        <v>32</v>
      </c>
      <c r="S940" t="s">
        <v>32</v>
      </c>
      <c r="U940" t="s">
        <v>32</v>
      </c>
      <c r="V940" t="s">
        <v>32</v>
      </c>
      <c r="W940" t="s">
        <v>32</v>
      </c>
      <c r="X940" t="s">
        <v>32</v>
      </c>
      <c r="Y940" t="s">
        <v>32</v>
      </c>
      <c r="AA940" t="s">
        <v>88</v>
      </c>
      <c r="AB940" t="s">
        <v>32</v>
      </c>
      <c r="AE940" t="s">
        <v>32</v>
      </c>
      <c r="AH940" t="s">
        <v>32</v>
      </c>
      <c r="AK940" t="s">
        <v>32</v>
      </c>
      <c r="AN940" t="s">
        <v>32</v>
      </c>
      <c r="AO940" t="s">
        <v>32</v>
      </c>
      <c r="AR940">
        <v>0</v>
      </c>
      <c r="AU940" t="s">
        <v>32</v>
      </c>
      <c r="AV940">
        <v>1785595</v>
      </c>
      <c r="AW940" t="s">
        <v>32</v>
      </c>
      <c r="AX940" t="s">
        <v>32</v>
      </c>
      <c r="AY940" t="s">
        <v>317</v>
      </c>
      <c r="AZ940">
        <v>30</v>
      </c>
      <c r="BA940">
        <v>2181673</v>
      </c>
      <c r="BB940">
        <v>0.15999999642372131</v>
      </c>
      <c r="BC940">
        <v>349100</v>
      </c>
      <c r="BD940" t="s">
        <v>31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349100</v>
      </c>
      <c r="BK940" t="s">
        <v>25</v>
      </c>
      <c r="BL940" t="s">
        <v>1064</v>
      </c>
      <c r="BM940">
        <v>30</v>
      </c>
      <c r="BN940">
        <v>2181673</v>
      </c>
      <c r="BO940">
        <v>3.9999999105930328E-2</v>
      </c>
      <c r="BP940">
        <v>87300</v>
      </c>
      <c r="BQ940">
        <v>0</v>
      </c>
      <c r="BS940">
        <v>0</v>
      </c>
      <c r="BU940">
        <v>0</v>
      </c>
      <c r="BV940" t="s">
        <v>25</v>
      </c>
      <c r="BW940" t="s">
        <v>189</v>
      </c>
      <c r="BX940">
        <v>30</v>
      </c>
      <c r="BY940">
        <v>2181673</v>
      </c>
      <c r="BZ940">
        <v>6.9600000977516174E-2</v>
      </c>
      <c r="CA940" t="s">
        <v>1439</v>
      </c>
      <c r="CB940" t="s">
        <v>312</v>
      </c>
      <c r="CC940" t="s">
        <v>1440</v>
      </c>
      <c r="CD940">
        <v>151900</v>
      </c>
      <c r="CE940">
        <v>30</v>
      </c>
      <c r="CF940" t="s">
        <v>466</v>
      </c>
      <c r="CG940">
        <v>2181673</v>
      </c>
      <c r="CH940">
        <v>3.9999999105930328E-2</v>
      </c>
      <c r="CI940">
        <v>87300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 t="s">
        <v>88</v>
      </c>
      <c r="CT940" t="s">
        <v>142</v>
      </c>
      <c r="CU940" t="s">
        <v>1442</v>
      </c>
    </row>
    <row r="941" spans="1:99">
      <c r="A941" t="s">
        <v>3047</v>
      </c>
      <c r="B941" t="s">
        <v>34</v>
      </c>
      <c r="C941" t="s">
        <v>2276</v>
      </c>
      <c r="D941" t="s">
        <v>2277</v>
      </c>
      <c r="E941" t="s">
        <v>2278</v>
      </c>
      <c r="F941" t="s">
        <v>692</v>
      </c>
      <c r="G941" t="s">
        <v>1478</v>
      </c>
      <c r="H941" t="s">
        <v>1436</v>
      </c>
      <c r="I941" t="s">
        <v>240</v>
      </c>
      <c r="J941" t="s">
        <v>46</v>
      </c>
      <c r="K941" t="s">
        <v>29</v>
      </c>
      <c r="L941" t="s">
        <v>30</v>
      </c>
      <c r="M941">
        <v>188</v>
      </c>
      <c r="N941" t="s">
        <v>32</v>
      </c>
      <c r="O941" t="s">
        <v>32</v>
      </c>
      <c r="Q941" t="s">
        <v>32</v>
      </c>
      <c r="S941" t="s">
        <v>32</v>
      </c>
      <c r="U941" t="s">
        <v>32</v>
      </c>
      <c r="V941" t="s">
        <v>32</v>
      </c>
      <c r="W941" t="s">
        <v>32</v>
      </c>
      <c r="X941" t="s">
        <v>32</v>
      </c>
      <c r="Y941" t="s">
        <v>88</v>
      </c>
      <c r="Z941">
        <v>46054</v>
      </c>
      <c r="AA941" t="s">
        <v>88</v>
      </c>
      <c r="AB941" t="s">
        <v>32</v>
      </c>
      <c r="AE941" t="s">
        <v>32</v>
      </c>
      <c r="AH941" t="s">
        <v>32</v>
      </c>
      <c r="AK941" t="s">
        <v>32</v>
      </c>
      <c r="AN941" t="s">
        <v>32</v>
      </c>
      <c r="AO941" t="s">
        <v>32</v>
      </c>
      <c r="AR941">
        <v>0</v>
      </c>
      <c r="AU941" t="s">
        <v>32</v>
      </c>
      <c r="AV941">
        <v>11201102</v>
      </c>
      <c r="AW941" t="s">
        <v>32</v>
      </c>
      <c r="AX941" t="s">
        <v>32</v>
      </c>
      <c r="AY941" t="s">
        <v>185</v>
      </c>
      <c r="AZ941">
        <v>30</v>
      </c>
      <c r="BA941">
        <v>11201102</v>
      </c>
      <c r="BB941">
        <v>0.15999999642372131</v>
      </c>
      <c r="BC941">
        <v>1792200</v>
      </c>
      <c r="BD941" t="s">
        <v>31</v>
      </c>
      <c r="BE941">
        <v>0</v>
      </c>
      <c r="BF941">
        <v>0</v>
      </c>
      <c r="BG941">
        <v>56100</v>
      </c>
      <c r="BH941">
        <v>56100</v>
      </c>
      <c r="BI941">
        <v>0</v>
      </c>
      <c r="BJ941">
        <v>1904400</v>
      </c>
      <c r="BK941" t="s">
        <v>25</v>
      </c>
      <c r="BL941" t="s">
        <v>885</v>
      </c>
      <c r="BM941">
        <v>30</v>
      </c>
      <c r="BN941">
        <v>11201102</v>
      </c>
      <c r="BO941">
        <v>3.9999999105930328E-2</v>
      </c>
      <c r="BP941">
        <v>448100</v>
      </c>
      <c r="BQ941">
        <v>0</v>
      </c>
      <c r="BS941">
        <v>0</v>
      </c>
      <c r="BU941">
        <v>0</v>
      </c>
      <c r="BV941" t="s">
        <v>25</v>
      </c>
      <c r="BW941" t="s">
        <v>189</v>
      </c>
      <c r="BX941">
        <v>30</v>
      </c>
      <c r="BY941">
        <v>11201102</v>
      </c>
      <c r="BZ941">
        <v>6.9600000977516174E-2</v>
      </c>
      <c r="CA941" t="s">
        <v>1439</v>
      </c>
      <c r="CB941" t="s">
        <v>227</v>
      </c>
      <c r="CC941" t="s">
        <v>1440</v>
      </c>
      <c r="CD941">
        <v>779600</v>
      </c>
      <c r="CE941">
        <v>30</v>
      </c>
      <c r="CF941" t="s">
        <v>635</v>
      </c>
      <c r="CG941">
        <v>11201102</v>
      </c>
      <c r="CH941">
        <v>3.9999999105930328E-2</v>
      </c>
      <c r="CI941">
        <v>448100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 t="s">
        <v>88</v>
      </c>
      <c r="CT941" t="s">
        <v>142</v>
      </c>
      <c r="CU941" t="s">
        <v>1442</v>
      </c>
    </row>
    <row r="942" spans="1:99">
      <c r="A942" t="s">
        <v>3047</v>
      </c>
      <c r="B942" t="s">
        <v>34</v>
      </c>
      <c r="C942" t="s">
        <v>2279</v>
      </c>
      <c r="D942" t="s">
        <v>2280</v>
      </c>
      <c r="E942" t="s">
        <v>2281</v>
      </c>
      <c r="F942" t="s">
        <v>1551</v>
      </c>
      <c r="G942" t="s">
        <v>1650</v>
      </c>
      <c r="H942" t="s">
        <v>1850</v>
      </c>
      <c r="I942" t="s">
        <v>240</v>
      </c>
      <c r="J942" t="s">
        <v>46</v>
      </c>
      <c r="K942" t="s">
        <v>29</v>
      </c>
      <c r="L942" t="s">
        <v>30</v>
      </c>
      <c r="M942">
        <v>0</v>
      </c>
      <c r="N942" t="s">
        <v>32</v>
      </c>
      <c r="O942" t="s">
        <v>32</v>
      </c>
      <c r="Q942" t="s">
        <v>32</v>
      </c>
      <c r="S942" t="s">
        <v>32</v>
      </c>
      <c r="U942" t="s">
        <v>32</v>
      </c>
      <c r="V942" t="s">
        <v>32</v>
      </c>
      <c r="W942" t="s">
        <v>32</v>
      </c>
      <c r="X942" t="s">
        <v>32</v>
      </c>
      <c r="Y942" t="s">
        <v>32</v>
      </c>
      <c r="AA942" t="s">
        <v>32</v>
      </c>
      <c r="AB942" t="s">
        <v>32</v>
      </c>
      <c r="AE942" t="s">
        <v>32</v>
      </c>
      <c r="AH942" t="s">
        <v>32</v>
      </c>
      <c r="AK942" t="s">
        <v>128</v>
      </c>
      <c r="AL942">
        <v>46069</v>
      </c>
      <c r="AM942">
        <v>46072</v>
      </c>
      <c r="AN942" t="s">
        <v>32</v>
      </c>
      <c r="AO942" t="s">
        <v>32</v>
      </c>
      <c r="AR942">
        <v>0</v>
      </c>
      <c r="AU942" t="s">
        <v>32</v>
      </c>
      <c r="AV942">
        <v>3743280</v>
      </c>
      <c r="AW942" t="s">
        <v>32</v>
      </c>
      <c r="AX942" t="s">
        <v>32</v>
      </c>
      <c r="AY942" t="s">
        <v>317</v>
      </c>
      <c r="AZ942">
        <v>4</v>
      </c>
      <c r="BA942">
        <v>499104</v>
      </c>
      <c r="BB942">
        <v>0.15999999642372131</v>
      </c>
      <c r="BC942">
        <v>79900</v>
      </c>
      <c r="BD942" t="s">
        <v>31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79900</v>
      </c>
      <c r="BK942" t="s">
        <v>25</v>
      </c>
      <c r="BL942" t="s">
        <v>1071</v>
      </c>
      <c r="BM942">
        <v>4</v>
      </c>
      <c r="BN942">
        <v>499104</v>
      </c>
      <c r="BO942">
        <v>3.9999999105930328E-2</v>
      </c>
      <c r="BP942">
        <v>20000</v>
      </c>
      <c r="BQ942">
        <v>0</v>
      </c>
      <c r="BS942">
        <v>0</v>
      </c>
      <c r="BU942">
        <v>0</v>
      </c>
      <c r="BV942" t="s">
        <v>25</v>
      </c>
      <c r="BW942" t="s">
        <v>189</v>
      </c>
      <c r="BX942">
        <v>4</v>
      </c>
      <c r="BY942">
        <v>499104</v>
      </c>
      <c r="BZ942">
        <v>0</v>
      </c>
      <c r="CA942" t="s">
        <v>1439</v>
      </c>
      <c r="CB942" t="s">
        <v>227</v>
      </c>
      <c r="CC942" t="s">
        <v>1440</v>
      </c>
      <c r="CD942">
        <v>0</v>
      </c>
      <c r="CE942">
        <v>4</v>
      </c>
      <c r="CF942" t="s">
        <v>635</v>
      </c>
      <c r="CG942">
        <v>499104</v>
      </c>
      <c r="CH942">
        <v>3.9999999105930328E-2</v>
      </c>
      <c r="CI942">
        <v>20000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 t="s">
        <v>88</v>
      </c>
      <c r="CT942" t="s">
        <v>142</v>
      </c>
      <c r="CU942" t="s">
        <v>1442</v>
      </c>
    </row>
    <row r="943" spans="1:99">
      <c r="A943" t="s">
        <v>3047</v>
      </c>
      <c r="B943" t="s">
        <v>34</v>
      </c>
      <c r="C943" t="s">
        <v>2279</v>
      </c>
      <c r="D943" t="s">
        <v>2280</v>
      </c>
      <c r="E943" t="s">
        <v>2281</v>
      </c>
      <c r="F943" t="s">
        <v>1551</v>
      </c>
      <c r="G943" t="s">
        <v>1650</v>
      </c>
      <c r="H943" t="s">
        <v>1850</v>
      </c>
      <c r="I943" t="s">
        <v>240</v>
      </c>
      <c r="J943" t="s">
        <v>46</v>
      </c>
      <c r="K943" t="s">
        <v>29</v>
      </c>
      <c r="L943" t="s">
        <v>30</v>
      </c>
      <c r="M943">
        <v>144</v>
      </c>
      <c r="N943" t="s">
        <v>32</v>
      </c>
      <c r="O943" t="s">
        <v>32</v>
      </c>
      <c r="Q943" t="s">
        <v>32</v>
      </c>
      <c r="S943" t="s">
        <v>32</v>
      </c>
      <c r="U943" t="s">
        <v>32</v>
      </c>
      <c r="V943" t="s">
        <v>32</v>
      </c>
      <c r="W943" t="s">
        <v>32</v>
      </c>
      <c r="X943" t="s">
        <v>32</v>
      </c>
      <c r="Y943" t="s">
        <v>32</v>
      </c>
      <c r="AA943" t="s">
        <v>88</v>
      </c>
      <c r="AB943" t="s">
        <v>32</v>
      </c>
      <c r="AE943" t="s">
        <v>32</v>
      </c>
      <c r="AH943" t="s">
        <v>32</v>
      </c>
      <c r="AK943" t="s">
        <v>32</v>
      </c>
      <c r="AN943" t="s">
        <v>32</v>
      </c>
      <c r="AO943" t="s">
        <v>32</v>
      </c>
      <c r="AR943">
        <v>0</v>
      </c>
      <c r="AU943" t="s">
        <v>32</v>
      </c>
      <c r="AV943">
        <v>3743280</v>
      </c>
      <c r="AW943" t="s">
        <v>32</v>
      </c>
      <c r="AX943" t="s">
        <v>32</v>
      </c>
      <c r="AY943" t="s">
        <v>317</v>
      </c>
      <c r="AZ943">
        <v>26</v>
      </c>
      <c r="BA943">
        <v>3366388</v>
      </c>
      <c r="BB943">
        <v>0.15999999642372131</v>
      </c>
      <c r="BC943">
        <v>538700</v>
      </c>
      <c r="BD943" t="s">
        <v>31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538700</v>
      </c>
      <c r="BK943" t="s">
        <v>25</v>
      </c>
      <c r="BL943" t="s">
        <v>1071</v>
      </c>
      <c r="BM943">
        <v>26</v>
      </c>
      <c r="BN943">
        <v>3366388</v>
      </c>
      <c r="BO943">
        <v>3.9999999105930328E-2</v>
      </c>
      <c r="BP943">
        <v>134700</v>
      </c>
      <c r="BQ943">
        <v>0</v>
      </c>
      <c r="BS943">
        <v>0</v>
      </c>
      <c r="BU943">
        <v>0</v>
      </c>
      <c r="BV943" t="s">
        <v>25</v>
      </c>
      <c r="BW943" t="s">
        <v>189</v>
      </c>
      <c r="BX943">
        <v>26</v>
      </c>
      <c r="BY943">
        <v>3366388</v>
      </c>
      <c r="BZ943">
        <v>6.9600000977516174E-2</v>
      </c>
      <c r="CA943" t="s">
        <v>1439</v>
      </c>
      <c r="CB943" t="s">
        <v>227</v>
      </c>
      <c r="CC943" t="s">
        <v>1440</v>
      </c>
      <c r="CD943">
        <v>234400</v>
      </c>
      <c r="CE943">
        <v>26</v>
      </c>
      <c r="CF943" t="s">
        <v>635</v>
      </c>
      <c r="CG943">
        <v>3244176</v>
      </c>
      <c r="CH943">
        <v>3.9999999105930328E-2</v>
      </c>
      <c r="CI943">
        <v>129800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 t="s">
        <v>88</v>
      </c>
      <c r="CT943" t="s">
        <v>142</v>
      </c>
      <c r="CU943" t="s">
        <v>1442</v>
      </c>
    </row>
    <row r="944" spans="1:99">
      <c r="A944" t="s">
        <v>3047</v>
      </c>
      <c r="B944" t="s">
        <v>34</v>
      </c>
      <c r="C944" t="s">
        <v>2282</v>
      </c>
      <c r="D944" t="s">
        <v>2283</v>
      </c>
      <c r="E944" t="s">
        <v>2284</v>
      </c>
      <c r="F944" t="s">
        <v>2159</v>
      </c>
      <c r="G944" t="s">
        <v>1790</v>
      </c>
      <c r="H944" t="s">
        <v>1519</v>
      </c>
      <c r="I944" t="s">
        <v>682</v>
      </c>
      <c r="J944" t="s">
        <v>484</v>
      </c>
      <c r="K944" t="s">
        <v>29</v>
      </c>
      <c r="L944" t="s">
        <v>30</v>
      </c>
      <c r="M944">
        <v>202</v>
      </c>
      <c r="N944" t="s">
        <v>32</v>
      </c>
      <c r="O944" t="s">
        <v>32</v>
      </c>
      <c r="Q944" t="s">
        <v>32</v>
      </c>
      <c r="S944" t="s">
        <v>40</v>
      </c>
      <c r="T944">
        <v>46079</v>
      </c>
      <c r="U944" t="s">
        <v>32</v>
      </c>
      <c r="V944" t="s">
        <v>32</v>
      </c>
      <c r="W944" t="s">
        <v>32</v>
      </c>
      <c r="X944" t="s">
        <v>32</v>
      </c>
      <c r="Y944" t="s">
        <v>32</v>
      </c>
      <c r="AA944" t="s">
        <v>88</v>
      </c>
      <c r="AB944" t="s">
        <v>32</v>
      </c>
      <c r="AE944" t="s">
        <v>32</v>
      </c>
      <c r="AH944" t="s">
        <v>32</v>
      </c>
      <c r="AK944" t="s">
        <v>32</v>
      </c>
      <c r="AN944" t="s">
        <v>32</v>
      </c>
      <c r="AO944" t="s">
        <v>32</v>
      </c>
      <c r="AR944">
        <v>0</v>
      </c>
      <c r="AU944" t="s">
        <v>32</v>
      </c>
      <c r="AV944">
        <v>1785595</v>
      </c>
      <c r="AW944" t="s">
        <v>32</v>
      </c>
      <c r="AX944" t="s">
        <v>32</v>
      </c>
      <c r="AY944" t="s">
        <v>317</v>
      </c>
      <c r="AZ944">
        <v>26</v>
      </c>
      <c r="BA944">
        <v>2031061</v>
      </c>
      <c r="BB944">
        <v>0.15999999642372131</v>
      </c>
      <c r="BC944">
        <v>325000</v>
      </c>
      <c r="BD944" t="s">
        <v>31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325000</v>
      </c>
      <c r="BK944" t="s">
        <v>25</v>
      </c>
      <c r="BL944" t="s">
        <v>748</v>
      </c>
      <c r="BM944">
        <v>26</v>
      </c>
      <c r="BN944">
        <v>2031061</v>
      </c>
      <c r="BO944">
        <v>3.9999999105930328E-2</v>
      </c>
      <c r="BP944">
        <v>81300</v>
      </c>
      <c r="BQ944">
        <v>0</v>
      </c>
      <c r="BS944">
        <v>0</v>
      </c>
      <c r="BU944">
        <v>0</v>
      </c>
      <c r="BV944" t="s">
        <v>25</v>
      </c>
      <c r="BW944" t="s">
        <v>189</v>
      </c>
      <c r="BX944">
        <v>26</v>
      </c>
      <c r="BY944">
        <v>2031061</v>
      </c>
      <c r="BZ944">
        <v>6.9600000977516174E-2</v>
      </c>
      <c r="CA944" t="s">
        <v>1439</v>
      </c>
      <c r="CB944" t="s">
        <v>312</v>
      </c>
      <c r="CC944" t="s">
        <v>1440</v>
      </c>
      <c r="CD944">
        <v>141400</v>
      </c>
      <c r="CE944">
        <v>26</v>
      </c>
      <c r="CF944" t="s">
        <v>466</v>
      </c>
      <c r="CG944">
        <v>2139597</v>
      </c>
      <c r="CH944">
        <v>3.9999999105930328E-2</v>
      </c>
      <c r="CI944">
        <v>85600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 t="s">
        <v>88</v>
      </c>
      <c r="CT944" t="s">
        <v>142</v>
      </c>
      <c r="CU944" t="s">
        <v>1442</v>
      </c>
    </row>
    <row r="945" spans="1:99">
      <c r="A945" t="s">
        <v>3047</v>
      </c>
      <c r="B945" t="s">
        <v>34</v>
      </c>
      <c r="C945" t="s">
        <v>2285</v>
      </c>
      <c r="D945" t="s">
        <v>2286</v>
      </c>
      <c r="E945" t="s">
        <v>667</v>
      </c>
      <c r="F945" t="s">
        <v>1900</v>
      </c>
      <c r="G945" t="s">
        <v>1489</v>
      </c>
      <c r="H945" t="s">
        <v>2287</v>
      </c>
      <c r="I945" t="s">
        <v>240</v>
      </c>
      <c r="J945" t="s">
        <v>46</v>
      </c>
      <c r="K945" t="s">
        <v>29</v>
      </c>
      <c r="L945" t="s">
        <v>30</v>
      </c>
      <c r="M945">
        <v>212</v>
      </c>
      <c r="N945" t="s">
        <v>32</v>
      </c>
      <c r="O945" t="s">
        <v>32</v>
      </c>
      <c r="Q945" t="s">
        <v>32</v>
      </c>
      <c r="S945" t="s">
        <v>32</v>
      </c>
      <c r="U945" t="s">
        <v>32</v>
      </c>
      <c r="V945" t="s">
        <v>32</v>
      </c>
      <c r="W945" t="s">
        <v>32</v>
      </c>
      <c r="X945" t="s">
        <v>32</v>
      </c>
      <c r="Y945" t="s">
        <v>32</v>
      </c>
      <c r="AA945" t="s">
        <v>88</v>
      </c>
      <c r="AB945" t="s">
        <v>32</v>
      </c>
      <c r="AE945" t="s">
        <v>32</v>
      </c>
      <c r="AH945" t="s">
        <v>32</v>
      </c>
      <c r="AK945" t="s">
        <v>32</v>
      </c>
      <c r="AN945" t="s">
        <v>32</v>
      </c>
      <c r="AO945" t="s">
        <v>32</v>
      </c>
      <c r="AR945">
        <v>0</v>
      </c>
      <c r="AU945" t="s">
        <v>32</v>
      </c>
      <c r="AV945">
        <v>1750905</v>
      </c>
      <c r="AW945" t="s">
        <v>32</v>
      </c>
      <c r="AX945" t="s">
        <v>32</v>
      </c>
      <c r="AY945" t="s">
        <v>317</v>
      </c>
      <c r="AZ945">
        <v>30</v>
      </c>
      <c r="BA945">
        <v>1989666</v>
      </c>
      <c r="BB945">
        <v>0.15999999642372131</v>
      </c>
      <c r="BC945">
        <v>318400</v>
      </c>
      <c r="BD945" t="s">
        <v>31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318400</v>
      </c>
      <c r="BK945" t="s">
        <v>25</v>
      </c>
      <c r="BL945" t="s">
        <v>885</v>
      </c>
      <c r="BM945">
        <v>30</v>
      </c>
      <c r="BN945">
        <v>1989666</v>
      </c>
      <c r="BO945">
        <v>3.9999999105930328E-2</v>
      </c>
      <c r="BP945">
        <v>79600</v>
      </c>
      <c r="BQ945">
        <v>0</v>
      </c>
      <c r="BS945">
        <v>0</v>
      </c>
      <c r="BU945">
        <v>0</v>
      </c>
      <c r="BV945" t="s">
        <v>25</v>
      </c>
      <c r="BW945" t="s">
        <v>189</v>
      </c>
      <c r="BX945">
        <v>30</v>
      </c>
      <c r="BY945">
        <v>1989666</v>
      </c>
      <c r="BZ945">
        <v>2.4360001087188721E-2</v>
      </c>
      <c r="CA945" t="s">
        <v>1772</v>
      </c>
      <c r="CB945" t="s">
        <v>227</v>
      </c>
      <c r="CC945" t="s">
        <v>1773</v>
      </c>
      <c r="CD945">
        <v>48500</v>
      </c>
      <c r="CE945">
        <v>30</v>
      </c>
      <c r="CF945" t="s">
        <v>635</v>
      </c>
      <c r="CG945">
        <v>1989666</v>
      </c>
      <c r="CH945">
        <v>3.9999999105930328E-2</v>
      </c>
      <c r="CI945">
        <v>79600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 t="s">
        <v>88</v>
      </c>
      <c r="CT945" t="s">
        <v>142</v>
      </c>
      <c r="CU945" t="s">
        <v>1442</v>
      </c>
    </row>
    <row r="946" spans="1:99">
      <c r="A946" t="s">
        <v>3047</v>
      </c>
      <c r="B946" t="s">
        <v>34</v>
      </c>
      <c r="C946" t="s">
        <v>2288</v>
      </c>
      <c r="D946" t="s">
        <v>2289</v>
      </c>
      <c r="E946" t="s">
        <v>1692</v>
      </c>
      <c r="F946" t="s">
        <v>2290</v>
      </c>
      <c r="G946" t="s">
        <v>1532</v>
      </c>
      <c r="H946" t="s">
        <v>1584</v>
      </c>
      <c r="I946" t="s">
        <v>240</v>
      </c>
      <c r="J946" t="s">
        <v>46</v>
      </c>
      <c r="K946" t="s">
        <v>29</v>
      </c>
      <c r="L946" t="s">
        <v>30</v>
      </c>
      <c r="M946">
        <v>0</v>
      </c>
      <c r="N946" t="s">
        <v>32</v>
      </c>
      <c r="O946" t="s">
        <v>32</v>
      </c>
      <c r="Q946" t="s">
        <v>32</v>
      </c>
      <c r="S946" t="s">
        <v>32</v>
      </c>
      <c r="U946" t="s">
        <v>32</v>
      </c>
      <c r="V946" t="s">
        <v>32</v>
      </c>
      <c r="W946" t="s">
        <v>32</v>
      </c>
      <c r="X946" t="s">
        <v>32</v>
      </c>
      <c r="Y946" t="s">
        <v>32</v>
      </c>
      <c r="AA946" t="s">
        <v>32</v>
      </c>
      <c r="AB946" t="s">
        <v>37</v>
      </c>
      <c r="AC946">
        <v>46054</v>
      </c>
      <c r="AD946">
        <v>46055</v>
      </c>
      <c r="AE946" t="s">
        <v>32</v>
      </c>
      <c r="AH946" t="s">
        <v>32</v>
      </c>
      <c r="AK946" t="s">
        <v>32</v>
      </c>
      <c r="AN946" t="s">
        <v>32</v>
      </c>
      <c r="AO946" t="s">
        <v>32</v>
      </c>
      <c r="AR946">
        <v>0</v>
      </c>
      <c r="AU946" t="s">
        <v>32</v>
      </c>
      <c r="AV946">
        <v>1750905</v>
      </c>
      <c r="AW946" t="s">
        <v>32</v>
      </c>
      <c r="AX946" t="s">
        <v>32</v>
      </c>
      <c r="AY946" t="s">
        <v>317</v>
      </c>
      <c r="AZ946">
        <v>2</v>
      </c>
      <c r="BA946">
        <v>116727</v>
      </c>
      <c r="BB946">
        <v>0.15999999642372131</v>
      </c>
      <c r="BC946">
        <v>18700</v>
      </c>
      <c r="BD946" t="s">
        <v>31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18700</v>
      </c>
      <c r="BK946" t="s">
        <v>25</v>
      </c>
      <c r="BL946" t="s">
        <v>1064</v>
      </c>
      <c r="BM946">
        <v>2</v>
      </c>
      <c r="BN946">
        <v>116727</v>
      </c>
      <c r="BO946">
        <v>0</v>
      </c>
      <c r="BP946">
        <v>0</v>
      </c>
      <c r="BQ946">
        <v>0</v>
      </c>
      <c r="BS946">
        <v>0</v>
      </c>
      <c r="BU946">
        <v>0</v>
      </c>
      <c r="BV946" t="s">
        <v>25</v>
      </c>
      <c r="BW946" t="s">
        <v>189</v>
      </c>
      <c r="BX946">
        <v>2</v>
      </c>
      <c r="BY946">
        <v>116727</v>
      </c>
      <c r="BZ946">
        <v>0</v>
      </c>
      <c r="CA946" t="s">
        <v>1439</v>
      </c>
      <c r="CB946" t="s">
        <v>227</v>
      </c>
      <c r="CC946" t="s">
        <v>1440</v>
      </c>
      <c r="CD946">
        <v>0</v>
      </c>
      <c r="CE946">
        <v>2</v>
      </c>
      <c r="CF946" t="s">
        <v>635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 t="s">
        <v>88</v>
      </c>
      <c r="CT946" t="s">
        <v>142</v>
      </c>
      <c r="CU946" t="s">
        <v>1442</v>
      </c>
    </row>
    <row r="947" spans="1:99">
      <c r="A947" t="s">
        <v>3047</v>
      </c>
      <c r="B947" t="s">
        <v>34</v>
      </c>
      <c r="C947" t="s">
        <v>2288</v>
      </c>
      <c r="D947" t="s">
        <v>2289</v>
      </c>
      <c r="E947" t="s">
        <v>1692</v>
      </c>
      <c r="F947" t="s">
        <v>2290</v>
      </c>
      <c r="G947" t="s">
        <v>1532</v>
      </c>
      <c r="H947" t="s">
        <v>1584</v>
      </c>
      <c r="I947" t="s">
        <v>240</v>
      </c>
      <c r="J947" t="s">
        <v>46</v>
      </c>
      <c r="K947" t="s">
        <v>29</v>
      </c>
      <c r="L947" t="s">
        <v>30</v>
      </c>
      <c r="M947">
        <v>0</v>
      </c>
      <c r="N947" t="s">
        <v>32</v>
      </c>
      <c r="O947" t="s">
        <v>32</v>
      </c>
      <c r="Q947" t="s">
        <v>32</v>
      </c>
      <c r="S947" t="s">
        <v>32</v>
      </c>
      <c r="U947" t="s">
        <v>32</v>
      </c>
      <c r="V947" t="s">
        <v>32</v>
      </c>
      <c r="W947" t="s">
        <v>32</v>
      </c>
      <c r="X947" t="s">
        <v>32</v>
      </c>
      <c r="Y947" t="s">
        <v>32</v>
      </c>
      <c r="AA947" t="s">
        <v>32</v>
      </c>
      <c r="AB947" t="s">
        <v>37</v>
      </c>
      <c r="AC947">
        <v>46058</v>
      </c>
      <c r="AD947">
        <v>46059</v>
      </c>
      <c r="AE947" t="s">
        <v>32</v>
      </c>
      <c r="AH947" t="s">
        <v>32</v>
      </c>
      <c r="AK947" t="s">
        <v>32</v>
      </c>
      <c r="AN947" t="s">
        <v>32</v>
      </c>
      <c r="AO947" t="s">
        <v>32</v>
      </c>
      <c r="AR947">
        <v>0</v>
      </c>
      <c r="AU947" t="s">
        <v>32</v>
      </c>
      <c r="AV947">
        <v>1750905</v>
      </c>
      <c r="AW947" t="s">
        <v>32</v>
      </c>
      <c r="AX947" t="s">
        <v>32</v>
      </c>
      <c r="AY947" t="s">
        <v>317</v>
      </c>
      <c r="AZ947">
        <v>2</v>
      </c>
      <c r="BA947">
        <v>116727</v>
      </c>
      <c r="BB947">
        <v>0.15999999642372131</v>
      </c>
      <c r="BC947">
        <v>18700</v>
      </c>
      <c r="BD947" t="s">
        <v>31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18700</v>
      </c>
      <c r="BK947" t="s">
        <v>25</v>
      </c>
      <c r="BL947" t="s">
        <v>1064</v>
      </c>
      <c r="BM947">
        <v>2</v>
      </c>
      <c r="BN947">
        <v>116727</v>
      </c>
      <c r="BO947">
        <v>0</v>
      </c>
      <c r="BP947">
        <v>0</v>
      </c>
      <c r="BQ947">
        <v>0</v>
      </c>
      <c r="BS947">
        <v>0</v>
      </c>
      <c r="BU947">
        <v>0</v>
      </c>
      <c r="BV947" t="s">
        <v>25</v>
      </c>
      <c r="BW947" t="s">
        <v>189</v>
      </c>
      <c r="BX947">
        <v>2</v>
      </c>
      <c r="BY947">
        <v>116727</v>
      </c>
      <c r="BZ947">
        <v>0</v>
      </c>
      <c r="CA947" t="s">
        <v>1439</v>
      </c>
      <c r="CB947" t="s">
        <v>227</v>
      </c>
      <c r="CC947" t="s">
        <v>1440</v>
      </c>
      <c r="CD947">
        <v>0</v>
      </c>
      <c r="CE947">
        <v>2</v>
      </c>
      <c r="CF947" t="s">
        <v>635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 t="s">
        <v>88</v>
      </c>
      <c r="CT947" t="s">
        <v>142</v>
      </c>
      <c r="CU947" t="s">
        <v>1442</v>
      </c>
    </row>
    <row r="948" spans="1:99">
      <c r="A948" t="s">
        <v>3047</v>
      </c>
      <c r="B948" t="s">
        <v>34</v>
      </c>
      <c r="C948" t="s">
        <v>2288</v>
      </c>
      <c r="D948" t="s">
        <v>2289</v>
      </c>
      <c r="E948" t="s">
        <v>1692</v>
      </c>
      <c r="F948" t="s">
        <v>2290</v>
      </c>
      <c r="G948" t="s">
        <v>1532</v>
      </c>
      <c r="H948" t="s">
        <v>1584</v>
      </c>
      <c r="I948" t="s">
        <v>240</v>
      </c>
      <c r="J948" t="s">
        <v>46</v>
      </c>
      <c r="K948" t="s">
        <v>29</v>
      </c>
      <c r="L948" t="s">
        <v>30</v>
      </c>
      <c r="M948">
        <v>188</v>
      </c>
      <c r="N948" t="s">
        <v>32</v>
      </c>
      <c r="O948" t="s">
        <v>32</v>
      </c>
      <c r="Q948" t="s">
        <v>32</v>
      </c>
      <c r="S948" t="s">
        <v>32</v>
      </c>
      <c r="U948" t="s">
        <v>32</v>
      </c>
      <c r="V948" t="s">
        <v>32</v>
      </c>
      <c r="W948" t="s">
        <v>32</v>
      </c>
      <c r="X948" t="s">
        <v>32</v>
      </c>
      <c r="Y948" t="s">
        <v>32</v>
      </c>
      <c r="AA948" t="s">
        <v>88</v>
      </c>
      <c r="AB948" t="s">
        <v>32</v>
      </c>
      <c r="AE948" t="s">
        <v>32</v>
      </c>
      <c r="AH948" t="s">
        <v>32</v>
      </c>
      <c r="AK948" t="s">
        <v>32</v>
      </c>
      <c r="AN948" t="s">
        <v>32</v>
      </c>
      <c r="AO948" t="s">
        <v>32</v>
      </c>
      <c r="AR948">
        <v>0</v>
      </c>
      <c r="AU948" t="s">
        <v>32</v>
      </c>
      <c r="AV948">
        <v>1750905</v>
      </c>
      <c r="AW948" t="s">
        <v>32</v>
      </c>
      <c r="AX948" t="s">
        <v>32</v>
      </c>
      <c r="AY948" t="s">
        <v>317</v>
      </c>
      <c r="AZ948">
        <v>26</v>
      </c>
      <c r="BA948">
        <v>1980249</v>
      </c>
      <c r="BB948">
        <v>0.15999999642372131</v>
      </c>
      <c r="BC948">
        <v>316900</v>
      </c>
      <c r="BD948" t="s">
        <v>31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316900</v>
      </c>
      <c r="BK948" t="s">
        <v>25</v>
      </c>
      <c r="BL948" t="s">
        <v>1064</v>
      </c>
      <c r="BM948">
        <v>26</v>
      </c>
      <c r="BN948">
        <v>1980249</v>
      </c>
      <c r="BO948">
        <v>3.9999999105930328E-2</v>
      </c>
      <c r="BP948">
        <v>79300</v>
      </c>
      <c r="BQ948">
        <v>0</v>
      </c>
      <c r="BS948">
        <v>0</v>
      </c>
      <c r="BU948">
        <v>0</v>
      </c>
      <c r="BV948" t="s">
        <v>25</v>
      </c>
      <c r="BW948" t="s">
        <v>189</v>
      </c>
      <c r="BX948">
        <v>26</v>
      </c>
      <c r="BY948">
        <v>1980249</v>
      </c>
      <c r="BZ948">
        <v>6.9600000977516174E-2</v>
      </c>
      <c r="CA948" t="s">
        <v>1439</v>
      </c>
      <c r="CB948" t="s">
        <v>227</v>
      </c>
      <c r="CC948" t="s">
        <v>1440</v>
      </c>
      <c r="CD948">
        <v>137900</v>
      </c>
      <c r="CE948">
        <v>26</v>
      </c>
      <c r="CF948" t="s">
        <v>635</v>
      </c>
      <c r="CG948">
        <v>1980249</v>
      </c>
      <c r="CH948">
        <v>3.9999999105930328E-2</v>
      </c>
      <c r="CI948">
        <v>79300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 t="s">
        <v>88</v>
      </c>
      <c r="CT948" t="s">
        <v>142</v>
      </c>
      <c r="CU948" t="s">
        <v>1442</v>
      </c>
    </row>
    <row r="949" spans="1:99">
      <c r="A949" t="s">
        <v>3047</v>
      </c>
      <c r="B949" t="s">
        <v>34</v>
      </c>
      <c r="C949" t="s">
        <v>2291</v>
      </c>
      <c r="D949" t="s">
        <v>2292</v>
      </c>
      <c r="E949" t="s">
        <v>2293</v>
      </c>
      <c r="F949" t="s">
        <v>2294</v>
      </c>
      <c r="G949" t="s">
        <v>1640</v>
      </c>
      <c r="H949" t="s">
        <v>1598</v>
      </c>
      <c r="I949" t="s">
        <v>240</v>
      </c>
      <c r="J949" t="s">
        <v>46</v>
      </c>
      <c r="K949" t="s">
        <v>29</v>
      </c>
      <c r="L949" t="s">
        <v>30</v>
      </c>
      <c r="M949">
        <v>30</v>
      </c>
      <c r="N949" t="s">
        <v>32</v>
      </c>
      <c r="O949" t="s">
        <v>32</v>
      </c>
      <c r="Q949" t="s">
        <v>32</v>
      </c>
      <c r="S949" t="s">
        <v>40</v>
      </c>
      <c r="T949">
        <v>46056</v>
      </c>
      <c r="U949" t="s">
        <v>32</v>
      </c>
      <c r="V949" t="s">
        <v>32</v>
      </c>
      <c r="W949" t="s">
        <v>32</v>
      </c>
      <c r="X949" t="s">
        <v>32</v>
      </c>
      <c r="Y949" t="s">
        <v>32</v>
      </c>
      <c r="AA949" t="s">
        <v>88</v>
      </c>
      <c r="AB949" t="s">
        <v>32</v>
      </c>
      <c r="AE949" t="s">
        <v>32</v>
      </c>
      <c r="AH949" t="s">
        <v>32</v>
      </c>
      <c r="AK949" t="s">
        <v>32</v>
      </c>
      <c r="AN949" t="s">
        <v>32</v>
      </c>
      <c r="AO949" t="s">
        <v>32</v>
      </c>
      <c r="AR949">
        <v>0</v>
      </c>
      <c r="AU949" t="s">
        <v>32</v>
      </c>
      <c r="AV949">
        <v>2223339</v>
      </c>
      <c r="AW949" t="s">
        <v>32</v>
      </c>
      <c r="AX949" t="s">
        <v>32</v>
      </c>
      <c r="AY949" t="s">
        <v>317</v>
      </c>
      <c r="AZ949">
        <v>3</v>
      </c>
      <c r="BA949">
        <v>852449</v>
      </c>
      <c r="BB949">
        <v>0.15999999642372131</v>
      </c>
      <c r="BC949">
        <v>136400</v>
      </c>
      <c r="BD949" t="s">
        <v>31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136400</v>
      </c>
      <c r="BK949" t="s">
        <v>25</v>
      </c>
      <c r="BL949" t="s">
        <v>1064</v>
      </c>
      <c r="BM949">
        <v>3</v>
      </c>
      <c r="BN949">
        <v>852449</v>
      </c>
      <c r="BO949">
        <v>0.125</v>
      </c>
      <c r="BP949">
        <v>106600</v>
      </c>
      <c r="BQ949">
        <v>0</v>
      </c>
      <c r="BS949">
        <v>0</v>
      </c>
      <c r="BU949">
        <v>0</v>
      </c>
      <c r="BV949" t="s">
        <v>25</v>
      </c>
      <c r="BW949" t="s">
        <v>189</v>
      </c>
      <c r="BX949">
        <v>3</v>
      </c>
      <c r="BY949">
        <v>852449</v>
      </c>
      <c r="BZ949">
        <v>6.9600000977516174E-2</v>
      </c>
      <c r="CA949" t="s">
        <v>1439</v>
      </c>
      <c r="CB949" t="s">
        <v>227</v>
      </c>
      <c r="CC949" t="s">
        <v>1440</v>
      </c>
      <c r="CD949">
        <v>59400</v>
      </c>
      <c r="CE949">
        <v>3</v>
      </c>
      <c r="CF949" t="s">
        <v>635</v>
      </c>
      <c r="CG949">
        <v>1060549</v>
      </c>
      <c r="CH949">
        <v>3.9999999105930328E-2</v>
      </c>
      <c r="CI949">
        <v>42500</v>
      </c>
      <c r="CJ949">
        <v>1060549</v>
      </c>
      <c r="CK949">
        <v>1.9999999552965164E-2</v>
      </c>
      <c r="CL949">
        <v>21300</v>
      </c>
      <c r="CM949">
        <v>2.9999999329447746E-2</v>
      </c>
      <c r="CN949">
        <v>31900</v>
      </c>
      <c r="CO949">
        <v>0</v>
      </c>
      <c r="CP949">
        <v>0</v>
      </c>
      <c r="CQ949">
        <v>0</v>
      </c>
      <c r="CR949">
        <v>0</v>
      </c>
      <c r="CS949" t="s">
        <v>32</v>
      </c>
      <c r="CT949" t="s">
        <v>142</v>
      </c>
      <c r="CU949" t="s">
        <v>1442</v>
      </c>
    </row>
    <row r="950" spans="1:99">
      <c r="A950" t="s">
        <v>3047</v>
      </c>
      <c r="B950" t="s">
        <v>34</v>
      </c>
      <c r="C950" t="s">
        <v>2295</v>
      </c>
      <c r="D950" t="s">
        <v>2296</v>
      </c>
      <c r="E950" t="s">
        <v>1648</v>
      </c>
      <c r="F950" t="s">
        <v>2034</v>
      </c>
      <c r="G950" t="s">
        <v>2297</v>
      </c>
      <c r="H950" t="s">
        <v>1548</v>
      </c>
      <c r="I950" t="s">
        <v>240</v>
      </c>
      <c r="J950" t="s">
        <v>46</v>
      </c>
      <c r="K950" t="s">
        <v>29</v>
      </c>
      <c r="L950" t="s">
        <v>30</v>
      </c>
      <c r="M950">
        <v>180</v>
      </c>
      <c r="N950" t="s">
        <v>32</v>
      </c>
      <c r="O950" t="s">
        <v>32</v>
      </c>
      <c r="Q950" t="s">
        <v>32</v>
      </c>
      <c r="S950" t="s">
        <v>32</v>
      </c>
      <c r="U950" t="s">
        <v>32</v>
      </c>
      <c r="V950" t="s">
        <v>32</v>
      </c>
      <c r="W950" t="s">
        <v>32</v>
      </c>
      <c r="X950" t="s">
        <v>32</v>
      </c>
      <c r="Y950" t="s">
        <v>32</v>
      </c>
      <c r="AA950" t="s">
        <v>88</v>
      </c>
      <c r="AB950" t="s">
        <v>32</v>
      </c>
      <c r="AE950" t="s">
        <v>32</v>
      </c>
      <c r="AH950" t="s">
        <v>32</v>
      </c>
      <c r="AK950" t="s">
        <v>32</v>
      </c>
      <c r="AN950" t="s">
        <v>32</v>
      </c>
      <c r="AO950" t="s">
        <v>32</v>
      </c>
      <c r="AR950">
        <v>0</v>
      </c>
      <c r="AU950" t="s">
        <v>32</v>
      </c>
      <c r="AV950">
        <v>5209465</v>
      </c>
      <c r="AW950" t="s">
        <v>32</v>
      </c>
      <c r="AX950" t="s">
        <v>32</v>
      </c>
      <c r="AY950" t="s">
        <v>356</v>
      </c>
      <c r="AZ950">
        <v>30</v>
      </c>
      <c r="BA950">
        <v>5209465</v>
      </c>
      <c r="BB950">
        <v>0.15999999642372131</v>
      </c>
      <c r="BC950">
        <v>833600</v>
      </c>
      <c r="BD950" t="s">
        <v>31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833600</v>
      </c>
      <c r="BK950" t="s">
        <v>25</v>
      </c>
      <c r="BL950" t="s">
        <v>1064</v>
      </c>
      <c r="BM950">
        <v>30</v>
      </c>
      <c r="BN950">
        <v>5209465</v>
      </c>
      <c r="BO950">
        <v>3.9999999105930328E-2</v>
      </c>
      <c r="BP950">
        <v>208400</v>
      </c>
      <c r="BQ950">
        <v>0</v>
      </c>
      <c r="BS950">
        <v>0</v>
      </c>
      <c r="BU950">
        <v>0</v>
      </c>
      <c r="BV950" t="s">
        <v>25</v>
      </c>
      <c r="BW950" t="s">
        <v>189</v>
      </c>
      <c r="BX950">
        <v>30</v>
      </c>
      <c r="BY950">
        <v>5209465</v>
      </c>
      <c r="BZ950">
        <v>6.9600000977516174E-2</v>
      </c>
      <c r="CA950" t="s">
        <v>1439</v>
      </c>
      <c r="CB950" t="s">
        <v>227</v>
      </c>
      <c r="CC950" t="s">
        <v>1440</v>
      </c>
      <c r="CD950">
        <v>362600</v>
      </c>
      <c r="CE950">
        <v>30</v>
      </c>
      <c r="CF950" t="s">
        <v>635</v>
      </c>
      <c r="CG950">
        <v>5209465</v>
      </c>
      <c r="CH950">
        <v>3.9999999105930328E-2</v>
      </c>
      <c r="CI950">
        <v>208400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 t="s">
        <v>88</v>
      </c>
      <c r="CT950" t="s">
        <v>142</v>
      </c>
      <c r="CU950" t="s">
        <v>1442</v>
      </c>
    </row>
    <row r="951" spans="1:99">
      <c r="A951" t="s">
        <v>3047</v>
      </c>
      <c r="B951" t="s">
        <v>34</v>
      </c>
      <c r="C951" t="s">
        <v>2298</v>
      </c>
      <c r="D951" t="s">
        <v>2299</v>
      </c>
      <c r="E951" t="s">
        <v>1561</v>
      </c>
      <c r="F951" t="s">
        <v>1144</v>
      </c>
      <c r="G951" t="s">
        <v>1578</v>
      </c>
      <c r="H951" t="s">
        <v>1579</v>
      </c>
      <c r="I951" t="s">
        <v>240</v>
      </c>
      <c r="J951" t="s">
        <v>46</v>
      </c>
      <c r="K951" t="s">
        <v>29</v>
      </c>
      <c r="L951" t="s">
        <v>30</v>
      </c>
      <c r="M951">
        <v>123</v>
      </c>
      <c r="N951" t="s">
        <v>32</v>
      </c>
      <c r="O951" t="s">
        <v>32</v>
      </c>
      <c r="Q951" t="s">
        <v>32</v>
      </c>
      <c r="S951" t="s">
        <v>40</v>
      </c>
      <c r="T951">
        <v>46068</v>
      </c>
      <c r="U951" t="s">
        <v>32</v>
      </c>
      <c r="V951" t="s">
        <v>32</v>
      </c>
      <c r="W951" t="s">
        <v>32</v>
      </c>
      <c r="X951" t="s">
        <v>32</v>
      </c>
      <c r="Y951" t="s">
        <v>32</v>
      </c>
      <c r="AA951" t="s">
        <v>88</v>
      </c>
      <c r="AB951" t="s">
        <v>32</v>
      </c>
      <c r="AE951" t="s">
        <v>32</v>
      </c>
      <c r="AH951" t="s">
        <v>32</v>
      </c>
      <c r="AK951" t="s">
        <v>32</v>
      </c>
      <c r="AN951" t="s">
        <v>32</v>
      </c>
      <c r="AO951" t="s">
        <v>32</v>
      </c>
      <c r="AR951">
        <v>0</v>
      </c>
      <c r="AU951" t="s">
        <v>32</v>
      </c>
      <c r="AV951">
        <v>1750905</v>
      </c>
      <c r="AW951" t="s">
        <v>32</v>
      </c>
      <c r="AX951" t="s">
        <v>32</v>
      </c>
      <c r="AY951" t="s">
        <v>185</v>
      </c>
      <c r="AZ951">
        <v>15</v>
      </c>
      <c r="BA951">
        <v>1660072</v>
      </c>
      <c r="BB951">
        <v>0.15999999642372131</v>
      </c>
      <c r="BC951">
        <v>265700</v>
      </c>
      <c r="BD951" t="s">
        <v>31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265700</v>
      </c>
      <c r="BK951" t="s">
        <v>25</v>
      </c>
      <c r="BL951" t="s">
        <v>1010</v>
      </c>
      <c r="BM951">
        <v>15</v>
      </c>
      <c r="BN951">
        <v>1660072</v>
      </c>
      <c r="BO951">
        <v>3.9999999105930328E-2</v>
      </c>
      <c r="BP951">
        <v>66500</v>
      </c>
      <c r="BQ951">
        <v>0</v>
      </c>
      <c r="BS951">
        <v>0</v>
      </c>
      <c r="BU951">
        <v>0</v>
      </c>
      <c r="BV951" t="s">
        <v>25</v>
      </c>
      <c r="BW951" t="s">
        <v>189</v>
      </c>
      <c r="BX951">
        <v>15</v>
      </c>
      <c r="BY951">
        <v>1660072</v>
      </c>
      <c r="BZ951">
        <v>6.9600000977516174E-2</v>
      </c>
      <c r="CA951" t="s">
        <v>1439</v>
      </c>
      <c r="CB951" t="s">
        <v>227</v>
      </c>
      <c r="CC951" t="s">
        <v>1440</v>
      </c>
      <c r="CD951">
        <v>115600</v>
      </c>
      <c r="CE951">
        <v>15</v>
      </c>
      <c r="CF951" t="s">
        <v>635</v>
      </c>
      <c r="CG951">
        <v>2095691</v>
      </c>
      <c r="CH951">
        <v>3.9999999105930328E-2</v>
      </c>
      <c r="CI951">
        <v>83900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 t="s">
        <v>88</v>
      </c>
      <c r="CT951" t="s">
        <v>142</v>
      </c>
      <c r="CU951" t="s">
        <v>1442</v>
      </c>
    </row>
    <row r="952" spans="1:99">
      <c r="A952" t="s">
        <v>3047</v>
      </c>
      <c r="B952" t="s">
        <v>34</v>
      </c>
      <c r="C952" t="s">
        <v>2300</v>
      </c>
      <c r="D952" t="s">
        <v>2301</v>
      </c>
      <c r="E952" t="s">
        <v>1472</v>
      </c>
      <c r="F952" t="s">
        <v>2302</v>
      </c>
      <c r="G952" t="s">
        <v>1793</v>
      </c>
      <c r="H952" t="s">
        <v>1489</v>
      </c>
      <c r="I952" t="s">
        <v>240</v>
      </c>
      <c r="J952" t="s">
        <v>46</v>
      </c>
      <c r="K952" t="s">
        <v>29</v>
      </c>
      <c r="L952" t="s">
        <v>30</v>
      </c>
      <c r="M952">
        <v>219</v>
      </c>
      <c r="N952" t="s">
        <v>32</v>
      </c>
      <c r="O952" t="s">
        <v>32</v>
      </c>
      <c r="Q952" t="s">
        <v>32</v>
      </c>
      <c r="S952" t="s">
        <v>32</v>
      </c>
      <c r="U952" t="s">
        <v>32</v>
      </c>
      <c r="V952" t="s">
        <v>32</v>
      </c>
      <c r="W952" t="s">
        <v>32</v>
      </c>
      <c r="X952" t="s">
        <v>32</v>
      </c>
      <c r="Y952" t="s">
        <v>32</v>
      </c>
      <c r="AA952" t="s">
        <v>88</v>
      </c>
      <c r="AB952" t="s">
        <v>32</v>
      </c>
      <c r="AE952" t="s">
        <v>32</v>
      </c>
      <c r="AH952" t="s">
        <v>32</v>
      </c>
      <c r="AK952" t="s">
        <v>32</v>
      </c>
      <c r="AN952" t="s">
        <v>32</v>
      </c>
      <c r="AO952" t="s">
        <v>32</v>
      </c>
      <c r="AR952">
        <v>0</v>
      </c>
      <c r="AU952" t="s">
        <v>32</v>
      </c>
      <c r="AV952">
        <v>2223339</v>
      </c>
      <c r="AW952" t="s">
        <v>32</v>
      </c>
      <c r="AX952" t="s">
        <v>32</v>
      </c>
      <c r="AY952" t="s">
        <v>356</v>
      </c>
      <c r="AZ952">
        <v>30</v>
      </c>
      <c r="BA952">
        <v>3173345</v>
      </c>
      <c r="BB952">
        <v>0.15999999642372131</v>
      </c>
      <c r="BC952">
        <v>507800</v>
      </c>
      <c r="BD952" t="s">
        <v>31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507800</v>
      </c>
      <c r="BK952" t="s">
        <v>25</v>
      </c>
      <c r="BL952" t="s">
        <v>1064</v>
      </c>
      <c r="BM952">
        <v>30</v>
      </c>
      <c r="BN952">
        <v>3173345</v>
      </c>
      <c r="BO952">
        <v>3.9999999105930328E-2</v>
      </c>
      <c r="BP952">
        <v>127000</v>
      </c>
      <c r="BQ952">
        <v>0</v>
      </c>
      <c r="BS952">
        <v>0</v>
      </c>
      <c r="BU952">
        <v>0</v>
      </c>
      <c r="BV952" t="s">
        <v>25</v>
      </c>
      <c r="BW952" t="s">
        <v>189</v>
      </c>
      <c r="BX952">
        <v>30</v>
      </c>
      <c r="BY952">
        <v>3173345</v>
      </c>
      <c r="BZ952">
        <v>6.9600000977516174E-2</v>
      </c>
      <c r="CA952" t="s">
        <v>1439</v>
      </c>
      <c r="CB952" t="s">
        <v>227</v>
      </c>
      <c r="CC952" t="s">
        <v>1440</v>
      </c>
      <c r="CD952">
        <v>220900</v>
      </c>
      <c r="CE952">
        <v>30</v>
      </c>
      <c r="CF952" t="s">
        <v>635</v>
      </c>
      <c r="CG952">
        <v>3173345</v>
      </c>
      <c r="CH952">
        <v>3.9999999105930328E-2</v>
      </c>
      <c r="CI952">
        <v>127000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 t="s">
        <v>88</v>
      </c>
      <c r="CT952" t="s">
        <v>142</v>
      </c>
      <c r="CU952" t="s">
        <v>1442</v>
      </c>
    </row>
    <row r="953" spans="1:99">
      <c r="A953" t="s">
        <v>3047</v>
      </c>
      <c r="B953" t="s">
        <v>34</v>
      </c>
      <c r="C953" t="s">
        <v>2303</v>
      </c>
      <c r="D953" t="s">
        <v>2304</v>
      </c>
      <c r="E953" t="s">
        <v>1879</v>
      </c>
      <c r="F953" t="s">
        <v>2305</v>
      </c>
      <c r="G953" t="s">
        <v>1590</v>
      </c>
      <c r="H953" t="s">
        <v>2306</v>
      </c>
      <c r="I953" t="s">
        <v>240</v>
      </c>
      <c r="J953" t="s">
        <v>46</v>
      </c>
      <c r="K953" t="s">
        <v>29</v>
      </c>
      <c r="L953" t="s">
        <v>30</v>
      </c>
      <c r="M953">
        <v>0</v>
      </c>
      <c r="N953" t="s">
        <v>32</v>
      </c>
      <c r="O953" t="s">
        <v>32</v>
      </c>
      <c r="Q953" t="s">
        <v>32</v>
      </c>
      <c r="S953" t="s">
        <v>32</v>
      </c>
      <c r="U953" t="s">
        <v>32</v>
      </c>
      <c r="V953" t="s">
        <v>32</v>
      </c>
      <c r="W953" t="s">
        <v>32</v>
      </c>
      <c r="X953" t="s">
        <v>32</v>
      </c>
      <c r="Y953" t="s">
        <v>32</v>
      </c>
      <c r="AA953" t="s">
        <v>32</v>
      </c>
      <c r="AB953" t="s">
        <v>37</v>
      </c>
      <c r="AC953">
        <v>46054</v>
      </c>
      <c r="AD953">
        <v>46054</v>
      </c>
      <c r="AE953" t="s">
        <v>32</v>
      </c>
      <c r="AH953" t="s">
        <v>32</v>
      </c>
      <c r="AK953" t="s">
        <v>32</v>
      </c>
      <c r="AN953" t="s">
        <v>32</v>
      </c>
      <c r="AO953" t="s">
        <v>32</v>
      </c>
      <c r="AR953">
        <v>0</v>
      </c>
      <c r="AU953" t="s">
        <v>32</v>
      </c>
      <c r="AV953">
        <v>1785595</v>
      </c>
      <c r="AW953" t="s">
        <v>32</v>
      </c>
      <c r="AX953" t="s">
        <v>32</v>
      </c>
      <c r="AY953" t="s">
        <v>317</v>
      </c>
      <c r="AZ953">
        <v>1</v>
      </c>
      <c r="BA953">
        <v>59520</v>
      </c>
      <c r="BB953">
        <v>0.15999999642372131</v>
      </c>
      <c r="BC953">
        <v>9600</v>
      </c>
      <c r="BD953" t="s">
        <v>31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9600</v>
      </c>
      <c r="BK953" t="s">
        <v>25</v>
      </c>
      <c r="BL953" t="s">
        <v>1064</v>
      </c>
      <c r="BM953">
        <v>1</v>
      </c>
      <c r="BN953">
        <v>59520</v>
      </c>
      <c r="BO953">
        <v>0</v>
      </c>
      <c r="BP953">
        <v>0</v>
      </c>
      <c r="BQ953">
        <v>0</v>
      </c>
      <c r="BS953">
        <v>0</v>
      </c>
      <c r="BU953">
        <v>0</v>
      </c>
      <c r="BV953" t="s">
        <v>25</v>
      </c>
      <c r="BW953" t="s">
        <v>189</v>
      </c>
      <c r="BX953">
        <v>1</v>
      </c>
      <c r="BY953">
        <v>59520</v>
      </c>
      <c r="BZ953">
        <v>0</v>
      </c>
      <c r="CA953" t="s">
        <v>1439</v>
      </c>
      <c r="CB953" t="s">
        <v>227</v>
      </c>
      <c r="CC953" t="s">
        <v>1440</v>
      </c>
      <c r="CD953">
        <v>0</v>
      </c>
      <c r="CE953">
        <v>1</v>
      </c>
      <c r="CF953" t="s">
        <v>635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 t="s">
        <v>88</v>
      </c>
      <c r="CT953" t="s">
        <v>142</v>
      </c>
      <c r="CU953" t="s">
        <v>1442</v>
      </c>
    </row>
    <row r="954" spans="1:99">
      <c r="A954" t="s">
        <v>3047</v>
      </c>
      <c r="B954" t="s">
        <v>34</v>
      </c>
      <c r="C954" t="s">
        <v>2303</v>
      </c>
      <c r="D954" t="s">
        <v>2304</v>
      </c>
      <c r="E954" t="s">
        <v>1879</v>
      </c>
      <c r="F954" t="s">
        <v>2305</v>
      </c>
      <c r="G954" t="s">
        <v>1590</v>
      </c>
      <c r="H954" t="s">
        <v>2306</v>
      </c>
      <c r="I954" t="s">
        <v>240</v>
      </c>
      <c r="J954" t="s">
        <v>46</v>
      </c>
      <c r="K954" t="s">
        <v>29</v>
      </c>
      <c r="L954" t="s">
        <v>30</v>
      </c>
      <c r="M954">
        <v>0</v>
      </c>
      <c r="N954" t="s">
        <v>32</v>
      </c>
      <c r="O954" t="s">
        <v>32</v>
      </c>
      <c r="Q954" t="s">
        <v>32</v>
      </c>
      <c r="S954" t="s">
        <v>32</v>
      </c>
      <c r="U954" t="s">
        <v>32</v>
      </c>
      <c r="V954" t="s">
        <v>32</v>
      </c>
      <c r="W954" t="s">
        <v>32</v>
      </c>
      <c r="X954" t="s">
        <v>32</v>
      </c>
      <c r="Y954" t="s">
        <v>32</v>
      </c>
      <c r="AA954" t="s">
        <v>32</v>
      </c>
      <c r="AB954" t="s">
        <v>32</v>
      </c>
      <c r="AE954" t="s">
        <v>32</v>
      </c>
      <c r="AH954" t="s">
        <v>32</v>
      </c>
      <c r="AK954" t="s">
        <v>128</v>
      </c>
      <c r="AL954">
        <v>46056</v>
      </c>
      <c r="AM954">
        <v>46056</v>
      </c>
      <c r="AN954" t="s">
        <v>32</v>
      </c>
      <c r="AO954" t="s">
        <v>32</v>
      </c>
      <c r="AR954">
        <v>0</v>
      </c>
      <c r="AU954" t="s">
        <v>32</v>
      </c>
      <c r="AV954">
        <v>1785595</v>
      </c>
      <c r="AW954" t="s">
        <v>32</v>
      </c>
      <c r="AX954" t="s">
        <v>32</v>
      </c>
      <c r="AY954" t="s">
        <v>317</v>
      </c>
      <c r="AZ954">
        <v>1</v>
      </c>
      <c r="BA954">
        <v>59520</v>
      </c>
      <c r="BB954">
        <v>0.15999999642372131</v>
      </c>
      <c r="BC954">
        <v>9600</v>
      </c>
      <c r="BD954" t="s">
        <v>31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9600</v>
      </c>
      <c r="BK954" t="s">
        <v>25</v>
      </c>
      <c r="BL954" t="s">
        <v>1064</v>
      </c>
      <c r="BM954">
        <v>1</v>
      </c>
      <c r="BN954">
        <v>59520</v>
      </c>
      <c r="BO954">
        <v>3.9999999105930328E-2</v>
      </c>
      <c r="BP954">
        <v>2400</v>
      </c>
      <c r="BQ954">
        <v>0</v>
      </c>
      <c r="BS954">
        <v>0</v>
      </c>
      <c r="BU954">
        <v>0</v>
      </c>
      <c r="BV954" t="s">
        <v>25</v>
      </c>
      <c r="BW954" t="s">
        <v>189</v>
      </c>
      <c r="BX954">
        <v>1</v>
      </c>
      <c r="BY954">
        <v>59520</v>
      </c>
      <c r="BZ954">
        <v>0</v>
      </c>
      <c r="CA954" t="s">
        <v>1439</v>
      </c>
      <c r="CB954" t="s">
        <v>227</v>
      </c>
      <c r="CC954" t="s">
        <v>1440</v>
      </c>
      <c r="CD954">
        <v>0</v>
      </c>
      <c r="CE954">
        <v>1</v>
      </c>
      <c r="CF954" t="s">
        <v>635</v>
      </c>
      <c r="CG954">
        <v>59520</v>
      </c>
      <c r="CH954">
        <v>3.9999999105930328E-2</v>
      </c>
      <c r="CI954">
        <v>2400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 t="s">
        <v>88</v>
      </c>
      <c r="CT954" t="s">
        <v>142</v>
      </c>
      <c r="CU954" t="s">
        <v>1442</v>
      </c>
    </row>
    <row r="955" spans="1:99">
      <c r="A955" t="s">
        <v>3047</v>
      </c>
      <c r="B955" t="s">
        <v>34</v>
      </c>
      <c r="C955" t="s">
        <v>2303</v>
      </c>
      <c r="D955" t="s">
        <v>2304</v>
      </c>
      <c r="E955" t="s">
        <v>1879</v>
      </c>
      <c r="F955" t="s">
        <v>2305</v>
      </c>
      <c r="G955" t="s">
        <v>1590</v>
      </c>
      <c r="H955" t="s">
        <v>2306</v>
      </c>
      <c r="I955" t="s">
        <v>240</v>
      </c>
      <c r="J955" t="s">
        <v>46</v>
      </c>
      <c r="K955" t="s">
        <v>29</v>
      </c>
      <c r="L955" t="s">
        <v>30</v>
      </c>
      <c r="M955">
        <v>0</v>
      </c>
      <c r="N955" t="s">
        <v>32</v>
      </c>
      <c r="O955" t="s">
        <v>32</v>
      </c>
      <c r="Q955" t="s">
        <v>32</v>
      </c>
      <c r="S955" t="s">
        <v>32</v>
      </c>
      <c r="U955" t="s">
        <v>32</v>
      </c>
      <c r="V955" t="s">
        <v>32</v>
      </c>
      <c r="W955" t="s">
        <v>32</v>
      </c>
      <c r="X955" t="s">
        <v>32</v>
      </c>
      <c r="Y955" t="s">
        <v>32</v>
      </c>
      <c r="AA955" t="s">
        <v>32</v>
      </c>
      <c r="AB955" t="s">
        <v>37</v>
      </c>
      <c r="AC955">
        <v>46062</v>
      </c>
      <c r="AD955">
        <v>46063</v>
      </c>
      <c r="AE955" t="s">
        <v>32</v>
      </c>
      <c r="AH955" t="s">
        <v>32</v>
      </c>
      <c r="AK955" t="s">
        <v>32</v>
      </c>
      <c r="AN955" t="s">
        <v>32</v>
      </c>
      <c r="AO955" t="s">
        <v>32</v>
      </c>
      <c r="AR955">
        <v>0</v>
      </c>
      <c r="AU955" t="s">
        <v>32</v>
      </c>
      <c r="AV955">
        <v>1785595</v>
      </c>
      <c r="AW955" t="s">
        <v>32</v>
      </c>
      <c r="AX955" t="s">
        <v>32</v>
      </c>
      <c r="AY955" t="s">
        <v>317</v>
      </c>
      <c r="AZ955">
        <v>2</v>
      </c>
      <c r="BA955">
        <v>119040</v>
      </c>
      <c r="BB955">
        <v>0.15999999642372131</v>
      </c>
      <c r="BC955">
        <v>19100</v>
      </c>
      <c r="BD955" t="s">
        <v>31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19100</v>
      </c>
      <c r="BK955" t="s">
        <v>25</v>
      </c>
      <c r="BL955" t="s">
        <v>1064</v>
      </c>
      <c r="BM955">
        <v>2</v>
      </c>
      <c r="BN955">
        <v>119040</v>
      </c>
      <c r="BO955">
        <v>0</v>
      </c>
      <c r="BP955">
        <v>0</v>
      </c>
      <c r="BQ955">
        <v>0</v>
      </c>
      <c r="BS955">
        <v>0</v>
      </c>
      <c r="BU955">
        <v>0</v>
      </c>
      <c r="BV955" t="s">
        <v>25</v>
      </c>
      <c r="BW955" t="s">
        <v>189</v>
      </c>
      <c r="BX955">
        <v>2</v>
      </c>
      <c r="BY955">
        <v>119040</v>
      </c>
      <c r="BZ955">
        <v>0</v>
      </c>
      <c r="CA955" t="s">
        <v>1439</v>
      </c>
      <c r="CB955" t="s">
        <v>227</v>
      </c>
      <c r="CC955" t="s">
        <v>1440</v>
      </c>
      <c r="CD955">
        <v>0</v>
      </c>
      <c r="CE955">
        <v>2</v>
      </c>
      <c r="CF955" t="s">
        <v>635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 t="s">
        <v>88</v>
      </c>
      <c r="CT955" t="s">
        <v>142</v>
      </c>
      <c r="CU955" t="s">
        <v>1442</v>
      </c>
    </row>
    <row r="956" spans="1:99">
      <c r="A956" t="s">
        <v>3047</v>
      </c>
      <c r="B956" t="s">
        <v>34</v>
      </c>
      <c r="C956" t="s">
        <v>2303</v>
      </c>
      <c r="D956" t="s">
        <v>2304</v>
      </c>
      <c r="E956" t="s">
        <v>1879</v>
      </c>
      <c r="F956" t="s">
        <v>2305</v>
      </c>
      <c r="G956" t="s">
        <v>1590</v>
      </c>
      <c r="H956" t="s">
        <v>2306</v>
      </c>
      <c r="I956" t="s">
        <v>240</v>
      </c>
      <c r="J956" t="s">
        <v>46</v>
      </c>
      <c r="K956" t="s">
        <v>29</v>
      </c>
      <c r="L956" t="s">
        <v>30</v>
      </c>
      <c r="M956">
        <v>190</v>
      </c>
      <c r="N956" t="s">
        <v>32</v>
      </c>
      <c r="O956" t="s">
        <v>32</v>
      </c>
      <c r="Q956" t="s">
        <v>32</v>
      </c>
      <c r="S956" t="s">
        <v>32</v>
      </c>
      <c r="U956" t="s">
        <v>32</v>
      </c>
      <c r="V956" t="s">
        <v>32</v>
      </c>
      <c r="W956" t="s">
        <v>32</v>
      </c>
      <c r="X956" t="s">
        <v>32</v>
      </c>
      <c r="Y956" t="s">
        <v>32</v>
      </c>
      <c r="AA956" t="s">
        <v>88</v>
      </c>
      <c r="AB956" t="s">
        <v>32</v>
      </c>
      <c r="AE956" t="s">
        <v>32</v>
      </c>
      <c r="AH956" t="s">
        <v>32</v>
      </c>
      <c r="AK956" t="s">
        <v>32</v>
      </c>
      <c r="AN956" t="s">
        <v>32</v>
      </c>
      <c r="AO956" t="s">
        <v>32</v>
      </c>
      <c r="AR956">
        <v>0</v>
      </c>
      <c r="AU956" t="s">
        <v>32</v>
      </c>
      <c r="AV956">
        <v>1785595</v>
      </c>
      <c r="AW956" t="s">
        <v>32</v>
      </c>
      <c r="AX956" t="s">
        <v>32</v>
      </c>
      <c r="AY956" t="s">
        <v>317</v>
      </c>
      <c r="AZ956">
        <v>26</v>
      </c>
      <c r="BA956">
        <v>2056439</v>
      </c>
      <c r="BB956">
        <v>0.15999999642372131</v>
      </c>
      <c r="BC956">
        <v>329100</v>
      </c>
      <c r="BD956" t="s">
        <v>31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329100</v>
      </c>
      <c r="BK956" t="s">
        <v>25</v>
      </c>
      <c r="BL956" t="s">
        <v>1064</v>
      </c>
      <c r="BM956">
        <v>26</v>
      </c>
      <c r="BN956">
        <v>2056439</v>
      </c>
      <c r="BO956">
        <v>3.9999999105930328E-2</v>
      </c>
      <c r="BP956">
        <v>82300</v>
      </c>
      <c r="BQ956">
        <v>0</v>
      </c>
      <c r="BS956">
        <v>0</v>
      </c>
      <c r="BU956">
        <v>0</v>
      </c>
      <c r="BV956" t="s">
        <v>25</v>
      </c>
      <c r="BW956" t="s">
        <v>189</v>
      </c>
      <c r="BX956">
        <v>26</v>
      </c>
      <c r="BY956">
        <v>2056439</v>
      </c>
      <c r="BZ956">
        <v>6.9600000977516174E-2</v>
      </c>
      <c r="CA956" t="s">
        <v>1439</v>
      </c>
      <c r="CB956" t="s">
        <v>227</v>
      </c>
      <c r="CC956" t="s">
        <v>1440</v>
      </c>
      <c r="CD956">
        <v>143200</v>
      </c>
      <c r="CE956">
        <v>26</v>
      </c>
      <c r="CF956" t="s">
        <v>635</v>
      </c>
      <c r="CG956">
        <v>2056439</v>
      </c>
      <c r="CH956">
        <v>3.9999999105930328E-2</v>
      </c>
      <c r="CI956">
        <v>82300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 t="s">
        <v>88</v>
      </c>
      <c r="CT956" t="s">
        <v>142</v>
      </c>
      <c r="CU956" t="s">
        <v>1442</v>
      </c>
    </row>
    <row r="957" spans="1:99">
      <c r="A957" t="s">
        <v>3047</v>
      </c>
      <c r="B957" t="s">
        <v>34</v>
      </c>
      <c r="C957" t="s">
        <v>2307</v>
      </c>
      <c r="D957" t="s">
        <v>2308</v>
      </c>
      <c r="E957" t="s">
        <v>2309</v>
      </c>
      <c r="F957" t="s">
        <v>2310</v>
      </c>
      <c r="G957" t="s">
        <v>2091</v>
      </c>
      <c r="H957" t="s">
        <v>1543</v>
      </c>
      <c r="I957" t="s">
        <v>240</v>
      </c>
      <c r="J957" t="s">
        <v>46</v>
      </c>
      <c r="K957" t="s">
        <v>29</v>
      </c>
      <c r="L957" t="s">
        <v>30</v>
      </c>
      <c r="M957">
        <v>30</v>
      </c>
      <c r="N957" t="s">
        <v>32</v>
      </c>
      <c r="O957" t="s">
        <v>32</v>
      </c>
      <c r="Q957" t="s">
        <v>32</v>
      </c>
      <c r="S957" t="s">
        <v>40</v>
      </c>
      <c r="T957">
        <v>46056</v>
      </c>
      <c r="U957" t="s">
        <v>32</v>
      </c>
      <c r="V957" t="s">
        <v>32</v>
      </c>
      <c r="W957" t="s">
        <v>32</v>
      </c>
      <c r="X957" t="s">
        <v>32</v>
      </c>
      <c r="Y957" t="s">
        <v>32</v>
      </c>
      <c r="AA957" t="s">
        <v>88</v>
      </c>
      <c r="AB957" t="s">
        <v>32</v>
      </c>
      <c r="AE957" t="s">
        <v>32</v>
      </c>
      <c r="AH957" t="s">
        <v>32</v>
      </c>
      <c r="AK957" t="s">
        <v>32</v>
      </c>
      <c r="AN957" t="s">
        <v>32</v>
      </c>
      <c r="AO957" t="s">
        <v>32</v>
      </c>
      <c r="AR957">
        <v>0</v>
      </c>
      <c r="AU957" t="s">
        <v>32</v>
      </c>
      <c r="AV957">
        <v>2223339</v>
      </c>
      <c r="AW957" t="s">
        <v>32</v>
      </c>
      <c r="AX957" t="s">
        <v>32</v>
      </c>
      <c r="AY957" t="s">
        <v>137</v>
      </c>
      <c r="AZ957">
        <v>3</v>
      </c>
      <c r="BA957">
        <v>1025476</v>
      </c>
      <c r="BB957">
        <v>0.15999999642372131</v>
      </c>
      <c r="BC957">
        <v>164100</v>
      </c>
      <c r="BD957" t="s">
        <v>31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164100</v>
      </c>
      <c r="BK957" t="s">
        <v>25</v>
      </c>
      <c r="BL957" t="s">
        <v>870</v>
      </c>
      <c r="BM957">
        <v>3</v>
      </c>
      <c r="BN957">
        <v>1025476</v>
      </c>
      <c r="BO957">
        <v>0.125</v>
      </c>
      <c r="BP957">
        <v>128200</v>
      </c>
      <c r="BQ957">
        <v>0</v>
      </c>
      <c r="BS957">
        <v>0</v>
      </c>
      <c r="BU957">
        <v>0</v>
      </c>
      <c r="BV957" t="s">
        <v>25</v>
      </c>
      <c r="BW957" t="s">
        <v>189</v>
      </c>
      <c r="BX957">
        <v>3</v>
      </c>
      <c r="BY957">
        <v>1025476</v>
      </c>
      <c r="BZ957">
        <v>6.9600000977516174E-2</v>
      </c>
      <c r="CA957" t="s">
        <v>1439</v>
      </c>
      <c r="CB957" t="s">
        <v>227</v>
      </c>
      <c r="CC957" t="s">
        <v>1440</v>
      </c>
      <c r="CD957">
        <v>71400</v>
      </c>
      <c r="CE957">
        <v>3</v>
      </c>
      <c r="CF957" t="s">
        <v>635</v>
      </c>
      <c r="CG957">
        <v>1198833</v>
      </c>
      <c r="CH957">
        <v>3.9999999105930328E-2</v>
      </c>
      <c r="CI957">
        <v>48000</v>
      </c>
      <c r="CJ957">
        <v>1198833</v>
      </c>
      <c r="CK957">
        <v>1.9999999552965164E-2</v>
      </c>
      <c r="CL957">
        <v>24000</v>
      </c>
      <c r="CM957">
        <v>2.9999999329447746E-2</v>
      </c>
      <c r="CN957">
        <v>36000</v>
      </c>
      <c r="CO957">
        <v>0</v>
      </c>
      <c r="CP957">
        <v>0</v>
      </c>
      <c r="CQ957">
        <v>0</v>
      </c>
      <c r="CR957">
        <v>0</v>
      </c>
      <c r="CS957" t="s">
        <v>32</v>
      </c>
      <c r="CT957" t="s">
        <v>142</v>
      </c>
      <c r="CU957" t="s">
        <v>1442</v>
      </c>
    </row>
    <row r="958" spans="1:99">
      <c r="A958" t="s">
        <v>3047</v>
      </c>
      <c r="B958" t="s">
        <v>34</v>
      </c>
      <c r="C958" t="s">
        <v>2311</v>
      </c>
      <c r="D958" t="s">
        <v>2312</v>
      </c>
      <c r="E958" t="s">
        <v>1506</v>
      </c>
      <c r="F958" t="s">
        <v>1719</v>
      </c>
      <c r="G958" t="s">
        <v>2313</v>
      </c>
      <c r="H958" t="s">
        <v>1590</v>
      </c>
      <c r="I958" t="s">
        <v>203</v>
      </c>
      <c r="J958" t="s">
        <v>403</v>
      </c>
      <c r="K958" t="s">
        <v>29</v>
      </c>
      <c r="L958" t="s">
        <v>30</v>
      </c>
      <c r="M958">
        <v>0</v>
      </c>
      <c r="N958" t="s">
        <v>32</v>
      </c>
      <c r="O958" t="s">
        <v>32</v>
      </c>
      <c r="Q958" t="s">
        <v>40</v>
      </c>
      <c r="R958">
        <v>46081</v>
      </c>
      <c r="S958" t="s">
        <v>32</v>
      </c>
      <c r="U958" t="s">
        <v>32</v>
      </c>
      <c r="V958" t="s">
        <v>32</v>
      </c>
      <c r="W958" t="s">
        <v>32</v>
      </c>
      <c r="X958" t="s">
        <v>32</v>
      </c>
      <c r="Y958" t="s">
        <v>32</v>
      </c>
      <c r="AA958" t="s">
        <v>88</v>
      </c>
      <c r="AB958" t="s">
        <v>32</v>
      </c>
      <c r="AE958" t="s">
        <v>32</v>
      </c>
      <c r="AH958" t="s">
        <v>32</v>
      </c>
      <c r="AK958" t="s">
        <v>32</v>
      </c>
      <c r="AN958" t="s">
        <v>32</v>
      </c>
      <c r="AO958" t="s">
        <v>32</v>
      </c>
      <c r="AR958">
        <v>0</v>
      </c>
      <c r="AU958" t="s">
        <v>32</v>
      </c>
      <c r="AV958">
        <v>5676577</v>
      </c>
      <c r="AW958" t="s">
        <v>32</v>
      </c>
      <c r="AX958" t="s">
        <v>32</v>
      </c>
      <c r="AY958" t="s">
        <v>185</v>
      </c>
      <c r="AZ958">
        <v>3</v>
      </c>
      <c r="BA958">
        <v>567658</v>
      </c>
      <c r="BB958">
        <v>0.15999999642372131</v>
      </c>
      <c r="BC958">
        <v>90900</v>
      </c>
      <c r="BD958" t="s">
        <v>31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90900</v>
      </c>
      <c r="BK958" t="s">
        <v>25</v>
      </c>
      <c r="BL958" t="s">
        <v>1064</v>
      </c>
      <c r="BM958">
        <v>3</v>
      </c>
      <c r="BN958">
        <v>567658</v>
      </c>
      <c r="BO958">
        <v>3.9999999105930328E-2</v>
      </c>
      <c r="BP958">
        <v>22800</v>
      </c>
      <c r="BQ958">
        <v>0</v>
      </c>
      <c r="BS958">
        <v>0</v>
      </c>
      <c r="BU958">
        <v>0</v>
      </c>
      <c r="BV958" t="s">
        <v>25</v>
      </c>
      <c r="BW958" t="s">
        <v>189</v>
      </c>
      <c r="BX958">
        <v>3</v>
      </c>
      <c r="BY958">
        <v>567658</v>
      </c>
      <c r="BZ958">
        <v>6.9600000977516174E-2</v>
      </c>
      <c r="CA958" t="s">
        <v>1439</v>
      </c>
      <c r="CB958" t="s">
        <v>609</v>
      </c>
      <c r="CC958" t="s">
        <v>1440</v>
      </c>
      <c r="CD958">
        <v>39600</v>
      </c>
      <c r="CE958">
        <v>3</v>
      </c>
      <c r="CF958" t="s">
        <v>1001</v>
      </c>
      <c r="CG958">
        <v>567658</v>
      </c>
      <c r="CH958">
        <v>3.9999999105930328E-2</v>
      </c>
      <c r="CI958">
        <v>22800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 t="s">
        <v>88</v>
      </c>
      <c r="CT958" t="s">
        <v>142</v>
      </c>
      <c r="CU958" t="s">
        <v>1442</v>
      </c>
    </row>
    <row r="959" spans="1:99">
      <c r="A959" t="s">
        <v>3047</v>
      </c>
      <c r="B959" t="s">
        <v>34</v>
      </c>
      <c r="C959" t="s">
        <v>2314</v>
      </c>
      <c r="D959" t="s">
        <v>2315</v>
      </c>
      <c r="E959" t="s">
        <v>2316</v>
      </c>
      <c r="F959" t="s">
        <v>1090</v>
      </c>
      <c r="G959" t="s">
        <v>1479</v>
      </c>
      <c r="H959" t="s">
        <v>1761</v>
      </c>
      <c r="I959" t="s">
        <v>240</v>
      </c>
      <c r="J959" t="s">
        <v>46</v>
      </c>
      <c r="K959" t="s">
        <v>29</v>
      </c>
      <c r="L959" t="s">
        <v>30</v>
      </c>
      <c r="M959">
        <v>0</v>
      </c>
      <c r="N959" t="s">
        <v>32</v>
      </c>
      <c r="O959" t="s">
        <v>32</v>
      </c>
      <c r="Q959" t="s">
        <v>32</v>
      </c>
      <c r="S959" t="s">
        <v>32</v>
      </c>
      <c r="U959" t="s">
        <v>32</v>
      </c>
      <c r="V959" t="s">
        <v>32</v>
      </c>
      <c r="W959" t="s">
        <v>32</v>
      </c>
      <c r="X959" t="s">
        <v>32</v>
      </c>
      <c r="Y959" t="s">
        <v>32</v>
      </c>
      <c r="AA959" t="s">
        <v>32</v>
      </c>
      <c r="AB959" t="s">
        <v>32</v>
      </c>
      <c r="AE959" t="s">
        <v>1492</v>
      </c>
      <c r="AF959">
        <v>46054</v>
      </c>
      <c r="AG959">
        <v>46055</v>
      </c>
      <c r="AH959" t="s">
        <v>32</v>
      </c>
      <c r="AK959" t="s">
        <v>32</v>
      </c>
      <c r="AN959" t="s">
        <v>32</v>
      </c>
      <c r="AO959" t="s">
        <v>32</v>
      </c>
      <c r="AR959">
        <v>0</v>
      </c>
      <c r="AU959" t="s">
        <v>32</v>
      </c>
      <c r="AV959">
        <v>2970185</v>
      </c>
      <c r="AW959" t="s">
        <v>32</v>
      </c>
      <c r="AX959" t="s">
        <v>32</v>
      </c>
      <c r="AY959" t="s">
        <v>317</v>
      </c>
      <c r="AZ959">
        <v>2</v>
      </c>
      <c r="BA959">
        <v>364006</v>
      </c>
      <c r="BB959">
        <v>0.15999999642372131</v>
      </c>
      <c r="BC959">
        <v>58300</v>
      </c>
      <c r="BD959" t="s">
        <v>31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58300</v>
      </c>
      <c r="BK959" t="s">
        <v>25</v>
      </c>
      <c r="BL959" t="s">
        <v>1064</v>
      </c>
      <c r="BM959">
        <v>2</v>
      </c>
      <c r="BN959">
        <v>364006</v>
      </c>
      <c r="BO959">
        <v>0.125</v>
      </c>
      <c r="BP959">
        <v>45600</v>
      </c>
      <c r="BQ959">
        <v>0</v>
      </c>
      <c r="BS959">
        <v>0</v>
      </c>
      <c r="BU959">
        <v>0</v>
      </c>
      <c r="BV959" t="s">
        <v>25</v>
      </c>
      <c r="BW959" t="s">
        <v>189</v>
      </c>
      <c r="BX959">
        <v>2</v>
      </c>
      <c r="BY959">
        <v>364006</v>
      </c>
      <c r="BZ959">
        <v>0</v>
      </c>
      <c r="CA959" t="s">
        <v>1439</v>
      </c>
      <c r="CB959" t="s">
        <v>227</v>
      </c>
      <c r="CC959" t="s">
        <v>1440</v>
      </c>
      <c r="CD959">
        <v>0</v>
      </c>
      <c r="CE959">
        <v>2</v>
      </c>
      <c r="CF959" t="s">
        <v>635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 t="s">
        <v>32</v>
      </c>
      <c r="CT959" t="s">
        <v>142</v>
      </c>
      <c r="CU959" t="s">
        <v>1442</v>
      </c>
    </row>
    <row r="960" spans="1:99">
      <c r="A960" t="s">
        <v>3047</v>
      </c>
      <c r="B960" t="s">
        <v>34</v>
      </c>
      <c r="C960" t="s">
        <v>2314</v>
      </c>
      <c r="D960" t="s">
        <v>2315</v>
      </c>
      <c r="E960" t="s">
        <v>2316</v>
      </c>
      <c r="F960" t="s">
        <v>1090</v>
      </c>
      <c r="G960" t="s">
        <v>1479</v>
      </c>
      <c r="H960" t="s">
        <v>1761</v>
      </c>
      <c r="I960" t="s">
        <v>240</v>
      </c>
      <c r="J960" t="s">
        <v>46</v>
      </c>
      <c r="K960" t="s">
        <v>29</v>
      </c>
      <c r="L960" t="s">
        <v>30</v>
      </c>
      <c r="M960">
        <v>22</v>
      </c>
      <c r="N960" t="s">
        <v>32</v>
      </c>
      <c r="O960" t="s">
        <v>32</v>
      </c>
      <c r="Q960" t="s">
        <v>32</v>
      </c>
      <c r="S960" t="s">
        <v>40</v>
      </c>
      <c r="T960">
        <v>46056</v>
      </c>
      <c r="U960" t="s">
        <v>32</v>
      </c>
      <c r="V960" t="s">
        <v>32</v>
      </c>
      <c r="W960" t="s">
        <v>32</v>
      </c>
      <c r="X960" t="s">
        <v>32</v>
      </c>
      <c r="Y960" t="s">
        <v>32</v>
      </c>
      <c r="AA960" t="s">
        <v>88</v>
      </c>
      <c r="AB960" t="s">
        <v>32</v>
      </c>
      <c r="AE960" t="s">
        <v>32</v>
      </c>
      <c r="AH960" t="s">
        <v>32</v>
      </c>
      <c r="AK960" t="s">
        <v>32</v>
      </c>
      <c r="AN960" t="s">
        <v>32</v>
      </c>
      <c r="AO960" t="s">
        <v>32</v>
      </c>
      <c r="AR960">
        <v>0</v>
      </c>
      <c r="AU960" t="s">
        <v>32</v>
      </c>
      <c r="AV960">
        <v>2970185</v>
      </c>
      <c r="AW960" t="s">
        <v>32</v>
      </c>
      <c r="AX960" t="s">
        <v>32</v>
      </c>
      <c r="AY960" t="s">
        <v>317</v>
      </c>
      <c r="AZ960">
        <v>1</v>
      </c>
      <c r="BA960">
        <v>1409330</v>
      </c>
      <c r="BB960">
        <v>0.15999999642372131</v>
      </c>
      <c r="BC960">
        <v>225500</v>
      </c>
      <c r="BD960" t="s">
        <v>31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225500</v>
      </c>
      <c r="BK960" t="s">
        <v>25</v>
      </c>
      <c r="BL960" t="s">
        <v>1064</v>
      </c>
      <c r="BM960">
        <v>1</v>
      </c>
      <c r="BN960">
        <v>1409330</v>
      </c>
      <c r="BO960">
        <v>0.125</v>
      </c>
      <c r="BP960">
        <v>176200</v>
      </c>
      <c r="BQ960">
        <v>0</v>
      </c>
      <c r="BS960">
        <v>0</v>
      </c>
      <c r="BU960">
        <v>0</v>
      </c>
      <c r="BV960" t="s">
        <v>25</v>
      </c>
      <c r="BW960" t="s">
        <v>189</v>
      </c>
      <c r="BX960">
        <v>1</v>
      </c>
      <c r="BY960">
        <v>1409330</v>
      </c>
      <c r="BZ960">
        <v>6.9600000977516174E-2</v>
      </c>
      <c r="CA960" t="s">
        <v>1439</v>
      </c>
      <c r="CB960" t="s">
        <v>227</v>
      </c>
      <c r="CC960" t="s">
        <v>1440</v>
      </c>
      <c r="CD960">
        <v>98100</v>
      </c>
      <c r="CE960">
        <v>1</v>
      </c>
      <c r="CF960" t="s">
        <v>635</v>
      </c>
      <c r="CG960">
        <v>2546486</v>
      </c>
      <c r="CH960">
        <v>3.9999999105930328E-2</v>
      </c>
      <c r="CI960">
        <v>101900</v>
      </c>
      <c r="CJ960">
        <v>2546486</v>
      </c>
      <c r="CK960">
        <v>1.9999999552965164E-2</v>
      </c>
      <c r="CL960">
        <v>51000</v>
      </c>
      <c r="CM960">
        <v>2.9999999329447746E-2</v>
      </c>
      <c r="CN960">
        <v>76400</v>
      </c>
      <c r="CO960">
        <v>0</v>
      </c>
      <c r="CP960">
        <v>0</v>
      </c>
      <c r="CQ960">
        <v>0</v>
      </c>
      <c r="CR960">
        <v>0</v>
      </c>
      <c r="CS960" t="s">
        <v>32</v>
      </c>
      <c r="CT960" t="s">
        <v>142</v>
      </c>
      <c r="CU960" t="s">
        <v>1442</v>
      </c>
    </row>
    <row r="961" spans="1:99">
      <c r="A961" t="s">
        <v>3047</v>
      </c>
      <c r="B961" t="s">
        <v>34</v>
      </c>
      <c r="C961" t="s">
        <v>2317</v>
      </c>
      <c r="D961" t="s">
        <v>2318</v>
      </c>
      <c r="E961" t="s">
        <v>2250</v>
      </c>
      <c r="F961" t="s">
        <v>1628</v>
      </c>
      <c r="G961" t="s">
        <v>2319</v>
      </c>
      <c r="H961" t="s">
        <v>1558</v>
      </c>
      <c r="I961" t="s">
        <v>240</v>
      </c>
      <c r="J961" t="s">
        <v>46</v>
      </c>
      <c r="K961" t="s">
        <v>29</v>
      </c>
      <c r="L961" t="s">
        <v>82</v>
      </c>
      <c r="M961">
        <v>116</v>
      </c>
      <c r="N961" t="s">
        <v>32</v>
      </c>
      <c r="O961" t="s">
        <v>32</v>
      </c>
      <c r="Q961" t="s">
        <v>32</v>
      </c>
      <c r="S961" t="s">
        <v>32</v>
      </c>
      <c r="U961" t="s">
        <v>32</v>
      </c>
      <c r="V961" t="s">
        <v>32</v>
      </c>
      <c r="W961" t="s">
        <v>32</v>
      </c>
      <c r="X961" t="s">
        <v>32</v>
      </c>
      <c r="Y961" t="s">
        <v>32</v>
      </c>
      <c r="AA961" t="s">
        <v>88</v>
      </c>
      <c r="AB961" t="s">
        <v>32</v>
      </c>
      <c r="AE961" t="s">
        <v>32</v>
      </c>
      <c r="AH961" t="s">
        <v>32</v>
      </c>
      <c r="AK961" t="s">
        <v>32</v>
      </c>
      <c r="AN961" t="s">
        <v>32</v>
      </c>
      <c r="AO961" t="s">
        <v>32</v>
      </c>
      <c r="AR961">
        <v>0</v>
      </c>
      <c r="AU961" t="s">
        <v>32</v>
      </c>
      <c r="AV961">
        <v>2074908</v>
      </c>
      <c r="AW961" t="s">
        <v>32</v>
      </c>
      <c r="AX961" t="s">
        <v>32</v>
      </c>
      <c r="AY961" t="s">
        <v>25</v>
      </c>
      <c r="AZ961">
        <v>0</v>
      </c>
      <c r="BA961">
        <v>0</v>
      </c>
      <c r="BB961">
        <v>0</v>
      </c>
      <c r="BC961">
        <v>0</v>
      </c>
      <c r="BD961" t="s">
        <v>31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 t="s">
        <v>25</v>
      </c>
      <c r="BL961" t="s">
        <v>1010</v>
      </c>
      <c r="BM961">
        <v>30</v>
      </c>
      <c r="BN961">
        <v>2678078</v>
      </c>
      <c r="BO961">
        <v>3.9999999105930328E-2</v>
      </c>
      <c r="BP961">
        <v>107200</v>
      </c>
      <c r="BQ961">
        <v>0</v>
      </c>
      <c r="BS961">
        <v>0</v>
      </c>
      <c r="BU961">
        <v>0</v>
      </c>
      <c r="BV961" t="s">
        <v>25</v>
      </c>
      <c r="BW961" t="s">
        <v>189</v>
      </c>
      <c r="BX961">
        <v>30</v>
      </c>
      <c r="BY961">
        <v>2678078</v>
      </c>
      <c r="BZ961">
        <v>6.9600000977516174E-2</v>
      </c>
      <c r="CA961" t="s">
        <v>1439</v>
      </c>
      <c r="CB961" t="s">
        <v>227</v>
      </c>
      <c r="CC961" t="s">
        <v>1440</v>
      </c>
      <c r="CD961">
        <v>186400</v>
      </c>
      <c r="CE961">
        <v>30</v>
      </c>
      <c r="CF961" t="s">
        <v>635</v>
      </c>
      <c r="CG961">
        <v>2678078</v>
      </c>
      <c r="CH961">
        <v>3.9999999105930328E-2</v>
      </c>
      <c r="CI961">
        <v>107200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 t="s">
        <v>88</v>
      </c>
      <c r="CT961" t="s">
        <v>142</v>
      </c>
      <c r="CU961" t="s">
        <v>1442</v>
      </c>
    </row>
    <row r="962" spans="1:99">
      <c r="A962" t="s">
        <v>3047</v>
      </c>
      <c r="B962" t="s">
        <v>34</v>
      </c>
      <c r="C962" t="s">
        <v>2324</v>
      </c>
      <c r="D962" t="s">
        <v>2325</v>
      </c>
      <c r="E962" t="s">
        <v>510</v>
      </c>
      <c r="F962" t="s">
        <v>449</v>
      </c>
      <c r="G962" t="s">
        <v>2326</v>
      </c>
      <c r="H962" t="s">
        <v>1543</v>
      </c>
      <c r="I962" t="s">
        <v>240</v>
      </c>
      <c r="J962" t="s">
        <v>46</v>
      </c>
      <c r="K962" t="s">
        <v>29</v>
      </c>
      <c r="L962" t="s">
        <v>30</v>
      </c>
      <c r="M962">
        <v>220</v>
      </c>
      <c r="N962" t="s">
        <v>32</v>
      </c>
      <c r="O962" t="s">
        <v>32</v>
      </c>
      <c r="Q962" t="s">
        <v>32</v>
      </c>
      <c r="S962" t="s">
        <v>32</v>
      </c>
      <c r="U962" t="s">
        <v>32</v>
      </c>
      <c r="V962" t="s">
        <v>32</v>
      </c>
      <c r="W962" t="s">
        <v>32</v>
      </c>
      <c r="X962" t="s">
        <v>32</v>
      </c>
      <c r="Y962" t="s">
        <v>32</v>
      </c>
      <c r="AA962" t="s">
        <v>88</v>
      </c>
      <c r="AB962" t="s">
        <v>32</v>
      </c>
      <c r="AE962" t="s">
        <v>32</v>
      </c>
      <c r="AH962" t="s">
        <v>32</v>
      </c>
      <c r="AK962" t="s">
        <v>32</v>
      </c>
      <c r="AN962" t="s">
        <v>32</v>
      </c>
      <c r="AO962" t="s">
        <v>32</v>
      </c>
      <c r="AR962">
        <v>0</v>
      </c>
      <c r="AU962" t="s">
        <v>32</v>
      </c>
      <c r="AV962">
        <v>2891569</v>
      </c>
      <c r="AW962" t="s">
        <v>32</v>
      </c>
      <c r="AX962" t="s">
        <v>32</v>
      </c>
      <c r="AY962" t="s">
        <v>185</v>
      </c>
      <c r="AZ962">
        <v>30</v>
      </c>
      <c r="BA962">
        <v>4143533</v>
      </c>
      <c r="BB962">
        <v>0.15999999642372131</v>
      </c>
      <c r="BC962">
        <v>663000</v>
      </c>
      <c r="BD962" t="s">
        <v>31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663000</v>
      </c>
      <c r="BK962" t="s">
        <v>25</v>
      </c>
      <c r="BL962" t="s">
        <v>1064</v>
      </c>
      <c r="BM962">
        <v>30</v>
      </c>
      <c r="BN962">
        <v>4143533</v>
      </c>
      <c r="BO962">
        <v>3.9999999105930328E-2</v>
      </c>
      <c r="BP962">
        <v>165800</v>
      </c>
      <c r="BQ962">
        <v>0</v>
      </c>
      <c r="BS962">
        <v>0</v>
      </c>
      <c r="BU962">
        <v>0</v>
      </c>
      <c r="BV962" t="s">
        <v>25</v>
      </c>
      <c r="BW962" t="s">
        <v>189</v>
      </c>
      <c r="BX962">
        <v>30</v>
      </c>
      <c r="BY962">
        <v>4143533</v>
      </c>
      <c r="BZ962">
        <v>6.9600000977516174E-2</v>
      </c>
      <c r="CA962" t="s">
        <v>1439</v>
      </c>
      <c r="CB962" t="s">
        <v>227</v>
      </c>
      <c r="CC962" t="s">
        <v>1440</v>
      </c>
      <c r="CD962">
        <v>288400</v>
      </c>
      <c r="CE962">
        <v>30</v>
      </c>
      <c r="CF962" t="s">
        <v>635</v>
      </c>
      <c r="CG962">
        <v>4143533</v>
      </c>
      <c r="CH962">
        <v>3.9999999105930328E-2</v>
      </c>
      <c r="CI962">
        <v>165800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 t="s">
        <v>88</v>
      </c>
      <c r="CT962" t="s">
        <v>142</v>
      </c>
      <c r="CU962" t="s">
        <v>1442</v>
      </c>
    </row>
    <row r="963" spans="1:99">
      <c r="A963" t="s">
        <v>3047</v>
      </c>
      <c r="B963" t="s">
        <v>34</v>
      </c>
      <c r="C963" t="s">
        <v>2327</v>
      </c>
      <c r="D963" t="s">
        <v>2328</v>
      </c>
      <c r="E963" t="s">
        <v>1487</v>
      </c>
      <c r="F963" t="s">
        <v>2329</v>
      </c>
      <c r="G963" t="s">
        <v>1436</v>
      </c>
      <c r="H963" t="s">
        <v>1761</v>
      </c>
      <c r="I963" t="s">
        <v>240</v>
      </c>
      <c r="J963" t="s">
        <v>46</v>
      </c>
      <c r="K963" t="s">
        <v>29</v>
      </c>
      <c r="L963" t="s">
        <v>30</v>
      </c>
      <c r="M963">
        <v>283</v>
      </c>
      <c r="N963" t="s">
        <v>32</v>
      </c>
      <c r="O963" t="s">
        <v>32</v>
      </c>
      <c r="Q963" t="s">
        <v>32</v>
      </c>
      <c r="S963" t="s">
        <v>40</v>
      </c>
      <c r="T963">
        <v>46081</v>
      </c>
      <c r="U963" t="s">
        <v>32</v>
      </c>
      <c r="V963" t="s">
        <v>32</v>
      </c>
      <c r="W963" t="s">
        <v>32</v>
      </c>
      <c r="X963" t="s">
        <v>32</v>
      </c>
      <c r="Y963" t="s">
        <v>32</v>
      </c>
      <c r="AA963" t="s">
        <v>88</v>
      </c>
      <c r="AB963" t="s">
        <v>32</v>
      </c>
      <c r="AE963" t="s">
        <v>32</v>
      </c>
      <c r="AH963" t="s">
        <v>32</v>
      </c>
      <c r="AK963" t="s">
        <v>32</v>
      </c>
      <c r="AN963" t="s">
        <v>32</v>
      </c>
      <c r="AO963" t="s">
        <v>32</v>
      </c>
      <c r="AR963">
        <v>0</v>
      </c>
      <c r="AU963" t="s">
        <v>32</v>
      </c>
      <c r="AV963">
        <v>1750905</v>
      </c>
      <c r="AW963" t="s">
        <v>32</v>
      </c>
      <c r="AX963" t="s">
        <v>32</v>
      </c>
      <c r="AY963" t="s">
        <v>356</v>
      </c>
      <c r="AZ963">
        <v>30</v>
      </c>
      <c r="BA963">
        <v>2862798</v>
      </c>
      <c r="BB963">
        <v>0.15999999642372131</v>
      </c>
      <c r="BC963">
        <v>458100</v>
      </c>
      <c r="BD963" t="s">
        <v>31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458100</v>
      </c>
      <c r="BK963" t="s">
        <v>25</v>
      </c>
      <c r="BL963" t="s">
        <v>1010</v>
      </c>
      <c r="BM963">
        <v>30</v>
      </c>
      <c r="BN963">
        <v>2862798</v>
      </c>
      <c r="BO963">
        <v>3.9999999105930328E-2</v>
      </c>
      <c r="BP963">
        <v>114600</v>
      </c>
      <c r="BQ963">
        <v>0</v>
      </c>
      <c r="BS963">
        <v>0</v>
      </c>
      <c r="BU963">
        <v>0</v>
      </c>
      <c r="BV963" t="s">
        <v>25</v>
      </c>
      <c r="BW963" t="s">
        <v>189</v>
      </c>
      <c r="BX963">
        <v>30</v>
      </c>
      <c r="BY963">
        <v>2862798</v>
      </c>
      <c r="BZ963">
        <v>6.9600000977516174E-2</v>
      </c>
      <c r="CA963" t="s">
        <v>1439</v>
      </c>
      <c r="CB963" t="s">
        <v>227</v>
      </c>
      <c r="CC963" t="s">
        <v>1440</v>
      </c>
      <c r="CD963">
        <v>199300</v>
      </c>
      <c r="CE963">
        <v>30</v>
      </c>
      <c r="CF963" t="s">
        <v>635</v>
      </c>
      <c r="CG963">
        <v>3834114</v>
      </c>
      <c r="CH963">
        <v>3.9999999105930328E-2</v>
      </c>
      <c r="CI963">
        <v>153400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 t="s">
        <v>88</v>
      </c>
      <c r="CT963" t="s">
        <v>142</v>
      </c>
      <c r="CU963" t="s">
        <v>1442</v>
      </c>
    </row>
    <row r="964" spans="1:99">
      <c r="A964" t="s">
        <v>3047</v>
      </c>
      <c r="B964" t="s">
        <v>34</v>
      </c>
      <c r="C964" t="s">
        <v>2330</v>
      </c>
      <c r="D964" t="s">
        <v>2331</v>
      </c>
      <c r="E964" t="s">
        <v>2332</v>
      </c>
      <c r="F964" t="s">
        <v>1253</v>
      </c>
      <c r="G964" t="s">
        <v>1965</v>
      </c>
      <c r="H964" t="s">
        <v>1793</v>
      </c>
      <c r="I964" t="s">
        <v>240</v>
      </c>
      <c r="J964" t="s">
        <v>46</v>
      </c>
      <c r="K964" t="s">
        <v>29</v>
      </c>
      <c r="L964" t="s">
        <v>30</v>
      </c>
      <c r="M964">
        <v>217</v>
      </c>
      <c r="N964" t="s">
        <v>32</v>
      </c>
      <c r="O964" t="s">
        <v>32</v>
      </c>
      <c r="Q964" t="s">
        <v>32</v>
      </c>
      <c r="S964" t="s">
        <v>32</v>
      </c>
      <c r="U964" t="s">
        <v>32</v>
      </c>
      <c r="V964" t="s">
        <v>32</v>
      </c>
      <c r="W964" t="s">
        <v>32</v>
      </c>
      <c r="X964" t="s">
        <v>32</v>
      </c>
      <c r="Y964" t="s">
        <v>32</v>
      </c>
      <c r="AA964" t="s">
        <v>88</v>
      </c>
      <c r="AB964" t="s">
        <v>32</v>
      </c>
      <c r="AE964" t="s">
        <v>32</v>
      </c>
      <c r="AH964" t="s">
        <v>32</v>
      </c>
      <c r="AK964" t="s">
        <v>32</v>
      </c>
      <c r="AN964" t="s">
        <v>32</v>
      </c>
      <c r="AO964" t="s">
        <v>32</v>
      </c>
      <c r="AR964">
        <v>0</v>
      </c>
      <c r="AU964" t="s">
        <v>32</v>
      </c>
      <c r="AV964">
        <v>2223339</v>
      </c>
      <c r="AW964" t="s">
        <v>32</v>
      </c>
      <c r="AX964" t="s">
        <v>32</v>
      </c>
      <c r="AY964" t="s">
        <v>185</v>
      </c>
      <c r="AZ964">
        <v>30</v>
      </c>
      <c r="BA964">
        <v>2850709</v>
      </c>
      <c r="BB964">
        <v>0.15999999642372131</v>
      </c>
      <c r="BC964">
        <v>456200</v>
      </c>
      <c r="BD964" t="s">
        <v>31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456200</v>
      </c>
      <c r="BK964" t="s">
        <v>25</v>
      </c>
      <c r="BL964" t="s">
        <v>1064</v>
      </c>
      <c r="BM964">
        <v>30</v>
      </c>
      <c r="BN964">
        <v>2850709</v>
      </c>
      <c r="BO964">
        <v>3.9999999105930328E-2</v>
      </c>
      <c r="BP964">
        <v>114100</v>
      </c>
      <c r="BQ964">
        <v>0</v>
      </c>
      <c r="BS964">
        <v>0</v>
      </c>
      <c r="BU964">
        <v>0</v>
      </c>
      <c r="BV964" t="s">
        <v>25</v>
      </c>
      <c r="BW964" t="s">
        <v>189</v>
      </c>
      <c r="BX964">
        <v>30</v>
      </c>
      <c r="BY964">
        <v>2850709</v>
      </c>
      <c r="BZ964">
        <v>6.9600000977516174E-2</v>
      </c>
      <c r="CA964" t="s">
        <v>1439</v>
      </c>
      <c r="CB964" t="s">
        <v>227</v>
      </c>
      <c r="CC964" t="s">
        <v>1440</v>
      </c>
      <c r="CD964">
        <v>198500</v>
      </c>
      <c r="CE964">
        <v>30</v>
      </c>
      <c r="CF964" t="s">
        <v>635</v>
      </c>
      <c r="CG964">
        <v>2850709</v>
      </c>
      <c r="CH964">
        <v>3.9999999105930328E-2</v>
      </c>
      <c r="CI964">
        <v>114100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 t="s">
        <v>88</v>
      </c>
      <c r="CT964" t="s">
        <v>142</v>
      </c>
      <c r="CU964" t="s">
        <v>1442</v>
      </c>
    </row>
    <row r="965" spans="1:99">
      <c r="A965" t="s">
        <v>3047</v>
      </c>
      <c r="B965" t="s">
        <v>34</v>
      </c>
      <c r="C965" t="s">
        <v>2333</v>
      </c>
      <c r="D965" t="s">
        <v>2334</v>
      </c>
      <c r="E965" t="s">
        <v>1913</v>
      </c>
      <c r="F965" t="s">
        <v>2335</v>
      </c>
      <c r="G965" t="s">
        <v>2070</v>
      </c>
      <c r="H965" t="s">
        <v>1558</v>
      </c>
      <c r="I965" t="s">
        <v>240</v>
      </c>
      <c r="J965" t="s">
        <v>46</v>
      </c>
      <c r="K965" t="s">
        <v>29</v>
      </c>
      <c r="L965" t="s">
        <v>30</v>
      </c>
      <c r="M965">
        <v>180</v>
      </c>
      <c r="N965" t="s">
        <v>32</v>
      </c>
      <c r="O965" t="s">
        <v>32</v>
      </c>
      <c r="Q965" t="s">
        <v>32</v>
      </c>
      <c r="S965" t="s">
        <v>32</v>
      </c>
      <c r="U965" t="s">
        <v>32</v>
      </c>
      <c r="V965" t="s">
        <v>32</v>
      </c>
      <c r="W965" t="s">
        <v>32</v>
      </c>
      <c r="X965" t="s">
        <v>32</v>
      </c>
      <c r="Y965" t="s">
        <v>32</v>
      </c>
      <c r="AA965" t="s">
        <v>88</v>
      </c>
      <c r="AB965" t="s">
        <v>32</v>
      </c>
      <c r="AE965" t="s">
        <v>32</v>
      </c>
      <c r="AH965" t="s">
        <v>32</v>
      </c>
      <c r="AK965" t="s">
        <v>32</v>
      </c>
      <c r="AN965" t="s">
        <v>32</v>
      </c>
      <c r="AO965" t="s">
        <v>32</v>
      </c>
      <c r="AR965">
        <v>0</v>
      </c>
      <c r="AU965" t="s">
        <v>32</v>
      </c>
      <c r="AV965">
        <v>4152090</v>
      </c>
      <c r="AW965" t="s">
        <v>32</v>
      </c>
      <c r="AX965" t="s">
        <v>32</v>
      </c>
      <c r="AY965" t="s">
        <v>356</v>
      </c>
      <c r="AZ965">
        <v>30</v>
      </c>
      <c r="BA965">
        <v>4816707</v>
      </c>
      <c r="BB965">
        <v>0.15999999642372131</v>
      </c>
      <c r="BC965">
        <v>770700</v>
      </c>
      <c r="BD965" t="s">
        <v>31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770700</v>
      </c>
      <c r="BK965" t="s">
        <v>25</v>
      </c>
      <c r="BL965" t="s">
        <v>1491</v>
      </c>
      <c r="BM965">
        <v>30</v>
      </c>
      <c r="BN965">
        <v>4816707</v>
      </c>
      <c r="BO965">
        <v>3.9999999105930328E-2</v>
      </c>
      <c r="BP965">
        <v>192700</v>
      </c>
      <c r="BQ965">
        <v>0</v>
      </c>
      <c r="BS965">
        <v>0</v>
      </c>
      <c r="BU965">
        <v>0</v>
      </c>
      <c r="BV965" t="s">
        <v>25</v>
      </c>
      <c r="BW965" t="s">
        <v>189</v>
      </c>
      <c r="BX965">
        <v>30</v>
      </c>
      <c r="BY965">
        <v>4816707</v>
      </c>
      <c r="BZ965">
        <v>6.9600000977516174E-2</v>
      </c>
      <c r="CA965" t="s">
        <v>1439</v>
      </c>
      <c r="CB965" t="s">
        <v>227</v>
      </c>
      <c r="CC965" t="s">
        <v>1440</v>
      </c>
      <c r="CD965">
        <v>335300</v>
      </c>
      <c r="CE965">
        <v>30</v>
      </c>
      <c r="CF965" t="s">
        <v>635</v>
      </c>
      <c r="CG965">
        <v>4152090</v>
      </c>
      <c r="CH965">
        <v>3.9999999105930328E-2</v>
      </c>
      <c r="CI965">
        <v>166100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 t="s">
        <v>88</v>
      </c>
      <c r="CT965" t="s">
        <v>142</v>
      </c>
      <c r="CU965" t="s">
        <v>1442</v>
      </c>
    </row>
    <row r="966" spans="1:99">
      <c r="A966" t="s">
        <v>3047</v>
      </c>
      <c r="B966" t="s">
        <v>34</v>
      </c>
      <c r="C966" t="s">
        <v>2336</v>
      </c>
      <c r="D966" t="s">
        <v>2337</v>
      </c>
      <c r="E966" t="s">
        <v>2338</v>
      </c>
      <c r="F966" t="s">
        <v>2339</v>
      </c>
      <c r="G966" t="s">
        <v>2340</v>
      </c>
      <c r="H966" t="s">
        <v>2341</v>
      </c>
      <c r="I966" t="s">
        <v>240</v>
      </c>
      <c r="J966" t="s">
        <v>46</v>
      </c>
      <c r="K966" t="s">
        <v>29</v>
      </c>
      <c r="L966" t="s">
        <v>30</v>
      </c>
      <c r="M966">
        <v>188</v>
      </c>
      <c r="N966" t="s">
        <v>32</v>
      </c>
      <c r="O966" t="s">
        <v>32</v>
      </c>
      <c r="Q966" t="s">
        <v>32</v>
      </c>
      <c r="S966" t="s">
        <v>32</v>
      </c>
      <c r="U966" t="s">
        <v>32</v>
      </c>
      <c r="V966" t="s">
        <v>32</v>
      </c>
      <c r="W966" t="s">
        <v>32</v>
      </c>
      <c r="X966" t="s">
        <v>32</v>
      </c>
      <c r="Y966" t="s">
        <v>88</v>
      </c>
      <c r="Z966">
        <v>46054</v>
      </c>
      <c r="AA966" t="s">
        <v>88</v>
      </c>
      <c r="AB966" t="s">
        <v>32</v>
      </c>
      <c r="AE966" t="s">
        <v>32</v>
      </c>
      <c r="AH966" t="s">
        <v>32</v>
      </c>
      <c r="AK966" t="s">
        <v>32</v>
      </c>
      <c r="AN966" t="s">
        <v>32</v>
      </c>
      <c r="AO966" t="s">
        <v>32</v>
      </c>
      <c r="AR966">
        <v>0</v>
      </c>
      <c r="AU966" t="s">
        <v>32</v>
      </c>
      <c r="AV966">
        <v>6384779</v>
      </c>
      <c r="AW966" t="s">
        <v>32</v>
      </c>
      <c r="AX966" t="s">
        <v>32</v>
      </c>
      <c r="AY966" t="s">
        <v>317</v>
      </c>
      <c r="AZ966">
        <v>30</v>
      </c>
      <c r="BA966">
        <v>6384779</v>
      </c>
      <c r="BB966">
        <v>0.15999999642372131</v>
      </c>
      <c r="BC966">
        <v>1021600</v>
      </c>
      <c r="BD966" t="s">
        <v>31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1021600</v>
      </c>
      <c r="BK966" t="s">
        <v>25</v>
      </c>
      <c r="BL966" t="s">
        <v>1071</v>
      </c>
      <c r="BM966">
        <v>30</v>
      </c>
      <c r="BN966">
        <v>6384779</v>
      </c>
      <c r="BO966">
        <v>3.9999999105930328E-2</v>
      </c>
      <c r="BP966">
        <v>255400</v>
      </c>
      <c r="BQ966">
        <v>0</v>
      </c>
      <c r="BS966">
        <v>0</v>
      </c>
      <c r="BU966">
        <v>0</v>
      </c>
      <c r="BV966" t="s">
        <v>25</v>
      </c>
      <c r="BW966" t="s">
        <v>189</v>
      </c>
      <c r="BX966">
        <v>30</v>
      </c>
      <c r="BY966">
        <v>6384779</v>
      </c>
      <c r="BZ966">
        <v>6.9600000977516174E-2</v>
      </c>
      <c r="CA966" t="s">
        <v>1439</v>
      </c>
      <c r="CB966" t="s">
        <v>227</v>
      </c>
      <c r="CC966" t="s">
        <v>1440</v>
      </c>
      <c r="CD966">
        <v>444400</v>
      </c>
      <c r="CE966">
        <v>30</v>
      </c>
      <c r="CF966" t="s">
        <v>635</v>
      </c>
      <c r="CG966">
        <v>6384779</v>
      </c>
      <c r="CH966">
        <v>3.9999999105930328E-2</v>
      </c>
      <c r="CI966">
        <v>255400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 t="s">
        <v>88</v>
      </c>
      <c r="CT966" t="s">
        <v>142</v>
      </c>
      <c r="CU966" t="s">
        <v>1442</v>
      </c>
    </row>
    <row r="967" spans="1:99">
      <c r="A967" t="s">
        <v>3047</v>
      </c>
      <c r="B967" t="s">
        <v>34</v>
      </c>
      <c r="C967" t="s">
        <v>2342</v>
      </c>
      <c r="D967" t="s">
        <v>2343</v>
      </c>
      <c r="E967" t="s">
        <v>1634</v>
      </c>
      <c r="F967" t="s">
        <v>2099</v>
      </c>
      <c r="G967" t="s">
        <v>1698</v>
      </c>
      <c r="H967" t="s">
        <v>1468</v>
      </c>
      <c r="I967" t="s">
        <v>240</v>
      </c>
      <c r="J967" t="s">
        <v>46</v>
      </c>
      <c r="K967" t="s">
        <v>29</v>
      </c>
      <c r="L967" t="s">
        <v>30</v>
      </c>
      <c r="M967">
        <v>9</v>
      </c>
      <c r="N967" t="s">
        <v>32</v>
      </c>
      <c r="O967" t="s">
        <v>32</v>
      </c>
      <c r="Q967" t="s">
        <v>40</v>
      </c>
      <c r="R967">
        <v>46080</v>
      </c>
      <c r="S967" t="s">
        <v>32</v>
      </c>
      <c r="U967" t="s">
        <v>32</v>
      </c>
      <c r="V967" t="s">
        <v>32</v>
      </c>
      <c r="W967" t="s">
        <v>32</v>
      </c>
      <c r="X967" t="s">
        <v>32</v>
      </c>
      <c r="Y967" t="s">
        <v>32</v>
      </c>
      <c r="AA967" t="s">
        <v>88</v>
      </c>
      <c r="AB967" t="s">
        <v>32</v>
      </c>
      <c r="AE967" t="s">
        <v>32</v>
      </c>
      <c r="AH967" t="s">
        <v>32</v>
      </c>
      <c r="AK967" t="s">
        <v>32</v>
      </c>
      <c r="AN967" t="s">
        <v>32</v>
      </c>
      <c r="AO967" t="s">
        <v>32</v>
      </c>
      <c r="AR967">
        <v>0</v>
      </c>
      <c r="AU967" t="s">
        <v>32</v>
      </c>
      <c r="AV967">
        <v>1785595</v>
      </c>
      <c r="AW967" t="s">
        <v>32</v>
      </c>
      <c r="AX967" t="s">
        <v>32</v>
      </c>
      <c r="AY967" t="s">
        <v>317</v>
      </c>
      <c r="AZ967">
        <v>4</v>
      </c>
      <c r="BA967">
        <v>238080</v>
      </c>
      <c r="BB967">
        <v>0.15999999642372131</v>
      </c>
      <c r="BC967">
        <v>38100</v>
      </c>
      <c r="BD967" t="s">
        <v>31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38100</v>
      </c>
      <c r="BK967" t="s">
        <v>25</v>
      </c>
      <c r="BL967" t="s">
        <v>1064</v>
      </c>
      <c r="BM967">
        <v>4</v>
      </c>
      <c r="BN967">
        <v>238080</v>
      </c>
      <c r="BO967">
        <v>3.9999999105930328E-2</v>
      </c>
      <c r="BP967">
        <v>9600</v>
      </c>
      <c r="BQ967">
        <v>0</v>
      </c>
      <c r="BS967">
        <v>0</v>
      </c>
      <c r="BU967">
        <v>0</v>
      </c>
      <c r="BV967" t="s">
        <v>25</v>
      </c>
      <c r="BW967" t="s">
        <v>189</v>
      </c>
      <c r="BX967">
        <v>4</v>
      </c>
      <c r="BY967">
        <v>238080</v>
      </c>
      <c r="BZ967">
        <v>6.9600000977516174E-2</v>
      </c>
      <c r="CA967" t="s">
        <v>1439</v>
      </c>
      <c r="CB967" t="s">
        <v>227</v>
      </c>
      <c r="CC967" t="s">
        <v>1440</v>
      </c>
      <c r="CD967">
        <v>16600</v>
      </c>
      <c r="CE967">
        <v>4</v>
      </c>
      <c r="CF967" t="s">
        <v>635</v>
      </c>
      <c r="CG967">
        <v>238080</v>
      </c>
      <c r="CH967">
        <v>3.9999999105930328E-2</v>
      </c>
      <c r="CI967">
        <v>9600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 t="s">
        <v>88</v>
      </c>
      <c r="CT967" t="s">
        <v>142</v>
      </c>
      <c r="CU967" t="s">
        <v>1442</v>
      </c>
    </row>
    <row r="968" spans="1:99">
      <c r="A968" t="s">
        <v>3047</v>
      </c>
      <c r="B968" t="s">
        <v>34</v>
      </c>
      <c r="C968" t="s">
        <v>2344</v>
      </c>
      <c r="D968" t="s">
        <v>2345</v>
      </c>
      <c r="E968" t="s">
        <v>2346</v>
      </c>
      <c r="F968" t="s">
        <v>1942</v>
      </c>
      <c r="G968" t="s">
        <v>1489</v>
      </c>
      <c r="H968" t="s">
        <v>2347</v>
      </c>
      <c r="I968" t="s">
        <v>240</v>
      </c>
      <c r="J968" t="s">
        <v>46</v>
      </c>
      <c r="K968" t="s">
        <v>29</v>
      </c>
      <c r="L968" t="s">
        <v>30</v>
      </c>
      <c r="M968">
        <v>33</v>
      </c>
      <c r="N968" t="s">
        <v>32</v>
      </c>
      <c r="O968" t="s">
        <v>32</v>
      </c>
      <c r="Q968" t="s">
        <v>32</v>
      </c>
      <c r="S968" t="s">
        <v>40</v>
      </c>
      <c r="T968">
        <v>46056</v>
      </c>
      <c r="U968" t="s">
        <v>32</v>
      </c>
      <c r="V968" t="s">
        <v>32</v>
      </c>
      <c r="W968" t="s">
        <v>32</v>
      </c>
      <c r="X968" t="s">
        <v>32</v>
      </c>
      <c r="Y968" t="s">
        <v>32</v>
      </c>
      <c r="AA968" t="s">
        <v>88</v>
      </c>
      <c r="AB968" t="s">
        <v>32</v>
      </c>
      <c r="AE968" t="s">
        <v>32</v>
      </c>
      <c r="AH968" t="s">
        <v>32</v>
      </c>
      <c r="AK968" t="s">
        <v>32</v>
      </c>
      <c r="AN968" t="s">
        <v>32</v>
      </c>
      <c r="AO968" t="s">
        <v>32</v>
      </c>
      <c r="AR968">
        <v>0</v>
      </c>
      <c r="AU968" t="s">
        <v>32</v>
      </c>
      <c r="AV968">
        <v>1785595</v>
      </c>
      <c r="AW968" t="s">
        <v>32</v>
      </c>
      <c r="AX968" t="s">
        <v>32</v>
      </c>
      <c r="AY968" t="s">
        <v>317</v>
      </c>
      <c r="AZ968">
        <v>3</v>
      </c>
      <c r="BA968">
        <v>735908</v>
      </c>
      <c r="BB968">
        <v>0.15999999642372131</v>
      </c>
      <c r="BC968">
        <v>117800</v>
      </c>
      <c r="BD968" t="s">
        <v>31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117800</v>
      </c>
      <c r="BK968" t="s">
        <v>25</v>
      </c>
      <c r="BL968" t="s">
        <v>1064</v>
      </c>
      <c r="BM968">
        <v>3</v>
      </c>
      <c r="BN968">
        <v>735908</v>
      </c>
      <c r="BO968">
        <v>3.9999999105930328E-2</v>
      </c>
      <c r="BP968">
        <v>29500</v>
      </c>
      <c r="BQ968">
        <v>0</v>
      </c>
      <c r="BS968">
        <v>0</v>
      </c>
      <c r="BU968">
        <v>0</v>
      </c>
      <c r="BV968" t="s">
        <v>25</v>
      </c>
      <c r="BW968" t="s">
        <v>189</v>
      </c>
      <c r="BX968">
        <v>3</v>
      </c>
      <c r="BY968">
        <v>735908</v>
      </c>
      <c r="BZ968">
        <v>6.9600000977516174E-2</v>
      </c>
      <c r="CA968" t="s">
        <v>1439</v>
      </c>
      <c r="CB968" t="s">
        <v>227</v>
      </c>
      <c r="CC968" t="s">
        <v>1440</v>
      </c>
      <c r="CD968">
        <v>51300</v>
      </c>
      <c r="CE968">
        <v>3</v>
      </c>
      <c r="CF968" t="s">
        <v>635</v>
      </c>
      <c r="CG968">
        <v>951054</v>
      </c>
      <c r="CH968">
        <v>3.9999999105930328E-2</v>
      </c>
      <c r="CI968">
        <v>38100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 t="s">
        <v>88</v>
      </c>
      <c r="CT968" t="s">
        <v>142</v>
      </c>
      <c r="CU968" t="s">
        <v>1442</v>
      </c>
    </row>
    <row r="969" spans="1:99">
      <c r="A969" t="s">
        <v>3047</v>
      </c>
      <c r="B969" t="s">
        <v>34</v>
      </c>
      <c r="C969" t="s">
        <v>2348</v>
      </c>
      <c r="D969" t="s">
        <v>2349</v>
      </c>
      <c r="E969" t="s">
        <v>849</v>
      </c>
      <c r="F969" t="s">
        <v>2350</v>
      </c>
      <c r="G969" t="s">
        <v>1479</v>
      </c>
      <c r="H969" t="s">
        <v>2351</v>
      </c>
      <c r="I969" t="s">
        <v>240</v>
      </c>
      <c r="J969" t="s">
        <v>46</v>
      </c>
      <c r="K969" t="s">
        <v>29</v>
      </c>
      <c r="L969" t="s">
        <v>30</v>
      </c>
      <c r="M969">
        <v>188</v>
      </c>
      <c r="N969" t="s">
        <v>32</v>
      </c>
      <c r="O969" t="s">
        <v>32</v>
      </c>
      <c r="Q969" t="s">
        <v>32</v>
      </c>
      <c r="S969" t="s">
        <v>32</v>
      </c>
      <c r="U969" t="s">
        <v>32</v>
      </c>
      <c r="V969" t="s">
        <v>32</v>
      </c>
      <c r="W969" t="s">
        <v>32</v>
      </c>
      <c r="X969" t="s">
        <v>32</v>
      </c>
      <c r="Y969" t="s">
        <v>88</v>
      </c>
      <c r="Z969">
        <v>46054</v>
      </c>
      <c r="AA969" t="s">
        <v>88</v>
      </c>
      <c r="AB969" t="s">
        <v>32</v>
      </c>
      <c r="AE969" t="s">
        <v>32</v>
      </c>
      <c r="AH969" t="s">
        <v>32</v>
      </c>
      <c r="AK969" t="s">
        <v>32</v>
      </c>
      <c r="AN969" t="s">
        <v>32</v>
      </c>
      <c r="AO969" t="s">
        <v>32</v>
      </c>
      <c r="AR969">
        <v>0</v>
      </c>
      <c r="AU969" t="s">
        <v>32</v>
      </c>
      <c r="AV969">
        <v>13441322</v>
      </c>
      <c r="AW969" t="s">
        <v>32</v>
      </c>
      <c r="AX969" t="s">
        <v>32</v>
      </c>
      <c r="AY969" t="s">
        <v>185</v>
      </c>
      <c r="AZ969">
        <v>30</v>
      </c>
      <c r="BA969">
        <v>26585710</v>
      </c>
      <c r="BB969">
        <v>0.15999999642372131</v>
      </c>
      <c r="BC969">
        <v>4253800</v>
      </c>
      <c r="BD969" t="s">
        <v>31</v>
      </c>
      <c r="BE969">
        <v>0</v>
      </c>
      <c r="BF969">
        <v>0</v>
      </c>
      <c r="BG969">
        <v>133000</v>
      </c>
      <c r="BH969">
        <v>133000</v>
      </c>
      <c r="BI969">
        <v>0</v>
      </c>
      <c r="BJ969">
        <v>4519800</v>
      </c>
      <c r="BK969" t="s">
        <v>25</v>
      </c>
      <c r="BL969" t="s">
        <v>1071</v>
      </c>
      <c r="BM969">
        <v>30</v>
      </c>
      <c r="BN969">
        <v>26585710</v>
      </c>
      <c r="BO969">
        <v>0.125</v>
      </c>
      <c r="BP969">
        <v>3323300</v>
      </c>
      <c r="BQ969">
        <v>0</v>
      </c>
      <c r="BS969">
        <v>0</v>
      </c>
      <c r="BU969">
        <v>0</v>
      </c>
      <c r="BV969" t="s">
        <v>25</v>
      </c>
      <c r="BW969" t="s">
        <v>189</v>
      </c>
      <c r="BX969">
        <v>30</v>
      </c>
      <c r="BY969">
        <v>26585710</v>
      </c>
      <c r="BZ969">
        <v>6.9600000977516174E-2</v>
      </c>
      <c r="CA969" t="s">
        <v>1439</v>
      </c>
      <c r="CB969" t="s">
        <v>227</v>
      </c>
      <c r="CC969" t="s">
        <v>1440</v>
      </c>
      <c r="CD969">
        <v>1850400</v>
      </c>
      <c r="CE969">
        <v>30</v>
      </c>
      <c r="CF969" t="s">
        <v>635</v>
      </c>
      <c r="CG969">
        <v>13441322</v>
      </c>
      <c r="CH969">
        <v>3.9999999105930328E-2</v>
      </c>
      <c r="CI969">
        <v>537700</v>
      </c>
      <c r="CJ969">
        <v>13441322</v>
      </c>
      <c r="CK969">
        <v>1.9999999552965164E-2</v>
      </c>
      <c r="CL969">
        <v>268900</v>
      </c>
      <c r="CM969">
        <v>2.9999999329447746E-2</v>
      </c>
      <c r="CN969">
        <v>403300</v>
      </c>
      <c r="CO969">
        <v>0</v>
      </c>
      <c r="CP969">
        <v>0</v>
      </c>
      <c r="CQ969">
        <v>0</v>
      </c>
      <c r="CR969">
        <v>0</v>
      </c>
      <c r="CS969" t="s">
        <v>32</v>
      </c>
      <c r="CT969" t="s">
        <v>142</v>
      </c>
      <c r="CU969" t="s">
        <v>1442</v>
      </c>
    </row>
    <row r="970" spans="1:99">
      <c r="A970" t="s">
        <v>3047</v>
      </c>
      <c r="B970" t="s">
        <v>34</v>
      </c>
      <c r="C970" t="s">
        <v>2352</v>
      </c>
      <c r="D970" t="s">
        <v>2353</v>
      </c>
      <c r="E970" t="s">
        <v>1596</v>
      </c>
      <c r="F970" t="s">
        <v>2354</v>
      </c>
      <c r="G970" t="s">
        <v>2355</v>
      </c>
      <c r="H970" t="s">
        <v>2356</v>
      </c>
      <c r="I970" t="s">
        <v>240</v>
      </c>
      <c r="J970" t="s">
        <v>46</v>
      </c>
      <c r="K970" t="s">
        <v>29</v>
      </c>
      <c r="L970" t="s">
        <v>30</v>
      </c>
      <c r="M970">
        <v>188</v>
      </c>
      <c r="N970" t="s">
        <v>32</v>
      </c>
      <c r="O970" t="s">
        <v>32</v>
      </c>
      <c r="Q970" t="s">
        <v>32</v>
      </c>
      <c r="S970" t="s">
        <v>32</v>
      </c>
      <c r="U970" t="s">
        <v>32</v>
      </c>
      <c r="V970" t="s">
        <v>32</v>
      </c>
      <c r="W970" t="s">
        <v>32</v>
      </c>
      <c r="X970" t="s">
        <v>32</v>
      </c>
      <c r="Y970" t="s">
        <v>88</v>
      </c>
      <c r="Z970">
        <v>46054</v>
      </c>
      <c r="AA970" t="s">
        <v>88</v>
      </c>
      <c r="AB970" t="s">
        <v>32</v>
      </c>
      <c r="AE970" t="s">
        <v>32</v>
      </c>
      <c r="AH970" t="s">
        <v>32</v>
      </c>
      <c r="AK970" t="s">
        <v>32</v>
      </c>
      <c r="AN970" t="s">
        <v>32</v>
      </c>
      <c r="AO970" t="s">
        <v>32</v>
      </c>
      <c r="AR970">
        <v>0</v>
      </c>
      <c r="AU970" t="s">
        <v>32</v>
      </c>
      <c r="AV970">
        <v>10231263</v>
      </c>
      <c r="AW970" t="s">
        <v>32</v>
      </c>
      <c r="AX970" t="s">
        <v>88</v>
      </c>
      <c r="AY970" t="s">
        <v>317</v>
      </c>
      <c r="AZ970">
        <v>30</v>
      </c>
      <c r="BA970">
        <v>10231263</v>
      </c>
      <c r="BB970">
        <v>0.15999999642372131</v>
      </c>
      <c r="BC970">
        <v>1637100</v>
      </c>
      <c r="BD970" t="s">
        <v>31</v>
      </c>
      <c r="BE970">
        <v>0</v>
      </c>
      <c r="BF970">
        <v>0</v>
      </c>
      <c r="BG970">
        <v>51200</v>
      </c>
      <c r="BH970">
        <v>51200</v>
      </c>
      <c r="BI970">
        <v>0</v>
      </c>
      <c r="BJ970">
        <v>1739500</v>
      </c>
      <c r="BK970" t="s">
        <v>25</v>
      </c>
      <c r="BL970" t="s">
        <v>1071</v>
      </c>
      <c r="BM970">
        <v>30</v>
      </c>
      <c r="BN970">
        <v>10231263</v>
      </c>
      <c r="BO970">
        <v>3.9999999105930328E-2</v>
      </c>
      <c r="BP970">
        <v>409300</v>
      </c>
      <c r="BQ970">
        <v>0</v>
      </c>
      <c r="BS970">
        <v>0</v>
      </c>
      <c r="BU970">
        <v>0</v>
      </c>
      <c r="BV970" t="s">
        <v>25</v>
      </c>
      <c r="BW970" t="s">
        <v>189</v>
      </c>
      <c r="BX970">
        <v>30</v>
      </c>
      <c r="BY970">
        <v>10231263</v>
      </c>
      <c r="BZ970">
        <v>6.9600000977516174E-2</v>
      </c>
      <c r="CA970" t="s">
        <v>1439</v>
      </c>
      <c r="CB970" t="s">
        <v>227</v>
      </c>
      <c r="CC970" t="s">
        <v>1440</v>
      </c>
      <c r="CD970">
        <v>712100</v>
      </c>
      <c r="CE970">
        <v>30</v>
      </c>
      <c r="CF970" t="s">
        <v>635</v>
      </c>
      <c r="CG970">
        <v>10231263</v>
      </c>
      <c r="CH970">
        <v>3.9999999105930328E-2</v>
      </c>
      <c r="CI970">
        <v>409300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 t="s">
        <v>88</v>
      </c>
      <c r="CT970" t="s">
        <v>142</v>
      </c>
      <c r="CU970" t="s">
        <v>1442</v>
      </c>
    </row>
    <row r="971" spans="1:99">
      <c r="A971" t="s">
        <v>3047</v>
      </c>
      <c r="B971" t="s">
        <v>34</v>
      </c>
      <c r="C971" t="s">
        <v>2357</v>
      </c>
      <c r="D971" t="s">
        <v>2358</v>
      </c>
      <c r="E971" t="s">
        <v>1530</v>
      </c>
      <c r="F971" t="s">
        <v>2359</v>
      </c>
      <c r="G971" t="s">
        <v>2083</v>
      </c>
      <c r="H971" t="s">
        <v>1850</v>
      </c>
      <c r="I971" t="s">
        <v>682</v>
      </c>
      <c r="J971" t="s">
        <v>484</v>
      </c>
      <c r="K971" t="s">
        <v>29</v>
      </c>
      <c r="L971" t="s">
        <v>30</v>
      </c>
      <c r="M971">
        <v>0</v>
      </c>
      <c r="N971" t="s">
        <v>32</v>
      </c>
      <c r="O971" t="s">
        <v>32</v>
      </c>
      <c r="Q971" t="s">
        <v>32</v>
      </c>
      <c r="S971" t="s">
        <v>32</v>
      </c>
      <c r="U971" t="s">
        <v>32</v>
      </c>
      <c r="V971" t="s">
        <v>32</v>
      </c>
      <c r="W971" t="s">
        <v>32</v>
      </c>
      <c r="X971" t="s">
        <v>32</v>
      </c>
      <c r="Y971" t="s">
        <v>32</v>
      </c>
      <c r="AA971" t="s">
        <v>32</v>
      </c>
      <c r="AB971" t="s">
        <v>37</v>
      </c>
      <c r="AC971">
        <v>46054</v>
      </c>
      <c r="AD971">
        <v>46054</v>
      </c>
      <c r="AE971" t="s">
        <v>32</v>
      </c>
      <c r="AH971" t="s">
        <v>32</v>
      </c>
      <c r="AK971" t="s">
        <v>32</v>
      </c>
      <c r="AN971" t="s">
        <v>32</v>
      </c>
      <c r="AO971" t="s">
        <v>32</v>
      </c>
      <c r="AR971">
        <v>0</v>
      </c>
      <c r="AU971" t="s">
        <v>32</v>
      </c>
      <c r="AV971">
        <v>1750905</v>
      </c>
      <c r="AW971" t="s">
        <v>32</v>
      </c>
      <c r="AX971" t="s">
        <v>32</v>
      </c>
      <c r="AY971" t="s">
        <v>317</v>
      </c>
      <c r="AZ971">
        <v>1</v>
      </c>
      <c r="BA971">
        <v>58364</v>
      </c>
      <c r="BB971">
        <v>0.15999999642372131</v>
      </c>
      <c r="BC971">
        <v>9400</v>
      </c>
      <c r="BD971" t="s">
        <v>31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9400</v>
      </c>
      <c r="BK971" t="s">
        <v>25</v>
      </c>
      <c r="BL971" t="s">
        <v>748</v>
      </c>
      <c r="BM971">
        <v>1</v>
      </c>
      <c r="BN971">
        <v>58364</v>
      </c>
      <c r="BO971">
        <v>0</v>
      </c>
      <c r="BP971">
        <v>0</v>
      </c>
      <c r="BQ971">
        <v>0</v>
      </c>
      <c r="BS971">
        <v>0</v>
      </c>
      <c r="BU971">
        <v>0</v>
      </c>
      <c r="BV971" t="s">
        <v>25</v>
      </c>
      <c r="BW971" t="s">
        <v>189</v>
      </c>
      <c r="BX971">
        <v>1</v>
      </c>
      <c r="BY971">
        <v>58364</v>
      </c>
      <c r="BZ971">
        <v>0</v>
      </c>
      <c r="CA971" t="s">
        <v>1439</v>
      </c>
      <c r="CB971" t="s">
        <v>312</v>
      </c>
      <c r="CC971" t="s">
        <v>1440</v>
      </c>
      <c r="CD971">
        <v>0</v>
      </c>
      <c r="CE971">
        <v>1</v>
      </c>
      <c r="CF971" t="s">
        <v>466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 t="s">
        <v>88</v>
      </c>
      <c r="CT971" t="s">
        <v>142</v>
      </c>
      <c r="CU971" t="s">
        <v>1442</v>
      </c>
    </row>
    <row r="972" spans="1:99">
      <c r="A972" t="s">
        <v>3047</v>
      </c>
      <c r="B972" t="s">
        <v>34</v>
      </c>
      <c r="C972" t="s">
        <v>2357</v>
      </c>
      <c r="D972" t="s">
        <v>2358</v>
      </c>
      <c r="E972" t="s">
        <v>1530</v>
      </c>
      <c r="F972" t="s">
        <v>2359</v>
      </c>
      <c r="G972" t="s">
        <v>2083</v>
      </c>
      <c r="H972" t="s">
        <v>1850</v>
      </c>
      <c r="I972" t="s">
        <v>682</v>
      </c>
      <c r="J972" t="s">
        <v>484</v>
      </c>
      <c r="K972" t="s">
        <v>29</v>
      </c>
      <c r="L972" t="s">
        <v>30</v>
      </c>
      <c r="M972">
        <v>0</v>
      </c>
      <c r="N972" t="s">
        <v>32</v>
      </c>
      <c r="O972" t="s">
        <v>32</v>
      </c>
      <c r="Q972" t="s">
        <v>32</v>
      </c>
      <c r="S972" t="s">
        <v>32</v>
      </c>
      <c r="U972" t="s">
        <v>32</v>
      </c>
      <c r="V972" t="s">
        <v>32</v>
      </c>
      <c r="W972" t="s">
        <v>32</v>
      </c>
      <c r="X972" t="s">
        <v>32</v>
      </c>
      <c r="Y972" t="s">
        <v>32</v>
      </c>
      <c r="AA972" t="s">
        <v>32</v>
      </c>
      <c r="AB972" t="s">
        <v>37</v>
      </c>
      <c r="AC972">
        <v>46069</v>
      </c>
      <c r="AD972">
        <v>46069</v>
      </c>
      <c r="AE972" t="s">
        <v>32</v>
      </c>
      <c r="AH972" t="s">
        <v>32</v>
      </c>
      <c r="AK972" t="s">
        <v>32</v>
      </c>
      <c r="AN972" t="s">
        <v>32</v>
      </c>
      <c r="AO972" t="s">
        <v>32</v>
      </c>
      <c r="AR972">
        <v>0</v>
      </c>
      <c r="AU972" t="s">
        <v>32</v>
      </c>
      <c r="AV972">
        <v>1750905</v>
      </c>
      <c r="AW972" t="s">
        <v>32</v>
      </c>
      <c r="AX972" t="s">
        <v>32</v>
      </c>
      <c r="AY972" t="s">
        <v>317</v>
      </c>
      <c r="AZ972">
        <v>1</v>
      </c>
      <c r="BA972">
        <v>58364</v>
      </c>
      <c r="BB972">
        <v>0.15999999642372131</v>
      </c>
      <c r="BC972">
        <v>9400</v>
      </c>
      <c r="BD972" t="s">
        <v>31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9400</v>
      </c>
      <c r="BK972" t="s">
        <v>25</v>
      </c>
      <c r="BL972" t="s">
        <v>748</v>
      </c>
      <c r="BM972">
        <v>1</v>
      </c>
      <c r="BN972">
        <v>58364</v>
      </c>
      <c r="BO972">
        <v>0</v>
      </c>
      <c r="BP972">
        <v>0</v>
      </c>
      <c r="BQ972">
        <v>0</v>
      </c>
      <c r="BS972">
        <v>0</v>
      </c>
      <c r="BU972">
        <v>0</v>
      </c>
      <c r="BV972" t="s">
        <v>25</v>
      </c>
      <c r="BW972" t="s">
        <v>189</v>
      </c>
      <c r="BX972">
        <v>1</v>
      </c>
      <c r="BY972">
        <v>58364</v>
      </c>
      <c r="BZ972">
        <v>0</v>
      </c>
      <c r="CA972" t="s">
        <v>1439</v>
      </c>
      <c r="CB972" t="s">
        <v>312</v>
      </c>
      <c r="CC972" t="s">
        <v>1440</v>
      </c>
      <c r="CD972">
        <v>0</v>
      </c>
      <c r="CE972">
        <v>1</v>
      </c>
      <c r="CF972" t="s">
        <v>466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 t="s">
        <v>88</v>
      </c>
      <c r="CT972" t="s">
        <v>142</v>
      </c>
      <c r="CU972" t="s">
        <v>1442</v>
      </c>
    </row>
    <row r="973" spans="1:99">
      <c r="A973" t="s">
        <v>3047</v>
      </c>
      <c r="B973" t="s">
        <v>34</v>
      </c>
      <c r="C973" t="s">
        <v>2357</v>
      </c>
      <c r="D973" t="s">
        <v>2358</v>
      </c>
      <c r="E973" t="s">
        <v>1530</v>
      </c>
      <c r="F973" t="s">
        <v>2359</v>
      </c>
      <c r="G973" t="s">
        <v>2083</v>
      </c>
      <c r="H973" t="s">
        <v>1850</v>
      </c>
      <c r="I973" t="s">
        <v>682</v>
      </c>
      <c r="J973" t="s">
        <v>484</v>
      </c>
      <c r="K973" t="s">
        <v>29</v>
      </c>
      <c r="L973" t="s">
        <v>30</v>
      </c>
      <c r="M973">
        <v>194</v>
      </c>
      <c r="N973" t="s">
        <v>32</v>
      </c>
      <c r="O973" t="s">
        <v>32</v>
      </c>
      <c r="Q973" t="s">
        <v>32</v>
      </c>
      <c r="S973" t="s">
        <v>32</v>
      </c>
      <c r="U973" t="s">
        <v>32</v>
      </c>
      <c r="V973" t="s">
        <v>32</v>
      </c>
      <c r="W973" t="s">
        <v>32</v>
      </c>
      <c r="X973" t="s">
        <v>32</v>
      </c>
      <c r="Y973" t="s">
        <v>32</v>
      </c>
      <c r="AA973" t="s">
        <v>88</v>
      </c>
      <c r="AB973" t="s">
        <v>32</v>
      </c>
      <c r="AE973" t="s">
        <v>32</v>
      </c>
      <c r="AH973" t="s">
        <v>32</v>
      </c>
      <c r="AK973" t="s">
        <v>32</v>
      </c>
      <c r="AN973" t="s">
        <v>32</v>
      </c>
      <c r="AO973" t="s">
        <v>32</v>
      </c>
      <c r="AR973">
        <v>0</v>
      </c>
      <c r="AU973" t="s">
        <v>32</v>
      </c>
      <c r="AV973">
        <v>1750905</v>
      </c>
      <c r="AW973" t="s">
        <v>32</v>
      </c>
      <c r="AX973" t="s">
        <v>32</v>
      </c>
      <c r="AY973" t="s">
        <v>317</v>
      </c>
      <c r="AZ973">
        <v>28</v>
      </c>
      <c r="BA973">
        <v>1898006</v>
      </c>
      <c r="BB973">
        <v>0.15999999642372131</v>
      </c>
      <c r="BC973">
        <v>303700</v>
      </c>
      <c r="BD973" t="s">
        <v>31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303700</v>
      </c>
      <c r="BK973" t="s">
        <v>25</v>
      </c>
      <c r="BL973" t="s">
        <v>748</v>
      </c>
      <c r="BM973">
        <v>28</v>
      </c>
      <c r="BN973">
        <v>1898006</v>
      </c>
      <c r="BO973">
        <v>3.9999999105930328E-2</v>
      </c>
      <c r="BP973">
        <v>76000</v>
      </c>
      <c r="BQ973">
        <v>0</v>
      </c>
      <c r="BS973">
        <v>0</v>
      </c>
      <c r="BU973">
        <v>0</v>
      </c>
      <c r="BV973" t="s">
        <v>25</v>
      </c>
      <c r="BW973" t="s">
        <v>189</v>
      </c>
      <c r="BX973">
        <v>28</v>
      </c>
      <c r="BY973">
        <v>1898006</v>
      </c>
      <c r="BZ973">
        <v>6.9600000977516174E-2</v>
      </c>
      <c r="CA973" t="s">
        <v>1439</v>
      </c>
      <c r="CB973" t="s">
        <v>312</v>
      </c>
      <c r="CC973" t="s">
        <v>1440</v>
      </c>
      <c r="CD973">
        <v>132200</v>
      </c>
      <c r="CE973">
        <v>28</v>
      </c>
      <c r="CF973" t="s">
        <v>466</v>
      </c>
      <c r="CG973">
        <v>1898007</v>
      </c>
      <c r="CH973">
        <v>3.9999999105930328E-2</v>
      </c>
      <c r="CI973">
        <v>76000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 t="s">
        <v>88</v>
      </c>
      <c r="CT973" t="s">
        <v>142</v>
      </c>
      <c r="CU973" t="s">
        <v>1442</v>
      </c>
    </row>
    <row r="974" spans="1:99">
      <c r="A974" t="s">
        <v>3047</v>
      </c>
      <c r="B974" t="s">
        <v>34</v>
      </c>
      <c r="C974" t="s">
        <v>2360</v>
      </c>
      <c r="D974" t="s">
        <v>2361</v>
      </c>
      <c r="E974" t="s">
        <v>2359</v>
      </c>
      <c r="F974" t="s">
        <v>2359</v>
      </c>
      <c r="G974" t="s">
        <v>1489</v>
      </c>
      <c r="H974" t="s">
        <v>2247</v>
      </c>
      <c r="I974" t="s">
        <v>682</v>
      </c>
      <c r="J974" t="s">
        <v>484</v>
      </c>
      <c r="K974" t="s">
        <v>29</v>
      </c>
      <c r="L974" t="s">
        <v>30</v>
      </c>
      <c r="M974">
        <v>215</v>
      </c>
      <c r="N974" t="s">
        <v>32</v>
      </c>
      <c r="O974" t="s">
        <v>32</v>
      </c>
      <c r="Q974" t="s">
        <v>32</v>
      </c>
      <c r="S974" t="s">
        <v>32</v>
      </c>
      <c r="U974" t="s">
        <v>32</v>
      </c>
      <c r="V974" t="s">
        <v>32</v>
      </c>
      <c r="W974" t="s">
        <v>32</v>
      </c>
      <c r="X974" t="s">
        <v>32</v>
      </c>
      <c r="Y974" t="s">
        <v>32</v>
      </c>
      <c r="AA974" t="s">
        <v>88</v>
      </c>
      <c r="AB974" t="s">
        <v>32</v>
      </c>
      <c r="AE974" t="s">
        <v>32</v>
      </c>
      <c r="AH974" t="s">
        <v>32</v>
      </c>
      <c r="AK974" t="s">
        <v>32</v>
      </c>
      <c r="AN974" t="s">
        <v>32</v>
      </c>
      <c r="AO974" t="s">
        <v>32</v>
      </c>
      <c r="AR974">
        <v>0</v>
      </c>
      <c r="AU974" t="s">
        <v>32</v>
      </c>
      <c r="AV974">
        <v>1750905</v>
      </c>
      <c r="AW974" t="s">
        <v>32</v>
      </c>
      <c r="AX974" t="s">
        <v>32</v>
      </c>
      <c r="AY974" t="s">
        <v>317</v>
      </c>
      <c r="AZ974">
        <v>30</v>
      </c>
      <c r="BA974">
        <v>2169134</v>
      </c>
      <c r="BB974">
        <v>0.15999999642372131</v>
      </c>
      <c r="BC974">
        <v>347100</v>
      </c>
      <c r="BD974" t="s">
        <v>31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347100</v>
      </c>
      <c r="BK974" t="s">
        <v>25</v>
      </c>
      <c r="BL974" t="s">
        <v>748</v>
      </c>
      <c r="BM974">
        <v>30</v>
      </c>
      <c r="BN974">
        <v>2169134</v>
      </c>
      <c r="BO974">
        <v>3.9999999105930328E-2</v>
      </c>
      <c r="BP974">
        <v>86800</v>
      </c>
      <c r="BQ974">
        <v>0</v>
      </c>
      <c r="BS974">
        <v>0</v>
      </c>
      <c r="BU974">
        <v>0</v>
      </c>
      <c r="BV974" t="s">
        <v>25</v>
      </c>
      <c r="BW974" t="s">
        <v>189</v>
      </c>
      <c r="BX974">
        <v>30</v>
      </c>
      <c r="BY974">
        <v>2169134</v>
      </c>
      <c r="BZ974">
        <v>6.9600000977516174E-2</v>
      </c>
      <c r="CA974" t="s">
        <v>1439</v>
      </c>
      <c r="CB974" t="s">
        <v>312</v>
      </c>
      <c r="CC974" t="s">
        <v>1440</v>
      </c>
      <c r="CD974">
        <v>151000</v>
      </c>
      <c r="CE974">
        <v>30</v>
      </c>
      <c r="CF974" t="s">
        <v>466</v>
      </c>
      <c r="CG974">
        <v>2169134</v>
      </c>
      <c r="CH974">
        <v>3.9999999105930328E-2</v>
      </c>
      <c r="CI974">
        <v>86800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 t="s">
        <v>88</v>
      </c>
      <c r="CT974" t="s">
        <v>142</v>
      </c>
      <c r="CU974" t="s">
        <v>1442</v>
      </c>
    </row>
    <row r="975" spans="1:99">
      <c r="A975" t="s">
        <v>3047</v>
      </c>
      <c r="B975" t="s">
        <v>34</v>
      </c>
      <c r="C975" t="s">
        <v>2362</v>
      </c>
      <c r="D975" t="s">
        <v>2363</v>
      </c>
      <c r="E975" t="s">
        <v>2102</v>
      </c>
      <c r="F975" t="s">
        <v>1540</v>
      </c>
      <c r="G975" t="s">
        <v>1478</v>
      </c>
      <c r="H975" t="s">
        <v>2364</v>
      </c>
      <c r="I975" t="s">
        <v>682</v>
      </c>
      <c r="J975" t="s">
        <v>484</v>
      </c>
      <c r="K975" t="s">
        <v>29</v>
      </c>
      <c r="L975" t="s">
        <v>30</v>
      </c>
      <c r="M975">
        <v>205</v>
      </c>
      <c r="N975" t="s">
        <v>32</v>
      </c>
      <c r="O975" t="s">
        <v>32</v>
      </c>
      <c r="Q975" t="s">
        <v>32</v>
      </c>
      <c r="S975" t="s">
        <v>32</v>
      </c>
      <c r="U975" t="s">
        <v>32</v>
      </c>
      <c r="V975" t="s">
        <v>32</v>
      </c>
      <c r="W975" t="s">
        <v>32</v>
      </c>
      <c r="X975" t="s">
        <v>32</v>
      </c>
      <c r="Y975" t="s">
        <v>32</v>
      </c>
      <c r="AA975" t="s">
        <v>88</v>
      </c>
      <c r="AB975" t="s">
        <v>32</v>
      </c>
      <c r="AE975" t="s">
        <v>32</v>
      </c>
      <c r="AH975" t="s">
        <v>32</v>
      </c>
      <c r="AK975" t="s">
        <v>32</v>
      </c>
      <c r="AN975" t="s">
        <v>32</v>
      </c>
      <c r="AO975" t="s">
        <v>32</v>
      </c>
      <c r="AR975">
        <v>0</v>
      </c>
      <c r="AU975" t="s">
        <v>32</v>
      </c>
      <c r="AV975">
        <v>1750905</v>
      </c>
      <c r="AW975" t="s">
        <v>32</v>
      </c>
      <c r="AX975" t="s">
        <v>32</v>
      </c>
      <c r="AY975" t="s">
        <v>317</v>
      </c>
      <c r="AZ975">
        <v>30</v>
      </c>
      <c r="BA975">
        <v>2034633</v>
      </c>
      <c r="BB975">
        <v>0.15999999642372131</v>
      </c>
      <c r="BC975">
        <v>325600</v>
      </c>
      <c r="BD975" t="s">
        <v>31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325600</v>
      </c>
      <c r="BK975" t="s">
        <v>25</v>
      </c>
      <c r="BL975" t="s">
        <v>748</v>
      </c>
      <c r="BM975">
        <v>30</v>
      </c>
      <c r="BN975">
        <v>2034633</v>
      </c>
      <c r="BO975">
        <v>3.9999999105930328E-2</v>
      </c>
      <c r="BP975">
        <v>81400</v>
      </c>
      <c r="BQ975">
        <v>0</v>
      </c>
      <c r="BS975">
        <v>0</v>
      </c>
      <c r="BU975">
        <v>0</v>
      </c>
      <c r="BV975" t="s">
        <v>25</v>
      </c>
      <c r="BW975" t="s">
        <v>189</v>
      </c>
      <c r="BX975">
        <v>30</v>
      </c>
      <c r="BY975">
        <v>2034633</v>
      </c>
      <c r="BZ975">
        <v>6.9600000977516174E-2</v>
      </c>
      <c r="CA975" t="s">
        <v>1439</v>
      </c>
      <c r="CB975" t="s">
        <v>312</v>
      </c>
      <c r="CC975" t="s">
        <v>1440</v>
      </c>
      <c r="CD975">
        <v>141700</v>
      </c>
      <c r="CE975">
        <v>30</v>
      </c>
      <c r="CF975" t="s">
        <v>466</v>
      </c>
      <c r="CG975">
        <v>2034633</v>
      </c>
      <c r="CH975">
        <v>3.9999999105930328E-2</v>
      </c>
      <c r="CI975">
        <v>81400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 t="s">
        <v>88</v>
      </c>
      <c r="CT975" t="s">
        <v>142</v>
      </c>
      <c r="CU975" t="s">
        <v>1442</v>
      </c>
    </row>
    <row r="976" spans="1:99">
      <c r="A976" t="s">
        <v>3047</v>
      </c>
      <c r="B976" t="s">
        <v>34</v>
      </c>
      <c r="C976" t="s">
        <v>2365</v>
      </c>
      <c r="D976" t="s">
        <v>2366</v>
      </c>
      <c r="E976" t="s">
        <v>2250</v>
      </c>
      <c r="F976" t="s">
        <v>2186</v>
      </c>
      <c r="G976" t="s">
        <v>455</v>
      </c>
      <c r="H976" t="s">
        <v>1558</v>
      </c>
      <c r="I976" t="s">
        <v>682</v>
      </c>
      <c r="J976" t="s">
        <v>484</v>
      </c>
      <c r="K976" t="s">
        <v>29</v>
      </c>
      <c r="L976" t="s">
        <v>30</v>
      </c>
      <c r="M976">
        <v>200</v>
      </c>
      <c r="N976" t="s">
        <v>32</v>
      </c>
      <c r="O976" t="s">
        <v>32</v>
      </c>
      <c r="Q976" t="s">
        <v>32</v>
      </c>
      <c r="S976" t="s">
        <v>40</v>
      </c>
      <c r="T976">
        <v>46079</v>
      </c>
      <c r="U976" t="s">
        <v>32</v>
      </c>
      <c r="V976" t="s">
        <v>32</v>
      </c>
      <c r="W976" t="s">
        <v>32</v>
      </c>
      <c r="X976" t="s">
        <v>32</v>
      </c>
      <c r="Y976" t="s">
        <v>32</v>
      </c>
      <c r="AA976" t="s">
        <v>88</v>
      </c>
      <c r="AB976" t="s">
        <v>32</v>
      </c>
      <c r="AE976" t="s">
        <v>32</v>
      </c>
      <c r="AH976" t="s">
        <v>32</v>
      </c>
      <c r="AK976" t="s">
        <v>32</v>
      </c>
      <c r="AN976" t="s">
        <v>32</v>
      </c>
      <c r="AO976" t="s">
        <v>32</v>
      </c>
      <c r="AR976">
        <v>0</v>
      </c>
      <c r="AU976" t="s">
        <v>32</v>
      </c>
      <c r="AV976">
        <v>1785595</v>
      </c>
      <c r="AW976" t="s">
        <v>32</v>
      </c>
      <c r="AX976" t="s">
        <v>32</v>
      </c>
      <c r="AY976" t="s">
        <v>317</v>
      </c>
      <c r="AZ976">
        <v>26</v>
      </c>
      <c r="BA976">
        <v>2565496</v>
      </c>
      <c r="BB976">
        <v>0.15999999642372131</v>
      </c>
      <c r="BC976">
        <v>410500</v>
      </c>
      <c r="BD976" t="s">
        <v>31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410500</v>
      </c>
      <c r="BK976" t="s">
        <v>25</v>
      </c>
      <c r="BL976" t="s">
        <v>1071</v>
      </c>
      <c r="BM976">
        <v>26</v>
      </c>
      <c r="BN976">
        <v>2565496</v>
      </c>
      <c r="BO976">
        <v>3.9999999105930328E-2</v>
      </c>
      <c r="BP976">
        <v>102700</v>
      </c>
      <c r="BQ976">
        <v>0</v>
      </c>
      <c r="BS976">
        <v>0</v>
      </c>
      <c r="BU976">
        <v>0</v>
      </c>
      <c r="BV976" t="s">
        <v>25</v>
      </c>
      <c r="BW976" t="s">
        <v>189</v>
      </c>
      <c r="BX976">
        <v>26</v>
      </c>
      <c r="BY976">
        <v>2565496</v>
      </c>
      <c r="BZ976">
        <v>6.9600000977516174E-2</v>
      </c>
      <c r="CA976" t="s">
        <v>1439</v>
      </c>
      <c r="CB976" t="s">
        <v>312</v>
      </c>
      <c r="CC976" t="s">
        <v>1440</v>
      </c>
      <c r="CD976">
        <v>178600</v>
      </c>
      <c r="CE976">
        <v>26</v>
      </c>
      <c r="CF976" t="s">
        <v>466</v>
      </c>
      <c r="CG976">
        <v>3299401</v>
      </c>
      <c r="CH976">
        <v>3.9999999105930328E-2</v>
      </c>
      <c r="CI976">
        <v>132000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 t="s">
        <v>88</v>
      </c>
      <c r="CT976" t="s">
        <v>142</v>
      </c>
      <c r="CU976" t="s">
        <v>1442</v>
      </c>
    </row>
    <row r="977" spans="1:99">
      <c r="A977" t="s">
        <v>3047</v>
      </c>
      <c r="B977" t="s">
        <v>34</v>
      </c>
      <c r="C977" t="s">
        <v>2367</v>
      </c>
      <c r="D977" t="s">
        <v>2368</v>
      </c>
      <c r="E977" t="s">
        <v>2369</v>
      </c>
      <c r="F977" t="s">
        <v>2370</v>
      </c>
      <c r="G977" t="s">
        <v>1608</v>
      </c>
      <c r="H977" t="s">
        <v>1437</v>
      </c>
      <c r="I977" t="s">
        <v>682</v>
      </c>
      <c r="J977" t="s">
        <v>484</v>
      </c>
      <c r="K977" t="s">
        <v>29</v>
      </c>
      <c r="L977" t="s">
        <v>30</v>
      </c>
      <c r="M977">
        <v>207</v>
      </c>
      <c r="N977" t="s">
        <v>32</v>
      </c>
      <c r="O977" t="s">
        <v>32</v>
      </c>
      <c r="Q977" t="s">
        <v>32</v>
      </c>
      <c r="S977" t="s">
        <v>32</v>
      </c>
      <c r="U977" t="s">
        <v>32</v>
      </c>
      <c r="V977" t="s">
        <v>32</v>
      </c>
      <c r="W977" t="s">
        <v>32</v>
      </c>
      <c r="X977" t="s">
        <v>32</v>
      </c>
      <c r="Y977" t="s">
        <v>32</v>
      </c>
      <c r="AA977" t="s">
        <v>88</v>
      </c>
      <c r="AB977" t="s">
        <v>32</v>
      </c>
      <c r="AE977" t="s">
        <v>32</v>
      </c>
      <c r="AH977" t="s">
        <v>32</v>
      </c>
      <c r="AK977" t="s">
        <v>32</v>
      </c>
      <c r="AN977" t="s">
        <v>32</v>
      </c>
      <c r="AO977" t="s">
        <v>32</v>
      </c>
      <c r="AR977">
        <v>0</v>
      </c>
      <c r="AU977" t="s">
        <v>32</v>
      </c>
      <c r="AV977">
        <v>1750905</v>
      </c>
      <c r="AW977" t="s">
        <v>32</v>
      </c>
      <c r="AX977" t="s">
        <v>32</v>
      </c>
      <c r="AY977" t="s">
        <v>317</v>
      </c>
      <c r="AZ977">
        <v>30</v>
      </c>
      <c r="BA977">
        <v>2054529</v>
      </c>
      <c r="BB977">
        <v>0.15999999642372131</v>
      </c>
      <c r="BC977">
        <v>328800</v>
      </c>
      <c r="BD977" t="s">
        <v>31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328800</v>
      </c>
      <c r="BK977" t="s">
        <v>25</v>
      </c>
      <c r="BL977" t="s">
        <v>1071</v>
      </c>
      <c r="BM977">
        <v>30</v>
      </c>
      <c r="BN977">
        <v>2054529</v>
      </c>
      <c r="BO977">
        <v>3.9999999105930328E-2</v>
      </c>
      <c r="BP977">
        <v>82200</v>
      </c>
      <c r="BQ977">
        <v>0</v>
      </c>
      <c r="BS977">
        <v>0</v>
      </c>
      <c r="BU977">
        <v>0</v>
      </c>
      <c r="BV977" t="s">
        <v>25</v>
      </c>
      <c r="BW977" t="s">
        <v>189</v>
      </c>
      <c r="BX977">
        <v>30</v>
      </c>
      <c r="BY977">
        <v>2054529</v>
      </c>
      <c r="BZ977">
        <v>6.9600000977516174E-2</v>
      </c>
      <c r="CA977" t="s">
        <v>1439</v>
      </c>
      <c r="CB977" t="s">
        <v>312</v>
      </c>
      <c r="CC977" t="s">
        <v>1440</v>
      </c>
      <c r="CD977">
        <v>143000</v>
      </c>
      <c r="CE977">
        <v>30</v>
      </c>
      <c r="CF977" t="s">
        <v>466</v>
      </c>
      <c r="CG977">
        <v>2054529</v>
      </c>
      <c r="CH977">
        <v>3.9999999105930328E-2</v>
      </c>
      <c r="CI977">
        <v>82200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 t="s">
        <v>88</v>
      </c>
      <c r="CT977" t="s">
        <v>142</v>
      </c>
      <c r="CU977" t="s">
        <v>1442</v>
      </c>
    </row>
    <row r="978" spans="1:99">
      <c r="A978" t="s">
        <v>3047</v>
      </c>
      <c r="B978" t="s">
        <v>34</v>
      </c>
      <c r="C978" t="s">
        <v>2371</v>
      </c>
      <c r="D978" t="s">
        <v>2372</v>
      </c>
      <c r="E978" t="s">
        <v>2373</v>
      </c>
      <c r="F978" t="s">
        <v>2359</v>
      </c>
      <c r="G978" t="s">
        <v>2374</v>
      </c>
      <c r="H978" t="s">
        <v>2375</v>
      </c>
      <c r="I978" t="s">
        <v>682</v>
      </c>
      <c r="J978" t="s">
        <v>484</v>
      </c>
      <c r="K978" t="s">
        <v>29</v>
      </c>
      <c r="L978" t="s">
        <v>30</v>
      </c>
      <c r="M978">
        <v>213</v>
      </c>
      <c r="N978" t="s">
        <v>32</v>
      </c>
      <c r="O978" t="s">
        <v>32</v>
      </c>
      <c r="Q978" t="s">
        <v>32</v>
      </c>
      <c r="S978" t="s">
        <v>32</v>
      </c>
      <c r="U978" t="s">
        <v>32</v>
      </c>
      <c r="V978" t="s">
        <v>32</v>
      </c>
      <c r="W978" t="s">
        <v>32</v>
      </c>
      <c r="X978" t="s">
        <v>32</v>
      </c>
      <c r="Y978" t="s">
        <v>32</v>
      </c>
      <c r="AA978" t="s">
        <v>88</v>
      </c>
      <c r="AB978" t="s">
        <v>32</v>
      </c>
      <c r="AE978" t="s">
        <v>32</v>
      </c>
      <c r="AH978" t="s">
        <v>32</v>
      </c>
      <c r="AK978" t="s">
        <v>32</v>
      </c>
      <c r="AN978" t="s">
        <v>32</v>
      </c>
      <c r="AO978" t="s">
        <v>32</v>
      </c>
      <c r="AR978">
        <v>0</v>
      </c>
      <c r="AU978" t="s">
        <v>32</v>
      </c>
      <c r="AV978">
        <v>1750905</v>
      </c>
      <c r="AW978" t="s">
        <v>32</v>
      </c>
      <c r="AX978" t="s">
        <v>32</v>
      </c>
      <c r="AY978" t="s">
        <v>317</v>
      </c>
      <c r="AZ978">
        <v>30</v>
      </c>
      <c r="BA978">
        <v>2149237</v>
      </c>
      <c r="BB978">
        <v>0.15999999642372131</v>
      </c>
      <c r="BC978">
        <v>343900</v>
      </c>
      <c r="BD978" t="s">
        <v>31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343900</v>
      </c>
      <c r="BK978" t="s">
        <v>25</v>
      </c>
      <c r="BL978" t="s">
        <v>1071</v>
      </c>
      <c r="BM978">
        <v>30</v>
      </c>
      <c r="BN978">
        <v>2149237</v>
      </c>
      <c r="BO978">
        <v>3.9999999105930328E-2</v>
      </c>
      <c r="BP978">
        <v>86000</v>
      </c>
      <c r="BQ978">
        <v>0</v>
      </c>
      <c r="BS978">
        <v>0</v>
      </c>
      <c r="BU978">
        <v>0</v>
      </c>
      <c r="BV978" t="s">
        <v>25</v>
      </c>
      <c r="BW978" t="s">
        <v>189</v>
      </c>
      <c r="BX978">
        <v>30</v>
      </c>
      <c r="BY978">
        <v>2149237</v>
      </c>
      <c r="BZ978">
        <v>6.9600000977516174E-2</v>
      </c>
      <c r="CA978" t="s">
        <v>1439</v>
      </c>
      <c r="CB978" t="s">
        <v>312</v>
      </c>
      <c r="CC978" t="s">
        <v>1440</v>
      </c>
      <c r="CD978">
        <v>149600</v>
      </c>
      <c r="CE978">
        <v>30</v>
      </c>
      <c r="CF978" t="s">
        <v>466</v>
      </c>
      <c r="CG978">
        <v>2149237</v>
      </c>
      <c r="CH978">
        <v>3.9999999105930328E-2</v>
      </c>
      <c r="CI978">
        <v>86000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 t="s">
        <v>88</v>
      </c>
      <c r="CT978" t="s">
        <v>142</v>
      </c>
      <c r="CU978" t="s">
        <v>1442</v>
      </c>
    </row>
    <row r="979" spans="1:99">
      <c r="A979" t="s">
        <v>3047</v>
      </c>
      <c r="B979" t="s">
        <v>34</v>
      </c>
      <c r="C979" t="s">
        <v>2376</v>
      </c>
      <c r="D979" t="s">
        <v>2377</v>
      </c>
      <c r="E979" t="s">
        <v>1483</v>
      </c>
      <c r="F979" t="s">
        <v>2302</v>
      </c>
      <c r="G979" t="s">
        <v>1513</v>
      </c>
      <c r="H979" t="s">
        <v>1558</v>
      </c>
      <c r="I979" t="s">
        <v>682</v>
      </c>
      <c r="J979" t="s">
        <v>484</v>
      </c>
      <c r="K979" t="s">
        <v>29</v>
      </c>
      <c r="L979" t="s">
        <v>30</v>
      </c>
      <c r="M979">
        <v>0</v>
      </c>
      <c r="N979" t="s">
        <v>32</v>
      </c>
      <c r="O979" t="s">
        <v>32</v>
      </c>
      <c r="Q979" t="s">
        <v>32</v>
      </c>
      <c r="S979" t="s">
        <v>32</v>
      </c>
      <c r="U979" t="s">
        <v>32</v>
      </c>
      <c r="V979" t="s">
        <v>32</v>
      </c>
      <c r="W979" t="s">
        <v>32</v>
      </c>
      <c r="X979" t="s">
        <v>32</v>
      </c>
      <c r="Y979" t="s">
        <v>32</v>
      </c>
      <c r="AA979" t="s">
        <v>32</v>
      </c>
      <c r="AB979" t="s">
        <v>32</v>
      </c>
      <c r="AE979" t="s">
        <v>32</v>
      </c>
      <c r="AH979" t="s">
        <v>32</v>
      </c>
      <c r="AK979" t="s">
        <v>128</v>
      </c>
      <c r="AL979">
        <v>46054</v>
      </c>
      <c r="AM979">
        <v>46054</v>
      </c>
      <c r="AN979" t="s">
        <v>32</v>
      </c>
      <c r="AO979" t="s">
        <v>32</v>
      </c>
      <c r="AR979">
        <v>0</v>
      </c>
      <c r="AU979" t="s">
        <v>32</v>
      </c>
      <c r="AV979">
        <v>1750905</v>
      </c>
      <c r="AW979" t="s">
        <v>32</v>
      </c>
      <c r="AX979" t="s">
        <v>32</v>
      </c>
      <c r="AY979" t="s">
        <v>317</v>
      </c>
      <c r="AZ979">
        <v>1</v>
      </c>
      <c r="BA979">
        <v>116727</v>
      </c>
      <c r="BB979">
        <v>0.15999999642372131</v>
      </c>
      <c r="BC979">
        <v>18700</v>
      </c>
      <c r="BD979" t="s">
        <v>31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18700</v>
      </c>
      <c r="BK979" t="s">
        <v>25</v>
      </c>
      <c r="BL979" t="s">
        <v>1071</v>
      </c>
      <c r="BM979">
        <v>1</v>
      </c>
      <c r="BN979">
        <v>116727</v>
      </c>
      <c r="BO979">
        <v>3.9999999105930328E-2</v>
      </c>
      <c r="BP979">
        <v>4700</v>
      </c>
      <c r="BQ979">
        <v>0</v>
      </c>
      <c r="BS979">
        <v>0</v>
      </c>
      <c r="BU979">
        <v>0</v>
      </c>
      <c r="BV979" t="s">
        <v>25</v>
      </c>
      <c r="BW979" t="s">
        <v>189</v>
      </c>
      <c r="BX979">
        <v>1</v>
      </c>
      <c r="BY979">
        <v>116727</v>
      </c>
      <c r="BZ979">
        <v>0</v>
      </c>
      <c r="CA979" t="s">
        <v>1439</v>
      </c>
      <c r="CB979" t="s">
        <v>312</v>
      </c>
      <c r="CC979" t="s">
        <v>1440</v>
      </c>
      <c r="CD979">
        <v>0</v>
      </c>
      <c r="CE979">
        <v>1</v>
      </c>
      <c r="CF979" t="s">
        <v>466</v>
      </c>
      <c r="CG979">
        <v>116727</v>
      </c>
      <c r="CH979">
        <v>3.9999999105930328E-2</v>
      </c>
      <c r="CI979">
        <v>4700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 t="s">
        <v>88</v>
      </c>
      <c r="CT979" t="s">
        <v>142</v>
      </c>
      <c r="CU979" t="s">
        <v>1442</v>
      </c>
    </row>
    <row r="980" spans="1:99">
      <c r="A980" t="s">
        <v>3047</v>
      </c>
      <c r="B980" t="s">
        <v>34</v>
      </c>
      <c r="C980" t="s">
        <v>2376</v>
      </c>
      <c r="D980" t="s">
        <v>2377</v>
      </c>
      <c r="E980" t="s">
        <v>1483</v>
      </c>
      <c r="F980" t="s">
        <v>2302</v>
      </c>
      <c r="G980" t="s">
        <v>1513</v>
      </c>
      <c r="H980" t="s">
        <v>1558</v>
      </c>
      <c r="I980" t="s">
        <v>682</v>
      </c>
      <c r="J980" t="s">
        <v>484</v>
      </c>
      <c r="K980" t="s">
        <v>29</v>
      </c>
      <c r="L980" t="s">
        <v>30</v>
      </c>
      <c r="M980">
        <v>0</v>
      </c>
      <c r="N980" t="s">
        <v>32</v>
      </c>
      <c r="O980" t="s">
        <v>32</v>
      </c>
      <c r="Q980" t="s">
        <v>32</v>
      </c>
      <c r="S980" t="s">
        <v>32</v>
      </c>
      <c r="U980" t="s">
        <v>32</v>
      </c>
      <c r="V980" t="s">
        <v>32</v>
      </c>
      <c r="W980" t="s">
        <v>32</v>
      </c>
      <c r="X980" t="s">
        <v>32</v>
      </c>
      <c r="Y980" t="s">
        <v>32</v>
      </c>
      <c r="AA980" t="s">
        <v>32</v>
      </c>
      <c r="AB980" t="s">
        <v>37</v>
      </c>
      <c r="AC980">
        <v>46055</v>
      </c>
      <c r="AD980">
        <v>46055</v>
      </c>
      <c r="AE980" t="s">
        <v>32</v>
      </c>
      <c r="AH980" t="s">
        <v>32</v>
      </c>
      <c r="AK980" t="s">
        <v>32</v>
      </c>
      <c r="AN980" t="s">
        <v>32</v>
      </c>
      <c r="AO980" t="s">
        <v>32</v>
      </c>
      <c r="AR980">
        <v>0</v>
      </c>
      <c r="AU980" t="s">
        <v>32</v>
      </c>
      <c r="AV980">
        <v>1750905</v>
      </c>
      <c r="AW980" t="s">
        <v>32</v>
      </c>
      <c r="AX980" t="s">
        <v>32</v>
      </c>
      <c r="AY980" t="s">
        <v>317</v>
      </c>
      <c r="AZ980">
        <v>1</v>
      </c>
      <c r="BA980">
        <v>58364</v>
      </c>
      <c r="BB980">
        <v>0.15999999642372131</v>
      </c>
      <c r="BC980">
        <v>9400</v>
      </c>
      <c r="BD980" t="s">
        <v>31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9400</v>
      </c>
      <c r="BK980" t="s">
        <v>25</v>
      </c>
      <c r="BL980" t="s">
        <v>1071</v>
      </c>
      <c r="BM980">
        <v>1</v>
      </c>
      <c r="BN980">
        <v>58364</v>
      </c>
      <c r="BO980">
        <v>0</v>
      </c>
      <c r="BP980">
        <v>0</v>
      </c>
      <c r="BQ980">
        <v>0</v>
      </c>
      <c r="BS980">
        <v>0</v>
      </c>
      <c r="BU980">
        <v>0</v>
      </c>
      <c r="BV980" t="s">
        <v>25</v>
      </c>
      <c r="BW980" t="s">
        <v>189</v>
      </c>
      <c r="BX980">
        <v>1</v>
      </c>
      <c r="BY980">
        <v>58364</v>
      </c>
      <c r="BZ980">
        <v>0</v>
      </c>
      <c r="CA980" t="s">
        <v>1439</v>
      </c>
      <c r="CB980" t="s">
        <v>312</v>
      </c>
      <c r="CC980" t="s">
        <v>1440</v>
      </c>
      <c r="CD980">
        <v>0</v>
      </c>
      <c r="CE980">
        <v>1</v>
      </c>
      <c r="CF980" t="s">
        <v>466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 t="s">
        <v>88</v>
      </c>
      <c r="CT980" t="s">
        <v>142</v>
      </c>
      <c r="CU980" t="s">
        <v>1442</v>
      </c>
    </row>
    <row r="981" spans="1:99">
      <c r="A981" t="s">
        <v>3047</v>
      </c>
      <c r="B981" t="s">
        <v>34</v>
      </c>
      <c r="C981" t="s">
        <v>2376</v>
      </c>
      <c r="D981" t="s">
        <v>2377</v>
      </c>
      <c r="E981" t="s">
        <v>1483</v>
      </c>
      <c r="F981" t="s">
        <v>2302</v>
      </c>
      <c r="G981" t="s">
        <v>1513</v>
      </c>
      <c r="H981" t="s">
        <v>1558</v>
      </c>
      <c r="I981" t="s">
        <v>682</v>
      </c>
      <c r="J981" t="s">
        <v>484</v>
      </c>
      <c r="K981" t="s">
        <v>29</v>
      </c>
      <c r="L981" t="s">
        <v>30</v>
      </c>
      <c r="M981">
        <v>0</v>
      </c>
      <c r="N981" t="s">
        <v>32</v>
      </c>
      <c r="O981" t="s">
        <v>32</v>
      </c>
      <c r="Q981" t="s">
        <v>32</v>
      </c>
      <c r="S981" t="s">
        <v>32</v>
      </c>
      <c r="U981" t="s">
        <v>32</v>
      </c>
      <c r="V981" t="s">
        <v>32</v>
      </c>
      <c r="W981" t="s">
        <v>32</v>
      </c>
      <c r="X981" t="s">
        <v>32</v>
      </c>
      <c r="Y981" t="s">
        <v>32</v>
      </c>
      <c r="AA981" t="s">
        <v>32</v>
      </c>
      <c r="AB981" t="s">
        <v>32</v>
      </c>
      <c r="AE981" t="s">
        <v>1492</v>
      </c>
      <c r="AF981">
        <v>46057</v>
      </c>
      <c r="AG981">
        <v>46081</v>
      </c>
      <c r="AH981" t="s">
        <v>32</v>
      </c>
      <c r="AK981" t="s">
        <v>32</v>
      </c>
      <c r="AN981" t="s">
        <v>32</v>
      </c>
      <c r="AO981" t="s">
        <v>32</v>
      </c>
      <c r="AR981">
        <v>0</v>
      </c>
      <c r="AU981" t="s">
        <v>32</v>
      </c>
      <c r="AV981">
        <v>1750905</v>
      </c>
      <c r="AW981" t="s">
        <v>32</v>
      </c>
      <c r="AX981" t="s">
        <v>32</v>
      </c>
      <c r="AY981" t="s">
        <v>317</v>
      </c>
      <c r="AZ981">
        <v>27</v>
      </c>
      <c r="BA981">
        <v>1602226</v>
      </c>
      <c r="BB981">
        <v>0.15999999642372131</v>
      </c>
      <c r="BC981">
        <v>256400</v>
      </c>
      <c r="BD981" t="s">
        <v>31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256400</v>
      </c>
      <c r="BK981" t="s">
        <v>25</v>
      </c>
      <c r="BL981" t="s">
        <v>1071</v>
      </c>
      <c r="BM981">
        <v>27</v>
      </c>
      <c r="BN981">
        <v>1602226</v>
      </c>
      <c r="BO981">
        <v>3.9999999105930328E-2</v>
      </c>
      <c r="BP981">
        <v>64100</v>
      </c>
      <c r="BQ981">
        <v>0</v>
      </c>
      <c r="BS981">
        <v>0</v>
      </c>
      <c r="BU981">
        <v>0</v>
      </c>
      <c r="BV981" t="s">
        <v>25</v>
      </c>
      <c r="BW981" t="s">
        <v>189</v>
      </c>
      <c r="BX981">
        <v>27</v>
      </c>
      <c r="BY981">
        <v>1602226</v>
      </c>
      <c r="BZ981">
        <v>0</v>
      </c>
      <c r="CA981" t="s">
        <v>1439</v>
      </c>
      <c r="CB981" t="s">
        <v>312</v>
      </c>
      <c r="CC981" t="s">
        <v>1440</v>
      </c>
      <c r="CD981">
        <v>0</v>
      </c>
      <c r="CE981">
        <v>27</v>
      </c>
      <c r="CF981" t="s">
        <v>466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 t="s">
        <v>88</v>
      </c>
      <c r="CT981" t="s">
        <v>142</v>
      </c>
      <c r="CU981" t="s">
        <v>1442</v>
      </c>
    </row>
    <row r="982" spans="1:99">
      <c r="A982" t="s">
        <v>3047</v>
      </c>
      <c r="B982" t="s">
        <v>34</v>
      </c>
      <c r="C982" t="s">
        <v>2376</v>
      </c>
      <c r="D982" t="s">
        <v>2377</v>
      </c>
      <c r="E982" t="s">
        <v>1483</v>
      </c>
      <c r="F982" t="s">
        <v>2302</v>
      </c>
      <c r="G982" t="s">
        <v>1513</v>
      </c>
      <c r="H982" t="s">
        <v>1558</v>
      </c>
      <c r="I982" t="s">
        <v>682</v>
      </c>
      <c r="J982" t="s">
        <v>484</v>
      </c>
      <c r="K982" t="s">
        <v>29</v>
      </c>
      <c r="L982" t="s">
        <v>30</v>
      </c>
      <c r="M982">
        <v>15</v>
      </c>
      <c r="N982" t="s">
        <v>32</v>
      </c>
      <c r="O982" t="s">
        <v>32</v>
      </c>
      <c r="Q982" t="s">
        <v>32</v>
      </c>
      <c r="S982" t="s">
        <v>32</v>
      </c>
      <c r="U982" t="s">
        <v>32</v>
      </c>
      <c r="V982" t="s">
        <v>32</v>
      </c>
      <c r="W982" t="s">
        <v>32</v>
      </c>
      <c r="X982" t="s">
        <v>32</v>
      </c>
      <c r="Y982" t="s">
        <v>32</v>
      </c>
      <c r="AA982" t="s">
        <v>88</v>
      </c>
      <c r="AB982" t="s">
        <v>32</v>
      </c>
      <c r="AE982" t="s">
        <v>32</v>
      </c>
      <c r="AH982" t="s">
        <v>32</v>
      </c>
      <c r="AK982" t="s">
        <v>32</v>
      </c>
      <c r="AN982" t="s">
        <v>32</v>
      </c>
      <c r="AO982" t="s">
        <v>32</v>
      </c>
      <c r="AR982">
        <v>0</v>
      </c>
      <c r="AU982" t="s">
        <v>32</v>
      </c>
      <c r="AV982">
        <v>1750905</v>
      </c>
      <c r="AW982" t="s">
        <v>32</v>
      </c>
      <c r="AX982" t="s">
        <v>32</v>
      </c>
      <c r="AY982" t="s">
        <v>317</v>
      </c>
      <c r="AZ982">
        <v>1</v>
      </c>
      <c r="BA982">
        <v>179269</v>
      </c>
      <c r="BB982">
        <v>0.15999999642372131</v>
      </c>
      <c r="BC982">
        <v>28700</v>
      </c>
      <c r="BD982" t="s">
        <v>31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28700</v>
      </c>
      <c r="BK982" t="s">
        <v>25</v>
      </c>
      <c r="BL982" t="s">
        <v>1071</v>
      </c>
      <c r="BM982">
        <v>1</v>
      </c>
      <c r="BN982">
        <v>179269</v>
      </c>
      <c r="BO982">
        <v>3.9999999105930328E-2</v>
      </c>
      <c r="BP982">
        <v>7200</v>
      </c>
      <c r="BQ982">
        <v>0</v>
      </c>
      <c r="BS982">
        <v>0</v>
      </c>
      <c r="BU982">
        <v>0</v>
      </c>
      <c r="BV982" t="s">
        <v>25</v>
      </c>
      <c r="BW982" t="s">
        <v>189</v>
      </c>
      <c r="BX982">
        <v>1</v>
      </c>
      <c r="BY982">
        <v>179269</v>
      </c>
      <c r="BZ982">
        <v>6.9600000977516174E-2</v>
      </c>
      <c r="CA982" t="s">
        <v>1439</v>
      </c>
      <c r="CB982" t="s">
        <v>312</v>
      </c>
      <c r="CC982" t="s">
        <v>1440</v>
      </c>
      <c r="CD982">
        <v>12500</v>
      </c>
      <c r="CE982">
        <v>1</v>
      </c>
      <c r="CF982" t="s">
        <v>466</v>
      </c>
      <c r="CG982">
        <v>179269</v>
      </c>
      <c r="CH982">
        <v>3.9999999105930328E-2</v>
      </c>
      <c r="CI982">
        <v>7200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 t="s">
        <v>88</v>
      </c>
      <c r="CT982" t="s">
        <v>142</v>
      </c>
      <c r="CU982" t="s">
        <v>1442</v>
      </c>
    </row>
    <row r="983" spans="1:99">
      <c r="A983" t="s">
        <v>3047</v>
      </c>
      <c r="B983" t="s">
        <v>34</v>
      </c>
      <c r="C983" t="s">
        <v>2381</v>
      </c>
      <c r="D983" t="s">
        <v>2382</v>
      </c>
      <c r="E983" t="s">
        <v>2218</v>
      </c>
      <c r="F983" t="s">
        <v>2383</v>
      </c>
      <c r="G983" t="s">
        <v>1806</v>
      </c>
      <c r="H983" t="s">
        <v>1757</v>
      </c>
      <c r="I983" t="s">
        <v>240</v>
      </c>
      <c r="J983" t="s">
        <v>46</v>
      </c>
      <c r="K983" t="s">
        <v>29</v>
      </c>
      <c r="L983" t="s">
        <v>30</v>
      </c>
      <c r="M983">
        <v>162</v>
      </c>
      <c r="N983" t="s">
        <v>32</v>
      </c>
      <c r="O983" t="s">
        <v>32</v>
      </c>
      <c r="Q983" t="s">
        <v>40</v>
      </c>
      <c r="R983">
        <v>46058</v>
      </c>
      <c r="S983" t="s">
        <v>32</v>
      </c>
      <c r="U983" t="s">
        <v>32</v>
      </c>
      <c r="V983" t="s">
        <v>32</v>
      </c>
      <c r="W983" t="s">
        <v>32</v>
      </c>
      <c r="X983" t="s">
        <v>32</v>
      </c>
      <c r="Y983" t="s">
        <v>32</v>
      </c>
      <c r="AA983" t="s">
        <v>88</v>
      </c>
      <c r="AB983" t="s">
        <v>32</v>
      </c>
      <c r="AE983" t="s">
        <v>32</v>
      </c>
      <c r="AH983" t="s">
        <v>32</v>
      </c>
      <c r="AK983" t="s">
        <v>32</v>
      </c>
      <c r="AN983" t="s">
        <v>32</v>
      </c>
      <c r="AO983" t="s">
        <v>32</v>
      </c>
      <c r="AR983">
        <v>0</v>
      </c>
      <c r="AU983" t="s">
        <v>32</v>
      </c>
      <c r="AV983">
        <v>2074908</v>
      </c>
      <c r="AW983" t="s">
        <v>32</v>
      </c>
      <c r="AX983" t="s">
        <v>32</v>
      </c>
      <c r="AY983" t="s">
        <v>356</v>
      </c>
      <c r="AZ983">
        <v>26</v>
      </c>
      <c r="BA983">
        <v>2231156</v>
      </c>
      <c r="BB983">
        <v>0.15999999642372131</v>
      </c>
      <c r="BC983">
        <v>357000</v>
      </c>
      <c r="BD983" t="s">
        <v>31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357000</v>
      </c>
      <c r="BK983" t="s">
        <v>25</v>
      </c>
      <c r="BL983" t="s">
        <v>1064</v>
      </c>
      <c r="BM983">
        <v>26</v>
      </c>
      <c r="BN983">
        <v>2231156</v>
      </c>
      <c r="BO983">
        <v>3.9999999105930328E-2</v>
      </c>
      <c r="BP983">
        <v>89300</v>
      </c>
      <c r="BQ983">
        <v>0</v>
      </c>
      <c r="BS983">
        <v>0</v>
      </c>
      <c r="BU983">
        <v>0</v>
      </c>
      <c r="BV983" t="s">
        <v>25</v>
      </c>
      <c r="BW983" t="s">
        <v>189</v>
      </c>
      <c r="BX983">
        <v>26</v>
      </c>
      <c r="BY983">
        <v>2231156</v>
      </c>
      <c r="BZ983">
        <v>6.9600000977516174E-2</v>
      </c>
      <c r="CA983" t="s">
        <v>1439</v>
      </c>
      <c r="CB983" t="s">
        <v>227</v>
      </c>
      <c r="CC983" t="s">
        <v>1440</v>
      </c>
      <c r="CD983">
        <v>155300</v>
      </c>
      <c r="CE983">
        <v>26</v>
      </c>
      <c r="CF983" t="s">
        <v>635</v>
      </c>
      <c r="CG983">
        <v>2231156</v>
      </c>
      <c r="CH983">
        <v>3.9999999105930328E-2</v>
      </c>
      <c r="CI983">
        <v>89300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 t="s">
        <v>88</v>
      </c>
      <c r="CT983" t="s">
        <v>142</v>
      </c>
      <c r="CU983" t="s">
        <v>1442</v>
      </c>
    </row>
    <row r="984" spans="1:99">
      <c r="A984" t="s">
        <v>3047</v>
      </c>
      <c r="B984" t="s">
        <v>34</v>
      </c>
      <c r="C984" t="s">
        <v>2384</v>
      </c>
      <c r="D984" t="s">
        <v>2385</v>
      </c>
      <c r="E984" t="s">
        <v>2182</v>
      </c>
      <c r="F984" t="s">
        <v>2386</v>
      </c>
      <c r="G984" t="s">
        <v>2387</v>
      </c>
      <c r="H984" t="s">
        <v>1437</v>
      </c>
      <c r="I984" t="s">
        <v>682</v>
      </c>
      <c r="J984" t="s">
        <v>484</v>
      </c>
      <c r="K984" t="s">
        <v>29</v>
      </c>
      <c r="L984" t="s">
        <v>30</v>
      </c>
      <c r="M984">
        <v>0</v>
      </c>
      <c r="N984" t="s">
        <v>32</v>
      </c>
      <c r="O984" t="s">
        <v>32</v>
      </c>
      <c r="Q984" t="s">
        <v>32</v>
      </c>
      <c r="S984" t="s">
        <v>32</v>
      </c>
      <c r="U984" t="s">
        <v>32</v>
      </c>
      <c r="V984" t="s">
        <v>32</v>
      </c>
      <c r="W984" t="s">
        <v>32</v>
      </c>
      <c r="X984" t="s">
        <v>32</v>
      </c>
      <c r="Y984" t="s">
        <v>32</v>
      </c>
      <c r="AA984" t="s">
        <v>32</v>
      </c>
      <c r="AB984" t="s">
        <v>37</v>
      </c>
      <c r="AC984">
        <v>46054</v>
      </c>
      <c r="AD984">
        <v>46054</v>
      </c>
      <c r="AE984" t="s">
        <v>32</v>
      </c>
      <c r="AH984" t="s">
        <v>32</v>
      </c>
      <c r="AK984" t="s">
        <v>32</v>
      </c>
      <c r="AN984" t="s">
        <v>32</v>
      </c>
      <c r="AO984" t="s">
        <v>32</v>
      </c>
      <c r="AR984">
        <v>0</v>
      </c>
      <c r="AU984" t="s">
        <v>32</v>
      </c>
      <c r="AV984">
        <v>1785595</v>
      </c>
      <c r="AW984" t="s">
        <v>32</v>
      </c>
      <c r="AX984" t="s">
        <v>32</v>
      </c>
      <c r="AY984" t="s">
        <v>317</v>
      </c>
      <c r="AZ984">
        <v>1</v>
      </c>
      <c r="BA984">
        <v>59520</v>
      </c>
      <c r="BB984">
        <v>0.15999999642372131</v>
      </c>
      <c r="BC984">
        <v>9600</v>
      </c>
      <c r="BD984" t="s">
        <v>31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9600</v>
      </c>
      <c r="BK984" t="s">
        <v>25</v>
      </c>
      <c r="BL984" t="s">
        <v>1010</v>
      </c>
      <c r="BM984">
        <v>1</v>
      </c>
      <c r="BN984">
        <v>59520</v>
      </c>
      <c r="BO984">
        <v>0</v>
      </c>
      <c r="BP984">
        <v>0</v>
      </c>
      <c r="BQ984">
        <v>0</v>
      </c>
      <c r="BS984">
        <v>0</v>
      </c>
      <c r="BU984">
        <v>0</v>
      </c>
      <c r="BV984" t="s">
        <v>25</v>
      </c>
      <c r="BW984" t="s">
        <v>189</v>
      </c>
      <c r="BX984">
        <v>1</v>
      </c>
      <c r="BY984">
        <v>59520</v>
      </c>
      <c r="BZ984">
        <v>0</v>
      </c>
      <c r="CA984" t="s">
        <v>1439</v>
      </c>
      <c r="CB984" t="s">
        <v>312</v>
      </c>
      <c r="CC984" t="s">
        <v>1440</v>
      </c>
      <c r="CD984">
        <v>0</v>
      </c>
      <c r="CE984">
        <v>1</v>
      </c>
      <c r="CF984" t="s">
        <v>466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 t="s">
        <v>88</v>
      </c>
      <c r="CT984" t="s">
        <v>142</v>
      </c>
      <c r="CU984" t="s">
        <v>1442</v>
      </c>
    </row>
    <row r="985" spans="1:99">
      <c r="A985" t="s">
        <v>3047</v>
      </c>
      <c r="B985" t="s">
        <v>34</v>
      </c>
      <c r="C985" t="s">
        <v>2384</v>
      </c>
      <c r="D985" t="s">
        <v>2385</v>
      </c>
      <c r="E985" t="s">
        <v>2182</v>
      </c>
      <c r="F985" t="s">
        <v>2386</v>
      </c>
      <c r="G985" t="s">
        <v>2387</v>
      </c>
      <c r="H985" t="s">
        <v>1437</v>
      </c>
      <c r="I985" t="s">
        <v>682</v>
      </c>
      <c r="J985" t="s">
        <v>484</v>
      </c>
      <c r="K985" t="s">
        <v>29</v>
      </c>
      <c r="L985" t="s">
        <v>30</v>
      </c>
      <c r="M985">
        <v>0</v>
      </c>
      <c r="N985" t="s">
        <v>32</v>
      </c>
      <c r="O985" t="s">
        <v>32</v>
      </c>
      <c r="Q985" t="s">
        <v>32</v>
      </c>
      <c r="S985" t="s">
        <v>32</v>
      </c>
      <c r="U985" t="s">
        <v>32</v>
      </c>
      <c r="V985" t="s">
        <v>32</v>
      </c>
      <c r="W985" t="s">
        <v>32</v>
      </c>
      <c r="X985" t="s">
        <v>32</v>
      </c>
      <c r="Y985" t="s">
        <v>32</v>
      </c>
      <c r="AA985" t="s">
        <v>32</v>
      </c>
      <c r="AB985" t="s">
        <v>37</v>
      </c>
      <c r="AC985">
        <v>46069</v>
      </c>
      <c r="AD985">
        <v>46069</v>
      </c>
      <c r="AE985" t="s">
        <v>32</v>
      </c>
      <c r="AH985" t="s">
        <v>32</v>
      </c>
      <c r="AK985" t="s">
        <v>32</v>
      </c>
      <c r="AN985" t="s">
        <v>32</v>
      </c>
      <c r="AO985" t="s">
        <v>32</v>
      </c>
      <c r="AR985">
        <v>0</v>
      </c>
      <c r="AU985" t="s">
        <v>32</v>
      </c>
      <c r="AV985">
        <v>1785595</v>
      </c>
      <c r="AW985" t="s">
        <v>32</v>
      </c>
      <c r="AX985" t="s">
        <v>32</v>
      </c>
      <c r="AY985" t="s">
        <v>317</v>
      </c>
      <c r="AZ985">
        <v>1</v>
      </c>
      <c r="BA985">
        <v>59520</v>
      </c>
      <c r="BB985">
        <v>0.15999999642372131</v>
      </c>
      <c r="BC985">
        <v>9600</v>
      </c>
      <c r="BD985" t="s">
        <v>31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9600</v>
      </c>
      <c r="BK985" t="s">
        <v>25</v>
      </c>
      <c r="BL985" t="s">
        <v>1010</v>
      </c>
      <c r="BM985">
        <v>1</v>
      </c>
      <c r="BN985">
        <v>59520</v>
      </c>
      <c r="BO985">
        <v>0</v>
      </c>
      <c r="BP985">
        <v>0</v>
      </c>
      <c r="BQ985">
        <v>0</v>
      </c>
      <c r="BS985">
        <v>0</v>
      </c>
      <c r="BU985">
        <v>0</v>
      </c>
      <c r="BV985" t="s">
        <v>25</v>
      </c>
      <c r="BW985" t="s">
        <v>189</v>
      </c>
      <c r="BX985">
        <v>1</v>
      </c>
      <c r="BY985">
        <v>59520</v>
      </c>
      <c r="BZ985">
        <v>0</v>
      </c>
      <c r="CA985" t="s">
        <v>1439</v>
      </c>
      <c r="CB985" t="s">
        <v>312</v>
      </c>
      <c r="CC985" t="s">
        <v>1440</v>
      </c>
      <c r="CD985">
        <v>0</v>
      </c>
      <c r="CE985">
        <v>1</v>
      </c>
      <c r="CF985" t="s">
        <v>466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 t="s">
        <v>88</v>
      </c>
      <c r="CT985" t="s">
        <v>142</v>
      </c>
      <c r="CU985" t="s">
        <v>1442</v>
      </c>
    </row>
    <row r="986" spans="1:99">
      <c r="A986" t="s">
        <v>3047</v>
      </c>
      <c r="B986" t="s">
        <v>34</v>
      </c>
      <c r="C986" t="s">
        <v>2384</v>
      </c>
      <c r="D986" t="s">
        <v>2385</v>
      </c>
      <c r="E986" t="s">
        <v>2182</v>
      </c>
      <c r="F986" t="s">
        <v>2386</v>
      </c>
      <c r="G986" t="s">
        <v>2387</v>
      </c>
      <c r="H986" t="s">
        <v>1437</v>
      </c>
      <c r="I986" t="s">
        <v>682</v>
      </c>
      <c r="J986" t="s">
        <v>484</v>
      </c>
      <c r="K986" t="s">
        <v>29</v>
      </c>
      <c r="L986" t="s">
        <v>30</v>
      </c>
      <c r="M986">
        <v>198</v>
      </c>
      <c r="N986" t="s">
        <v>32</v>
      </c>
      <c r="O986" t="s">
        <v>32</v>
      </c>
      <c r="Q986" t="s">
        <v>32</v>
      </c>
      <c r="S986" t="s">
        <v>32</v>
      </c>
      <c r="U986" t="s">
        <v>32</v>
      </c>
      <c r="V986" t="s">
        <v>32</v>
      </c>
      <c r="W986" t="s">
        <v>32</v>
      </c>
      <c r="X986" t="s">
        <v>32</v>
      </c>
      <c r="Y986" t="s">
        <v>32</v>
      </c>
      <c r="AA986" t="s">
        <v>88</v>
      </c>
      <c r="AB986" t="s">
        <v>32</v>
      </c>
      <c r="AE986" t="s">
        <v>32</v>
      </c>
      <c r="AH986" t="s">
        <v>32</v>
      </c>
      <c r="AK986" t="s">
        <v>32</v>
      </c>
      <c r="AN986" t="s">
        <v>32</v>
      </c>
      <c r="AO986" t="s">
        <v>32</v>
      </c>
      <c r="AR986">
        <v>0</v>
      </c>
      <c r="AU986" t="s">
        <v>32</v>
      </c>
      <c r="AV986">
        <v>1785595</v>
      </c>
      <c r="AW986" t="s">
        <v>32</v>
      </c>
      <c r="AX986" t="s">
        <v>32</v>
      </c>
      <c r="AY986" t="s">
        <v>317</v>
      </c>
      <c r="AZ986">
        <v>28</v>
      </c>
      <c r="BA986">
        <v>1976195</v>
      </c>
      <c r="BB986">
        <v>0.15999999642372131</v>
      </c>
      <c r="BC986">
        <v>316200</v>
      </c>
      <c r="BD986" t="s">
        <v>31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316200</v>
      </c>
      <c r="BK986" t="s">
        <v>25</v>
      </c>
      <c r="BL986" t="s">
        <v>1010</v>
      </c>
      <c r="BM986">
        <v>28</v>
      </c>
      <c r="BN986">
        <v>1976195</v>
      </c>
      <c r="BO986">
        <v>3.9999999105930328E-2</v>
      </c>
      <c r="BP986">
        <v>79100</v>
      </c>
      <c r="BQ986">
        <v>0</v>
      </c>
      <c r="BS986">
        <v>0</v>
      </c>
      <c r="BU986">
        <v>0</v>
      </c>
      <c r="BV986" t="s">
        <v>25</v>
      </c>
      <c r="BW986" t="s">
        <v>189</v>
      </c>
      <c r="BX986">
        <v>28</v>
      </c>
      <c r="BY986">
        <v>1976195</v>
      </c>
      <c r="BZ986">
        <v>6.9600000977516174E-2</v>
      </c>
      <c r="CA986" t="s">
        <v>1439</v>
      </c>
      <c r="CB986" t="s">
        <v>312</v>
      </c>
      <c r="CC986" t="s">
        <v>1440</v>
      </c>
      <c r="CD986">
        <v>137600</v>
      </c>
      <c r="CE986">
        <v>28</v>
      </c>
      <c r="CF986" t="s">
        <v>466</v>
      </c>
      <c r="CG986">
        <v>1976195</v>
      </c>
      <c r="CH986">
        <v>3.9999999105930328E-2</v>
      </c>
      <c r="CI986">
        <v>79100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 t="s">
        <v>88</v>
      </c>
      <c r="CT986" t="s">
        <v>142</v>
      </c>
      <c r="CU986" t="s">
        <v>1442</v>
      </c>
    </row>
    <row r="987" spans="1:99">
      <c r="A987" t="s">
        <v>3047</v>
      </c>
      <c r="B987" t="s">
        <v>34</v>
      </c>
      <c r="C987" t="s">
        <v>2388</v>
      </c>
      <c r="D987" t="s">
        <v>2389</v>
      </c>
      <c r="E987" t="s">
        <v>2102</v>
      </c>
      <c r="F987" t="s">
        <v>1541</v>
      </c>
      <c r="G987" t="s">
        <v>1706</v>
      </c>
      <c r="H987" t="s">
        <v>1537</v>
      </c>
      <c r="I987" t="s">
        <v>682</v>
      </c>
      <c r="J987" t="s">
        <v>484</v>
      </c>
      <c r="K987" t="s">
        <v>29</v>
      </c>
      <c r="L987" t="s">
        <v>30</v>
      </c>
      <c r="M987">
        <v>214</v>
      </c>
      <c r="N987" t="s">
        <v>32</v>
      </c>
      <c r="O987" t="s">
        <v>32</v>
      </c>
      <c r="Q987" t="s">
        <v>32</v>
      </c>
      <c r="S987" t="s">
        <v>32</v>
      </c>
      <c r="U987" t="s">
        <v>32</v>
      </c>
      <c r="V987" t="s">
        <v>32</v>
      </c>
      <c r="W987" t="s">
        <v>32</v>
      </c>
      <c r="X987" t="s">
        <v>32</v>
      </c>
      <c r="Y987" t="s">
        <v>32</v>
      </c>
      <c r="AA987" t="s">
        <v>88</v>
      </c>
      <c r="AB987" t="s">
        <v>32</v>
      </c>
      <c r="AE987" t="s">
        <v>32</v>
      </c>
      <c r="AH987" t="s">
        <v>32</v>
      </c>
      <c r="AK987" t="s">
        <v>32</v>
      </c>
      <c r="AN987" t="s">
        <v>32</v>
      </c>
      <c r="AO987" t="s">
        <v>32</v>
      </c>
      <c r="AR987">
        <v>0</v>
      </c>
      <c r="AU987" t="s">
        <v>32</v>
      </c>
      <c r="AV987">
        <v>1750905</v>
      </c>
      <c r="AW987" t="s">
        <v>32</v>
      </c>
      <c r="AX987" t="s">
        <v>32</v>
      </c>
      <c r="AY987" t="s">
        <v>317</v>
      </c>
      <c r="AZ987">
        <v>30</v>
      </c>
      <c r="BA987">
        <v>2159185</v>
      </c>
      <c r="BB987">
        <v>0.15999999642372131</v>
      </c>
      <c r="BC987">
        <v>345500</v>
      </c>
      <c r="BD987" t="s">
        <v>31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345500</v>
      </c>
      <c r="BK987" t="s">
        <v>25</v>
      </c>
      <c r="BL987" t="s">
        <v>748</v>
      </c>
      <c r="BM987">
        <v>30</v>
      </c>
      <c r="BN987">
        <v>2159185</v>
      </c>
      <c r="BO987">
        <v>3.9999999105930328E-2</v>
      </c>
      <c r="BP987">
        <v>86400</v>
      </c>
      <c r="BQ987">
        <v>0</v>
      </c>
      <c r="BS987">
        <v>0</v>
      </c>
      <c r="BU987">
        <v>0</v>
      </c>
      <c r="BV987" t="s">
        <v>25</v>
      </c>
      <c r="BW987" t="s">
        <v>189</v>
      </c>
      <c r="BX987">
        <v>30</v>
      </c>
      <c r="BY987">
        <v>2159185</v>
      </c>
      <c r="BZ987">
        <v>6.9600000977516174E-2</v>
      </c>
      <c r="CA987" t="s">
        <v>1439</v>
      </c>
      <c r="CB987" t="s">
        <v>312</v>
      </c>
      <c r="CC987" t="s">
        <v>1440</v>
      </c>
      <c r="CD987">
        <v>150300</v>
      </c>
      <c r="CE987">
        <v>30</v>
      </c>
      <c r="CF987" t="s">
        <v>466</v>
      </c>
      <c r="CG987">
        <v>2159185</v>
      </c>
      <c r="CH987">
        <v>3.9999999105930328E-2</v>
      </c>
      <c r="CI987">
        <v>86400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 t="s">
        <v>88</v>
      </c>
      <c r="CT987" t="s">
        <v>142</v>
      </c>
      <c r="CU987" t="s">
        <v>1442</v>
      </c>
    </row>
    <row r="988" spans="1:99">
      <c r="A988" t="s">
        <v>3047</v>
      </c>
      <c r="B988" t="s">
        <v>34</v>
      </c>
      <c r="C988" t="s">
        <v>2390</v>
      </c>
      <c r="D988" t="s">
        <v>2391</v>
      </c>
      <c r="E988" t="s">
        <v>2392</v>
      </c>
      <c r="F988" t="s">
        <v>2392</v>
      </c>
      <c r="G988" t="s">
        <v>1436</v>
      </c>
      <c r="H988" t="s">
        <v>1451</v>
      </c>
      <c r="I988" t="s">
        <v>240</v>
      </c>
      <c r="J988" t="s">
        <v>46</v>
      </c>
      <c r="K988" t="s">
        <v>29</v>
      </c>
      <c r="L988" t="s">
        <v>30</v>
      </c>
      <c r="M988">
        <v>212</v>
      </c>
      <c r="N988" t="s">
        <v>32</v>
      </c>
      <c r="O988" t="s">
        <v>32</v>
      </c>
      <c r="Q988" t="s">
        <v>32</v>
      </c>
      <c r="S988" t="s">
        <v>32</v>
      </c>
      <c r="U988" t="s">
        <v>32</v>
      </c>
      <c r="V988" t="s">
        <v>32</v>
      </c>
      <c r="W988" t="s">
        <v>32</v>
      </c>
      <c r="X988" t="s">
        <v>32</v>
      </c>
      <c r="Y988" t="s">
        <v>32</v>
      </c>
      <c r="AA988" t="s">
        <v>88</v>
      </c>
      <c r="AB988" t="s">
        <v>32</v>
      </c>
      <c r="AE988" t="s">
        <v>32</v>
      </c>
      <c r="AH988" t="s">
        <v>32</v>
      </c>
      <c r="AK988" t="s">
        <v>32</v>
      </c>
      <c r="AN988" t="s">
        <v>32</v>
      </c>
      <c r="AO988" t="s">
        <v>32</v>
      </c>
      <c r="AR988">
        <v>0</v>
      </c>
      <c r="AU988" t="s">
        <v>32</v>
      </c>
      <c r="AV988">
        <v>1750905</v>
      </c>
      <c r="AW988" t="s">
        <v>32</v>
      </c>
      <c r="AX988" t="s">
        <v>32</v>
      </c>
      <c r="AY988" t="s">
        <v>185</v>
      </c>
      <c r="AZ988">
        <v>30</v>
      </c>
      <c r="BA988">
        <v>2213305</v>
      </c>
      <c r="BB988">
        <v>0.15999999642372131</v>
      </c>
      <c r="BC988">
        <v>354200</v>
      </c>
      <c r="BD988" t="s">
        <v>31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354200</v>
      </c>
      <c r="BK988" t="s">
        <v>25</v>
      </c>
      <c r="BL988" t="s">
        <v>1064</v>
      </c>
      <c r="BM988">
        <v>30</v>
      </c>
      <c r="BN988">
        <v>2213305</v>
      </c>
      <c r="BO988">
        <v>3.9999999105930328E-2</v>
      </c>
      <c r="BP988">
        <v>88600</v>
      </c>
      <c r="BQ988">
        <v>0</v>
      </c>
      <c r="BS988">
        <v>0</v>
      </c>
      <c r="BU988">
        <v>0</v>
      </c>
      <c r="BV988" t="s">
        <v>25</v>
      </c>
      <c r="BW988" t="s">
        <v>189</v>
      </c>
      <c r="BX988">
        <v>30</v>
      </c>
      <c r="BY988">
        <v>2213305</v>
      </c>
      <c r="BZ988">
        <v>6.9600000977516174E-2</v>
      </c>
      <c r="CA988" t="s">
        <v>1439</v>
      </c>
      <c r="CB988" t="s">
        <v>227</v>
      </c>
      <c r="CC988" t="s">
        <v>1440</v>
      </c>
      <c r="CD988">
        <v>154100</v>
      </c>
      <c r="CE988">
        <v>30</v>
      </c>
      <c r="CF988" t="s">
        <v>635</v>
      </c>
      <c r="CG988">
        <v>2213305</v>
      </c>
      <c r="CH988">
        <v>3.9999999105930328E-2</v>
      </c>
      <c r="CI988">
        <v>88600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 t="s">
        <v>88</v>
      </c>
      <c r="CT988" t="s">
        <v>142</v>
      </c>
      <c r="CU988" t="s">
        <v>1442</v>
      </c>
    </row>
    <row r="989" spans="1:99">
      <c r="A989" t="s">
        <v>3047</v>
      </c>
      <c r="B989" t="s">
        <v>34</v>
      </c>
      <c r="C989" t="s">
        <v>2393</v>
      </c>
      <c r="D989" t="s">
        <v>2394</v>
      </c>
      <c r="E989" t="s">
        <v>2395</v>
      </c>
      <c r="F989" t="s">
        <v>2396</v>
      </c>
      <c r="G989" t="s">
        <v>2135</v>
      </c>
      <c r="H989" t="s">
        <v>1548</v>
      </c>
      <c r="I989" t="s">
        <v>240</v>
      </c>
      <c r="J989" t="s">
        <v>46</v>
      </c>
      <c r="K989" t="s">
        <v>29</v>
      </c>
      <c r="L989" t="s">
        <v>30</v>
      </c>
      <c r="M989">
        <v>0</v>
      </c>
      <c r="N989" t="s">
        <v>32</v>
      </c>
      <c r="O989" t="s">
        <v>32</v>
      </c>
      <c r="Q989" t="s">
        <v>32</v>
      </c>
      <c r="S989" t="s">
        <v>32</v>
      </c>
      <c r="U989" t="s">
        <v>32</v>
      </c>
      <c r="V989" t="s">
        <v>32</v>
      </c>
      <c r="W989" t="s">
        <v>32</v>
      </c>
      <c r="X989" t="s">
        <v>32</v>
      </c>
      <c r="Y989" t="s">
        <v>32</v>
      </c>
      <c r="AA989" t="s">
        <v>32</v>
      </c>
      <c r="AB989" t="s">
        <v>32</v>
      </c>
      <c r="AE989" t="s">
        <v>32</v>
      </c>
      <c r="AH989" t="s">
        <v>32</v>
      </c>
      <c r="AK989" t="s">
        <v>128</v>
      </c>
      <c r="AL989">
        <v>46054</v>
      </c>
      <c r="AM989">
        <v>46054</v>
      </c>
      <c r="AN989" t="s">
        <v>32</v>
      </c>
      <c r="AO989" t="s">
        <v>32</v>
      </c>
      <c r="AR989">
        <v>0</v>
      </c>
      <c r="AU989" t="s">
        <v>32</v>
      </c>
      <c r="AV989">
        <v>4678846</v>
      </c>
      <c r="AW989" t="s">
        <v>32</v>
      </c>
      <c r="AX989" t="s">
        <v>32</v>
      </c>
      <c r="AY989" t="s">
        <v>185</v>
      </c>
      <c r="AZ989">
        <v>1</v>
      </c>
      <c r="BA989">
        <v>155962</v>
      </c>
      <c r="BB989">
        <v>0.15999999642372131</v>
      </c>
      <c r="BC989">
        <v>25000</v>
      </c>
      <c r="BD989" t="s">
        <v>31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25000</v>
      </c>
      <c r="BK989" t="s">
        <v>25</v>
      </c>
      <c r="BL989" t="s">
        <v>1071</v>
      </c>
      <c r="BM989">
        <v>1</v>
      </c>
      <c r="BN989">
        <v>155962</v>
      </c>
      <c r="BO989">
        <v>3.9999999105930328E-2</v>
      </c>
      <c r="BP989">
        <v>6300</v>
      </c>
      <c r="BQ989">
        <v>0</v>
      </c>
      <c r="BS989">
        <v>0</v>
      </c>
      <c r="BU989">
        <v>0</v>
      </c>
      <c r="BV989" t="s">
        <v>25</v>
      </c>
      <c r="BW989" t="s">
        <v>189</v>
      </c>
      <c r="BX989">
        <v>1</v>
      </c>
      <c r="BY989">
        <v>155962</v>
      </c>
      <c r="BZ989">
        <v>0</v>
      </c>
      <c r="CA989" t="s">
        <v>1439</v>
      </c>
      <c r="CB989" t="s">
        <v>227</v>
      </c>
      <c r="CC989" t="s">
        <v>1440</v>
      </c>
      <c r="CD989">
        <v>0</v>
      </c>
      <c r="CE989">
        <v>1</v>
      </c>
      <c r="CF989" t="s">
        <v>635</v>
      </c>
      <c r="CG989">
        <v>155962</v>
      </c>
      <c r="CH989">
        <v>3.9999999105930328E-2</v>
      </c>
      <c r="CI989">
        <v>6300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 t="s">
        <v>88</v>
      </c>
      <c r="CT989" t="s">
        <v>142</v>
      </c>
      <c r="CU989" t="s">
        <v>1442</v>
      </c>
    </row>
    <row r="990" spans="1:99">
      <c r="A990" t="s">
        <v>3047</v>
      </c>
      <c r="B990" t="s">
        <v>34</v>
      </c>
      <c r="C990" t="s">
        <v>2393</v>
      </c>
      <c r="D990" t="s">
        <v>2394</v>
      </c>
      <c r="E990" t="s">
        <v>2395</v>
      </c>
      <c r="F990" t="s">
        <v>2396</v>
      </c>
      <c r="G990" t="s">
        <v>2135</v>
      </c>
      <c r="H990" t="s">
        <v>1548</v>
      </c>
      <c r="I990" t="s">
        <v>240</v>
      </c>
      <c r="J990" t="s">
        <v>46</v>
      </c>
      <c r="K990" t="s">
        <v>29</v>
      </c>
      <c r="L990" t="s">
        <v>30</v>
      </c>
      <c r="M990">
        <v>180</v>
      </c>
      <c r="N990" t="s">
        <v>32</v>
      </c>
      <c r="O990" t="s">
        <v>32</v>
      </c>
      <c r="Q990" t="s">
        <v>32</v>
      </c>
      <c r="S990" t="s">
        <v>32</v>
      </c>
      <c r="U990" t="s">
        <v>32</v>
      </c>
      <c r="V990" t="s">
        <v>32</v>
      </c>
      <c r="W990" t="s">
        <v>32</v>
      </c>
      <c r="X990" t="s">
        <v>32</v>
      </c>
      <c r="Y990" t="s">
        <v>88</v>
      </c>
      <c r="Z990">
        <v>46054</v>
      </c>
      <c r="AA990" t="s">
        <v>88</v>
      </c>
      <c r="AB990" t="s">
        <v>32</v>
      </c>
      <c r="AE990" t="s">
        <v>32</v>
      </c>
      <c r="AH990" t="s">
        <v>32</v>
      </c>
      <c r="AK990" t="s">
        <v>32</v>
      </c>
      <c r="AN990" t="s">
        <v>32</v>
      </c>
      <c r="AO990" t="s">
        <v>32</v>
      </c>
      <c r="AR990">
        <v>0</v>
      </c>
      <c r="AU990" t="s">
        <v>32</v>
      </c>
      <c r="AV990">
        <v>4678846</v>
      </c>
      <c r="AW990" t="s">
        <v>32</v>
      </c>
      <c r="AX990" t="s">
        <v>32</v>
      </c>
      <c r="AY990" t="s">
        <v>185</v>
      </c>
      <c r="AZ990">
        <v>29</v>
      </c>
      <c r="BA990">
        <v>4522885</v>
      </c>
      <c r="BB990">
        <v>0.15999999642372131</v>
      </c>
      <c r="BC990">
        <v>723700</v>
      </c>
      <c r="BD990" t="s">
        <v>31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723700</v>
      </c>
      <c r="BK990" t="s">
        <v>25</v>
      </c>
      <c r="BL990" t="s">
        <v>1071</v>
      </c>
      <c r="BM990">
        <v>29</v>
      </c>
      <c r="BN990">
        <v>4522885</v>
      </c>
      <c r="BO990">
        <v>3.9999999105930328E-2</v>
      </c>
      <c r="BP990">
        <v>181000</v>
      </c>
      <c r="BQ990">
        <v>0</v>
      </c>
      <c r="BS990">
        <v>0</v>
      </c>
      <c r="BU990">
        <v>0</v>
      </c>
      <c r="BV990" t="s">
        <v>25</v>
      </c>
      <c r="BW990" t="s">
        <v>189</v>
      </c>
      <c r="BX990">
        <v>29</v>
      </c>
      <c r="BY990">
        <v>4522885</v>
      </c>
      <c r="BZ990">
        <v>6.9600000977516174E-2</v>
      </c>
      <c r="CA990" t="s">
        <v>1439</v>
      </c>
      <c r="CB990" t="s">
        <v>227</v>
      </c>
      <c r="CC990" t="s">
        <v>1440</v>
      </c>
      <c r="CD990">
        <v>314800</v>
      </c>
      <c r="CE990">
        <v>29</v>
      </c>
      <c r="CF990" t="s">
        <v>635</v>
      </c>
      <c r="CG990">
        <v>4522885</v>
      </c>
      <c r="CH990">
        <v>3.9999999105930328E-2</v>
      </c>
      <c r="CI990">
        <v>181000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 t="s">
        <v>88</v>
      </c>
      <c r="CT990" t="s">
        <v>142</v>
      </c>
      <c r="CU990" t="s">
        <v>1442</v>
      </c>
    </row>
    <row r="991" spans="1:99">
      <c r="A991" t="s">
        <v>3047</v>
      </c>
      <c r="B991" t="s">
        <v>34</v>
      </c>
      <c r="C991" t="s">
        <v>2397</v>
      </c>
      <c r="D991" t="s">
        <v>2398</v>
      </c>
      <c r="E991" t="s">
        <v>1506</v>
      </c>
      <c r="F991" t="s">
        <v>1705</v>
      </c>
      <c r="G991" t="s">
        <v>2399</v>
      </c>
      <c r="H991" t="s">
        <v>2400</v>
      </c>
      <c r="I991" t="s">
        <v>240</v>
      </c>
      <c r="J991" t="s">
        <v>46</v>
      </c>
      <c r="K991" t="s">
        <v>29</v>
      </c>
      <c r="L991" t="s">
        <v>30</v>
      </c>
      <c r="M991">
        <v>188</v>
      </c>
      <c r="N991" t="s">
        <v>32</v>
      </c>
      <c r="O991" t="s">
        <v>32</v>
      </c>
      <c r="Q991" t="s">
        <v>32</v>
      </c>
      <c r="S991" t="s">
        <v>32</v>
      </c>
      <c r="U991" t="s">
        <v>32</v>
      </c>
      <c r="V991" t="s">
        <v>32</v>
      </c>
      <c r="W991" t="s">
        <v>32</v>
      </c>
      <c r="X991" t="s">
        <v>32</v>
      </c>
      <c r="Y991" t="s">
        <v>88</v>
      </c>
      <c r="Z991">
        <v>46054</v>
      </c>
      <c r="AA991" t="s">
        <v>88</v>
      </c>
      <c r="AB991" t="s">
        <v>32</v>
      </c>
      <c r="AE991" t="s">
        <v>32</v>
      </c>
      <c r="AH991" t="s">
        <v>32</v>
      </c>
      <c r="AK991" t="s">
        <v>32</v>
      </c>
      <c r="AN991" t="s">
        <v>32</v>
      </c>
      <c r="AO991" t="s">
        <v>32</v>
      </c>
      <c r="AR991">
        <v>0</v>
      </c>
      <c r="AU991" t="s">
        <v>32</v>
      </c>
      <c r="AV991">
        <v>4024292</v>
      </c>
      <c r="AW991" t="s">
        <v>32</v>
      </c>
      <c r="AX991" t="s">
        <v>32</v>
      </c>
      <c r="AY991" t="s">
        <v>356</v>
      </c>
      <c r="AZ991">
        <v>30</v>
      </c>
      <c r="BA991">
        <v>4024292</v>
      </c>
      <c r="BB991">
        <v>0.15999999642372131</v>
      </c>
      <c r="BC991">
        <v>643900</v>
      </c>
      <c r="BD991" t="s">
        <v>31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643900</v>
      </c>
      <c r="BK991" t="s">
        <v>25</v>
      </c>
      <c r="BL991" t="s">
        <v>1071</v>
      </c>
      <c r="BM991">
        <v>30</v>
      </c>
      <c r="BN991">
        <v>4024292</v>
      </c>
      <c r="BO991">
        <v>3.9999999105930328E-2</v>
      </c>
      <c r="BP991">
        <v>161000</v>
      </c>
      <c r="BQ991">
        <v>0</v>
      </c>
      <c r="BS991">
        <v>0</v>
      </c>
      <c r="BU991">
        <v>0</v>
      </c>
      <c r="BV991" t="s">
        <v>25</v>
      </c>
      <c r="BW991" t="s">
        <v>189</v>
      </c>
      <c r="BX991">
        <v>30</v>
      </c>
      <c r="BY991">
        <v>4024292</v>
      </c>
      <c r="BZ991">
        <v>2.4360001087188721E-2</v>
      </c>
      <c r="CA991" t="s">
        <v>1772</v>
      </c>
      <c r="CB991" t="s">
        <v>227</v>
      </c>
      <c r="CC991" t="s">
        <v>1773</v>
      </c>
      <c r="CD991">
        <v>98100</v>
      </c>
      <c r="CE991">
        <v>30</v>
      </c>
      <c r="CF991" t="s">
        <v>635</v>
      </c>
      <c r="CG991">
        <v>4024292</v>
      </c>
      <c r="CH991">
        <v>3.9999999105930328E-2</v>
      </c>
      <c r="CI991">
        <v>161000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 t="s">
        <v>88</v>
      </c>
      <c r="CT991" t="s">
        <v>142</v>
      </c>
      <c r="CU991" t="s">
        <v>1442</v>
      </c>
    </row>
    <row r="992" spans="1:99">
      <c r="A992" t="s">
        <v>3047</v>
      </c>
      <c r="B992" t="s">
        <v>34</v>
      </c>
      <c r="C992" t="s">
        <v>2401</v>
      </c>
      <c r="D992" t="s">
        <v>2402</v>
      </c>
      <c r="E992" t="s">
        <v>2403</v>
      </c>
      <c r="F992" t="s">
        <v>1601</v>
      </c>
      <c r="G992" t="s">
        <v>1478</v>
      </c>
      <c r="H992" t="s">
        <v>1436</v>
      </c>
      <c r="I992" t="s">
        <v>682</v>
      </c>
      <c r="J992" t="s">
        <v>484</v>
      </c>
      <c r="K992" t="s">
        <v>29</v>
      </c>
      <c r="L992" t="s">
        <v>30</v>
      </c>
      <c r="M992">
        <v>205</v>
      </c>
      <c r="N992" t="s">
        <v>32</v>
      </c>
      <c r="O992" t="s">
        <v>32</v>
      </c>
      <c r="Q992" t="s">
        <v>32</v>
      </c>
      <c r="S992" t="s">
        <v>32</v>
      </c>
      <c r="U992" t="s">
        <v>32</v>
      </c>
      <c r="V992" t="s">
        <v>32</v>
      </c>
      <c r="W992" t="s">
        <v>32</v>
      </c>
      <c r="X992" t="s">
        <v>32</v>
      </c>
      <c r="Y992" t="s">
        <v>32</v>
      </c>
      <c r="AA992" t="s">
        <v>88</v>
      </c>
      <c r="AB992" t="s">
        <v>32</v>
      </c>
      <c r="AE992" t="s">
        <v>32</v>
      </c>
      <c r="AH992" t="s">
        <v>32</v>
      </c>
      <c r="AK992" t="s">
        <v>32</v>
      </c>
      <c r="AN992" t="s">
        <v>32</v>
      </c>
      <c r="AO992" t="s">
        <v>32</v>
      </c>
      <c r="AR992">
        <v>0</v>
      </c>
      <c r="AU992" t="s">
        <v>32</v>
      </c>
      <c r="AV992">
        <v>1785595</v>
      </c>
      <c r="AW992" t="s">
        <v>32</v>
      </c>
      <c r="AX992" t="s">
        <v>32</v>
      </c>
      <c r="AY992" t="s">
        <v>356</v>
      </c>
      <c r="AZ992">
        <v>30</v>
      </c>
      <c r="BA992">
        <v>2039231</v>
      </c>
      <c r="BB992">
        <v>0.15999999642372131</v>
      </c>
      <c r="BC992">
        <v>326300</v>
      </c>
      <c r="BD992" t="s">
        <v>31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326300</v>
      </c>
      <c r="BK992" t="s">
        <v>25</v>
      </c>
      <c r="BL992" t="s">
        <v>1010</v>
      </c>
      <c r="BM992">
        <v>30</v>
      </c>
      <c r="BN992">
        <v>2039231</v>
      </c>
      <c r="BO992">
        <v>3.9999999105930328E-2</v>
      </c>
      <c r="BP992">
        <v>81600</v>
      </c>
      <c r="BQ992">
        <v>0</v>
      </c>
      <c r="BS992">
        <v>0</v>
      </c>
      <c r="BU992">
        <v>0</v>
      </c>
      <c r="BV992" t="s">
        <v>25</v>
      </c>
      <c r="BW992" t="s">
        <v>189</v>
      </c>
      <c r="BX992">
        <v>30</v>
      </c>
      <c r="BY992">
        <v>2039231</v>
      </c>
      <c r="BZ992">
        <v>6.9600000977516174E-2</v>
      </c>
      <c r="CA992" t="s">
        <v>1439</v>
      </c>
      <c r="CB992" t="s">
        <v>312</v>
      </c>
      <c r="CC992" t="s">
        <v>1440</v>
      </c>
      <c r="CD992">
        <v>142000</v>
      </c>
      <c r="CE992">
        <v>30</v>
      </c>
      <c r="CF992" t="s">
        <v>466</v>
      </c>
      <c r="CG992">
        <v>2039231</v>
      </c>
      <c r="CH992">
        <v>3.9999999105930328E-2</v>
      </c>
      <c r="CI992">
        <v>81600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 t="s">
        <v>88</v>
      </c>
      <c r="CT992" t="s">
        <v>142</v>
      </c>
      <c r="CU992" t="s">
        <v>1442</v>
      </c>
    </row>
    <row r="993" spans="1:99">
      <c r="A993" t="s">
        <v>3047</v>
      </c>
      <c r="B993" t="s">
        <v>34</v>
      </c>
      <c r="C993" t="s">
        <v>2404</v>
      </c>
      <c r="D993" t="s">
        <v>2405</v>
      </c>
      <c r="E993" t="s">
        <v>1535</v>
      </c>
      <c r="F993" t="s">
        <v>1823</v>
      </c>
      <c r="G993" t="s">
        <v>1859</v>
      </c>
      <c r="H993" t="s">
        <v>1468</v>
      </c>
      <c r="I993" t="s">
        <v>240</v>
      </c>
      <c r="J993" t="s">
        <v>46</v>
      </c>
      <c r="K993" t="s">
        <v>29</v>
      </c>
      <c r="L993" t="s">
        <v>30</v>
      </c>
      <c r="M993">
        <v>123</v>
      </c>
      <c r="N993" t="s">
        <v>32</v>
      </c>
      <c r="O993" t="s">
        <v>32</v>
      </c>
      <c r="Q993" t="s">
        <v>32</v>
      </c>
      <c r="S993" t="s">
        <v>40</v>
      </c>
      <c r="T993">
        <v>46068</v>
      </c>
      <c r="U993" t="s">
        <v>32</v>
      </c>
      <c r="V993" t="s">
        <v>32</v>
      </c>
      <c r="W993" t="s">
        <v>32</v>
      </c>
      <c r="X993" t="s">
        <v>32</v>
      </c>
      <c r="Y993" t="s">
        <v>32</v>
      </c>
      <c r="AA993" t="s">
        <v>88</v>
      </c>
      <c r="AB993" t="s">
        <v>32</v>
      </c>
      <c r="AE993" t="s">
        <v>32</v>
      </c>
      <c r="AH993" t="s">
        <v>32</v>
      </c>
      <c r="AK993" t="s">
        <v>32</v>
      </c>
      <c r="AN993" t="s">
        <v>32</v>
      </c>
      <c r="AO993" t="s">
        <v>32</v>
      </c>
      <c r="AR993">
        <v>0</v>
      </c>
      <c r="AU993" t="s">
        <v>32</v>
      </c>
      <c r="AV993">
        <v>2223339</v>
      </c>
      <c r="AW993" t="s">
        <v>32</v>
      </c>
      <c r="AX993" t="s">
        <v>32</v>
      </c>
      <c r="AY993" t="s">
        <v>185</v>
      </c>
      <c r="AZ993">
        <v>15</v>
      </c>
      <c r="BA993">
        <v>2357412</v>
      </c>
      <c r="BB993">
        <v>0.15999999642372131</v>
      </c>
      <c r="BC993">
        <v>377200</v>
      </c>
      <c r="BD993" t="s">
        <v>31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377200</v>
      </c>
      <c r="BK993" t="s">
        <v>25</v>
      </c>
      <c r="BL993" t="s">
        <v>1010</v>
      </c>
      <c r="BM993">
        <v>15</v>
      </c>
      <c r="BN993">
        <v>2357412</v>
      </c>
      <c r="BO993">
        <v>3.9999999105930328E-2</v>
      </c>
      <c r="BP993">
        <v>94300</v>
      </c>
      <c r="BQ993">
        <v>0</v>
      </c>
      <c r="BS993">
        <v>0</v>
      </c>
      <c r="BU993">
        <v>0</v>
      </c>
      <c r="BV993" t="s">
        <v>25</v>
      </c>
      <c r="BW993" t="s">
        <v>189</v>
      </c>
      <c r="BX993">
        <v>15</v>
      </c>
      <c r="BY993">
        <v>2357412</v>
      </c>
      <c r="BZ993">
        <v>6.9600000977516174E-2</v>
      </c>
      <c r="CA993" t="s">
        <v>1439</v>
      </c>
      <c r="CB993" t="s">
        <v>227</v>
      </c>
      <c r="CC993" t="s">
        <v>1440</v>
      </c>
      <c r="CD993">
        <v>164100</v>
      </c>
      <c r="CE993">
        <v>15</v>
      </c>
      <c r="CF993" t="s">
        <v>635</v>
      </c>
      <c r="CG993">
        <v>2926830</v>
      </c>
      <c r="CH993">
        <v>3.9999999105930328E-2</v>
      </c>
      <c r="CI993">
        <v>117100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 t="s">
        <v>88</v>
      </c>
      <c r="CT993" t="s">
        <v>142</v>
      </c>
      <c r="CU993" t="s">
        <v>1442</v>
      </c>
    </row>
    <row r="994" spans="1:99">
      <c r="A994" t="s">
        <v>3047</v>
      </c>
      <c r="B994" t="s">
        <v>34</v>
      </c>
      <c r="C994" t="s">
        <v>2406</v>
      </c>
      <c r="D994" t="s">
        <v>2407</v>
      </c>
      <c r="E994" t="s">
        <v>1449</v>
      </c>
      <c r="F994" t="s">
        <v>2338</v>
      </c>
      <c r="G994" t="s">
        <v>1706</v>
      </c>
      <c r="H994" t="s">
        <v>1757</v>
      </c>
      <c r="I994" t="s">
        <v>240</v>
      </c>
      <c r="J994" t="s">
        <v>46</v>
      </c>
      <c r="K994" t="s">
        <v>29</v>
      </c>
      <c r="L994" t="s">
        <v>30</v>
      </c>
      <c r="M994">
        <v>279</v>
      </c>
      <c r="N994" t="s">
        <v>32</v>
      </c>
      <c r="O994" t="s">
        <v>32</v>
      </c>
      <c r="Q994" t="s">
        <v>32</v>
      </c>
      <c r="S994" t="s">
        <v>32</v>
      </c>
      <c r="U994" t="s">
        <v>32</v>
      </c>
      <c r="V994" t="s">
        <v>32</v>
      </c>
      <c r="W994" t="s">
        <v>32</v>
      </c>
      <c r="X994" t="s">
        <v>32</v>
      </c>
      <c r="Y994" t="s">
        <v>88</v>
      </c>
      <c r="Z994">
        <v>46054</v>
      </c>
      <c r="AA994" t="s">
        <v>88</v>
      </c>
      <c r="AB994" t="s">
        <v>32</v>
      </c>
      <c r="AE994" t="s">
        <v>32</v>
      </c>
      <c r="AH994" t="s">
        <v>32</v>
      </c>
      <c r="AK994" t="s">
        <v>32</v>
      </c>
      <c r="AN994" t="s">
        <v>32</v>
      </c>
      <c r="AO994" t="s">
        <v>32</v>
      </c>
      <c r="AR994">
        <v>0</v>
      </c>
      <c r="AU994" t="s">
        <v>32</v>
      </c>
      <c r="AV994">
        <v>2296814</v>
      </c>
      <c r="AW994" t="s">
        <v>32</v>
      </c>
      <c r="AX994" t="s">
        <v>32</v>
      </c>
      <c r="AY994" t="s">
        <v>185</v>
      </c>
      <c r="AZ994">
        <v>30</v>
      </c>
      <c r="BA994">
        <v>4057791</v>
      </c>
      <c r="BB994">
        <v>0.15999999642372131</v>
      </c>
      <c r="BC994">
        <v>649300</v>
      </c>
      <c r="BD994" t="s">
        <v>31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649300</v>
      </c>
      <c r="BK994" t="s">
        <v>25</v>
      </c>
      <c r="BL994" t="s">
        <v>1000</v>
      </c>
      <c r="BM994">
        <v>30</v>
      </c>
      <c r="BN994">
        <v>4057791</v>
      </c>
      <c r="BO994">
        <v>3.9999999105930328E-2</v>
      </c>
      <c r="BP994">
        <v>162400</v>
      </c>
      <c r="BQ994">
        <v>0</v>
      </c>
      <c r="BS994">
        <v>0</v>
      </c>
      <c r="BU994">
        <v>0</v>
      </c>
      <c r="BV994" t="s">
        <v>25</v>
      </c>
      <c r="BW994" t="s">
        <v>189</v>
      </c>
      <c r="BX994">
        <v>30</v>
      </c>
      <c r="BY994">
        <v>4057791</v>
      </c>
      <c r="BZ994">
        <v>6.9600000977516174E-2</v>
      </c>
      <c r="CA994" t="s">
        <v>1439</v>
      </c>
      <c r="CB994" t="s">
        <v>227</v>
      </c>
      <c r="CC994" t="s">
        <v>1440</v>
      </c>
      <c r="CD994">
        <v>282500</v>
      </c>
      <c r="CE994">
        <v>30</v>
      </c>
      <c r="CF994" t="s">
        <v>635</v>
      </c>
      <c r="CG994">
        <v>4057791</v>
      </c>
      <c r="CH994">
        <v>3.9999999105930328E-2</v>
      </c>
      <c r="CI994">
        <v>162400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 t="s">
        <v>88</v>
      </c>
      <c r="CT994" t="s">
        <v>142</v>
      </c>
      <c r="CU994" t="s">
        <v>1442</v>
      </c>
    </row>
    <row r="995" spans="1:99">
      <c r="A995" t="s">
        <v>3047</v>
      </c>
      <c r="B995" t="s">
        <v>34</v>
      </c>
      <c r="C995" t="s">
        <v>2408</v>
      </c>
      <c r="D995" t="s">
        <v>2409</v>
      </c>
      <c r="E995" t="s">
        <v>2250</v>
      </c>
      <c r="F995" t="s">
        <v>1547</v>
      </c>
      <c r="G995" t="s">
        <v>2410</v>
      </c>
      <c r="H995" t="s">
        <v>1489</v>
      </c>
      <c r="I995" t="s">
        <v>240</v>
      </c>
      <c r="J995" t="s">
        <v>46</v>
      </c>
      <c r="K995" t="s">
        <v>29</v>
      </c>
      <c r="L995" t="s">
        <v>30</v>
      </c>
      <c r="M995">
        <v>203</v>
      </c>
      <c r="N995" t="s">
        <v>32</v>
      </c>
      <c r="O995" t="s">
        <v>32</v>
      </c>
      <c r="Q995" t="s">
        <v>32</v>
      </c>
      <c r="S995" t="s">
        <v>32</v>
      </c>
      <c r="U995" t="s">
        <v>32</v>
      </c>
      <c r="V995" t="s">
        <v>32</v>
      </c>
      <c r="W995" t="s">
        <v>32</v>
      </c>
      <c r="X995" t="s">
        <v>32</v>
      </c>
      <c r="Y995" t="s">
        <v>32</v>
      </c>
      <c r="AA995" t="s">
        <v>88</v>
      </c>
      <c r="AB995" t="s">
        <v>32</v>
      </c>
      <c r="AE995" t="s">
        <v>32</v>
      </c>
      <c r="AH995" t="s">
        <v>32</v>
      </c>
      <c r="AK995" t="s">
        <v>32</v>
      </c>
      <c r="AN995" t="s">
        <v>32</v>
      </c>
      <c r="AO995" t="s">
        <v>32</v>
      </c>
      <c r="AR995">
        <v>0</v>
      </c>
      <c r="AU995" t="s">
        <v>32</v>
      </c>
      <c r="AV995">
        <v>2223339</v>
      </c>
      <c r="AW995" t="s">
        <v>32</v>
      </c>
      <c r="AX995" t="s">
        <v>32</v>
      </c>
      <c r="AY995" t="s">
        <v>137</v>
      </c>
      <c r="AZ995">
        <v>30</v>
      </c>
      <c r="BA995">
        <v>2519784</v>
      </c>
      <c r="BB995">
        <v>0.15999999642372131</v>
      </c>
      <c r="BC995">
        <v>403200</v>
      </c>
      <c r="BD995" t="s">
        <v>31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403200</v>
      </c>
      <c r="BK995" t="s">
        <v>25</v>
      </c>
      <c r="BL995" t="s">
        <v>1064</v>
      </c>
      <c r="BM995">
        <v>30</v>
      </c>
      <c r="BN995">
        <v>2519784</v>
      </c>
      <c r="BO995">
        <v>3.9999999105930328E-2</v>
      </c>
      <c r="BP995">
        <v>100800</v>
      </c>
      <c r="BQ995">
        <v>0</v>
      </c>
      <c r="BS995">
        <v>0</v>
      </c>
      <c r="BU995">
        <v>0</v>
      </c>
      <c r="BV995" t="s">
        <v>25</v>
      </c>
      <c r="BW995" t="s">
        <v>189</v>
      </c>
      <c r="BX995">
        <v>30</v>
      </c>
      <c r="BY995">
        <v>2519784</v>
      </c>
      <c r="BZ995">
        <v>6.9600000977516174E-2</v>
      </c>
      <c r="CA995" t="s">
        <v>1439</v>
      </c>
      <c r="CB995" t="s">
        <v>227</v>
      </c>
      <c r="CC995" t="s">
        <v>1440</v>
      </c>
      <c r="CD995">
        <v>175400</v>
      </c>
      <c r="CE995">
        <v>30</v>
      </c>
      <c r="CF995" t="s">
        <v>635</v>
      </c>
      <c r="CG995">
        <v>2513890</v>
      </c>
      <c r="CH995">
        <v>3.9999999105930328E-2</v>
      </c>
      <c r="CI995">
        <v>100600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 t="s">
        <v>88</v>
      </c>
      <c r="CT995" t="s">
        <v>142</v>
      </c>
      <c r="CU995" t="s">
        <v>1442</v>
      </c>
    </row>
    <row r="996" spans="1:99">
      <c r="A996" t="s">
        <v>3047</v>
      </c>
      <c r="B996" t="s">
        <v>34</v>
      </c>
      <c r="C996" t="s">
        <v>2411</v>
      </c>
      <c r="D996" t="s">
        <v>2412</v>
      </c>
      <c r="E996" t="s">
        <v>2413</v>
      </c>
      <c r="F996" t="s">
        <v>1941</v>
      </c>
      <c r="G996" t="s">
        <v>1478</v>
      </c>
      <c r="H996" t="s">
        <v>2414</v>
      </c>
      <c r="I996" t="s">
        <v>240</v>
      </c>
      <c r="J996" t="s">
        <v>46</v>
      </c>
      <c r="K996" t="s">
        <v>29</v>
      </c>
      <c r="L996" t="s">
        <v>30</v>
      </c>
      <c r="M996">
        <v>202</v>
      </c>
      <c r="N996" t="s">
        <v>32</v>
      </c>
      <c r="O996" t="s">
        <v>32</v>
      </c>
      <c r="Q996" t="s">
        <v>32</v>
      </c>
      <c r="S996" t="s">
        <v>32</v>
      </c>
      <c r="U996" t="s">
        <v>32</v>
      </c>
      <c r="V996" t="s">
        <v>32</v>
      </c>
      <c r="W996" t="s">
        <v>32</v>
      </c>
      <c r="X996" t="s">
        <v>32</v>
      </c>
      <c r="Y996" t="s">
        <v>32</v>
      </c>
      <c r="AA996" t="s">
        <v>88</v>
      </c>
      <c r="AB996" t="s">
        <v>32</v>
      </c>
      <c r="AE996" t="s">
        <v>32</v>
      </c>
      <c r="AH996" t="s">
        <v>32</v>
      </c>
      <c r="AK996" t="s">
        <v>32</v>
      </c>
      <c r="AN996" t="s">
        <v>32</v>
      </c>
      <c r="AO996" t="s">
        <v>32</v>
      </c>
      <c r="AR996">
        <v>0</v>
      </c>
      <c r="AU996" t="s">
        <v>32</v>
      </c>
      <c r="AV996">
        <v>2223339</v>
      </c>
      <c r="AW996" t="s">
        <v>32</v>
      </c>
      <c r="AX996" t="s">
        <v>32</v>
      </c>
      <c r="AY996" t="s">
        <v>356</v>
      </c>
      <c r="AZ996">
        <v>30</v>
      </c>
      <c r="BA996">
        <v>2764436</v>
      </c>
      <c r="BB996">
        <v>0.15999999642372131</v>
      </c>
      <c r="BC996">
        <v>442400</v>
      </c>
      <c r="BD996" t="s">
        <v>31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442400</v>
      </c>
      <c r="BK996" t="s">
        <v>25</v>
      </c>
      <c r="BL996" t="s">
        <v>885</v>
      </c>
      <c r="BM996">
        <v>30</v>
      </c>
      <c r="BN996">
        <v>2764436</v>
      </c>
      <c r="BO996">
        <v>3.9999999105930328E-2</v>
      </c>
      <c r="BP996">
        <v>110600</v>
      </c>
      <c r="BQ996">
        <v>0</v>
      </c>
      <c r="BS996">
        <v>0</v>
      </c>
      <c r="BU996">
        <v>0</v>
      </c>
      <c r="BV996" t="s">
        <v>25</v>
      </c>
      <c r="BW996" t="s">
        <v>189</v>
      </c>
      <c r="BX996">
        <v>30</v>
      </c>
      <c r="BY996">
        <v>2764436</v>
      </c>
      <c r="BZ996">
        <v>6.9600000977516174E-2</v>
      </c>
      <c r="CA996" t="s">
        <v>1439</v>
      </c>
      <c r="CB996" t="s">
        <v>227</v>
      </c>
      <c r="CC996" t="s">
        <v>1440</v>
      </c>
      <c r="CD996">
        <v>192500</v>
      </c>
      <c r="CE996">
        <v>30</v>
      </c>
      <c r="CF996" t="s">
        <v>635</v>
      </c>
      <c r="CG996">
        <v>2764436</v>
      </c>
      <c r="CH996">
        <v>3.9999999105930328E-2</v>
      </c>
      <c r="CI996">
        <v>110600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 t="s">
        <v>88</v>
      </c>
      <c r="CT996" t="s">
        <v>142</v>
      </c>
      <c r="CU996" t="s">
        <v>1442</v>
      </c>
    </row>
    <row r="997" spans="1:99">
      <c r="A997" t="s">
        <v>3047</v>
      </c>
      <c r="B997" t="s">
        <v>34</v>
      </c>
      <c r="C997" t="s">
        <v>2418</v>
      </c>
      <c r="D997" t="s">
        <v>2419</v>
      </c>
      <c r="E997" t="s">
        <v>2125</v>
      </c>
      <c r="F997" t="s">
        <v>2420</v>
      </c>
      <c r="G997" t="s">
        <v>2421</v>
      </c>
      <c r="H997" t="s">
        <v>1558</v>
      </c>
      <c r="I997" t="s">
        <v>682</v>
      </c>
      <c r="J997" t="s">
        <v>484</v>
      </c>
      <c r="K997" t="s">
        <v>29</v>
      </c>
      <c r="L997" t="s">
        <v>30</v>
      </c>
      <c r="M997">
        <v>0</v>
      </c>
      <c r="N997" t="s">
        <v>32</v>
      </c>
      <c r="O997" t="s">
        <v>32</v>
      </c>
      <c r="Q997" t="s">
        <v>32</v>
      </c>
      <c r="S997" t="s">
        <v>32</v>
      </c>
      <c r="U997" t="s">
        <v>32</v>
      </c>
      <c r="V997" t="s">
        <v>32</v>
      </c>
      <c r="W997" t="s">
        <v>32</v>
      </c>
      <c r="X997" t="s">
        <v>32</v>
      </c>
      <c r="Y997" t="s">
        <v>32</v>
      </c>
      <c r="AA997" t="s">
        <v>32</v>
      </c>
      <c r="AB997" t="s">
        <v>32</v>
      </c>
      <c r="AE997" t="s">
        <v>32</v>
      </c>
      <c r="AH997" t="s">
        <v>32</v>
      </c>
      <c r="AK997" t="s">
        <v>128</v>
      </c>
      <c r="AL997">
        <v>46069</v>
      </c>
      <c r="AM997">
        <v>46075</v>
      </c>
      <c r="AN997" t="s">
        <v>32</v>
      </c>
      <c r="AO997" t="s">
        <v>32</v>
      </c>
      <c r="AR997">
        <v>0</v>
      </c>
      <c r="AU997" t="s">
        <v>32</v>
      </c>
      <c r="AV997">
        <v>6373428</v>
      </c>
      <c r="AW997" t="s">
        <v>32</v>
      </c>
      <c r="AX997" t="s">
        <v>32</v>
      </c>
      <c r="AY997" t="s">
        <v>317</v>
      </c>
      <c r="AZ997">
        <v>7</v>
      </c>
      <c r="BA997">
        <v>1487134</v>
      </c>
      <c r="BB997">
        <v>0.15999999642372131</v>
      </c>
      <c r="BC997">
        <v>238000</v>
      </c>
      <c r="BD997" t="s">
        <v>31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238000</v>
      </c>
      <c r="BK997" t="s">
        <v>25</v>
      </c>
      <c r="BL997" t="s">
        <v>1010</v>
      </c>
      <c r="BM997">
        <v>7</v>
      </c>
      <c r="BN997">
        <v>1487134</v>
      </c>
      <c r="BO997">
        <v>3.9999999105930328E-2</v>
      </c>
      <c r="BP997">
        <v>59500</v>
      </c>
      <c r="BQ997">
        <v>0</v>
      </c>
      <c r="BS997">
        <v>0</v>
      </c>
      <c r="BU997">
        <v>0</v>
      </c>
      <c r="BV997" t="s">
        <v>25</v>
      </c>
      <c r="BW997" t="s">
        <v>189</v>
      </c>
      <c r="BX997">
        <v>7</v>
      </c>
      <c r="BY997">
        <v>1487134</v>
      </c>
      <c r="BZ997">
        <v>0</v>
      </c>
      <c r="CA997" t="s">
        <v>1439</v>
      </c>
      <c r="CB997" t="s">
        <v>312</v>
      </c>
      <c r="CC997" t="s">
        <v>1440</v>
      </c>
      <c r="CD997">
        <v>0</v>
      </c>
      <c r="CE997">
        <v>7</v>
      </c>
      <c r="CF997" t="s">
        <v>466</v>
      </c>
      <c r="CG997">
        <v>1487134</v>
      </c>
      <c r="CH997">
        <v>3.9999999105930328E-2</v>
      </c>
      <c r="CI997">
        <v>59500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 t="s">
        <v>88</v>
      </c>
      <c r="CT997" t="s">
        <v>142</v>
      </c>
      <c r="CU997" t="s">
        <v>1442</v>
      </c>
    </row>
    <row r="998" spans="1:99">
      <c r="A998" t="s">
        <v>3047</v>
      </c>
      <c r="B998" t="s">
        <v>34</v>
      </c>
      <c r="C998" t="s">
        <v>2418</v>
      </c>
      <c r="D998" t="s">
        <v>2419</v>
      </c>
      <c r="E998" t="s">
        <v>2125</v>
      </c>
      <c r="F998" t="s">
        <v>2420</v>
      </c>
      <c r="G998" t="s">
        <v>2421</v>
      </c>
      <c r="H998" t="s">
        <v>1558</v>
      </c>
      <c r="I998" t="s">
        <v>682</v>
      </c>
      <c r="J998" t="s">
        <v>484</v>
      </c>
      <c r="K998" t="s">
        <v>29</v>
      </c>
      <c r="L998" t="s">
        <v>30</v>
      </c>
      <c r="M998">
        <v>135</v>
      </c>
      <c r="N998" t="s">
        <v>32</v>
      </c>
      <c r="O998" t="s">
        <v>32</v>
      </c>
      <c r="Q998" t="s">
        <v>32</v>
      </c>
      <c r="S998" t="s">
        <v>32</v>
      </c>
      <c r="U998" t="s">
        <v>32</v>
      </c>
      <c r="V998" t="s">
        <v>32</v>
      </c>
      <c r="W998" t="s">
        <v>32</v>
      </c>
      <c r="X998" t="s">
        <v>32</v>
      </c>
      <c r="Y998" t="s">
        <v>32</v>
      </c>
      <c r="AA998" t="s">
        <v>88</v>
      </c>
      <c r="AB998" t="s">
        <v>32</v>
      </c>
      <c r="AE998" t="s">
        <v>32</v>
      </c>
      <c r="AH998" t="s">
        <v>32</v>
      </c>
      <c r="AK998" t="s">
        <v>32</v>
      </c>
      <c r="AN998" t="s">
        <v>32</v>
      </c>
      <c r="AO998" t="s">
        <v>32</v>
      </c>
      <c r="AR998">
        <v>0</v>
      </c>
      <c r="AU998" t="s">
        <v>32</v>
      </c>
      <c r="AV998">
        <v>6373428</v>
      </c>
      <c r="AW998" t="s">
        <v>32</v>
      </c>
      <c r="AX998" t="s">
        <v>32</v>
      </c>
      <c r="AY998" t="s">
        <v>317</v>
      </c>
      <c r="AZ998">
        <v>23</v>
      </c>
      <c r="BA998">
        <v>4886295</v>
      </c>
      <c r="BB998">
        <v>0.15999999642372131</v>
      </c>
      <c r="BC998">
        <v>781900</v>
      </c>
      <c r="BD998" t="s">
        <v>31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781900</v>
      </c>
      <c r="BK998" t="s">
        <v>25</v>
      </c>
      <c r="BL998" t="s">
        <v>1010</v>
      </c>
      <c r="BM998">
        <v>23</v>
      </c>
      <c r="BN998">
        <v>4886295</v>
      </c>
      <c r="BO998">
        <v>3.9999999105930328E-2</v>
      </c>
      <c r="BP998">
        <v>195500</v>
      </c>
      <c r="BQ998">
        <v>0</v>
      </c>
      <c r="BS998">
        <v>0</v>
      </c>
      <c r="BU998">
        <v>0</v>
      </c>
      <c r="BV998" t="s">
        <v>25</v>
      </c>
      <c r="BW998" t="s">
        <v>189</v>
      </c>
      <c r="BX998">
        <v>23</v>
      </c>
      <c r="BY998">
        <v>4886295</v>
      </c>
      <c r="BZ998">
        <v>6.9600000977516174E-2</v>
      </c>
      <c r="CA998" t="s">
        <v>1439</v>
      </c>
      <c r="CB998" t="s">
        <v>312</v>
      </c>
      <c r="CC998" t="s">
        <v>1440</v>
      </c>
      <c r="CD998">
        <v>340100</v>
      </c>
      <c r="CE998">
        <v>23</v>
      </c>
      <c r="CF998" t="s">
        <v>466</v>
      </c>
      <c r="CG998">
        <v>4886295</v>
      </c>
      <c r="CH998">
        <v>3.9999999105930328E-2</v>
      </c>
      <c r="CI998">
        <v>195500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 t="s">
        <v>88</v>
      </c>
      <c r="CT998" t="s">
        <v>142</v>
      </c>
      <c r="CU998" t="s">
        <v>1442</v>
      </c>
    </row>
    <row r="999" spans="1:99">
      <c r="A999" t="s">
        <v>3047</v>
      </c>
      <c r="B999" t="s">
        <v>34</v>
      </c>
      <c r="C999" t="s">
        <v>2422</v>
      </c>
      <c r="D999" t="s">
        <v>2423</v>
      </c>
      <c r="E999" t="s">
        <v>2186</v>
      </c>
      <c r="F999" t="s">
        <v>2424</v>
      </c>
      <c r="G999" t="s">
        <v>1503</v>
      </c>
      <c r="H999" t="s">
        <v>2375</v>
      </c>
      <c r="I999" t="s">
        <v>682</v>
      </c>
      <c r="J999" t="s">
        <v>484</v>
      </c>
      <c r="K999" t="s">
        <v>29</v>
      </c>
      <c r="L999" t="s">
        <v>30</v>
      </c>
      <c r="M999">
        <v>0</v>
      </c>
      <c r="N999" t="s">
        <v>32</v>
      </c>
      <c r="O999" t="s">
        <v>32</v>
      </c>
      <c r="Q999" t="s">
        <v>32</v>
      </c>
      <c r="S999" t="s">
        <v>32</v>
      </c>
      <c r="U999" t="s">
        <v>32</v>
      </c>
      <c r="V999" t="s">
        <v>32</v>
      </c>
      <c r="W999" t="s">
        <v>32</v>
      </c>
      <c r="X999" t="s">
        <v>32</v>
      </c>
      <c r="Y999" t="s">
        <v>32</v>
      </c>
      <c r="AA999" t="s">
        <v>32</v>
      </c>
      <c r="AB999" t="s">
        <v>32</v>
      </c>
      <c r="AE999" t="s">
        <v>32</v>
      </c>
      <c r="AH999" t="s">
        <v>32</v>
      </c>
      <c r="AK999" t="s">
        <v>128</v>
      </c>
      <c r="AL999">
        <v>46069</v>
      </c>
      <c r="AM999">
        <v>46073</v>
      </c>
      <c r="AN999" t="s">
        <v>32</v>
      </c>
      <c r="AO999" t="s">
        <v>32</v>
      </c>
      <c r="AR999">
        <v>0</v>
      </c>
      <c r="AU999" t="s">
        <v>32</v>
      </c>
      <c r="AV999">
        <v>2223339</v>
      </c>
      <c r="AW999" t="s">
        <v>32</v>
      </c>
      <c r="AX999" t="s">
        <v>32</v>
      </c>
      <c r="AY999" t="s">
        <v>185</v>
      </c>
      <c r="AZ999">
        <v>5</v>
      </c>
      <c r="BA999">
        <v>370557</v>
      </c>
      <c r="BB999">
        <v>0.15999999642372131</v>
      </c>
      <c r="BC999">
        <v>59300</v>
      </c>
      <c r="BD999" t="s">
        <v>31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59300</v>
      </c>
      <c r="BK999" t="s">
        <v>25</v>
      </c>
      <c r="BL999" t="s">
        <v>885</v>
      </c>
      <c r="BM999">
        <v>5</v>
      </c>
      <c r="BN999">
        <v>370557</v>
      </c>
      <c r="BO999">
        <v>3.9999999105930328E-2</v>
      </c>
      <c r="BP999">
        <v>14900</v>
      </c>
      <c r="BQ999">
        <v>0</v>
      </c>
      <c r="BS999">
        <v>0</v>
      </c>
      <c r="BU999">
        <v>0</v>
      </c>
      <c r="BV999" t="s">
        <v>25</v>
      </c>
      <c r="BW999" t="s">
        <v>189</v>
      </c>
      <c r="BX999">
        <v>5</v>
      </c>
      <c r="BY999">
        <v>370557</v>
      </c>
      <c r="BZ999">
        <v>0</v>
      </c>
      <c r="CA999" t="s">
        <v>1439</v>
      </c>
      <c r="CB999" t="s">
        <v>312</v>
      </c>
      <c r="CC999" t="s">
        <v>1440</v>
      </c>
      <c r="CD999">
        <v>0</v>
      </c>
      <c r="CE999">
        <v>5</v>
      </c>
      <c r="CF999" t="s">
        <v>466</v>
      </c>
      <c r="CG999">
        <v>370557</v>
      </c>
      <c r="CH999">
        <v>3.9999999105930328E-2</v>
      </c>
      <c r="CI999">
        <v>14900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 t="s">
        <v>88</v>
      </c>
      <c r="CT999" t="s">
        <v>142</v>
      </c>
      <c r="CU999" t="s">
        <v>1442</v>
      </c>
    </row>
    <row r="1000" spans="1:99">
      <c r="A1000" t="s">
        <v>3047</v>
      </c>
      <c r="B1000" t="s">
        <v>34</v>
      </c>
      <c r="C1000" t="s">
        <v>2422</v>
      </c>
      <c r="D1000" t="s">
        <v>2423</v>
      </c>
      <c r="E1000" t="s">
        <v>2186</v>
      </c>
      <c r="F1000" t="s">
        <v>2424</v>
      </c>
      <c r="G1000" t="s">
        <v>1503</v>
      </c>
      <c r="H1000" t="s">
        <v>2375</v>
      </c>
      <c r="I1000" t="s">
        <v>682</v>
      </c>
      <c r="J1000" t="s">
        <v>484</v>
      </c>
      <c r="K1000" t="s">
        <v>29</v>
      </c>
      <c r="L1000" t="s">
        <v>30</v>
      </c>
      <c r="M1000">
        <v>156</v>
      </c>
      <c r="N1000" t="s">
        <v>32</v>
      </c>
      <c r="O1000" t="s">
        <v>32</v>
      </c>
      <c r="Q1000" t="s">
        <v>32</v>
      </c>
      <c r="S1000" t="s">
        <v>32</v>
      </c>
      <c r="U1000" t="s">
        <v>32</v>
      </c>
      <c r="V1000" t="s">
        <v>32</v>
      </c>
      <c r="W1000" t="s">
        <v>32</v>
      </c>
      <c r="X1000" t="s">
        <v>32</v>
      </c>
      <c r="Y1000" t="s">
        <v>32</v>
      </c>
      <c r="AA1000" t="s">
        <v>88</v>
      </c>
      <c r="AB1000" t="s">
        <v>32</v>
      </c>
      <c r="AE1000" t="s">
        <v>32</v>
      </c>
      <c r="AH1000" t="s">
        <v>32</v>
      </c>
      <c r="AK1000" t="s">
        <v>32</v>
      </c>
      <c r="AN1000" t="s">
        <v>32</v>
      </c>
      <c r="AO1000" t="s">
        <v>32</v>
      </c>
      <c r="AR1000">
        <v>0</v>
      </c>
      <c r="AU1000" t="s">
        <v>32</v>
      </c>
      <c r="AV1000">
        <v>2223339</v>
      </c>
      <c r="AW1000" t="s">
        <v>32</v>
      </c>
      <c r="AX1000" t="s">
        <v>32</v>
      </c>
      <c r="AY1000" t="s">
        <v>185</v>
      </c>
      <c r="AZ1000">
        <v>25</v>
      </c>
      <c r="BA1000">
        <v>2258150</v>
      </c>
      <c r="BB1000">
        <v>0.15999999642372131</v>
      </c>
      <c r="BC1000">
        <v>361400</v>
      </c>
      <c r="BD1000" t="s">
        <v>31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361400</v>
      </c>
      <c r="BK1000" t="s">
        <v>25</v>
      </c>
      <c r="BL1000" t="s">
        <v>885</v>
      </c>
      <c r="BM1000">
        <v>25</v>
      </c>
      <c r="BN1000">
        <v>2258150</v>
      </c>
      <c r="BO1000">
        <v>3.9999999105930328E-2</v>
      </c>
      <c r="BP1000">
        <v>90400</v>
      </c>
      <c r="BQ1000">
        <v>0</v>
      </c>
      <c r="BS1000">
        <v>0</v>
      </c>
      <c r="BU1000">
        <v>0</v>
      </c>
      <c r="BV1000" t="s">
        <v>25</v>
      </c>
      <c r="BW1000" t="s">
        <v>189</v>
      </c>
      <c r="BX1000">
        <v>25</v>
      </c>
      <c r="BY1000">
        <v>2258150</v>
      </c>
      <c r="BZ1000">
        <v>6.9600000977516174E-2</v>
      </c>
      <c r="CA1000" t="s">
        <v>1439</v>
      </c>
      <c r="CB1000" t="s">
        <v>312</v>
      </c>
      <c r="CC1000" t="s">
        <v>1440</v>
      </c>
      <c r="CD1000">
        <v>157200</v>
      </c>
      <c r="CE1000">
        <v>25</v>
      </c>
      <c r="CF1000" t="s">
        <v>466</v>
      </c>
      <c r="CG1000">
        <v>2207001</v>
      </c>
      <c r="CH1000">
        <v>3.9999999105930328E-2</v>
      </c>
      <c r="CI1000">
        <v>88300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 t="s">
        <v>88</v>
      </c>
      <c r="CT1000" t="s">
        <v>142</v>
      </c>
      <c r="CU1000" t="s">
        <v>1442</v>
      </c>
    </row>
    <row r="1001" spans="1:99">
      <c r="A1001" t="s">
        <v>3047</v>
      </c>
      <c r="B1001" t="s">
        <v>34</v>
      </c>
      <c r="C1001" t="s">
        <v>2425</v>
      </c>
      <c r="D1001" t="s">
        <v>2426</v>
      </c>
      <c r="E1001" t="s">
        <v>2427</v>
      </c>
      <c r="F1001" t="s">
        <v>1634</v>
      </c>
      <c r="G1001" t="s">
        <v>2428</v>
      </c>
      <c r="H1001" t="s">
        <v>1558</v>
      </c>
      <c r="I1001" t="s">
        <v>682</v>
      </c>
      <c r="J1001" t="s">
        <v>484</v>
      </c>
      <c r="K1001" t="s">
        <v>29</v>
      </c>
      <c r="L1001" t="s">
        <v>82</v>
      </c>
      <c r="M1001">
        <v>171</v>
      </c>
      <c r="N1001" t="s">
        <v>32</v>
      </c>
      <c r="O1001" t="s">
        <v>32</v>
      </c>
      <c r="Q1001" t="s">
        <v>32</v>
      </c>
      <c r="S1001" t="s">
        <v>40</v>
      </c>
      <c r="T1001">
        <v>46079</v>
      </c>
      <c r="U1001" t="s">
        <v>32</v>
      </c>
      <c r="V1001" t="s">
        <v>32</v>
      </c>
      <c r="W1001" t="s">
        <v>32</v>
      </c>
      <c r="X1001" t="s">
        <v>32</v>
      </c>
      <c r="Y1001" t="s">
        <v>32</v>
      </c>
      <c r="AA1001" t="s">
        <v>88</v>
      </c>
      <c r="AB1001" t="s">
        <v>32</v>
      </c>
      <c r="AE1001" t="s">
        <v>32</v>
      </c>
      <c r="AH1001" t="s">
        <v>32</v>
      </c>
      <c r="AK1001" t="s">
        <v>32</v>
      </c>
      <c r="AN1001" t="s">
        <v>32</v>
      </c>
      <c r="AO1001" t="s">
        <v>32</v>
      </c>
      <c r="AR1001">
        <v>0</v>
      </c>
      <c r="AU1001" t="s">
        <v>32</v>
      </c>
      <c r="AV1001">
        <v>5842037</v>
      </c>
      <c r="AW1001" t="s">
        <v>32</v>
      </c>
      <c r="AX1001" t="s">
        <v>32</v>
      </c>
      <c r="AY1001" t="s">
        <v>25</v>
      </c>
      <c r="AZ1001">
        <v>0</v>
      </c>
      <c r="BA1001">
        <v>0</v>
      </c>
      <c r="BB1001">
        <v>0</v>
      </c>
      <c r="BC1001">
        <v>0</v>
      </c>
      <c r="BD1001" t="s">
        <v>31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 t="s">
        <v>25</v>
      </c>
      <c r="BL1001" t="s">
        <v>1010</v>
      </c>
      <c r="BM1001">
        <v>26</v>
      </c>
      <c r="BN1001">
        <v>5223985</v>
      </c>
      <c r="BO1001">
        <v>3.9999999105930328E-2</v>
      </c>
      <c r="BP1001">
        <v>209000</v>
      </c>
      <c r="BQ1001">
        <v>0</v>
      </c>
      <c r="BS1001">
        <v>0</v>
      </c>
      <c r="BU1001">
        <v>0</v>
      </c>
      <c r="BV1001" t="s">
        <v>25</v>
      </c>
      <c r="BW1001" t="s">
        <v>189</v>
      </c>
      <c r="BX1001">
        <v>26</v>
      </c>
      <c r="BY1001">
        <v>5223985</v>
      </c>
      <c r="BZ1001">
        <v>6.9600000977516174E-2</v>
      </c>
      <c r="CA1001" t="s">
        <v>1439</v>
      </c>
      <c r="CB1001" t="s">
        <v>312</v>
      </c>
      <c r="CC1001" t="s">
        <v>1440</v>
      </c>
      <c r="CD1001">
        <v>363600</v>
      </c>
      <c r="CE1001">
        <v>26</v>
      </c>
      <c r="CF1001" t="s">
        <v>466</v>
      </c>
      <c r="CG1001">
        <v>5310412</v>
      </c>
      <c r="CH1001">
        <v>3.9999999105930328E-2</v>
      </c>
      <c r="CI1001">
        <v>212500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 t="s">
        <v>88</v>
      </c>
      <c r="CT1001" t="s">
        <v>142</v>
      </c>
      <c r="CU1001" t="s">
        <v>1442</v>
      </c>
    </row>
    <row r="1002" spans="1:99">
      <c r="A1002" t="s">
        <v>3047</v>
      </c>
      <c r="B1002" t="s">
        <v>34</v>
      </c>
      <c r="C1002" t="s">
        <v>2429</v>
      </c>
      <c r="D1002" t="s">
        <v>2430</v>
      </c>
      <c r="E1002" t="s">
        <v>2142</v>
      </c>
      <c r="F1002" t="s">
        <v>1558</v>
      </c>
      <c r="G1002" t="s">
        <v>1498</v>
      </c>
      <c r="H1002" t="s">
        <v>1558</v>
      </c>
      <c r="I1002" t="s">
        <v>682</v>
      </c>
      <c r="J1002" t="s">
        <v>484</v>
      </c>
      <c r="K1002" t="s">
        <v>29</v>
      </c>
      <c r="L1002" t="s">
        <v>231</v>
      </c>
      <c r="M1002">
        <v>0</v>
      </c>
      <c r="N1002" t="s">
        <v>32</v>
      </c>
      <c r="O1002" t="s">
        <v>32</v>
      </c>
      <c r="Q1002" t="s">
        <v>32</v>
      </c>
      <c r="S1002" t="s">
        <v>32</v>
      </c>
      <c r="U1002" t="s">
        <v>32</v>
      </c>
      <c r="V1002" t="s">
        <v>32</v>
      </c>
      <c r="W1002" t="s">
        <v>32</v>
      </c>
      <c r="X1002" t="s">
        <v>32</v>
      </c>
      <c r="Y1002" t="s">
        <v>32</v>
      </c>
      <c r="AA1002" t="s">
        <v>32</v>
      </c>
      <c r="AB1002" t="s">
        <v>32</v>
      </c>
      <c r="AE1002" t="s">
        <v>32</v>
      </c>
      <c r="AH1002" t="s">
        <v>32</v>
      </c>
      <c r="AK1002" t="s">
        <v>128</v>
      </c>
      <c r="AL1002">
        <v>46076</v>
      </c>
      <c r="AM1002">
        <v>46080</v>
      </c>
      <c r="AN1002" t="s">
        <v>32</v>
      </c>
      <c r="AO1002" t="s">
        <v>32</v>
      </c>
      <c r="AR1002">
        <v>0</v>
      </c>
      <c r="AU1002" t="s">
        <v>32</v>
      </c>
      <c r="AV1002">
        <v>2970185</v>
      </c>
      <c r="AW1002" t="s">
        <v>32</v>
      </c>
      <c r="AX1002" t="s">
        <v>32</v>
      </c>
      <c r="AY1002" t="s">
        <v>25</v>
      </c>
      <c r="AZ1002">
        <v>0</v>
      </c>
      <c r="BA1002">
        <v>0</v>
      </c>
      <c r="BB1002">
        <v>0</v>
      </c>
      <c r="BC1002">
        <v>0</v>
      </c>
      <c r="BD1002" t="s">
        <v>31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 t="s">
        <v>25</v>
      </c>
      <c r="BL1002" t="s">
        <v>1010</v>
      </c>
      <c r="BM1002">
        <v>5</v>
      </c>
      <c r="BN1002">
        <v>495031</v>
      </c>
      <c r="BO1002">
        <v>3.9999999105930328E-2</v>
      </c>
      <c r="BP1002">
        <v>19900</v>
      </c>
      <c r="BQ1002">
        <v>0</v>
      </c>
      <c r="BS1002">
        <v>0</v>
      </c>
      <c r="BU1002">
        <v>0</v>
      </c>
      <c r="BV1002" t="s">
        <v>25</v>
      </c>
      <c r="BW1002" t="s">
        <v>189</v>
      </c>
      <c r="BX1002">
        <v>5</v>
      </c>
      <c r="BY1002">
        <v>495031</v>
      </c>
      <c r="BZ1002">
        <v>0</v>
      </c>
      <c r="CA1002" t="s">
        <v>1439</v>
      </c>
      <c r="CB1002" t="s">
        <v>312</v>
      </c>
      <c r="CC1002" t="s">
        <v>1440</v>
      </c>
      <c r="CD1002">
        <v>0</v>
      </c>
      <c r="CE1002">
        <v>5</v>
      </c>
      <c r="CF1002" t="s">
        <v>466</v>
      </c>
      <c r="CG1002">
        <v>495031</v>
      </c>
      <c r="CH1002">
        <v>3.9999999105930328E-2</v>
      </c>
      <c r="CI1002">
        <v>19900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 t="s">
        <v>88</v>
      </c>
      <c r="CT1002" t="s">
        <v>142</v>
      </c>
      <c r="CU1002" t="s">
        <v>1442</v>
      </c>
    </row>
    <row r="1003" spans="1:99">
      <c r="A1003" t="s">
        <v>3047</v>
      </c>
      <c r="B1003" t="s">
        <v>34</v>
      </c>
      <c r="C1003" t="s">
        <v>2429</v>
      </c>
      <c r="D1003" t="s">
        <v>2430</v>
      </c>
      <c r="E1003" t="s">
        <v>2142</v>
      </c>
      <c r="F1003" t="s">
        <v>1558</v>
      </c>
      <c r="G1003" t="s">
        <v>1498</v>
      </c>
      <c r="H1003" t="s">
        <v>1558</v>
      </c>
      <c r="I1003" t="s">
        <v>682</v>
      </c>
      <c r="J1003" t="s">
        <v>484</v>
      </c>
      <c r="K1003" t="s">
        <v>29</v>
      </c>
      <c r="L1003" t="s">
        <v>231</v>
      </c>
      <c r="M1003">
        <v>158</v>
      </c>
      <c r="N1003" t="s">
        <v>32</v>
      </c>
      <c r="O1003" t="s">
        <v>32</v>
      </c>
      <c r="Q1003" t="s">
        <v>32</v>
      </c>
      <c r="S1003" t="s">
        <v>40</v>
      </c>
      <c r="T1003">
        <v>46081</v>
      </c>
      <c r="U1003" t="s">
        <v>32</v>
      </c>
      <c r="V1003" t="s">
        <v>32</v>
      </c>
      <c r="W1003" t="s">
        <v>32</v>
      </c>
      <c r="X1003" t="s">
        <v>32</v>
      </c>
      <c r="Y1003" t="s">
        <v>32</v>
      </c>
      <c r="AA1003" t="s">
        <v>88</v>
      </c>
      <c r="AB1003" t="s">
        <v>32</v>
      </c>
      <c r="AE1003" t="s">
        <v>32</v>
      </c>
      <c r="AH1003" t="s">
        <v>32</v>
      </c>
      <c r="AK1003" t="s">
        <v>32</v>
      </c>
      <c r="AN1003" t="s">
        <v>32</v>
      </c>
      <c r="AO1003" t="s">
        <v>32</v>
      </c>
      <c r="AR1003">
        <v>0</v>
      </c>
      <c r="AU1003" t="s">
        <v>32</v>
      </c>
      <c r="AV1003">
        <v>2970185</v>
      </c>
      <c r="AW1003" t="s">
        <v>32</v>
      </c>
      <c r="AX1003" t="s">
        <v>32</v>
      </c>
      <c r="AY1003" t="s">
        <v>25</v>
      </c>
      <c r="AZ1003">
        <v>0</v>
      </c>
      <c r="BA1003">
        <v>0</v>
      </c>
      <c r="BB1003">
        <v>0</v>
      </c>
      <c r="BC1003">
        <v>0</v>
      </c>
      <c r="BD1003" t="s">
        <v>31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 t="s">
        <v>25</v>
      </c>
      <c r="BL1003" t="s">
        <v>1010</v>
      </c>
      <c r="BM1003">
        <v>25</v>
      </c>
      <c r="BN1003">
        <v>3829605</v>
      </c>
      <c r="BO1003">
        <v>3.9999999105930328E-2</v>
      </c>
      <c r="BP1003">
        <v>153200</v>
      </c>
      <c r="BQ1003">
        <v>0</v>
      </c>
      <c r="BS1003">
        <v>0</v>
      </c>
      <c r="BU1003">
        <v>0</v>
      </c>
      <c r="BV1003" t="s">
        <v>25</v>
      </c>
      <c r="BW1003" t="s">
        <v>189</v>
      </c>
      <c r="BX1003">
        <v>25</v>
      </c>
      <c r="BY1003">
        <v>3829605</v>
      </c>
      <c r="BZ1003">
        <v>6.9600000977516174E-2</v>
      </c>
      <c r="CA1003" t="s">
        <v>1439</v>
      </c>
      <c r="CB1003" t="s">
        <v>312</v>
      </c>
      <c r="CC1003" t="s">
        <v>1440</v>
      </c>
      <c r="CD1003">
        <v>266600</v>
      </c>
      <c r="CE1003">
        <v>25</v>
      </c>
      <c r="CF1003" t="s">
        <v>466</v>
      </c>
      <c r="CG1003">
        <v>4680734</v>
      </c>
      <c r="CH1003">
        <v>3.9999999105930328E-2</v>
      </c>
      <c r="CI1003">
        <v>187300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 t="s">
        <v>88</v>
      </c>
      <c r="CT1003" t="s">
        <v>142</v>
      </c>
      <c r="CU1003" t="s">
        <v>1442</v>
      </c>
    </row>
    <row r="1004" spans="1:99">
      <c r="A1004" t="s">
        <v>3047</v>
      </c>
      <c r="B1004" t="s">
        <v>34</v>
      </c>
      <c r="C1004" t="s">
        <v>2431</v>
      </c>
      <c r="D1004" t="s">
        <v>2432</v>
      </c>
      <c r="E1004" t="s">
        <v>2433</v>
      </c>
      <c r="F1004" t="s">
        <v>1512</v>
      </c>
      <c r="G1004" t="s">
        <v>1436</v>
      </c>
      <c r="H1004" t="s">
        <v>1437</v>
      </c>
      <c r="I1004" t="s">
        <v>240</v>
      </c>
      <c r="J1004" t="s">
        <v>46</v>
      </c>
      <c r="K1004" t="s">
        <v>29</v>
      </c>
      <c r="L1004" t="s">
        <v>30</v>
      </c>
      <c r="M1004">
        <v>201</v>
      </c>
      <c r="N1004" t="s">
        <v>32</v>
      </c>
      <c r="O1004" t="s">
        <v>32</v>
      </c>
      <c r="Q1004" t="s">
        <v>32</v>
      </c>
      <c r="S1004" t="s">
        <v>32</v>
      </c>
      <c r="U1004" t="s">
        <v>32</v>
      </c>
      <c r="V1004" t="s">
        <v>32</v>
      </c>
      <c r="W1004" t="s">
        <v>32</v>
      </c>
      <c r="X1004" t="s">
        <v>32</v>
      </c>
      <c r="Y1004" t="s">
        <v>32</v>
      </c>
      <c r="AA1004" t="s">
        <v>88</v>
      </c>
      <c r="AB1004" t="s">
        <v>32</v>
      </c>
      <c r="AE1004" t="s">
        <v>32</v>
      </c>
      <c r="AH1004" t="s">
        <v>32</v>
      </c>
      <c r="AK1004" t="s">
        <v>32</v>
      </c>
      <c r="AN1004" t="s">
        <v>32</v>
      </c>
      <c r="AO1004" t="s">
        <v>32</v>
      </c>
      <c r="AR1004">
        <v>0</v>
      </c>
      <c r="AU1004" t="s">
        <v>32</v>
      </c>
      <c r="AV1004">
        <v>1785595</v>
      </c>
      <c r="AW1004" t="s">
        <v>32</v>
      </c>
      <c r="AX1004" t="s">
        <v>32</v>
      </c>
      <c r="AY1004" t="s">
        <v>317</v>
      </c>
      <c r="AZ1004">
        <v>30</v>
      </c>
      <c r="BA1004">
        <v>2204670</v>
      </c>
      <c r="BB1004">
        <v>0.15999999642372131</v>
      </c>
      <c r="BC1004">
        <v>352800</v>
      </c>
      <c r="BD1004" t="s">
        <v>31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352800</v>
      </c>
      <c r="BK1004" t="s">
        <v>25</v>
      </c>
      <c r="BL1004" t="s">
        <v>635</v>
      </c>
      <c r="BM1004">
        <v>30</v>
      </c>
      <c r="BN1004">
        <v>2204670</v>
      </c>
      <c r="BO1004">
        <v>3.9999999105930328E-2</v>
      </c>
      <c r="BP1004">
        <v>88200</v>
      </c>
      <c r="BQ1004">
        <v>0</v>
      </c>
      <c r="BS1004">
        <v>0</v>
      </c>
      <c r="BU1004">
        <v>0</v>
      </c>
      <c r="BV1004" t="s">
        <v>25</v>
      </c>
      <c r="BW1004" t="s">
        <v>189</v>
      </c>
      <c r="BX1004">
        <v>30</v>
      </c>
      <c r="BY1004">
        <v>2204670</v>
      </c>
      <c r="BZ1004">
        <v>6.9600000977516174E-2</v>
      </c>
      <c r="CA1004" t="s">
        <v>1439</v>
      </c>
      <c r="CB1004" t="s">
        <v>227</v>
      </c>
      <c r="CC1004" t="s">
        <v>1440</v>
      </c>
      <c r="CD1004">
        <v>153500</v>
      </c>
      <c r="CE1004">
        <v>30</v>
      </c>
      <c r="CF1004" t="s">
        <v>635</v>
      </c>
      <c r="CG1004">
        <v>2204670</v>
      </c>
      <c r="CH1004">
        <v>3.9999999105930328E-2</v>
      </c>
      <c r="CI1004">
        <v>88200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 t="s">
        <v>88</v>
      </c>
      <c r="CT1004" t="s">
        <v>142</v>
      </c>
      <c r="CU1004" t="s">
        <v>1442</v>
      </c>
    </row>
    <row r="1005" spans="1:99">
      <c r="A1005" t="s">
        <v>3047</v>
      </c>
      <c r="B1005" t="s">
        <v>34</v>
      </c>
      <c r="C1005" t="s">
        <v>2434</v>
      </c>
      <c r="D1005" t="s">
        <v>2435</v>
      </c>
      <c r="E1005" t="s">
        <v>1634</v>
      </c>
      <c r="F1005" t="s">
        <v>1558</v>
      </c>
      <c r="G1005" t="s">
        <v>2436</v>
      </c>
      <c r="H1005" t="s">
        <v>2437</v>
      </c>
      <c r="I1005" t="s">
        <v>240</v>
      </c>
      <c r="J1005" t="s">
        <v>46</v>
      </c>
      <c r="K1005" t="s">
        <v>29</v>
      </c>
      <c r="L1005" t="s">
        <v>30</v>
      </c>
      <c r="M1005">
        <v>217</v>
      </c>
      <c r="N1005" t="s">
        <v>32</v>
      </c>
      <c r="O1005" t="s">
        <v>32</v>
      </c>
      <c r="Q1005" t="s">
        <v>32</v>
      </c>
      <c r="S1005" t="s">
        <v>32</v>
      </c>
      <c r="U1005" t="s">
        <v>32</v>
      </c>
      <c r="V1005" t="s">
        <v>32</v>
      </c>
      <c r="W1005" t="s">
        <v>32</v>
      </c>
      <c r="X1005" t="s">
        <v>32</v>
      </c>
      <c r="Y1005" t="s">
        <v>32</v>
      </c>
      <c r="AA1005" t="s">
        <v>88</v>
      </c>
      <c r="AB1005" t="s">
        <v>32</v>
      </c>
      <c r="AE1005" t="s">
        <v>32</v>
      </c>
      <c r="AH1005" t="s">
        <v>32</v>
      </c>
      <c r="AK1005" t="s">
        <v>32</v>
      </c>
      <c r="AN1005" t="s">
        <v>32</v>
      </c>
      <c r="AO1005" t="s">
        <v>32</v>
      </c>
      <c r="AR1005">
        <v>0</v>
      </c>
      <c r="AU1005" t="s">
        <v>32</v>
      </c>
      <c r="AV1005">
        <v>2223339</v>
      </c>
      <c r="AW1005" t="s">
        <v>32</v>
      </c>
      <c r="AX1005" t="s">
        <v>32</v>
      </c>
      <c r="AY1005" t="s">
        <v>317</v>
      </c>
      <c r="AZ1005">
        <v>30</v>
      </c>
      <c r="BA1005">
        <v>2996236</v>
      </c>
      <c r="BB1005">
        <v>0.15999999642372131</v>
      </c>
      <c r="BC1005">
        <v>479400</v>
      </c>
      <c r="BD1005" t="s">
        <v>31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479400</v>
      </c>
      <c r="BK1005" t="s">
        <v>25</v>
      </c>
      <c r="BL1005" t="s">
        <v>1064</v>
      </c>
      <c r="BM1005">
        <v>30</v>
      </c>
      <c r="BN1005">
        <v>2996236</v>
      </c>
      <c r="BO1005">
        <v>3.9999999105930328E-2</v>
      </c>
      <c r="BP1005">
        <v>119900</v>
      </c>
      <c r="BQ1005">
        <v>0</v>
      </c>
      <c r="BS1005">
        <v>0</v>
      </c>
      <c r="BU1005">
        <v>0</v>
      </c>
      <c r="BV1005" t="s">
        <v>25</v>
      </c>
      <c r="BW1005" t="s">
        <v>189</v>
      </c>
      <c r="BX1005">
        <v>30</v>
      </c>
      <c r="BY1005">
        <v>2996236</v>
      </c>
      <c r="BZ1005">
        <v>6.9600000977516174E-2</v>
      </c>
      <c r="CA1005" t="s">
        <v>1439</v>
      </c>
      <c r="CB1005" t="s">
        <v>227</v>
      </c>
      <c r="CC1005" t="s">
        <v>1440</v>
      </c>
      <c r="CD1005">
        <v>208600</v>
      </c>
      <c r="CE1005">
        <v>30</v>
      </c>
      <c r="CF1005" t="s">
        <v>635</v>
      </c>
      <c r="CG1005">
        <v>2996236</v>
      </c>
      <c r="CH1005">
        <v>3.9999999105930328E-2</v>
      </c>
      <c r="CI1005">
        <v>119900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 t="s">
        <v>88</v>
      </c>
      <c r="CT1005" t="s">
        <v>142</v>
      </c>
      <c r="CU1005" t="s">
        <v>1442</v>
      </c>
    </row>
    <row r="1006" spans="1:99">
      <c r="A1006" t="s">
        <v>3047</v>
      </c>
      <c r="B1006" t="s">
        <v>34</v>
      </c>
      <c r="C1006" t="s">
        <v>2438</v>
      </c>
      <c r="D1006" t="s">
        <v>2439</v>
      </c>
      <c r="E1006" t="s">
        <v>510</v>
      </c>
      <c r="F1006" t="s">
        <v>882</v>
      </c>
      <c r="G1006" t="s">
        <v>2440</v>
      </c>
      <c r="H1006" t="s">
        <v>1631</v>
      </c>
      <c r="I1006" t="s">
        <v>921</v>
      </c>
      <c r="J1006" t="s">
        <v>425</v>
      </c>
      <c r="K1006" t="s">
        <v>29</v>
      </c>
      <c r="L1006" t="s">
        <v>30</v>
      </c>
      <c r="M1006">
        <v>0</v>
      </c>
      <c r="N1006" t="s">
        <v>32</v>
      </c>
      <c r="O1006" t="s">
        <v>32</v>
      </c>
      <c r="Q1006" t="s">
        <v>32</v>
      </c>
      <c r="S1006" t="s">
        <v>32</v>
      </c>
      <c r="U1006" t="s">
        <v>32</v>
      </c>
      <c r="V1006" t="s">
        <v>32</v>
      </c>
      <c r="W1006" t="s">
        <v>32</v>
      </c>
      <c r="X1006" t="s">
        <v>32</v>
      </c>
      <c r="Y1006" t="s">
        <v>32</v>
      </c>
      <c r="AA1006" t="s">
        <v>32</v>
      </c>
      <c r="AB1006" t="s">
        <v>32</v>
      </c>
      <c r="AE1006" t="s">
        <v>32</v>
      </c>
      <c r="AH1006" t="s">
        <v>32</v>
      </c>
      <c r="AK1006" t="s">
        <v>128</v>
      </c>
      <c r="AL1006">
        <v>46069</v>
      </c>
      <c r="AM1006">
        <v>46075</v>
      </c>
      <c r="AN1006" t="s">
        <v>32</v>
      </c>
      <c r="AO1006" t="s">
        <v>32</v>
      </c>
      <c r="AR1006">
        <v>0</v>
      </c>
      <c r="AU1006" t="s">
        <v>32</v>
      </c>
      <c r="AV1006">
        <v>1889179</v>
      </c>
      <c r="AW1006" t="s">
        <v>32</v>
      </c>
      <c r="AX1006" t="s">
        <v>32</v>
      </c>
      <c r="AY1006" t="s">
        <v>185</v>
      </c>
      <c r="AZ1006">
        <v>7</v>
      </c>
      <c r="BA1006">
        <v>440809</v>
      </c>
      <c r="BB1006">
        <v>0.15999999642372131</v>
      </c>
      <c r="BC1006">
        <v>70600</v>
      </c>
      <c r="BD1006" t="s">
        <v>31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70600</v>
      </c>
      <c r="BK1006" t="s">
        <v>25</v>
      </c>
      <c r="BL1006" t="s">
        <v>1043</v>
      </c>
      <c r="BM1006">
        <v>7</v>
      </c>
      <c r="BN1006">
        <v>440809</v>
      </c>
      <c r="BO1006">
        <v>3.9999999105930328E-2</v>
      </c>
      <c r="BP1006">
        <v>17700</v>
      </c>
      <c r="BQ1006">
        <v>0</v>
      </c>
      <c r="BS1006">
        <v>0</v>
      </c>
      <c r="BU1006">
        <v>0</v>
      </c>
      <c r="BV1006" t="s">
        <v>25</v>
      </c>
      <c r="BW1006" t="s">
        <v>189</v>
      </c>
      <c r="BX1006">
        <v>7</v>
      </c>
      <c r="BY1006">
        <v>440809</v>
      </c>
      <c r="BZ1006">
        <v>0</v>
      </c>
      <c r="CA1006" t="s">
        <v>1439</v>
      </c>
      <c r="CB1006" t="s">
        <v>1572</v>
      </c>
      <c r="CC1006" t="s">
        <v>1440</v>
      </c>
      <c r="CD1006">
        <v>0</v>
      </c>
      <c r="CE1006">
        <v>7</v>
      </c>
      <c r="CF1006" t="s">
        <v>585</v>
      </c>
      <c r="CG1006">
        <v>440809</v>
      </c>
      <c r="CH1006">
        <v>3.9999999105930328E-2</v>
      </c>
      <c r="CI1006">
        <v>17700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 t="s">
        <v>88</v>
      </c>
      <c r="CT1006" t="s">
        <v>142</v>
      </c>
      <c r="CU1006" t="s">
        <v>1442</v>
      </c>
    </row>
    <row r="1007" spans="1:99">
      <c r="A1007" t="s">
        <v>3047</v>
      </c>
      <c r="B1007" t="s">
        <v>34</v>
      </c>
      <c r="C1007" t="s">
        <v>2438</v>
      </c>
      <c r="D1007" t="s">
        <v>2439</v>
      </c>
      <c r="E1007" t="s">
        <v>510</v>
      </c>
      <c r="F1007" t="s">
        <v>882</v>
      </c>
      <c r="G1007" t="s">
        <v>2440</v>
      </c>
      <c r="H1007" t="s">
        <v>1631</v>
      </c>
      <c r="I1007" t="s">
        <v>921</v>
      </c>
      <c r="J1007" t="s">
        <v>425</v>
      </c>
      <c r="K1007" t="s">
        <v>29</v>
      </c>
      <c r="L1007" t="s">
        <v>30</v>
      </c>
      <c r="M1007">
        <v>156</v>
      </c>
      <c r="N1007" t="s">
        <v>32</v>
      </c>
      <c r="O1007" t="s">
        <v>32</v>
      </c>
      <c r="Q1007" t="s">
        <v>32</v>
      </c>
      <c r="S1007" t="s">
        <v>32</v>
      </c>
      <c r="U1007" t="s">
        <v>32</v>
      </c>
      <c r="V1007" t="s">
        <v>32</v>
      </c>
      <c r="W1007" t="s">
        <v>32</v>
      </c>
      <c r="X1007" t="s">
        <v>32</v>
      </c>
      <c r="Y1007" t="s">
        <v>32</v>
      </c>
      <c r="AA1007" t="s">
        <v>88</v>
      </c>
      <c r="AB1007" t="s">
        <v>32</v>
      </c>
      <c r="AE1007" t="s">
        <v>32</v>
      </c>
      <c r="AH1007" t="s">
        <v>32</v>
      </c>
      <c r="AK1007" t="s">
        <v>32</v>
      </c>
      <c r="AN1007" t="s">
        <v>32</v>
      </c>
      <c r="AO1007" t="s">
        <v>32</v>
      </c>
      <c r="AR1007">
        <v>0</v>
      </c>
      <c r="AU1007" t="s">
        <v>32</v>
      </c>
      <c r="AV1007">
        <v>1889179</v>
      </c>
      <c r="AW1007" t="s">
        <v>32</v>
      </c>
      <c r="AX1007" t="s">
        <v>32</v>
      </c>
      <c r="AY1007" t="s">
        <v>185</v>
      </c>
      <c r="AZ1007">
        <v>23</v>
      </c>
      <c r="BA1007">
        <v>1736234</v>
      </c>
      <c r="BB1007">
        <v>0.15999999642372131</v>
      </c>
      <c r="BC1007">
        <v>277800</v>
      </c>
      <c r="BD1007" t="s">
        <v>31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277800</v>
      </c>
      <c r="BK1007" t="s">
        <v>25</v>
      </c>
      <c r="BL1007" t="s">
        <v>1043</v>
      </c>
      <c r="BM1007">
        <v>23</v>
      </c>
      <c r="BN1007">
        <v>1736234</v>
      </c>
      <c r="BO1007">
        <v>3.9999999105930328E-2</v>
      </c>
      <c r="BP1007">
        <v>69500</v>
      </c>
      <c r="BQ1007">
        <v>0</v>
      </c>
      <c r="BS1007">
        <v>0</v>
      </c>
      <c r="BU1007">
        <v>0</v>
      </c>
      <c r="BV1007" t="s">
        <v>25</v>
      </c>
      <c r="BW1007" t="s">
        <v>189</v>
      </c>
      <c r="BX1007">
        <v>23</v>
      </c>
      <c r="BY1007">
        <v>1736234</v>
      </c>
      <c r="BZ1007">
        <v>6.9600000977516174E-2</v>
      </c>
      <c r="CA1007" t="s">
        <v>1439</v>
      </c>
      <c r="CB1007" t="s">
        <v>1572</v>
      </c>
      <c r="CC1007" t="s">
        <v>1440</v>
      </c>
      <c r="CD1007">
        <v>120900</v>
      </c>
      <c r="CE1007">
        <v>23</v>
      </c>
      <c r="CF1007" t="s">
        <v>585</v>
      </c>
      <c r="CG1007">
        <v>1711570</v>
      </c>
      <c r="CH1007">
        <v>3.9999999105930328E-2</v>
      </c>
      <c r="CI1007">
        <v>68500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 t="s">
        <v>88</v>
      </c>
      <c r="CT1007" t="s">
        <v>142</v>
      </c>
      <c r="CU1007" t="s">
        <v>1442</v>
      </c>
    </row>
    <row r="1008" spans="1:99">
      <c r="A1008" t="s">
        <v>3047</v>
      </c>
      <c r="B1008" t="s">
        <v>34</v>
      </c>
      <c r="C1008" t="s">
        <v>2441</v>
      </c>
      <c r="D1008" t="s">
        <v>2442</v>
      </c>
      <c r="E1008" t="s">
        <v>2189</v>
      </c>
      <c r="F1008" t="s">
        <v>1530</v>
      </c>
      <c r="G1008" t="s">
        <v>2443</v>
      </c>
      <c r="H1008" t="s">
        <v>2194</v>
      </c>
      <c r="I1008" t="s">
        <v>682</v>
      </c>
      <c r="J1008" t="s">
        <v>484</v>
      </c>
      <c r="K1008" t="s">
        <v>29</v>
      </c>
      <c r="L1008" t="s">
        <v>30</v>
      </c>
      <c r="M1008">
        <v>205</v>
      </c>
      <c r="N1008" t="s">
        <v>32</v>
      </c>
      <c r="O1008" t="s">
        <v>32</v>
      </c>
      <c r="Q1008" t="s">
        <v>32</v>
      </c>
      <c r="S1008" t="s">
        <v>32</v>
      </c>
      <c r="U1008" t="s">
        <v>32</v>
      </c>
      <c r="V1008" t="s">
        <v>32</v>
      </c>
      <c r="W1008" t="s">
        <v>32</v>
      </c>
      <c r="X1008" t="s">
        <v>32</v>
      </c>
      <c r="Y1008" t="s">
        <v>32</v>
      </c>
      <c r="AA1008" t="s">
        <v>88</v>
      </c>
      <c r="AB1008" t="s">
        <v>32</v>
      </c>
      <c r="AE1008" t="s">
        <v>32</v>
      </c>
      <c r="AH1008" t="s">
        <v>32</v>
      </c>
      <c r="AK1008" t="s">
        <v>32</v>
      </c>
      <c r="AN1008" t="s">
        <v>32</v>
      </c>
      <c r="AO1008" t="s">
        <v>32</v>
      </c>
      <c r="AR1008">
        <v>0</v>
      </c>
      <c r="AU1008" t="s">
        <v>32</v>
      </c>
      <c r="AV1008">
        <v>1785595</v>
      </c>
      <c r="AW1008" t="s">
        <v>32</v>
      </c>
      <c r="AX1008" t="s">
        <v>32</v>
      </c>
      <c r="AY1008" t="s">
        <v>137</v>
      </c>
      <c r="AZ1008">
        <v>30</v>
      </c>
      <c r="BA1008">
        <v>2110655</v>
      </c>
      <c r="BB1008">
        <v>0.15999999642372131</v>
      </c>
      <c r="BC1008">
        <v>337800</v>
      </c>
      <c r="BD1008" t="s">
        <v>31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337800</v>
      </c>
      <c r="BK1008" t="s">
        <v>25</v>
      </c>
      <c r="BL1008" t="s">
        <v>1071</v>
      </c>
      <c r="BM1008">
        <v>30</v>
      </c>
      <c r="BN1008">
        <v>2110655</v>
      </c>
      <c r="BO1008">
        <v>3.9999999105930328E-2</v>
      </c>
      <c r="BP1008">
        <v>84500</v>
      </c>
      <c r="BQ1008">
        <v>0</v>
      </c>
      <c r="BS1008">
        <v>0</v>
      </c>
      <c r="BU1008">
        <v>0</v>
      </c>
      <c r="BV1008" t="s">
        <v>25</v>
      </c>
      <c r="BW1008" t="s">
        <v>189</v>
      </c>
      <c r="BX1008">
        <v>30</v>
      </c>
      <c r="BY1008">
        <v>2110655</v>
      </c>
      <c r="BZ1008">
        <v>6.9600000977516174E-2</v>
      </c>
      <c r="CA1008" t="s">
        <v>1439</v>
      </c>
      <c r="CB1008" t="s">
        <v>312</v>
      </c>
      <c r="CC1008" t="s">
        <v>1440</v>
      </c>
      <c r="CD1008">
        <v>147000</v>
      </c>
      <c r="CE1008">
        <v>30</v>
      </c>
      <c r="CF1008" t="s">
        <v>466</v>
      </c>
      <c r="CG1008">
        <v>2110655</v>
      </c>
      <c r="CH1008">
        <v>3.9999999105930328E-2</v>
      </c>
      <c r="CI1008">
        <v>84500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 t="s">
        <v>88</v>
      </c>
      <c r="CT1008" t="s">
        <v>142</v>
      </c>
      <c r="CU1008" t="s">
        <v>1442</v>
      </c>
    </row>
    <row r="1009" spans="1:99">
      <c r="A1009" t="s">
        <v>3047</v>
      </c>
      <c r="B1009" t="s">
        <v>34</v>
      </c>
      <c r="C1009" t="s">
        <v>2444</v>
      </c>
      <c r="D1009" t="s">
        <v>2445</v>
      </c>
      <c r="E1009" t="s">
        <v>1435</v>
      </c>
      <c r="F1009" t="s">
        <v>1785</v>
      </c>
      <c r="G1009" t="s">
        <v>1479</v>
      </c>
      <c r="H1009" t="s">
        <v>1519</v>
      </c>
      <c r="I1009" t="s">
        <v>682</v>
      </c>
      <c r="J1009" t="s">
        <v>484</v>
      </c>
      <c r="K1009" t="s">
        <v>29</v>
      </c>
      <c r="L1009" t="s">
        <v>30</v>
      </c>
      <c r="M1009">
        <v>205</v>
      </c>
      <c r="N1009" t="s">
        <v>32</v>
      </c>
      <c r="O1009" t="s">
        <v>32</v>
      </c>
      <c r="Q1009" t="s">
        <v>32</v>
      </c>
      <c r="S1009" t="s">
        <v>32</v>
      </c>
      <c r="U1009" t="s">
        <v>32</v>
      </c>
      <c r="V1009" t="s">
        <v>32</v>
      </c>
      <c r="W1009" t="s">
        <v>32</v>
      </c>
      <c r="X1009" t="s">
        <v>32</v>
      </c>
      <c r="Y1009" t="s">
        <v>32</v>
      </c>
      <c r="AA1009" t="s">
        <v>88</v>
      </c>
      <c r="AB1009" t="s">
        <v>32</v>
      </c>
      <c r="AE1009" t="s">
        <v>32</v>
      </c>
      <c r="AH1009" t="s">
        <v>32</v>
      </c>
      <c r="AK1009" t="s">
        <v>32</v>
      </c>
      <c r="AN1009" t="s">
        <v>32</v>
      </c>
      <c r="AO1009" t="s">
        <v>32</v>
      </c>
      <c r="AR1009">
        <v>0</v>
      </c>
      <c r="AU1009" t="s">
        <v>32</v>
      </c>
      <c r="AV1009">
        <v>1750905</v>
      </c>
      <c r="AW1009" t="s">
        <v>32</v>
      </c>
      <c r="AX1009" t="s">
        <v>32</v>
      </c>
      <c r="AY1009" t="s">
        <v>317</v>
      </c>
      <c r="AZ1009">
        <v>30</v>
      </c>
      <c r="BA1009">
        <v>2069651</v>
      </c>
      <c r="BB1009">
        <v>0.15999999642372131</v>
      </c>
      <c r="BC1009">
        <v>331200</v>
      </c>
      <c r="BD1009" t="s">
        <v>31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331200</v>
      </c>
      <c r="BK1009" t="s">
        <v>25</v>
      </c>
      <c r="BL1009" t="s">
        <v>1010</v>
      </c>
      <c r="BM1009">
        <v>30</v>
      </c>
      <c r="BN1009">
        <v>2069651</v>
      </c>
      <c r="BO1009">
        <v>3.9999999105930328E-2</v>
      </c>
      <c r="BP1009">
        <v>82800</v>
      </c>
      <c r="BQ1009">
        <v>0</v>
      </c>
      <c r="BS1009">
        <v>0</v>
      </c>
      <c r="BU1009">
        <v>0</v>
      </c>
      <c r="BV1009" t="s">
        <v>25</v>
      </c>
      <c r="BW1009" t="s">
        <v>189</v>
      </c>
      <c r="BX1009">
        <v>30</v>
      </c>
      <c r="BY1009">
        <v>2069651</v>
      </c>
      <c r="BZ1009">
        <v>6.9600000977516174E-2</v>
      </c>
      <c r="CA1009" t="s">
        <v>1439</v>
      </c>
      <c r="CB1009" t="s">
        <v>312</v>
      </c>
      <c r="CC1009" t="s">
        <v>1440</v>
      </c>
      <c r="CD1009">
        <v>144100</v>
      </c>
      <c r="CE1009">
        <v>30</v>
      </c>
      <c r="CF1009" t="s">
        <v>466</v>
      </c>
      <c r="CG1009">
        <v>2069651</v>
      </c>
      <c r="CH1009">
        <v>3.9999999105930328E-2</v>
      </c>
      <c r="CI1009">
        <v>82800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 t="s">
        <v>88</v>
      </c>
      <c r="CT1009" t="s">
        <v>142</v>
      </c>
      <c r="CU1009" t="s">
        <v>1442</v>
      </c>
    </row>
    <row r="1010" spans="1:99">
      <c r="A1010" t="s">
        <v>3047</v>
      </c>
      <c r="B1010" t="s">
        <v>34</v>
      </c>
      <c r="C1010" t="s">
        <v>2446</v>
      </c>
      <c r="D1010" t="s">
        <v>2447</v>
      </c>
      <c r="E1010" t="s">
        <v>2448</v>
      </c>
      <c r="F1010" t="s">
        <v>2449</v>
      </c>
      <c r="G1010" t="s">
        <v>2450</v>
      </c>
      <c r="H1010" t="s">
        <v>1558</v>
      </c>
      <c r="I1010" t="s">
        <v>682</v>
      </c>
      <c r="J1010" t="s">
        <v>484</v>
      </c>
      <c r="K1010" t="s">
        <v>29</v>
      </c>
      <c r="L1010" t="s">
        <v>30</v>
      </c>
      <c r="M1010">
        <v>44</v>
      </c>
      <c r="N1010" t="s">
        <v>32</v>
      </c>
      <c r="O1010" t="s">
        <v>32</v>
      </c>
      <c r="Q1010" t="s">
        <v>40</v>
      </c>
      <c r="R1010">
        <v>46077</v>
      </c>
      <c r="S1010" t="s">
        <v>40</v>
      </c>
      <c r="T1010">
        <v>46081</v>
      </c>
      <c r="U1010" t="s">
        <v>32</v>
      </c>
      <c r="V1010" t="s">
        <v>32</v>
      </c>
      <c r="W1010" t="s">
        <v>32</v>
      </c>
      <c r="X1010" t="s">
        <v>32</v>
      </c>
      <c r="Y1010" t="s">
        <v>32</v>
      </c>
      <c r="AA1010" t="s">
        <v>88</v>
      </c>
      <c r="AB1010" t="s">
        <v>32</v>
      </c>
      <c r="AE1010" t="s">
        <v>32</v>
      </c>
      <c r="AH1010" t="s">
        <v>32</v>
      </c>
      <c r="AK1010" t="s">
        <v>32</v>
      </c>
      <c r="AN1010" t="s">
        <v>32</v>
      </c>
      <c r="AO1010" t="s">
        <v>32</v>
      </c>
      <c r="AR1010">
        <v>0</v>
      </c>
      <c r="AU1010" t="s">
        <v>32</v>
      </c>
      <c r="AV1010">
        <v>1750905</v>
      </c>
      <c r="AW1010" t="s">
        <v>32</v>
      </c>
      <c r="AX1010" t="s">
        <v>32</v>
      </c>
      <c r="AY1010" t="s">
        <v>185</v>
      </c>
      <c r="AZ1010">
        <v>7</v>
      </c>
      <c r="BA1010">
        <v>488132</v>
      </c>
      <c r="BB1010">
        <v>0.15999999642372131</v>
      </c>
      <c r="BC1010">
        <v>78200</v>
      </c>
      <c r="BD1010" t="s">
        <v>31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78200</v>
      </c>
      <c r="BK1010" t="s">
        <v>25</v>
      </c>
      <c r="BL1010" t="s">
        <v>1071</v>
      </c>
      <c r="BM1010">
        <v>7</v>
      </c>
      <c r="BN1010">
        <v>488132</v>
      </c>
      <c r="BO1010">
        <v>3.9999999105930328E-2</v>
      </c>
      <c r="BP1010">
        <v>19600</v>
      </c>
      <c r="BQ1010">
        <v>0</v>
      </c>
      <c r="BS1010">
        <v>0</v>
      </c>
      <c r="BU1010">
        <v>0</v>
      </c>
      <c r="BV1010" t="s">
        <v>25</v>
      </c>
      <c r="BW1010" t="s">
        <v>189</v>
      </c>
      <c r="BX1010">
        <v>7</v>
      </c>
      <c r="BY1010">
        <v>488132</v>
      </c>
      <c r="BZ1010">
        <v>6.9600000977516174E-2</v>
      </c>
      <c r="CA1010" t="s">
        <v>1439</v>
      </c>
      <c r="CB1010" t="s">
        <v>312</v>
      </c>
      <c r="CC1010" t="s">
        <v>1440</v>
      </c>
      <c r="CD1010">
        <v>34000</v>
      </c>
      <c r="CE1010">
        <v>7</v>
      </c>
      <c r="CF1010" t="s">
        <v>466</v>
      </c>
      <c r="CG1010">
        <v>502776</v>
      </c>
      <c r="CH1010">
        <v>3.9999999105930328E-2</v>
      </c>
      <c r="CI1010">
        <v>20200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 t="s">
        <v>88</v>
      </c>
      <c r="CT1010" t="s">
        <v>142</v>
      </c>
      <c r="CU1010" t="s">
        <v>1442</v>
      </c>
    </row>
    <row r="1011" spans="1:99">
      <c r="A1011" t="s">
        <v>3047</v>
      </c>
      <c r="B1011" t="s">
        <v>34</v>
      </c>
      <c r="C1011" t="s">
        <v>2451</v>
      </c>
      <c r="D1011" t="s">
        <v>2452</v>
      </c>
      <c r="E1011" t="s">
        <v>2182</v>
      </c>
      <c r="F1011" t="s">
        <v>2386</v>
      </c>
      <c r="G1011" t="s">
        <v>1640</v>
      </c>
      <c r="H1011" t="s">
        <v>1519</v>
      </c>
      <c r="I1011" t="s">
        <v>682</v>
      </c>
      <c r="J1011" t="s">
        <v>484</v>
      </c>
      <c r="K1011" t="s">
        <v>29</v>
      </c>
      <c r="L1011" t="s">
        <v>30</v>
      </c>
      <c r="M1011">
        <v>0</v>
      </c>
      <c r="N1011" t="s">
        <v>32</v>
      </c>
      <c r="O1011" t="s">
        <v>32</v>
      </c>
      <c r="Q1011" t="s">
        <v>32</v>
      </c>
      <c r="S1011" t="s">
        <v>32</v>
      </c>
      <c r="U1011" t="s">
        <v>32</v>
      </c>
      <c r="V1011" t="s">
        <v>32</v>
      </c>
      <c r="W1011" t="s">
        <v>32</v>
      </c>
      <c r="X1011" t="s">
        <v>32</v>
      </c>
      <c r="Y1011" t="s">
        <v>32</v>
      </c>
      <c r="AA1011" t="s">
        <v>32</v>
      </c>
      <c r="AB1011" t="s">
        <v>37</v>
      </c>
      <c r="AC1011">
        <v>46054</v>
      </c>
      <c r="AD1011">
        <v>46054</v>
      </c>
      <c r="AE1011" t="s">
        <v>32</v>
      </c>
      <c r="AH1011" t="s">
        <v>32</v>
      </c>
      <c r="AK1011" t="s">
        <v>32</v>
      </c>
      <c r="AN1011" t="s">
        <v>32</v>
      </c>
      <c r="AO1011" t="s">
        <v>32</v>
      </c>
      <c r="AR1011">
        <v>0</v>
      </c>
      <c r="AU1011" t="s">
        <v>32</v>
      </c>
      <c r="AV1011">
        <v>1785595</v>
      </c>
      <c r="AW1011" t="s">
        <v>32</v>
      </c>
      <c r="AX1011" t="s">
        <v>32</v>
      </c>
      <c r="AY1011" t="s">
        <v>317</v>
      </c>
      <c r="AZ1011">
        <v>1</v>
      </c>
      <c r="BA1011">
        <v>59520</v>
      </c>
      <c r="BB1011">
        <v>0.15999999642372131</v>
      </c>
      <c r="BC1011">
        <v>9600</v>
      </c>
      <c r="BD1011" t="s">
        <v>31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9600</v>
      </c>
      <c r="BK1011" t="s">
        <v>25</v>
      </c>
      <c r="BL1011" t="s">
        <v>748</v>
      </c>
      <c r="BM1011">
        <v>1</v>
      </c>
      <c r="BN1011">
        <v>59520</v>
      </c>
      <c r="BO1011">
        <v>0</v>
      </c>
      <c r="BP1011">
        <v>0</v>
      </c>
      <c r="BQ1011">
        <v>0</v>
      </c>
      <c r="BS1011">
        <v>0</v>
      </c>
      <c r="BU1011">
        <v>0</v>
      </c>
      <c r="BV1011" t="s">
        <v>25</v>
      </c>
      <c r="BW1011" t="s">
        <v>189</v>
      </c>
      <c r="BX1011">
        <v>1</v>
      </c>
      <c r="BY1011">
        <v>59520</v>
      </c>
      <c r="BZ1011">
        <v>0</v>
      </c>
      <c r="CA1011" t="s">
        <v>1439</v>
      </c>
      <c r="CB1011" t="s">
        <v>312</v>
      </c>
      <c r="CC1011" t="s">
        <v>1440</v>
      </c>
      <c r="CD1011">
        <v>0</v>
      </c>
      <c r="CE1011">
        <v>1</v>
      </c>
      <c r="CF1011" t="s">
        <v>466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 t="s">
        <v>88</v>
      </c>
      <c r="CT1011" t="s">
        <v>142</v>
      </c>
      <c r="CU1011" t="s">
        <v>1442</v>
      </c>
    </row>
    <row r="1012" spans="1:99">
      <c r="A1012" t="s">
        <v>3047</v>
      </c>
      <c r="B1012" t="s">
        <v>34</v>
      </c>
      <c r="C1012" t="s">
        <v>2451</v>
      </c>
      <c r="D1012" t="s">
        <v>2452</v>
      </c>
      <c r="E1012" t="s">
        <v>2182</v>
      </c>
      <c r="F1012" t="s">
        <v>2386</v>
      </c>
      <c r="G1012" t="s">
        <v>1640</v>
      </c>
      <c r="H1012" t="s">
        <v>1519</v>
      </c>
      <c r="I1012" t="s">
        <v>682</v>
      </c>
      <c r="J1012" t="s">
        <v>484</v>
      </c>
      <c r="K1012" t="s">
        <v>29</v>
      </c>
      <c r="L1012" t="s">
        <v>30</v>
      </c>
      <c r="M1012">
        <v>203</v>
      </c>
      <c r="N1012" t="s">
        <v>32</v>
      </c>
      <c r="O1012" t="s">
        <v>32</v>
      </c>
      <c r="Q1012" t="s">
        <v>32</v>
      </c>
      <c r="S1012" t="s">
        <v>32</v>
      </c>
      <c r="U1012" t="s">
        <v>32</v>
      </c>
      <c r="V1012" t="s">
        <v>32</v>
      </c>
      <c r="W1012" t="s">
        <v>32</v>
      </c>
      <c r="X1012" t="s">
        <v>32</v>
      </c>
      <c r="Y1012" t="s">
        <v>32</v>
      </c>
      <c r="AA1012" t="s">
        <v>88</v>
      </c>
      <c r="AB1012" t="s">
        <v>32</v>
      </c>
      <c r="AE1012" t="s">
        <v>32</v>
      </c>
      <c r="AH1012" t="s">
        <v>32</v>
      </c>
      <c r="AK1012" t="s">
        <v>32</v>
      </c>
      <c r="AN1012" t="s">
        <v>32</v>
      </c>
      <c r="AO1012" t="s">
        <v>32</v>
      </c>
      <c r="AR1012">
        <v>0</v>
      </c>
      <c r="AU1012" t="s">
        <v>32</v>
      </c>
      <c r="AV1012">
        <v>1785595</v>
      </c>
      <c r="AW1012" t="s">
        <v>32</v>
      </c>
      <c r="AX1012" t="s">
        <v>32</v>
      </c>
      <c r="AY1012" t="s">
        <v>317</v>
      </c>
      <c r="AZ1012">
        <v>29</v>
      </c>
      <c r="BA1012">
        <v>2030844</v>
      </c>
      <c r="BB1012">
        <v>0.15999999642372131</v>
      </c>
      <c r="BC1012">
        <v>325000</v>
      </c>
      <c r="BD1012" t="s">
        <v>31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325000</v>
      </c>
      <c r="BK1012" t="s">
        <v>25</v>
      </c>
      <c r="BL1012" t="s">
        <v>748</v>
      </c>
      <c r="BM1012">
        <v>29</v>
      </c>
      <c r="BN1012">
        <v>2030844</v>
      </c>
      <c r="BO1012">
        <v>3.9999999105930328E-2</v>
      </c>
      <c r="BP1012">
        <v>81300</v>
      </c>
      <c r="BQ1012">
        <v>0</v>
      </c>
      <c r="BS1012">
        <v>0</v>
      </c>
      <c r="BU1012">
        <v>0</v>
      </c>
      <c r="BV1012" t="s">
        <v>25</v>
      </c>
      <c r="BW1012" t="s">
        <v>189</v>
      </c>
      <c r="BX1012">
        <v>29</v>
      </c>
      <c r="BY1012">
        <v>2030844</v>
      </c>
      <c r="BZ1012">
        <v>6.9600000977516174E-2</v>
      </c>
      <c r="CA1012" t="s">
        <v>1439</v>
      </c>
      <c r="CB1012" t="s">
        <v>312</v>
      </c>
      <c r="CC1012" t="s">
        <v>1440</v>
      </c>
      <c r="CD1012">
        <v>141400</v>
      </c>
      <c r="CE1012">
        <v>29</v>
      </c>
      <c r="CF1012" t="s">
        <v>466</v>
      </c>
      <c r="CG1012">
        <v>2030844</v>
      </c>
      <c r="CH1012">
        <v>3.9999999105930328E-2</v>
      </c>
      <c r="CI1012">
        <v>81300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 t="s">
        <v>88</v>
      </c>
      <c r="CT1012" t="s">
        <v>142</v>
      </c>
      <c r="CU1012" t="s">
        <v>1442</v>
      </c>
    </row>
    <row r="1013" spans="1:99">
      <c r="A1013" t="s">
        <v>3047</v>
      </c>
      <c r="B1013" t="s">
        <v>34</v>
      </c>
      <c r="C1013" t="s">
        <v>2456</v>
      </c>
      <c r="D1013" t="s">
        <v>2457</v>
      </c>
      <c r="E1013" t="s">
        <v>2211</v>
      </c>
      <c r="F1013" t="s">
        <v>263</v>
      </c>
      <c r="G1013" t="s">
        <v>1503</v>
      </c>
      <c r="H1013" t="s">
        <v>1468</v>
      </c>
      <c r="I1013" t="s">
        <v>682</v>
      </c>
      <c r="J1013" t="s">
        <v>484</v>
      </c>
      <c r="K1013" t="s">
        <v>29</v>
      </c>
      <c r="L1013" t="s">
        <v>30</v>
      </c>
      <c r="M1013">
        <v>201</v>
      </c>
      <c r="N1013" t="s">
        <v>32</v>
      </c>
      <c r="O1013" t="s">
        <v>32</v>
      </c>
      <c r="Q1013" t="s">
        <v>32</v>
      </c>
      <c r="S1013" t="s">
        <v>40</v>
      </c>
      <c r="T1013">
        <v>46079</v>
      </c>
      <c r="U1013" t="s">
        <v>32</v>
      </c>
      <c r="V1013" t="s">
        <v>32</v>
      </c>
      <c r="W1013" t="s">
        <v>32</v>
      </c>
      <c r="X1013" t="s">
        <v>32</v>
      </c>
      <c r="Y1013" t="s">
        <v>32</v>
      </c>
      <c r="AA1013" t="s">
        <v>88</v>
      </c>
      <c r="AB1013" t="s">
        <v>32</v>
      </c>
      <c r="AE1013" t="s">
        <v>32</v>
      </c>
      <c r="AH1013" t="s">
        <v>32</v>
      </c>
      <c r="AK1013" t="s">
        <v>32</v>
      </c>
      <c r="AN1013" t="s">
        <v>32</v>
      </c>
      <c r="AO1013" t="s">
        <v>32</v>
      </c>
      <c r="AR1013">
        <v>0</v>
      </c>
      <c r="AU1013" t="s">
        <v>32</v>
      </c>
      <c r="AV1013">
        <v>2074908</v>
      </c>
      <c r="AW1013" t="s">
        <v>32</v>
      </c>
      <c r="AX1013" t="s">
        <v>32</v>
      </c>
      <c r="AY1013" t="s">
        <v>356</v>
      </c>
      <c r="AZ1013">
        <v>26</v>
      </c>
      <c r="BA1013">
        <v>2694174</v>
      </c>
      <c r="BB1013">
        <v>0.15999999642372131</v>
      </c>
      <c r="BC1013">
        <v>431100</v>
      </c>
      <c r="BD1013" t="s">
        <v>31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431100</v>
      </c>
      <c r="BK1013" t="s">
        <v>25</v>
      </c>
      <c r="BL1013" t="s">
        <v>1010</v>
      </c>
      <c r="BM1013">
        <v>26</v>
      </c>
      <c r="BN1013">
        <v>2694174</v>
      </c>
      <c r="BO1013">
        <v>3.9999999105930328E-2</v>
      </c>
      <c r="BP1013">
        <v>107800</v>
      </c>
      <c r="BQ1013">
        <v>0</v>
      </c>
      <c r="BS1013">
        <v>0</v>
      </c>
      <c r="BU1013">
        <v>0</v>
      </c>
      <c r="BV1013" t="s">
        <v>25</v>
      </c>
      <c r="BW1013" t="s">
        <v>189</v>
      </c>
      <c r="BX1013">
        <v>26</v>
      </c>
      <c r="BY1013">
        <v>2694174</v>
      </c>
      <c r="BZ1013">
        <v>6.9600000977516174E-2</v>
      </c>
      <c r="CA1013" t="s">
        <v>1439</v>
      </c>
      <c r="CB1013" t="s">
        <v>312</v>
      </c>
      <c r="CC1013" t="s">
        <v>1440</v>
      </c>
      <c r="CD1013">
        <v>187600</v>
      </c>
      <c r="CE1013">
        <v>26</v>
      </c>
      <c r="CF1013" t="s">
        <v>466</v>
      </c>
      <c r="CG1013">
        <v>3219832</v>
      </c>
      <c r="CH1013">
        <v>3.9999999105930328E-2</v>
      </c>
      <c r="CI1013">
        <v>128800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 t="s">
        <v>88</v>
      </c>
      <c r="CT1013" t="s">
        <v>142</v>
      </c>
      <c r="CU1013" t="s">
        <v>1442</v>
      </c>
    </row>
    <row r="1014" spans="1:99">
      <c r="A1014" t="s">
        <v>3047</v>
      </c>
      <c r="B1014" t="s">
        <v>34</v>
      </c>
      <c r="C1014" t="s">
        <v>2458</v>
      </c>
      <c r="D1014" t="s">
        <v>2459</v>
      </c>
      <c r="E1014" t="s">
        <v>2460</v>
      </c>
      <c r="F1014" t="s">
        <v>2346</v>
      </c>
      <c r="G1014" t="s">
        <v>1489</v>
      </c>
      <c r="H1014" t="s">
        <v>2461</v>
      </c>
      <c r="I1014" t="s">
        <v>240</v>
      </c>
      <c r="J1014" t="s">
        <v>46</v>
      </c>
      <c r="K1014" t="s">
        <v>29</v>
      </c>
      <c r="L1014" t="s">
        <v>30</v>
      </c>
      <c r="M1014">
        <v>0</v>
      </c>
      <c r="N1014" t="s">
        <v>32</v>
      </c>
      <c r="O1014" t="s">
        <v>32</v>
      </c>
      <c r="Q1014" t="s">
        <v>32</v>
      </c>
      <c r="S1014" t="s">
        <v>32</v>
      </c>
      <c r="U1014" t="s">
        <v>32</v>
      </c>
      <c r="V1014" t="s">
        <v>32</v>
      </c>
      <c r="W1014" t="s">
        <v>32</v>
      </c>
      <c r="X1014" t="s">
        <v>32</v>
      </c>
      <c r="Y1014" t="s">
        <v>32</v>
      </c>
      <c r="AA1014" t="s">
        <v>32</v>
      </c>
      <c r="AB1014" t="s">
        <v>37</v>
      </c>
      <c r="AC1014">
        <v>46054</v>
      </c>
      <c r="AD1014">
        <v>46054</v>
      </c>
      <c r="AE1014" t="s">
        <v>32</v>
      </c>
      <c r="AH1014" t="s">
        <v>32</v>
      </c>
      <c r="AK1014" t="s">
        <v>32</v>
      </c>
      <c r="AN1014" t="s">
        <v>32</v>
      </c>
      <c r="AO1014" t="s">
        <v>32</v>
      </c>
      <c r="AR1014">
        <v>0</v>
      </c>
      <c r="AU1014" t="s">
        <v>32</v>
      </c>
      <c r="AV1014">
        <v>1750905</v>
      </c>
      <c r="AW1014" t="s">
        <v>32</v>
      </c>
      <c r="AX1014" t="s">
        <v>32</v>
      </c>
      <c r="AY1014" t="s">
        <v>317</v>
      </c>
      <c r="AZ1014">
        <v>1</v>
      </c>
      <c r="BA1014">
        <v>58364</v>
      </c>
      <c r="BB1014">
        <v>0.15999999642372131</v>
      </c>
      <c r="BC1014">
        <v>9400</v>
      </c>
      <c r="BD1014" t="s">
        <v>31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9400</v>
      </c>
      <c r="BK1014" t="s">
        <v>25</v>
      </c>
      <c r="BL1014" t="s">
        <v>1064</v>
      </c>
      <c r="BM1014">
        <v>1</v>
      </c>
      <c r="BN1014">
        <v>58364</v>
      </c>
      <c r="BO1014">
        <v>0</v>
      </c>
      <c r="BP1014">
        <v>0</v>
      </c>
      <c r="BQ1014">
        <v>0</v>
      </c>
      <c r="BS1014">
        <v>0</v>
      </c>
      <c r="BU1014">
        <v>0</v>
      </c>
      <c r="BV1014" t="s">
        <v>25</v>
      </c>
      <c r="BW1014" t="s">
        <v>189</v>
      </c>
      <c r="BX1014">
        <v>1</v>
      </c>
      <c r="BY1014">
        <v>58364</v>
      </c>
      <c r="BZ1014">
        <v>0</v>
      </c>
      <c r="CA1014" t="s">
        <v>1439</v>
      </c>
      <c r="CB1014" t="s">
        <v>227</v>
      </c>
      <c r="CC1014" t="s">
        <v>1440</v>
      </c>
      <c r="CD1014">
        <v>0</v>
      </c>
      <c r="CE1014">
        <v>1</v>
      </c>
      <c r="CF1014" t="s">
        <v>635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 t="s">
        <v>88</v>
      </c>
      <c r="CT1014" t="s">
        <v>142</v>
      </c>
      <c r="CU1014" t="s">
        <v>1442</v>
      </c>
    </row>
    <row r="1015" spans="1:99">
      <c r="A1015" t="s">
        <v>3047</v>
      </c>
      <c r="B1015" t="s">
        <v>34</v>
      </c>
      <c r="C1015" t="s">
        <v>2458</v>
      </c>
      <c r="D1015" t="s">
        <v>2459</v>
      </c>
      <c r="E1015" t="s">
        <v>2460</v>
      </c>
      <c r="F1015" t="s">
        <v>2346</v>
      </c>
      <c r="G1015" t="s">
        <v>1489</v>
      </c>
      <c r="H1015" t="s">
        <v>2461</v>
      </c>
      <c r="I1015" t="s">
        <v>240</v>
      </c>
      <c r="J1015" t="s">
        <v>46</v>
      </c>
      <c r="K1015" t="s">
        <v>29</v>
      </c>
      <c r="L1015" t="s">
        <v>30</v>
      </c>
      <c r="M1015">
        <v>0</v>
      </c>
      <c r="N1015" t="s">
        <v>32</v>
      </c>
      <c r="O1015" t="s">
        <v>32</v>
      </c>
      <c r="Q1015" t="s">
        <v>32</v>
      </c>
      <c r="S1015" t="s">
        <v>32</v>
      </c>
      <c r="U1015" t="s">
        <v>32</v>
      </c>
      <c r="V1015" t="s">
        <v>32</v>
      </c>
      <c r="W1015" t="s">
        <v>32</v>
      </c>
      <c r="X1015" t="s">
        <v>32</v>
      </c>
      <c r="Y1015" t="s">
        <v>32</v>
      </c>
      <c r="AA1015" t="s">
        <v>32</v>
      </c>
      <c r="AB1015" t="s">
        <v>37</v>
      </c>
      <c r="AC1015">
        <v>46056</v>
      </c>
      <c r="AD1015">
        <v>46057</v>
      </c>
      <c r="AE1015" t="s">
        <v>32</v>
      </c>
      <c r="AH1015" t="s">
        <v>32</v>
      </c>
      <c r="AK1015" t="s">
        <v>32</v>
      </c>
      <c r="AN1015" t="s">
        <v>32</v>
      </c>
      <c r="AO1015" t="s">
        <v>32</v>
      </c>
      <c r="AR1015">
        <v>0</v>
      </c>
      <c r="AU1015" t="s">
        <v>32</v>
      </c>
      <c r="AV1015">
        <v>1750905</v>
      </c>
      <c r="AW1015" t="s">
        <v>32</v>
      </c>
      <c r="AX1015" t="s">
        <v>32</v>
      </c>
      <c r="AY1015" t="s">
        <v>317</v>
      </c>
      <c r="AZ1015">
        <v>2</v>
      </c>
      <c r="BA1015">
        <v>116727</v>
      </c>
      <c r="BB1015">
        <v>0.15999999642372131</v>
      </c>
      <c r="BC1015">
        <v>18700</v>
      </c>
      <c r="BD1015" t="s">
        <v>31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18700</v>
      </c>
      <c r="BK1015" t="s">
        <v>25</v>
      </c>
      <c r="BL1015" t="s">
        <v>1064</v>
      </c>
      <c r="BM1015">
        <v>2</v>
      </c>
      <c r="BN1015">
        <v>116727</v>
      </c>
      <c r="BO1015">
        <v>0</v>
      </c>
      <c r="BP1015">
        <v>0</v>
      </c>
      <c r="BQ1015">
        <v>0</v>
      </c>
      <c r="BS1015">
        <v>0</v>
      </c>
      <c r="BU1015">
        <v>0</v>
      </c>
      <c r="BV1015" t="s">
        <v>25</v>
      </c>
      <c r="BW1015" t="s">
        <v>189</v>
      </c>
      <c r="BX1015">
        <v>2</v>
      </c>
      <c r="BY1015">
        <v>116727</v>
      </c>
      <c r="BZ1015">
        <v>0</v>
      </c>
      <c r="CA1015" t="s">
        <v>1439</v>
      </c>
      <c r="CB1015" t="s">
        <v>227</v>
      </c>
      <c r="CC1015" t="s">
        <v>1440</v>
      </c>
      <c r="CD1015">
        <v>0</v>
      </c>
      <c r="CE1015">
        <v>2</v>
      </c>
      <c r="CF1015" t="s">
        <v>635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 t="s">
        <v>88</v>
      </c>
      <c r="CT1015" t="s">
        <v>142</v>
      </c>
      <c r="CU1015" t="s">
        <v>1442</v>
      </c>
    </row>
    <row r="1016" spans="1:99">
      <c r="A1016" t="s">
        <v>3047</v>
      </c>
      <c r="B1016" t="s">
        <v>34</v>
      </c>
      <c r="C1016" t="s">
        <v>2458</v>
      </c>
      <c r="D1016" t="s">
        <v>2459</v>
      </c>
      <c r="E1016" t="s">
        <v>2460</v>
      </c>
      <c r="F1016" t="s">
        <v>2346</v>
      </c>
      <c r="G1016" t="s">
        <v>1489</v>
      </c>
      <c r="H1016" t="s">
        <v>2461</v>
      </c>
      <c r="I1016" t="s">
        <v>240</v>
      </c>
      <c r="J1016" t="s">
        <v>46</v>
      </c>
      <c r="K1016" t="s">
        <v>29</v>
      </c>
      <c r="L1016" t="s">
        <v>30</v>
      </c>
      <c r="M1016">
        <v>0</v>
      </c>
      <c r="N1016" t="s">
        <v>32</v>
      </c>
      <c r="O1016" t="s">
        <v>32</v>
      </c>
      <c r="Q1016" t="s">
        <v>32</v>
      </c>
      <c r="S1016" t="s">
        <v>32</v>
      </c>
      <c r="U1016" t="s">
        <v>32</v>
      </c>
      <c r="V1016" t="s">
        <v>32</v>
      </c>
      <c r="W1016" t="s">
        <v>32</v>
      </c>
      <c r="X1016" t="s">
        <v>32</v>
      </c>
      <c r="Y1016" t="s">
        <v>32</v>
      </c>
      <c r="AA1016" t="s">
        <v>32</v>
      </c>
      <c r="AB1016" t="s">
        <v>32</v>
      </c>
      <c r="AE1016" t="s">
        <v>32</v>
      </c>
      <c r="AH1016" t="s">
        <v>32</v>
      </c>
      <c r="AK1016" t="s">
        <v>128</v>
      </c>
      <c r="AL1016">
        <v>46058</v>
      </c>
      <c r="AM1016">
        <v>46058</v>
      </c>
      <c r="AN1016" t="s">
        <v>32</v>
      </c>
      <c r="AO1016" t="s">
        <v>32</v>
      </c>
      <c r="AR1016">
        <v>0</v>
      </c>
      <c r="AU1016" t="s">
        <v>32</v>
      </c>
      <c r="AV1016">
        <v>1750905</v>
      </c>
      <c r="AW1016" t="s">
        <v>32</v>
      </c>
      <c r="AX1016" t="s">
        <v>32</v>
      </c>
      <c r="AY1016" t="s">
        <v>317</v>
      </c>
      <c r="AZ1016">
        <v>1</v>
      </c>
      <c r="BA1016">
        <v>58364</v>
      </c>
      <c r="BB1016">
        <v>0.15999999642372131</v>
      </c>
      <c r="BC1016">
        <v>9400</v>
      </c>
      <c r="BD1016" t="s">
        <v>31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9400</v>
      </c>
      <c r="BK1016" t="s">
        <v>25</v>
      </c>
      <c r="BL1016" t="s">
        <v>1064</v>
      </c>
      <c r="BM1016">
        <v>1</v>
      </c>
      <c r="BN1016">
        <v>58364</v>
      </c>
      <c r="BO1016">
        <v>3.9999999105930328E-2</v>
      </c>
      <c r="BP1016">
        <v>2400</v>
      </c>
      <c r="BQ1016">
        <v>0</v>
      </c>
      <c r="BS1016">
        <v>0</v>
      </c>
      <c r="BU1016">
        <v>0</v>
      </c>
      <c r="BV1016" t="s">
        <v>25</v>
      </c>
      <c r="BW1016" t="s">
        <v>189</v>
      </c>
      <c r="BX1016">
        <v>1</v>
      </c>
      <c r="BY1016">
        <v>58364</v>
      </c>
      <c r="BZ1016">
        <v>0</v>
      </c>
      <c r="CA1016" t="s">
        <v>1439</v>
      </c>
      <c r="CB1016" t="s">
        <v>227</v>
      </c>
      <c r="CC1016" t="s">
        <v>1440</v>
      </c>
      <c r="CD1016">
        <v>0</v>
      </c>
      <c r="CE1016">
        <v>1</v>
      </c>
      <c r="CF1016" t="s">
        <v>635</v>
      </c>
      <c r="CG1016">
        <v>58364</v>
      </c>
      <c r="CH1016">
        <v>3.9999999105930328E-2</v>
      </c>
      <c r="CI1016">
        <v>2400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 t="s">
        <v>88</v>
      </c>
      <c r="CT1016" t="s">
        <v>142</v>
      </c>
      <c r="CU1016" t="s">
        <v>1442</v>
      </c>
    </row>
    <row r="1017" spans="1:99">
      <c r="A1017" t="s">
        <v>3047</v>
      </c>
      <c r="B1017" t="s">
        <v>34</v>
      </c>
      <c r="C1017" t="s">
        <v>2458</v>
      </c>
      <c r="D1017" t="s">
        <v>2459</v>
      </c>
      <c r="E1017" t="s">
        <v>2460</v>
      </c>
      <c r="F1017" t="s">
        <v>2346</v>
      </c>
      <c r="G1017" t="s">
        <v>1489</v>
      </c>
      <c r="H1017" t="s">
        <v>2461</v>
      </c>
      <c r="I1017" t="s">
        <v>240</v>
      </c>
      <c r="J1017" t="s">
        <v>46</v>
      </c>
      <c r="K1017" t="s">
        <v>29</v>
      </c>
      <c r="L1017" t="s">
        <v>30</v>
      </c>
      <c r="M1017">
        <v>0</v>
      </c>
      <c r="N1017" t="s">
        <v>32</v>
      </c>
      <c r="O1017" t="s">
        <v>32</v>
      </c>
      <c r="Q1017" t="s">
        <v>32</v>
      </c>
      <c r="S1017" t="s">
        <v>32</v>
      </c>
      <c r="U1017" t="s">
        <v>32</v>
      </c>
      <c r="V1017" t="s">
        <v>32</v>
      </c>
      <c r="W1017" t="s">
        <v>32</v>
      </c>
      <c r="X1017" t="s">
        <v>32</v>
      </c>
      <c r="Y1017" t="s">
        <v>32</v>
      </c>
      <c r="AA1017" t="s">
        <v>32</v>
      </c>
      <c r="AB1017" t="s">
        <v>32</v>
      </c>
      <c r="AE1017" t="s">
        <v>1492</v>
      </c>
      <c r="AF1017">
        <v>46060</v>
      </c>
      <c r="AG1017">
        <v>46061</v>
      </c>
      <c r="AH1017" t="s">
        <v>32</v>
      </c>
      <c r="AK1017" t="s">
        <v>32</v>
      </c>
      <c r="AN1017" t="s">
        <v>32</v>
      </c>
      <c r="AO1017" t="s">
        <v>32</v>
      </c>
      <c r="AR1017">
        <v>0</v>
      </c>
      <c r="AU1017" t="s">
        <v>32</v>
      </c>
      <c r="AV1017">
        <v>1750905</v>
      </c>
      <c r="AW1017" t="s">
        <v>32</v>
      </c>
      <c r="AX1017" t="s">
        <v>32</v>
      </c>
      <c r="AY1017" t="s">
        <v>317</v>
      </c>
      <c r="AZ1017">
        <v>2</v>
      </c>
      <c r="BA1017">
        <v>181456</v>
      </c>
      <c r="BB1017">
        <v>0.15999999642372131</v>
      </c>
      <c r="BC1017">
        <v>29100</v>
      </c>
      <c r="BD1017" t="s">
        <v>31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29100</v>
      </c>
      <c r="BK1017" t="s">
        <v>25</v>
      </c>
      <c r="BL1017" t="s">
        <v>1064</v>
      </c>
      <c r="BM1017">
        <v>2</v>
      </c>
      <c r="BN1017">
        <v>181456</v>
      </c>
      <c r="BO1017">
        <v>3.9999999105930328E-2</v>
      </c>
      <c r="BP1017">
        <v>7300</v>
      </c>
      <c r="BQ1017">
        <v>0</v>
      </c>
      <c r="BS1017">
        <v>0</v>
      </c>
      <c r="BU1017">
        <v>0</v>
      </c>
      <c r="BV1017" t="s">
        <v>25</v>
      </c>
      <c r="BW1017" t="s">
        <v>189</v>
      </c>
      <c r="BX1017">
        <v>2</v>
      </c>
      <c r="BY1017">
        <v>181456</v>
      </c>
      <c r="BZ1017">
        <v>0</v>
      </c>
      <c r="CA1017" t="s">
        <v>1439</v>
      </c>
      <c r="CB1017" t="s">
        <v>227</v>
      </c>
      <c r="CC1017" t="s">
        <v>1440</v>
      </c>
      <c r="CD1017">
        <v>0</v>
      </c>
      <c r="CE1017">
        <v>2</v>
      </c>
      <c r="CF1017" t="s">
        <v>635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 t="s">
        <v>88</v>
      </c>
      <c r="CT1017" t="s">
        <v>142</v>
      </c>
      <c r="CU1017" t="s">
        <v>1442</v>
      </c>
    </row>
    <row r="1018" spans="1:99">
      <c r="A1018" t="s">
        <v>3047</v>
      </c>
      <c r="B1018" t="s">
        <v>34</v>
      </c>
      <c r="C1018" t="s">
        <v>2458</v>
      </c>
      <c r="D1018" t="s">
        <v>2459</v>
      </c>
      <c r="E1018" t="s">
        <v>2460</v>
      </c>
      <c r="F1018" t="s">
        <v>2346</v>
      </c>
      <c r="G1018" t="s">
        <v>1489</v>
      </c>
      <c r="H1018" t="s">
        <v>2461</v>
      </c>
      <c r="I1018" t="s">
        <v>240</v>
      </c>
      <c r="J1018" t="s">
        <v>46</v>
      </c>
      <c r="K1018" t="s">
        <v>29</v>
      </c>
      <c r="L1018" t="s">
        <v>30</v>
      </c>
      <c r="M1018">
        <v>0</v>
      </c>
      <c r="N1018" t="s">
        <v>32</v>
      </c>
      <c r="O1018" t="s">
        <v>32</v>
      </c>
      <c r="Q1018" t="s">
        <v>32</v>
      </c>
      <c r="S1018" t="s">
        <v>32</v>
      </c>
      <c r="U1018" t="s">
        <v>32</v>
      </c>
      <c r="V1018" t="s">
        <v>32</v>
      </c>
      <c r="W1018" t="s">
        <v>32</v>
      </c>
      <c r="X1018" t="s">
        <v>32</v>
      </c>
      <c r="Y1018" t="s">
        <v>32</v>
      </c>
      <c r="AA1018" t="s">
        <v>32</v>
      </c>
      <c r="AB1018" t="s">
        <v>37</v>
      </c>
      <c r="AC1018">
        <v>46063</v>
      </c>
      <c r="AD1018">
        <v>46064</v>
      </c>
      <c r="AE1018" t="s">
        <v>32</v>
      </c>
      <c r="AH1018" t="s">
        <v>32</v>
      </c>
      <c r="AK1018" t="s">
        <v>32</v>
      </c>
      <c r="AN1018" t="s">
        <v>32</v>
      </c>
      <c r="AO1018" t="s">
        <v>32</v>
      </c>
      <c r="AR1018">
        <v>0</v>
      </c>
      <c r="AU1018" t="s">
        <v>32</v>
      </c>
      <c r="AV1018">
        <v>1750905</v>
      </c>
      <c r="AW1018" t="s">
        <v>32</v>
      </c>
      <c r="AX1018" t="s">
        <v>32</v>
      </c>
      <c r="AY1018" t="s">
        <v>317</v>
      </c>
      <c r="AZ1018">
        <v>2</v>
      </c>
      <c r="BA1018">
        <v>116727</v>
      </c>
      <c r="BB1018">
        <v>0.15999999642372131</v>
      </c>
      <c r="BC1018">
        <v>18700</v>
      </c>
      <c r="BD1018" t="s">
        <v>31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18700</v>
      </c>
      <c r="BK1018" t="s">
        <v>25</v>
      </c>
      <c r="BL1018" t="s">
        <v>1064</v>
      </c>
      <c r="BM1018">
        <v>2</v>
      </c>
      <c r="BN1018">
        <v>116727</v>
      </c>
      <c r="BO1018">
        <v>0</v>
      </c>
      <c r="BP1018">
        <v>0</v>
      </c>
      <c r="BQ1018">
        <v>0</v>
      </c>
      <c r="BS1018">
        <v>0</v>
      </c>
      <c r="BU1018">
        <v>0</v>
      </c>
      <c r="BV1018" t="s">
        <v>25</v>
      </c>
      <c r="BW1018" t="s">
        <v>189</v>
      </c>
      <c r="BX1018">
        <v>2</v>
      </c>
      <c r="BY1018">
        <v>116727</v>
      </c>
      <c r="BZ1018">
        <v>0</v>
      </c>
      <c r="CA1018" t="s">
        <v>1439</v>
      </c>
      <c r="CB1018" t="s">
        <v>227</v>
      </c>
      <c r="CC1018" t="s">
        <v>1440</v>
      </c>
      <c r="CD1018">
        <v>0</v>
      </c>
      <c r="CE1018">
        <v>2</v>
      </c>
      <c r="CF1018" t="s">
        <v>635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 t="s">
        <v>88</v>
      </c>
      <c r="CT1018" t="s">
        <v>142</v>
      </c>
      <c r="CU1018" t="s">
        <v>1442</v>
      </c>
    </row>
    <row r="1019" spans="1:99">
      <c r="A1019" t="s">
        <v>3047</v>
      </c>
      <c r="B1019" t="s">
        <v>34</v>
      </c>
      <c r="C1019" t="s">
        <v>2458</v>
      </c>
      <c r="D1019" t="s">
        <v>2459</v>
      </c>
      <c r="E1019" t="s">
        <v>2460</v>
      </c>
      <c r="F1019" t="s">
        <v>2346</v>
      </c>
      <c r="G1019" t="s">
        <v>1489</v>
      </c>
      <c r="H1019" t="s">
        <v>2461</v>
      </c>
      <c r="I1019" t="s">
        <v>240</v>
      </c>
      <c r="J1019" t="s">
        <v>46</v>
      </c>
      <c r="K1019" t="s">
        <v>29</v>
      </c>
      <c r="L1019" t="s">
        <v>30</v>
      </c>
      <c r="M1019">
        <v>67</v>
      </c>
      <c r="N1019" t="s">
        <v>32</v>
      </c>
      <c r="O1019" t="s">
        <v>32</v>
      </c>
      <c r="Q1019" t="s">
        <v>32</v>
      </c>
      <c r="S1019" t="s">
        <v>40</v>
      </c>
      <c r="T1019">
        <v>46068</v>
      </c>
      <c r="U1019" t="s">
        <v>32</v>
      </c>
      <c r="V1019" t="s">
        <v>32</v>
      </c>
      <c r="W1019" t="s">
        <v>32</v>
      </c>
      <c r="X1019" t="s">
        <v>32</v>
      </c>
      <c r="Y1019" t="s">
        <v>32</v>
      </c>
      <c r="AA1019" t="s">
        <v>88</v>
      </c>
      <c r="AB1019" t="s">
        <v>32</v>
      </c>
      <c r="AE1019" t="s">
        <v>32</v>
      </c>
      <c r="AH1019" t="s">
        <v>32</v>
      </c>
      <c r="AK1019" t="s">
        <v>32</v>
      </c>
      <c r="AN1019" t="s">
        <v>32</v>
      </c>
      <c r="AO1019" t="s">
        <v>32</v>
      </c>
      <c r="AR1019">
        <v>0</v>
      </c>
      <c r="AU1019" t="s">
        <v>32</v>
      </c>
      <c r="AV1019">
        <v>1750905</v>
      </c>
      <c r="AW1019" t="s">
        <v>32</v>
      </c>
      <c r="AX1019" t="s">
        <v>32</v>
      </c>
      <c r="AY1019" t="s">
        <v>317</v>
      </c>
      <c r="AZ1019">
        <v>7</v>
      </c>
      <c r="BA1019">
        <v>1000114</v>
      </c>
      <c r="BB1019">
        <v>0.15999999642372131</v>
      </c>
      <c r="BC1019">
        <v>160100</v>
      </c>
      <c r="BD1019" t="s">
        <v>31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160100</v>
      </c>
      <c r="BK1019" t="s">
        <v>25</v>
      </c>
      <c r="BL1019" t="s">
        <v>1064</v>
      </c>
      <c r="BM1019">
        <v>7</v>
      </c>
      <c r="BN1019">
        <v>1000114</v>
      </c>
      <c r="BO1019">
        <v>3.9999999105930328E-2</v>
      </c>
      <c r="BP1019">
        <v>40100</v>
      </c>
      <c r="BQ1019">
        <v>0</v>
      </c>
      <c r="BS1019">
        <v>0</v>
      </c>
      <c r="BU1019">
        <v>0</v>
      </c>
      <c r="BV1019" t="s">
        <v>25</v>
      </c>
      <c r="BW1019" t="s">
        <v>189</v>
      </c>
      <c r="BX1019">
        <v>7</v>
      </c>
      <c r="BY1019">
        <v>1000114</v>
      </c>
      <c r="BZ1019">
        <v>6.9600000977516174E-2</v>
      </c>
      <c r="CA1019" t="s">
        <v>1439</v>
      </c>
      <c r="CB1019" t="s">
        <v>227</v>
      </c>
      <c r="CC1019" t="s">
        <v>1440</v>
      </c>
      <c r="CD1019">
        <v>69700</v>
      </c>
      <c r="CE1019">
        <v>7</v>
      </c>
      <c r="CF1019" t="s">
        <v>635</v>
      </c>
      <c r="CG1019">
        <v>1471150</v>
      </c>
      <c r="CH1019">
        <v>3.9999999105930328E-2</v>
      </c>
      <c r="CI1019">
        <v>58900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 t="s">
        <v>88</v>
      </c>
      <c r="CT1019" t="s">
        <v>142</v>
      </c>
      <c r="CU1019" t="s">
        <v>1442</v>
      </c>
    </row>
    <row r="1020" spans="1:99">
      <c r="A1020" t="s">
        <v>3047</v>
      </c>
      <c r="B1020" t="s">
        <v>34</v>
      </c>
      <c r="C1020" t="s">
        <v>2462</v>
      </c>
      <c r="D1020" t="s">
        <v>2463</v>
      </c>
      <c r="E1020" t="s">
        <v>2464</v>
      </c>
      <c r="F1020" t="s">
        <v>1535</v>
      </c>
      <c r="G1020" t="s">
        <v>2465</v>
      </c>
      <c r="H1020" t="s">
        <v>1558</v>
      </c>
      <c r="I1020" t="s">
        <v>682</v>
      </c>
      <c r="J1020" t="s">
        <v>484</v>
      </c>
      <c r="K1020" t="s">
        <v>29</v>
      </c>
      <c r="L1020" t="s">
        <v>30</v>
      </c>
      <c r="M1020">
        <v>0</v>
      </c>
      <c r="N1020" t="s">
        <v>32</v>
      </c>
      <c r="O1020" t="s">
        <v>32</v>
      </c>
      <c r="Q1020" t="s">
        <v>32</v>
      </c>
      <c r="S1020" t="s">
        <v>32</v>
      </c>
      <c r="U1020" t="s">
        <v>32</v>
      </c>
      <c r="V1020" t="s">
        <v>32</v>
      </c>
      <c r="W1020" t="s">
        <v>32</v>
      </c>
      <c r="X1020" t="s">
        <v>32</v>
      </c>
      <c r="Y1020" t="s">
        <v>32</v>
      </c>
      <c r="AA1020" t="s">
        <v>32</v>
      </c>
      <c r="AB1020" t="s">
        <v>37</v>
      </c>
      <c r="AC1020">
        <v>46054</v>
      </c>
      <c r="AD1020">
        <v>46054</v>
      </c>
      <c r="AE1020" t="s">
        <v>32</v>
      </c>
      <c r="AH1020" t="s">
        <v>32</v>
      </c>
      <c r="AK1020" t="s">
        <v>32</v>
      </c>
      <c r="AN1020" t="s">
        <v>32</v>
      </c>
      <c r="AO1020" t="s">
        <v>32</v>
      </c>
      <c r="AR1020">
        <v>0</v>
      </c>
      <c r="AU1020" t="s">
        <v>32</v>
      </c>
      <c r="AV1020">
        <v>2056650</v>
      </c>
      <c r="AW1020" t="s">
        <v>32</v>
      </c>
      <c r="AX1020" t="s">
        <v>32</v>
      </c>
      <c r="AY1020" t="s">
        <v>185</v>
      </c>
      <c r="AZ1020">
        <v>1</v>
      </c>
      <c r="BA1020">
        <v>68555</v>
      </c>
      <c r="BB1020">
        <v>0.15999999642372131</v>
      </c>
      <c r="BC1020">
        <v>11000</v>
      </c>
      <c r="BD1020" t="s">
        <v>31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11000</v>
      </c>
      <c r="BK1020" t="s">
        <v>25</v>
      </c>
      <c r="BL1020" t="s">
        <v>1064</v>
      </c>
      <c r="BM1020">
        <v>1</v>
      </c>
      <c r="BN1020">
        <v>68555</v>
      </c>
      <c r="BO1020">
        <v>0</v>
      </c>
      <c r="BP1020">
        <v>0</v>
      </c>
      <c r="BQ1020">
        <v>0</v>
      </c>
      <c r="BS1020">
        <v>0</v>
      </c>
      <c r="BU1020">
        <v>0</v>
      </c>
      <c r="BV1020" t="s">
        <v>25</v>
      </c>
      <c r="BW1020" t="s">
        <v>189</v>
      </c>
      <c r="BX1020">
        <v>1</v>
      </c>
      <c r="BY1020">
        <v>68555</v>
      </c>
      <c r="BZ1020">
        <v>0</v>
      </c>
      <c r="CA1020" t="s">
        <v>1439</v>
      </c>
      <c r="CB1020" t="s">
        <v>312</v>
      </c>
      <c r="CC1020" t="s">
        <v>1440</v>
      </c>
      <c r="CD1020">
        <v>0</v>
      </c>
      <c r="CE1020">
        <v>1</v>
      </c>
      <c r="CF1020" t="s">
        <v>466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 t="s">
        <v>88</v>
      </c>
      <c r="CT1020" t="s">
        <v>142</v>
      </c>
      <c r="CU1020" t="s">
        <v>1442</v>
      </c>
    </row>
    <row r="1021" spans="1:99">
      <c r="A1021" t="s">
        <v>3047</v>
      </c>
      <c r="B1021" t="s">
        <v>34</v>
      </c>
      <c r="C1021" t="s">
        <v>2462</v>
      </c>
      <c r="D1021" t="s">
        <v>2463</v>
      </c>
      <c r="E1021" t="s">
        <v>2464</v>
      </c>
      <c r="F1021" t="s">
        <v>1535</v>
      </c>
      <c r="G1021" t="s">
        <v>2465</v>
      </c>
      <c r="H1021" t="s">
        <v>1558</v>
      </c>
      <c r="I1021" t="s">
        <v>682</v>
      </c>
      <c r="J1021" t="s">
        <v>484</v>
      </c>
      <c r="K1021" t="s">
        <v>29</v>
      </c>
      <c r="L1021" t="s">
        <v>30</v>
      </c>
      <c r="M1021">
        <v>206</v>
      </c>
      <c r="N1021" t="s">
        <v>32</v>
      </c>
      <c r="O1021" t="s">
        <v>32</v>
      </c>
      <c r="Q1021" t="s">
        <v>32</v>
      </c>
      <c r="S1021" t="s">
        <v>32</v>
      </c>
      <c r="U1021" t="s">
        <v>32</v>
      </c>
      <c r="V1021" t="s">
        <v>32</v>
      </c>
      <c r="W1021" t="s">
        <v>32</v>
      </c>
      <c r="X1021" t="s">
        <v>32</v>
      </c>
      <c r="Y1021" t="s">
        <v>32</v>
      </c>
      <c r="AA1021" t="s">
        <v>88</v>
      </c>
      <c r="AB1021" t="s">
        <v>32</v>
      </c>
      <c r="AE1021" t="s">
        <v>32</v>
      </c>
      <c r="AH1021" t="s">
        <v>32</v>
      </c>
      <c r="AK1021" t="s">
        <v>32</v>
      </c>
      <c r="AN1021" t="s">
        <v>32</v>
      </c>
      <c r="AO1021" t="s">
        <v>32</v>
      </c>
      <c r="AR1021">
        <v>0</v>
      </c>
      <c r="AU1021" t="s">
        <v>32</v>
      </c>
      <c r="AV1021">
        <v>2056650</v>
      </c>
      <c r="AW1021" t="s">
        <v>32</v>
      </c>
      <c r="AX1021" t="s">
        <v>32</v>
      </c>
      <c r="AY1021" t="s">
        <v>185</v>
      </c>
      <c r="AZ1021">
        <v>29</v>
      </c>
      <c r="BA1021">
        <v>2505810</v>
      </c>
      <c r="BB1021">
        <v>0.15999999642372131</v>
      </c>
      <c r="BC1021">
        <v>401000</v>
      </c>
      <c r="BD1021" t="s">
        <v>31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401000</v>
      </c>
      <c r="BK1021" t="s">
        <v>25</v>
      </c>
      <c r="BL1021" t="s">
        <v>1064</v>
      </c>
      <c r="BM1021">
        <v>29</v>
      </c>
      <c r="BN1021">
        <v>2505810</v>
      </c>
      <c r="BO1021">
        <v>3.9999999105930328E-2</v>
      </c>
      <c r="BP1021">
        <v>100300</v>
      </c>
      <c r="BQ1021">
        <v>0</v>
      </c>
      <c r="BS1021">
        <v>0</v>
      </c>
      <c r="BU1021">
        <v>0</v>
      </c>
      <c r="BV1021" t="s">
        <v>25</v>
      </c>
      <c r="BW1021" t="s">
        <v>189</v>
      </c>
      <c r="BX1021">
        <v>29</v>
      </c>
      <c r="BY1021">
        <v>2505810</v>
      </c>
      <c r="BZ1021">
        <v>6.9600000977516174E-2</v>
      </c>
      <c r="CA1021" t="s">
        <v>1439</v>
      </c>
      <c r="CB1021" t="s">
        <v>312</v>
      </c>
      <c r="CC1021" t="s">
        <v>1440</v>
      </c>
      <c r="CD1021">
        <v>174500</v>
      </c>
      <c r="CE1021">
        <v>29</v>
      </c>
      <c r="CF1021" t="s">
        <v>466</v>
      </c>
      <c r="CG1021">
        <v>2374184</v>
      </c>
      <c r="CH1021">
        <v>3.9999999105930328E-2</v>
      </c>
      <c r="CI1021">
        <v>95000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 t="s">
        <v>88</v>
      </c>
      <c r="CT1021" t="s">
        <v>142</v>
      </c>
      <c r="CU1021" t="s">
        <v>1442</v>
      </c>
    </row>
    <row r="1022" spans="1:99">
      <c r="A1022" t="s">
        <v>3047</v>
      </c>
      <c r="B1022" t="s">
        <v>34</v>
      </c>
      <c r="C1022" t="s">
        <v>2466</v>
      </c>
      <c r="D1022" t="s">
        <v>2467</v>
      </c>
      <c r="E1022" t="s">
        <v>1566</v>
      </c>
      <c r="F1022" t="s">
        <v>1644</v>
      </c>
      <c r="G1022" t="s">
        <v>2468</v>
      </c>
      <c r="H1022" t="s">
        <v>1503</v>
      </c>
      <c r="I1022" t="s">
        <v>682</v>
      </c>
      <c r="J1022" t="s">
        <v>484</v>
      </c>
      <c r="K1022" t="s">
        <v>29</v>
      </c>
      <c r="L1022" t="s">
        <v>30</v>
      </c>
      <c r="M1022">
        <v>221</v>
      </c>
      <c r="N1022" t="s">
        <v>32</v>
      </c>
      <c r="O1022" t="s">
        <v>32</v>
      </c>
      <c r="Q1022" t="s">
        <v>32</v>
      </c>
      <c r="S1022" t="s">
        <v>32</v>
      </c>
      <c r="U1022" t="s">
        <v>32</v>
      </c>
      <c r="V1022" t="s">
        <v>32</v>
      </c>
      <c r="W1022" t="s">
        <v>32</v>
      </c>
      <c r="X1022" t="s">
        <v>32</v>
      </c>
      <c r="Y1022" t="s">
        <v>32</v>
      </c>
      <c r="AA1022" t="s">
        <v>88</v>
      </c>
      <c r="AB1022" t="s">
        <v>32</v>
      </c>
      <c r="AE1022" t="s">
        <v>32</v>
      </c>
      <c r="AH1022" t="s">
        <v>32</v>
      </c>
      <c r="AK1022" t="s">
        <v>32</v>
      </c>
      <c r="AN1022" t="s">
        <v>32</v>
      </c>
      <c r="AO1022" t="s">
        <v>32</v>
      </c>
      <c r="AR1022">
        <v>0</v>
      </c>
      <c r="AU1022" t="s">
        <v>32</v>
      </c>
      <c r="AV1022">
        <v>2056650</v>
      </c>
      <c r="AW1022" t="s">
        <v>32</v>
      </c>
      <c r="AX1022" t="s">
        <v>32</v>
      </c>
      <c r="AY1022" t="s">
        <v>356</v>
      </c>
      <c r="AZ1022">
        <v>30</v>
      </c>
      <c r="BA1022">
        <v>2687880</v>
      </c>
      <c r="BB1022">
        <v>0.15999999642372131</v>
      </c>
      <c r="BC1022">
        <v>430100</v>
      </c>
      <c r="BD1022" t="s">
        <v>31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430100</v>
      </c>
      <c r="BK1022" t="s">
        <v>25</v>
      </c>
      <c r="BL1022" t="s">
        <v>1064</v>
      </c>
      <c r="BM1022">
        <v>30</v>
      </c>
      <c r="BN1022">
        <v>2687880</v>
      </c>
      <c r="BO1022">
        <v>3.9999999105930328E-2</v>
      </c>
      <c r="BP1022">
        <v>107600</v>
      </c>
      <c r="BQ1022">
        <v>0</v>
      </c>
      <c r="BS1022">
        <v>0</v>
      </c>
      <c r="BU1022">
        <v>0</v>
      </c>
      <c r="BV1022" t="s">
        <v>25</v>
      </c>
      <c r="BW1022" t="s">
        <v>189</v>
      </c>
      <c r="BX1022">
        <v>30</v>
      </c>
      <c r="BY1022">
        <v>2687880</v>
      </c>
      <c r="BZ1022">
        <v>6.9600000977516174E-2</v>
      </c>
      <c r="CA1022" t="s">
        <v>1439</v>
      </c>
      <c r="CB1022" t="s">
        <v>312</v>
      </c>
      <c r="CC1022" t="s">
        <v>1440</v>
      </c>
      <c r="CD1022">
        <v>187100</v>
      </c>
      <c r="CE1022">
        <v>30</v>
      </c>
      <c r="CF1022" t="s">
        <v>466</v>
      </c>
      <c r="CG1022">
        <v>2612179</v>
      </c>
      <c r="CH1022">
        <v>3.9999999105930328E-2</v>
      </c>
      <c r="CI1022">
        <v>104500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 t="s">
        <v>88</v>
      </c>
      <c r="CT1022" t="s">
        <v>142</v>
      </c>
      <c r="CU1022" t="s">
        <v>1442</v>
      </c>
    </row>
    <row r="1023" spans="1:99">
      <c r="A1023" t="s">
        <v>3047</v>
      </c>
      <c r="B1023" t="s">
        <v>34</v>
      </c>
      <c r="C1023" t="s">
        <v>2469</v>
      </c>
      <c r="D1023" t="s">
        <v>2470</v>
      </c>
      <c r="E1023" t="s">
        <v>1561</v>
      </c>
      <c r="F1023" t="s">
        <v>667</v>
      </c>
      <c r="G1023" t="s">
        <v>2471</v>
      </c>
      <c r="H1023" t="s">
        <v>2472</v>
      </c>
      <c r="I1023" t="s">
        <v>682</v>
      </c>
      <c r="J1023" t="s">
        <v>484</v>
      </c>
      <c r="K1023" t="s">
        <v>29</v>
      </c>
      <c r="L1023" t="s">
        <v>30</v>
      </c>
      <c r="M1023">
        <v>0</v>
      </c>
      <c r="N1023" t="s">
        <v>32</v>
      </c>
      <c r="O1023" t="s">
        <v>32</v>
      </c>
      <c r="Q1023" t="s">
        <v>32</v>
      </c>
      <c r="S1023" t="s">
        <v>32</v>
      </c>
      <c r="U1023" t="s">
        <v>32</v>
      </c>
      <c r="V1023" t="s">
        <v>32</v>
      </c>
      <c r="W1023" t="s">
        <v>32</v>
      </c>
      <c r="X1023" t="s">
        <v>32</v>
      </c>
      <c r="Y1023" t="s">
        <v>32</v>
      </c>
      <c r="AA1023" t="s">
        <v>32</v>
      </c>
      <c r="AB1023" t="s">
        <v>32</v>
      </c>
      <c r="AE1023" t="s">
        <v>32</v>
      </c>
      <c r="AH1023" t="s">
        <v>32</v>
      </c>
      <c r="AK1023" t="s">
        <v>128</v>
      </c>
      <c r="AL1023">
        <v>46069</v>
      </c>
      <c r="AM1023">
        <v>46073</v>
      </c>
      <c r="AN1023" t="s">
        <v>32</v>
      </c>
      <c r="AO1023" t="s">
        <v>32</v>
      </c>
      <c r="AR1023">
        <v>0</v>
      </c>
      <c r="AU1023" t="s">
        <v>32</v>
      </c>
      <c r="AV1023">
        <v>2223339</v>
      </c>
      <c r="AW1023" t="s">
        <v>32</v>
      </c>
      <c r="AX1023" t="s">
        <v>32</v>
      </c>
      <c r="AY1023" t="s">
        <v>185</v>
      </c>
      <c r="AZ1023">
        <v>5</v>
      </c>
      <c r="BA1023">
        <v>370557</v>
      </c>
      <c r="BB1023">
        <v>0.15999999642372131</v>
      </c>
      <c r="BC1023">
        <v>59300</v>
      </c>
      <c r="BD1023" t="s">
        <v>31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59300</v>
      </c>
      <c r="BK1023" t="s">
        <v>25</v>
      </c>
      <c r="BL1023" t="s">
        <v>885</v>
      </c>
      <c r="BM1023">
        <v>5</v>
      </c>
      <c r="BN1023">
        <v>370557</v>
      </c>
      <c r="BO1023">
        <v>3.9999999105930328E-2</v>
      </c>
      <c r="BP1023">
        <v>14900</v>
      </c>
      <c r="BQ1023">
        <v>0</v>
      </c>
      <c r="BS1023">
        <v>0</v>
      </c>
      <c r="BU1023">
        <v>0</v>
      </c>
      <c r="BV1023" t="s">
        <v>25</v>
      </c>
      <c r="BW1023" t="s">
        <v>189</v>
      </c>
      <c r="BX1023">
        <v>5</v>
      </c>
      <c r="BY1023">
        <v>370557</v>
      </c>
      <c r="BZ1023">
        <v>0</v>
      </c>
      <c r="CA1023" t="s">
        <v>1439</v>
      </c>
      <c r="CB1023" t="s">
        <v>312</v>
      </c>
      <c r="CC1023" t="s">
        <v>1440</v>
      </c>
      <c r="CD1023">
        <v>0</v>
      </c>
      <c r="CE1023">
        <v>5</v>
      </c>
      <c r="CF1023" t="s">
        <v>466</v>
      </c>
      <c r="CG1023">
        <v>370557</v>
      </c>
      <c r="CH1023">
        <v>3.9999999105930328E-2</v>
      </c>
      <c r="CI1023">
        <v>14900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 t="s">
        <v>88</v>
      </c>
      <c r="CT1023" t="s">
        <v>142</v>
      </c>
      <c r="CU1023" t="s">
        <v>1442</v>
      </c>
    </row>
    <row r="1024" spans="1:99">
      <c r="A1024" t="s">
        <v>3047</v>
      </c>
      <c r="B1024" t="s">
        <v>34</v>
      </c>
      <c r="C1024" t="s">
        <v>2469</v>
      </c>
      <c r="D1024" t="s">
        <v>2470</v>
      </c>
      <c r="E1024" t="s">
        <v>1561</v>
      </c>
      <c r="F1024" t="s">
        <v>667</v>
      </c>
      <c r="G1024" t="s">
        <v>2471</v>
      </c>
      <c r="H1024" t="s">
        <v>2472</v>
      </c>
      <c r="I1024" t="s">
        <v>682</v>
      </c>
      <c r="J1024" t="s">
        <v>484</v>
      </c>
      <c r="K1024" t="s">
        <v>29</v>
      </c>
      <c r="L1024" t="s">
        <v>30</v>
      </c>
      <c r="M1024">
        <v>156</v>
      </c>
      <c r="N1024" t="s">
        <v>32</v>
      </c>
      <c r="O1024" t="s">
        <v>32</v>
      </c>
      <c r="Q1024" t="s">
        <v>32</v>
      </c>
      <c r="S1024" t="s">
        <v>32</v>
      </c>
      <c r="U1024" t="s">
        <v>32</v>
      </c>
      <c r="V1024" t="s">
        <v>32</v>
      </c>
      <c r="W1024" t="s">
        <v>32</v>
      </c>
      <c r="X1024" t="s">
        <v>32</v>
      </c>
      <c r="Y1024" t="s">
        <v>32</v>
      </c>
      <c r="AA1024" t="s">
        <v>88</v>
      </c>
      <c r="AB1024" t="s">
        <v>32</v>
      </c>
      <c r="AE1024" t="s">
        <v>32</v>
      </c>
      <c r="AH1024" t="s">
        <v>32</v>
      </c>
      <c r="AK1024" t="s">
        <v>32</v>
      </c>
      <c r="AN1024" t="s">
        <v>32</v>
      </c>
      <c r="AO1024" t="s">
        <v>32</v>
      </c>
      <c r="AR1024">
        <v>0</v>
      </c>
      <c r="AU1024" t="s">
        <v>32</v>
      </c>
      <c r="AV1024">
        <v>2223339</v>
      </c>
      <c r="AW1024" t="s">
        <v>32</v>
      </c>
      <c r="AX1024" t="s">
        <v>32</v>
      </c>
      <c r="AY1024" t="s">
        <v>185</v>
      </c>
      <c r="AZ1024">
        <v>25</v>
      </c>
      <c r="BA1024">
        <v>2258150</v>
      </c>
      <c r="BB1024">
        <v>0.15999999642372131</v>
      </c>
      <c r="BC1024">
        <v>361400</v>
      </c>
      <c r="BD1024" t="s">
        <v>31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361400</v>
      </c>
      <c r="BK1024" t="s">
        <v>25</v>
      </c>
      <c r="BL1024" t="s">
        <v>885</v>
      </c>
      <c r="BM1024">
        <v>25</v>
      </c>
      <c r="BN1024">
        <v>2258150</v>
      </c>
      <c r="BO1024">
        <v>3.9999999105930328E-2</v>
      </c>
      <c r="BP1024">
        <v>90400</v>
      </c>
      <c r="BQ1024">
        <v>0</v>
      </c>
      <c r="BS1024">
        <v>0</v>
      </c>
      <c r="BU1024">
        <v>0</v>
      </c>
      <c r="BV1024" t="s">
        <v>25</v>
      </c>
      <c r="BW1024" t="s">
        <v>189</v>
      </c>
      <c r="BX1024">
        <v>25</v>
      </c>
      <c r="BY1024">
        <v>2258150</v>
      </c>
      <c r="BZ1024">
        <v>6.9600000977516174E-2</v>
      </c>
      <c r="CA1024" t="s">
        <v>1439</v>
      </c>
      <c r="CB1024" t="s">
        <v>312</v>
      </c>
      <c r="CC1024" t="s">
        <v>1440</v>
      </c>
      <c r="CD1024">
        <v>157200</v>
      </c>
      <c r="CE1024">
        <v>25</v>
      </c>
      <c r="CF1024" t="s">
        <v>466</v>
      </c>
      <c r="CG1024">
        <v>2207001</v>
      </c>
      <c r="CH1024">
        <v>3.9999999105930328E-2</v>
      </c>
      <c r="CI1024">
        <v>88300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 t="s">
        <v>88</v>
      </c>
      <c r="CT1024" t="s">
        <v>142</v>
      </c>
      <c r="CU1024" t="s">
        <v>1442</v>
      </c>
    </row>
    <row r="1025" spans="1:99">
      <c r="A1025" t="s">
        <v>3047</v>
      </c>
      <c r="B1025" t="s">
        <v>34</v>
      </c>
      <c r="C1025" t="s">
        <v>2473</v>
      </c>
      <c r="D1025" t="s">
        <v>2474</v>
      </c>
      <c r="E1025" t="s">
        <v>2475</v>
      </c>
      <c r="F1025" t="s">
        <v>510</v>
      </c>
      <c r="G1025" t="s">
        <v>2476</v>
      </c>
      <c r="H1025" t="s">
        <v>1558</v>
      </c>
      <c r="I1025" t="s">
        <v>682</v>
      </c>
      <c r="J1025" t="s">
        <v>484</v>
      </c>
      <c r="K1025" t="s">
        <v>29</v>
      </c>
      <c r="L1025" t="s">
        <v>30</v>
      </c>
      <c r="M1025">
        <v>216</v>
      </c>
      <c r="N1025" t="s">
        <v>32</v>
      </c>
      <c r="O1025" t="s">
        <v>32</v>
      </c>
      <c r="Q1025" t="s">
        <v>32</v>
      </c>
      <c r="S1025" t="s">
        <v>32</v>
      </c>
      <c r="U1025" t="s">
        <v>32</v>
      </c>
      <c r="V1025" t="s">
        <v>32</v>
      </c>
      <c r="W1025" t="s">
        <v>32</v>
      </c>
      <c r="X1025" t="s">
        <v>32</v>
      </c>
      <c r="Y1025" t="s">
        <v>32</v>
      </c>
      <c r="AA1025" t="s">
        <v>88</v>
      </c>
      <c r="AB1025" t="s">
        <v>32</v>
      </c>
      <c r="AE1025" t="s">
        <v>32</v>
      </c>
      <c r="AH1025" t="s">
        <v>32</v>
      </c>
      <c r="AK1025" t="s">
        <v>32</v>
      </c>
      <c r="AN1025" t="s">
        <v>32</v>
      </c>
      <c r="AO1025" t="s">
        <v>32</v>
      </c>
      <c r="AR1025">
        <v>0</v>
      </c>
      <c r="AU1025" t="s">
        <v>32</v>
      </c>
      <c r="AV1025">
        <v>2056650</v>
      </c>
      <c r="AW1025" t="s">
        <v>32</v>
      </c>
      <c r="AX1025" t="s">
        <v>32</v>
      </c>
      <c r="AY1025" t="s">
        <v>356</v>
      </c>
      <c r="AZ1025">
        <v>30</v>
      </c>
      <c r="BA1025">
        <v>2652824</v>
      </c>
      <c r="BB1025">
        <v>0.15999999642372131</v>
      </c>
      <c r="BC1025">
        <v>424500</v>
      </c>
      <c r="BD1025" t="s">
        <v>31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424500</v>
      </c>
      <c r="BK1025" t="s">
        <v>25</v>
      </c>
      <c r="BL1025" t="s">
        <v>748</v>
      </c>
      <c r="BM1025">
        <v>30</v>
      </c>
      <c r="BN1025">
        <v>2652824</v>
      </c>
      <c r="BO1025">
        <v>3.9999999105930328E-2</v>
      </c>
      <c r="BP1025">
        <v>106200</v>
      </c>
      <c r="BQ1025">
        <v>0</v>
      </c>
      <c r="BS1025">
        <v>0</v>
      </c>
      <c r="BU1025">
        <v>0</v>
      </c>
      <c r="BV1025" t="s">
        <v>25</v>
      </c>
      <c r="BW1025" t="s">
        <v>189</v>
      </c>
      <c r="BX1025">
        <v>30</v>
      </c>
      <c r="BY1025">
        <v>2652824</v>
      </c>
      <c r="BZ1025">
        <v>6.9600000977516174E-2</v>
      </c>
      <c r="CA1025" t="s">
        <v>1439</v>
      </c>
      <c r="CB1025" t="s">
        <v>312</v>
      </c>
      <c r="CC1025" t="s">
        <v>1440</v>
      </c>
      <c r="CD1025">
        <v>184700</v>
      </c>
      <c r="CE1025">
        <v>30</v>
      </c>
      <c r="CF1025" t="s">
        <v>466</v>
      </c>
      <c r="CG1025">
        <v>2553752</v>
      </c>
      <c r="CH1025">
        <v>3.9999999105930328E-2</v>
      </c>
      <c r="CI1025">
        <v>102200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 t="s">
        <v>88</v>
      </c>
      <c r="CT1025" t="s">
        <v>142</v>
      </c>
      <c r="CU1025" t="s">
        <v>1442</v>
      </c>
    </row>
    <row r="1026" spans="1:99">
      <c r="A1026" t="s">
        <v>3047</v>
      </c>
      <c r="B1026" t="s">
        <v>34</v>
      </c>
      <c r="C1026" t="s">
        <v>2477</v>
      </c>
      <c r="D1026" t="s">
        <v>2478</v>
      </c>
      <c r="E1026" t="s">
        <v>1555</v>
      </c>
      <c r="F1026" t="s">
        <v>1562</v>
      </c>
      <c r="G1026" t="s">
        <v>2479</v>
      </c>
      <c r="H1026" t="s">
        <v>1558</v>
      </c>
      <c r="I1026" t="s">
        <v>682</v>
      </c>
      <c r="J1026" t="s">
        <v>484</v>
      </c>
      <c r="K1026" t="s">
        <v>29</v>
      </c>
      <c r="L1026" t="s">
        <v>30</v>
      </c>
      <c r="M1026">
        <v>203</v>
      </c>
      <c r="N1026" t="s">
        <v>32</v>
      </c>
      <c r="O1026" t="s">
        <v>32</v>
      </c>
      <c r="Q1026" t="s">
        <v>32</v>
      </c>
      <c r="S1026" t="s">
        <v>32</v>
      </c>
      <c r="U1026" t="s">
        <v>32</v>
      </c>
      <c r="V1026" t="s">
        <v>32</v>
      </c>
      <c r="W1026" t="s">
        <v>32</v>
      </c>
      <c r="X1026" t="s">
        <v>32</v>
      </c>
      <c r="Y1026" t="s">
        <v>88</v>
      </c>
      <c r="Z1026">
        <v>46054</v>
      </c>
      <c r="AA1026" t="s">
        <v>88</v>
      </c>
      <c r="AB1026" t="s">
        <v>32</v>
      </c>
      <c r="AE1026" t="s">
        <v>32</v>
      </c>
      <c r="AH1026" t="s">
        <v>32</v>
      </c>
      <c r="AK1026" t="s">
        <v>32</v>
      </c>
      <c r="AN1026" t="s">
        <v>32</v>
      </c>
      <c r="AO1026" t="s">
        <v>32</v>
      </c>
      <c r="AR1026">
        <v>0</v>
      </c>
      <c r="AU1026" t="s">
        <v>32</v>
      </c>
      <c r="AV1026">
        <v>2457591</v>
      </c>
      <c r="AW1026" t="s">
        <v>32</v>
      </c>
      <c r="AX1026" t="s">
        <v>32</v>
      </c>
      <c r="AY1026" t="s">
        <v>317</v>
      </c>
      <c r="AZ1026">
        <v>30</v>
      </c>
      <c r="BA1026">
        <v>2778754</v>
      </c>
      <c r="BB1026">
        <v>0.15999999642372131</v>
      </c>
      <c r="BC1026">
        <v>444700</v>
      </c>
      <c r="BD1026" t="s">
        <v>31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444700</v>
      </c>
      <c r="BK1026" t="s">
        <v>25</v>
      </c>
      <c r="BL1026" t="s">
        <v>1071</v>
      </c>
      <c r="BM1026">
        <v>30</v>
      </c>
      <c r="BN1026">
        <v>2778754</v>
      </c>
      <c r="BO1026">
        <v>3.9999999105930328E-2</v>
      </c>
      <c r="BP1026">
        <v>111200</v>
      </c>
      <c r="BQ1026">
        <v>0</v>
      </c>
      <c r="BS1026">
        <v>0</v>
      </c>
      <c r="BU1026">
        <v>0</v>
      </c>
      <c r="BV1026" t="s">
        <v>25</v>
      </c>
      <c r="BW1026" t="s">
        <v>189</v>
      </c>
      <c r="BX1026">
        <v>30</v>
      </c>
      <c r="BY1026">
        <v>2778754</v>
      </c>
      <c r="BZ1026">
        <v>6.9600000977516174E-2</v>
      </c>
      <c r="CA1026" t="s">
        <v>1439</v>
      </c>
      <c r="CB1026" t="s">
        <v>312</v>
      </c>
      <c r="CC1026" t="s">
        <v>1440</v>
      </c>
      <c r="CD1026">
        <v>193500</v>
      </c>
      <c r="CE1026">
        <v>30</v>
      </c>
      <c r="CF1026" t="s">
        <v>466</v>
      </c>
      <c r="CG1026">
        <v>2778754</v>
      </c>
      <c r="CH1026">
        <v>3.9999999105930328E-2</v>
      </c>
      <c r="CI1026">
        <v>111200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 t="s">
        <v>88</v>
      </c>
      <c r="CT1026" t="s">
        <v>142</v>
      </c>
      <c r="CU1026" t="s">
        <v>1442</v>
      </c>
    </row>
    <row r="1027" spans="1:99">
      <c r="A1027" t="s">
        <v>3047</v>
      </c>
      <c r="B1027" t="s">
        <v>34</v>
      </c>
      <c r="C1027" t="s">
        <v>2480</v>
      </c>
      <c r="D1027" t="s">
        <v>2481</v>
      </c>
      <c r="E1027" t="s">
        <v>2482</v>
      </c>
      <c r="F1027" t="s">
        <v>2483</v>
      </c>
      <c r="G1027" t="s">
        <v>1673</v>
      </c>
      <c r="H1027" t="s">
        <v>1674</v>
      </c>
      <c r="I1027" t="s">
        <v>240</v>
      </c>
      <c r="J1027" t="s">
        <v>46</v>
      </c>
      <c r="K1027" t="s">
        <v>29</v>
      </c>
      <c r="L1027" t="s">
        <v>30</v>
      </c>
      <c r="M1027">
        <v>0</v>
      </c>
      <c r="N1027" t="s">
        <v>32</v>
      </c>
      <c r="O1027" t="s">
        <v>32</v>
      </c>
      <c r="Q1027" t="s">
        <v>32</v>
      </c>
      <c r="S1027" t="s">
        <v>32</v>
      </c>
      <c r="U1027" t="s">
        <v>32</v>
      </c>
      <c r="V1027" t="s">
        <v>32</v>
      </c>
      <c r="W1027" t="s">
        <v>32</v>
      </c>
      <c r="X1027" t="s">
        <v>32</v>
      </c>
      <c r="Y1027" t="s">
        <v>32</v>
      </c>
      <c r="AA1027" t="s">
        <v>32</v>
      </c>
      <c r="AB1027" t="s">
        <v>32</v>
      </c>
      <c r="AE1027" t="s">
        <v>32</v>
      </c>
      <c r="AH1027" t="s">
        <v>32</v>
      </c>
      <c r="AK1027" t="s">
        <v>128</v>
      </c>
      <c r="AL1027">
        <v>46069</v>
      </c>
      <c r="AM1027">
        <v>46075</v>
      </c>
      <c r="AN1027" t="s">
        <v>32</v>
      </c>
      <c r="AO1027" t="s">
        <v>32</v>
      </c>
      <c r="AR1027">
        <v>0</v>
      </c>
      <c r="AU1027" t="s">
        <v>32</v>
      </c>
      <c r="AV1027">
        <v>8150490</v>
      </c>
      <c r="AW1027" t="s">
        <v>32</v>
      </c>
      <c r="AX1027" t="s">
        <v>32</v>
      </c>
      <c r="AY1027" t="s">
        <v>185</v>
      </c>
      <c r="AZ1027">
        <v>7</v>
      </c>
      <c r="BA1027">
        <v>1901781</v>
      </c>
      <c r="BB1027">
        <v>0.15999999642372131</v>
      </c>
      <c r="BC1027">
        <v>304300</v>
      </c>
      <c r="BD1027" t="s">
        <v>31</v>
      </c>
      <c r="BE1027">
        <v>0</v>
      </c>
      <c r="BF1027">
        <v>0</v>
      </c>
      <c r="BG1027">
        <v>9600</v>
      </c>
      <c r="BH1027">
        <v>9600</v>
      </c>
      <c r="BI1027">
        <v>0</v>
      </c>
      <c r="BJ1027">
        <v>323500</v>
      </c>
      <c r="BK1027" t="s">
        <v>25</v>
      </c>
      <c r="BL1027" t="s">
        <v>1071</v>
      </c>
      <c r="BM1027">
        <v>7</v>
      </c>
      <c r="BN1027">
        <v>1901781</v>
      </c>
      <c r="BO1027">
        <v>3.9999999105930328E-2</v>
      </c>
      <c r="BP1027">
        <v>76100</v>
      </c>
      <c r="BQ1027">
        <v>0</v>
      </c>
      <c r="BS1027">
        <v>0</v>
      </c>
      <c r="BU1027">
        <v>0</v>
      </c>
      <c r="BV1027" t="s">
        <v>25</v>
      </c>
      <c r="BW1027" t="s">
        <v>189</v>
      </c>
      <c r="BX1027">
        <v>7</v>
      </c>
      <c r="BY1027">
        <v>1901781</v>
      </c>
      <c r="BZ1027">
        <v>0</v>
      </c>
      <c r="CA1027" t="s">
        <v>1439</v>
      </c>
      <c r="CB1027" t="s">
        <v>227</v>
      </c>
      <c r="CC1027" t="s">
        <v>1440</v>
      </c>
      <c r="CD1027">
        <v>0</v>
      </c>
      <c r="CE1027">
        <v>7</v>
      </c>
      <c r="CF1027" t="s">
        <v>635</v>
      </c>
      <c r="CG1027">
        <v>1901781</v>
      </c>
      <c r="CH1027">
        <v>3.9999999105930328E-2</v>
      </c>
      <c r="CI1027">
        <v>76100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 t="s">
        <v>88</v>
      </c>
      <c r="CT1027" t="s">
        <v>142</v>
      </c>
      <c r="CU1027" t="s">
        <v>1442</v>
      </c>
    </row>
    <row r="1028" spans="1:99">
      <c r="A1028" t="s">
        <v>3047</v>
      </c>
      <c r="B1028" t="s">
        <v>34</v>
      </c>
      <c r="C1028" t="s">
        <v>2480</v>
      </c>
      <c r="D1028" t="s">
        <v>2481</v>
      </c>
      <c r="E1028" t="s">
        <v>2482</v>
      </c>
      <c r="F1028" t="s">
        <v>2483</v>
      </c>
      <c r="G1028" t="s">
        <v>1673</v>
      </c>
      <c r="H1028" t="s">
        <v>1674</v>
      </c>
      <c r="I1028" t="s">
        <v>240</v>
      </c>
      <c r="J1028" t="s">
        <v>46</v>
      </c>
      <c r="K1028" t="s">
        <v>29</v>
      </c>
      <c r="L1028" t="s">
        <v>30</v>
      </c>
      <c r="M1028">
        <v>135</v>
      </c>
      <c r="N1028" t="s">
        <v>32</v>
      </c>
      <c r="O1028" t="s">
        <v>32</v>
      </c>
      <c r="Q1028" t="s">
        <v>32</v>
      </c>
      <c r="S1028" t="s">
        <v>32</v>
      </c>
      <c r="U1028" t="s">
        <v>32</v>
      </c>
      <c r="V1028" t="s">
        <v>32</v>
      </c>
      <c r="W1028" t="s">
        <v>32</v>
      </c>
      <c r="X1028" t="s">
        <v>32</v>
      </c>
      <c r="Y1028" t="s">
        <v>32</v>
      </c>
      <c r="AA1028" t="s">
        <v>88</v>
      </c>
      <c r="AB1028" t="s">
        <v>32</v>
      </c>
      <c r="AE1028" t="s">
        <v>32</v>
      </c>
      <c r="AH1028" t="s">
        <v>32</v>
      </c>
      <c r="AK1028" t="s">
        <v>32</v>
      </c>
      <c r="AN1028" t="s">
        <v>32</v>
      </c>
      <c r="AO1028" t="s">
        <v>32</v>
      </c>
      <c r="AR1028">
        <v>0</v>
      </c>
      <c r="AU1028" t="s">
        <v>32</v>
      </c>
      <c r="AV1028">
        <v>8150490</v>
      </c>
      <c r="AW1028" t="s">
        <v>32</v>
      </c>
      <c r="AX1028" t="s">
        <v>32</v>
      </c>
      <c r="AY1028" t="s">
        <v>185</v>
      </c>
      <c r="AZ1028">
        <v>23</v>
      </c>
      <c r="BA1028">
        <v>6248709</v>
      </c>
      <c r="BB1028">
        <v>0.15999999642372131</v>
      </c>
      <c r="BC1028">
        <v>999800</v>
      </c>
      <c r="BD1028" t="s">
        <v>31</v>
      </c>
      <c r="BE1028">
        <v>0</v>
      </c>
      <c r="BF1028">
        <v>0</v>
      </c>
      <c r="BG1028">
        <v>31300</v>
      </c>
      <c r="BH1028">
        <v>31300</v>
      </c>
      <c r="BI1028">
        <v>0</v>
      </c>
      <c r="BJ1028">
        <v>1062400</v>
      </c>
      <c r="BK1028" t="s">
        <v>25</v>
      </c>
      <c r="BL1028" t="s">
        <v>1071</v>
      </c>
      <c r="BM1028">
        <v>23</v>
      </c>
      <c r="BN1028">
        <v>6248709</v>
      </c>
      <c r="BO1028">
        <v>3.9999999105930328E-2</v>
      </c>
      <c r="BP1028">
        <v>250000</v>
      </c>
      <c r="BQ1028">
        <v>0</v>
      </c>
      <c r="BS1028">
        <v>0</v>
      </c>
      <c r="BU1028">
        <v>0</v>
      </c>
      <c r="BV1028" t="s">
        <v>25</v>
      </c>
      <c r="BW1028" t="s">
        <v>189</v>
      </c>
      <c r="BX1028">
        <v>23</v>
      </c>
      <c r="BY1028">
        <v>6248709</v>
      </c>
      <c r="BZ1028">
        <v>6.9600000977516174E-2</v>
      </c>
      <c r="CA1028" t="s">
        <v>1439</v>
      </c>
      <c r="CB1028" t="s">
        <v>227</v>
      </c>
      <c r="CC1028" t="s">
        <v>1440</v>
      </c>
      <c r="CD1028">
        <v>435000</v>
      </c>
      <c r="CE1028">
        <v>23</v>
      </c>
      <c r="CF1028" t="s">
        <v>635</v>
      </c>
      <c r="CG1028">
        <v>6248709</v>
      </c>
      <c r="CH1028">
        <v>3.9999999105930328E-2</v>
      </c>
      <c r="CI1028">
        <v>250000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 t="s">
        <v>88</v>
      </c>
      <c r="CT1028" t="s">
        <v>142</v>
      </c>
      <c r="CU1028" t="s">
        <v>1442</v>
      </c>
    </row>
    <row r="1029" spans="1:99">
      <c r="A1029" t="s">
        <v>3047</v>
      </c>
      <c r="B1029" t="s">
        <v>34</v>
      </c>
      <c r="C1029" t="s">
        <v>2484</v>
      </c>
      <c r="D1029" t="s">
        <v>2485</v>
      </c>
      <c r="E1029" t="s">
        <v>1517</v>
      </c>
      <c r="F1029" t="s">
        <v>992</v>
      </c>
      <c r="G1029" t="s">
        <v>2486</v>
      </c>
      <c r="H1029" t="s">
        <v>1558</v>
      </c>
      <c r="I1029" t="s">
        <v>240</v>
      </c>
      <c r="J1029" t="s">
        <v>46</v>
      </c>
      <c r="K1029" t="s">
        <v>29</v>
      </c>
      <c r="L1029" t="s">
        <v>30</v>
      </c>
      <c r="M1029">
        <v>0</v>
      </c>
      <c r="N1029" t="s">
        <v>32</v>
      </c>
      <c r="O1029" t="s">
        <v>32</v>
      </c>
      <c r="Q1029" t="s">
        <v>32</v>
      </c>
      <c r="S1029" t="s">
        <v>32</v>
      </c>
      <c r="U1029" t="s">
        <v>32</v>
      </c>
      <c r="V1029" t="s">
        <v>32</v>
      </c>
      <c r="W1029" t="s">
        <v>32</v>
      </c>
      <c r="X1029" t="s">
        <v>32</v>
      </c>
      <c r="Y1029" t="s">
        <v>32</v>
      </c>
      <c r="AA1029" t="s">
        <v>32</v>
      </c>
      <c r="AB1029" t="s">
        <v>32</v>
      </c>
      <c r="AE1029" t="s">
        <v>32</v>
      </c>
      <c r="AH1029" t="s">
        <v>32</v>
      </c>
      <c r="AK1029" t="s">
        <v>128</v>
      </c>
      <c r="AL1029">
        <v>46054</v>
      </c>
      <c r="AM1029">
        <v>46054</v>
      </c>
      <c r="AN1029" t="s">
        <v>32</v>
      </c>
      <c r="AO1029" t="s">
        <v>32</v>
      </c>
      <c r="AR1029">
        <v>0</v>
      </c>
      <c r="AU1029" t="s">
        <v>32</v>
      </c>
      <c r="AV1029">
        <v>3050412</v>
      </c>
      <c r="AW1029" t="s">
        <v>32</v>
      </c>
      <c r="AX1029" t="s">
        <v>88</v>
      </c>
      <c r="AY1029" t="s">
        <v>137</v>
      </c>
      <c r="AZ1029">
        <v>1</v>
      </c>
      <c r="BA1029">
        <v>101681</v>
      </c>
      <c r="BB1029">
        <v>0.15999999642372131</v>
      </c>
      <c r="BC1029">
        <v>16300</v>
      </c>
      <c r="BD1029" t="s">
        <v>31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16300</v>
      </c>
      <c r="BK1029" t="s">
        <v>25</v>
      </c>
      <c r="BL1029" t="s">
        <v>1071</v>
      </c>
      <c r="BM1029">
        <v>1</v>
      </c>
      <c r="BN1029">
        <v>101681</v>
      </c>
      <c r="BO1029">
        <v>3.9999999105930328E-2</v>
      </c>
      <c r="BP1029">
        <v>4100</v>
      </c>
      <c r="BQ1029">
        <v>0</v>
      </c>
      <c r="BS1029">
        <v>0</v>
      </c>
      <c r="BU1029">
        <v>0</v>
      </c>
      <c r="BV1029" t="s">
        <v>25</v>
      </c>
      <c r="BW1029" t="s">
        <v>189</v>
      </c>
      <c r="BX1029">
        <v>1</v>
      </c>
      <c r="BY1029">
        <v>101681</v>
      </c>
      <c r="BZ1029">
        <v>0</v>
      </c>
      <c r="CA1029" t="s">
        <v>1439</v>
      </c>
      <c r="CB1029" t="s">
        <v>227</v>
      </c>
      <c r="CC1029" t="s">
        <v>1440</v>
      </c>
      <c r="CD1029">
        <v>0</v>
      </c>
      <c r="CE1029">
        <v>1</v>
      </c>
      <c r="CF1029" t="s">
        <v>635</v>
      </c>
      <c r="CG1029">
        <v>101681</v>
      </c>
      <c r="CH1029">
        <v>3.9999999105930328E-2</v>
      </c>
      <c r="CI1029">
        <v>4100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 t="s">
        <v>88</v>
      </c>
      <c r="CT1029" t="s">
        <v>142</v>
      </c>
      <c r="CU1029" t="s">
        <v>1442</v>
      </c>
    </row>
    <row r="1030" spans="1:99">
      <c r="A1030" t="s">
        <v>3047</v>
      </c>
      <c r="B1030" t="s">
        <v>34</v>
      </c>
      <c r="C1030" t="s">
        <v>2484</v>
      </c>
      <c r="D1030" t="s">
        <v>2485</v>
      </c>
      <c r="E1030" t="s">
        <v>1517</v>
      </c>
      <c r="F1030" t="s">
        <v>992</v>
      </c>
      <c r="G1030" t="s">
        <v>2486</v>
      </c>
      <c r="H1030" t="s">
        <v>1558</v>
      </c>
      <c r="I1030" t="s">
        <v>240</v>
      </c>
      <c r="J1030" t="s">
        <v>46</v>
      </c>
      <c r="K1030" t="s">
        <v>29</v>
      </c>
      <c r="L1030" t="s">
        <v>30</v>
      </c>
      <c r="M1030">
        <v>0</v>
      </c>
      <c r="N1030" t="s">
        <v>32</v>
      </c>
      <c r="O1030" t="s">
        <v>32</v>
      </c>
      <c r="Q1030" t="s">
        <v>32</v>
      </c>
      <c r="S1030" t="s">
        <v>32</v>
      </c>
      <c r="U1030" t="s">
        <v>32</v>
      </c>
      <c r="V1030" t="s">
        <v>32</v>
      </c>
      <c r="W1030" t="s">
        <v>32</v>
      </c>
      <c r="X1030" t="s">
        <v>32</v>
      </c>
      <c r="Y1030" t="s">
        <v>32</v>
      </c>
      <c r="AA1030" t="s">
        <v>32</v>
      </c>
      <c r="AB1030" t="s">
        <v>32</v>
      </c>
      <c r="AE1030" t="s">
        <v>32</v>
      </c>
      <c r="AH1030" t="s">
        <v>32</v>
      </c>
      <c r="AK1030" t="s">
        <v>128</v>
      </c>
      <c r="AL1030">
        <v>46069</v>
      </c>
      <c r="AM1030">
        <v>46075</v>
      </c>
      <c r="AN1030" t="s">
        <v>32</v>
      </c>
      <c r="AO1030" t="s">
        <v>32</v>
      </c>
      <c r="AR1030">
        <v>0</v>
      </c>
      <c r="AU1030" t="s">
        <v>32</v>
      </c>
      <c r="AV1030">
        <v>3050412</v>
      </c>
      <c r="AW1030" t="s">
        <v>32</v>
      </c>
      <c r="AX1030" t="s">
        <v>88</v>
      </c>
      <c r="AY1030" t="s">
        <v>137</v>
      </c>
      <c r="AZ1030">
        <v>7</v>
      </c>
      <c r="BA1030">
        <v>711763</v>
      </c>
      <c r="BB1030">
        <v>0.15999999642372131</v>
      </c>
      <c r="BC1030">
        <v>113900</v>
      </c>
      <c r="BD1030" t="s">
        <v>31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113900</v>
      </c>
      <c r="BK1030" t="s">
        <v>25</v>
      </c>
      <c r="BL1030" t="s">
        <v>1071</v>
      </c>
      <c r="BM1030">
        <v>7</v>
      </c>
      <c r="BN1030">
        <v>711763</v>
      </c>
      <c r="BO1030">
        <v>3.9999999105930328E-2</v>
      </c>
      <c r="BP1030">
        <v>28500</v>
      </c>
      <c r="BQ1030">
        <v>0</v>
      </c>
      <c r="BS1030">
        <v>0</v>
      </c>
      <c r="BU1030">
        <v>0</v>
      </c>
      <c r="BV1030" t="s">
        <v>25</v>
      </c>
      <c r="BW1030" t="s">
        <v>189</v>
      </c>
      <c r="BX1030">
        <v>7</v>
      </c>
      <c r="BY1030">
        <v>711763</v>
      </c>
      <c r="BZ1030">
        <v>0</v>
      </c>
      <c r="CA1030" t="s">
        <v>1439</v>
      </c>
      <c r="CB1030" t="s">
        <v>227</v>
      </c>
      <c r="CC1030" t="s">
        <v>1440</v>
      </c>
      <c r="CD1030">
        <v>0</v>
      </c>
      <c r="CE1030">
        <v>7</v>
      </c>
      <c r="CF1030" t="s">
        <v>635</v>
      </c>
      <c r="CG1030">
        <v>711763</v>
      </c>
      <c r="CH1030">
        <v>3.9999999105930328E-2</v>
      </c>
      <c r="CI1030">
        <v>28500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 t="s">
        <v>88</v>
      </c>
      <c r="CT1030" t="s">
        <v>142</v>
      </c>
      <c r="CU1030" t="s">
        <v>1442</v>
      </c>
    </row>
    <row r="1031" spans="1:99">
      <c r="A1031" t="s">
        <v>3047</v>
      </c>
      <c r="B1031" t="s">
        <v>34</v>
      </c>
      <c r="C1031" t="s">
        <v>2484</v>
      </c>
      <c r="D1031" t="s">
        <v>2485</v>
      </c>
      <c r="E1031" t="s">
        <v>1517</v>
      </c>
      <c r="F1031" t="s">
        <v>992</v>
      </c>
      <c r="G1031" t="s">
        <v>2486</v>
      </c>
      <c r="H1031" t="s">
        <v>1558</v>
      </c>
      <c r="I1031" t="s">
        <v>240</v>
      </c>
      <c r="J1031" t="s">
        <v>46</v>
      </c>
      <c r="K1031" t="s">
        <v>29</v>
      </c>
      <c r="L1031" t="s">
        <v>30</v>
      </c>
      <c r="M1031">
        <v>151</v>
      </c>
      <c r="N1031" t="s">
        <v>32</v>
      </c>
      <c r="O1031" t="s">
        <v>32</v>
      </c>
      <c r="Q1031" t="s">
        <v>32</v>
      </c>
      <c r="S1031" t="s">
        <v>32</v>
      </c>
      <c r="U1031" t="s">
        <v>32</v>
      </c>
      <c r="V1031" t="s">
        <v>32</v>
      </c>
      <c r="W1031" t="s">
        <v>32</v>
      </c>
      <c r="X1031" t="s">
        <v>32</v>
      </c>
      <c r="Y1031" t="s">
        <v>88</v>
      </c>
      <c r="Z1031">
        <v>46054</v>
      </c>
      <c r="AA1031" t="s">
        <v>88</v>
      </c>
      <c r="AB1031" t="s">
        <v>32</v>
      </c>
      <c r="AE1031" t="s">
        <v>32</v>
      </c>
      <c r="AH1031" t="s">
        <v>32</v>
      </c>
      <c r="AK1031" t="s">
        <v>32</v>
      </c>
      <c r="AN1031" t="s">
        <v>32</v>
      </c>
      <c r="AO1031" t="s">
        <v>32</v>
      </c>
      <c r="AR1031">
        <v>0</v>
      </c>
      <c r="AU1031" t="s">
        <v>32</v>
      </c>
      <c r="AV1031">
        <v>3050412</v>
      </c>
      <c r="AW1031" t="s">
        <v>32</v>
      </c>
      <c r="AX1031" t="s">
        <v>88</v>
      </c>
      <c r="AY1031" t="s">
        <v>137</v>
      </c>
      <c r="AZ1031">
        <v>22</v>
      </c>
      <c r="BA1031">
        <v>2514279</v>
      </c>
      <c r="BB1031">
        <v>0.15999999642372131</v>
      </c>
      <c r="BC1031">
        <v>402300</v>
      </c>
      <c r="BD1031" t="s">
        <v>31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402300</v>
      </c>
      <c r="BK1031" t="s">
        <v>25</v>
      </c>
      <c r="BL1031" t="s">
        <v>1071</v>
      </c>
      <c r="BM1031">
        <v>22</v>
      </c>
      <c r="BN1031">
        <v>2514279</v>
      </c>
      <c r="BO1031">
        <v>3.9999999105930328E-2</v>
      </c>
      <c r="BP1031">
        <v>100600</v>
      </c>
      <c r="BQ1031">
        <v>0</v>
      </c>
      <c r="BS1031">
        <v>0</v>
      </c>
      <c r="BU1031">
        <v>0</v>
      </c>
      <c r="BV1031" t="s">
        <v>25</v>
      </c>
      <c r="BW1031" t="s">
        <v>189</v>
      </c>
      <c r="BX1031">
        <v>22</v>
      </c>
      <c r="BY1031">
        <v>2514279</v>
      </c>
      <c r="BZ1031">
        <v>6.9600000977516174E-2</v>
      </c>
      <c r="CA1031" t="s">
        <v>1439</v>
      </c>
      <c r="CB1031" t="s">
        <v>227</v>
      </c>
      <c r="CC1031" t="s">
        <v>1440</v>
      </c>
      <c r="CD1031">
        <v>175000</v>
      </c>
      <c r="CE1031">
        <v>22</v>
      </c>
      <c r="CF1031" t="s">
        <v>635</v>
      </c>
      <c r="CG1031">
        <v>2514279</v>
      </c>
      <c r="CH1031">
        <v>3.9999999105930328E-2</v>
      </c>
      <c r="CI1031">
        <v>100600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 t="s">
        <v>88</v>
      </c>
      <c r="CT1031" t="s">
        <v>142</v>
      </c>
      <c r="CU1031" t="s">
        <v>1442</v>
      </c>
    </row>
    <row r="1032" spans="1:99">
      <c r="A1032" t="s">
        <v>3047</v>
      </c>
      <c r="B1032" t="s">
        <v>34</v>
      </c>
      <c r="C1032" t="s">
        <v>2487</v>
      </c>
      <c r="D1032" t="s">
        <v>2488</v>
      </c>
      <c r="E1032" t="s">
        <v>2489</v>
      </c>
      <c r="F1032" t="s">
        <v>2490</v>
      </c>
      <c r="G1032" t="s">
        <v>2491</v>
      </c>
      <c r="H1032" t="s">
        <v>1558</v>
      </c>
      <c r="I1032" t="s">
        <v>240</v>
      </c>
      <c r="J1032" t="s">
        <v>46</v>
      </c>
      <c r="K1032" t="s">
        <v>29</v>
      </c>
      <c r="L1032" t="s">
        <v>30</v>
      </c>
      <c r="M1032">
        <v>188</v>
      </c>
      <c r="N1032" t="s">
        <v>32</v>
      </c>
      <c r="O1032" t="s">
        <v>32</v>
      </c>
      <c r="Q1032" t="s">
        <v>32</v>
      </c>
      <c r="S1032" t="s">
        <v>32</v>
      </c>
      <c r="U1032" t="s">
        <v>32</v>
      </c>
      <c r="V1032" t="s">
        <v>32</v>
      </c>
      <c r="W1032" t="s">
        <v>32</v>
      </c>
      <c r="X1032" t="s">
        <v>32</v>
      </c>
      <c r="Y1032" t="s">
        <v>32</v>
      </c>
      <c r="AA1032" t="s">
        <v>88</v>
      </c>
      <c r="AB1032" t="s">
        <v>32</v>
      </c>
      <c r="AE1032" t="s">
        <v>32</v>
      </c>
      <c r="AH1032" t="s">
        <v>32</v>
      </c>
      <c r="AK1032" t="s">
        <v>32</v>
      </c>
      <c r="AN1032" t="s">
        <v>32</v>
      </c>
      <c r="AO1032" t="s">
        <v>32</v>
      </c>
      <c r="AR1032">
        <v>0</v>
      </c>
      <c r="AU1032" t="s">
        <v>32</v>
      </c>
      <c r="AV1032">
        <v>10672432</v>
      </c>
      <c r="AW1032" t="s">
        <v>32</v>
      </c>
      <c r="AX1032" t="s">
        <v>32</v>
      </c>
      <c r="AY1032" t="s">
        <v>185</v>
      </c>
      <c r="AZ1032">
        <v>30</v>
      </c>
      <c r="BA1032">
        <v>10672432</v>
      </c>
      <c r="BB1032">
        <v>0.15999999642372131</v>
      </c>
      <c r="BC1032">
        <v>1707600</v>
      </c>
      <c r="BD1032" t="s">
        <v>31</v>
      </c>
      <c r="BE1032">
        <v>0</v>
      </c>
      <c r="BF1032">
        <v>0</v>
      </c>
      <c r="BG1032">
        <v>53400</v>
      </c>
      <c r="BH1032">
        <v>53400</v>
      </c>
      <c r="BI1032">
        <v>0</v>
      </c>
      <c r="BJ1032">
        <v>1814400</v>
      </c>
      <c r="BK1032" t="s">
        <v>25</v>
      </c>
      <c r="BL1032" t="s">
        <v>1064</v>
      </c>
      <c r="BM1032">
        <v>30</v>
      </c>
      <c r="BN1032">
        <v>10672432</v>
      </c>
      <c r="BO1032">
        <v>3.9999999105930328E-2</v>
      </c>
      <c r="BP1032">
        <v>426900</v>
      </c>
      <c r="BQ1032">
        <v>0</v>
      </c>
      <c r="BS1032">
        <v>0</v>
      </c>
      <c r="BU1032">
        <v>0</v>
      </c>
      <c r="BV1032" t="s">
        <v>25</v>
      </c>
      <c r="BW1032" t="s">
        <v>189</v>
      </c>
      <c r="BX1032">
        <v>30</v>
      </c>
      <c r="BY1032">
        <v>10672432</v>
      </c>
      <c r="BZ1032">
        <v>5.2200001664459705E-3</v>
      </c>
      <c r="CA1032" t="s">
        <v>1592</v>
      </c>
      <c r="CB1032" t="s">
        <v>227</v>
      </c>
      <c r="CC1032" t="s">
        <v>1593</v>
      </c>
      <c r="CD1032">
        <v>55800</v>
      </c>
      <c r="CE1032">
        <v>30</v>
      </c>
      <c r="CF1032" t="s">
        <v>635</v>
      </c>
      <c r="CG1032">
        <v>10672432</v>
      </c>
      <c r="CH1032">
        <v>3.9999999105930328E-2</v>
      </c>
      <c r="CI1032">
        <v>426900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 t="s">
        <v>88</v>
      </c>
      <c r="CT1032" t="s">
        <v>142</v>
      </c>
      <c r="CU1032" t="s">
        <v>1442</v>
      </c>
    </row>
    <row r="1033" spans="1:99">
      <c r="A1033" t="s">
        <v>3047</v>
      </c>
      <c r="B1033" t="s">
        <v>34</v>
      </c>
      <c r="C1033" t="s">
        <v>2492</v>
      </c>
      <c r="D1033" t="s">
        <v>2493</v>
      </c>
      <c r="E1033" t="s">
        <v>2494</v>
      </c>
      <c r="F1033" t="s">
        <v>1551</v>
      </c>
      <c r="G1033" t="s">
        <v>2495</v>
      </c>
      <c r="H1033" t="s">
        <v>1558</v>
      </c>
      <c r="I1033" t="s">
        <v>240</v>
      </c>
      <c r="J1033" t="s">
        <v>46</v>
      </c>
      <c r="K1033" t="s">
        <v>29</v>
      </c>
      <c r="L1033" t="s">
        <v>30</v>
      </c>
      <c r="M1033">
        <v>216</v>
      </c>
      <c r="N1033" t="s">
        <v>32</v>
      </c>
      <c r="O1033" t="s">
        <v>32</v>
      </c>
      <c r="Q1033" t="s">
        <v>32</v>
      </c>
      <c r="S1033" t="s">
        <v>32</v>
      </c>
      <c r="U1033" t="s">
        <v>32</v>
      </c>
      <c r="V1033" t="s">
        <v>32</v>
      </c>
      <c r="W1033" t="s">
        <v>32</v>
      </c>
      <c r="X1033" t="s">
        <v>32</v>
      </c>
      <c r="Y1033" t="s">
        <v>32</v>
      </c>
      <c r="AA1033" t="s">
        <v>88</v>
      </c>
      <c r="AB1033" t="s">
        <v>32</v>
      </c>
      <c r="AE1033" t="s">
        <v>32</v>
      </c>
      <c r="AH1033" t="s">
        <v>32</v>
      </c>
      <c r="AK1033" t="s">
        <v>32</v>
      </c>
      <c r="AN1033" t="s">
        <v>32</v>
      </c>
      <c r="AO1033" t="s">
        <v>32</v>
      </c>
      <c r="AR1033">
        <v>0</v>
      </c>
      <c r="AU1033" t="s">
        <v>32</v>
      </c>
      <c r="AV1033">
        <v>1956650</v>
      </c>
      <c r="AW1033" t="s">
        <v>32</v>
      </c>
      <c r="AX1033" t="s">
        <v>32</v>
      </c>
      <c r="AY1033" t="s">
        <v>185</v>
      </c>
      <c r="AZ1033">
        <v>30</v>
      </c>
      <c r="BA1033">
        <v>2607845</v>
      </c>
      <c r="BB1033">
        <v>0.15999999642372131</v>
      </c>
      <c r="BC1033">
        <v>417300</v>
      </c>
      <c r="BD1033" t="s">
        <v>31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417300</v>
      </c>
      <c r="BK1033" t="s">
        <v>25</v>
      </c>
      <c r="BL1033" t="s">
        <v>1064</v>
      </c>
      <c r="BM1033">
        <v>30</v>
      </c>
      <c r="BN1033">
        <v>2607845</v>
      </c>
      <c r="BO1033">
        <v>3.9999999105930328E-2</v>
      </c>
      <c r="BP1033">
        <v>104400</v>
      </c>
      <c r="BQ1033">
        <v>0</v>
      </c>
      <c r="BS1033">
        <v>0</v>
      </c>
      <c r="BU1033">
        <v>0</v>
      </c>
      <c r="BV1033" t="s">
        <v>25</v>
      </c>
      <c r="BW1033" t="s">
        <v>189</v>
      </c>
      <c r="BX1033">
        <v>30</v>
      </c>
      <c r="BY1033">
        <v>2607845</v>
      </c>
      <c r="BZ1033">
        <v>6.9600000977516174E-2</v>
      </c>
      <c r="CA1033" t="s">
        <v>1439</v>
      </c>
      <c r="CB1033" t="s">
        <v>227</v>
      </c>
      <c r="CC1033" t="s">
        <v>1440</v>
      </c>
      <c r="CD1033">
        <v>181600</v>
      </c>
      <c r="CE1033">
        <v>30</v>
      </c>
      <c r="CF1033" t="s">
        <v>635</v>
      </c>
      <c r="CG1033">
        <v>2607845</v>
      </c>
      <c r="CH1033">
        <v>3.9999999105930328E-2</v>
      </c>
      <c r="CI1033">
        <v>104400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 t="s">
        <v>88</v>
      </c>
      <c r="CT1033" t="s">
        <v>142</v>
      </c>
      <c r="CU1033" t="s">
        <v>1442</v>
      </c>
    </row>
    <row r="1034" spans="1:99">
      <c r="A1034" t="s">
        <v>3047</v>
      </c>
      <c r="B1034" t="s">
        <v>34</v>
      </c>
      <c r="C1034" t="s">
        <v>2496</v>
      </c>
      <c r="D1034" t="s">
        <v>2497</v>
      </c>
      <c r="E1034" t="s">
        <v>2080</v>
      </c>
      <c r="F1034" t="s">
        <v>2498</v>
      </c>
      <c r="G1034" t="s">
        <v>1489</v>
      </c>
      <c r="H1034" t="s">
        <v>2499</v>
      </c>
      <c r="I1034" t="s">
        <v>240</v>
      </c>
      <c r="J1034" t="s">
        <v>46</v>
      </c>
      <c r="K1034" t="s">
        <v>29</v>
      </c>
      <c r="L1034" t="s">
        <v>30</v>
      </c>
      <c r="M1034">
        <v>179</v>
      </c>
      <c r="N1034" t="s">
        <v>32</v>
      </c>
      <c r="O1034" t="s">
        <v>32</v>
      </c>
      <c r="Q1034" t="s">
        <v>40</v>
      </c>
      <c r="R1034">
        <v>46056</v>
      </c>
      <c r="S1034" t="s">
        <v>32</v>
      </c>
      <c r="U1034" t="s">
        <v>32</v>
      </c>
      <c r="V1034" t="s">
        <v>32</v>
      </c>
      <c r="W1034" t="s">
        <v>32</v>
      </c>
      <c r="X1034" t="s">
        <v>32</v>
      </c>
      <c r="Y1034" t="s">
        <v>32</v>
      </c>
      <c r="AA1034" t="s">
        <v>88</v>
      </c>
      <c r="AB1034" t="s">
        <v>32</v>
      </c>
      <c r="AE1034" t="s">
        <v>32</v>
      </c>
      <c r="AH1034" t="s">
        <v>32</v>
      </c>
      <c r="AK1034" t="s">
        <v>32</v>
      </c>
      <c r="AN1034" t="s">
        <v>32</v>
      </c>
      <c r="AO1034" t="s">
        <v>32</v>
      </c>
      <c r="AR1034">
        <v>0</v>
      </c>
      <c r="AU1034" t="s">
        <v>32</v>
      </c>
      <c r="AV1034">
        <v>2113182</v>
      </c>
      <c r="AW1034" t="s">
        <v>32</v>
      </c>
      <c r="AX1034" t="s">
        <v>32</v>
      </c>
      <c r="AY1034" t="s">
        <v>356</v>
      </c>
      <c r="AZ1034">
        <v>28</v>
      </c>
      <c r="BA1034">
        <v>2157492</v>
      </c>
      <c r="BB1034">
        <v>0.15999999642372131</v>
      </c>
      <c r="BC1034">
        <v>345200</v>
      </c>
      <c r="BD1034" t="s">
        <v>31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345200</v>
      </c>
      <c r="BK1034" t="s">
        <v>25</v>
      </c>
      <c r="BL1034" t="s">
        <v>1010</v>
      </c>
      <c r="BM1034">
        <v>28</v>
      </c>
      <c r="BN1034">
        <v>2157492</v>
      </c>
      <c r="BO1034">
        <v>3.9999999105930328E-2</v>
      </c>
      <c r="BP1034">
        <v>86300</v>
      </c>
      <c r="BQ1034">
        <v>0</v>
      </c>
      <c r="BS1034">
        <v>0</v>
      </c>
      <c r="BU1034">
        <v>0</v>
      </c>
      <c r="BV1034" t="s">
        <v>25</v>
      </c>
      <c r="BW1034" t="s">
        <v>189</v>
      </c>
      <c r="BX1034">
        <v>28</v>
      </c>
      <c r="BY1034">
        <v>2157492</v>
      </c>
      <c r="BZ1034">
        <v>6.9600000977516174E-2</v>
      </c>
      <c r="CA1034" t="s">
        <v>1439</v>
      </c>
      <c r="CB1034" t="s">
        <v>227</v>
      </c>
      <c r="CC1034" t="s">
        <v>1440</v>
      </c>
      <c r="CD1034">
        <v>150200</v>
      </c>
      <c r="CE1034">
        <v>28</v>
      </c>
      <c r="CF1034" t="s">
        <v>635</v>
      </c>
      <c r="CG1034">
        <v>2068357</v>
      </c>
      <c r="CH1034">
        <v>3.9999999105930328E-2</v>
      </c>
      <c r="CI1034">
        <v>82800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 t="s">
        <v>88</v>
      </c>
      <c r="CT1034" t="s">
        <v>142</v>
      </c>
      <c r="CU1034" t="s">
        <v>1442</v>
      </c>
    </row>
    <row r="1035" spans="1:99">
      <c r="A1035" t="s">
        <v>3047</v>
      </c>
      <c r="B1035" t="s">
        <v>34</v>
      </c>
      <c r="C1035" t="s">
        <v>2500</v>
      </c>
      <c r="D1035" t="s">
        <v>2501</v>
      </c>
      <c r="E1035" t="s">
        <v>1823</v>
      </c>
      <c r="F1035" t="s">
        <v>1977</v>
      </c>
      <c r="G1035" t="s">
        <v>1793</v>
      </c>
      <c r="H1035" t="s">
        <v>1757</v>
      </c>
      <c r="I1035" t="s">
        <v>240</v>
      </c>
      <c r="J1035" t="s">
        <v>46</v>
      </c>
      <c r="K1035" t="s">
        <v>29</v>
      </c>
      <c r="L1035" t="s">
        <v>30</v>
      </c>
      <c r="M1035">
        <v>171</v>
      </c>
      <c r="N1035" t="s">
        <v>32</v>
      </c>
      <c r="O1035" t="s">
        <v>32</v>
      </c>
      <c r="Q1035" t="s">
        <v>40</v>
      </c>
      <c r="R1035">
        <v>46056</v>
      </c>
      <c r="S1035" t="s">
        <v>32</v>
      </c>
      <c r="U1035" t="s">
        <v>32</v>
      </c>
      <c r="V1035" t="s">
        <v>32</v>
      </c>
      <c r="W1035" t="s">
        <v>32</v>
      </c>
      <c r="X1035" t="s">
        <v>32</v>
      </c>
      <c r="Y1035" t="s">
        <v>32</v>
      </c>
      <c r="AA1035" t="s">
        <v>88</v>
      </c>
      <c r="AB1035" t="s">
        <v>32</v>
      </c>
      <c r="AE1035" t="s">
        <v>32</v>
      </c>
      <c r="AH1035" t="s">
        <v>32</v>
      </c>
      <c r="AK1035" t="s">
        <v>32</v>
      </c>
      <c r="AN1035" t="s">
        <v>32</v>
      </c>
      <c r="AO1035" t="s">
        <v>32</v>
      </c>
      <c r="AR1035">
        <v>0</v>
      </c>
      <c r="AU1035" t="s">
        <v>32</v>
      </c>
      <c r="AV1035">
        <v>3415855</v>
      </c>
      <c r="AW1035" t="s">
        <v>32</v>
      </c>
      <c r="AX1035" t="s">
        <v>32</v>
      </c>
      <c r="AY1035" t="s">
        <v>356</v>
      </c>
      <c r="AZ1035">
        <v>28</v>
      </c>
      <c r="BA1035">
        <v>3188132</v>
      </c>
      <c r="BB1035">
        <v>0.15999999642372131</v>
      </c>
      <c r="BC1035">
        <v>510200</v>
      </c>
      <c r="BD1035" t="s">
        <v>31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510200</v>
      </c>
      <c r="BK1035" t="s">
        <v>25</v>
      </c>
      <c r="BL1035" t="s">
        <v>1064</v>
      </c>
      <c r="BM1035">
        <v>28</v>
      </c>
      <c r="BN1035">
        <v>3188132</v>
      </c>
      <c r="BO1035">
        <v>3.9999999105930328E-2</v>
      </c>
      <c r="BP1035">
        <v>127600</v>
      </c>
      <c r="BQ1035">
        <v>0</v>
      </c>
      <c r="BS1035">
        <v>0</v>
      </c>
      <c r="BU1035">
        <v>0</v>
      </c>
      <c r="BV1035" t="s">
        <v>25</v>
      </c>
      <c r="BW1035" t="s">
        <v>189</v>
      </c>
      <c r="BX1035">
        <v>28</v>
      </c>
      <c r="BY1035">
        <v>3188132</v>
      </c>
      <c r="BZ1035">
        <v>6.9600000977516174E-2</v>
      </c>
      <c r="CA1035" t="s">
        <v>1439</v>
      </c>
      <c r="CB1035" t="s">
        <v>227</v>
      </c>
      <c r="CC1035" t="s">
        <v>1440</v>
      </c>
      <c r="CD1035">
        <v>221900</v>
      </c>
      <c r="CE1035">
        <v>28</v>
      </c>
      <c r="CF1035" t="s">
        <v>635</v>
      </c>
      <c r="CG1035">
        <v>3188132</v>
      </c>
      <c r="CH1035">
        <v>3.9999999105930328E-2</v>
      </c>
      <c r="CI1035">
        <v>127600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 t="s">
        <v>88</v>
      </c>
      <c r="CT1035" t="s">
        <v>142</v>
      </c>
      <c r="CU1035" t="s">
        <v>1442</v>
      </c>
    </row>
    <row r="1036" spans="1:99">
      <c r="A1036" t="s">
        <v>3047</v>
      </c>
      <c r="B1036" t="s">
        <v>34</v>
      </c>
      <c r="C1036" t="s">
        <v>2502</v>
      </c>
      <c r="D1036" t="s">
        <v>2503</v>
      </c>
      <c r="E1036" t="s">
        <v>2094</v>
      </c>
      <c r="F1036" t="s">
        <v>842</v>
      </c>
      <c r="G1036" t="s">
        <v>1859</v>
      </c>
      <c r="H1036" t="s">
        <v>1558</v>
      </c>
      <c r="I1036" t="s">
        <v>240</v>
      </c>
      <c r="J1036" t="s">
        <v>46</v>
      </c>
      <c r="K1036" t="s">
        <v>29</v>
      </c>
      <c r="L1036" t="s">
        <v>30</v>
      </c>
      <c r="M1036">
        <v>45</v>
      </c>
      <c r="N1036" t="s">
        <v>32</v>
      </c>
      <c r="O1036" t="s">
        <v>32</v>
      </c>
      <c r="Q1036" t="s">
        <v>40</v>
      </c>
      <c r="R1036">
        <v>46074</v>
      </c>
      <c r="S1036" t="s">
        <v>32</v>
      </c>
      <c r="U1036" t="s">
        <v>32</v>
      </c>
      <c r="V1036" t="s">
        <v>32</v>
      </c>
      <c r="W1036" t="s">
        <v>32</v>
      </c>
      <c r="X1036" t="s">
        <v>32</v>
      </c>
      <c r="Y1036" t="s">
        <v>32</v>
      </c>
      <c r="AA1036" t="s">
        <v>88</v>
      </c>
      <c r="AB1036" t="s">
        <v>32</v>
      </c>
      <c r="AE1036" t="s">
        <v>32</v>
      </c>
      <c r="AH1036" t="s">
        <v>32</v>
      </c>
      <c r="AK1036" t="s">
        <v>32</v>
      </c>
      <c r="AN1036" t="s">
        <v>32</v>
      </c>
      <c r="AO1036" t="s">
        <v>32</v>
      </c>
      <c r="AR1036">
        <v>0</v>
      </c>
      <c r="AU1036" t="s">
        <v>32</v>
      </c>
      <c r="AV1036">
        <v>2113182</v>
      </c>
      <c r="AW1036" t="s">
        <v>32</v>
      </c>
      <c r="AX1036" t="s">
        <v>32</v>
      </c>
      <c r="AY1036" t="s">
        <v>317</v>
      </c>
      <c r="AZ1036">
        <v>10</v>
      </c>
      <c r="BA1036">
        <v>704394</v>
      </c>
      <c r="BB1036">
        <v>0.15999999642372131</v>
      </c>
      <c r="BC1036">
        <v>112800</v>
      </c>
      <c r="BD1036" t="s">
        <v>31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112800</v>
      </c>
      <c r="BK1036" t="s">
        <v>25</v>
      </c>
      <c r="BL1036" t="s">
        <v>1010</v>
      </c>
      <c r="BM1036">
        <v>10</v>
      </c>
      <c r="BN1036">
        <v>704394</v>
      </c>
      <c r="BO1036">
        <v>3.9999999105930328E-2</v>
      </c>
      <c r="BP1036">
        <v>28200</v>
      </c>
      <c r="BQ1036">
        <v>0</v>
      </c>
      <c r="BS1036">
        <v>0</v>
      </c>
      <c r="BU1036">
        <v>0</v>
      </c>
      <c r="BV1036" t="s">
        <v>25</v>
      </c>
      <c r="BW1036" t="s">
        <v>189</v>
      </c>
      <c r="BX1036">
        <v>10</v>
      </c>
      <c r="BY1036">
        <v>704394</v>
      </c>
      <c r="BZ1036">
        <v>6.9600000977516174E-2</v>
      </c>
      <c r="CA1036" t="s">
        <v>1439</v>
      </c>
      <c r="CB1036" t="s">
        <v>227</v>
      </c>
      <c r="CC1036" t="s">
        <v>1440</v>
      </c>
      <c r="CD1036">
        <v>49100</v>
      </c>
      <c r="CE1036">
        <v>10</v>
      </c>
      <c r="CF1036" t="s">
        <v>635</v>
      </c>
      <c r="CG1036">
        <v>704394</v>
      </c>
      <c r="CH1036">
        <v>3.9999999105930328E-2</v>
      </c>
      <c r="CI1036">
        <v>28200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 t="s">
        <v>88</v>
      </c>
      <c r="CT1036" t="s">
        <v>142</v>
      </c>
      <c r="CU1036" t="s">
        <v>1442</v>
      </c>
    </row>
    <row r="1037" spans="1:99">
      <c r="A1037" t="s">
        <v>3047</v>
      </c>
      <c r="B1037" t="s">
        <v>34</v>
      </c>
      <c r="C1037" t="s">
        <v>2504</v>
      </c>
      <c r="D1037" t="s">
        <v>2505</v>
      </c>
      <c r="E1037" t="s">
        <v>2506</v>
      </c>
      <c r="F1037" t="s">
        <v>1551</v>
      </c>
      <c r="G1037" t="s">
        <v>2507</v>
      </c>
      <c r="H1037" t="s">
        <v>1558</v>
      </c>
      <c r="I1037" t="s">
        <v>682</v>
      </c>
      <c r="J1037" t="s">
        <v>484</v>
      </c>
      <c r="K1037" t="s">
        <v>29</v>
      </c>
      <c r="L1037" t="s">
        <v>30</v>
      </c>
      <c r="M1037">
        <v>208</v>
      </c>
      <c r="N1037" t="s">
        <v>32</v>
      </c>
      <c r="O1037" t="s">
        <v>32</v>
      </c>
      <c r="Q1037" t="s">
        <v>32</v>
      </c>
      <c r="S1037" t="s">
        <v>32</v>
      </c>
      <c r="U1037" t="s">
        <v>32</v>
      </c>
      <c r="V1037" t="s">
        <v>32</v>
      </c>
      <c r="W1037" t="s">
        <v>32</v>
      </c>
      <c r="X1037" t="s">
        <v>32</v>
      </c>
      <c r="Y1037" t="s">
        <v>32</v>
      </c>
      <c r="AA1037" t="s">
        <v>88</v>
      </c>
      <c r="AB1037" t="s">
        <v>32</v>
      </c>
      <c r="AE1037" t="s">
        <v>32</v>
      </c>
      <c r="AH1037" t="s">
        <v>32</v>
      </c>
      <c r="AK1037" t="s">
        <v>32</v>
      </c>
      <c r="AN1037" t="s">
        <v>32</v>
      </c>
      <c r="AO1037" t="s">
        <v>32</v>
      </c>
      <c r="AR1037">
        <v>0</v>
      </c>
      <c r="AU1037" t="s">
        <v>32</v>
      </c>
      <c r="AV1037">
        <v>2539029</v>
      </c>
      <c r="AW1037" t="s">
        <v>32</v>
      </c>
      <c r="AX1037" t="s">
        <v>32</v>
      </c>
      <c r="AY1037" t="s">
        <v>356</v>
      </c>
      <c r="AZ1037">
        <v>30</v>
      </c>
      <c r="BA1037">
        <v>2973434</v>
      </c>
      <c r="BB1037">
        <v>0.15999999642372131</v>
      </c>
      <c r="BC1037">
        <v>475800</v>
      </c>
      <c r="BD1037" t="s">
        <v>31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475800</v>
      </c>
      <c r="BK1037" t="s">
        <v>25</v>
      </c>
      <c r="BL1037" t="s">
        <v>1010</v>
      </c>
      <c r="BM1037">
        <v>30</v>
      </c>
      <c r="BN1037">
        <v>2973434</v>
      </c>
      <c r="BO1037">
        <v>3.9999999105930328E-2</v>
      </c>
      <c r="BP1037">
        <v>119000</v>
      </c>
      <c r="BQ1037">
        <v>0</v>
      </c>
      <c r="BS1037">
        <v>0</v>
      </c>
      <c r="BU1037">
        <v>0</v>
      </c>
      <c r="BV1037" t="s">
        <v>25</v>
      </c>
      <c r="BW1037" t="s">
        <v>189</v>
      </c>
      <c r="BX1037">
        <v>30</v>
      </c>
      <c r="BY1037">
        <v>2973434</v>
      </c>
      <c r="BZ1037">
        <v>6.9600000977516174E-2</v>
      </c>
      <c r="CA1037" t="s">
        <v>1439</v>
      </c>
      <c r="CB1037" t="s">
        <v>312</v>
      </c>
      <c r="CC1037" t="s">
        <v>1440</v>
      </c>
      <c r="CD1037">
        <v>207000</v>
      </c>
      <c r="CE1037">
        <v>30</v>
      </c>
      <c r="CF1037" t="s">
        <v>466</v>
      </c>
      <c r="CG1037">
        <v>2973434</v>
      </c>
      <c r="CH1037">
        <v>3.9999999105930328E-2</v>
      </c>
      <c r="CI1037">
        <v>119000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 t="s">
        <v>88</v>
      </c>
      <c r="CT1037" t="s">
        <v>142</v>
      </c>
      <c r="CU1037" t="s">
        <v>1442</v>
      </c>
    </row>
    <row r="1038" spans="1:99">
      <c r="A1038" t="s">
        <v>3047</v>
      </c>
      <c r="B1038" t="s">
        <v>34</v>
      </c>
      <c r="C1038" t="s">
        <v>2508</v>
      </c>
      <c r="D1038" t="s">
        <v>2509</v>
      </c>
      <c r="E1038" t="s">
        <v>1606</v>
      </c>
      <c r="F1038" t="s">
        <v>2510</v>
      </c>
      <c r="G1038" t="s">
        <v>2511</v>
      </c>
      <c r="H1038" t="s">
        <v>2512</v>
      </c>
      <c r="I1038" t="s">
        <v>240</v>
      </c>
      <c r="J1038" t="s">
        <v>46</v>
      </c>
      <c r="K1038" t="s">
        <v>29</v>
      </c>
      <c r="L1038" t="s">
        <v>30</v>
      </c>
      <c r="M1038">
        <v>0</v>
      </c>
      <c r="N1038" t="s">
        <v>32</v>
      </c>
      <c r="O1038" t="s">
        <v>32</v>
      </c>
      <c r="Q1038" t="s">
        <v>32</v>
      </c>
      <c r="S1038" t="s">
        <v>32</v>
      </c>
      <c r="U1038" t="s">
        <v>32</v>
      </c>
      <c r="V1038" t="s">
        <v>32</v>
      </c>
      <c r="W1038" t="s">
        <v>32</v>
      </c>
      <c r="X1038" t="s">
        <v>32</v>
      </c>
      <c r="Y1038" t="s">
        <v>32</v>
      </c>
      <c r="AA1038" t="s">
        <v>32</v>
      </c>
      <c r="AB1038" t="s">
        <v>32</v>
      </c>
      <c r="AE1038" t="s">
        <v>32</v>
      </c>
      <c r="AH1038" t="s">
        <v>32</v>
      </c>
      <c r="AK1038" t="s">
        <v>74</v>
      </c>
      <c r="AL1038">
        <v>46055</v>
      </c>
      <c r="AM1038">
        <v>46068</v>
      </c>
      <c r="AN1038" t="s">
        <v>32</v>
      </c>
      <c r="AO1038" t="s">
        <v>32</v>
      </c>
      <c r="AR1038">
        <v>0</v>
      </c>
      <c r="AU1038" t="s">
        <v>32</v>
      </c>
      <c r="AV1038">
        <v>7698446</v>
      </c>
      <c r="AW1038" t="s">
        <v>32</v>
      </c>
      <c r="AX1038" t="s">
        <v>32</v>
      </c>
      <c r="AY1038" t="s">
        <v>185</v>
      </c>
      <c r="AZ1038">
        <v>14</v>
      </c>
      <c r="BA1038">
        <v>3482975</v>
      </c>
      <c r="BB1038">
        <v>0.15999999642372131</v>
      </c>
      <c r="BC1038">
        <v>557300</v>
      </c>
      <c r="BD1038" t="s">
        <v>31</v>
      </c>
      <c r="BE1038">
        <v>0</v>
      </c>
      <c r="BF1038">
        <v>0</v>
      </c>
      <c r="BG1038">
        <v>17500</v>
      </c>
      <c r="BH1038">
        <v>17500</v>
      </c>
      <c r="BI1038">
        <v>0</v>
      </c>
      <c r="BJ1038">
        <v>592300</v>
      </c>
      <c r="BK1038" t="s">
        <v>25</v>
      </c>
      <c r="BL1038" t="s">
        <v>635</v>
      </c>
      <c r="BM1038">
        <v>14</v>
      </c>
      <c r="BN1038">
        <v>3482975</v>
      </c>
      <c r="BO1038">
        <v>3.9999999105930328E-2</v>
      </c>
      <c r="BP1038">
        <v>139400</v>
      </c>
      <c r="BQ1038">
        <v>0</v>
      </c>
      <c r="BS1038">
        <v>0</v>
      </c>
      <c r="BU1038">
        <v>0</v>
      </c>
      <c r="BV1038" t="s">
        <v>25</v>
      </c>
      <c r="BW1038" t="s">
        <v>189</v>
      </c>
      <c r="BX1038">
        <v>14</v>
      </c>
      <c r="BY1038">
        <v>3482975</v>
      </c>
      <c r="BZ1038">
        <v>0</v>
      </c>
      <c r="CA1038" t="s">
        <v>1592</v>
      </c>
      <c r="CB1038" t="s">
        <v>227</v>
      </c>
      <c r="CC1038" t="s">
        <v>1593</v>
      </c>
      <c r="CD1038">
        <v>0</v>
      </c>
      <c r="CE1038">
        <v>14</v>
      </c>
      <c r="CF1038" t="s">
        <v>635</v>
      </c>
      <c r="CG1038">
        <v>3592609</v>
      </c>
      <c r="CH1038">
        <v>3.9999999105930328E-2</v>
      </c>
      <c r="CI1038">
        <v>143800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 t="s">
        <v>88</v>
      </c>
      <c r="CT1038" t="s">
        <v>142</v>
      </c>
      <c r="CU1038" t="s">
        <v>1442</v>
      </c>
    </row>
    <row r="1039" spans="1:99">
      <c r="A1039" t="s">
        <v>3047</v>
      </c>
      <c r="B1039" t="s">
        <v>34</v>
      </c>
      <c r="C1039" t="s">
        <v>2508</v>
      </c>
      <c r="D1039" t="s">
        <v>2509</v>
      </c>
      <c r="E1039" t="s">
        <v>1606</v>
      </c>
      <c r="F1039" t="s">
        <v>2510</v>
      </c>
      <c r="G1039" t="s">
        <v>2511</v>
      </c>
      <c r="H1039" t="s">
        <v>2512</v>
      </c>
      <c r="I1039" t="s">
        <v>240</v>
      </c>
      <c r="J1039" t="s">
        <v>46</v>
      </c>
      <c r="K1039" t="s">
        <v>29</v>
      </c>
      <c r="L1039" t="s">
        <v>30</v>
      </c>
      <c r="M1039">
        <v>94</v>
      </c>
      <c r="N1039" t="s">
        <v>32</v>
      </c>
      <c r="O1039" t="s">
        <v>32</v>
      </c>
      <c r="Q1039" t="s">
        <v>32</v>
      </c>
      <c r="S1039" t="s">
        <v>32</v>
      </c>
      <c r="U1039" t="s">
        <v>32</v>
      </c>
      <c r="V1039" t="s">
        <v>32</v>
      </c>
      <c r="W1039" t="s">
        <v>32</v>
      </c>
      <c r="X1039" t="s">
        <v>32</v>
      </c>
      <c r="Y1039" t="s">
        <v>32</v>
      </c>
      <c r="AA1039" t="s">
        <v>88</v>
      </c>
      <c r="AB1039" t="s">
        <v>32</v>
      </c>
      <c r="AE1039" t="s">
        <v>32</v>
      </c>
      <c r="AH1039" t="s">
        <v>32</v>
      </c>
      <c r="AK1039" t="s">
        <v>32</v>
      </c>
      <c r="AN1039" t="s">
        <v>32</v>
      </c>
      <c r="AO1039" t="s">
        <v>32</v>
      </c>
      <c r="AR1039">
        <v>0</v>
      </c>
      <c r="AU1039" t="s">
        <v>32</v>
      </c>
      <c r="AV1039">
        <v>7698446</v>
      </c>
      <c r="AW1039" t="s">
        <v>32</v>
      </c>
      <c r="AX1039" t="s">
        <v>32</v>
      </c>
      <c r="AY1039" t="s">
        <v>185</v>
      </c>
      <c r="AZ1039">
        <v>16</v>
      </c>
      <c r="BA1039">
        <v>4105838</v>
      </c>
      <c r="BB1039">
        <v>0.15999999642372131</v>
      </c>
      <c r="BC1039">
        <v>657000</v>
      </c>
      <c r="BD1039" t="s">
        <v>31</v>
      </c>
      <c r="BE1039">
        <v>0</v>
      </c>
      <c r="BF1039">
        <v>0</v>
      </c>
      <c r="BG1039">
        <v>20600</v>
      </c>
      <c r="BH1039">
        <v>20600</v>
      </c>
      <c r="BI1039">
        <v>0</v>
      </c>
      <c r="BJ1039">
        <v>698200</v>
      </c>
      <c r="BK1039" t="s">
        <v>25</v>
      </c>
      <c r="BL1039" t="s">
        <v>635</v>
      </c>
      <c r="BM1039">
        <v>16</v>
      </c>
      <c r="BN1039">
        <v>4105838</v>
      </c>
      <c r="BO1039">
        <v>3.9999999105930328E-2</v>
      </c>
      <c r="BP1039">
        <v>164300</v>
      </c>
      <c r="BQ1039">
        <v>0</v>
      </c>
      <c r="BS1039">
        <v>0</v>
      </c>
      <c r="BU1039">
        <v>0</v>
      </c>
      <c r="BV1039" t="s">
        <v>25</v>
      </c>
      <c r="BW1039" t="s">
        <v>189</v>
      </c>
      <c r="BX1039">
        <v>16</v>
      </c>
      <c r="BY1039">
        <v>4105838</v>
      </c>
      <c r="BZ1039">
        <v>5.2200001664459705E-3</v>
      </c>
      <c r="CA1039" t="s">
        <v>1592</v>
      </c>
      <c r="CB1039" t="s">
        <v>227</v>
      </c>
      <c r="CC1039" t="s">
        <v>1593</v>
      </c>
      <c r="CD1039">
        <v>21500</v>
      </c>
      <c r="CE1039">
        <v>16</v>
      </c>
      <c r="CF1039" t="s">
        <v>635</v>
      </c>
      <c r="CG1039">
        <v>4105838</v>
      </c>
      <c r="CH1039">
        <v>3.9999999105930328E-2</v>
      </c>
      <c r="CI1039">
        <v>164300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 t="s">
        <v>88</v>
      </c>
      <c r="CT1039" t="s">
        <v>142</v>
      </c>
      <c r="CU1039" t="s">
        <v>1442</v>
      </c>
    </row>
    <row r="1040" spans="1:99">
      <c r="A1040" t="s">
        <v>3047</v>
      </c>
      <c r="B1040" t="s">
        <v>34</v>
      </c>
      <c r="C1040" t="s">
        <v>2513</v>
      </c>
      <c r="D1040" t="s">
        <v>2514</v>
      </c>
      <c r="E1040" t="s">
        <v>1882</v>
      </c>
      <c r="F1040" t="s">
        <v>1472</v>
      </c>
      <c r="G1040" t="s">
        <v>1570</v>
      </c>
      <c r="H1040" t="s">
        <v>1631</v>
      </c>
      <c r="I1040" t="s">
        <v>240</v>
      </c>
      <c r="J1040" t="s">
        <v>46</v>
      </c>
      <c r="K1040" t="s">
        <v>29</v>
      </c>
      <c r="L1040" t="s">
        <v>30</v>
      </c>
      <c r="M1040">
        <v>210</v>
      </c>
      <c r="N1040" t="s">
        <v>32</v>
      </c>
      <c r="O1040" t="s">
        <v>32</v>
      </c>
      <c r="Q1040" t="s">
        <v>32</v>
      </c>
      <c r="S1040" t="s">
        <v>32</v>
      </c>
      <c r="U1040" t="s">
        <v>32</v>
      </c>
      <c r="V1040" t="s">
        <v>32</v>
      </c>
      <c r="W1040" t="s">
        <v>32</v>
      </c>
      <c r="X1040" t="s">
        <v>32</v>
      </c>
      <c r="Y1040" t="s">
        <v>32</v>
      </c>
      <c r="AA1040" t="s">
        <v>88</v>
      </c>
      <c r="AB1040" t="s">
        <v>32</v>
      </c>
      <c r="AE1040" t="s">
        <v>32</v>
      </c>
      <c r="AH1040" t="s">
        <v>32</v>
      </c>
      <c r="AK1040" t="s">
        <v>32</v>
      </c>
      <c r="AN1040" t="s">
        <v>32</v>
      </c>
      <c r="AO1040" t="s">
        <v>32</v>
      </c>
      <c r="AR1040">
        <v>0</v>
      </c>
      <c r="AU1040" t="s">
        <v>32</v>
      </c>
      <c r="AV1040">
        <v>2223339</v>
      </c>
      <c r="AW1040" t="s">
        <v>32</v>
      </c>
      <c r="AX1040" t="s">
        <v>32</v>
      </c>
      <c r="AY1040" t="s">
        <v>185</v>
      </c>
      <c r="AZ1040">
        <v>30</v>
      </c>
      <c r="BA1040">
        <v>2945925</v>
      </c>
      <c r="BB1040">
        <v>0.15999999642372131</v>
      </c>
      <c r="BC1040">
        <v>471400</v>
      </c>
      <c r="BD1040" t="s">
        <v>31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471400</v>
      </c>
      <c r="BK1040" t="s">
        <v>25</v>
      </c>
      <c r="BL1040" t="s">
        <v>1064</v>
      </c>
      <c r="BM1040">
        <v>30</v>
      </c>
      <c r="BN1040">
        <v>2945925</v>
      </c>
      <c r="BO1040">
        <v>3.9999999105930328E-2</v>
      </c>
      <c r="BP1040">
        <v>117900</v>
      </c>
      <c r="BQ1040">
        <v>0</v>
      </c>
      <c r="BS1040">
        <v>0</v>
      </c>
      <c r="BU1040">
        <v>0</v>
      </c>
      <c r="BV1040" t="s">
        <v>25</v>
      </c>
      <c r="BW1040" t="s">
        <v>189</v>
      </c>
      <c r="BX1040">
        <v>30</v>
      </c>
      <c r="BY1040">
        <v>2945925</v>
      </c>
      <c r="BZ1040">
        <v>6.9600000977516174E-2</v>
      </c>
      <c r="CA1040" t="s">
        <v>1439</v>
      </c>
      <c r="CB1040" t="s">
        <v>227</v>
      </c>
      <c r="CC1040" t="s">
        <v>1440</v>
      </c>
      <c r="CD1040">
        <v>205100</v>
      </c>
      <c r="CE1040">
        <v>30</v>
      </c>
      <c r="CF1040" t="s">
        <v>635</v>
      </c>
      <c r="CG1040">
        <v>2945925</v>
      </c>
      <c r="CH1040">
        <v>3.9999999105930328E-2</v>
      </c>
      <c r="CI1040">
        <v>117900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 t="s">
        <v>88</v>
      </c>
      <c r="CT1040" t="s">
        <v>142</v>
      </c>
      <c r="CU1040" t="s">
        <v>1442</v>
      </c>
    </row>
    <row r="1041" spans="1:99">
      <c r="A1041" t="s">
        <v>3047</v>
      </c>
      <c r="B1041" t="s">
        <v>34</v>
      </c>
      <c r="C1041" t="s">
        <v>2515</v>
      </c>
      <c r="D1041" t="s">
        <v>2516</v>
      </c>
      <c r="E1041" t="s">
        <v>1555</v>
      </c>
      <c r="F1041" t="s">
        <v>1827</v>
      </c>
      <c r="G1041" t="s">
        <v>2517</v>
      </c>
      <c r="H1041" t="s">
        <v>2518</v>
      </c>
      <c r="I1041" t="s">
        <v>240</v>
      </c>
      <c r="J1041" t="s">
        <v>46</v>
      </c>
      <c r="K1041" t="s">
        <v>29</v>
      </c>
      <c r="L1041" t="s">
        <v>30</v>
      </c>
      <c r="M1041">
        <v>231</v>
      </c>
      <c r="N1041" t="s">
        <v>32</v>
      </c>
      <c r="O1041" t="s">
        <v>32</v>
      </c>
      <c r="Q1041" t="s">
        <v>32</v>
      </c>
      <c r="S1041" t="s">
        <v>32</v>
      </c>
      <c r="U1041" t="s">
        <v>32</v>
      </c>
      <c r="V1041" t="s">
        <v>32</v>
      </c>
      <c r="W1041" t="s">
        <v>32</v>
      </c>
      <c r="X1041" t="s">
        <v>32</v>
      </c>
      <c r="Y1041" t="s">
        <v>32</v>
      </c>
      <c r="AA1041" t="s">
        <v>88</v>
      </c>
      <c r="AB1041" t="s">
        <v>32</v>
      </c>
      <c r="AE1041" t="s">
        <v>32</v>
      </c>
      <c r="AH1041" t="s">
        <v>32</v>
      </c>
      <c r="AK1041" t="s">
        <v>32</v>
      </c>
      <c r="AN1041" t="s">
        <v>32</v>
      </c>
      <c r="AO1041" t="s">
        <v>32</v>
      </c>
      <c r="AR1041">
        <v>0</v>
      </c>
      <c r="AU1041" t="s">
        <v>32</v>
      </c>
      <c r="AV1041">
        <v>2223339</v>
      </c>
      <c r="AW1041" t="s">
        <v>32</v>
      </c>
      <c r="AX1041" t="s">
        <v>32</v>
      </c>
      <c r="AY1041" t="s">
        <v>317</v>
      </c>
      <c r="AZ1041">
        <v>30</v>
      </c>
      <c r="BA1041">
        <v>3192261</v>
      </c>
      <c r="BB1041">
        <v>0.15999999642372131</v>
      </c>
      <c r="BC1041">
        <v>510800</v>
      </c>
      <c r="BD1041" t="s">
        <v>31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510800</v>
      </c>
      <c r="BK1041" t="s">
        <v>25</v>
      </c>
      <c r="BL1041" t="s">
        <v>1064</v>
      </c>
      <c r="BM1041">
        <v>30</v>
      </c>
      <c r="BN1041">
        <v>3192261</v>
      </c>
      <c r="BO1041">
        <v>3.9999999105930328E-2</v>
      </c>
      <c r="BP1041">
        <v>127700</v>
      </c>
      <c r="BQ1041">
        <v>0</v>
      </c>
      <c r="BS1041">
        <v>0</v>
      </c>
      <c r="BU1041">
        <v>0</v>
      </c>
      <c r="BV1041" t="s">
        <v>25</v>
      </c>
      <c r="BW1041" t="s">
        <v>189</v>
      </c>
      <c r="BX1041">
        <v>30</v>
      </c>
      <c r="BY1041">
        <v>3192261</v>
      </c>
      <c r="BZ1041">
        <v>6.9600000977516174E-2</v>
      </c>
      <c r="CA1041" t="s">
        <v>1439</v>
      </c>
      <c r="CB1041" t="s">
        <v>227</v>
      </c>
      <c r="CC1041" t="s">
        <v>1440</v>
      </c>
      <c r="CD1041">
        <v>222200</v>
      </c>
      <c r="CE1041">
        <v>30</v>
      </c>
      <c r="CF1041" t="s">
        <v>635</v>
      </c>
      <c r="CG1041">
        <v>3192261</v>
      </c>
      <c r="CH1041">
        <v>3.9999999105930328E-2</v>
      </c>
      <c r="CI1041">
        <v>127700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 t="s">
        <v>88</v>
      </c>
      <c r="CT1041" t="s">
        <v>142</v>
      </c>
      <c r="CU1041" t="s">
        <v>1442</v>
      </c>
    </row>
    <row r="1042" spans="1:99">
      <c r="A1042" t="s">
        <v>3047</v>
      </c>
      <c r="B1042" t="s">
        <v>34</v>
      </c>
      <c r="C1042" t="s">
        <v>2519</v>
      </c>
      <c r="D1042" t="s">
        <v>2520</v>
      </c>
      <c r="E1042" t="s">
        <v>2521</v>
      </c>
      <c r="F1042" t="s">
        <v>1266</v>
      </c>
      <c r="G1042" t="s">
        <v>1479</v>
      </c>
      <c r="H1042" t="s">
        <v>1436</v>
      </c>
      <c r="I1042" t="s">
        <v>240</v>
      </c>
      <c r="J1042" t="s">
        <v>46</v>
      </c>
      <c r="K1042" t="s">
        <v>29</v>
      </c>
      <c r="L1042" t="s">
        <v>30</v>
      </c>
      <c r="M1042">
        <v>229</v>
      </c>
      <c r="N1042" t="s">
        <v>32</v>
      </c>
      <c r="O1042" t="s">
        <v>32</v>
      </c>
      <c r="Q1042" t="s">
        <v>32</v>
      </c>
      <c r="S1042" t="s">
        <v>40</v>
      </c>
      <c r="T1042">
        <v>46081</v>
      </c>
      <c r="U1042" t="s">
        <v>32</v>
      </c>
      <c r="V1042" t="s">
        <v>32</v>
      </c>
      <c r="W1042" t="s">
        <v>32</v>
      </c>
      <c r="X1042" t="s">
        <v>32</v>
      </c>
      <c r="Y1042" t="s">
        <v>32</v>
      </c>
      <c r="AA1042" t="s">
        <v>88</v>
      </c>
      <c r="AB1042" t="s">
        <v>32</v>
      </c>
      <c r="AE1042" t="s">
        <v>32</v>
      </c>
      <c r="AH1042" t="s">
        <v>32</v>
      </c>
      <c r="AK1042" t="s">
        <v>32</v>
      </c>
      <c r="AN1042" t="s">
        <v>32</v>
      </c>
      <c r="AO1042" t="s">
        <v>32</v>
      </c>
      <c r="AR1042">
        <v>0</v>
      </c>
      <c r="AU1042" t="s">
        <v>32</v>
      </c>
      <c r="AV1042">
        <v>2223339</v>
      </c>
      <c r="AW1042" t="s">
        <v>32</v>
      </c>
      <c r="AX1042" t="s">
        <v>32</v>
      </c>
      <c r="AY1042" t="s">
        <v>317</v>
      </c>
      <c r="AZ1042">
        <v>30</v>
      </c>
      <c r="BA1042">
        <v>3804822</v>
      </c>
      <c r="BB1042">
        <v>0.15999999642372131</v>
      </c>
      <c r="BC1042">
        <v>608800</v>
      </c>
      <c r="BD1042" t="s">
        <v>31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608800</v>
      </c>
      <c r="BK1042" t="s">
        <v>25</v>
      </c>
      <c r="BL1042" t="s">
        <v>1010</v>
      </c>
      <c r="BM1042">
        <v>30</v>
      </c>
      <c r="BN1042">
        <v>3804822</v>
      </c>
      <c r="BO1042">
        <v>3.9999999105930328E-2</v>
      </c>
      <c r="BP1042">
        <v>152200</v>
      </c>
      <c r="BQ1042">
        <v>0</v>
      </c>
      <c r="BS1042">
        <v>0</v>
      </c>
      <c r="BU1042">
        <v>0</v>
      </c>
      <c r="BV1042" t="s">
        <v>25</v>
      </c>
      <c r="BW1042" t="s">
        <v>189</v>
      </c>
      <c r="BX1042">
        <v>30</v>
      </c>
      <c r="BY1042">
        <v>3804822</v>
      </c>
      <c r="BZ1042">
        <v>6.9600000977516174E-2</v>
      </c>
      <c r="CA1042" t="s">
        <v>1439</v>
      </c>
      <c r="CB1042" t="s">
        <v>227</v>
      </c>
      <c r="CC1042" t="s">
        <v>1440</v>
      </c>
      <c r="CD1042">
        <v>264900</v>
      </c>
      <c r="CE1042">
        <v>30</v>
      </c>
      <c r="CF1042" t="s">
        <v>635</v>
      </c>
      <c r="CG1042">
        <v>4501372</v>
      </c>
      <c r="CH1042">
        <v>3.9999999105930328E-2</v>
      </c>
      <c r="CI1042">
        <v>180100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 t="s">
        <v>88</v>
      </c>
      <c r="CT1042" t="s">
        <v>142</v>
      </c>
      <c r="CU1042" t="s">
        <v>1442</v>
      </c>
    </row>
    <row r="1043" spans="1:99">
      <c r="A1043" t="s">
        <v>3047</v>
      </c>
      <c r="B1043" t="s">
        <v>34</v>
      </c>
      <c r="C1043" t="s">
        <v>2522</v>
      </c>
      <c r="D1043" t="s">
        <v>2523</v>
      </c>
      <c r="E1043" t="s">
        <v>1517</v>
      </c>
      <c r="F1043" t="s">
        <v>2142</v>
      </c>
      <c r="G1043" t="s">
        <v>1673</v>
      </c>
      <c r="H1043" t="s">
        <v>1933</v>
      </c>
      <c r="I1043" t="s">
        <v>240</v>
      </c>
      <c r="J1043" t="s">
        <v>46</v>
      </c>
      <c r="K1043" t="s">
        <v>29</v>
      </c>
      <c r="L1043" t="s">
        <v>30</v>
      </c>
      <c r="M1043">
        <v>0</v>
      </c>
      <c r="N1043" t="s">
        <v>32</v>
      </c>
      <c r="O1043" t="s">
        <v>32</v>
      </c>
      <c r="Q1043" t="s">
        <v>32</v>
      </c>
      <c r="S1043" t="s">
        <v>32</v>
      </c>
      <c r="U1043" t="s">
        <v>32</v>
      </c>
      <c r="V1043" t="s">
        <v>32</v>
      </c>
      <c r="W1043" t="s">
        <v>32</v>
      </c>
      <c r="X1043" t="s">
        <v>32</v>
      </c>
      <c r="Y1043" t="s">
        <v>32</v>
      </c>
      <c r="AA1043" t="s">
        <v>32</v>
      </c>
      <c r="AB1043" t="s">
        <v>32</v>
      </c>
      <c r="AE1043" t="s">
        <v>32</v>
      </c>
      <c r="AH1043" t="s">
        <v>32</v>
      </c>
      <c r="AK1043" t="s">
        <v>128</v>
      </c>
      <c r="AL1043">
        <v>46054</v>
      </c>
      <c r="AM1043">
        <v>46054</v>
      </c>
      <c r="AN1043" t="s">
        <v>32</v>
      </c>
      <c r="AO1043" t="s">
        <v>32</v>
      </c>
      <c r="AR1043">
        <v>0</v>
      </c>
      <c r="AU1043" t="s">
        <v>32</v>
      </c>
      <c r="AV1043">
        <v>1750905</v>
      </c>
      <c r="AW1043" t="s">
        <v>32</v>
      </c>
      <c r="AX1043" t="s">
        <v>32</v>
      </c>
      <c r="AY1043" t="s">
        <v>356</v>
      </c>
      <c r="AZ1043">
        <v>1</v>
      </c>
      <c r="BA1043">
        <v>58364</v>
      </c>
      <c r="BB1043">
        <v>0.15999999642372131</v>
      </c>
      <c r="BC1043">
        <v>9400</v>
      </c>
      <c r="BD1043" t="s">
        <v>31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9400</v>
      </c>
      <c r="BK1043" t="s">
        <v>25</v>
      </c>
      <c r="BL1043" t="s">
        <v>1064</v>
      </c>
      <c r="BM1043">
        <v>1</v>
      </c>
      <c r="BN1043">
        <v>58364</v>
      </c>
      <c r="BO1043">
        <v>3.9999999105930328E-2</v>
      </c>
      <c r="BP1043">
        <v>2400</v>
      </c>
      <c r="BQ1043">
        <v>0</v>
      </c>
      <c r="BS1043">
        <v>0</v>
      </c>
      <c r="BU1043">
        <v>0</v>
      </c>
      <c r="BV1043" t="s">
        <v>25</v>
      </c>
      <c r="BW1043" t="s">
        <v>189</v>
      </c>
      <c r="BX1043">
        <v>1</v>
      </c>
      <c r="BY1043">
        <v>58364</v>
      </c>
      <c r="BZ1043">
        <v>0</v>
      </c>
      <c r="CA1043" t="s">
        <v>1439</v>
      </c>
      <c r="CB1043" t="s">
        <v>227</v>
      </c>
      <c r="CC1043" t="s">
        <v>1440</v>
      </c>
      <c r="CD1043">
        <v>0</v>
      </c>
      <c r="CE1043">
        <v>1</v>
      </c>
      <c r="CF1043" t="s">
        <v>635</v>
      </c>
      <c r="CG1043">
        <v>58364</v>
      </c>
      <c r="CH1043">
        <v>3.9999999105930328E-2</v>
      </c>
      <c r="CI1043">
        <v>2400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 t="s">
        <v>88</v>
      </c>
      <c r="CT1043" t="s">
        <v>142</v>
      </c>
      <c r="CU1043" t="s">
        <v>1442</v>
      </c>
    </row>
    <row r="1044" spans="1:99">
      <c r="A1044" t="s">
        <v>3047</v>
      </c>
      <c r="B1044" t="s">
        <v>34</v>
      </c>
      <c r="C1044" t="s">
        <v>2522</v>
      </c>
      <c r="D1044" t="s">
        <v>2523</v>
      </c>
      <c r="E1044" t="s">
        <v>1517</v>
      </c>
      <c r="F1044" t="s">
        <v>2142</v>
      </c>
      <c r="G1044" t="s">
        <v>1673</v>
      </c>
      <c r="H1044" t="s">
        <v>1933</v>
      </c>
      <c r="I1044" t="s">
        <v>240</v>
      </c>
      <c r="J1044" t="s">
        <v>46</v>
      </c>
      <c r="K1044" t="s">
        <v>29</v>
      </c>
      <c r="L1044" t="s">
        <v>30</v>
      </c>
      <c r="M1044">
        <v>220</v>
      </c>
      <c r="N1044" t="s">
        <v>32</v>
      </c>
      <c r="O1044" t="s">
        <v>32</v>
      </c>
      <c r="Q1044" t="s">
        <v>32</v>
      </c>
      <c r="S1044" t="s">
        <v>32</v>
      </c>
      <c r="U1044" t="s">
        <v>32</v>
      </c>
      <c r="V1044" t="s">
        <v>32</v>
      </c>
      <c r="W1044" t="s">
        <v>32</v>
      </c>
      <c r="X1044" t="s">
        <v>32</v>
      </c>
      <c r="Y1044" t="s">
        <v>32</v>
      </c>
      <c r="AA1044" t="s">
        <v>88</v>
      </c>
      <c r="AB1044" t="s">
        <v>32</v>
      </c>
      <c r="AE1044" t="s">
        <v>32</v>
      </c>
      <c r="AH1044" t="s">
        <v>32</v>
      </c>
      <c r="AK1044" t="s">
        <v>32</v>
      </c>
      <c r="AN1044" t="s">
        <v>32</v>
      </c>
      <c r="AO1044" t="s">
        <v>32</v>
      </c>
      <c r="AR1044">
        <v>0</v>
      </c>
      <c r="AU1044" t="s">
        <v>32</v>
      </c>
      <c r="AV1044">
        <v>1750905</v>
      </c>
      <c r="AW1044" t="s">
        <v>32</v>
      </c>
      <c r="AX1044" t="s">
        <v>32</v>
      </c>
      <c r="AY1044" t="s">
        <v>356</v>
      </c>
      <c r="AZ1044">
        <v>29</v>
      </c>
      <c r="BA1044">
        <v>2205081</v>
      </c>
      <c r="BB1044">
        <v>0.15999999642372131</v>
      </c>
      <c r="BC1044">
        <v>352900</v>
      </c>
      <c r="BD1044" t="s">
        <v>31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352900</v>
      </c>
      <c r="BK1044" t="s">
        <v>25</v>
      </c>
      <c r="BL1044" t="s">
        <v>1064</v>
      </c>
      <c r="BM1044">
        <v>29</v>
      </c>
      <c r="BN1044">
        <v>2205081</v>
      </c>
      <c r="BO1044">
        <v>3.9999999105930328E-2</v>
      </c>
      <c r="BP1044">
        <v>88300</v>
      </c>
      <c r="BQ1044">
        <v>0</v>
      </c>
      <c r="BS1044">
        <v>0</v>
      </c>
      <c r="BU1044">
        <v>0</v>
      </c>
      <c r="BV1044" t="s">
        <v>25</v>
      </c>
      <c r="BW1044" t="s">
        <v>189</v>
      </c>
      <c r="BX1044">
        <v>29</v>
      </c>
      <c r="BY1044">
        <v>2205081</v>
      </c>
      <c r="BZ1044">
        <v>6.9600000977516174E-2</v>
      </c>
      <c r="CA1044" t="s">
        <v>1439</v>
      </c>
      <c r="CB1044" t="s">
        <v>227</v>
      </c>
      <c r="CC1044" t="s">
        <v>1440</v>
      </c>
      <c r="CD1044">
        <v>153500</v>
      </c>
      <c r="CE1044">
        <v>29</v>
      </c>
      <c r="CF1044" t="s">
        <v>635</v>
      </c>
      <c r="CG1044">
        <v>2205081</v>
      </c>
      <c r="CH1044">
        <v>3.9999999105930328E-2</v>
      </c>
      <c r="CI1044">
        <v>88300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 t="s">
        <v>88</v>
      </c>
      <c r="CT1044" t="s">
        <v>142</v>
      </c>
      <c r="CU1044" t="s">
        <v>1442</v>
      </c>
    </row>
    <row r="1045" spans="1:99">
      <c r="A1045" t="s">
        <v>3047</v>
      </c>
      <c r="B1045" t="s">
        <v>34</v>
      </c>
      <c r="C1045" t="s">
        <v>2524</v>
      </c>
      <c r="D1045" t="s">
        <v>2525</v>
      </c>
      <c r="E1045" t="s">
        <v>2099</v>
      </c>
      <c r="F1045" t="s">
        <v>734</v>
      </c>
      <c r="G1045" t="s">
        <v>2526</v>
      </c>
      <c r="H1045" t="s">
        <v>642</v>
      </c>
      <c r="I1045" t="s">
        <v>240</v>
      </c>
      <c r="J1045" t="s">
        <v>46</v>
      </c>
      <c r="K1045" t="s">
        <v>29</v>
      </c>
      <c r="L1045" t="s">
        <v>30</v>
      </c>
      <c r="M1045">
        <v>0</v>
      </c>
      <c r="N1045" t="s">
        <v>32</v>
      </c>
      <c r="O1045" t="s">
        <v>32</v>
      </c>
      <c r="Q1045" t="s">
        <v>32</v>
      </c>
      <c r="S1045" t="s">
        <v>32</v>
      </c>
      <c r="U1045" t="s">
        <v>32</v>
      </c>
      <c r="V1045" t="s">
        <v>32</v>
      </c>
      <c r="W1045" t="s">
        <v>32</v>
      </c>
      <c r="X1045" t="s">
        <v>32</v>
      </c>
      <c r="Y1045" t="s">
        <v>32</v>
      </c>
      <c r="AA1045" t="s">
        <v>32</v>
      </c>
      <c r="AB1045" t="s">
        <v>32</v>
      </c>
      <c r="AE1045" t="s">
        <v>32</v>
      </c>
      <c r="AH1045" t="s">
        <v>32</v>
      </c>
      <c r="AK1045" t="s">
        <v>128</v>
      </c>
      <c r="AL1045">
        <v>46054</v>
      </c>
      <c r="AM1045">
        <v>46054</v>
      </c>
      <c r="AN1045" t="s">
        <v>32</v>
      </c>
      <c r="AO1045" t="s">
        <v>32</v>
      </c>
      <c r="AR1045">
        <v>0</v>
      </c>
      <c r="AU1045" t="s">
        <v>32</v>
      </c>
      <c r="AV1045">
        <v>1785595</v>
      </c>
      <c r="AW1045" t="s">
        <v>32</v>
      </c>
      <c r="AX1045" t="s">
        <v>32</v>
      </c>
      <c r="AY1045" t="s">
        <v>185</v>
      </c>
      <c r="AZ1045">
        <v>1</v>
      </c>
      <c r="BA1045">
        <v>59520</v>
      </c>
      <c r="BB1045">
        <v>0.15999999642372131</v>
      </c>
      <c r="BC1045">
        <v>9600</v>
      </c>
      <c r="BD1045" t="s">
        <v>31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9600</v>
      </c>
      <c r="BK1045" t="s">
        <v>25</v>
      </c>
      <c r="BL1045" t="s">
        <v>1071</v>
      </c>
      <c r="BM1045">
        <v>1</v>
      </c>
      <c r="BN1045">
        <v>59520</v>
      </c>
      <c r="BO1045">
        <v>3.9999999105930328E-2</v>
      </c>
      <c r="BP1045">
        <v>2400</v>
      </c>
      <c r="BQ1045">
        <v>0</v>
      </c>
      <c r="BS1045">
        <v>0</v>
      </c>
      <c r="BU1045">
        <v>0</v>
      </c>
      <c r="BV1045" t="s">
        <v>25</v>
      </c>
      <c r="BW1045" t="s">
        <v>189</v>
      </c>
      <c r="BX1045">
        <v>1</v>
      </c>
      <c r="BY1045">
        <v>59520</v>
      </c>
      <c r="BZ1045">
        <v>0</v>
      </c>
      <c r="CA1045" t="s">
        <v>1439</v>
      </c>
      <c r="CB1045" t="s">
        <v>227</v>
      </c>
      <c r="CC1045" t="s">
        <v>1440</v>
      </c>
      <c r="CD1045">
        <v>0</v>
      </c>
      <c r="CE1045">
        <v>1</v>
      </c>
      <c r="CF1045" t="s">
        <v>635</v>
      </c>
      <c r="CG1045">
        <v>59520</v>
      </c>
      <c r="CH1045">
        <v>3.9999999105930328E-2</v>
      </c>
      <c r="CI1045">
        <v>2400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 t="s">
        <v>88</v>
      </c>
      <c r="CT1045" t="s">
        <v>142</v>
      </c>
      <c r="CU1045" t="s">
        <v>1442</v>
      </c>
    </row>
    <row r="1046" spans="1:99">
      <c r="A1046" t="s">
        <v>3047</v>
      </c>
      <c r="B1046" t="s">
        <v>34</v>
      </c>
      <c r="C1046" t="s">
        <v>2524</v>
      </c>
      <c r="D1046" t="s">
        <v>2525</v>
      </c>
      <c r="E1046" t="s">
        <v>2099</v>
      </c>
      <c r="F1046" t="s">
        <v>734</v>
      </c>
      <c r="G1046" t="s">
        <v>2526</v>
      </c>
      <c r="H1046" t="s">
        <v>642</v>
      </c>
      <c r="I1046" t="s">
        <v>240</v>
      </c>
      <c r="J1046" t="s">
        <v>46</v>
      </c>
      <c r="K1046" t="s">
        <v>29</v>
      </c>
      <c r="L1046" t="s">
        <v>30</v>
      </c>
      <c r="M1046">
        <v>194</v>
      </c>
      <c r="N1046" t="s">
        <v>32</v>
      </c>
      <c r="O1046" t="s">
        <v>32</v>
      </c>
      <c r="Q1046" t="s">
        <v>32</v>
      </c>
      <c r="S1046" t="s">
        <v>32</v>
      </c>
      <c r="U1046" t="s">
        <v>32</v>
      </c>
      <c r="V1046" t="s">
        <v>32</v>
      </c>
      <c r="W1046" t="s">
        <v>32</v>
      </c>
      <c r="X1046" t="s">
        <v>32</v>
      </c>
      <c r="Y1046" t="s">
        <v>32</v>
      </c>
      <c r="AA1046" t="s">
        <v>88</v>
      </c>
      <c r="AB1046" t="s">
        <v>32</v>
      </c>
      <c r="AE1046" t="s">
        <v>32</v>
      </c>
      <c r="AH1046" t="s">
        <v>32</v>
      </c>
      <c r="AK1046" t="s">
        <v>32</v>
      </c>
      <c r="AN1046" t="s">
        <v>32</v>
      </c>
      <c r="AO1046" t="s">
        <v>32</v>
      </c>
      <c r="AR1046">
        <v>0</v>
      </c>
      <c r="AU1046" t="s">
        <v>32</v>
      </c>
      <c r="AV1046">
        <v>1785595</v>
      </c>
      <c r="AW1046" t="s">
        <v>32</v>
      </c>
      <c r="AX1046" t="s">
        <v>32</v>
      </c>
      <c r="AY1046" t="s">
        <v>185</v>
      </c>
      <c r="AZ1046">
        <v>29</v>
      </c>
      <c r="BA1046">
        <v>2178292</v>
      </c>
      <c r="BB1046">
        <v>0.15999999642372131</v>
      </c>
      <c r="BC1046">
        <v>348600</v>
      </c>
      <c r="BD1046" t="s">
        <v>31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348600</v>
      </c>
      <c r="BK1046" t="s">
        <v>25</v>
      </c>
      <c r="BL1046" t="s">
        <v>1071</v>
      </c>
      <c r="BM1046">
        <v>29</v>
      </c>
      <c r="BN1046">
        <v>2178292</v>
      </c>
      <c r="BO1046">
        <v>3.9999999105930328E-2</v>
      </c>
      <c r="BP1046">
        <v>87200</v>
      </c>
      <c r="BQ1046">
        <v>0</v>
      </c>
      <c r="BS1046">
        <v>0</v>
      </c>
      <c r="BU1046">
        <v>0</v>
      </c>
      <c r="BV1046" t="s">
        <v>25</v>
      </c>
      <c r="BW1046" t="s">
        <v>189</v>
      </c>
      <c r="BX1046">
        <v>29</v>
      </c>
      <c r="BY1046">
        <v>2178292</v>
      </c>
      <c r="BZ1046">
        <v>6.9600000977516174E-2</v>
      </c>
      <c r="CA1046" t="s">
        <v>1439</v>
      </c>
      <c r="CB1046" t="s">
        <v>227</v>
      </c>
      <c r="CC1046" t="s">
        <v>1440</v>
      </c>
      <c r="CD1046">
        <v>151700</v>
      </c>
      <c r="CE1046">
        <v>29</v>
      </c>
      <c r="CF1046" t="s">
        <v>635</v>
      </c>
      <c r="CG1046">
        <v>2178292</v>
      </c>
      <c r="CH1046">
        <v>3.9999999105930328E-2</v>
      </c>
      <c r="CI1046">
        <v>87200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 t="s">
        <v>88</v>
      </c>
      <c r="CT1046" t="s">
        <v>142</v>
      </c>
      <c r="CU1046" t="s">
        <v>1442</v>
      </c>
    </row>
    <row r="1047" spans="1:99">
      <c r="A1047" t="s">
        <v>3047</v>
      </c>
      <c r="B1047" t="s">
        <v>34</v>
      </c>
      <c r="C1047" t="s">
        <v>2527</v>
      </c>
      <c r="D1047" t="s">
        <v>2528</v>
      </c>
      <c r="E1047" t="s">
        <v>2529</v>
      </c>
      <c r="F1047" t="s">
        <v>1741</v>
      </c>
      <c r="G1047" t="s">
        <v>1673</v>
      </c>
      <c r="H1047" t="s">
        <v>1558</v>
      </c>
      <c r="I1047" t="s">
        <v>240</v>
      </c>
      <c r="J1047" t="s">
        <v>46</v>
      </c>
      <c r="K1047" t="s">
        <v>29</v>
      </c>
      <c r="L1047" t="s">
        <v>30</v>
      </c>
      <c r="M1047">
        <v>39</v>
      </c>
      <c r="N1047" t="s">
        <v>32</v>
      </c>
      <c r="O1047" t="s">
        <v>32</v>
      </c>
      <c r="Q1047" t="s">
        <v>32</v>
      </c>
      <c r="S1047" t="s">
        <v>40</v>
      </c>
      <c r="T1047">
        <v>46059</v>
      </c>
      <c r="U1047" t="s">
        <v>32</v>
      </c>
      <c r="V1047" t="s">
        <v>32</v>
      </c>
      <c r="W1047" t="s">
        <v>32</v>
      </c>
      <c r="X1047" t="s">
        <v>32</v>
      </c>
      <c r="Y1047" t="s">
        <v>32</v>
      </c>
      <c r="AA1047" t="s">
        <v>88</v>
      </c>
      <c r="AB1047" t="s">
        <v>32</v>
      </c>
      <c r="AE1047" t="s">
        <v>32</v>
      </c>
      <c r="AH1047" t="s">
        <v>32</v>
      </c>
      <c r="AK1047" t="s">
        <v>32</v>
      </c>
      <c r="AN1047" t="s">
        <v>32</v>
      </c>
      <c r="AO1047" t="s">
        <v>32</v>
      </c>
      <c r="AR1047">
        <v>0</v>
      </c>
      <c r="AU1047" t="s">
        <v>32</v>
      </c>
      <c r="AV1047">
        <v>5450089</v>
      </c>
      <c r="AW1047" t="s">
        <v>32</v>
      </c>
      <c r="AX1047" t="s">
        <v>32</v>
      </c>
      <c r="AY1047" t="s">
        <v>185</v>
      </c>
      <c r="AZ1047">
        <v>6</v>
      </c>
      <c r="BA1047">
        <v>1453357</v>
      </c>
      <c r="BB1047">
        <v>0.15999999642372131</v>
      </c>
      <c r="BC1047">
        <v>232600</v>
      </c>
      <c r="BD1047" t="s">
        <v>31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232600</v>
      </c>
      <c r="BK1047" t="s">
        <v>25</v>
      </c>
      <c r="BL1047" t="s">
        <v>1071</v>
      </c>
      <c r="BM1047">
        <v>6</v>
      </c>
      <c r="BN1047">
        <v>1453357</v>
      </c>
      <c r="BO1047">
        <v>0.125</v>
      </c>
      <c r="BP1047">
        <v>181700</v>
      </c>
      <c r="BQ1047">
        <v>0</v>
      </c>
      <c r="BS1047">
        <v>0</v>
      </c>
      <c r="BU1047">
        <v>0</v>
      </c>
      <c r="BV1047" t="s">
        <v>25</v>
      </c>
      <c r="BW1047" t="s">
        <v>189</v>
      </c>
      <c r="BX1047">
        <v>6</v>
      </c>
      <c r="BY1047">
        <v>1453357</v>
      </c>
      <c r="BZ1047">
        <v>5.2200001664459705E-3</v>
      </c>
      <c r="CA1047" t="s">
        <v>1592</v>
      </c>
      <c r="CB1047" t="s">
        <v>227</v>
      </c>
      <c r="CC1047" t="s">
        <v>1593</v>
      </c>
      <c r="CD1047">
        <v>7600</v>
      </c>
      <c r="CE1047">
        <v>6</v>
      </c>
      <c r="CF1047" t="s">
        <v>635</v>
      </c>
      <c r="CG1047">
        <v>6572807</v>
      </c>
      <c r="CH1047">
        <v>3.9999999105930328E-2</v>
      </c>
      <c r="CI1047">
        <v>263000</v>
      </c>
      <c r="CJ1047">
        <v>6572807</v>
      </c>
      <c r="CK1047">
        <v>1.9999999552965164E-2</v>
      </c>
      <c r="CL1047">
        <v>131500</v>
      </c>
      <c r="CM1047">
        <v>2.9999999329447746E-2</v>
      </c>
      <c r="CN1047">
        <v>197200</v>
      </c>
      <c r="CO1047">
        <v>0</v>
      </c>
      <c r="CP1047">
        <v>0</v>
      </c>
      <c r="CQ1047">
        <v>0</v>
      </c>
      <c r="CR1047">
        <v>0</v>
      </c>
      <c r="CS1047" t="s">
        <v>32</v>
      </c>
      <c r="CT1047" t="s">
        <v>142</v>
      </c>
      <c r="CU1047" t="s">
        <v>1442</v>
      </c>
    </row>
    <row r="1048" spans="1:99">
      <c r="A1048" t="s">
        <v>3047</v>
      </c>
      <c r="B1048" t="s">
        <v>397</v>
      </c>
      <c r="C1048" t="s">
        <v>2530</v>
      </c>
      <c r="D1048" t="s">
        <v>2531</v>
      </c>
      <c r="E1048" t="s">
        <v>2532</v>
      </c>
      <c r="F1048" t="s">
        <v>124</v>
      </c>
      <c r="G1048" t="s">
        <v>1570</v>
      </c>
      <c r="H1048" t="s">
        <v>1489</v>
      </c>
      <c r="I1048" t="s">
        <v>240</v>
      </c>
      <c r="J1048" t="s">
        <v>46</v>
      </c>
      <c r="K1048" t="s">
        <v>29</v>
      </c>
      <c r="L1048" t="s">
        <v>30</v>
      </c>
      <c r="M1048">
        <v>159</v>
      </c>
      <c r="N1048" t="s">
        <v>32</v>
      </c>
      <c r="O1048" t="s">
        <v>32</v>
      </c>
      <c r="Q1048" t="s">
        <v>40</v>
      </c>
      <c r="R1048">
        <v>46058</v>
      </c>
      <c r="S1048" t="s">
        <v>32</v>
      </c>
      <c r="U1048" t="s">
        <v>32</v>
      </c>
      <c r="V1048" t="s">
        <v>32</v>
      </c>
      <c r="W1048" t="s">
        <v>32</v>
      </c>
      <c r="X1048" t="s">
        <v>32</v>
      </c>
      <c r="Y1048" t="s">
        <v>32</v>
      </c>
      <c r="AA1048" t="s">
        <v>88</v>
      </c>
      <c r="AB1048" t="s">
        <v>32</v>
      </c>
      <c r="AE1048" t="s">
        <v>32</v>
      </c>
      <c r="AH1048" t="s">
        <v>32</v>
      </c>
      <c r="AK1048" t="s">
        <v>32</v>
      </c>
      <c r="AN1048" t="s">
        <v>32</v>
      </c>
      <c r="AO1048" t="s">
        <v>32</v>
      </c>
      <c r="AR1048">
        <v>0</v>
      </c>
      <c r="AU1048" t="s">
        <v>32</v>
      </c>
      <c r="AV1048">
        <v>2223339</v>
      </c>
      <c r="AW1048" t="s">
        <v>32</v>
      </c>
      <c r="AX1048" t="s">
        <v>32</v>
      </c>
      <c r="AY1048" t="s">
        <v>356</v>
      </c>
      <c r="AZ1048">
        <v>26</v>
      </c>
      <c r="BA1048">
        <v>2225529</v>
      </c>
      <c r="BB1048">
        <v>0.15999999642372131</v>
      </c>
      <c r="BC1048">
        <v>356100</v>
      </c>
      <c r="BD1048" t="s">
        <v>31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356100</v>
      </c>
      <c r="BK1048" t="s">
        <v>25</v>
      </c>
      <c r="BL1048" t="s">
        <v>1010</v>
      </c>
      <c r="BM1048">
        <v>26</v>
      </c>
      <c r="BN1048">
        <v>2225529</v>
      </c>
      <c r="BO1048">
        <v>3.9999999105930328E-2</v>
      </c>
      <c r="BP1048">
        <v>89100</v>
      </c>
      <c r="BQ1048">
        <v>0</v>
      </c>
      <c r="BS1048">
        <v>0</v>
      </c>
      <c r="BU1048">
        <v>0</v>
      </c>
      <c r="BV1048" t="s">
        <v>25</v>
      </c>
      <c r="BW1048" t="s">
        <v>189</v>
      </c>
      <c r="BX1048">
        <v>26</v>
      </c>
      <c r="BY1048">
        <v>2225529</v>
      </c>
      <c r="BZ1048">
        <v>6.9600000977516174E-2</v>
      </c>
      <c r="CA1048" t="s">
        <v>1439</v>
      </c>
      <c r="CB1048" t="s">
        <v>227</v>
      </c>
      <c r="CC1048" t="s">
        <v>1440</v>
      </c>
      <c r="CD1048">
        <v>154900</v>
      </c>
      <c r="CE1048">
        <v>26</v>
      </c>
      <c r="CF1048" t="s">
        <v>635</v>
      </c>
      <c r="CG1048">
        <v>2225529</v>
      </c>
      <c r="CH1048">
        <v>3.9999999105930328E-2</v>
      </c>
      <c r="CI1048">
        <v>89100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 t="s">
        <v>88</v>
      </c>
      <c r="CT1048" t="s">
        <v>142</v>
      </c>
      <c r="CU1048" t="s">
        <v>1442</v>
      </c>
    </row>
    <row r="1049" spans="1:99">
      <c r="A1049" t="s">
        <v>3047</v>
      </c>
      <c r="B1049" t="s">
        <v>34</v>
      </c>
      <c r="C1049" t="s">
        <v>2533</v>
      </c>
      <c r="D1049" t="s">
        <v>2534</v>
      </c>
      <c r="E1049" t="s">
        <v>2011</v>
      </c>
      <c r="F1049" t="s">
        <v>510</v>
      </c>
      <c r="G1049" t="s">
        <v>2535</v>
      </c>
      <c r="H1049" t="s">
        <v>1876</v>
      </c>
      <c r="I1049" t="s">
        <v>682</v>
      </c>
      <c r="J1049" t="s">
        <v>484</v>
      </c>
      <c r="K1049" t="s">
        <v>29</v>
      </c>
      <c r="L1049" t="s">
        <v>30</v>
      </c>
      <c r="M1049">
        <v>0</v>
      </c>
      <c r="N1049" t="s">
        <v>32</v>
      </c>
      <c r="O1049" t="s">
        <v>32</v>
      </c>
      <c r="Q1049" t="s">
        <v>32</v>
      </c>
      <c r="S1049" t="s">
        <v>32</v>
      </c>
      <c r="U1049" t="s">
        <v>32</v>
      </c>
      <c r="V1049" t="s">
        <v>32</v>
      </c>
      <c r="W1049" t="s">
        <v>32</v>
      </c>
      <c r="X1049" t="s">
        <v>32</v>
      </c>
      <c r="Y1049" t="s">
        <v>32</v>
      </c>
      <c r="AA1049" t="s">
        <v>32</v>
      </c>
      <c r="AB1049" t="s">
        <v>32</v>
      </c>
      <c r="AE1049" t="s">
        <v>32</v>
      </c>
      <c r="AH1049" t="s">
        <v>32</v>
      </c>
      <c r="AK1049" t="s">
        <v>128</v>
      </c>
      <c r="AL1049">
        <v>46055</v>
      </c>
      <c r="AM1049">
        <v>46059</v>
      </c>
      <c r="AN1049" t="s">
        <v>32</v>
      </c>
      <c r="AO1049" t="s">
        <v>32</v>
      </c>
      <c r="AR1049">
        <v>0</v>
      </c>
      <c r="AU1049" t="s">
        <v>32</v>
      </c>
      <c r="AV1049">
        <v>2223339</v>
      </c>
      <c r="AW1049" t="s">
        <v>32</v>
      </c>
      <c r="AX1049" t="s">
        <v>32</v>
      </c>
      <c r="AY1049" t="s">
        <v>317</v>
      </c>
      <c r="AZ1049">
        <v>5</v>
      </c>
      <c r="BA1049">
        <v>370557</v>
      </c>
      <c r="BB1049">
        <v>0.15999999642372131</v>
      </c>
      <c r="BC1049">
        <v>59300</v>
      </c>
      <c r="BD1049" t="s">
        <v>31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59300</v>
      </c>
      <c r="BK1049" t="s">
        <v>25</v>
      </c>
      <c r="BL1049" t="s">
        <v>885</v>
      </c>
      <c r="BM1049">
        <v>5</v>
      </c>
      <c r="BN1049">
        <v>370557</v>
      </c>
      <c r="BO1049">
        <v>3.9999999105930328E-2</v>
      </c>
      <c r="BP1049">
        <v>14900</v>
      </c>
      <c r="BQ1049">
        <v>0</v>
      </c>
      <c r="BS1049">
        <v>0</v>
      </c>
      <c r="BU1049">
        <v>0</v>
      </c>
      <c r="BV1049" t="s">
        <v>25</v>
      </c>
      <c r="BW1049" t="s">
        <v>189</v>
      </c>
      <c r="BX1049">
        <v>5</v>
      </c>
      <c r="BY1049">
        <v>370557</v>
      </c>
      <c r="BZ1049">
        <v>0</v>
      </c>
      <c r="CA1049" t="s">
        <v>1439</v>
      </c>
      <c r="CB1049" t="s">
        <v>312</v>
      </c>
      <c r="CC1049" t="s">
        <v>1440</v>
      </c>
      <c r="CD1049">
        <v>0</v>
      </c>
      <c r="CE1049">
        <v>5</v>
      </c>
      <c r="CF1049" t="s">
        <v>466</v>
      </c>
      <c r="CG1049">
        <v>370557</v>
      </c>
      <c r="CH1049">
        <v>3.9999999105930328E-2</v>
      </c>
      <c r="CI1049">
        <v>14900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 t="s">
        <v>88</v>
      </c>
      <c r="CT1049" t="s">
        <v>142</v>
      </c>
      <c r="CU1049" t="s">
        <v>1442</v>
      </c>
    </row>
    <row r="1050" spans="1:99">
      <c r="A1050" t="s">
        <v>3047</v>
      </c>
      <c r="B1050" t="s">
        <v>34</v>
      </c>
      <c r="C1050" t="s">
        <v>2533</v>
      </c>
      <c r="D1050" t="s">
        <v>2534</v>
      </c>
      <c r="E1050" t="s">
        <v>2011</v>
      </c>
      <c r="F1050" t="s">
        <v>510</v>
      </c>
      <c r="G1050" t="s">
        <v>2535</v>
      </c>
      <c r="H1050" t="s">
        <v>1876</v>
      </c>
      <c r="I1050" t="s">
        <v>682</v>
      </c>
      <c r="J1050" t="s">
        <v>484</v>
      </c>
      <c r="K1050" t="s">
        <v>29</v>
      </c>
      <c r="L1050" t="s">
        <v>30</v>
      </c>
      <c r="M1050">
        <v>0</v>
      </c>
      <c r="N1050" t="s">
        <v>32</v>
      </c>
      <c r="O1050" t="s">
        <v>32</v>
      </c>
      <c r="Q1050" t="s">
        <v>32</v>
      </c>
      <c r="S1050" t="s">
        <v>32</v>
      </c>
      <c r="U1050" t="s">
        <v>32</v>
      </c>
      <c r="V1050" t="s">
        <v>32</v>
      </c>
      <c r="W1050" t="s">
        <v>32</v>
      </c>
      <c r="X1050" t="s">
        <v>32</v>
      </c>
      <c r="Y1050" t="s">
        <v>32</v>
      </c>
      <c r="AA1050" t="s">
        <v>32</v>
      </c>
      <c r="AB1050" t="s">
        <v>32</v>
      </c>
      <c r="AE1050" t="s">
        <v>1492</v>
      </c>
      <c r="AF1050">
        <v>46061</v>
      </c>
      <c r="AG1050">
        <v>46063</v>
      </c>
      <c r="AH1050" t="s">
        <v>32</v>
      </c>
      <c r="AK1050" t="s">
        <v>32</v>
      </c>
      <c r="AN1050" t="s">
        <v>32</v>
      </c>
      <c r="AO1050" t="s">
        <v>32</v>
      </c>
      <c r="AR1050">
        <v>0</v>
      </c>
      <c r="AU1050" t="s">
        <v>32</v>
      </c>
      <c r="AV1050">
        <v>2223339</v>
      </c>
      <c r="AW1050" t="s">
        <v>32</v>
      </c>
      <c r="AX1050" t="s">
        <v>32</v>
      </c>
      <c r="AY1050" t="s">
        <v>317</v>
      </c>
      <c r="AZ1050">
        <v>3</v>
      </c>
      <c r="BA1050">
        <v>257603</v>
      </c>
      <c r="BB1050">
        <v>0.15999999642372131</v>
      </c>
      <c r="BC1050">
        <v>41300</v>
      </c>
      <c r="BD1050" t="s">
        <v>31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41300</v>
      </c>
      <c r="BK1050" t="s">
        <v>25</v>
      </c>
      <c r="BL1050" t="s">
        <v>885</v>
      </c>
      <c r="BM1050">
        <v>3</v>
      </c>
      <c r="BN1050">
        <v>257603</v>
      </c>
      <c r="BO1050">
        <v>3.9999999105930328E-2</v>
      </c>
      <c r="BP1050">
        <v>10400</v>
      </c>
      <c r="BQ1050">
        <v>0</v>
      </c>
      <c r="BS1050">
        <v>0</v>
      </c>
      <c r="BU1050">
        <v>0</v>
      </c>
      <c r="BV1050" t="s">
        <v>25</v>
      </c>
      <c r="BW1050" t="s">
        <v>189</v>
      </c>
      <c r="BX1050">
        <v>3</v>
      </c>
      <c r="BY1050">
        <v>257603</v>
      </c>
      <c r="BZ1050">
        <v>0</v>
      </c>
      <c r="CA1050" t="s">
        <v>1439</v>
      </c>
      <c r="CB1050" t="s">
        <v>312</v>
      </c>
      <c r="CC1050" t="s">
        <v>1440</v>
      </c>
      <c r="CD1050">
        <v>0</v>
      </c>
      <c r="CE1050">
        <v>3</v>
      </c>
      <c r="CF1050" t="s">
        <v>466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 t="s">
        <v>88</v>
      </c>
      <c r="CT1050" t="s">
        <v>142</v>
      </c>
      <c r="CU1050" t="s">
        <v>1442</v>
      </c>
    </row>
    <row r="1051" spans="1:99">
      <c r="A1051" t="s">
        <v>3047</v>
      </c>
      <c r="B1051" t="s">
        <v>34</v>
      </c>
      <c r="C1051" t="s">
        <v>2533</v>
      </c>
      <c r="D1051" t="s">
        <v>2534</v>
      </c>
      <c r="E1051" t="s">
        <v>2011</v>
      </c>
      <c r="F1051" t="s">
        <v>510</v>
      </c>
      <c r="G1051" t="s">
        <v>2535</v>
      </c>
      <c r="H1051" t="s">
        <v>1876</v>
      </c>
      <c r="I1051" t="s">
        <v>682</v>
      </c>
      <c r="J1051" t="s">
        <v>484</v>
      </c>
      <c r="K1051" t="s">
        <v>29</v>
      </c>
      <c r="L1051" t="s">
        <v>30</v>
      </c>
      <c r="M1051">
        <v>130</v>
      </c>
      <c r="N1051" t="s">
        <v>32</v>
      </c>
      <c r="O1051" t="s">
        <v>32</v>
      </c>
      <c r="Q1051" t="s">
        <v>32</v>
      </c>
      <c r="S1051" t="s">
        <v>32</v>
      </c>
      <c r="U1051" t="s">
        <v>32</v>
      </c>
      <c r="V1051" t="s">
        <v>32</v>
      </c>
      <c r="W1051" t="s">
        <v>32</v>
      </c>
      <c r="X1051" t="s">
        <v>32</v>
      </c>
      <c r="Y1051" t="s">
        <v>32</v>
      </c>
      <c r="AA1051" t="s">
        <v>88</v>
      </c>
      <c r="AB1051" t="s">
        <v>32</v>
      </c>
      <c r="AE1051" t="s">
        <v>32</v>
      </c>
      <c r="AH1051" t="s">
        <v>32</v>
      </c>
      <c r="AK1051" t="s">
        <v>32</v>
      </c>
      <c r="AN1051" t="s">
        <v>32</v>
      </c>
      <c r="AO1051" t="s">
        <v>32</v>
      </c>
      <c r="AR1051">
        <v>0</v>
      </c>
      <c r="AU1051" t="s">
        <v>32</v>
      </c>
      <c r="AV1051">
        <v>2223339</v>
      </c>
      <c r="AW1051" t="s">
        <v>32</v>
      </c>
      <c r="AX1051" t="s">
        <v>32</v>
      </c>
      <c r="AY1051" t="s">
        <v>317</v>
      </c>
      <c r="AZ1051">
        <v>22</v>
      </c>
      <c r="BA1051">
        <v>2157375</v>
      </c>
      <c r="BB1051">
        <v>0.15999999642372131</v>
      </c>
      <c r="BC1051">
        <v>345200</v>
      </c>
      <c r="BD1051" t="s">
        <v>31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345200</v>
      </c>
      <c r="BK1051" t="s">
        <v>25</v>
      </c>
      <c r="BL1051" t="s">
        <v>885</v>
      </c>
      <c r="BM1051">
        <v>22</v>
      </c>
      <c r="BN1051">
        <v>2157375</v>
      </c>
      <c r="BO1051">
        <v>3.9999999105930328E-2</v>
      </c>
      <c r="BP1051">
        <v>86300</v>
      </c>
      <c r="BQ1051">
        <v>0</v>
      </c>
      <c r="BS1051">
        <v>0</v>
      </c>
      <c r="BU1051">
        <v>0</v>
      </c>
      <c r="BV1051" t="s">
        <v>25</v>
      </c>
      <c r="BW1051" t="s">
        <v>189</v>
      </c>
      <c r="BX1051">
        <v>22</v>
      </c>
      <c r="BY1051">
        <v>2157375</v>
      </c>
      <c r="BZ1051">
        <v>6.9600000977516174E-2</v>
      </c>
      <c r="CA1051" t="s">
        <v>1439</v>
      </c>
      <c r="CB1051" t="s">
        <v>312</v>
      </c>
      <c r="CC1051" t="s">
        <v>1440</v>
      </c>
      <c r="CD1051">
        <v>150200</v>
      </c>
      <c r="CE1051">
        <v>22</v>
      </c>
      <c r="CF1051" t="s">
        <v>466</v>
      </c>
      <c r="CG1051">
        <v>1839140</v>
      </c>
      <c r="CH1051">
        <v>3.9999999105930328E-2</v>
      </c>
      <c r="CI1051">
        <v>73600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 t="s">
        <v>88</v>
      </c>
      <c r="CT1051" t="s">
        <v>142</v>
      </c>
      <c r="CU1051" t="s">
        <v>1442</v>
      </c>
    </row>
    <row r="1052" spans="1:99">
      <c r="A1052" t="s">
        <v>3047</v>
      </c>
      <c r="B1052" t="s">
        <v>34</v>
      </c>
      <c r="C1052" t="s">
        <v>2536</v>
      </c>
      <c r="D1052" t="s">
        <v>2537</v>
      </c>
      <c r="E1052" t="s">
        <v>2538</v>
      </c>
      <c r="F1052" t="s">
        <v>2539</v>
      </c>
      <c r="G1052" t="s">
        <v>2540</v>
      </c>
      <c r="H1052" t="s">
        <v>2541</v>
      </c>
      <c r="I1052" t="s">
        <v>682</v>
      </c>
      <c r="J1052" t="s">
        <v>484</v>
      </c>
      <c r="K1052" t="s">
        <v>29</v>
      </c>
      <c r="L1052" t="s">
        <v>30</v>
      </c>
      <c r="M1052">
        <v>180</v>
      </c>
      <c r="N1052" t="s">
        <v>32</v>
      </c>
      <c r="O1052" t="s">
        <v>32</v>
      </c>
      <c r="Q1052" t="s">
        <v>32</v>
      </c>
      <c r="S1052" t="s">
        <v>32</v>
      </c>
      <c r="U1052" t="s">
        <v>32</v>
      </c>
      <c r="V1052" t="s">
        <v>32</v>
      </c>
      <c r="W1052" t="s">
        <v>32</v>
      </c>
      <c r="X1052" t="s">
        <v>32</v>
      </c>
      <c r="Y1052" t="s">
        <v>88</v>
      </c>
      <c r="Z1052">
        <v>46054</v>
      </c>
      <c r="AA1052" t="s">
        <v>88</v>
      </c>
      <c r="AB1052" t="s">
        <v>32</v>
      </c>
      <c r="AE1052" t="s">
        <v>32</v>
      </c>
      <c r="AH1052" t="s">
        <v>32</v>
      </c>
      <c r="AK1052" t="s">
        <v>32</v>
      </c>
      <c r="AN1052" t="s">
        <v>32</v>
      </c>
      <c r="AO1052" t="s">
        <v>32</v>
      </c>
      <c r="AR1052">
        <v>0</v>
      </c>
      <c r="AU1052" t="s">
        <v>32</v>
      </c>
      <c r="AV1052">
        <v>5676577</v>
      </c>
      <c r="AW1052" t="s">
        <v>32</v>
      </c>
      <c r="AX1052" t="s">
        <v>32</v>
      </c>
      <c r="AY1052" t="s">
        <v>185</v>
      </c>
      <c r="AZ1052">
        <v>30</v>
      </c>
      <c r="BA1052">
        <v>5676577</v>
      </c>
      <c r="BB1052">
        <v>0.15999999642372131</v>
      </c>
      <c r="BC1052">
        <v>908300</v>
      </c>
      <c r="BD1052" t="s">
        <v>31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908300</v>
      </c>
      <c r="BK1052" t="s">
        <v>25</v>
      </c>
      <c r="BL1052" t="s">
        <v>1071</v>
      </c>
      <c r="BM1052">
        <v>30</v>
      </c>
      <c r="BN1052">
        <v>5676577</v>
      </c>
      <c r="BO1052">
        <v>3.9999999105930328E-2</v>
      </c>
      <c r="BP1052">
        <v>227100</v>
      </c>
      <c r="BQ1052">
        <v>0</v>
      </c>
      <c r="BS1052">
        <v>0</v>
      </c>
      <c r="BU1052">
        <v>0</v>
      </c>
      <c r="BV1052" t="s">
        <v>25</v>
      </c>
      <c r="BW1052" t="s">
        <v>189</v>
      </c>
      <c r="BX1052">
        <v>30</v>
      </c>
      <c r="BY1052">
        <v>5676577</v>
      </c>
      <c r="BZ1052">
        <v>6.9600000977516174E-2</v>
      </c>
      <c r="CA1052" t="s">
        <v>1439</v>
      </c>
      <c r="CB1052" t="s">
        <v>312</v>
      </c>
      <c r="CC1052" t="s">
        <v>1440</v>
      </c>
      <c r="CD1052">
        <v>395100</v>
      </c>
      <c r="CE1052">
        <v>30</v>
      </c>
      <c r="CF1052" t="s">
        <v>466</v>
      </c>
      <c r="CG1052">
        <v>5676577</v>
      </c>
      <c r="CH1052">
        <v>3.9999999105930328E-2</v>
      </c>
      <c r="CI1052">
        <v>227100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 t="s">
        <v>88</v>
      </c>
      <c r="CT1052" t="s">
        <v>142</v>
      </c>
      <c r="CU1052" t="s">
        <v>1442</v>
      </c>
    </row>
    <row r="1053" spans="1:99">
      <c r="A1053" t="s">
        <v>3047</v>
      </c>
      <c r="B1053" t="s">
        <v>34</v>
      </c>
      <c r="C1053" t="s">
        <v>2542</v>
      </c>
      <c r="D1053" t="s">
        <v>2543</v>
      </c>
      <c r="E1053" t="s">
        <v>1502</v>
      </c>
      <c r="F1053" t="s">
        <v>1741</v>
      </c>
      <c r="G1053" t="s">
        <v>2544</v>
      </c>
      <c r="H1053" t="s">
        <v>1631</v>
      </c>
      <c r="I1053" t="s">
        <v>682</v>
      </c>
      <c r="J1053" t="s">
        <v>484</v>
      </c>
      <c r="K1053" t="s">
        <v>29</v>
      </c>
      <c r="L1053" t="s">
        <v>30</v>
      </c>
      <c r="M1053">
        <v>205</v>
      </c>
      <c r="N1053" t="s">
        <v>32</v>
      </c>
      <c r="O1053" t="s">
        <v>32</v>
      </c>
      <c r="Q1053" t="s">
        <v>32</v>
      </c>
      <c r="S1053" t="s">
        <v>32</v>
      </c>
      <c r="U1053" t="s">
        <v>32</v>
      </c>
      <c r="V1053" t="s">
        <v>32</v>
      </c>
      <c r="W1053" t="s">
        <v>32</v>
      </c>
      <c r="X1053" t="s">
        <v>32</v>
      </c>
      <c r="Y1053" t="s">
        <v>32</v>
      </c>
      <c r="AA1053" t="s">
        <v>88</v>
      </c>
      <c r="AB1053" t="s">
        <v>32</v>
      </c>
      <c r="AE1053" t="s">
        <v>32</v>
      </c>
      <c r="AH1053" t="s">
        <v>32</v>
      </c>
      <c r="AK1053" t="s">
        <v>32</v>
      </c>
      <c r="AN1053" t="s">
        <v>32</v>
      </c>
      <c r="AO1053" t="s">
        <v>32</v>
      </c>
      <c r="AR1053">
        <v>0</v>
      </c>
      <c r="AU1053" t="s">
        <v>32</v>
      </c>
      <c r="AV1053">
        <v>1785595</v>
      </c>
      <c r="AW1053" t="s">
        <v>32</v>
      </c>
      <c r="AX1053" t="s">
        <v>32</v>
      </c>
      <c r="AY1053" t="s">
        <v>317</v>
      </c>
      <c r="AZ1053">
        <v>30</v>
      </c>
      <c r="BA1053">
        <v>2110655</v>
      </c>
      <c r="BB1053">
        <v>0.15999999642372131</v>
      </c>
      <c r="BC1053">
        <v>337800</v>
      </c>
      <c r="BD1053" t="s">
        <v>31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337800</v>
      </c>
      <c r="BK1053" t="s">
        <v>25</v>
      </c>
      <c r="BL1053" t="s">
        <v>1064</v>
      </c>
      <c r="BM1053">
        <v>30</v>
      </c>
      <c r="BN1053">
        <v>2110655</v>
      </c>
      <c r="BO1053">
        <v>3.9999999105930328E-2</v>
      </c>
      <c r="BP1053">
        <v>84500</v>
      </c>
      <c r="BQ1053">
        <v>0</v>
      </c>
      <c r="BS1053">
        <v>0</v>
      </c>
      <c r="BU1053">
        <v>0</v>
      </c>
      <c r="BV1053" t="s">
        <v>25</v>
      </c>
      <c r="BW1053" t="s">
        <v>189</v>
      </c>
      <c r="BX1053">
        <v>30</v>
      </c>
      <c r="BY1053">
        <v>2110655</v>
      </c>
      <c r="BZ1053">
        <v>6.9600000977516174E-2</v>
      </c>
      <c r="CA1053" t="s">
        <v>1439</v>
      </c>
      <c r="CB1053" t="s">
        <v>312</v>
      </c>
      <c r="CC1053" t="s">
        <v>1440</v>
      </c>
      <c r="CD1053">
        <v>147000</v>
      </c>
      <c r="CE1053">
        <v>30</v>
      </c>
      <c r="CF1053" t="s">
        <v>466</v>
      </c>
      <c r="CG1053">
        <v>2110655</v>
      </c>
      <c r="CH1053">
        <v>3.9999999105930328E-2</v>
      </c>
      <c r="CI1053">
        <v>84500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 t="s">
        <v>88</v>
      </c>
      <c r="CT1053" t="s">
        <v>142</v>
      </c>
      <c r="CU1053" t="s">
        <v>1442</v>
      </c>
    </row>
    <row r="1054" spans="1:99">
      <c r="A1054" t="s">
        <v>3047</v>
      </c>
      <c r="B1054" t="s">
        <v>34</v>
      </c>
      <c r="C1054" t="s">
        <v>2545</v>
      </c>
      <c r="D1054" t="s">
        <v>2546</v>
      </c>
      <c r="E1054" t="s">
        <v>2547</v>
      </c>
      <c r="F1054" t="s">
        <v>2548</v>
      </c>
      <c r="G1054" t="s">
        <v>2549</v>
      </c>
      <c r="H1054" t="s">
        <v>1532</v>
      </c>
      <c r="I1054" t="s">
        <v>240</v>
      </c>
      <c r="J1054" t="s">
        <v>46</v>
      </c>
      <c r="K1054" t="s">
        <v>29</v>
      </c>
      <c r="L1054" t="s">
        <v>30</v>
      </c>
      <c r="M1054">
        <v>231</v>
      </c>
      <c r="N1054" t="s">
        <v>32</v>
      </c>
      <c r="O1054" t="s">
        <v>32</v>
      </c>
      <c r="Q1054" t="s">
        <v>32</v>
      </c>
      <c r="S1054" t="s">
        <v>40</v>
      </c>
      <c r="T1054">
        <v>46081</v>
      </c>
      <c r="U1054" t="s">
        <v>32</v>
      </c>
      <c r="V1054" t="s">
        <v>32</v>
      </c>
      <c r="W1054" t="s">
        <v>32</v>
      </c>
      <c r="X1054" t="s">
        <v>32</v>
      </c>
      <c r="Y1054" t="s">
        <v>32</v>
      </c>
      <c r="AA1054" t="s">
        <v>88</v>
      </c>
      <c r="AB1054" t="s">
        <v>32</v>
      </c>
      <c r="AE1054" t="s">
        <v>32</v>
      </c>
      <c r="AH1054" t="s">
        <v>32</v>
      </c>
      <c r="AK1054" t="s">
        <v>32</v>
      </c>
      <c r="AN1054" t="s">
        <v>32</v>
      </c>
      <c r="AO1054" t="s">
        <v>32</v>
      </c>
      <c r="AR1054">
        <v>0</v>
      </c>
      <c r="AU1054" t="s">
        <v>32</v>
      </c>
      <c r="AV1054">
        <v>2223339</v>
      </c>
      <c r="AW1054" t="s">
        <v>32</v>
      </c>
      <c r="AX1054" t="s">
        <v>88</v>
      </c>
      <c r="AY1054" t="s">
        <v>317</v>
      </c>
      <c r="AZ1054">
        <v>30</v>
      </c>
      <c r="BA1054">
        <v>3922265</v>
      </c>
      <c r="BB1054">
        <v>0.15999999642372131</v>
      </c>
      <c r="BC1054">
        <v>627600</v>
      </c>
      <c r="BD1054" t="s">
        <v>31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627600</v>
      </c>
      <c r="BK1054" t="s">
        <v>25</v>
      </c>
      <c r="BL1054" t="s">
        <v>1010</v>
      </c>
      <c r="BM1054">
        <v>30</v>
      </c>
      <c r="BN1054">
        <v>3922265</v>
      </c>
      <c r="BO1054">
        <v>3.9999999105930328E-2</v>
      </c>
      <c r="BP1054">
        <v>156900</v>
      </c>
      <c r="BQ1054">
        <v>0</v>
      </c>
      <c r="BS1054">
        <v>0</v>
      </c>
      <c r="BU1054">
        <v>0</v>
      </c>
      <c r="BV1054" t="s">
        <v>25</v>
      </c>
      <c r="BW1054" t="s">
        <v>189</v>
      </c>
      <c r="BX1054">
        <v>30</v>
      </c>
      <c r="BY1054">
        <v>3922265</v>
      </c>
      <c r="BZ1054">
        <v>6.9600000977516174E-2</v>
      </c>
      <c r="CA1054" t="s">
        <v>1439</v>
      </c>
      <c r="CB1054" t="s">
        <v>227</v>
      </c>
      <c r="CC1054" t="s">
        <v>1440</v>
      </c>
      <c r="CD1054">
        <v>273000</v>
      </c>
      <c r="CE1054">
        <v>30</v>
      </c>
      <c r="CF1054" t="s">
        <v>635</v>
      </c>
      <c r="CG1054">
        <v>4549550</v>
      </c>
      <c r="CH1054">
        <v>3.9999999105930328E-2</v>
      </c>
      <c r="CI1054">
        <v>182000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 t="s">
        <v>88</v>
      </c>
      <c r="CT1054" t="s">
        <v>142</v>
      </c>
      <c r="CU1054" t="s">
        <v>1442</v>
      </c>
    </row>
    <row r="1055" spans="1:99">
      <c r="A1055" t="s">
        <v>3047</v>
      </c>
      <c r="B1055" t="s">
        <v>34</v>
      </c>
      <c r="C1055" t="s">
        <v>2550</v>
      </c>
      <c r="D1055" t="s">
        <v>2551</v>
      </c>
      <c r="E1055" t="s">
        <v>2552</v>
      </c>
      <c r="F1055" t="s">
        <v>1914</v>
      </c>
      <c r="G1055" t="s">
        <v>2553</v>
      </c>
      <c r="H1055" t="s">
        <v>2554</v>
      </c>
      <c r="I1055" t="s">
        <v>240</v>
      </c>
      <c r="J1055" t="s">
        <v>46</v>
      </c>
      <c r="K1055" t="s">
        <v>29</v>
      </c>
      <c r="L1055" t="s">
        <v>30</v>
      </c>
      <c r="M1055">
        <v>188</v>
      </c>
      <c r="N1055" t="s">
        <v>32</v>
      </c>
      <c r="O1055" t="s">
        <v>32</v>
      </c>
      <c r="Q1055" t="s">
        <v>32</v>
      </c>
      <c r="S1055" t="s">
        <v>32</v>
      </c>
      <c r="U1055" t="s">
        <v>32</v>
      </c>
      <c r="V1055" t="s">
        <v>32</v>
      </c>
      <c r="W1055" t="s">
        <v>32</v>
      </c>
      <c r="X1055" t="s">
        <v>32</v>
      </c>
      <c r="Y1055" t="s">
        <v>32</v>
      </c>
      <c r="AA1055" t="s">
        <v>88</v>
      </c>
      <c r="AB1055" t="s">
        <v>32</v>
      </c>
      <c r="AE1055" t="s">
        <v>32</v>
      </c>
      <c r="AH1055" t="s">
        <v>32</v>
      </c>
      <c r="AK1055" t="s">
        <v>32</v>
      </c>
      <c r="AN1055" t="s">
        <v>32</v>
      </c>
      <c r="AO1055" t="s">
        <v>32</v>
      </c>
      <c r="AR1055">
        <v>0</v>
      </c>
      <c r="AU1055" t="s">
        <v>32</v>
      </c>
      <c r="AV1055">
        <v>1750905</v>
      </c>
      <c r="AW1055" t="s">
        <v>32</v>
      </c>
      <c r="AX1055" t="s">
        <v>32</v>
      </c>
      <c r="AY1055" t="s">
        <v>317</v>
      </c>
      <c r="AZ1055">
        <v>30</v>
      </c>
      <c r="BA1055">
        <v>1750905</v>
      </c>
      <c r="BB1055">
        <v>0.15999999642372131</v>
      </c>
      <c r="BC1055">
        <v>280200</v>
      </c>
      <c r="BD1055" t="s">
        <v>31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280200</v>
      </c>
      <c r="BK1055" t="s">
        <v>25</v>
      </c>
      <c r="BL1055" t="s">
        <v>635</v>
      </c>
      <c r="BM1055">
        <v>30</v>
      </c>
      <c r="BN1055">
        <v>1750905</v>
      </c>
      <c r="BO1055">
        <v>3.9999999105930328E-2</v>
      </c>
      <c r="BP1055">
        <v>70100</v>
      </c>
      <c r="BQ1055">
        <v>0</v>
      </c>
      <c r="BS1055">
        <v>0</v>
      </c>
      <c r="BU1055">
        <v>0</v>
      </c>
      <c r="BV1055" t="s">
        <v>25</v>
      </c>
      <c r="BW1055" t="s">
        <v>189</v>
      </c>
      <c r="BX1055">
        <v>30</v>
      </c>
      <c r="BY1055">
        <v>1750905</v>
      </c>
      <c r="BZ1055">
        <v>5.2200001664459705E-3</v>
      </c>
      <c r="CA1055" t="s">
        <v>1592</v>
      </c>
      <c r="CB1055" t="s">
        <v>227</v>
      </c>
      <c r="CC1055" t="s">
        <v>1593</v>
      </c>
      <c r="CD1055">
        <v>9200</v>
      </c>
      <c r="CE1055">
        <v>30</v>
      </c>
      <c r="CF1055" t="s">
        <v>635</v>
      </c>
      <c r="CG1055">
        <v>1750905</v>
      </c>
      <c r="CH1055">
        <v>3.9999999105930328E-2</v>
      </c>
      <c r="CI1055">
        <v>70100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 t="s">
        <v>88</v>
      </c>
      <c r="CT1055" t="s">
        <v>142</v>
      </c>
      <c r="CU1055" t="s">
        <v>1442</v>
      </c>
    </row>
    <row r="1056" spans="1:99">
      <c r="A1056" t="s">
        <v>3047</v>
      </c>
      <c r="B1056" t="s">
        <v>34</v>
      </c>
      <c r="C1056" t="s">
        <v>2555</v>
      </c>
      <c r="D1056" t="s">
        <v>2556</v>
      </c>
      <c r="E1056" t="s">
        <v>1620</v>
      </c>
      <c r="F1056" t="s">
        <v>756</v>
      </c>
      <c r="G1056" t="s">
        <v>2557</v>
      </c>
      <c r="H1056" t="s">
        <v>2558</v>
      </c>
      <c r="I1056" t="s">
        <v>240</v>
      </c>
      <c r="J1056" t="s">
        <v>46</v>
      </c>
      <c r="K1056" t="s">
        <v>29</v>
      </c>
      <c r="L1056" t="s">
        <v>30</v>
      </c>
      <c r="M1056">
        <v>188</v>
      </c>
      <c r="N1056" t="s">
        <v>32</v>
      </c>
      <c r="O1056" t="s">
        <v>32</v>
      </c>
      <c r="Q1056" t="s">
        <v>32</v>
      </c>
      <c r="S1056" t="s">
        <v>32</v>
      </c>
      <c r="U1056" t="s">
        <v>32</v>
      </c>
      <c r="V1056" t="s">
        <v>32</v>
      </c>
      <c r="W1056" t="s">
        <v>32</v>
      </c>
      <c r="X1056" t="s">
        <v>32</v>
      </c>
      <c r="Y1056" t="s">
        <v>88</v>
      </c>
      <c r="Z1056">
        <v>46054</v>
      </c>
      <c r="AA1056" t="s">
        <v>88</v>
      </c>
      <c r="AB1056" t="s">
        <v>32</v>
      </c>
      <c r="AE1056" t="s">
        <v>32</v>
      </c>
      <c r="AH1056" t="s">
        <v>32</v>
      </c>
      <c r="AK1056" t="s">
        <v>32</v>
      </c>
      <c r="AN1056" t="s">
        <v>32</v>
      </c>
      <c r="AO1056" t="s">
        <v>32</v>
      </c>
      <c r="AR1056">
        <v>0</v>
      </c>
      <c r="AU1056" t="s">
        <v>32</v>
      </c>
      <c r="AV1056">
        <v>5676577</v>
      </c>
      <c r="AW1056" t="s">
        <v>32</v>
      </c>
      <c r="AX1056" t="s">
        <v>88</v>
      </c>
      <c r="AY1056" t="s">
        <v>185</v>
      </c>
      <c r="AZ1056">
        <v>30</v>
      </c>
      <c r="BA1056">
        <v>5676577</v>
      </c>
      <c r="BB1056">
        <v>0.15999999642372131</v>
      </c>
      <c r="BC1056">
        <v>908300</v>
      </c>
      <c r="BD1056" t="s">
        <v>31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908300</v>
      </c>
      <c r="BK1056" t="s">
        <v>25</v>
      </c>
      <c r="BL1056" t="s">
        <v>635</v>
      </c>
      <c r="BM1056">
        <v>30</v>
      </c>
      <c r="BN1056">
        <v>5676577</v>
      </c>
      <c r="BO1056">
        <v>3.9999999105930328E-2</v>
      </c>
      <c r="BP1056">
        <v>227100</v>
      </c>
      <c r="BQ1056">
        <v>0</v>
      </c>
      <c r="BS1056">
        <v>0</v>
      </c>
      <c r="BU1056">
        <v>0</v>
      </c>
      <c r="BV1056" t="s">
        <v>25</v>
      </c>
      <c r="BW1056" t="s">
        <v>189</v>
      </c>
      <c r="BX1056">
        <v>30</v>
      </c>
      <c r="BY1056">
        <v>5676577</v>
      </c>
      <c r="BZ1056">
        <v>5.2200001664459705E-3</v>
      </c>
      <c r="CA1056" t="s">
        <v>1592</v>
      </c>
      <c r="CB1056" t="s">
        <v>227</v>
      </c>
      <c r="CC1056" t="s">
        <v>1593</v>
      </c>
      <c r="CD1056">
        <v>29700</v>
      </c>
      <c r="CE1056">
        <v>30</v>
      </c>
      <c r="CF1056" t="s">
        <v>635</v>
      </c>
      <c r="CG1056">
        <v>5676577</v>
      </c>
      <c r="CH1056">
        <v>3.9999999105930328E-2</v>
      </c>
      <c r="CI1056">
        <v>227100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 t="s">
        <v>88</v>
      </c>
      <c r="CT1056" t="s">
        <v>142</v>
      </c>
      <c r="CU1056" t="s">
        <v>1442</v>
      </c>
    </row>
    <row r="1057" spans="1:99">
      <c r="A1057" t="s">
        <v>3047</v>
      </c>
      <c r="B1057" t="s">
        <v>34</v>
      </c>
      <c r="C1057" t="s">
        <v>2559</v>
      </c>
      <c r="D1057" t="s">
        <v>2560</v>
      </c>
      <c r="E1057" t="s">
        <v>1972</v>
      </c>
      <c r="F1057" t="s">
        <v>1562</v>
      </c>
      <c r="G1057" t="s">
        <v>1978</v>
      </c>
      <c r="H1057" t="s">
        <v>2561</v>
      </c>
      <c r="I1057" t="s">
        <v>240</v>
      </c>
      <c r="J1057" t="s">
        <v>46</v>
      </c>
      <c r="K1057" t="s">
        <v>29</v>
      </c>
      <c r="L1057" t="s">
        <v>30</v>
      </c>
      <c r="M1057">
        <v>188</v>
      </c>
      <c r="N1057" t="s">
        <v>32</v>
      </c>
      <c r="O1057" t="s">
        <v>32</v>
      </c>
      <c r="Q1057" t="s">
        <v>32</v>
      </c>
      <c r="S1057" t="s">
        <v>32</v>
      </c>
      <c r="U1057" t="s">
        <v>32</v>
      </c>
      <c r="V1057" t="s">
        <v>32</v>
      </c>
      <c r="W1057" t="s">
        <v>32</v>
      </c>
      <c r="X1057" t="s">
        <v>32</v>
      </c>
      <c r="Y1057" t="s">
        <v>32</v>
      </c>
      <c r="AA1057" t="s">
        <v>88</v>
      </c>
      <c r="AB1057" t="s">
        <v>32</v>
      </c>
      <c r="AE1057" t="s">
        <v>32</v>
      </c>
      <c r="AH1057" t="s">
        <v>32</v>
      </c>
      <c r="AK1057" t="s">
        <v>32</v>
      </c>
      <c r="AN1057" t="s">
        <v>32</v>
      </c>
      <c r="AO1057" t="s">
        <v>32</v>
      </c>
      <c r="AR1057">
        <v>0</v>
      </c>
      <c r="AU1057" t="s">
        <v>32</v>
      </c>
      <c r="AV1057">
        <v>1750905</v>
      </c>
      <c r="AW1057" t="s">
        <v>32</v>
      </c>
      <c r="AX1057" t="s">
        <v>32</v>
      </c>
      <c r="AY1057" t="s">
        <v>356</v>
      </c>
      <c r="AZ1057">
        <v>30</v>
      </c>
      <c r="BA1057">
        <v>1750905</v>
      </c>
      <c r="BB1057">
        <v>0.15999999642372131</v>
      </c>
      <c r="BC1057">
        <v>280200</v>
      </c>
      <c r="BD1057" t="s">
        <v>31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280200</v>
      </c>
      <c r="BK1057" t="s">
        <v>25</v>
      </c>
      <c r="BL1057" t="s">
        <v>885</v>
      </c>
      <c r="BM1057">
        <v>30</v>
      </c>
      <c r="BN1057">
        <v>1750905</v>
      </c>
      <c r="BO1057">
        <v>3.9999999105930328E-2</v>
      </c>
      <c r="BP1057">
        <v>70100</v>
      </c>
      <c r="BQ1057">
        <v>0</v>
      </c>
      <c r="BS1057">
        <v>0</v>
      </c>
      <c r="BU1057">
        <v>0</v>
      </c>
      <c r="BV1057" t="s">
        <v>25</v>
      </c>
      <c r="BW1057" t="s">
        <v>189</v>
      </c>
      <c r="BX1057">
        <v>30</v>
      </c>
      <c r="BY1057">
        <v>1750905</v>
      </c>
      <c r="BZ1057">
        <v>2.4360001087188721E-2</v>
      </c>
      <c r="CA1057" t="s">
        <v>1772</v>
      </c>
      <c r="CB1057" t="s">
        <v>227</v>
      </c>
      <c r="CC1057" t="s">
        <v>1773</v>
      </c>
      <c r="CD1057">
        <v>42700</v>
      </c>
      <c r="CE1057">
        <v>30</v>
      </c>
      <c r="CF1057" t="s">
        <v>635</v>
      </c>
      <c r="CG1057">
        <v>1750905</v>
      </c>
      <c r="CH1057">
        <v>3.9999999105930328E-2</v>
      </c>
      <c r="CI1057">
        <v>70100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 t="s">
        <v>88</v>
      </c>
      <c r="CT1057" t="s">
        <v>142</v>
      </c>
      <c r="CU1057" t="s">
        <v>1442</v>
      </c>
    </row>
    <row r="1058" spans="1:99">
      <c r="A1058" t="s">
        <v>3047</v>
      </c>
      <c r="B1058" t="s">
        <v>34</v>
      </c>
      <c r="C1058" t="s">
        <v>2562</v>
      </c>
      <c r="D1058" t="s">
        <v>2563</v>
      </c>
      <c r="E1058" t="s">
        <v>2564</v>
      </c>
      <c r="F1058" t="s">
        <v>1090</v>
      </c>
      <c r="G1058" t="s">
        <v>2565</v>
      </c>
      <c r="H1058" t="s">
        <v>1558</v>
      </c>
      <c r="I1058" t="s">
        <v>240</v>
      </c>
      <c r="J1058" t="s">
        <v>46</v>
      </c>
      <c r="K1058" t="s">
        <v>29</v>
      </c>
      <c r="L1058" t="s">
        <v>30</v>
      </c>
      <c r="M1058">
        <v>188</v>
      </c>
      <c r="N1058" t="s">
        <v>32</v>
      </c>
      <c r="O1058" t="s">
        <v>32</v>
      </c>
      <c r="Q1058" t="s">
        <v>32</v>
      </c>
      <c r="S1058" t="s">
        <v>32</v>
      </c>
      <c r="U1058" t="s">
        <v>32</v>
      </c>
      <c r="V1058" t="s">
        <v>32</v>
      </c>
      <c r="W1058" t="s">
        <v>32</v>
      </c>
      <c r="X1058" t="s">
        <v>32</v>
      </c>
      <c r="Y1058" t="s">
        <v>32</v>
      </c>
      <c r="AA1058" t="s">
        <v>88</v>
      </c>
      <c r="AB1058" t="s">
        <v>32</v>
      </c>
      <c r="AE1058" t="s">
        <v>32</v>
      </c>
      <c r="AH1058" t="s">
        <v>32</v>
      </c>
      <c r="AK1058" t="s">
        <v>32</v>
      </c>
      <c r="AN1058" t="s">
        <v>32</v>
      </c>
      <c r="AO1058" t="s">
        <v>32</v>
      </c>
      <c r="AR1058">
        <v>0</v>
      </c>
      <c r="AU1058" t="s">
        <v>32</v>
      </c>
      <c r="AV1058">
        <v>16882380</v>
      </c>
      <c r="AW1058" t="s">
        <v>32</v>
      </c>
      <c r="AX1058" t="s">
        <v>32</v>
      </c>
      <c r="AY1058" t="s">
        <v>185</v>
      </c>
      <c r="AZ1058">
        <v>30</v>
      </c>
      <c r="BA1058">
        <v>16882380</v>
      </c>
      <c r="BB1058">
        <v>0.15999999642372131</v>
      </c>
      <c r="BC1058">
        <v>2701200</v>
      </c>
      <c r="BD1058" t="s">
        <v>31</v>
      </c>
      <c r="BE1058">
        <v>0</v>
      </c>
      <c r="BF1058">
        <v>0</v>
      </c>
      <c r="BG1058">
        <v>84500</v>
      </c>
      <c r="BH1058">
        <v>84500</v>
      </c>
      <c r="BI1058">
        <v>0</v>
      </c>
      <c r="BJ1058">
        <v>2870200</v>
      </c>
      <c r="BK1058" t="s">
        <v>25</v>
      </c>
      <c r="BL1058" t="s">
        <v>870</v>
      </c>
      <c r="BM1058">
        <v>30</v>
      </c>
      <c r="BN1058">
        <v>16882380</v>
      </c>
      <c r="BO1058">
        <v>0.125</v>
      </c>
      <c r="BP1058">
        <v>2110300</v>
      </c>
      <c r="BQ1058">
        <v>0</v>
      </c>
      <c r="BS1058">
        <v>0</v>
      </c>
      <c r="BU1058">
        <v>0</v>
      </c>
      <c r="BV1058" t="s">
        <v>25</v>
      </c>
      <c r="BW1058" t="s">
        <v>189</v>
      </c>
      <c r="BX1058">
        <v>30</v>
      </c>
      <c r="BY1058">
        <v>16882380</v>
      </c>
      <c r="BZ1058">
        <v>5.2200001664459705E-3</v>
      </c>
      <c r="CA1058" t="s">
        <v>1592</v>
      </c>
      <c r="CB1058" t="s">
        <v>227</v>
      </c>
      <c r="CC1058" t="s">
        <v>1593</v>
      </c>
      <c r="CD1058">
        <v>88200</v>
      </c>
      <c r="CE1058">
        <v>30</v>
      </c>
      <c r="CF1058" t="s">
        <v>635</v>
      </c>
      <c r="CG1058">
        <v>16882380</v>
      </c>
      <c r="CH1058">
        <v>3.9999999105930328E-2</v>
      </c>
      <c r="CI1058">
        <v>675300</v>
      </c>
      <c r="CJ1058">
        <v>16882380</v>
      </c>
      <c r="CK1058">
        <v>1.9999999552965164E-2</v>
      </c>
      <c r="CL1058">
        <v>337700</v>
      </c>
      <c r="CM1058">
        <v>2.9999999329447746E-2</v>
      </c>
      <c r="CN1058">
        <v>506500</v>
      </c>
      <c r="CO1058">
        <v>0</v>
      </c>
      <c r="CP1058">
        <v>0</v>
      </c>
      <c r="CQ1058">
        <v>0</v>
      </c>
      <c r="CR1058">
        <v>0</v>
      </c>
      <c r="CS1058" t="s">
        <v>32</v>
      </c>
      <c r="CT1058" t="s">
        <v>142</v>
      </c>
      <c r="CU1058" t="s">
        <v>1442</v>
      </c>
    </row>
    <row r="1059" spans="1:99">
      <c r="A1059" t="s">
        <v>3047</v>
      </c>
      <c r="B1059" t="s">
        <v>34</v>
      </c>
      <c r="C1059" t="s">
        <v>2566</v>
      </c>
      <c r="D1059" t="s">
        <v>2567</v>
      </c>
      <c r="E1059" t="s">
        <v>2568</v>
      </c>
      <c r="F1059" t="s">
        <v>510</v>
      </c>
      <c r="G1059" t="s">
        <v>2569</v>
      </c>
      <c r="H1059" t="s">
        <v>1558</v>
      </c>
      <c r="I1059" t="s">
        <v>240</v>
      </c>
      <c r="J1059" t="s">
        <v>46</v>
      </c>
      <c r="K1059" t="s">
        <v>29</v>
      </c>
      <c r="L1059" t="s">
        <v>30</v>
      </c>
      <c r="M1059">
        <v>0</v>
      </c>
      <c r="N1059" t="s">
        <v>32</v>
      </c>
      <c r="O1059" t="s">
        <v>32</v>
      </c>
      <c r="Q1059" t="s">
        <v>32</v>
      </c>
      <c r="S1059" t="s">
        <v>32</v>
      </c>
      <c r="U1059" t="s">
        <v>32</v>
      </c>
      <c r="V1059" t="s">
        <v>32</v>
      </c>
      <c r="W1059" t="s">
        <v>32</v>
      </c>
      <c r="X1059" t="s">
        <v>32</v>
      </c>
      <c r="Y1059" t="s">
        <v>32</v>
      </c>
      <c r="AA1059" t="s">
        <v>32</v>
      </c>
      <c r="AB1059" t="s">
        <v>32</v>
      </c>
      <c r="AE1059" t="s">
        <v>32</v>
      </c>
      <c r="AH1059" t="s">
        <v>32</v>
      </c>
      <c r="AK1059" t="s">
        <v>128</v>
      </c>
      <c r="AL1059">
        <v>46069</v>
      </c>
      <c r="AM1059">
        <v>46075</v>
      </c>
      <c r="AN1059" t="s">
        <v>32</v>
      </c>
      <c r="AO1059" t="s">
        <v>32</v>
      </c>
      <c r="AR1059">
        <v>0</v>
      </c>
      <c r="AU1059" t="s">
        <v>32</v>
      </c>
      <c r="AV1059">
        <v>8812118</v>
      </c>
      <c r="AW1059" t="s">
        <v>32</v>
      </c>
      <c r="AX1059" t="s">
        <v>88</v>
      </c>
      <c r="AY1059" t="s">
        <v>137</v>
      </c>
      <c r="AZ1059">
        <v>7</v>
      </c>
      <c r="BA1059">
        <v>2056161</v>
      </c>
      <c r="BB1059">
        <v>0.15999999642372131</v>
      </c>
      <c r="BC1059">
        <v>329000</v>
      </c>
      <c r="BD1059" t="s">
        <v>31</v>
      </c>
      <c r="BE1059">
        <v>0</v>
      </c>
      <c r="BF1059">
        <v>0</v>
      </c>
      <c r="BG1059">
        <v>10300</v>
      </c>
      <c r="BH1059">
        <v>10300</v>
      </c>
      <c r="BI1059">
        <v>0</v>
      </c>
      <c r="BJ1059">
        <v>349600</v>
      </c>
      <c r="BK1059" t="s">
        <v>25</v>
      </c>
      <c r="BL1059" t="s">
        <v>635</v>
      </c>
      <c r="BM1059">
        <v>7</v>
      </c>
      <c r="BN1059">
        <v>2056161</v>
      </c>
      <c r="BO1059">
        <v>3.9999999105930328E-2</v>
      </c>
      <c r="BP1059">
        <v>82300</v>
      </c>
      <c r="BQ1059">
        <v>0</v>
      </c>
      <c r="BS1059">
        <v>0</v>
      </c>
      <c r="BU1059">
        <v>0</v>
      </c>
      <c r="BV1059" t="s">
        <v>25</v>
      </c>
      <c r="BW1059" t="s">
        <v>189</v>
      </c>
      <c r="BX1059">
        <v>7</v>
      </c>
      <c r="BY1059">
        <v>2056161</v>
      </c>
      <c r="BZ1059">
        <v>0</v>
      </c>
      <c r="CA1059" t="s">
        <v>1439</v>
      </c>
      <c r="CB1059" t="s">
        <v>227</v>
      </c>
      <c r="CC1059" t="s">
        <v>1440</v>
      </c>
      <c r="CD1059">
        <v>0</v>
      </c>
      <c r="CE1059">
        <v>7</v>
      </c>
      <c r="CF1059" t="s">
        <v>635</v>
      </c>
      <c r="CG1059">
        <v>2056161</v>
      </c>
      <c r="CH1059">
        <v>3.9999999105930328E-2</v>
      </c>
      <c r="CI1059">
        <v>82300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 t="s">
        <v>88</v>
      </c>
      <c r="CT1059" t="s">
        <v>142</v>
      </c>
      <c r="CU1059" t="s">
        <v>1442</v>
      </c>
    </row>
    <row r="1060" spans="1:99">
      <c r="A1060" t="s">
        <v>3047</v>
      </c>
      <c r="B1060" t="s">
        <v>34</v>
      </c>
      <c r="C1060" t="s">
        <v>2566</v>
      </c>
      <c r="D1060" t="s">
        <v>2567</v>
      </c>
      <c r="E1060" t="s">
        <v>2568</v>
      </c>
      <c r="F1060" t="s">
        <v>510</v>
      </c>
      <c r="G1060" t="s">
        <v>2569</v>
      </c>
      <c r="H1060" t="s">
        <v>1558</v>
      </c>
      <c r="I1060" t="s">
        <v>240</v>
      </c>
      <c r="J1060" t="s">
        <v>46</v>
      </c>
      <c r="K1060" t="s">
        <v>29</v>
      </c>
      <c r="L1060" t="s">
        <v>30</v>
      </c>
      <c r="M1060">
        <v>135</v>
      </c>
      <c r="N1060" t="s">
        <v>32</v>
      </c>
      <c r="O1060" t="s">
        <v>32</v>
      </c>
      <c r="Q1060" t="s">
        <v>32</v>
      </c>
      <c r="S1060" t="s">
        <v>32</v>
      </c>
      <c r="U1060" t="s">
        <v>32</v>
      </c>
      <c r="V1060" t="s">
        <v>32</v>
      </c>
      <c r="W1060" t="s">
        <v>32</v>
      </c>
      <c r="X1060" t="s">
        <v>32</v>
      </c>
      <c r="Y1060" t="s">
        <v>88</v>
      </c>
      <c r="Z1060">
        <v>46054</v>
      </c>
      <c r="AA1060" t="s">
        <v>88</v>
      </c>
      <c r="AB1060" t="s">
        <v>32</v>
      </c>
      <c r="AE1060" t="s">
        <v>32</v>
      </c>
      <c r="AH1060" t="s">
        <v>32</v>
      </c>
      <c r="AK1060" t="s">
        <v>32</v>
      </c>
      <c r="AN1060" t="s">
        <v>32</v>
      </c>
      <c r="AO1060" t="s">
        <v>32</v>
      </c>
      <c r="AR1060">
        <v>0</v>
      </c>
      <c r="AU1060" t="s">
        <v>32</v>
      </c>
      <c r="AV1060">
        <v>8812118</v>
      </c>
      <c r="AW1060" t="s">
        <v>32</v>
      </c>
      <c r="AX1060" t="s">
        <v>88</v>
      </c>
      <c r="AY1060" t="s">
        <v>137</v>
      </c>
      <c r="AZ1060">
        <v>23</v>
      </c>
      <c r="BA1060">
        <v>6755958</v>
      </c>
      <c r="BB1060">
        <v>0.15999999642372131</v>
      </c>
      <c r="BC1060">
        <v>1081000</v>
      </c>
      <c r="BD1060" t="s">
        <v>31</v>
      </c>
      <c r="BE1060">
        <v>0</v>
      </c>
      <c r="BF1060">
        <v>0</v>
      </c>
      <c r="BG1060">
        <v>33800</v>
      </c>
      <c r="BH1060">
        <v>33800</v>
      </c>
      <c r="BI1060">
        <v>0</v>
      </c>
      <c r="BJ1060">
        <v>1148600</v>
      </c>
      <c r="BK1060" t="s">
        <v>25</v>
      </c>
      <c r="BL1060" t="s">
        <v>635</v>
      </c>
      <c r="BM1060">
        <v>23</v>
      </c>
      <c r="BN1060">
        <v>6755958</v>
      </c>
      <c r="BO1060">
        <v>3.9999999105930328E-2</v>
      </c>
      <c r="BP1060">
        <v>270300</v>
      </c>
      <c r="BQ1060">
        <v>0</v>
      </c>
      <c r="BS1060">
        <v>0</v>
      </c>
      <c r="BU1060">
        <v>0</v>
      </c>
      <c r="BV1060" t="s">
        <v>25</v>
      </c>
      <c r="BW1060" t="s">
        <v>189</v>
      </c>
      <c r="BX1060">
        <v>23</v>
      </c>
      <c r="BY1060">
        <v>6755958</v>
      </c>
      <c r="BZ1060">
        <v>6.9600000977516174E-2</v>
      </c>
      <c r="CA1060" t="s">
        <v>1439</v>
      </c>
      <c r="CB1060" t="s">
        <v>227</v>
      </c>
      <c r="CC1060" t="s">
        <v>1440</v>
      </c>
      <c r="CD1060">
        <v>470300</v>
      </c>
      <c r="CE1060">
        <v>23</v>
      </c>
      <c r="CF1060" t="s">
        <v>635</v>
      </c>
      <c r="CG1060">
        <v>6755958</v>
      </c>
      <c r="CH1060">
        <v>3.9999999105930328E-2</v>
      </c>
      <c r="CI1060">
        <v>270300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 t="s">
        <v>88</v>
      </c>
      <c r="CT1060" t="s">
        <v>142</v>
      </c>
      <c r="CU1060" t="s">
        <v>1442</v>
      </c>
    </row>
    <row r="1061" spans="1:99">
      <c r="A1061" t="s">
        <v>3047</v>
      </c>
      <c r="B1061" t="s">
        <v>34</v>
      </c>
      <c r="C1061" t="s">
        <v>2570</v>
      </c>
      <c r="D1061" t="s">
        <v>2571</v>
      </c>
      <c r="E1061" t="s">
        <v>1864</v>
      </c>
      <c r="F1061" t="s">
        <v>2572</v>
      </c>
      <c r="G1061" t="s">
        <v>2573</v>
      </c>
      <c r="H1061" t="s">
        <v>1558</v>
      </c>
      <c r="I1061" t="s">
        <v>240</v>
      </c>
      <c r="J1061" t="s">
        <v>46</v>
      </c>
      <c r="K1061" t="s">
        <v>29</v>
      </c>
      <c r="L1061" t="s">
        <v>30</v>
      </c>
      <c r="M1061">
        <v>210</v>
      </c>
      <c r="N1061" t="s">
        <v>32</v>
      </c>
      <c r="O1061" t="s">
        <v>32</v>
      </c>
      <c r="Q1061" t="s">
        <v>32</v>
      </c>
      <c r="S1061" t="s">
        <v>32</v>
      </c>
      <c r="U1061" t="s">
        <v>32</v>
      </c>
      <c r="V1061" t="s">
        <v>32</v>
      </c>
      <c r="W1061" t="s">
        <v>32</v>
      </c>
      <c r="X1061" t="s">
        <v>32</v>
      </c>
      <c r="Y1061" t="s">
        <v>32</v>
      </c>
      <c r="AA1061" t="s">
        <v>88</v>
      </c>
      <c r="AB1061" t="s">
        <v>32</v>
      </c>
      <c r="AE1061" t="s">
        <v>32</v>
      </c>
      <c r="AH1061" t="s">
        <v>32</v>
      </c>
      <c r="AK1061" t="s">
        <v>32</v>
      </c>
      <c r="AN1061" t="s">
        <v>32</v>
      </c>
      <c r="AO1061" t="s">
        <v>32</v>
      </c>
      <c r="AR1061">
        <v>0</v>
      </c>
      <c r="AU1061" t="s">
        <v>32</v>
      </c>
      <c r="AV1061">
        <v>1750905</v>
      </c>
      <c r="AW1061" t="s">
        <v>32</v>
      </c>
      <c r="AX1061" t="s">
        <v>32</v>
      </c>
      <c r="AY1061" t="s">
        <v>185</v>
      </c>
      <c r="AZ1061">
        <v>30</v>
      </c>
      <c r="BA1061">
        <v>2049356</v>
      </c>
      <c r="BB1061">
        <v>0.15999999642372131</v>
      </c>
      <c r="BC1061">
        <v>327900</v>
      </c>
      <c r="BD1061" t="s">
        <v>31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327900</v>
      </c>
      <c r="BK1061" t="s">
        <v>25</v>
      </c>
      <c r="BL1061" t="s">
        <v>635</v>
      </c>
      <c r="BM1061">
        <v>30</v>
      </c>
      <c r="BN1061">
        <v>2049356</v>
      </c>
      <c r="BO1061">
        <v>3.9999999105930328E-2</v>
      </c>
      <c r="BP1061">
        <v>82000</v>
      </c>
      <c r="BQ1061">
        <v>0</v>
      </c>
      <c r="BS1061">
        <v>0</v>
      </c>
      <c r="BU1061">
        <v>0</v>
      </c>
      <c r="BV1061" t="s">
        <v>25</v>
      </c>
      <c r="BW1061" t="s">
        <v>189</v>
      </c>
      <c r="BX1061">
        <v>30</v>
      </c>
      <c r="BY1061">
        <v>2049356</v>
      </c>
      <c r="BZ1061">
        <v>6.9600000977516174E-2</v>
      </c>
      <c r="CA1061" t="s">
        <v>1439</v>
      </c>
      <c r="CB1061" t="s">
        <v>227</v>
      </c>
      <c r="CC1061" t="s">
        <v>1440</v>
      </c>
      <c r="CD1061">
        <v>142700</v>
      </c>
      <c r="CE1061">
        <v>30</v>
      </c>
      <c r="CF1061" t="s">
        <v>635</v>
      </c>
      <c r="CG1061">
        <v>2049356</v>
      </c>
      <c r="CH1061">
        <v>3.9999999105930328E-2</v>
      </c>
      <c r="CI1061">
        <v>82000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 t="s">
        <v>88</v>
      </c>
      <c r="CT1061" t="s">
        <v>142</v>
      </c>
      <c r="CU1061" t="s">
        <v>1442</v>
      </c>
    </row>
    <row r="1062" spans="1:99">
      <c r="A1062" t="s">
        <v>3047</v>
      </c>
      <c r="B1062" t="s">
        <v>34</v>
      </c>
      <c r="C1062" t="s">
        <v>2574</v>
      </c>
      <c r="D1062" t="s">
        <v>2575</v>
      </c>
      <c r="E1062" t="s">
        <v>2576</v>
      </c>
      <c r="F1062" t="s">
        <v>1628</v>
      </c>
      <c r="G1062" t="s">
        <v>2577</v>
      </c>
      <c r="H1062" t="s">
        <v>1558</v>
      </c>
      <c r="I1062" t="s">
        <v>240</v>
      </c>
      <c r="J1062" t="s">
        <v>46</v>
      </c>
      <c r="K1062" t="s">
        <v>29</v>
      </c>
      <c r="L1062" t="s">
        <v>30</v>
      </c>
      <c r="M1062">
        <v>0</v>
      </c>
      <c r="N1062" t="s">
        <v>32</v>
      </c>
      <c r="O1062" t="s">
        <v>32</v>
      </c>
      <c r="Q1062" t="s">
        <v>32</v>
      </c>
      <c r="S1062" t="s">
        <v>32</v>
      </c>
      <c r="U1062" t="s">
        <v>32</v>
      </c>
      <c r="V1062" t="s">
        <v>32</v>
      </c>
      <c r="W1062" t="s">
        <v>32</v>
      </c>
      <c r="X1062" t="s">
        <v>32</v>
      </c>
      <c r="Y1062" t="s">
        <v>32</v>
      </c>
      <c r="AA1062" t="s">
        <v>32</v>
      </c>
      <c r="AB1062" t="s">
        <v>32</v>
      </c>
      <c r="AE1062" t="s">
        <v>1492</v>
      </c>
      <c r="AF1062">
        <v>46078</v>
      </c>
      <c r="AG1062">
        <v>46079</v>
      </c>
      <c r="AH1062" t="s">
        <v>32</v>
      </c>
      <c r="AK1062" t="s">
        <v>32</v>
      </c>
      <c r="AN1062" t="s">
        <v>32</v>
      </c>
      <c r="AO1062" t="s">
        <v>32</v>
      </c>
      <c r="AR1062">
        <v>0</v>
      </c>
      <c r="AU1062" t="s">
        <v>32</v>
      </c>
      <c r="AV1062">
        <v>2219704</v>
      </c>
      <c r="AW1062" t="s">
        <v>32</v>
      </c>
      <c r="AX1062" t="s">
        <v>32</v>
      </c>
      <c r="AY1062" t="s">
        <v>317</v>
      </c>
      <c r="AZ1062">
        <v>2</v>
      </c>
      <c r="BA1062">
        <v>137230</v>
      </c>
      <c r="BB1062">
        <v>0.15999999642372131</v>
      </c>
      <c r="BC1062">
        <v>22000</v>
      </c>
      <c r="BD1062" t="s">
        <v>31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22000</v>
      </c>
      <c r="BK1062" t="s">
        <v>25</v>
      </c>
      <c r="BL1062" t="s">
        <v>1071</v>
      </c>
      <c r="BM1062">
        <v>2</v>
      </c>
      <c r="BN1062">
        <v>137230</v>
      </c>
      <c r="BO1062">
        <v>3.9999999105930328E-2</v>
      </c>
      <c r="BP1062">
        <v>5500</v>
      </c>
      <c r="BQ1062">
        <v>0</v>
      </c>
      <c r="BS1062">
        <v>0</v>
      </c>
      <c r="BU1062">
        <v>0</v>
      </c>
      <c r="BV1062" t="s">
        <v>25</v>
      </c>
      <c r="BW1062" t="s">
        <v>189</v>
      </c>
      <c r="BX1062">
        <v>2</v>
      </c>
      <c r="BY1062">
        <v>137230</v>
      </c>
      <c r="BZ1062">
        <v>0</v>
      </c>
      <c r="CA1062" t="s">
        <v>1592</v>
      </c>
      <c r="CB1062" t="s">
        <v>227</v>
      </c>
      <c r="CC1062" t="s">
        <v>1593</v>
      </c>
      <c r="CD1062">
        <v>0</v>
      </c>
      <c r="CE1062">
        <v>2</v>
      </c>
      <c r="CF1062" t="s">
        <v>635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 t="s">
        <v>88</v>
      </c>
      <c r="CT1062" t="s">
        <v>142</v>
      </c>
      <c r="CU1062" t="s">
        <v>1442</v>
      </c>
    </row>
    <row r="1063" spans="1:99">
      <c r="A1063" t="s">
        <v>3047</v>
      </c>
      <c r="B1063" t="s">
        <v>34</v>
      </c>
      <c r="C1063" t="s">
        <v>2574</v>
      </c>
      <c r="D1063" t="s">
        <v>2575</v>
      </c>
      <c r="E1063" t="s">
        <v>2576</v>
      </c>
      <c r="F1063" t="s">
        <v>1628</v>
      </c>
      <c r="G1063" t="s">
        <v>2577</v>
      </c>
      <c r="H1063" t="s">
        <v>1558</v>
      </c>
      <c r="I1063" t="s">
        <v>240</v>
      </c>
      <c r="J1063" t="s">
        <v>46</v>
      </c>
      <c r="K1063" t="s">
        <v>29</v>
      </c>
      <c r="L1063" t="s">
        <v>30</v>
      </c>
      <c r="M1063">
        <v>172</v>
      </c>
      <c r="N1063" t="s">
        <v>32</v>
      </c>
      <c r="O1063" t="s">
        <v>32</v>
      </c>
      <c r="Q1063" t="s">
        <v>32</v>
      </c>
      <c r="S1063" t="s">
        <v>32</v>
      </c>
      <c r="U1063" t="s">
        <v>32</v>
      </c>
      <c r="V1063" t="s">
        <v>32</v>
      </c>
      <c r="W1063" t="s">
        <v>32</v>
      </c>
      <c r="X1063" t="s">
        <v>32</v>
      </c>
      <c r="Y1063" t="s">
        <v>88</v>
      </c>
      <c r="Z1063">
        <v>46054</v>
      </c>
      <c r="AA1063" t="s">
        <v>88</v>
      </c>
      <c r="AB1063" t="s">
        <v>32</v>
      </c>
      <c r="AE1063" t="s">
        <v>32</v>
      </c>
      <c r="AH1063" t="s">
        <v>32</v>
      </c>
      <c r="AK1063" t="s">
        <v>32</v>
      </c>
      <c r="AN1063" t="s">
        <v>32</v>
      </c>
      <c r="AO1063" t="s">
        <v>32</v>
      </c>
      <c r="AR1063">
        <v>0</v>
      </c>
      <c r="AU1063" t="s">
        <v>32</v>
      </c>
      <c r="AV1063">
        <v>2219704</v>
      </c>
      <c r="AW1063" t="s">
        <v>32</v>
      </c>
      <c r="AX1063" t="s">
        <v>32</v>
      </c>
      <c r="AY1063" t="s">
        <v>317</v>
      </c>
      <c r="AZ1063">
        <v>28</v>
      </c>
      <c r="BA1063">
        <v>2071724</v>
      </c>
      <c r="BB1063">
        <v>0.15999999642372131</v>
      </c>
      <c r="BC1063">
        <v>331500</v>
      </c>
      <c r="BD1063" t="s">
        <v>31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331500</v>
      </c>
      <c r="BK1063" t="s">
        <v>25</v>
      </c>
      <c r="BL1063" t="s">
        <v>1071</v>
      </c>
      <c r="BM1063">
        <v>28</v>
      </c>
      <c r="BN1063">
        <v>2071724</v>
      </c>
      <c r="BO1063">
        <v>3.9999999105930328E-2</v>
      </c>
      <c r="BP1063">
        <v>82900</v>
      </c>
      <c r="BQ1063">
        <v>0</v>
      </c>
      <c r="BS1063">
        <v>0</v>
      </c>
      <c r="BU1063">
        <v>0</v>
      </c>
      <c r="BV1063" t="s">
        <v>25</v>
      </c>
      <c r="BW1063" t="s">
        <v>189</v>
      </c>
      <c r="BX1063">
        <v>28</v>
      </c>
      <c r="BY1063">
        <v>2071724</v>
      </c>
      <c r="BZ1063">
        <v>5.2200001664459705E-3</v>
      </c>
      <c r="CA1063" t="s">
        <v>1592</v>
      </c>
      <c r="CB1063" t="s">
        <v>227</v>
      </c>
      <c r="CC1063" t="s">
        <v>1593</v>
      </c>
      <c r="CD1063">
        <v>10900</v>
      </c>
      <c r="CE1063">
        <v>28</v>
      </c>
      <c r="CF1063" t="s">
        <v>635</v>
      </c>
      <c r="CG1063">
        <v>2071724</v>
      </c>
      <c r="CH1063">
        <v>3.9999999105930328E-2</v>
      </c>
      <c r="CI1063">
        <v>82900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 t="s">
        <v>88</v>
      </c>
      <c r="CT1063" t="s">
        <v>142</v>
      </c>
      <c r="CU1063" t="s">
        <v>1442</v>
      </c>
    </row>
    <row r="1064" spans="1:99">
      <c r="A1064" t="s">
        <v>3047</v>
      </c>
      <c r="B1064" t="s">
        <v>34</v>
      </c>
      <c r="C1064" t="s">
        <v>2578</v>
      </c>
      <c r="D1064" t="s">
        <v>2579</v>
      </c>
      <c r="E1064" t="s">
        <v>2580</v>
      </c>
      <c r="F1064" t="s">
        <v>2581</v>
      </c>
      <c r="G1064" t="s">
        <v>2553</v>
      </c>
      <c r="H1064" t="s">
        <v>2110</v>
      </c>
      <c r="I1064" t="s">
        <v>240</v>
      </c>
      <c r="J1064" t="s">
        <v>46</v>
      </c>
      <c r="K1064" t="s">
        <v>29</v>
      </c>
      <c r="L1064" t="s">
        <v>30</v>
      </c>
      <c r="M1064">
        <v>180</v>
      </c>
      <c r="N1064" t="s">
        <v>32</v>
      </c>
      <c r="O1064" t="s">
        <v>32</v>
      </c>
      <c r="Q1064" t="s">
        <v>32</v>
      </c>
      <c r="S1064" t="s">
        <v>32</v>
      </c>
      <c r="U1064" t="s">
        <v>32</v>
      </c>
      <c r="V1064" t="s">
        <v>32</v>
      </c>
      <c r="W1064" t="s">
        <v>32</v>
      </c>
      <c r="X1064" t="s">
        <v>32</v>
      </c>
      <c r="Y1064" t="s">
        <v>88</v>
      </c>
      <c r="Z1064">
        <v>46054</v>
      </c>
      <c r="AA1064" t="s">
        <v>88</v>
      </c>
      <c r="AB1064" t="s">
        <v>32</v>
      </c>
      <c r="AE1064" t="s">
        <v>32</v>
      </c>
      <c r="AH1064" t="s">
        <v>32</v>
      </c>
      <c r="AK1064" t="s">
        <v>32</v>
      </c>
      <c r="AN1064" t="s">
        <v>32</v>
      </c>
      <c r="AO1064" t="s">
        <v>32</v>
      </c>
      <c r="AR1064">
        <v>0</v>
      </c>
      <c r="AU1064" t="s">
        <v>32</v>
      </c>
      <c r="AV1064">
        <v>6384779</v>
      </c>
      <c r="AW1064" t="s">
        <v>32</v>
      </c>
      <c r="AX1064" t="s">
        <v>32</v>
      </c>
      <c r="AY1064" t="s">
        <v>185</v>
      </c>
      <c r="AZ1064">
        <v>30</v>
      </c>
      <c r="BA1064">
        <v>6384779</v>
      </c>
      <c r="BB1064">
        <v>0.15999999642372131</v>
      </c>
      <c r="BC1064">
        <v>1021600</v>
      </c>
      <c r="BD1064" t="s">
        <v>31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1021600</v>
      </c>
      <c r="BK1064" t="s">
        <v>25</v>
      </c>
      <c r="BL1064" t="s">
        <v>635</v>
      </c>
      <c r="BM1064">
        <v>30</v>
      </c>
      <c r="BN1064">
        <v>6384779</v>
      </c>
      <c r="BO1064">
        <v>3.9999999105930328E-2</v>
      </c>
      <c r="BP1064">
        <v>255400</v>
      </c>
      <c r="BQ1064">
        <v>0</v>
      </c>
      <c r="BS1064">
        <v>0</v>
      </c>
      <c r="BU1064">
        <v>0</v>
      </c>
      <c r="BV1064" t="s">
        <v>25</v>
      </c>
      <c r="BW1064" t="s">
        <v>189</v>
      </c>
      <c r="BX1064">
        <v>30</v>
      </c>
      <c r="BY1064">
        <v>6384779</v>
      </c>
      <c r="BZ1064">
        <v>6.9600000977516174E-2</v>
      </c>
      <c r="CA1064" t="s">
        <v>1439</v>
      </c>
      <c r="CB1064" t="s">
        <v>227</v>
      </c>
      <c r="CC1064" t="s">
        <v>1440</v>
      </c>
      <c r="CD1064">
        <v>444400</v>
      </c>
      <c r="CE1064">
        <v>30</v>
      </c>
      <c r="CF1064" t="s">
        <v>635</v>
      </c>
      <c r="CG1064">
        <v>6384779</v>
      </c>
      <c r="CH1064">
        <v>3.9999999105930328E-2</v>
      </c>
      <c r="CI1064">
        <v>255400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 t="s">
        <v>88</v>
      </c>
      <c r="CT1064" t="s">
        <v>142</v>
      </c>
      <c r="CU1064" t="s">
        <v>1442</v>
      </c>
    </row>
    <row r="1065" spans="1:99">
      <c r="A1065" t="s">
        <v>3047</v>
      </c>
      <c r="B1065" t="s">
        <v>34</v>
      </c>
      <c r="C1065" t="s">
        <v>2582</v>
      </c>
      <c r="D1065" t="s">
        <v>2583</v>
      </c>
      <c r="E1065" t="s">
        <v>1920</v>
      </c>
      <c r="F1065" t="s">
        <v>2584</v>
      </c>
      <c r="G1065" t="s">
        <v>2585</v>
      </c>
      <c r="H1065" t="s">
        <v>1674</v>
      </c>
      <c r="I1065" t="s">
        <v>240</v>
      </c>
      <c r="J1065" t="s">
        <v>46</v>
      </c>
      <c r="K1065" t="s">
        <v>29</v>
      </c>
      <c r="L1065" t="s">
        <v>30</v>
      </c>
      <c r="M1065">
        <v>188</v>
      </c>
      <c r="N1065" t="s">
        <v>32</v>
      </c>
      <c r="O1065" t="s">
        <v>32</v>
      </c>
      <c r="Q1065" t="s">
        <v>32</v>
      </c>
      <c r="S1065" t="s">
        <v>32</v>
      </c>
      <c r="U1065" t="s">
        <v>32</v>
      </c>
      <c r="V1065" t="s">
        <v>32</v>
      </c>
      <c r="W1065" t="s">
        <v>32</v>
      </c>
      <c r="X1065" t="s">
        <v>32</v>
      </c>
      <c r="Y1065" t="s">
        <v>32</v>
      </c>
      <c r="AA1065" t="s">
        <v>88</v>
      </c>
      <c r="AB1065" t="s">
        <v>32</v>
      </c>
      <c r="AE1065" t="s">
        <v>32</v>
      </c>
      <c r="AH1065" t="s">
        <v>32</v>
      </c>
      <c r="AK1065" t="s">
        <v>32</v>
      </c>
      <c r="AN1065" t="s">
        <v>32</v>
      </c>
      <c r="AO1065" t="s">
        <v>32</v>
      </c>
      <c r="AR1065">
        <v>0</v>
      </c>
      <c r="AU1065" t="s">
        <v>32</v>
      </c>
      <c r="AV1065">
        <v>8569658</v>
      </c>
      <c r="AW1065" t="s">
        <v>32</v>
      </c>
      <c r="AX1065" t="s">
        <v>32</v>
      </c>
      <c r="AY1065" t="s">
        <v>356</v>
      </c>
      <c r="AZ1065">
        <v>30</v>
      </c>
      <c r="BA1065">
        <v>8569658</v>
      </c>
      <c r="BB1065">
        <v>0.15999999642372131</v>
      </c>
      <c r="BC1065">
        <v>1371200</v>
      </c>
      <c r="BD1065" t="s">
        <v>31</v>
      </c>
      <c r="BE1065">
        <v>0</v>
      </c>
      <c r="BF1065">
        <v>0</v>
      </c>
      <c r="BG1065">
        <v>42900</v>
      </c>
      <c r="BH1065">
        <v>42900</v>
      </c>
      <c r="BI1065">
        <v>0</v>
      </c>
      <c r="BJ1065">
        <v>1457000</v>
      </c>
      <c r="BK1065" t="s">
        <v>25</v>
      </c>
      <c r="BL1065" t="s">
        <v>635</v>
      </c>
      <c r="BM1065">
        <v>30</v>
      </c>
      <c r="BN1065">
        <v>8569658</v>
      </c>
      <c r="BO1065">
        <v>3.9999999105930328E-2</v>
      </c>
      <c r="BP1065">
        <v>342800</v>
      </c>
      <c r="BQ1065">
        <v>0</v>
      </c>
      <c r="BS1065">
        <v>0</v>
      </c>
      <c r="BU1065">
        <v>0</v>
      </c>
      <c r="BV1065" t="s">
        <v>25</v>
      </c>
      <c r="BW1065" t="s">
        <v>189</v>
      </c>
      <c r="BX1065">
        <v>30</v>
      </c>
      <c r="BY1065">
        <v>8569658</v>
      </c>
      <c r="BZ1065">
        <v>5.2200001664459705E-3</v>
      </c>
      <c r="CA1065" t="s">
        <v>1592</v>
      </c>
      <c r="CB1065" t="s">
        <v>227</v>
      </c>
      <c r="CC1065" t="s">
        <v>1593</v>
      </c>
      <c r="CD1065">
        <v>44800</v>
      </c>
      <c r="CE1065">
        <v>30</v>
      </c>
      <c r="CF1065" t="s">
        <v>635</v>
      </c>
      <c r="CG1065">
        <v>8569658</v>
      </c>
      <c r="CH1065">
        <v>3.9999999105930328E-2</v>
      </c>
      <c r="CI1065">
        <v>342800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 t="s">
        <v>88</v>
      </c>
      <c r="CT1065" t="s">
        <v>142</v>
      </c>
      <c r="CU1065" t="s">
        <v>1442</v>
      </c>
    </row>
    <row r="1066" spans="1:99">
      <c r="A1066" t="s">
        <v>3047</v>
      </c>
      <c r="B1066" t="s">
        <v>34</v>
      </c>
      <c r="C1066" t="s">
        <v>2586</v>
      </c>
      <c r="D1066" t="s">
        <v>2587</v>
      </c>
      <c r="E1066" t="s">
        <v>972</v>
      </c>
      <c r="F1066" t="s">
        <v>2034</v>
      </c>
      <c r="G1066" t="s">
        <v>2588</v>
      </c>
      <c r="H1066" t="s">
        <v>1674</v>
      </c>
      <c r="I1066" t="s">
        <v>240</v>
      </c>
      <c r="J1066" t="s">
        <v>46</v>
      </c>
      <c r="K1066" t="s">
        <v>29</v>
      </c>
      <c r="L1066" t="s">
        <v>30</v>
      </c>
      <c r="M1066">
        <v>188</v>
      </c>
      <c r="N1066" t="s">
        <v>32</v>
      </c>
      <c r="O1066" t="s">
        <v>32</v>
      </c>
      <c r="Q1066" t="s">
        <v>32</v>
      </c>
      <c r="S1066" t="s">
        <v>32</v>
      </c>
      <c r="U1066" t="s">
        <v>32</v>
      </c>
      <c r="V1066" t="s">
        <v>32</v>
      </c>
      <c r="W1066" t="s">
        <v>32</v>
      </c>
      <c r="X1066" t="s">
        <v>32</v>
      </c>
      <c r="Y1066" t="s">
        <v>32</v>
      </c>
      <c r="AA1066" t="s">
        <v>88</v>
      </c>
      <c r="AB1066" t="s">
        <v>32</v>
      </c>
      <c r="AE1066" t="s">
        <v>32</v>
      </c>
      <c r="AH1066" t="s">
        <v>32</v>
      </c>
      <c r="AK1066" t="s">
        <v>32</v>
      </c>
      <c r="AN1066" t="s">
        <v>32</v>
      </c>
      <c r="AO1066" t="s">
        <v>32</v>
      </c>
      <c r="AR1066">
        <v>0</v>
      </c>
      <c r="AU1066" t="s">
        <v>32</v>
      </c>
      <c r="AV1066">
        <v>8150490</v>
      </c>
      <c r="AW1066" t="s">
        <v>32</v>
      </c>
      <c r="AX1066" t="s">
        <v>32</v>
      </c>
      <c r="AY1066" t="s">
        <v>185</v>
      </c>
      <c r="AZ1066">
        <v>30</v>
      </c>
      <c r="BA1066">
        <v>8150490</v>
      </c>
      <c r="BB1066">
        <v>0.15999999642372131</v>
      </c>
      <c r="BC1066">
        <v>1304100</v>
      </c>
      <c r="BD1066" t="s">
        <v>31</v>
      </c>
      <c r="BE1066">
        <v>0</v>
      </c>
      <c r="BF1066">
        <v>0</v>
      </c>
      <c r="BG1066">
        <v>40800</v>
      </c>
      <c r="BH1066">
        <v>40800</v>
      </c>
      <c r="BI1066">
        <v>0</v>
      </c>
      <c r="BJ1066">
        <v>1385700</v>
      </c>
      <c r="BK1066" t="s">
        <v>25</v>
      </c>
      <c r="BL1066" t="s">
        <v>1010</v>
      </c>
      <c r="BM1066">
        <v>30</v>
      </c>
      <c r="BN1066">
        <v>8150490</v>
      </c>
      <c r="BO1066">
        <v>3.9999999105930328E-2</v>
      </c>
      <c r="BP1066">
        <v>326100</v>
      </c>
      <c r="BQ1066">
        <v>0</v>
      </c>
      <c r="BS1066">
        <v>0</v>
      </c>
      <c r="BU1066">
        <v>0</v>
      </c>
      <c r="BV1066" t="s">
        <v>25</v>
      </c>
      <c r="BW1066" t="s">
        <v>189</v>
      </c>
      <c r="BX1066">
        <v>30</v>
      </c>
      <c r="BY1066">
        <v>8150490</v>
      </c>
      <c r="BZ1066">
        <v>6.9600000977516174E-2</v>
      </c>
      <c r="CA1066" t="s">
        <v>1439</v>
      </c>
      <c r="CB1066" t="s">
        <v>227</v>
      </c>
      <c r="CC1066" t="s">
        <v>1440</v>
      </c>
      <c r="CD1066">
        <v>567300</v>
      </c>
      <c r="CE1066">
        <v>30</v>
      </c>
      <c r="CF1066" t="s">
        <v>635</v>
      </c>
      <c r="CG1066">
        <v>8150490</v>
      </c>
      <c r="CH1066">
        <v>3.9999999105930328E-2</v>
      </c>
      <c r="CI1066">
        <v>326100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 t="s">
        <v>88</v>
      </c>
      <c r="CT1066" t="s">
        <v>142</v>
      </c>
      <c r="CU1066" t="s">
        <v>1442</v>
      </c>
    </row>
    <row r="1067" spans="1:99">
      <c r="A1067" t="s">
        <v>3047</v>
      </c>
      <c r="B1067" t="s">
        <v>397</v>
      </c>
      <c r="C1067" t="s">
        <v>2589</v>
      </c>
      <c r="D1067" t="s">
        <v>2590</v>
      </c>
      <c r="E1067" t="s">
        <v>2591</v>
      </c>
      <c r="F1067" t="s">
        <v>1644</v>
      </c>
      <c r="G1067" t="s">
        <v>2592</v>
      </c>
      <c r="H1067" t="s">
        <v>2593</v>
      </c>
      <c r="I1067" t="s">
        <v>682</v>
      </c>
      <c r="J1067" t="s">
        <v>484</v>
      </c>
      <c r="K1067" t="s">
        <v>29</v>
      </c>
      <c r="L1067" t="s">
        <v>30</v>
      </c>
      <c r="M1067">
        <v>107</v>
      </c>
      <c r="N1067" t="s">
        <v>32</v>
      </c>
      <c r="O1067" t="s">
        <v>32</v>
      </c>
      <c r="Q1067" t="s">
        <v>32</v>
      </c>
      <c r="S1067" t="s">
        <v>32</v>
      </c>
      <c r="U1067" t="s">
        <v>32</v>
      </c>
      <c r="V1067" t="s">
        <v>32</v>
      </c>
      <c r="W1067" t="s">
        <v>32</v>
      </c>
      <c r="X1067" t="s">
        <v>32</v>
      </c>
      <c r="Y1067" t="s">
        <v>32</v>
      </c>
      <c r="AA1067" t="s">
        <v>88</v>
      </c>
      <c r="AB1067" t="s">
        <v>32</v>
      </c>
      <c r="AE1067" t="s">
        <v>32</v>
      </c>
      <c r="AH1067" t="s">
        <v>32</v>
      </c>
      <c r="AK1067" t="s">
        <v>32</v>
      </c>
      <c r="AN1067" t="s">
        <v>32</v>
      </c>
      <c r="AO1067" t="s">
        <v>32</v>
      </c>
      <c r="AR1067">
        <v>0</v>
      </c>
      <c r="AU1067" t="s">
        <v>32</v>
      </c>
      <c r="AV1067">
        <v>1785595</v>
      </c>
      <c r="AW1067" t="s">
        <v>32</v>
      </c>
      <c r="AX1067" t="s">
        <v>32</v>
      </c>
      <c r="AY1067" t="s">
        <v>317</v>
      </c>
      <c r="AZ1067">
        <v>30</v>
      </c>
      <c r="BA1067">
        <v>2268462</v>
      </c>
      <c r="BB1067">
        <v>0.15999999642372131</v>
      </c>
      <c r="BC1067">
        <v>363000</v>
      </c>
      <c r="BD1067" t="s">
        <v>31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363000</v>
      </c>
      <c r="BK1067" t="s">
        <v>25</v>
      </c>
      <c r="BL1067" t="s">
        <v>1010</v>
      </c>
      <c r="BM1067">
        <v>30</v>
      </c>
      <c r="BN1067">
        <v>2268462</v>
      </c>
      <c r="BO1067">
        <v>3.9999999105930328E-2</v>
      </c>
      <c r="BP1067">
        <v>90800</v>
      </c>
      <c r="BQ1067">
        <v>0</v>
      </c>
      <c r="BS1067">
        <v>0</v>
      </c>
      <c r="BU1067">
        <v>0</v>
      </c>
      <c r="BV1067" t="s">
        <v>25</v>
      </c>
      <c r="BW1067" t="s">
        <v>189</v>
      </c>
      <c r="BX1067">
        <v>30</v>
      </c>
      <c r="BY1067">
        <v>2268462</v>
      </c>
      <c r="BZ1067">
        <v>6.9600000977516174E-2</v>
      </c>
      <c r="CA1067" t="s">
        <v>1439</v>
      </c>
      <c r="CB1067" t="s">
        <v>312</v>
      </c>
      <c r="CC1067" t="s">
        <v>1440</v>
      </c>
      <c r="CD1067">
        <v>157900</v>
      </c>
      <c r="CE1067">
        <v>30</v>
      </c>
      <c r="CF1067" t="s">
        <v>466</v>
      </c>
      <c r="CG1067">
        <v>2268462</v>
      </c>
      <c r="CH1067">
        <v>3.9999999105930328E-2</v>
      </c>
      <c r="CI1067">
        <v>90800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 t="s">
        <v>88</v>
      </c>
      <c r="CT1067" t="s">
        <v>142</v>
      </c>
      <c r="CU1067" t="s">
        <v>1442</v>
      </c>
    </row>
    <row r="1068" spans="1:99">
      <c r="A1068" t="s">
        <v>3047</v>
      </c>
      <c r="B1068" t="s">
        <v>34</v>
      </c>
      <c r="C1068" t="s">
        <v>2594</v>
      </c>
      <c r="D1068" t="s">
        <v>2595</v>
      </c>
      <c r="E1068" t="s">
        <v>1241</v>
      </c>
      <c r="F1068" t="s">
        <v>1555</v>
      </c>
      <c r="G1068" t="s">
        <v>1479</v>
      </c>
      <c r="H1068" t="s">
        <v>2596</v>
      </c>
      <c r="I1068" t="s">
        <v>240</v>
      </c>
      <c r="J1068" t="s">
        <v>46</v>
      </c>
      <c r="K1068" t="s">
        <v>29</v>
      </c>
      <c r="L1068" t="s">
        <v>30</v>
      </c>
      <c r="M1068">
        <v>216</v>
      </c>
      <c r="N1068" t="s">
        <v>32</v>
      </c>
      <c r="O1068" t="s">
        <v>32</v>
      </c>
      <c r="Q1068" t="s">
        <v>32</v>
      </c>
      <c r="S1068" t="s">
        <v>32</v>
      </c>
      <c r="U1068" t="s">
        <v>32</v>
      </c>
      <c r="V1068" t="s">
        <v>32</v>
      </c>
      <c r="W1068" t="s">
        <v>32</v>
      </c>
      <c r="X1068" t="s">
        <v>32</v>
      </c>
      <c r="Y1068" t="s">
        <v>32</v>
      </c>
      <c r="AA1068" t="s">
        <v>88</v>
      </c>
      <c r="AB1068" t="s">
        <v>32</v>
      </c>
      <c r="AE1068" t="s">
        <v>32</v>
      </c>
      <c r="AH1068" t="s">
        <v>32</v>
      </c>
      <c r="AK1068" t="s">
        <v>32</v>
      </c>
      <c r="AN1068" t="s">
        <v>32</v>
      </c>
      <c r="AO1068" t="s">
        <v>32</v>
      </c>
      <c r="AR1068">
        <v>0</v>
      </c>
      <c r="AU1068" t="s">
        <v>32</v>
      </c>
      <c r="AV1068">
        <v>2074908</v>
      </c>
      <c r="AW1068" t="s">
        <v>32</v>
      </c>
      <c r="AX1068" t="s">
        <v>32</v>
      </c>
      <c r="AY1068" t="s">
        <v>317</v>
      </c>
      <c r="AZ1068">
        <v>30</v>
      </c>
      <c r="BA1068">
        <v>2951824</v>
      </c>
      <c r="BB1068">
        <v>0.15999999642372131</v>
      </c>
      <c r="BC1068">
        <v>472300</v>
      </c>
      <c r="BD1068" t="s">
        <v>31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472300</v>
      </c>
      <c r="BK1068" t="s">
        <v>25</v>
      </c>
      <c r="BL1068" t="s">
        <v>1010</v>
      </c>
      <c r="BM1068">
        <v>30</v>
      </c>
      <c r="BN1068">
        <v>2951824</v>
      </c>
      <c r="BO1068">
        <v>3.9999999105930328E-2</v>
      </c>
      <c r="BP1068">
        <v>118100</v>
      </c>
      <c r="BQ1068">
        <v>0</v>
      </c>
      <c r="BS1068">
        <v>0</v>
      </c>
      <c r="BU1068">
        <v>0</v>
      </c>
      <c r="BV1068" t="s">
        <v>25</v>
      </c>
      <c r="BW1068" t="s">
        <v>189</v>
      </c>
      <c r="BX1068">
        <v>30</v>
      </c>
      <c r="BY1068">
        <v>2951824</v>
      </c>
      <c r="BZ1068">
        <v>6.9600000977516174E-2</v>
      </c>
      <c r="CA1068" t="s">
        <v>1439</v>
      </c>
      <c r="CB1068" t="s">
        <v>227</v>
      </c>
      <c r="CC1068" t="s">
        <v>1440</v>
      </c>
      <c r="CD1068">
        <v>205500</v>
      </c>
      <c r="CE1068">
        <v>30</v>
      </c>
      <c r="CF1068" t="s">
        <v>635</v>
      </c>
      <c r="CG1068">
        <v>2951824</v>
      </c>
      <c r="CH1068">
        <v>3.9999999105930328E-2</v>
      </c>
      <c r="CI1068">
        <v>118100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 t="s">
        <v>88</v>
      </c>
      <c r="CT1068" t="s">
        <v>142</v>
      </c>
      <c r="CU1068" t="s">
        <v>1442</v>
      </c>
    </row>
    <row r="1069" spans="1:99">
      <c r="A1069" t="s">
        <v>3047</v>
      </c>
      <c r="B1069" t="s">
        <v>34</v>
      </c>
      <c r="C1069" t="s">
        <v>2597</v>
      </c>
      <c r="D1069" t="s">
        <v>2598</v>
      </c>
      <c r="E1069" t="s">
        <v>1483</v>
      </c>
      <c r="F1069" t="s">
        <v>992</v>
      </c>
      <c r="G1069" t="s">
        <v>1455</v>
      </c>
      <c r="H1069" t="s">
        <v>1608</v>
      </c>
      <c r="I1069" t="s">
        <v>240</v>
      </c>
      <c r="J1069" t="s">
        <v>46</v>
      </c>
      <c r="K1069" t="s">
        <v>29</v>
      </c>
      <c r="L1069" t="s">
        <v>30</v>
      </c>
      <c r="M1069">
        <v>9</v>
      </c>
      <c r="N1069" t="s">
        <v>32</v>
      </c>
      <c r="O1069" t="s">
        <v>32</v>
      </c>
      <c r="Q1069" t="s">
        <v>40</v>
      </c>
      <c r="R1069">
        <v>46080</v>
      </c>
      <c r="S1069" t="s">
        <v>32</v>
      </c>
      <c r="U1069" t="s">
        <v>32</v>
      </c>
      <c r="V1069" t="s">
        <v>32</v>
      </c>
      <c r="W1069" t="s">
        <v>32</v>
      </c>
      <c r="X1069" t="s">
        <v>32</v>
      </c>
      <c r="Y1069" t="s">
        <v>32</v>
      </c>
      <c r="AA1069" t="s">
        <v>88</v>
      </c>
      <c r="AB1069" t="s">
        <v>32</v>
      </c>
      <c r="AE1069" t="s">
        <v>32</v>
      </c>
      <c r="AH1069" t="s">
        <v>32</v>
      </c>
      <c r="AK1069" t="s">
        <v>32</v>
      </c>
      <c r="AN1069" t="s">
        <v>32</v>
      </c>
      <c r="AO1069" t="s">
        <v>32</v>
      </c>
      <c r="AR1069">
        <v>0</v>
      </c>
      <c r="AU1069" t="s">
        <v>32</v>
      </c>
      <c r="AV1069">
        <v>1956650</v>
      </c>
      <c r="AW1069" t="s">
        <v>32</v>
      </c>
      <c r="AX1069" t="s">
        <v>32</v>
      </c>
      <c r="AY1069" t="s">
        <v>317</v>
      </c>
      <c r="AZ1069">
        <v>4</v>
      </c>
      <c r="BA1069">
        <v>260887</v>
      </c>
      <c r="BB1069">
        <v>0.15999999642372131</v>
      </c>
      <c r="BC1069">
        <v>41800</v>
      </c>
      <c r="BD1069" t="s">
        <v>31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41800</v>
      </c>
      <c r="BK1069" t="s">
        <v>25</v>
      </c>
      <c r="BL1069" t="s">
        <v>885</v>
      </c>
      <c r="BM1069">
        <v>4</v>
      </c>
      <c r="BN1069">
        <v>260887</v>
      </c>
      <c r="BO1069">
        <v>3.9999999105930328E-2</v>
      </c>
      <c r="BP1069">
        <v>10500</v>
      </c>
      <c r="BQ1069">
        <v>0</v>
      </c>
      <c r="BS1069">
        <v>0</v>
      </c>
      <c r="BU1069">
        <v>0</v>
      </c>
      <c r="BV1069" t="s">
        <v>25</v>
      </c>
      <c r="BW1069" t="s">
        <v>189</v>
      </c>
      <c r="BX1069">
        <v>4</v>
      </c>
      <c r="BY1069">
        <v>260887</v>
      </c>
      <c r="BZ1069">
        <v>6.9600000977516174E-2</v>
      </c>
      <c r="CA1069" t="s">
        <v>1439</v>
      </c>
      <c r="CB1069" t="s">
        <v>227</v>
      </c>
      <c r="CC1069" t="s">
        <v>1440</v>
      </c>
      <c r="CD1069">
        <v>18200</v>
      </c>
      <c r="CE1069">
        <v>4</v>
      </c>
      <c r="CF1069" t="s">
        <v>635</v>
      </c>
      <c r="CG1069">
        <v>260887</v>
      </c>
      <c r="CH1069">
        <v>3.9999999105930328E-2</v>
      </c>
      <c r="CI1069">
        <v>10500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 t="s">
        <v>88</v>
      </c>
      <c r="CT1069" t="s">
        <v>142</v>
      </c>
      <c r="CU1069" t="s">
        <v>1442</v>
      </c>
    </row>
    <row r="1070" spans="1:99">
      <c r="A1070" t="s">
        <v>3047</v>
      </c>
      <c r="B1070" t="s">
        <v>397</v>
      </c>
      <c r="C1070" t="s">
        <v>2599</v>
      </c>
      <c r="D1070" t="s">
        <v>2600</v>
      </c>
      <c r="E1070" t="s">
        <v>1487</v>
      </c>
      <c r="F1070" t="s">
        <v>2601</v>
      </c>
      <c r="G1070" t="s">
        <v>1640</v>
      </c>
      <c r="H1070" t="s">
        <v>1474</v>
      </c>
      <c r="I1070" t="s">
        <v>240</v>
      </c>
      <c r="J1070" t="s">
        <v>46</v>
      </c>
      <c r="K1070" t="s">
        <v>29</v>
      </c>
      <c r="L1070" t="s">
        <v>30</v>
      </c>
      <c r="M1070">
        <v>0</v>
      </c>
      <c r="N1070" t="s">
        <v>32</v>
      </c>
      <c r="O1070" t="s">
        <v>32</v>
      </c>
      <c r="Q1070" t="s">
        <v>32</v>
      </c>
      <c r="S1070" t="s">
        <v>32</v>
      </c>
      <c r="U1070" t="s">
        <v>32</v>
      </c>
      <c r="V1070" t="s">
        <v>32</v>
      </c>
      <c r="W1070" t="s">
        <v>32</v>
      </c>
      <c r="X1070" t="s">
        <v>32</v>
      </c>
      <c r="Y1070" t="s">
        <v>32</v>
      </c>
      <c r="AA1070" t="s">
        <v>32</v>
      </c>
      <c r="AB1070" t="s">
        <v>37</v>
      </c>
      <c r="AC1070">
        <v>46054</v>
      </c>
      <c r="AD1070">
        <v>46054</v>
      </c>
      <c r="AE1070" t="s">
        <v>32</v>
      </c>
      <c r="AH1070" t="s">
        <v>32</v>
      </c>
      <c r="AK1070" t="s">
        <v>32</v>
      </c>
      <c r="AN1070" t="s">
        <v>32</v>
      </c>
      <c r="AO1070" t="s">
        <v>32</v>
      </c>
      <c r="AR1070">
        <v>0</v>
      </c>
      <c r="AU1070" t="s">
        <v>32</v>
      </c>
      <c r="AV1070">
        <v>1750905</v>
      </c>
      <c r="AW1070" t="s">
        <v>32</v>
      </c>
      <c r="AX1070" t="s">
        <v>32</v>
      </c>
      <c r="AY1070" t="s">
        <v>356</v>
      </c>
      <c r="AZ1070">
        <v>1</v>
      </c>
      <c r="BA1070">
        <v>58364</v>
      </c>
      <c r="BB1070">
        <v>0.15999999642372131</v>
      </c>
      <c r="BC1070">
        <v>9400</v>
      </c>
      <c r="BD1070" t="s">
        <v>31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9400</v>
      </c>
      <c r="BK1070" t="s">
        <v>25</v>
      </c>
      <c r="BL1070" t="s">
        <v>1064</v>
      </c>
      <c r="BM1070">
        <v>1</v>
      </c>
      <c r="BN1070">
        <v>58364</v>
      </c>
      <c r="BO1070">
        <v>0</v>
      </c>
      <c r="BP1070">
        <v>0</v>
      </c>
      <c r="BQ1070">
        <v>0</v>
      </c>
      <c r="BS1070">
        <v>0</v>
      </c>
      <c r="BU1070">
        <v>0</v>
      </c>
      <c r="BV1070" t="s">
        <v>25</v>
      </c>
      <c r="BW1070" t="s">
        <v>189</v>
      </c>
      <c r="BX1070">
        <v>1</v>
      </c>
      <c r="BY1070">
        <v>58364</v>
      </c>
      <c r="BZ1070">
        <v>0</v>
      </c>
      <c r="CA1070" t="s">
        <v>1439</v>
      </c>
      <c r="CB1070" t="s">
        <v>227</v>
      </c>
      <c r="CC1070" t="s">
        <v>1440</v>
      </c>
      <c r="CD1070">
        <v>0</v>
      </c>
      <c r="CE1070">
        <v>1</v>
      </c>
      <c r="CF1070" t="s">
        <v>635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 t="s">
        <v>88</v>
      </c>
      <c r="CT1070" t="s">
        <v>142</v>
      </c>
      <c r="CU1070" t="s">
        <v>1442</v>
      </c>
    </row>
    <row r="1071" spans="1:99">
      <c r="A1071" t="s">
        <v>3047</v>
      </c>
      <c r="B1071" t="s">
        <v>397</v>
      </c>
      <c r="C1071" t="s">
        <v>2599</v>
      </c>
      <c r="D1071" t="s">
        <v>2600</v>
      </c>
      <c r="E1071" t="s">
        <v>1487</v>
      </c>
      <c r="F1071" t="s">
        <v>2601</v>
      </c>
      <c r="G1071" t="s">
        <v>1640</v>
      </c>
      <c r="H1071" t="s">
        <v>1474</v>
      </c>
      <c r="I1071" t="s">
        <v>240</v>
      </c>
      <c r="J1071" t="s">
        <v>46</v>
      </c>
      <c r="K1071" t="s">
        <v>29</v>
      </c>
      <c r="L1071" t="s">
        <v>30</v>
      </c>
      <c r="M1071">
        <v>210</v>
      </c>
      <c r="N1071" t="s">
        <v>32</v>
      </c>
      <c r="O1071" t="s">
        <v>32</v>
      </c>
      <c r="Q1071" t="s">
        <v>32</v>
      </c>
      <c r="S1071" t="s">
        <v>32</v>
      </c>
      <c r="U1071" t="s">
        <v>32</v>
      </c>
      <c r="V1071" t="s">
        <v>32</v>
      </c>
      <c r="W1071" t="s">
        <v>32</v>
      </c>
      <c r="X1071" t="s">
        <v>32</v>
      </c>
      <c r="Y1071" t="s">
        <v>32</v>
      </c>
      <c r="AA1071" t="s">
        <v>88</v>
      </c>
      <c r="AB1071" t="s">
        <v>32</v>
      </c>
      <c r="AE1071" t="s">
        <v>32</v>
      </c>
      <c r="AH1071" t="s">
        <v>32</v>
      </c>
      <c r="AK1071" t="s">
        <v>32</v>
      </c>
      <c r="AN1071" t="s">
        <v>32</v>
      </c>
      <c r="AO1071" t="s">
        <v>32</v>
      </c>
      <c r="AR1071">
        <v>0</v>
      </c>
      <c r="AU1071" t="s">
        <v>32</v>
      </c>
      <c r="AV1071">
        <v>1750905</v>
      </c>
      <c r="AW1071" t="s">
        <v>32</v>
      </c>
      <c r="AX1071" t="s">
        <v>32</v>
      </c>
      <c r="AY1071" t="s">
        <v>356</v>
      </c>
      <c r="AZ1071">
        <v>29</v>
      </c>
      <c r="BA1071">
        <v>2051478</v>
      </c>
      <c r="BB1071">
        <v>0.15999999642372131</v>
      </c>
      <c r="BC1071">
        <v>328300</v>
      </c>
      <c r="BD1071" t="s">
        <v>31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328300</v>
      </c>
      <c r="BK1071" t="s">
        <v>25</v>
      </c>
      <c r="BL1071" t="s">
        <v>1064</v>
      </c>
      <c r="BM1071">
        <v>29</v>
      </c>
      <c r="BN1071">
        <v>2051478</v>
      </c>
      <c r="BO1071">
        <v>3.9999999105930328E-2</v>
      </c>
      <c r="BP1071">
        <v>82100</v>
      </c>
      <c r="BQ1071">
        <v>0</v>
      </c>
      <c r="BS1071">
        <v>0</v>
      </c>
      <c r="BU1071">
        <v>0</v>
      </c>
      <c r="BV1071" t="s">
        <v>25</v>
      </c>
      <c r="BW1071" t="s">
        <v>189</v>
      </c>
      <c r="BX1071">
        <v>29</v>
      </c>
      <c r="BY1071">
        <v>2051478</v>
      </c>
      <c r="BZ1071">
        <v>6.9600000977516174E-2</v>
      </c>
      <c r="CA1071" t="s">
        <v>1439</v>
      </c>
      <c r="CB1071" t="s">
        <v>227</v>
      </c>
      <c r="CC1071" t="s">
        <v>1440</v>
      </c>
      <c r="CD1071">
        <v>142800</v>
      </c>
      <c r="CE1071">
        <v>29</v>
      </c>
      <c r="CF1071" t="s">
        <v>635</v>
      </c>
      <c r="CG1071">
        <v>2051478</v>
      </c>
      <c r="CH1071">
        <v>3.9999999105930328E-2</v>
      </c>
      <c r="CI1071">
        <v>82100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 t="s">
        <v>88</v>
      </c>
      <c r="CT1071" t="s">
        <v>142</v>
      </c>
      <c r="CU1071" t="s">
        <v>1442</v>
      </c>
    </row>
    <row r="1072" spans="1:99">
      <c r="A1072" t="s">
        <v>3047</v>
      </c>
      <c r="B1072" t="s">
        <v>34</v>
      </c>
      <c r="C1072" t="s">
        <v>2602</v>
      </c>
      <c r="D1072" t="s">
        <v>2603</v>
      </c>
      <c r="E1072" t="s">
        <v>2041</v>
      </c>
      <c r="F1072" t="s">
        <v>2604</v>
      </c>
      <c r="G1072" t="s">
        <v>2030</v>
      </c>
      <c r="H1072" t="s">
        <v>1716</v>
      </c>
      <c r="I1072" t="s">
        <v>240</v>
      </c>
      <c r="J1072" t="s">
        <v>46</v>
      </c>
      <c r="K1072" t="s">
        <v>29</v>
      </c>
      <c r="L1072" t="s">
        <v>30</v>
      </c>
      <c r="M1072">
        <v>251</v>
      </c>
      <c r="N1072" t="s">
        <v>32</v>
      </c>
      <c r="O1072" t="s">
        <v>32</v>
      </c>
      <c r="Q1072" t="s">
        <v>32</v>
      </c>
      <c r="S1072" t="s">
        <v>32</v>
      </c>
      <c r="U1072" t="s">
        <v>32</v>
      </c>
      <c r="V1072" t="s">
        <v>32</v>
      </c>
      <c r="W1072" t="s">
        <v>32</v>
      </c>
      <c r="X1072" t="s">
        <v>32</v>
      </c>
      <c r="Y1072" t="s">
        <v>32</v>
      </c>
      <c r="AA1072" t="s">
        <v>88</v>
      </c>
      <c r="AB1072" t="s">
        <v>32</v>
      </c>
      <c r="AE1072" t="s">
        <v>32</v>
      </c>
      <c r="AH1072" t="s">
        <v>32</v>
      </c>
      <c r="AK1072" t="s">
        <v>32</v>
      </c>
      <c r="AN1072" t="s">
        <v>32</v>
      </c>
      <c r="AO1072" t="s">
        <v>32</v>
      </c>
      <c r="AR1072">
        <v>0</v>
      </c>
      <c r="AU1072" t="s">
        <v>32</v>
      </c>
      <c r="AV1072">
        <v>1750905</v>
      </c>
      <c r="AW1072" t="s">
        <v>32</v>
      </c>
      <c r="AX1072" t="s">
        <v>32</v>
      </c>
      <c r="AY1072" t="s">
        <v>317</v>
      </c>
      <c r="AZ1072">
        <v>30</v>
      </c>
      <c r="BA1072">
        <v>2570051</v>
      </c>
      <c r="BB1072">
        <v>0.15999999642372131</v>
      </c>
      <c r="BC1072">
        <v>411300</v>
      </c>
      <c r="BD1072" t="s">
        <v>31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411300</v>
      </c>
      <c r="BK1072" t="s">
        <v>25</v>
      </c>
      <c r="BL1072" t="s">
        <v>1010</v>
      </c>
      <c r="BM1072">
        <v>30</v>
      </c>
      <c r="BN1072">
        <v>2570051</v>
      </c>
      <c r="BO1072">
        <v>3.9999999105930328E-2</v>
      </c>
      <c r="BP1072">
        <v>102900</v>
      </c>
      <c r="BQ1072">
        <v>0</v>
      </c>
      <c r="BS1072">
        <v>0</v>
      </c>
      <c r="BU1072">
        <v>0</v>
      </c>
      <c r="BV1072" t="s">
        <v>25</v>
      </c>
      <c r="BW1072" t="s">
        <v>189</v>
      </c>
      <c r="BX1072">
        <v>30</v>
      </c>
      <c r="BY1072">
        <v>2570051</v>
      </c>
      <c r="BZ1072">
        <v>6.9600000977516174E-2</v>
      </c>
      <c r="CA1072" t="s">
        <v>1439</v>
      </c>
      <c r="CB1072" t="s">
        <v>227</v>
      </c>
      <c r="CC1072" t="s">
        <v>1440</v>
      </c>
      <c r="CD1072">
        <v>178900</v>
      </c>
      <c r="CE1072">
        <v>30</v>
      </c>
      <c r="CF1072" t="s">
        <v>635</v>
      </c>
      <c r="CG1072">
        <v>2570051</v>
      </c>
      <c r="CH1072">
        <v>3.9999999105930328E-2</v>
      </c>
      <c r="CI1072">
        <v>102900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 t="s">
        <v>88</v>
      </c>
      <c r="CT1072" t="s">
        <v>142</v>
      </c>
      <c r="CU1072" t="s">
        <v>1442</v>
      </c>
    </row>
    <row r="1073" spans="1:99">
      <c r="A1073" t="s">
        <v>3047</v>
      </c>
      <c r="B1073" t="s">
        <v>34</v>
      </c>
      <c r="C1073" t="s">
        <v>2605</v>
      </c>
      <c r="D1073" t="s">
        <v>2606</v>
      </c>
      <c r="E1073" t="s">
        <v>2607</v>
      </c>
      <c r="F1073" t="s">
        <v>1886</v>
      </c>
      <c r="G1073" t="s">
        <v>2553</v>
      </c>
      <c r="H1073" t="s">
        <v>2608</v>
      </c>
      <c r="I1073" t="s">
        <v>240</v>
      </c>
      <c r="J1073" t="s">
        <v>46</v>
      </c>
      <c r="K1073" t="s">
        <v>29</v>
      </c>
      <c r="L1073" t="s">
        <v>30</v>
      </c>
      <c r="M1073">
        <v>188</v>
      </c>
      <c r="N1073" t="s">
        <v>32</v>
      </c>
      <c r="O1073" t="s">
        <v>32</v>
      </c>
      <c r="Q1073" t="s">
        <v>32</v>
      </c>
      <c r="S1073" t="s">
        <v>32</v>
      </c>
      <c r="U1073" t="s">
        <v>32</v>
      </c>
      <c r="V1073" t="s">
        <v>32</v>
      </c>
      <c r="W1073" t="s">
        <v>32</v>
      </c>
      <c r="X1073" t="s">
        <v>32</v>
      </c>
      <c r="Y1073" t="s">
        <v>32</v>
      </c>
      <c r="AA1073" t="s">
        <v>88</v>
      </c>
      <c r="AB1073" t="s">
        <v>32</v>
      </c>
      <c r="AE1073" t="s">
        <v>32</v>
      </c>
      <c r="AH1073" t="s">
        <v>32</v>
      </c>
      <c r="AK1073" t="s">
        <v>32</v>
      </c>
      <c r="AN1073" t="s">
        <v>32</v>
      </c>
      <c r="AO1073" t="s">
        <v>32</v>
      </c>
      <c r="AR1073">
        <v>0</v>
      </c>
      <c r="AU1073" t="s">
        <v>32</v>
      </c>
      <c r="AV1073">
        <v>5209465</v>
      </c>
      <c r="AW1073" t="s">
        <v>32</v>
      </c>
      <c r="AX1073" t="s">
        <v>32</v>
      </c>
      <c r="AY1073" t="s">
        <v>356</v>
      </c>
      <c r="AZ1073">
        <v>30</v>
      </c>
      <c r="BA1073">
        <v>5209465</v>
      </c>
      <c r="BB1073">
        <v>0.15999999642372131</v>
      </c>
      <c r="BC1073">
        <v>833600</v>
      </c>
      <c r="BD1073" t="s">
        <v>31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833600</v>
      </c>
      <c r="BK1073" t="s">
        <v>25</v>
      </c>
      <c r="BL1073" t="s">
        <v>870</v>
      </c>
      <c r="BM1073">
        <v>30</v>
      </c>
      <c r="BN1073">
        <v>5209465</v>
      </c>
      <c r="BO1073">
        <v>3.9999999105930328E-2</v>
      </c>
      <c r="BP1073">
        <v>208400</v>
      </c>
      <c r="BQ1073">
        <v>0</v>
      </c>
      <c r="BS1073">
        <v>0</v>
      </c>
      <c r="BU1073">
        <v>0</v>
      </c>
      <c r="BV1073" t="s">
        <v>25</v>
      </c>
      <c r="BW1073" t="s">
        <v>189</v>
      </c>
      <c r="BX1073">
        <v>30</v>
      </c>
      <c r="BY1073">
        <v>5209465</v>
      </c>
      <c r="BZ1073">
        <v>6.9600000977516174E-2</v>
      </c>
      <c r="CA1073" t="s">
        <v>1439</v>
      </c>
      <c r="CB1073" t="s">
        <v>227</v>
      </c>
      <c r="CC1073" t="s">
        <v>1440</v>
      </c>
      <c r="CD1073">
        <v>362600</v>
      </c>
      <c r="CE1073">
        <v>30</v>
      </c>
      <c r="CF1073" t="s">
        <v>635</v>
      </c>
      <c r="CG1073">
        <v>5209465</v>
      </c>
      <c r="CH1073">
        <v>3.9999999105930328E-2</v>
      </c>
      <c r="CI1073">
        <v>208400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 t="s">
        <v>88</v>
      </c>
      <c r="CT1073" t="s">
        <v>142</v>
      </c>
      <c r="CU1073" t="s">
        <v>1442</v>
      </c>
    </row>
    <row r="1074" spans="1:99">
      <c r="A1074" t="s">
        <v>3047</v>
      </c>
      <c r="B1074" t="s">
        <v>34</v>
      </c>
      <c r="C1074" t="s">
        <v>2609</v>
      </c>
      <c r="D1074" t="s">
        <v>2610</v>
      </c>
      <c r="E1074" t="s">
        <v>2611</v>
      </c>
      <c r="F1074" t="s">
        <v>2612</v>
      </c>
      <c r="G1074" t="s">
        <v>2613</v>
      </c>
      <c r="H1074" t="s">
        <v>2614</v>
      </c>
      <c r="I1074" t="s">
        <v>240</v>
      </c>
      <c r="J1074" t="s">
        <v>46</v>
      </c>
      <c r="K1074" t="s">
        <v>29</v>
      </c>
      <c r="L1074" t="s">
        <v>82</v>
      </c>
      <c r="M1074">
        <v>0</v>
      </c>
      <c r="N1074" t="s">
        <v>32</v>
      </c>
      <c r="O1074" t="s">
        <v>32</v>
      </c>
      <c r="Q1074" t="s">
        <v>32</v>
      </c>
      <c r="S1074" t="s">
        <v>32</v>
      </c>
      <c r="U1074" t="s">
        <v>32</v>
      </c>
      <c r="V1074" t="s">
        <v>32</v>
      </c>
      <c r="W1074" t="s">
        <v>32</v>
      </c>
      <c r="X1074" t="s">
        <v>32</v>
      </c>
      <c r="Y1074" t="s">
        <v>32</v>
      </c>
      <c r="AA1074" t="s">
        <v>32</v>
      </c>
      <c r="AB1074" t="s">
        <v>32</v>
      </c>
      <c r="AE1074" t="s">
        <v>32</v>
      </c>
      <c r="AH1074" t="s">
        <v>32</v>
      </c>
      <c r="AK1074" t="s">
        <v>128</v>
      </c>
      <c r="AL1074">
        <v>46069</v>
      </c>
      <c r="AM1074">
        <v>46075</v>
      </c>
      <c r="AN1074" t="s">
        <v>32</v>
      </c>
      <c r="AO1074" t="s">
        <v>32</v>
      </c>
      <c r="AR1074">
        <v>0</v>
      </c>
      <c r="AU1074" t="s">
        <v>32</v>
      </c>
      <c r="AV1074">
        <v>5602605</v>
      </c>
      <c r="AW1074" t="s">
        <v>32</v>
      </c>
      <c r="AX1074" t="s">
        <v>88</v>
      </c>
      <c r="AY1074" t="s">
        <v>25</v>
      </c>
      <c r="AZ1074">
        <v>0</v>
      </c>
      <c r="BA1074">
        <v>0</v>
      </c>
      <c r="BB1074">
        <v>0</v>
      </c>
      <c r="BC1074">
        <v>0</v>
      </c>
      <c r="BD1074" t="s">
        <v>31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 t="s">
        <v>25</v>
      </c>
      <c r="BL1074" t="s">
        <v>1071</v>
      </c>
      <c r="BM1074">
        <v>7</v>
      </c>
      <c r="BN1074">
        <v>1307275</v>
      </c>
      <c r="BO1074">
        <v>3.9999999105930328E-2</v>
      </c>
      <c r="BP1074">
        <v>52300</v>
      </c>
      <c r="BQ1074">
        <v>0</v>
      </c>
      <c r="BS1074">
        <v>0</v>
      </c>
      <c r="BU1074">
        <v>0</v>
      </c>
      <c r="BV1074" t="s">
        <v>25</v>
      </c>
      <c r="BW1074" t="s">
        <v>189</v>
      </c>
      <c r="BX1074">
        <v>7</v>
      </c>
      <c r="BY1074">
        <v>1307275</v>
      </c>
      <c r="BZ1074">
        <v>0</v>
      </c>
      <c r="CA1074" t="s">
        <v>1592</v>
      </c>
      <c r="CB1074" t="s">
        <v>227</v>
      </c>
      <c r="CC1074" t="s">
        <v>1593</v>
      </c>
      <c r="CD1074">
        <v>0</v>
      </c>
      <c r="CE1074">
        <v>7</v>
      </c>
      <c r="CF1074" t="s">
        <v>635</v>
      </c>
      <c r="CG1074">
        <v>1307275</v>
      </c>
      <c r="CH1074">
        <v>3.9999999105930328E-2</v>
      </c>
      <c r="CI1074">
        <v>52300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 t="s">
        <v>88</v>
      </c>
      <c r="CT1074" t="s">
        <v>142</v>
      </c>
      <c r="CU1074" t="s">
        <v>1442</v>
      </c>
    </row>
    <row r="1075" spans="1:99">
      <c r="A1075" t="s">
        <v>3047</v>
      </c>
      <c r="B1075" t="s">
        <v>34</v>
      </c>
      <c r="C1075" t="s">
        <v>2609</v>
      </c>
      <c r="D1075" t="s">
        <v>2610</v>
      </c>
      <c r="E1075" t="s">
        <v>2611</v>
      </c>
      <c r="F1075" t="s">
        <v>2612</v>
      </c>
      <c r="G1075" t="s">
        <v>2613</v>
      </c>
      <c r="H1075" t="s">
        <v>2614</v>
      </c>
      <c r="I1075" t="s">
        <v>240</v>
      </c>
      <c r="J1075" t="s">
        <v>46</v>
      </c>
      <c r="K1075" t="s">
        <v>29</v>
      </c>
      <c r="L1075" t="s">
        <v>82</v>
      </c>
      <c r="M1075">
        <v>135</v>
      </c>
      <c r="N1075" t="s">
        <v>32</v>
      </c>
      <c r="O1075" t="s">
        <v>32</v>
      </c>
      <c r="Q1075" t="s">
        <v>32</v>
      </c>
      <c r="S1075" t="s">
        <v>32</v>
      </c>
      <c r="U1075" t="s">
        <v>32</v>
      </c>
      <c r="V1075" t="s">
        <v>32</v>
      </c>
      <c r="W1075" t="s">
        <v>32</v>
      </c>
      <c r="X1075" t="s">
        <v>32</v>
      </c>
      <c r="Y1075" t="s">
        <v>88</v>
      </c>
      <c r="Z1075">
        <v>46054</v>
      </c>
      <c r="AA1075" t="s">
        <v>88</v>
      </c>
      <c r="AB1075" t="s">
        <v>32</v>
      </c>
      <c r="AE1075" t="s">
        <v>32</v>
      </c>
      <c r="AH1075" t="s">
        <v>32</v>
      </c>
      <c r="AK1075" t="s">
        <v>32</v>
      </c>
      <c r="AN1075" t="s">
        <v>32</v>
      </c>
      <c r="AO1075" t="s">
        <v>32</v>
      </c>
      <c r="AR1075">
        <v>0</v>
      </c>
      <c r="AU1075" t="s">
        <v>32</v>
      </c>
      <c r="AV1075">
        <v>5602605</v>
      </c>
      <c r="AW1075" t="s">
        <v>32</v>
      </c>
      <c r="AX1075" t="s">
        <v>88</v>
      </c>
      <c r="AY1075" t="s">
        <v>25</v>
      </c>
      <c r="AZ1075">
        <v>0</v>
      </c>
      <c r="BA1075">
        <v>0</v>
      </c>
      <c r="BB1075">
        <v>0</v>
      </c>
      <c r="BC1075">
        <v>0</v>
      </c>
      <c r="BD1075" t="s">
        <v>31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 t="s">
        <v>25</v>
      </c>
      <c r="BL1075" t="s">
        <v>1071</v>
      </c>
      <c r="BM1075">
        <v>23</v>
      </c>
      <c r="BN1075">
        <v>4482509</v>
      </c>
      <c r="BO1075">
        <v>3.9999999105930328E-2</v>
      </c>
      <c r="BP1075">
        <v>179400</v>
      </c>
      <c r="BQ1075">
        <v>0</v>
      </c>
      <c r="BS1075">
        <v>0</v>
      </c>
      <c r="BU1075">
        <v>0</v>
      </c>
      <c r="BV1075" t="s">
        <v>25</v>
      </c>
      <c r="BW1075" t="s">
        <v>189</v>
      </c>
      <c r="BX1075">
        <v>23</v>
      </c>
      <c r="BY1075">
        <v>4482509</v>
      </c>
      <c r="BZ1075">
        <v>5.2200001664459705E-3</v>
      </c>
      <c r="CA1075" t="s">
        <v>1592</v>
      </c>
      <c r="CB1075" t="s">
        <v>227</v>
      </c>
      <c r="CC1075" t="s">
        <v>1593</v>
      </c>
      <c r="CD1075">
        <v>23400</v>
      </c>
      <c r="CE1075">
        <v>23</v>
      </c>
      <c r="CF1075" t="s">
        <v>635</v>
      </c>
      <c r="CG1075">
        <v>4482509</v>
      </c>
      <c r="CH1075">
        <v>3.9999999105930328E-2</v>
      </c>
      <c r="CI1075">
        <v>179400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 t="s">
        <v>88</v>
      </c>
      <c r="CT1075" t="s">
        <v>142</v>
      </c>
      <c r="CU1075" t="s">
        <v>1442</v>
      </c>
    </row>
    <row r="1076" spans="1:99">
      <c r="A1076" t="s">
        <v>3047</v>
      </c>
      <c r="B1076" t="s">
        <v>34</v>
      </c>
      <c r="C1076" t="s">
        <v>2615</v>
      </c>
      <c r="D1076" t="s">
        <v>3065</v>
      </c>
      <c r="E1076" t="s">
        <v>3066</v>
      </c>
      <c r="F1076" t="s">
        <v>1785</v>
      </c>
      <c r="G1076" t="s">
        <v>1590</v>
      </c>
      <c r="H1076" t="s">
        <v>2618</v>
      </c>
      <c r="I1076" t="s">
        <v>240</v>
      </c>
      <c r="J1076" t="s">
        <v>46</v>
      </c>
      <c r="K1076" t="s">
        <v>29</v>
      </c>
      <c r="L1076" t="s">
        <v>30</v>
      </c>
      <c r="M1076">
        <v>0</v>
      </c>
      <c r="N1076" t="s">
        <v>32</v>
      </c>
      <c r="O1076" t="s">
        <v>32</v>
      </c>
      <c r="Q1076" t="s">
        <v>32</v>
      </c>
      <c r="S1076" t="s">
        <v>32</v>
      </c>
      <c r="U1076" t="s">
        <v>32</v>
      </c>
      <c r="V1076" t="s">
        <v>32</v>
      </c>
      <c r="W1076" t="s">
        <v>32</v>
      </c>
      <c r="X1076" t="s">
        <v>32</v>
      </c>
      <c r="Y1076" t="s">
        <v>32</v>
      </c>
      <c r="AA1076" t="s">
        <v>32</v>
      </c>
      <c r="AB1076" t="s">
        <v>37</v>
      </c>
      <c r="AC1076">
        <v>46054</v>
      </c>
      <c r="AD1076">
        <v>46054</v>
      </c>
      <c r="AE1076" t="s">
        <v>32</v>
      </c>
      <c r="AH1076" t="s">
        <v>32</v>
      </c>
      <c r="AK1076" t="s">
        <v>32</v>
      </c>
      <c r="AN1076" t="s">
        <v>32</v>
      </c>
      <c r="AO1076" t="s">
        <v>32</v>
      </c>
      <c r="AR1076">
        <v>0</v>
      </c>
      <c r="AU1076" t="s">
        <v>32</v>
      </c>
      <c r="AV1076">
        <v>1785595</v>
      </c>
      <c r="AW1076" t="s">
        <v>32</v>
      </c>
      <c r="AX1076" t="s">
        <v>32</v>
      </c>
      <c r="AY1076" t="s">
        <v>317</v>
      </c>
      <c r="AZ1076">
        <v>1</v>
      </c>
      <c r="BA1076">
        <v>59520</v>
      </c>
      <c r="BB1076">
        <v>0.15999999642372131</v>
      </c>
      <c r="BC1076">
        <v>9600</v>
      </c>
      <c r="BD1076" t="s">
        <v>31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9600</v>
      </c>
      <c r="BK1076" t="s">
        <v>25</v>
      </c>
      <c r="BL1076" t="s">
        <v>1010</v>
      </c>
      <c r="BM1076">
        <v>1</v>
      </c>
      <c r="BN1076">
        <v>59520</v>
      </c>
      <c r="BO1076">
        <v>0</v>
      </c>
      <c r="BP1076">
        <v>0</v>
      </c>
      <c r="BQ1076">
        <v>0</v>
      </c>
      <c r="BS1076">
        <v>0</v>
      </c>
      <c r="BU1076">
        <v>0</v>
      </c>
      <c r="BV1076" t="s">
        <v>25</v>
      </c>
      <c r="BW1076" t="s">
        <v>189</v>
      </c>
      <c r="BX1076">
        <v>1</v>
      </c>
      <c r="BY1076">
        <v>59520</v>
      </c>
      <c r="BZ1076">
        <v>0</v>
      </c>
      <c r="CA1076" t="s">
        <v>1439</v>
      </c>
      <c r="CB1076" t="s">
        <v>227</v>
      </c>
      <c r="CC1076" t="s">
        <v>1440</v>
      </c>
      <c r="CD1076">
        <v>0</v>
      </c>
      <c r="CE1076">
        <v>1</v>
      </c>
      <c r="CF1076" t="s">
        <v>635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 t="s">
        <v>88</v>
      </c>
      <c r="CT1076" t="s">
        <v>142</v>
      </c>
      <c r="CU1076" t="s">
        <v>1442</v>
      </c>
    </row>
    <row r="1077" spans="1:99">
      <c r="A1077" t="s">
        <v>3047</v>
      </c>
      <c r="B1077" t="s">
        <v>34</v>
      </c>
      <c r="C1077" t="s">
        <v>2615</v>
      </c>
      <c r="D1077" t="s">
        <v>3065</v>
      </c>
      <c r="E1077" t="s">
        <v>3066</v>
      </c>
      <c r="F1077" t="s">
        <v>1785</v>
      </c>
      <c r="G1077" t="s">
        <v>1590</v>
      </c>
      <c r="H1077" t="s">
        <v>2618</v>
      </c>
      <c r="I1077" t="s">
        <v>240</v>
      </c>
      <c r="J1077" t="s">
        <v>46</v>
      </c>
      <c r="K1077" t="s">
        <v>29</v>
      </c>
      <c r="L1077" t="s">
        <v>30</v>
      </c>
      <c r="M1077">
        <v>0</v>
      </c>
      <c r="N1077" t="s">
        <v>32</v>
      </c>
      <c r="O1077" t="s">
        <v>32</v>
      </c>
      <c r="Q1077" t="s">
        <v>32</v>
      </c>
      <c r="S1077" t="s">
        <v>32</v>
      </c>
      <c r="U1077" t="s">
        <v>32</v>
      </c>
      <c r="V1077" t="s">
        <v>32</v>
      </c>
      <c r="W1077" t="s">
        <v>32</v>
      </c>
      <c r="X1077" t="s">
        <v>32</v>
      </c>
      <c r="Y1077" t="s">
        <v>32</v>
      </c>
      <c r="AA1077" t="s">
        <v>32</v>
      </c>
      <c r="AB1077" t="s">
        <v>37</v>
      </c>
      <c r="AC1077">
        <v>46079</v>
      </c>
      <c r="AD1077">
        <v>46079</v>
      </c>
      <c r="AE1077" t="s">
        <v>32</v>
      </c>
      <c r="AH1077" t="s">
        <v>32</v>
      </c>
      <c r="AK1077" t="s">
        <v>32</v>
      </c>
      <c r="AN1077" t="s">
        <v>32</v>
      </c>
      <c r="AO1077" t="s">
        <v>32</v>
      </c>
      <c r="AR1077">
        <v>0</v>
      </c>
      <c r="AU1077" t="s">
        <v>32</v>
      </c>
      <c r="AV1077">
        <v>1785595</v>
      </c>
      <c r="AW1077" t="s">
        <v>32</v>
      </c>
      <c r="AX1077" t="s">
        <v>32</v>
      </c>
      <c r="AY1077" t="s">
        <v>317</v>
      </c>
      <c r="AZ1077">
        <v>1</v>
      </c>
      <c r="BA1077">
        <v>59520</v>
      </c>
      <c r="BB1077">
        <v>0.15999999642372131</v>
      </c>
      <c r="BC1077">
        <v>9600</v>
      </c>
      <c r="BD1077" t="s">
        <v>31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9600</v>
      </c>
      <c r="BK1077" t="s">
        <v>25</v>
      </c>
      <c r="BL1077" t="s">
        <v>1010</v>
      </c>
      <c r="BM1077">
        <v>1</v>
      </c>
      <c r="BN1077">
        <v>59520</v>
      </c>
      <c r="BO1077">
        <v>0</v>
      </c>
      <c r="BP1077">
        <v>0</v>
      </c>
      <c r="BQ1077">
        <v>0</v>
      </c>
      <c r="BS1077">
        <v>0</v>
      </c>
      <c r="BU1077">
        <v>0</v>
      </c>
      <c r="BV1077" t="s">
        <v>25</v>
      </c>
      <c r="BW1077" t="s">
        <v>189</v>
      </c>
      <c r="BX1077">
        <v>1</v>
      </c>
      <c r="BY1077">
        <v>59520</v>
      </c>
      <c r="BZ1077">
        <v>0</v>
      </c>
      <c r="CA1077" t="s">
        <v>1439</v>
      </c>
      <c r="CB1077" t="s">
        <v>227</v>
      </c>
      <c r="CC1077" t="s">
        <v>1440</v>
      </c>
      <c r="CD1077">
        <v>0</v>
      </c>
      <c r="CE1077">
        <v>1</v>
      </c>
      <c r="CF1077" t="s">
        <v>635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 t="s">
        <v>88</v>
      </c>
      <c r="CT1077" t="s">
        <v>142</v>
      </c>
      <c r="CU1077" t="s">
        <v>1442</v>
      </c>
    </row>
    <row r="1078" spans="1:99">
      <c r="A1078" t="s">
        <v>3047</v>
      </c>
      <c r="B1078" t="s">
        <v>34</v>
      </c>
      <c r="C1078" t="s">
        <v>2615</v>
      </c>
      <c r="D1078" t="s">
        <v>3065</v>
      </c>
      <c r="E1078" t="s">
        <v>3066</v>
      </c>
      <c r="F1078" t="s">
        <v>1785</v>
      </c>
      <c r="G1078" t="s">
        <v>1590</v>
      </c>
      <c r="H1078" t="s">
        <v>2618</v>
      </c>
      <c r="I1078" t="s">
        <v>240</v>
      </c>
      <c r="J1078" t="s">
        <v>46</v>
      </c>
      <c r="K1078" t="s">
        <v>29</v>
      </c>
      <c r="L1078" t="s">
        <v>30</v>
      </c>
      <c r="M1078">
        <v>211</v>
      </c>
      <c r="N1078" t="s">
        <v>32</v>
      </c>
      <c r="O1078" t="s">
        <v>32</v>
      </c>
      <c r="Q1078" t="s">
        <v>32</v>
      </c>
      <c r="S1078" t="s">
        <v>40</v>
      </c>
      <c r="T1078">
        <v>46081</v>
      </c>
      <c r="U1078" t="s">
        <v>32</v>
      </c>
      <c r="V1078" t="s">
        <v>32</v>
      </c>
      <c r="W1078" t="s">
        <v>32</v>
      </c>
      <c r="X1078" t="s">
        <v>32</v>
      </c>
      <c r="Y1078" t="s">
        <v>32</v>
      </c>
      <c r="AA1078" t="s">
        <v>88</v>
      </c>
      <c r="AB1078" t="s">
        <v>32</v>
      </c>
      <c r="AE1078" t="s">
        <v>32</v>
      </c>
      <c r="AH1078" t="s">
        <v>32</v>
      </c>
      <c r="AK1078" t="s">
        <v>32</v>
      </c>
      <c r="AN1078" t="s">
        <v>32</v>
      </c>
      <c r="AO1078" t="s">
        <v>32</v>
      </c>
      <c r="AR1078">
        <v>0</v>
      </c>
      <c r="AU1078" t="s">
        <v>32</v>
      </c>
      <c r="AV1078">
        <v>1785595</v>
      </c>
      <c r="AW1078" t="s">
        <v>32</v>
      </c>
      <c r="AX1078" t="s">
        <v>32</v>
      </c>
      <c r="AY1078" t="s">
        <v>317</v>
      </c>
      <c r="AZ1078">
        <v>28</v>
      </c>
      <c r="BA1078">
        <v>2932330</v>
      </c>
      <c r="BB1078">
        <v>0.15999999642372131</v>
      </c>
      <c r="BC1078">
        <v>469200</v>
      </c>
      <c r="BD1078" t="s">
        <v>31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469200</v>
      </c>
      <c r="BK1078" t="s">
        <v>25</v>
      </c>
      <c r="BL1078" t="s">
        <v>1010</v>
      </c>
      <c r="BM1078">
        <v>28</v>
      </c>
      <c r="BN1078">
        <v>2932330</v>
      </c>
      <c r="BO1078">
        <v>3.9999999105930328E-2</v>
      </c>
      <c r="BP1078">
        <v>117300</v>
      </c>
      <c r="BQ1078">
        <v>0</v>
      </c>
      <c r="BS1078">
        <v>0</v>
      </c>
      <c r="BU1078">
        <v>0</v>
      </c>
      <c r="BV1078" t="s">
        <v>25</v>
      </c>
      <c r="BW1078" t="s">
        <v>189</v>
      </c>
      <c r="BX1078">
        <v>28</v>
      </c>
      <c r="BY1078">
        <v>2932330</v>
      </c>
      <c r="BZ1078">
        <v>6.9600000977516174E-2</v>
      </c>
      <c r="CA1078" t="s">
        <v>1439</v>
      </c>
      <c r="CB1078" t="s">
        <v>227</v>
      </c>
      <c r="CC1078" t="s">
        <v>1440</v>
      </c>
      <c r="CD1078">
        <v>204100</v>
      </c>
      <c r="CE1078">
        <v>28</v>
      </c>
      <c r="CF1078" t="s">
        <v>635</v>
      </c>
      <c r="CG1078">
        <v>3700418</v>
      </c>
      <c r="CH1078">
        <v>3.9999999105930328E-2</v>
      </c>
      <c r="CI1078">
        <v>148100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 t="s">
        <v>88</v>
      </c>
      <c r="CT1078" t="s">
        <v>142</v>
      </c>
      <c r="CU1078" t="s">
        <v>1442</v>
      </c>
    </row>
    <row r="1079" spans="1:99">
      <c r="A1079" t="s">
        <v>3047</v>
      </c>
      <c r="B1079" t="s">
        <v>34</v>
      </c>
      <c r="C1079" t="s">
        <v>2619</v>
      </c>
      <c r="D1079" t="s">
        <v>2620</v>
      </c>
      <c r="E1079" t="s">
        <v>2621</v>
      </c>
      <c r="F1079" t="s">
        <v>774</v>
      </c>
      <c r="G1079" t="s">
        <v>1436</v>
      </c>
      <c r="H1079" t="s">
        <v>2341</v>
      </c>
      <c r="I1079" t="s">
        <v>240</v>
      </c>
      <c r="J1079" t="s">
        <v>46</v>
      </c>
      <c r="K1079" t="s">
        <v>29</v>
      </c>
      <c r="L1079" t="s">
        <v>30</v>
      </c>
      <c r="M1079">
        <v>203</v>
      </c>
      <c r="N1079" t="s">
        <v>32</v>
      </c>
      <c r="O1079" t="s">
        <v>32</v>
      </c>
      <c r="Q1079" t="s">
        <v>32</v>
      </c>
      <c r="S1079" t="s">
        <v>32</v>
      </c>
      <c r="U1079" t="s">
        <v>32</v>
      </c>
      <c r="V1079" t="s">
        <v>32</v>
      </c>
      <c r="W1079" t="s">
        <v>32</v>
      </c>
      <c r="X1079" t="s">
        <v>32</v>
      </c>
      <c r="Y1079" t="s">
        <v>32</v>
      </c>
      <c r="AA1079" t="s">
        <v>88</v>
      </c>
      <c r="AB1079" t="s">
        <v>32</v>
      </c>
      <c r="AE1079" t="s">
        <v>32</v>
      </c>
      <c r="AH1079" t="s">
        <v>32</v>
      </c>
      <c r="AK1079" t="s">
        <v>32</v>
      </c>
      <c r="AN1079" t="s">
        <v>32</v>
      </c>
      <c r="AO1079" t="s">
        <v>32</v>
      </c>
      <c r="AR1079">
        <v>0</v>
      </c>
      <c r="AU1079" t="s">
        <v>32</v>
      </c>
      <c r="AV1079">
        <v>1915447</v>
      </c>
      <c r="AW1079" t="s">
        <v>32</v>
      </c>
      <c r="AX1079" t="s">
        <v>32</v>
      </c>
      <c r="AY1079" t="s">
        <v>185</v>
      </c>
      <c r="AZ1079">
        <v>30</v>
      </c>
      <c r="BA1079">
        <v>2112434</v>
      </c>
      <c r="BB1079">
        <v>0.15999999642372131</v>
      </c>
      <c r="BC1079">
        <v>338000</v>
      </c>
      <c r="BD1079" t="s">
        <v>31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338000</v>
      </c>
      <c r="BK1079" t="s">
        <v>25</v>
      </c>
      <c r="BL1079" t="s">
        <v>885</v>
      </c>
      <c r="BM1079">
        <v>30</v>
      </c>
      <c r="BN1079">
        <v>2112434</v>
      </c>
      <c r="BO1079">
        <v>3.9999999105930328E-2</v>
      </c>
      <c r="BP1079">
        <v>84500</v>
      </c>
      <c r="BQ1079">
        <v>0</v>
      </c>
      <c r="BS1079">
        <v>0</v>
      </c>
      <c r="BU1079">
        <v>0</v>
      </c>
      <c r="BV1079" t="s">
        <v>25</v>
      </c>
      <c r="BW1079" t="s">
        <v>189</v>
      </c>
      <c r="BX1079">
        <v>30</v>
      </c>
      <c r="BY1079">
        <v>2112434</v>
      </c>
      <c r="BZ1079">
        <v>4.349999874830246E-2</v>
      </c>
      <c r="CA1079" t="s">
        <v>2622</v>
      </c>
      <c r="CB1079" t="s">
        <v>227</v>
      </c>
      <c r="CC1079" t="s">
        <v>3067</v>
      </c>
      <c r="CD1079">
        <v>91900</v>
      </c>
      <c r="CE1079">
        <v>30</v>
      </c>
      <c r="CF1079" t="s">
        <v>635</v>
      </c>
      <c r="CG1079">
        <v>2112434</v>
      </c>
      <c r="CH1079">
        <v>3.9999999105930328E-2</v>
      </c>
      <c r="CI1079">
        <v>84500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 t="s">
        <v>88</v>
      </c>
      <c r="CT1079" t="s">
        <v>142</v>
      </c>
      <c r="CU1079" t="s">
        <v>1442</v>
      </c>
    </row>
    <row r="1080" spans="1:99">
      <c r="A1080" t="s">
        <v>3047</v>
      </c>
      <c r="B1080" t="s">
        <v>34</v>
      </c>
      <c r="C1080" t="s">
        <v>2624</v>
      </c>
      <c r="D1080" t="s">
        <v>2625</v>
      </c>
      <c r="E1080" t="s">
        <v>2626</v>
      </c>
      <c r="F1080" t="s">
        <v>1555</v>
      </c>
      <c r="G1080" t="s">
        <v>2553</v>
      </c>
      <c r="H1080" t="s">
        <v>1978</v>
      </c>
      <c r="I1080" t="s">
        <v>240</v>
      </c>
      <c r="J1080" t="s">
        <v>46</v>
      </c>
      <c r="K1080" t="s">
        <v>29</v>
      </c>
      <c r="L1080" t="s">
        <v>30</v>
      </c>
      <c r="M1080">
        <v>90</v>
      </c>
      <c r="N1080" t="s">
        <v>32</v>
      </c>
      <c r="O1080" t="s">
        <v>32</v>
      </c>
      <c r="Q1080" t="s">
        <v>32</v>
      </c>
      <c r="S1080" t="s">
        <v>40</v>
      </c>
      <c r="T1080">
        <v>46067</v>
      </c>
      <c r="U1080" t="s">
        <v>32</v>
      </c>
      <c r="V1080" t="s">
        <v>32</v>
      </c>
      <c r="W1080" t="s">
        <v>32</v>
      </c>
      <c r="X1080" t="s">
        <v>32</v>
      </c>
      <c r="Y1080" t="s">
        <v>88</v>
      </c>
      <c r="Z1080">
        <v>46054</v>
      </c>
      <c r="AA1080" t="s">
        <v>88</v>
      </c>
      <c r="AB1080" t="s">
        <v>32</v>
      </c>
      <c r="AE1080" t="s">
        <v>32</v>
      </c>
      <c r="AH1080" t="s">
        <v>32</v>
      </c>
      <c r="AK1080" t="s">
        <v>32</v>
      </c>
      <c r="AN1080" t="s">
        <v>32</v>
      </c>
      <c r="AO1080" t="s">
        <v>32</v>
      </c>
      <c r="AR1080">
        <v>0</v>
      </c>
      <c r="AU1080" t="s">
        <v>32</v>
      </c>
      <c r="AV1080">
        <v>3639331</v>
      </c>
      <c r="AW1080" t="s">
        <v>32</v>
      </c>
      <c r="AX1080" t="s">
        <v>32</v>
      </c>
      <c r="AY1080" t="s">
        <v>356</v>
      </c>
      <c r="AZ1080">
        <v>14</v>
      </c>
      <c r="BA1080">
        <v>1819665</v>
      </c>
      <c r="BB1080">
        <v>0.15999999642372131</v>
      </c>
      <c r="BC1080">
        <v>291200</v>
      </c>
      <c r="BD1080" t="s">
        <v>31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291200</v>
      </c>
      <c r="BK1080" t="s">
        <v>25</v>
      </c>
      <c r="BL1080" t="s">
        <v>1010</v>
      </c>
      <c r="BM1080">
        <v>14</v>
      </c>
      <c r="BN1080">
        <v>1819665</v>
      </c>
      <c r="BO1080">
        <v>3.9999999105930328E-2</v>
      </c>
      <c r="BP1080">
        <v>72800</v>
      </c>
      <c r="BQ1080">
        <v>0</v>
      </c>
      <c r="BS1080">
        <v>0</v>
      </c>
      <c r="BU1080">
        <v>0</v>
      </c>
      <c r="BV1080" t="s">
        <v>25</v>
      </c>
      <c r="BW1080" t="s">
        <v>189</v>
      </c>
      <c r="BX1080">
        <v>14</v>
      </c>
      <c r="BY1080">
        <v>1819665</v>
      </c>
      <c r="BZ1080">
        <v>6.9600000977516174E-2</v>
      </c>
      <c r="CA1080" t="s">
        <v>1439</v>
      </c>
      <c r="CB1080" t="s">
        <v>227</v>
      </c>
      <c r="CC1080" t="s">
        <v>1440</v>
      </c>
      <c r="CD1080">
        <v>126700</v>
      </c>
      <c r="CE1080">
        <v>14</v>
      </c>
      <c r="CF1080" t="s">
        <v>635</v>
      </c>
      <c r="CG1080">
        <v>3576014</v>
      </c>
      <c r="CH1080">
        <v>3.9999999105930328E-2</v>
      </c>
      <c r="CI1080">
        <v>143100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 t="s">
        <v>88</v>
      </c>
      <c r="CT1080" t="s">
        <v>142</v>
      </c>
      <c r="CU1080" t="s">
        <v>1442</v>
      </c>
    </row>
    <row r="1081" spans="1:99">
      <c r="A1081" t="s">
        <v>3047</v>
      </c>
      <c r="B1081" t="s">
        <v>397</v>
      </c>
      <c r="C1081" t="s">
        <v>2627</v>
      </c>
      <c r="D1081" t="s">
        <v>2628</v>
      </c>
      <c r="E1081" t="s">
        <v>404</v>
      </c>
      <c r="F1081" t="s">
        <v>2629</v>
      </c>
      <c r="G1081" t="s">
        <v>2630</v>
      </c>
      <c r="H1081" t="s">
        <v>2066</v>
      </c>
      <c r="I1081" t="s">
        <v>240</v>
      </c>
      <c r="J1081" t="s">
        <v>46</v>
      </c>
      <c r="K1081" t="s">
        <v>29</v>
      </c>
      <c r="L1081" t="s">
        <v>30</v>
      </c>
      <c r="M1081">
        <v>0</v>
      </c>
      <c r="N1081" t="s">
        <v>32</v>
      </c>
      <c r="O1081" t="s">
        <v>32</v>
      </c>
      <c r="Q1081" t="s">
        <v>32</v>
      </c>
      <c r="S1081" t="s">
        <v>32</v>
      </c>
      <c r="U1081" t="s">
        <v>32</v>
      </c>
      <c r="V1081" t="s">
        <v>32</v>
      </c>
      <c r="W1081" t="s">
        <v>32</v>
      </c>
      <c r="X1081" t="s">
        <v>32</v>
      </c>
      <c r="Y1081" t="s">
        <v>32</v>
      </c>
      <c r="AA1081" t="s">
        <v>32</v>
      </c>
      <c r="AB1081" t="s">
        <v>32</v>
      </c>
      <c r="AE1081" t="s">
        <v>32</v>
      </c>
      <c r="AH1081" t="s">
        <v>32</v>
      </c>
      <c r="AK1081" t="s">
        <v>128</v>
      </c>
      <c r="AL1081">
        <v>46058</v>
      </c>
      <c r="AM1081">
        <v>46058</v>
      </c>
      <c r="AN1081" t="s">
        <v>32</v>
      </c>
      <c r="AO1081" t="s">
        <v>32</v>
      </c>
      <c r="AR1081">
        <v>0</v>
      </c>
      <c r="AU1081" t="s">
        <v>32</v>
      </c>
      <c r="AV1081">
        <v>1750905</v>
      </c>
      <c r="AW1081" t="s">
        <v>32</v>
      </c>
      <c r="AX1081" t="s">
        <v>32</v>
      </c>
      <c r="AY1081" t="s">
        <v>356</v>
      </c>
      <c r="AZ1081">
        <v>1</v>
      </c>
      <c r="BA1081">
        <v>58364</v>
      </c>
      <c r="BB1081">
        <v>0.15999999642372131</v>
      </c>
      <c r="BC1081">
        <v>9400</v>
      </c>
      <c r="BD1081" t="s">
        <v>31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9400</v>
      </c>
      <c r="BK1081" t="s">
        <v>25</v>
      </c>
      <c r="BL1081" t="s">
        <v>1064</v>
      </c>
      <c r="BM1081">
        <v>1</v>
      </c>
      <c r="BN1081">
        <v>58364</v>
      </c>
      <c r="BO1081">
        <v>3.9999999105930328E-2</v>
      </c>
      <c r="BP1081">
        <v>2400</v>
      </c>
      <c r="BQ1081">
        <v>0</v>
      </c>
      <c r="BS1081">
        <v>0</v>
      </c>
      <c r="BU1081">
        <v>0</v>
      </c>
      <c r="BV1081" t="s">
        <v>25</v>
      </c>
      <c r="BW1081" t="s">
        <v>189</v>
      </c>
      <c r="BX1081">
        <v>1</v>
      </c>
      <c r="BY1081">
        <v>58364</v>
      </c>
      <c r="BZ1081">
        <v>0</v>
      </c>
      <c r="CA1081" t="s">
        <v>1439</v>
      </c>
      <c r="CB1081" t="s">
        <v>227</v>
      </c>
      <c r="CC1081" t="s">
        <v>1440</v>
      </c>
      <c r="CD1081">
        <v>0</v>
      </c>
      <c r="CE1081">
        <v>1</v>
      </c>
      <c r="CF1081" t="s">
        <v>635</v>
      </c>
      <c r="CG1081">
        <v>58364</v>
      </c>
      <c r="CH1081">
        <v>3.9999999105930328E-2</v>
      </c>
      <c r="CI1081">
        <v>2400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 t="s">
        <v>88</v>
      </c>
      <c r="CT1081" t="s">
        <v>142</v>
      </c>
      <c r="CU1081" t="s">
        <v>1442</v>
      </c>
    </row>
    <row r="1082" spans="1:99">
      <c r="A1082" t="s">
        <v>3047</v>
      </c>
      <c r="B1082" t="s">
        <v>397</v>
      </c>
      <c r="C1082" t="s">
        <v>2627</v>
      </c>
      <c r="D1082" t="s">
        <v>2628</v>
      </c>
      <c r="E1082" t="s">
        <v>404</v>
      </c>
      <c r="F1082" t="s">
        <v>2629</v>
      </c>
      <c r="G1082" t="s">
        <v>2630</v>
      </c>
      <c r="H1082" t="s">
        <v>2066</v>
      </c>
      <c r="I1082" t="s">
        <v>240</v>
      </c>
      <c r="J1082" t="s">
        <v>46</v>
      </c>
      <c r="K1082" t="s">
        <v>29</v>
      </c>
      <c r="L1082" t="s">
        <v>30</v>
      </c>
      <c r="M1082">
        <v>0</v>
      </c>
      <c r="N1082" t="s">
        <v>32</v>
      </c>
      <c r="O1082" t="s">
        <v>32</v>
      </c>
      <c r="Q1082" t="s">
        <v>32</v>
      </c>
      <c r="S1082" t="s">
        <v>32</v>
      </c>
      <c r="U1082" t="s">
        <v>32</v>
      </c>
      <c r="V1082" t="s">
        <v>32</v>
      </c>
      <c r="W1082" t="s">
        <v>32</v>
      </c>
      <c r="X1082" t="s">
        <v>32</v>
      </c>
      <c r="Y1082" t="s">
        <v>32</v>
      </c>
      <c r="AA1082" t="s">
        <v>32</v>
      </c>
      <c r="AB1082" t="s">
        <v>32</v>
      </c>
      <c r="AE1082" t="s">
        <v>32</v>
      </c>
      <c r="AH1082" t="s">
        <v>32</v>
      </c>
      <c r="AK1082" t="s">
        <v>128</v>
      </c>
      <c r="AL1082">
        <v>46079</v>
      </c>
      <c r="AM1082">
        <v>46081</v>
      </c>
      <c r="AN1082" t="s">
        <v>32</v>
      </c>
      <c r="AO1082" t="s">
        <v>32</v>
      </c>
      <c r="AR1082">
        <v>0</v>
      </c>
      <c r="AU1082" t="s">
        <v>32</v>
      </c>
      <c r="AV1082">
        <v>1750905</v>
      </c>
      <c r="AW1082" t="s">
        <v>32</v>
      </c>
      <c r="AX1082" t="s">
        <v>32</v>
      </c>
      <c r="AY1082" t="s">
        <v>356</v>
      </c>
      <c r="AZ1082">
        <v>3</v>
      </c>
      <c r="BA1082">
        <v>175091</v>
      </c>
      <c r="BB1082">
        <v>0.15999999642372131</v>
      </c>
      <c r="BC1082">
        <v>28100</v>
      </c>
      <c r="BD1082" t="s">
        <v>31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28100</v>
      </c>
      <c r="BK1082" t="s">
        <v>25</v>
      </c>
      <c r="BL1082" t="s">
        <v>1064</v>
      </c>
      <c r="BM1082">
        <v>3</v>
      </c>
      <c r="BN1082">
        <v>175091</v>
      </c>
      <c r="BO1082">
        <v>3.9999999105930328E-2</v>
      </c>
      <c r="BP1082">
        <v>7100</v>
      </c>
      <c r="BQ1082">
        <v>0</v>
      </c>
      <c r="BS1082">
        <v>0</v>
      </c>
      <c r="BU1082">
        <v>0</v>
      </c>
      <c r="BV1082" t="s">
        <v>25</v>
      </c>
      <c r="BW1082" t="s">
        <v>189</v>
      </c>
      <c r="BX1082">
        <v>3</v>
      </c>
      <c r="BY1082">
        <v>175091</v>
      </c>
      <c r="BZ1082">
        <v>0</v>
      </c>
      <c r="CA1082" t="s">
        <v>1439</v>
      </c>
      <c r="CB1082" t="s">
        <v>227</v>
      </c>
      <c r="CC1082" t="s">
        <v>1440</v>
      </c>
      <c r="CD1082">
        <v>0</v>
      </c>
      <c r="CE1082">
        <v>3</v>
      </c>
      <c r="CF1082" t="s">
        <v>635</v>
      </c>
      <c r="CG1082">
        <v>175091</v>
      </c>
      <c r="CH1082">
        <v>3.9999999105930328E-2</v>
      </c>
      <c r="CI1082">
        <v>7100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 t="s">
        <v>88</v>
      </c>
      <c r="CT1082" t="s">
        <v>142</v>
      </c>
      <c r="CU1082" t="s">
        <v>1442</v>
      </c>
    </row>
    <row r="1083" spans="1:99">
      <c r="A1083" t="s">
        <v>3047</v>
      </c>
      <c r="B1083" t="s">
        <v>397</v>
      </c>
      <c r="C1083" t="s">
        <v>2627</v>
      </c>
      <c r="D1083" t="s">
        <v>2628</v>
      </c>
      <c r="E1083" t="s">
        <v>404</v>
      </c>
      <c r="F1083" t="s">
        <v>2629</v>
      </c>
      <c r="G1083" t="s">
        <v>2630</v>
      </c>
      <c r="H1083" t="s">
        <v>2066</v>
      </c>
      <c r="I1083" t="s">
        <v>240</v>
      </c>
      <c r="J1083" t="s">
        <v>46</v>
      </c>
      <c r="K1083" t="s">
        <v>29</v>
      </c>
      <c r="L1083" t="s">
        <v>30</v>
      </c>
      <c r="M1083">
        <v>195</v>
      </c>
      <c r="N1083" t="s">
        <v>32</v>
      </c>
      <c r="O1083" t="s">
        <v>32</v>
      </c>
      <c r="Q1083" t="s">
        <v>32</v>
      </c>
      <c r="S1083" t="s">
        <v>40</v>
      </c>
      <c r="T1083">
        <v>46081</v>
      </c>
      <c r="U1083" t="s">
        <v>32</v>
      </c>
      <c r="V1083" t="s">
        <v>32</v>
      </c>
      <c r="W1083" t="s">
        <v>32</v>
      </c>
      <c r="X1083" t="s">
        <v>32</v>
      </c>
      <c r="Y1083" t="s">
        <v>32</v>
      </c>
      <c r="AA1083" t="s">
        <v>88</v>
      </c>
      <c r="AB1083" t="s">
        <v>32</v>
      </c>
      <c r="AE1083" t="s">
        <v>32</v>
      </c>
      <c r="AH1083" t="s">
        <v>32</v>
      </c>
      <c r="AK1083" t="s">
        <v>32</v>
      </c>
      <c r="AN1083" t="s">
        <v>32</v>
      </c>
      <c r="AO1083" t="s">
        <v>32</v>
      </c>
      <c r="AR1083">
        <v>0</v>
      </c>
      <c r="AU1083" t="s">
        <v>32</v>
      </c>
      <c r="AV1083">
        <v>1750905</v>
      </c>
      <c r="AW1083" t="s">
        <v>32</v>
      </c>
      <c r="AX1083" t="s">
        <v>32</v>
      </c>
      <c r="AY1083" t="s">
        <v>356</v>
      </c>
      <c r="AZ1083">
        <v>26</v>
      </c>
      <c r="BA1083">
        <v>2515069</v>
      </c>
      <c r="BB1083">
        <v>0.15999999642372131</v>
      </c>
      <c r="BC1083">
        <v>402500</v>
      </c>
      <c r="BD1083" t="s">
        <v>31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402500</v>
      </c>
      <c r="BK1083" t="s">
        <v>25</v>
      </c>
      <c r="BL1083" t="s">
        <v>1064</v>
      </c>
      <c r="BM1083">
        <v>26</v>
      </c>
      <c r="BN1083">
        <v>2515069</v>
      </c>
      <c r="BO1083">
        <v>3.9999999105930328E-2</v>
      </c>
      <c r="BP1083">
        <v>100700</v>
      </c>
      <c r="BQ1083">
        <v>0</v>
      </c>
      <c r="BS1083">
        <v>0</v>
      </c>
      <c r="BU1083">
        <v>0</v>
      </c>
      <c r="BV1083" t="s">
        <v>25</v>
      </c>
      <c r="BW1083" t="s">
        <v>189</v>
      </c>
      <c r="BX1083">
        <v>26</v>
      </c>
      <c r="BY1083">
        <v>2515069</v>
      </c>
      <c r="BZ1083">
        <v>6.9600000977516174E-2</v>
      </c>
      <c r="CA1083" t="s">
        <v>1439</v>
      </c>
      <c r="CB1083" t="s">
        <v>227</v>
      </c>
      <c r="CC1083" t="s">
        <v>1440</v>
      </c>
      <c r="CD1083">
        <v>175100</v>
      </c>
      <c r="CE1083">
        <v>26</v>
      </c>
      <c r="CF1083" t="s">
        <v>635</v>
      </c>
      <c r="CG1083">
        <v>3235087</v>
      </c>
      <c r="CH1083">
        <v>3.9999999105930328E-2</v>
      </c>
      <c r="CI1083">
        <v>129500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 t="s">
        <v>88</v>
      </c>
      <c r="CT1083" t="s">
        <v>142</v>
      </c>
      <c r="CU1083" t="s">
        <v>1442</v>
      </c>
    </row>
    <row r="1084" spans="1:99">
      <c r="A1084" t="s">
        <v>3047</v>
      </c>
      <c r="B1084" t="s">
        <v>397</v>
      </c>
      <c r="C1084" t="s">
        <v>2631</v>
      </c>
      <c r="D1084" t="s">
        <v>2632</v>
      </c>
      <c r="E1084" t="s">
        <v>2633</v>
      </c>
      <c r="F1084" t="s">
        <v>2634</v>
      </c>
      <c r="G1084" t="s">
        <v>2635</v>
      </c>
      <c r="H1084" t="s">
        <v>1503</v>
      </c>
      <c r="I1084" t="s">
        <v>240</v>
      </c>
      <c r="J1084" t="s">
        <v>46</v>
      </c>
      <c r="K1084" t="s">
        <v>29</v>
      </c>
      <c r="L1084" t="s">
        <v>30</v>
      </c>
      <c r="M1084">
        <v>0</v>
      </c>
      <c r="N1084" t="s">
        <v>32</v>
      </c>
      <c r="O1084" t="s">
        <v>32</v>
      </c>
      <c r="Q1084" t="s">
        <v>32</v>
      </c>
      <c r="S1084" t="s">
        <v>32</v>
      </c>
      <c r="U1084" t="s">
        <v>32</v>
      </c>
      <c r="V1084" t="s">
        <v>32</v>
      </c>
      <c r="W1084" t="s">
        <v>32</v>
      </c>
      <c r="X1084" t="s">
        <v>32</v>
      </c>
      <c r="Y1084" t="s">
        <v>32</v>
      </c>
      <c r="AA1084" t="s">
        <v>32</v>
      </c>
      <c r="AB1084" t="s">
        <v>37</v>
      </c>
      <c r="AC1084">
        <v>46069</v>
      </c>
      <c r="AD1084">
        <v>46069</v>
      </c>
      <c r="AE1084" t="s">
        <v>32</v>
      </c>
      <c r="AH1084" t="s">
        <v>32</v>
      </c>
      <c r="AK1084" t="s">
        <v>32</v>
      </c>
      <c r="AN1084" t="s">
        <v>32</v>
      </c>
      <c r="AO1084" t="s">
        <v>32</v>
      </c>
      <c r="AR1084">
        <v>0</v>
      </c>
      <c r="AU1084" t="s">
        <v>32</v>
      </c>
      <c r="AV1084">
        <v>2074908</v>
      </c>
      <c r="AW1084" t="s">
        <v>32</v>
      </c>
      <c r="AX1084" t="s">
        <v>32</v>
      </c>
      <c r="AY1084" t="s">
        <v>317</v>
      </c>
      <c r="AZ1084">
        <v>1</v>
      </c>
      <c r="BA1084">
        <v>69164</v>
      </c>
      <c r="BB1084">
        <v>0.15999999642372131</v>
      </c>
      <c r="BC1084">
        <v>11100</v>
      </c>
      <c r="BD1084" t="s">
        <v>31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11100</v>
      </c>
      <c r="BK1084" t="s">
        <v>25</v>
      </c>
      <c r="BL1084" t="s">
        <v>1064</v>
      </c>
      <c r="BM1084">
        <v>1</v>
      </c>
      <c r="BN1084">
        <v>69164</v>
      </c>
      <c r="BO1084">
        <v>0</v>
      </c>
      <c r="BP1084">
        <v>0</v>
      </c>
      <c r="BQ1084">
        <v>0</v>
      </c>
      <c r="BS1084">
        <v>0</v>
      </c>
      <c r="BU1084">
        <v>0</v>
      </c>
      <c r="BV1084" t="s">
        <v>25</v>
      </c>
      <c r="BW1084" t="s">
        <v>189</v>
      </c>
      <c r="BX1084">
        <v>1</v>
      </c>
      <c r="BY1084">
        <v>69164</v>
      </c>
      <c r="BZ1084">
        <v>0</v>
      </c>
      <c r="CA1084" t="s">
        <v>1439</v>
      </c>
      <c r="CB1084" t="s">
        <v>227</v>
      </c>
      <c r="CC1084" t="s">
        <v>1440</v>
      </c>
      <c r="CD1084">
        <v>0</v>
      </c>
      <c r="CE1084">
        <v>1</v>
      </c>
      <c r="CF1084" t="s">
        <v>635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 t="s">
        <v>88</v>
      </c>
      <c r="CT1084" t="s">
        <v>142</v>
      </c>
      <c r="CU1084" t="s">
        <v>1442</v>
      </c>
    </row>
    <row r="1085" spans="1:99">
      <c r="A1085" t="s">
        <v>3047</v>
      </c>
      <c r="B1085" t="s">
        <v>397</v>
      </c>
      <c r="C1085" t="s">
        <v>2631</v>
      </c>
      <c r="D1085" t="s">
        <v>2632</v>
      </c>
      <c r="E1085" t="s">
        <v>2633</v>
      </c>
      <c r="F1085" t="s">
        <v>2634</v>
      </c>
      <c r="G1085" t="s">
        <v>2635</v>
      </c>
      <c r="H1085" t="s">
        <v>1503</v>
      </c>
      <c r="I1085" t="s">
        <v>240</v>
      </c>
      <c r="J1085" t="s">
        <v>46</v>
      </c>
      <c r="K1085" t="s">
        <v>29</v>
      </c>
      <c r="L1085" t="s">
        <v>30</v>
      </c>
      <c r="M1085">
        <v>0</v>
      </c>
      <c r="N1085" t="s">
        <v>32</v>
      </c>
      <c r="O1085" t="s">
        <v>32</v>
      </c>
      <c r="Q1085" t="s">
        <v>32</v>
      </c>
      <c r="S1085" t="s">
        <v>32</v>
      </c>
      <c r="U1085" t="s">
        <v>32</v>
      </c>
      <c r="V1085" t="s">
        <v>32</v>
      </c>
      <c r="W1085" t="s">
        <v>32</v>
      </c>
      <c r="X1085" t="s">
        <v>32</v>
      </c>
      <c r="Y1085" t="s">
        <v>32</v>
      </c>
      <c r="AA1085" t="s">
        <v>32</v>
      </c>
      <c r="AB1085" t="s">
        <v>37</v>
      </c>
      <c r="AC1085">
        <v>46079</v>
      </c>
      <c r="AD1085">
        <v>46081</v>
      </c>
      <c r="AE1085" t="s">
        <v>32</v>
      </c>
      <c r="AH1085" t="s">
        <v>32</v>
      </c>
      <c r="AK1085" t="s">
        <v>32</v>
      </c>
      <c r="AN1085" t="s">
        <v>32</v>
      </c>
      <c r="AO1085" t="s">
        <v>32</v>
      </c>
      <c r="AR1085">
        <v>0</v>
      </c>
      <c r="AU1085" t="s">
        <v>32</v>
      </c>
      <c r="AV1085">
        <v>2074908</v>
      </c>
      <c r="AW1085" t="s">
        <v>32</v>
      </c>
      <c r="AX1085" t="s">
        <v>32</v>
      </c>
      <c r="AY1085" t="s">
        <v>317</v>
      </c>
      <c r="AZ1085">
        <v>3</v>
      </c>
      <c r="BA1085">
        <v>207491</v>
      </c>
      <c r="BB1085">
        <v>0.15999999642372131</v>
      </c>
      <c r="BC1085">
        <v>33200</v>
      </c>
      <c r="BD1085" t="s">
        <v>31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33200</v>
      </c>
      <c r="BK1085" t="s">
        <v>25</v>
      </c>
      <c r="BL1085" t="s">
        <v>1064</v>
      </c>
      <c r="BM1085">
        <v>3</v>
      </c>
      <c r="BN1085">
        <v>207491</v>
      </c>
      <c r="BO1085">
        <v>0</v>
      </c>
      <c r="BP1085">
        <v>0</v>
      </c>
      <c r="BQ1085">
        <v>0</v>
      </c>
      <c r="BS1085">
        <v>0</v>
      </c>
      <c r="BU1085">
        <v>0</v>
      </c>
      <c r="BV1085" t="s">
        <v>25</v>
      </c>
      <c r="BW1085" t="s">
        <v>189</v>
      </c>
      <c r="BX1085">
        <v>3</v>
      </c>
      <c r="BY1085">
        <v>207491</v>
      </c>
      <c r="BZ1085">
        <v>0</v>
      </c>
      <c r="CA1085" t="s">
        <v>1439</v>
      </c>
      <c r="CB1085" t="s">
        <v>227</v>
      </c>
      <c r="CC1085" t="s">
        <v>1440</v>
      </c>
      <c r="CD1085">
        <v>0</v>
      </c>
      <c r="CE1085">
        <v>3</v>
      </c>
      <c r="CF1085" t="s">
        <v>635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 t="s">
        <v>88</v>
      </c>
      <c r="CT1085" t="s">
        <v>142</v>
      </c>
      <c r="CU1085" t="s">
        <v>1442</v>
      </c>
    </row>
    <row r="1086" spans="1:99">
      <c r="A1086" t="s">
        <v>3047</v>
      </c>
      <c r="B1086" t="s">
        <v>397</v>
      </c>
      <c r="C1086" t="s">
        <v>2631</v>
      </c>
      <c r="D1086" t="s">
        <v>2632</v>
      </c>
      <c r="E1086" t="s">
        <v>2633</v>
      </c>
      <c r="F1086" t="s">
        <v>2634</v>
      </c>
      <c r="G1086" t="s">
        <v>2635</v>
      </c>
      <c r="H1086" t="s">
        <v>1503</v>
      </c>
      <c r="I1086" t="s">
        <v>240</v>
      </c>
      <c r="J1086" t="s">
        <v>46</v>
      </c>
      <c r="K1086" t="s">
        <v>29</v>
      </c>
      <c r="L1086" t="s">
        <v>30</v>
      </c>
      <c r="M1086">
        <v>195</v>
      </c>
      <c r="N1086" t="s">
        <v>32</v>
      </c>
      <c r="O1086" t="s">
        <v>32</v>
      </c>
      <c r="Q1086" t="s">
        <v>32</v>
      </c>
      <c r="S1086" t="s">
        <v>40</v>
      </c>
      <c r="T1086">
        <v>46081</v>
      </c>
      <c r="U1086" t="s">
        <v>32</v>
      </c>
      <c r="V1086" t="s">
        <v>32</v>
      </c>
      <c r="W1086" t="s">
        <v>32</v>
      </c>
      <c r="X1086" t="s">
        <v>32</v>
      </c>
      <c r="Y1086" t="s">
        <v>32</v>
      </c>
      <c r="AA1086" t="s">
        <v>88</v>
      </c>
      <c r="AB1086" t="s">
        <v>32</v>
      </c>
      <c r="AE1086" t="s">
        <v>32</v>
      </c>
      <c r="AH1086" t="s">
        <v>32</v>
      </c>
      <c r="AK1086" t="s">
        <v>32</v>
      </c>
      <c r="AN1086" t="s">
        <v>32</v>
      </c>
      <c r="AO1086" t="s">
        <v>32</v>
      </c>
      <c r="AR1086">
        <v>0</v>
      </c>
      <c r="AU1086" t="s">
        <v>32</v>
      </c>
      <c r="AV1086">
        <v>2074908</v>
      </c>
      <c r="AW1086" t="s">
        <v>32</v>
      </c>
      <c r="AX1086" t="s">
        <v>32</v>
      </c>
      <c r="AY1086" t="s">
        <v>317</v>
      </c>
      <c r="AZ1086">
        <v>26</v>
      </c>
      <c r="BA1086">
        <v>2984106</v>
      </c>
      <c r="BB1086">
        <v>0.15999999642372131</v>
      </c>
      <c r="BC1086">
        <v>477500</v>
      </c>
      <c r="BD1086" t="s">
        <v>31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477500</v>
      </c>
      <c r="BK1086" t="s">
        <v>25</v>
      </c>
      <c r="BL1086" t="s">
        <v>1064</v>
      </c>
      <c r="BM1086">
        <v>26</v>
      </c>
      <c r="BN1086">
        <v>2984106</v>
      </c>
      <c r="BO1086">
        <v>3.9999999105930328E-2</v>
      </c>
      <c r="BP1086">
        <v>119400</v>
      </c>
      <c r="BQ1086">
        <v>0</v>
      </c>
      <c r="BS1086">
        <v>0</v>
      </c>
      <c r="BU1086">
        <v>0</v>
      </c>
      <c r="BV1086" t="s">
        <v>25</v>
      </c>
      <c r="BW1086" t="s">
        <v>189</v>
      </c>
      <c r="BX1086">
        <v>26</v>
      </c>
      <c r="BY1086">
        <v>2984106</v>
      </c>
      <c r="BZ1086">
        <v>6.9600000977516174E-2</v>
      </c>
      <c r="CA1086" t="s">
        <v>1439</v>
      </c>
      <c r="CB1086" t="s">
        <v>227</v>
      </c>
      <c r="CC1086" t="s">
        <v>1440</v>
      </c>
      <c r="CD1086">
        <v>207700</v>
      </c>
      <c r="CE1086">
        <v>26</v>
      </c>
      <c r="CF1086" t="s">
        <v>635</v>
      </c>
      <c r="CG1086">
        <v>3706002</v>
      </c>
      <c r="CH1086">
        <v>3.9999999105930328E-2</v>
      </c>
      <c r="CI1086">
        <v>148300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 t="s">
        <v>88</v>
      </c>
      <c r="CT1086" t="s">
        <v>142</v>
      </c>
      <c r="CU1086" t="s">
        <v>1442</v>
      </c>
    </row>
    <row r="1087" spans="1:99">
      <c r="A1087" t="s">
        <v>3047</v>
      </c>
      <c r="B1087" t="s">
        <v>34</v>
      </c>
      <c r="C1087" t="s">
        <v>2636</v>
      </c>
      <c r="D1087" t="s">
        <v>2637</v>
      </c>
      <c r="E1087" t="s">
        <v>1517</v>
      </c>
      <c r="F1087" t="s">
        <v>2638</v>
      </c>
      <c r="G1087" t="s">
        <v>1451</v>
      </c>
      <c r="H1087" t="s">
        <v>1558</v>
      </c>
      <c r="I1087" t="s">
        <v>240</v>
      </c>
      <c r="J1087" t="s">
        <v>46</v>
      </c>
      <c r="K1087" t="s">
        <v>29</v>
      </c>
      <c r="L1087" t="s">
        <v>30</v>
      </c>
      <c r="M1087">
        <v>0</v>
      </c>
      <c r="N1087" t="s">
        <v>32</v>
      </c>
      <c r="O1087" t="s">
        <v>32</v>
      </c>
      <c r="Q1087" t="s">
        <v>32</v>
      </c>
      <c r="S1087" t="s">
        <v>32</v>
      </c>
      <c r="U1087" t="s">
        <v>32</v>
      </c>
      <c r="V1087" t="s">
        <v>32</v>
      </c>
      <c r="W1087" t="s">
        <v>32</v>
      </c>
      <c r="X1087" t="s">
        <v>32</v>
      </c>
      <c r="Y1087" t="s">
        <v>32</v>
      </c>
      <c r="AA1087" t="s">
        <v>32</v>
      </c>
      <c r="AB1087" t="s">
        <v>32</v>
      </c>
      <c r="AE1087" t="s">
        <v>1492</v>
      </c>
      <c r="AF1087">
        <v>46054</v>
      </c>
      <c r="AG1087">
        <v>46055</v>
      </c>
      <c r="AH1087" t="s">
        <v>32</v>
      </c>
      <c r="AK1087" t="s">
        <v>32</v>
      </c>
      <c r="AN1087" t="s">
        <v>32</v>
      </c>
      <c r="AO1087" t="s">
        <v>32</v>
      </c>
      <c r="AR1087">
        <v>0</v>
      </c>
      <c r="AU1087" t="s">
        <v>32</v>
      </c>
      <c r="AV1087">
        <v>1785595</v>
      </c>
      <c r="AW1087" t="s">
        <v>32</v>
      </c>
      <c r="AX1087" t="s">
        <v>32</v>
      </c>
      <c r="AY1087" t="s">
        <v>317</v>
      </c>
      <c r="AZ1087">
        <v>2</v>
      </c>
      <c r="BA1087">
        <v>175970</v>
      </c>
      <c r="BB1087">
        <v>0.15999999642372131</v>
      </c>
      <c r="BC1087">
        <v>28200</v>
      </c>
      <c r="BD1087" t="s">
        <v>31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28200</v>
      </c>
      <c r="BK1087" t="s">
        <v>25</v>
      </c>
      <c r="BL1087" t="s">
        <v>1010</v>
      </c>
      <c r="BM1087">
        <v>2</v>
      </c>
      <c r="BN1087">
        <v>175970</v>
      </c>
      <c r="BO1087">
        <v>3.9999999105930328E-2</v>
      </c>
      <c r="BP1087">
        <v>7100</v>
      </c>
      <c r="BQ1087">
        <v>0</v>
      </c>
      <c r="BS1087">
        <v>0</v>
      </c>
      <c r="BU1087">
        <v>0</v>
      </c>
      <c r="BV1087" t="s">
        <v>25</v>
      </c>
      <c r="BW1087" t="s">
        <v>189</v>
      </c>
      <c r="BX1087">
        <v>2</v>
      </c>
      <c r="BY1087">
        <v>175970</v>
      </c>
      <c r="BZ1087">
        <v>0</v>
      </c>
      <c r="CA1087" t="s">
        <v>1439</v>
      </c>
      <c r="CB1087" t="s">
        <v>227</v>
      </c>
      <c r="CC1087" t="s">
        <v>1440</v>
      </c>
      <c r="CD1087">
        <v>0</v>
      </c>
      <c r="CE1087">
        <v>2</v>
      </c>
      <c r="CF1087" t="s">
        <v>635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 t="s">
        <v>88</v>
      </c>
      <c r="CT1087" t="s">
        <v>142</v>
      </c>
      <c r="CU1087" t="s">
        <v>1442</v>
      </c>
    </row>
    <row r="1088" spans="1:99">
      <c r="A1088" t="s">
        <v>3047</v>
      </c>
      <c r="B1088" t="s">
        <v>34</v>
      </c>
      <c r="C1088" t="s">
        <v>2636</v>
      </c>
      <c r="D1088" t="s">
        <v>2637</v>
      </c>
      <c r="E1088" t="s">
        <v>1517</v>
      </c>
      <c r="F1088" t="s">
        <v>2638</v>
      </c>
      <c r="G1088" t="s">
        <v>1451</v>
      </c>
      <c r="H1088" t="s">
        <v>1558</v>
      </c>
      <c r="I1088" t="s">
        <v>240</v>
      </c>
      <c r="J1088" t="s">
        <v>46</v>
      </c>
      <c r="K1088" t="s">
        <v>29</v>
      </c>
      <c r="L1088" t="s">
        <v>30</v>
      </c>
      <c r="M1088">
        <v>0</v>
      </c>
      <c r="N1088" t="s">
        <v>32</v>
      </c>
      <c r="O1088" t="s">
        <v>32</v>
      </c>
      <c r="Q1088" t="s">
        <v>32</v>
      </c>
      <c r="S1088" t="s">
        <v>32</v>
      </c>
      <c r="U1088" t="s">
        <v>32</v>
      </c>
      <c r="V1088" t="s">
        <v>32</v>
      </c>
      <c r="W1088" t="s">
        <v>32</v>
      </c>
      <c r="X1088" t="s">
        <v>32</v>
      </c>
      <c r="Y1088" t="s">
        <v>32</v>
      </c>
      <c r="AA1088" t="s">
        <v>32</v>
      </c>
      <c r="AB1088" t="s">
        <v>37</v>
      </c>
      <c r="AC1088">
        <v>46069</v>
      </c>
      <c r="AD1088">
        <v>46069</v>
      </c>
      <c r="AE1088" t="s">
        <v>32</v>
      </c>
      <c r="AH1088" t="s">
        <v>32</v>
      </c>
      <c r="AK1088" t="s">
        <v>32</v>
      </c>
      <c r="AN1088" t="s">
        <v>32</v>
      </c>
      <c r="AO1088" t="s">
        <v>32</v>
      </c>
      <c r="AR1088">
        <v>0</v>
      </c>
      <c r="AU1088" t="s">
        <v>32</v>
      </c>
      <c r="AV1088">
        <v>1785595</v>
      </c>
      <c r="AW1088" t="s">
        <v>32</v>
      </c>
      <c r="AX1088" t="s">
        <v>32</v>
      </c>
      <c r="AY1088" t="s">
        <v>317</v>
      </c>
      <c r="AZ1088">
        <v>1</v>
      </c>
      <c r="BA1088">
        <v>59520</v>
      </c>
      <c r="BB1088">
        <v>0.15999999642372131</v>
      </c>
      <c r="BC1088">
        <v>9600</v>
      </c>
      <c r="BD1088" t="s">
        <v>31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9600</v>
      </c>
      <c r="BK1088" t="s">
        <v>25</v>
      </c>
      <c r="BL1088" t="s">
        <v>1010</v>
      </c>
      <c r="BM1088">
        <v>1</v>
      </c>
      <c r="BN1088">
        <v>59520</v>
      </c>
      <c r="BO1088">
        <v>0</v>
      </c>
      <c r="BP1088">
        <v>0</v>
      </c>
      <c r="BQ1088">
        <v>0</v>
      </c>
      <c r="BS1088">
        <v>0</v>
      </c>
      <c r="BU1088">
        <v>0</v>
      </c>
      <c r="BV1088" t="s">
        <v>25</v>
      </c>
      <c r="BW1088" t="s">
        <v>189</v>
      </c>
      <c r="BX1088">
        <v>1</v>
      </c>
      <c r="BY1088">
        <v>59520</v>
      </c>
      <c r="BZ1088">
        <v>0</v>
      </c>
      <c r="CA1088" t="s">
        <v>1439</v>
      </c>
      <c r="CB1088" t="s">
        <v>227</v>
      </c>
      <c r="CC1088" t="s">
        <v>1440</v>
      </c>
      <c r="CD1088">
        <v>0</v>
      </c>
      <c r="CE1088">
        <v>1</v>
      </c>
      <c r="CF1088" t="s">
        <v>635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 t="s">
        <v>88</v>
      </c>
      <c r="CT1088" t="s">
        <v>142</v>
      </c>
      <c r="CU1088" t="s">
        <v>1442</v>
      </c>
    </row>
    <row r="1089" spans="1:99">
      <c r="A1089" t="s">
        <v>3047</v>
      </c>
      <c r="B1089" t="s">
        <v>34</v>
      </c>
      <c r="C1089" t="s">
        <v>2636</v>
      </c>
      <c r="D1089" t="s">
        <v>2637</v>
      </c>
      <c r="E1089" t="s">
        <v>1517</v>
      </c>
      <c r="F1089" t="s">
        <v>2638</v>
      </c>
      <c r="G1089" t="s">
        <v>1451</v>
      </c>
      <c r="H1089" t="s">
        <v>1558</v>
      </c>
      <c r="I1089" t="s">
        <v>240</v>
      </c>
      <c r="J1089" t="s">
        <v>46</v>
      </c>
      <c r="K1089" t="s">
        <v>29</v>
      </c>
      <c r="L1089" t="s">
        <v>30</v>
      </c>
      <c r="M1089">
        <v>195</v>
      </c>
      <c r="N1089" t="s">
        <v>32</v>
      </c>
      <c r="O1089" t="s">
        <v>32</v>
      </c>
      <c r="Q1089" t="s">
        <v>32</v>
      </c>
      <c r="S1089" t="s">
        <v>32</v>
      </c>
      <c r="U1089" t="s">
        <v>32</v>
      </c>
      <c r="V1089" t="s">
        <v>32</v>
      </c>
      <c r="W1089" t="s">
        <v>32</v>
      </c>
      <c r="X1089" t="s">
        <v>32</v>
      </c>
      <c r="Y1089" t="s">
        <v>32</v>
      </c>
      <c r="AA1089" t="s">
        <v>88</v>
      </c>
      <c r="AB1089" t="s">
        <v>32</v>
      </c>
      <c r="AE1089" t="s">
        <v>32</v>
      </c>
      <c r="AH1089" t="s">
        <v>32</v>
      </c>
      <c r="AK1089" t="s">
        <v>32</v>
      </c>
      <c r="AN1089" t="s">
        <v>32</v>
      </c>
      <c r="AO1089" t="s">
        <v>32</v>
      </c>
      <c r="AR1089">
        <v>0</v>
      </c>
      <c r="AU1089" t="s">
        <v>32</v>
      </c>
      <c r="AV1089">
        <v>1785595</v>
      </c>
      <c r="AW1089" t="s">
        <v>32</v>
      </c>
      <c r="AX1089" t="s">
        <v>32</v>
      </c>
      <c r="AY1089" t="s">
        <v>317</v>
      </c>
      <c r="AZ1089">
        <v>27</v>
      </c>
      <c r="BA1089">
        <v>2192252</v>
      </c>
      <c r="BB1089">
        <v>0.15999999642372131</v>
      </c>
      <c r="BC1089">
        <v>350800</v>
      </c>
      <c r="BD1089" t="s">
        <v>31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350800</v>
      </c>
      <c r="BK1089" t="s">
        <v>25</v>
      </c>
      <c r="BL1089" t="s">
        <v>1010</v>
      </c>
      <c r="BM1089">
        <v>27</v>
      </c>
      <c r="BN1089">
        <v>2192252</v>
      </c>
      <c r="BO1089">
        <v>3.9999999105930328E-2</v>
      </c>
      <c r="BP1089">
        <v>87700</v>
      </c>
      <c r="BQ1089">
        <v>0</v>
      </c>
      <c r="BS1089">
        <v>0</v>
      </c>
      <c r="BU1089">
        <v>0</v>
      </c>
      <c r="BV1089" t="s">
        <v>25</v>
      </c>
      <c r="BW1089" t="s">
        <v>189</v>
      </c>
      <c r="BX1089">
        <v>27</v>
      </c>
      <c r="BY1089">
        <v>2192252</v>
      </c>
      <c r="BZ1089">
        <v>6.9600000977516174E-2</v>
      </c>
      <c r="CA1089" t="s">
        <v>1439</v>
      </c>
      <c r="CB1089" t="s">
        <v>227</v>
      </c>
      <c r="CC1089" t="s">
        <v>1440</v>
      </c>
      <c r="CD1089">
        <v>152600</v>
      </c>
      <c r="CE1089">
        <v>27</v>
      </c>
      <c r="CF1089" t="s">
        <v>635</v>
      </c>
      <c r="CG1089">
        <v>2192252</v>
      </c>
      <c r="CH1089">
        <v>3.9999999105930328E-2</v>
      </c>
      <c r="CI1089">
        <v>87700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 t="s">
        <v>88</v>
      </c>
      <c r="CT1089" t="s">
        <v>142</v>
      </c>
      <c r="CU1089" t="s">
        <v>1442</v>
      </c>
    </row>
    <row r="1090" spans="1:99">
      <c r="A1090" t="s">
        <v>3047</v>
      </c>
      <c r="B1090" t="s">
        <v>34</v>
      </c>
      <c r="C1090" t="s">
        <v>2639</v>
      </c>
      <c r="D1090" t="s">
        <v>2640</v>
      </c>
      <c r="E1090" t="s">
        <v>2641</v>
      </c>
      <c r="F1090" t="s">
        <v>2642</v>
      </c>
      <c r="G1090" t="s">
        <v>2511</v>
      </c>
      <c r="H1090" t="s">
        <v>1558</v>
      </c>
      <c r="I1090" t="s">
        <v>240</v>
      </c>
      <c r="J1090" t="s">
        <v>46</v>
      </c>
      <c r="K1090" t="s">
        <v>29</v>
      </c>
      <c r="L1090" t="s">
        <v>30</v>
      </c>
      <c r="M1090">
        <v>45</v>
      </c>
      <c r="N1090" t="s">
        <v>32</v>
      </c>
      <c r="O1090" t="s">
        <v>32</v>
      </c>
      <c r="Q1090" t="s">
        <v>40</v>
      </c>
      <c r="R1090">
        <v>46074</v>
      </c>
      <c r="S1090" t="s">
        <v>32</v>
      </c>
      <c r="U1090" t="s">
        <v>32</v>
      </c>
      <c r="V1090" t="s">
        <v>32</v>
      </c>
      <c r="W1090" t="s">
        <v>32</v>
      </c>
      <c r="X1090" t="s">
        <v>32</v>
      </c>
      <c r="Y1090" t="s">
        <v>32</v>
      </c>
      <c r="AA1090" t="s">
        <v>88</v>
      </c>
      <c r="AB1090" t="s">
        <v>32</v>
      </c>
      <c r="AE1090" t="s">
        <v>32</v>
      </c>
      <c r="AH1090" t="s">
        <v>32</v>
      </c>
      <c r="AK1090" t="s">
        <v>32</v>
      </c>
      <c r="AN1090" t="s">
        <v>32</v>
      </c>
      <c r="AO1090" t="s">
        <v>32</v>
      </c>
      <c r="AR1090">
        <v>0</v>
      </c>
      <c r="AU1090" t="s">
        <v>32</v>
      </c>
      <c r="AV1090">
        <v>2113182</v>
      </c>
      <c r="AW1090" t="s">
        <v>32</v>
      </c>
      <c r="AX1090" t="s">
        <v>32</v>
      </c>
      <c r="AY1090" t="s">
        <v>356</v>
      </c>
      <c r="AZ1090">
        <v>10</v>
      </c>
      <c r="BA1090">
        <v>704394</v>
      </c>
      <c r="BB1090">
        <v>0.15999999642372131</v>
      </c>
      <c r="BC1090">
        <v>112800</v>
      </c>
      <c r="BD1090" t="s">
        <v>31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112800</v>
      </c>
      <c r="BK1090" t="s">
        <v>25</v>
      </c>
      <c r="BL1090" t="s">
        <v>1064</v>
      </c>
      <c r="BM1090">
        <v>10</v>
      </c>
      <c r="BN1090">
        <v>704394</v>
      </c>
      <c r="BO1090">
        <v>3.9999999105930328E-2</v>
      </c>
      <c r="BP1090">
        <v>28200</v>
      </c>
      <c r="BQ1090">
        <v>0</v>
      </c>
      <c r="BS1090">
        <v>0</v>
      </c>
      <c r="BU1090">
        <v>0</v>
      </c>
      <c r="BV1090" t="s">
        <v>25</v>
      </c>
      <c r="BW1090" t="s">
        <v>189</v>
      </c>
      <c r="BX1090">
        <v>10</v>
      </c>
      <c r="BY1090">
        <v>704394</v>
      </c>
      <c r="BZ1090">
        <v>6.9600000977516174E-2</v>
      </c>
      <c r="CA1090" t="s">
        <v>1439</v>
      </c>
      <c r="CB1090" t="s">
        <v>227</v>
      </c>
      <c r="CC1090" t="s">
        <v>1440</v>
      </c>
      <c r="CD1090">
        <v>49100</v>
      </c>
      <c r="CE1090">
        <v>10</v>
      </c>
      <c r="CF1090" t="s">
        <v>635</v>
      </c>
      <c r="CG1090">
        <v>704394</v>
      </c>
      <c r="CH1090">
        <v>3.9999999105930328E-2</v>
      </c>
      <c r="CI1090">
        <v>28200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 t="s">
        <v>88</v>
      </c>
      <c r="CT1090" t="s">
        <v>142</v>
      </c>
      <c r="CU1090" t="s">
        <v>1442</v>
      </c>
    </row>
    <row r="1091" spans="1:99">
      <c r="A1091" t="s">
        <v>3047</v>
      </c>
      <c r="B1091" t="s">
        <v>34</v>
      </c>
      <c r="C1091" t="s">
        <v>2643</v>
      </c>
      <c r="D1091" t="s">
        <v>2644</v>
      </c>
      <c r="E1091" t="s">
        <v>2645</v>
      </c>
      <c r="F1091" t="s">
        <v>2646</v>
      </c>
      <c r="G1091" t="s">
        <v>1532</v>
      </c>
      <c r="H1091" t="s">
        <v>2251</v>
      </c>
      <c r="I1091" t="s">
        <v>682</v>
      </c>
      <c r="J1091" t="s">
        <v>484</v>
      </c>
      <c r="K1091" t="s">
        <v>29</v>
      </c>
      <c r="L1091" t="s">
        <v>30</v>
      </c>
      <c r="M1091">
        <v>0</v>
      </c>
      <c r="N1091" t="s">
        <v>32</v>
      </c>
      <c r="O1091" t="s">
        <v>32</v>
      </c>
      <c r="Q1091" t="s">
        <v>32</v>
      </c>
      <c r="S1091" t="s">
        <v>32</v>
      </c>
      <c r="U1091" t="s">
        <v>32</v>
      </c>
      <c r="V1091" t="s">
        <v>32</v>
      </c>
      <c r="W1091" t="s">
        <v>32</v>
      </c>
      <c r="X1091" t="s">
        <v>32</v>
      </c>
      <c r="Y1091" t="s">
        <v>32</v>
      </c>
      <c r="AA1091" t="s">
        <v>32</v>
      </c>
      <c r="AB1091" t="s">
        <v>32</v>
      </c>
      <c r="AE1091" t="s">
        <v>32</v>
      </c>
      <c r="AH1091" t="s">
        <v>32</v>
      </c>
      <c r="AK1091" t="s">
        <v>128</v>
      </c>
      <c r="AL1091">
        <v>46054</v>
      </c>
      <c r="AM1091">
        <v>46060</v>
      </c>
      <c r="AN1091" t="s">
        <v>32</v>
      </c>
      <c r="AO1091" t="s">
        <v>32</v>
      </c>
      <c r="AR1091">
        <v>0</v>
      </c>
      <c r="AU1091" t="s">
        <v>32</v>
      </c>
      <c r="AV1091">
        <v>3726196</v>
      </c>
      <c r="AW1091" t="s">
        <v>32</v>
      </c>
      <c r="AX1091" t="s">
        <v>32</v>
      </c>
      <c r="AY1091" t="s">
        <v>185</v>
      </c>
      <c r="AZ1091">
        <v>7</v>
      </c>
      <c r="BA1091">
        <v>869446</v>
      </c>
      <c r="BB1091">
        <v>0.15999999642372131</v>
      </c>
      <c r="BC1091">
        <v>139200</v>
      </c>
      <c r="BD1091" t="s">
        <v>31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139200</v>
      </c>
      <c r="BK1091" t="s">
        <v>25</v>
      </c>
      <c r="BL1091" t="s">
        <v>870</v>
      </c>
      <c r="BM1091">
        <v>7</v>
      </c>
      <c r="BN1091">
        <v>869446</v>
      </c>
      <c r="BO1091">
        <v>3.9999999105930328E-2</v>
      </c>
      <c r="BP1091">
        <v>34800</v>
      </c>
      <c r="BQ1091">
        <v>0</v>
      </c>
      <c r="BS1091">
        <v>0</v>
      </c>
      <c r="BU1091">
        <v>0</v>
      </c>
      <c r="BV1091" t="s">
        <v>25</v>
      </c>
      <c r="BW1091" t="s">
        <v>189</v>
      </c>
      <c r="BX1091">
        <v>7</v>
      </c>
      <c r="BY1091">
        <v>869446</v>
      </c>
      <c r="BZ1091">
        <v>0</v>
      </c>
      <c r="CA1091" t="s">
        <v>1439</v>
      </c>
      <c r="CB1091" t="s">
        <v>312</v>
      </c>
      <c r="CC1091" t="s">
        <v>1440</v>
      </c>
      <c r="CD1091">
        <v>0</v>
      </c>
      <c r="CE1091">
        <v>7</v>
      </c>
      <c r="CF1091" t="s">
        <v>466</v>
      </c>
      <c r="CG1091">
        <v>869446</v>
      </c>
      <c r="CH1091">
        <v>3.9999999105930328E-2</v>
      </c>
      <c r="CI1091">
        <v>34800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 t="s">
        <v>88</v>
      </c>
      <c r="CT1091" t="s">
        <v>142</v>
      </c>
      <c r="CU1091" t="s">
        <v>1442</v>
      </c>
    </row>
    <row r="1092" spans="1:99">
      <c r="A1092" t="s">
        <v>3047</v>
      </c>
      <c r="B1092" t="s">
        <v>34</v>
      </c>
      <c r="C1092" t="s">
        <v>2643</v>
      </c>
      <c r="D1092" t="s">
        <v>2644</v>
      </c>
      <c r="E1092" t="s">
        <v>2645</v>
      </c>
      <c r="F1092" t="s">
        <v>2646</v>
      </c>
      <c r="G1092" t="s">
        <v>1532</v>
      </c>
      <c r="H1092" t="s">
        <v>2251</v>
      </c>
      <c r="I1092" t="s">
        <v>682</v>
      </c>
      <c r="J1092" t="s">
        <v>484</v>
      </c>
      <c r="K1092" t="s">
        <v>29</v>
      </c>
      <c r="L1092" t="s">
        <v>30</v>
      </c>
      <c r="M1092">
        <v>135</v>
      </c>
      <c r="N1092" t="s">
        <v>32</v>
      </c>
      <c r="O1092" t="s">
        <v>32</v>
      </c>
      <c r="Q1092" t="s">
        <v>32</v>
      </c>
      <c r="S1092" t="s">
        <v>32</v>
      </c>
      <c r="U1092" t="s">
        <v>32</v>
      </c>
      <c r="V1092" t="s">
        <v>32</v>
      </c>
      <c r="W1092" t="s">
        <v>32</v>
      </c>
      <c r="X1092" t="s">
        <v>32</v>
      </c>
      <c r="Y1092" t="s">
        <v>88</v>
      </c>
      <c r="Z1092">
        <v>46054</v>
      </c>
      <c r="AA1092" t="s">
        <v>88</v>
      </c>
      <c r="AB1092" t="s">
        <v>32</v>
      </c>
      <c r="AE1092" t="s">
        <v>32</v>
      </c>
      <c r="AH1092" t="s">
        <v>32</v>
      </c>
      <c r="AK1092" t="s">
        <v>32</v>
      </c>
      <c r="AN1092" t="s">
        <v>32</v>
      </c>
      <c r="AO1092" t="s">
        <v>32</v>
      </c>
      <c r="AR1092">
        <v>0</v>
      </c>
      <c r="AU1092" t="s">
        <v>32</v>
      </c>
      <c r="AV1092">
        <v>3726196</v>
      </c>
      <c r="AW1092" t="s">
        <v>32</v>
      </c>
      <c r="AX1092" t="s">
        <v>32</v>
      </c>
      <c r="AY1092" t="s">
        <v>185</v>
      </c>
      <c r="AZ1092">
        <v>23</v>
      </c>
      <c r="BA1092">
        <v>2856751</v>
      </c>
      <c r="BB1092">
        <v>0.15999999642372131</v>
      </c>
      <c r="BC1092">
        <v>457100</v>
      </c>
      <c r="BD1092" t="s">
        <v>31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457100</v>
      </c>
      <c r="BK1092" t="s">
        <v>25</v>
      </c>
      <c r="BL1092" t="s">
        <v>870</v>
      </c>
      <c r="BM1092">
        <v>23</v>
      </c>
      <c r="BN1092">
        <v>2856751</v>
      </c>
      <c r="BO1092">
        <v>3.9999999105930328E-2</v>
      </c>
      <c r="BP1092">
        <v>114300</v>
      </c>
      <c r="BQ1092">
        <v>0</v>
      </c>
      <c r="BS1092">
        <v>0</v>
      </c>
      <c r="BU1092">
        <v>0</v>
      </c>
      <c r="BV1092" t="s">
        <v>25</v>
      </c>
      <c r="BW1092" t="s">
        <v>189</v>
      </c>
      <c r="BX1092">
        <v>23</v>
      </c>
      <c r="BY1092">
        <v>2856751</v>
      </c>
      <c r="BZ1092">
        <v>6.9600000977516174E-2</v>
      </c>
      <c r="CA1092" t="s">
        <v>1439</v>
      </c>
      <c r="CB1092" t="s">
        <v>312</v>
      </c>
      <c r="CC1092" t="s">
        <v>1440</v>
      </c>
      <c r="CD1092">
        <v>198900</v>
      </c>
      <c r="CE1092">
        <v>23</v>
      </c>
      <c r="CF1092" t="s">
        <v>466</v>
      </c>
      <c r="CG1092">
        <v>2856751</v>
      </c>
      <c r="CH1092">
        <v>3.9999999105930328E-2</v>
      </c>
      <c r="CI1092">
        <v>114300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 t="s">
        <v>88</v>
      </c>
      <c r="CT1092" t="s">
        <v>142</v>
      </c>
      <c r="CU1092" t="s">
        <v>1442</v>
      </c>
    </row>
    <row r="1093" spans="1:99">
      <c r="A1093" t="s">
        <v>3047</v>
      </c>
      <c r="B1093" t="s">
        <v>34</v>
      </c>
      <c r="C1093" t="s">
        <v>2647</v>
      </c>
      <c r="D1093" t="s">
        <v>2648</v>
      </c>
      <c r="E1093" t="s">
        <v>1526</v>
      </c>
      <c r="F1093" t="s">
        <v>1999</v>
      </c>
      <c r="G1093" t="s">
        <v>1498</v>
      </c>
      <c r="H1093" t="s">
        <v>1543</v>
      </c>
      <c r="I1093" t="s">
        <v>240</v>
      </c>
      <c r="J1093" t="s">
        <v>46</v>
      </c>
      <c r="K1093" t="s">
        <v>29</v>
      </c>
      <c r="L1093" t="s">
        <v>30</v>
      </c>
      <c r="M1093">
        <v>225</v>
      </c>
      <c r="N1093" t="s">
        <v>32</v>
      </c>
      <c r="O1093" t="s">
        <v>32</v>
      </c>
      <c r="Q1093" t="s">
        <v>32</v>
      </c>
      <c r="S1093" t="s">
        <v>40</v>
      </c>
      <c r="T1093">
        <v>46081</v>
      </c>
      <c r="U1093" t="s">
        <v>32</v>
      </c>
      <c r="V1093" t="s">
        <v>32</v>
      </c>
      <c r="W1093" t="s">
        <v>32</v>
      </c>
      <c r="X1093" t="s">
        <v>32</v>
      </c>
      <c r="Y1093" t="s">
        <v>32</v>
      </c>
      <c r="AA1093" t="s">
        <v>88</v>
      </c>
      <c r="AB1093" t="s">
        <v>32</v>
      </c>
      <c r="AE1093" t="s">
        <v>32</v>
      </c>
      <c r="AH1093" t="s">
        <v>32</v>
      </c>
      <c r="AK1093" t="s">
        <v>32</v>
      </c>
      <c r="AN1093" t="s">
        <v>32</v>
      </c>
      <c r="AO1093" t="s">
        <v>32</v>
      </c>
      <c r="AR1093">
        <v>0</v>
      </c>
      <c r="AU1093" t="s">
        <v>32</v>
      </c>
      <c r="AV1093">
        <v>2074908</v>
      </c>
      <c r="AW1093" t="s">
        <v>32</v>
      </c>
      <c r="AX1093" t="s">
        <v>32</v>
      </c>
      <c r="AY1093" t="s">
        <v>356</v>
      </c>
      <c r="AZ1093">
        <v>30</v>
      </c>
      <c r="BA1093">
        <v>3549799</v>
      </c>
      <c r="BB1093">
        <v>0.15999999642372131</v>
      </c>
      <c r="BC1093">
        <v>568000</v>
      </c>
      <c r="BD1093" t="s">
        <v>31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568000</v>
      </c>
      <c r="BK1093" t="s">
        <v>25</v>
      </c>
      <c r="BL1093" t="s">
        <v>1010</v>
      </c>
      <c r="BM1093">
        <v>30</v>
      </c>
      <c r="BN1093">
        <v>3549799</v>
      </c>
      <c r="BO1093">
        <v>3.9999999105930328E-2</v>
      </c>
      <c r="BP1093">
        <v>142000</v>
      </c>
      <c r="BQ1093">
        <v>0</v>
      </c>
      <c r="BS1093">
        <v>0</v>
      </c>
      <c r="BU1093">
        <v>0</v>
      </c>
      <c r="BV1093" t="s">
        <v>25</v>
      </c>
      <c r="BW1093" t="s">
        <v>189</v>
      </c>
      <c r="BX1093">
        <v>30</v>
      </c>
      <c r="BY1093">
        <v>3549799</v>
      </c>
      <c r="BZ1093">
        <v>6.9600000977516174E-2</v>
      </c>
      <c r="CA1093" t="s">
        <v>1439</v>
      </c>
      <c r="CB1093" t="s">
        <v>227</v>
      </c>
      <c r="CC1093" t="s">
        <v>1440</v>
      </c>
      <c r="CD1093">
        <v>247100</v>
      </c>
      <c r="CE1093">
        <v>30</v>
      </c>
      <c r="CF1093" t="s">
        <v>635</v>
      </c>
      <c r="CG1093">
        <v>3565766</v>
      </c>
      <c r="CH1093">
        <v>3.9999999105930328E-2</v>
      </c>
      <c r="CI1093">
        <v>142700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 t="s">
        <v>88</v>
      </c>
      <c r="CT1093" t="s">
        <v>142</v>
      </c>
      <c r="CU1093" t="s">
        <v>1442</v>
      </c>
    </row>
    <row r="1094" spans="1:99">
      <c r="A1094" t="s">
        <v>3047</v>
      </c>
      <c r="B1094" t="s">
        <v>34</v>
      </c>
      <c r="C1094" t="s">
        <v>2649</v>
      </c>
      <c r="D1094" t="s">
        <v>2650</v>
      </c>
      <c r="E1094" t="s">
        <v>1920</v>
      </c>
      <c r="F1094" t="s">
        <v>1657</v>
      </c>
      <c r="G1094" t="s">
        <v>2651</v>
      </c>
      <c r="H1094" t="s">
        <v>1734</v>
      </c>
      <c r="I1094" t="s">
        <v>240</v>
      </c>
      <c r="J1094" t="s">
        <v>46</v>
      </c>
      <c r="K1094" t="s">
        <v>29</v>
      </c>
      <c r="L1094" t="s">
        <v>30</v>
      </c>
      <c r="M1094">
        <v>218</v>
      </c>
      <c r="N1094" t="s">
        <v>32</v>
      </c>
      <c r="O1094" t="s">
        <v>32</v>
      </c>
      <c r="Q1094" t="s">
        <v>32</v>
      </c>
      <c r="S1094" t="s">
        <v>32</v>
      </c>
      <c r="U1094" t="s">
        <v>32</v>
      </c>
      <c r="V1094" t="s">
        <v>32</v>
      </c>
      <c r="W1094" t="s">
        <v>32</v>
      </c>
      <c r="X1094" t="s">
        <v>32</v>
      </c>
      <c r="Y1094" t="s">
        <v>32</v>
      </c>
      <c r="AA1094" t="s">
        <v>88</v>
      </c>
      <c r="AB1094" t="s">
        <v>32</v>
      </c>
      <c r="AE1094" t="s">
        <v>32</v>
      </c>
      <c r="AH1094" t="s">
        <v>32</v>
      </c>
      <c r="AK1094" t="s">
        <v>32</v>
      </c>
      <c r="AN1094" t="s">
        <v>32</v>
      </c>
      <c r="AO1094" t="s">
        <v>32</v>
      </c>
      <c r="AR1094">
        <v>0</v>
      </c>
      <c r="AU1094" t="s">
        <v>32</v>
      </c>
      <c r="AV1094">
        <v>2074908</v>
      </c>
      <c r="AW1094" t="s">
        <v>32</v>
      </c>
      <c r="AX1094" t="s">
        <v>32</v>
      </c>
      <c r="AY1094" t="s">
        <v>317</v>
      </c>
      <c r="AZ1094">
        <v>30</v>
      </c>
      <c r="BA1094">
        <v>3195371</v>
      </c>
      <c r="BB1094">
        <v>0.15999999642372131</v>
      </c>
      <c r="BC1094">
        <v>511300</v>
      </c>
      <c r="BD1094" t="s">
        <v>31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511300</v>
      </c>
      <c r="BK1094" t="s">
        <v>25</v>
      </c>
      <c r="BL1094" t="s">
        <v>1010</v>
      </c>
      <c r="BM1094">
        <v>30</v>
      </c>
      <c r="BN1094">
        <v>3195371</v>
      </c>
      <c r="BO1094">
        <v>3.9999999105930328E-2</v>
      </c>
      <c r="BP1094">
        <v>127900</v>
      </c>
      <c r="BQ1094">
        <v>0</v>
      </c>
      <c r="BS1094">
        <v>0</v>
      </c>
      <c r="BU1094">
        <v>0</v>
      </c>
      <c r="BV1094" t="s">
        <v>25</v>
      </c>
      <c r="BW1094" t="s">
        <v>189</v>
      </c>
      <c r="BX1094">
        <v>30</v>
      </c>
      <c r="BY1094">
        <v>3195371</v>
      </c>
      <c r="BZ1094">
        <v>6.9600000977516174E-2</v>
      </c>
      <c r="CA1094" t="s">
        <v>1439</v>
      </c>
      <c r="CB1094" t="s">
        <v>227</v>
      </c>
      <c r="CC1094" t="s">
        <v>1440</v>
      </c>
      <c r="CD1094">
        <v>222400</v>
      </c>
      <c r="CE1094">
        <v>30</v>
      </c>
      <c r="CF1094" t="s">
        <v>635</v>
      </c>
      <c r="CG1094">
        <v>2949702</v>
      </c>
      <c r="CH1094">
        <v>3.9999999105930328E-2</v>
      </c>
      <c r="CI1094">
        <v>118000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 t="s">
        <v>88</v>
      </c>
      <c r="CT1094" t="s">
        <v>142</v>
      </c>
      <c r="CU1094" t="s">
        <v>1442</v>
      </c>
    </row>
    <row r="1095" spans="1:99">
      <c r="A1095" t="s">
        <v>3047</v>
      </c>
      <c r="B1095" t="s">
        <v>34</v>
      </c>
      <c r="C1095" t="s">
        <v>2652</v>
      </c>
      <c r="D1095" t="s">
        <v>2653</v>
      </c>
      <c r="E1095" t="s">
        <v>2654</v>
      </c>
      <c r="F1095" t="s">
        <v>1303</v>
      </c>
      <c r="G1095" t="s">
        <v>1854</v>
      </c>
      <c r="H1095" t="s">
        <v>2655</v>
      </c>
      <c r="I1095" t="s">
        <v>99</v>
      </c>
      <c r="J1095" t="s">
        <v>226</v>
      </c>
      <c r="K1095" t="s">
        <v>29</v>
      </c>
      <c r="L1095" t="s">
        <v>30</v>
      </c>
      <c r="M1095">
        <v>0</v>
      </c>
      <c r="N1095" t="s">
        <v>32</v>
      </c>
      <c r="O1095" t="s">
        <v>32</v>
      </c>
      <c r="Q1095" t="s">
        <v>32</v>
      </c>
      <c r="S1095" t="s">
        <v>32</v>
      </c>
      <c r="U1095" t="s">
        <v>32</v>
      </c>
      <c r="V1095" t="s">
        <v>32</v>
      </c>
      <c r="W1095" t="s">
        <v>32</v>
      </c>
      <c r="X1095" t="s">
        <v>32</v>
      </c>
      <c r="Y1095" t="s">
        <v>32</v>
      </c>
      <c r="AA1095" t="s">
        <v>32</v>
      </c>
      <c r="AB1095" t="s">
        <v>32</v>
      </c>
      <c r="AE1095" t="s">
        <v>32</v>
      </c>
      <c r="AH1095" t="s">
        <v>32</v>
      </c>
      <c r="AK1095" t="s">
        <v>128</v>
      </c>
      <c r="AL1095">
        <v>46069</v>
      </c>
      <c r="AM1095">
        <v>46073</v>
      </c>
      <c r="AN1095" t="s">
        <v>32</v>
      </c>
      <c r="AO1095" t="s">
        <v>32</v>
      </c>
      <c r="AR1095">
        <v>0</v>
      </c>
      <c r="AU1095" t="s">
        <v>32</v>
      </c>
      <c r="AV1095">
        <v>1750905</v>
      </c>
      <c r="AW1095" t="s">
        <v>32</v>
      </c>
      <c r="AX1095" t="s">
        <v>32</v>
      </c>
      <c r="AY1095" t="s">
        <v>317</v>
      </c>
      <c r="AZ1095">
        <v>5</v>
      </c>
      <c r="BA1095">
        <v>291818</v>
      </c>
      <c r="BB1095">
        <v>0.15999999642372131</v>
      </c>
      <c r="BC1095">
        <v>46700</v>
      </c>
      <c r="BD1095" t="s">
        <v>31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46700</v>
      </c>
      <c r="BK1095" t="s">
        <v>25</v>
      </c>
      <c r="BL1095" t="s">
        <v>1010</v>
      </c>
      <c r="BM1095">
        <v>5</v>
      </c>
      <c r="BN1095">
        <v>291818</v>
      </c>
      <c r="BO1095">
        <v>3.9999999105930328E-2</v>
      </c>
      <c r="BP1095">
        <v>11700</v>
      </c>
      <c r="BQ1095">
        <v>0</v>
      </c>
      <c r="BS1095">
        <v>0</v>
      </c>
      <c r="BU1095">
        <v>0</v>
      </c>
      <c r="BV1095" t="s">
        <v>25</v>
      </c>
      <c r="BW1095" t="s">
        <v>189</v>
      </c>
      <c r="BX1095">
        <v>5</v>
      </c>
      <c r="BY1095">
        <v>291818</v>
      </c>
      <c r="BZ1095">
        <v>0</v>
      </c>
      <c r="CA1095" t="s">
        <v>1592</v>
      </c>
      <c r="CB1095" t="s">
        <v>389</v>
      </c>
      <c r="CC1095" t="s">
        <v>1593</v>
      </c>
      <c r="CD1095">
        <v>0</v>
      </c>
      <c r="CE1095">
        <v>5</v>
      </c>
      <c r="CF1095" t="s">
        <v>749</v>
      </c>
      <c r="CG1095">
        <v>291818</v>
      </c>
      <c r="CH1095">
        <v>3.9999999105930328E-2</v>
      </c>
      <c r="CI1095">
        <v>11700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 t="s">
        <v>88</v>
      </c>
      <c r="CT1095" t="s">
        <v>142</v>
      </c>
      <c r="CU1095" t="s">
        <v>1442</v>
      </c>
    </row>
    <row r="1096" spans="1:99">
      <c r="A1096" t="s">
        <v>3047</v>
      </c>
      <c r="B1096" t="s">
        <v>34</v>
      </c>
      <c r="C1096" t="s">
        <v>2652</v>
      </c>
      <c r="D1096" t="s">
        <v>2653</v>
      </c>
      <c r="E1096" t="s">
        <v>2654</v>
      </c>
      <c r="F1096" t="s">
        <v>1303</v>
      </c>
      <c r="G1096" t="s">
        <v>1854</v>
      </c>
      <c r="H1096" t="s">
        <v>2655</v>
      </c>
      <c r="I1096" t="s">
        <v>99</v>
      </c>
      <c r="J1096" t="s">
        <v>226</v>
      </c>
      <c r="K1096" t="s">
        <v>29</v>
      </c>
      <c r="L1096" t="s">
        <v>30</v>
      </c>
      <c r="M1096">
        <v>135</v>
      </c>
      <c r="N1096" t="s">
        <v>32</v>
      </c>
      <c r="O1096" t="s">
        <v>32</v>
      </c>
      <c r="Q1096" t="s">
        <v>32</v>
      </c>
      <c r="S1096" t="s">
        <v>32</v>
      </c>
      <c r="U1096" t="s">
        <v>32</v>
      </c>
      <c r="V1096" t="s">
        <v>32</v>
      </c>
      <c r="W1096" t="s">
        <v>32</v>
      </c>
      <c r="X1096" t="s">
        <v>32</v>
      </c>
      <c r="Y1096" t="s">
        <v>32</v>
      </c>
      <c r="AA1096" t="s">
        <v>88</v>
      </c>
      <c r="AB1096" t="s">
        <v>32</v>
      </c>
      <c r="AE1096" t="s">
        <v>32</v>
      </c>
      <c r="AH1096" t="s">
        <v>32</v>
      </c>
      <c r="AK1096" t="s">
        <v>32</v>
      </c>
      <c r="AN1096" t="s">
        <v>32</v>
      </c>
      <c r="AO1096" t="s">
        <v>32</v>
      </c>
      <c r="AR1096">
        <v>0</v>
      </c>
      <c r="AU1096" t="s">
        <v>32</v>
      </c>
      <c r="AV1096">
        <v>1750905</v>
      </c>
      <c r="AW1096" t="s">
        <v>32</v>
      </c>
      <c r="AX1096" t="s">
        <v>32</v>
      </c>
      <c r="AY1096" t="s">
        <v>317</v>
      </c>
      <c r="AZ1096">
        <v>25</v>
      </c>
      <c r="BA1096">
        <v>1459088</v>
      </c>
      <c r="BB1096">
        <v>0.15999999642372131</v>
      </c>
      <c r="BC1096">
        <v>233500</v>
      </c>
      <c r="BD1096" t="s">
        <v>31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233500</v>
      </c>
      <c r="BK1096" t="s">
        <v>25</v>
      </c>
      <c r="BL1096" t="s">
        <v>1010</v>
      </c>
      <c r="BM1096">
        <v>25</v>
      </c>
      <c r="BN1096">
        <v>1459088</v>
      </c>
      <c r="BO1096">
        <v>3.9999999105930328E-2</v>
      </c>
      <c r="BP1096">
        <v>58400</v>
      </c>
      <c r="BQ1096">
        <v>0</v>
      </c>
      <c r="BS1096">
        <v>0</v>
      </c>
      <c r="BU1096">
        <v>0</v>
      </c>
      <c r="BV1096" t="s">
        <v>25</v>
      </c>
      <c r="BW1096" t="s">
        <v>189</v>
      </c>
      <c r="BX1096">
        <v>25</v>
      </c>
      <c r="BY1096">
        <v>1459088</v>
      </c>
      <c r="BZ1096">
        <v>5.2200001664459705E-3</v>
      </c>
      <c r="CA1096" t="s">
        <v>1592</v>
      </c>
      <c r="CB1096" t="s">
        <v>389</v>
      </c>
      <c r="CC1096" t="s">
        <v>1593</v>
      </c>
      <c r="CD1096">
        <v>7700</v>
      </c>
      <c r="CE1096">
        <v>25</v>
      </c>
      <c r="CF1096" t="s">
        <v>749</v>
      </c>
      <c r="CG1096">
        <v>1459088</v>
      </c>
      <c r="CH1096">
        <v>3.9999999105930328E-2</v>
      </c>
      <c r="CI1096">
        <v>58400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 t="s">
        <v>88</v>
      </c>
      <c r="CT1096" t="s">
        <v>142</v>
      </c>
      <c r="CU1096" t="s">
        <v>1442</v>
      </c>
    </row>
    <row r="1097" spans="1:99">
      <c r="A1097" t="s">
        <v>3047</v>
      </c>
      <c r="B1097" t="s">
        <v>34</v>
      </c>
      <c r="C1097" t="s">
        <v>2656</v>
      </c>
      <c r="D1097" t="s">
        <v>2657</v>
      </c>
      <c r="E1097" t="s">
        <v>1601</v>
      </c>
      <c r="F1097" t="s">
        <v>1506</v>
      </c>
      <c r="G1097" t="s">
        <v>2658</v>
      </c>
      <c r="H1097" t="s">
        <v>1781</v>
      </c>
      <c r="I1097" t="s">
        <v>682</v>
      </c>
      <c r="J1097" t="s">
        <v>484</v>
      </c>
      <c r="K1097" t="s">
        <v>29</v>
      </c>
      <c r="L1097" t="s">
        <v>30</v>
      </c>
      <c r="M1097">
        <v>180</v>
      </c>
      <c r="N1097" t="s">
        <v>32</v>
      </c>
      <c r="O1097" t="s">
        <v>32</v>
      </c>
      <c r="Q1097" t="s">
        <v>32</v>
      </c>
      <c r="S1097" t="s">
        <v>32</v>
      </c>
      <c r="U1097" t="s">
        <v>32</v>
      </c>
      <c r="V1097" t="s">
        <v>32</v>
      </c>
      <c r="W1097" t="s">
        <v>32</v>
      </c>
      <c r="X1097" t="s">
        <v>32</v>
      </c>
      <c r="Y1097" t="s">
        <v>32</v>
      </c>
      <c r="AA1097" t="s">
        <v>88</v>
      </c>
      <c r="AB1097" t="s">
        <v>32</v>
      </c>
      <c r="AE1097" t="s">
        <v>32</v>
      </c>
      <c r="AH1097" t="s">
        <v>32</v>
      </c>
      <c r="AK1097" t="s">
        <v>32</v>
      </c>
      <c r="AN1097" t="s">
        <v>32</v>
      </c>
      <c r="AO1097" t="s">
        <v>32</v>
      </c>
      <c r="AR1097">
        <v>0</v>
      </c>
      <c r="AU1097" t="s">
        <v>32</v>
      </c>
      <c r="AV1097">
        <v>5676577</v>
      </c>
      <c r="AW1097" t="s">
        <v>32</v>
      </c>
      <c r="AX1097" t="s">
        <v>32</v>
      </c>
      <c r="AY1097" t="s">
        <v>317</v>
      </c>
      <c r="AZ1097">
        <v>30</v>
      </c>
      <c r="BA1097">
        <v>5676577</v>
      </c>
      <c r="BB1097">
        <v>0.15999999642372131</v>
      </c>
      <c r="BC1097">
        <v>908300</v>
      </c>
      <c r="BD1097" t="s">
        <v>31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908300</v>
      </c>
      <c r="BK1097" t="s">
        <v>25</v>
      </c>
      <c r="BL1097" t="s">
        <v>1071</v>
      </c>
      <c r="BM1097">
        <v>30</v>
      </c>
      <c r="BN1097">
        <v>5676577</v>
      </c>
      <c r="BO1097">
        <v>3.9999999105930328E-2</v>
      </c>
      <c r="BP1097">
        <v>227100</v>
      </c>
      <c r="BQ1097">
        <v>0</v>
      </c>
      <c r="BS1097">
        <v>0</v>
      </c>
      <c r="BU1097">
        <v>0</v>
      </c>
      <c r="BV1097" t="s">
        <v>25</v>
      </c>
      <c r="BW1097" t="s">
        <v>189</v>
      </c>
      <c r="BX1097">
        <v>30</v>
      </c>
      <c r="BY1097">
        <v>5676577</v>
      </c>
      <c r="BZ1097">
        <v>6.9600000977516174E-2</v>
      </c>
      <c r="CA1097" t="s">
        <v>1439</v>
      </c>
      <c r="CB1097" t="s">
        <v>312</v>
      </c>
      <c r="CC1097" t="s">
        <v>1440</v>
      </c>
      <c r="CD1097">
        <v>395100</v>
      </c>
      <c r="CE1097">
        <v>30</v>
      </c>
      <c r="CF1097" t="s">
        <v>466</v>
      </c>
      <c r="CG1097">
        <v>5676577</v>
      </c>
      <c r="CH1097">
        <v>3.9999999105930328E-2</v>
      </c>
      <c r="CI1097">
        <v>227100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 t="s">
        <v>88</v>
      </c>
      <c r="CT1097" t="s">
        <v>142</v>
      </c>
      <c r="CU1097" t="s">
        <v>1442</v>
      </c>
    </row>
    <row r="1098" spans="1:99">
      <c r="A1098" t="s">
        <v>3047</v>
      </c>
      <c r="B1098" t="s">
        <v>34</v>
      </c>
      <c r="C1098" t="s">
        <v>2659</v>
      </c>
      <c r="D1098" t="s">
        <v>2660</v>
      </c>
      <c r="E1098" t="s">
        <v>2661</v>
      </c>
      <c r="F1098" t="s">
        <v>564</v>
      </c>
      <c r="G1098" t="s">
        <v>2662</v>
      </c>
      <c r="H1098" t="s">
        <v>1437</v>
      </c>
      <c r="I1098" t="s">
        <v>682</v>
      </c>
      <c r="J1098" t="s">
        <v>484</v>
      </c>
      <c r="K1098" t="s">
        <v>29</v>
      </c>
      <c r="L1098" t="s">
        <v>30</v>
      </c>
      <c r="M1098">
        <v>0</v>
      </c>
      <c r="N1098" t="s">
        <v>32</v>
      </c>
      <c r="O1098" t="s">
        <v>32</v>
      </c>
      <c r="Q1098" t="s">
        <v>32</v>
      </c>
      <c r="S1098" t="s">
        <v>32</v>
      </c>
      <c r="U1098" t="s">
        <v>32</v>
      </c>
      <c r="V1098" t="s">
        <v>32</v>
      </c>
      <c r="W1098" t="s">
        <v>32</v>
      </c>
      <c r="X1098" t="s">
        <v>32</v>
      </c>
      <c r="Y1098" t="s">
        <v>32</v>
      </c>
      <c r="AA1098" t="s">
        <v>32</v>
      </c>
      <c r="AB1098" t="s">
        <v>32</v>
      </c>
      <c r="AE1098" t="s">
        <v>32</v>
      </c>
      <c r="AH1098" t="s">
        <v>32</v>
      </c>
      <c r="AK1098" t="s">
        <v>128</v>
      </c>
      <c r="AL1098">
        <v>46054</v>
      </c>
      <c r="AM1098">
        <v>46056</v>
      </c>
      <c r="AN1098" t="s">
        <v>32</v>
      </c>
      <c r="AO1098" t="s">
        <v>32</v>
      </c>
      <c r="AR1098">
        <v>0</v>
      </c>
      <c r="AU1098" t="s">
        <v>32</v>
      </c>
      <c r="AV1098">
        <v>2891569</v>
      </c>
      <c r="AW1098" t="s">
        <v>32</v>
      </c>
      <c r="AX1098" t="s">
        <v>32</v>
      </c>
      <c r="AY1098" t="s">
        <v>317</v>
      </c>
      <c r="AZ1098">
        <v>3</v>
      </c>
      <c r="BA1098">
        <v>289157</v>
      </c>
      <c r="BB1098">
        <v>0.15999999642372131</v>
      </c>
      <c r="BC1098">
        <v>46300</v>
      </c>
      <c r="BD1098" t="s">
        <v>31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46300</v>
      </c>
      <c r="BK1098" t="s">
        <v>25</v>
      </c>
      <c r="BL1098" t="s">
        <v>1000</v>
      </c>
      <c r="BM1098">
        <v>3</v>
      </c>
      <c r="BN1098">
        <v>289157</v>
      </c>
      <c r="BO1098">
        <v>3.9999999105930328E-2</v>
      </c>
      <c r="BP1098">
        <v>11600</v>
      </c>
      <c r="BQ1098">
        <v>0</v>
      </c>
      <c r="BS1098">
        <v>0</v>
      </c>
      <c r="BU1098">
        <v>0</v>
      </c>
      <c r="BV1098" t="s">
        <v>25</v>
      </c>
      <c r="BW1098" t="s">
        <v>189</v>
      </c>
      <c r="BX1098">
        <v>3</v>
      </c>
      <c r="BY1098">
        <v>289157</v>
      </c>
      <c r="BZ1098">
        <v>0</v>
      </c>
      <c r="CA1098" t="s">
        <v>1439</v>
      </c>
      <c r="CB1098" t="s">
        <v>312</v>
      </c>
      <c r="CC1098" t="s">
        <v>1440</v>
      </c>
      <c r="CD1098">
        <v>0</v>
      </c>
      <c r="CE1098">
        <v>3</v>
      </c>
      <c r="CF1098" t="s">
        <v>466</v>
      </c>
      <c r="CG1098">
        <v>289157</v>
      </c>
      <c r="CH1098">
        <v>3.9999999105930328E-2</v>
      </c>
      <c r="CI1098">
        <v>11600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 t="s">
        <v>88</v>
      </c>
      <c r="CT1098" t="s">
        <v>142</v>
      </c>
      <c r="CU1098" t="s">
        <v>1442</v>
      </c>
    </row>
    <row r="1099" spans="1:99">
      <c r="A1099" t="s">
        <v>3047</v>
      </c>
      <c r="B1099" t="s">
        <v>34</v>
      </c>
      <c r="C1099" t="s">
        <v>2659</v>
      </c>
      <c r="D1099" t="s">
        <v>2660</v>
      </c>
      <c r="E1099" t="s">
        <v>2661</v>
      </c>
      <c r="F1099" t="s">
        <v>564</v>
      </c>
      <c r="G1099" t="s">
        <v>2662</v>
      </c>
      <c r="H1099" t="s">
        <v>1437</v>
      </c>
      <c r="I1099" t="s">
        <v>682</v>
      </c>
      <c r="J1099" t="s">
        <v>484</v>
      </c>
      <c r="K1099" t="s">
        <v>29</v>
      </c>
      <c r="L1099" t="s">
        <v>30</v>
      </c>
      <c r="M1099">
        <v>0</v>
      </c>
      <c r="N1099" t="s">
        <v>32</v>
      </c>
      <c r="O1099" t="s">
        <v>32</v>
      </c>
      <c r="Q1099" t="s">
        <v>32</v>
      </c>
      <c r="S1099" t="s">
        <v>32</v>
      </c>
      <c r="U1099" t="s">
        <v>32</v>
      </c>
      <c r="V1099" t="s">
        <v>32</v>
      </c>
      <c r="W1099" t="s">
        <v>32</v>
      </c>
      <c r="X1099" t="s">
        <v>32</v>
      </c>
      <c r="Y1099" t="s">
        <v>32</v>
      </c>
      <c r="AA1099" t="s">
        <v>32</v>
      </c>
      <c r="AB1099" t="s">
        <v>37</v>
      </c>
      <c r="AC1099">
        <v>46057</v>
      </c>
      <c r="AD1099">
        <v>46057</v>
      </c>
      <c r="AE1099" t="s">
        <v>32</v>
      </c>
      <c r="AH1099" t="s">
        <v>32</v>
      </c>
      <c r="AK1099" t="s">
        <v>32</v>
      </c>
      <c r="AN1099" t="s">
        <v>32</v>
      </c>
      <c r="AO1099" t="s">
        <v>32</v>
      </c>
      <c r="AR1099">
        <v>0</v>
      </c>
      <c r="AU1099" t="s">
        <v>32</v>
      </c>
      <c r="AV1099">
        <v>2891569</v>
      </c>
      <c r="AW1099" t="s">
        <v>32</v>
      </c>
      <c r="AX1099" t="s">
        <v>32</v>
      </c>
      <c r="AY1099" t="s">
        <v>317</v>
      </c>
      <c r="AZ1099">
        <v>1</v>
      </c>
      <c r="BA1099">
        <v>96386</v>
      </c>
      <c r="BB1099">
        <v>0.15999999642372131</v>
      </c>
      <c r="BC1099">
        <v>15500</v>
      </c>
      <c r="BD1099" t="s">
        <v>31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15500</v>
      </c>
      <c r="BK1099" t="s">
        <v>25</v>
      </c>
      <c r="BL1099" t="s">
        <v>1000</v>
      </c>
      <c r="BM1099">
        <v>1</v>
      </c>
      <c r="BN1099">
        <v>96386</v>
      </c>
      <c r="BO1099">
        <v>0</v>
      </c>
      <c r="BP1099">
        <v>0</v>
      </c>
      <c r="BQ1099">
        <v>0</v>
      </c>
      <c r="BS1099">
        <v>0</v>
      </c>
      <c r="BU1099">
        <v>0</v>
      </c>
      <c r="BV1099" t="s">
        <v>25</v>
      </c>
      <c r="BW1099" t="s">
        <v>189</v>
      </c>
      <c r="BX1099">
        <v>1</v>
      </c>
      <c r="BY1099">
        <v>96386</v>
      </c>
      <c r="BZ1099">
        <v>0</v>
      </c>
      <c r="CA1099" t="s">
        <v>1439</v>
      </c>
      <c r="CB1099" t="s">
        <v>312</v>
      </c>
      <c r="CC1099" t="s">
        <v>1440</v>
      </c>
      <c r="CD1099">
        <v>0</v>
      </c>
      <c r="CE1099">
        <v>1</v>
      </c>
      <c r="CF1099" t="s">
        <v>466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 t="s">
        <v>88</v>
      </c>
      <c r="CT1099" t="s">
        <v>142</v>
      </c>
      <c r="CU1099" t="s">
        <v>1442</v>
      </c>
    </row>
    <row r="1100" spans="1:99">
      <c r="A1100" t="s">
        <v>3047</v>
      </c>
      <c r="B1100" t="s">
        <v>34</v>
      </c>
      <c r="C1100" t="s">
        <v>2659</v>
      </c>
      <c r="D1100" t="s">
        <v>2660</v>
      </c>
      <c r="E1100" t="s">
        <v>2661</v>
      </c>
      <c r="F1100" t="s">
        <v>564</v>
      </c>
      <c r="G1100" t="s">
        <v>2662</v>
      </c>
      <c r="H1100" t="s">
        <v>1437</v>
      </c>
      <c r="I1100" t="s">
        <v>682</v>
      </c>
      <c r="J1100" t="s">
        <v>484</v>
      </c>
      <c r="K1100" t="s">
        <v>29</v>
      </c>
      <c r="L1100" t="s">
        <v>30</v>
      </c>
      <c r="M1100">
        <v>170</v>
      </c>
      <c r="N1100" t="s">
        <v>32</v>
      </c>
      <c r="O1100" t="s">
        <v>32</v>
      </c>
      <c r="Q1100" t="s">
        <v>32</v>
      </c>
      <c r="S1100" t="s">
        <v>32</v>
      </c>
      <c r="U1100" t="s">
        <v>32</v>
      </c>
      <c r="V1100" t="s">
        <v>32</v>
      </c>
      <c r="W1100" t="s">
        <v>32</v>
      </c>
      <c r="X1100" t="s">
        <v>32</v>
      </c>
      <c r="Y1100" t="s">
        <v>32</v>
      </c>
      <c r="AA1100" t="s">
        <v>88</v>
      </c>
      <c r="AB1100" t="s">
        <v>32</v>
      </c>
      <c r="AE1100" t="s">
        <v>32</v>
      </c>
      <c r="AH1100" t="s">
        <v>32</v>
      </c>
      <c r="AK1100" t="s">
        <v>32</v>
      </c>
      <c r="AN1100" t="s">
        <v>32</v>
      </c>
      <c r="AO1100" t="s">
        <v>32</v>
      </c>
      <c r="AR1100">
        <v>0</v>
      </c>
      <c r="AU1100" t="s">
        <v>32</v>
      </c>
      <c r="AV1100">
        <v>2891569</v>
      </c>
      <c r="AW1100" t="s">
        <v>32</v>
      </c>
      <c r="AX1100" t="s">
        <v>32</v>
      </c>
      <c r="AY1100" t="s">
        <v>317</v>
      </c>
      <c r="AZ1100">
        <v>26</v>
      </c>
      <c r="BA1100">
        <v>3483157</v>
      </c>
      <c r="BB1100">
        <v>0.15999999642372131</v>
      </c>
      <c r="BC1100">
        <v>557400</v>
      </c>
      <c r="BD1100" t="s">
        <v>31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557400</v>
      </c>
      <c r="BK1100" t="s">
        <v>25</v>
      </c>
      <c r="BL1100" t="s">
        <v>1000</v>
      </c>
      <c r="BM1100">
        <v>26</v>
      </c>
      <c r="BN1100">
        <v>3483157</v>
      </c>
      <c r="BO1100">
        <v>3.9999999105930328E-2</v>
      </c>
      <c r="BP1100">
        <v>139400</v>
      </c>
      <c r="BQ1100">
        <v>0</v>
      </c>
      <c r="BS1100">
        <v>0</v>
      </c>
      <c r="BU1100">
        <v>0</v>
      </c>
      <c r="BV1100" t="s">
        <v>25</v>
      </c>
      <c r="BW1100" t="s">
        <v>189</v>
      </c>
      <c r="BX1100">
        <v>26</v>
      </c>
      <c r="BY1100">
        <v>3483157</v>
      </c>
      <c r="BZ1100">
        <v>6.9600000977516174E-2</v>
      </c>
      <c r="CA1100" t="s">
        <v>1439</v>
      </c>
      <c r="CB1100" t="s">
        <v>312</v>
      </c>
      <c r="CC1100" t="s">
        <v>1440</v>
      </c>
      <c r="CD1100">
        <v>242500</v>
      </c>
      <c r="CE1100">
        <v>26</v>
      </c>
      <c r="CF1100" t="s">
        <v>466</v>
      </c>
      <c r="CG1100">
        <v>3483157</v>
      </c>
      <c r="CH1100">
        <v>3.9999999105930328E-2</v>
      </c>
      <c r="CI1100">
        <v>139400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 t="s">
        <v>88</v>
      </c>
      <c r="CT1100" t="s">
        <v>142</v>
      </c>
      <c r="CU1100" t="s">
        <v>1442</v>
      </c>
    </row>
    <row r="1101" spans="1:99">
      <c r="A1101" t="s">
        <v>3047</v>
      </c>
      <c r="B1101" t="s">
        <v>34</v>
      </c>
      <c r="C1101" t="s">
        <v>2663</v>
      </c>
      <c r="D1101" t="s">
        <v>2664</v>
      </c>
      <c r="E1101" t="s">
        <v>2665</v>
      </c>
      <c r="F1101" t="s">
        <v>1601</v>
      </c>
      <c r="G1101" t="s">
        <v>2666</v>
      </c>
      <c r="H1101" t="s">
        <v>1558</v>
      </c>
      <c r="I1101" t="s">
        <v>240</v>
      </c>
      <c r="J1101" t="s">
        <v>46</v>
      </c>
      <c r="K1101" t="s">
        <v>29</v>
      </c>
      <c r="L1101" t="s">
        <v>30</v>
      </c>
      <c r="M1101">
        <v>229</v>
      </c>
      <c r="N1101" t="s">
        <v>32</v>
      </c>
      <c r="O1101" t="s">
        <v>32</v>
      </c>
      <c r="Q1101" t="s">
        <v>32</v>
      </c>
      <c r="S1101" t="s">
        <v>40</v>
      </c>
      <c r="T1101">
        <v>46081</v>
      </c>
      <c r="U1101" t="s">
        <v>32</v>
      </c>
      <c r="V1101" t="s">
        <v>32</v>
      </c>
      <c r="W1101" t="s">
        <v>32</v>
      </c>
      <c r="X1101" t="s">
        <v>32</v>
      </c>
      <c r="Y1101" t="s">
        <v>32</v>
      </c>
      <c r="AA1101" t="s">
        <v>88</v>
      </c>
      <c r="AB1101" t="s">
        <v>32</v>
      </c>
      <c r="AE1101" t="s">
        <v>32</v>
      </c>
      <c r="AH1101" t="s">
        <v>32</v>
      </c>
      <c r="AK1101" t="s">
        <v>32</v>
      </c>
      <c r="AN1101" t="s">
        <v>32</v>
      </c>
      <c r="AO1101" t="s">
        <v>32</v>
      </c>
      <c r="AR1101">
        <v>0</v>
      </c>
      <c r="AU1101" t="s">
        <v>32</v>
      </c>
      <c r="AV1101">
        <v>2970185</v>
      </c>
      <c r="AW1101" t="s">
        <v>32</v>
      </c>
      <c r="AX1101" t="s">
        <v>32</v>
      </c>
      <c r="AY1101" t="s">
        <v>185</v>
      </c>
      <c r="AZ1101">
        <v>30</v>
      </c>
      <c r="BA1101">
        <v>5409291</v>
      </c>
      <c r="BB1101">
        <v>0.15999999642372131</v>
      </c>
      <c r="BC1101">
        <v>865500</v>
      </c>
      <c r="BD1101" t="s">
        <v>31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865500</v>
      </c>
      <c r="BK1101" t="s">
        <v>25</v>
      </c>
      <c r="BL1101" t="s">
        <v>870</v>
      </c>
      <c r="BM1101">
        <v>30</v>
      </c>
      <c r="BN1101">
        <v>5409291</v>
      </c>
      <c r="BO1101">
        <v>3.9999999105930328E-2</v>
      </c>
      <c r="BP1101">
        <v>216400</v>
      </c>
      <c r="BQ1101">
        <v>0</v>
      </c>
      <c r="BS1101">
        <v>0</v>
      </c>
      <c r="BU1101">
        <v>0</v>
      </c>
      <c r="BV1101" t="s">
        <v>25</v>
      </c>
      <c r="BW1101" t="s">
        <v>189</v>
      </c>
      <c r="BX1101">
        <v>30</v>
      </c>
      <c r="BY1101">
        <v>5409291</v>
      </c>
      <c r="BZ1101">
        <v>6.9600000977516174E-2</v>
      </c>
      <c r="CA1101" t="s">
        <v>1439</v>
      </c>
      <c r="CB1101" t="s">
        <v>227</v>
      </c>
      <c r="CC1101" t="s">
        <v>1440</v>
      </c>
      <c r="CD1101">
        <v>376500</v>
      </c>
      <c r="CE1101">
        <v>30</v>
      </c>
      <c r="CF1101" t="s">
        <v>635</v>
      </c>
      <c r="CG1101">
        <v>6934507</v>
      </c>
      <c r="CH1101">
        <v>3.9999999105930328E-2</v>
      </c>
      <c r="CI1101">
        <v>277400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 t="s">
        <v>88</v>
      </c>
      <c r="CT1101" t="s">
        <v>142</v>
      </c>
      <c r="CU1101" t="s">
        <v>1442</v>
      </c>
    </row>
    <row r="1102" spans="1:99">
      <c r="A1102" t="s">
        <v>3047</v>
      </c>
      <c r="B1102" t="s">
        <v>34</v>
      </c>
      <c r="C1102" t="s">
        <v>2667</v>
      </c>
      <c r="D1102" t="s">
        <v>2668</v>
      </c>
      <c r="E1102" t="s">
        <v>2420</v>
      </c>
      <c r="F1102" t="s">
        <v>1511</v>
      </c>
      <c r="G1102" t="s">
        <v>1436</v>
      </c>
      <c r="H1102" t="s">
        <v>1498</v>
      </c>
      <c r="I1102" t="s">
        <v>240</v>
      </c>
      <c r="J1102" t="s">
        <v>46</v>
      </c>
      <c r="K1102" t="s">
        <v>29</v>
      </c>
      <c r="L1102" t="s">
        <v>30</v>
      </c>
      <c r="M1102">
        <v>180</v>
      </c>
      <c r="N1102" t="s">
        <v>32</v>
      </c>
      <c r="O1102" t="s">
        <v>32</v>
      </c>
      <c r="Q1102" t="s">
        <v>32</v>
      </c>
      <c r="S1102" t="s">
        <v>32</v>
      </c>
      <c r="U1102" t="s">
        <v>32</v>
      </c>
      <c r="V1102" t="s">
        <v>32</v>
      </c>
      <c r="W1102" t="s">
        <v>32</v>
      </c>
      <c r="X1102" t="s">
        <v>32</v>
      </c>
      <c r="Y1102" t="s">
        <v>88</v>
      </c>
      <c r="Z1102">
        <v>46054</v>
      </c>
      <c r="AA1102" t="s">
        <v>88</v>
      </c>
      <c r="AB1102" t="s">
        <v>32</v>
      </c>
      <c r="AE1102" t="s">
        <v>32</v>
      </c>
      <c r="AH1102" t="s">
        <v>32</v>
      </c>
      <c r="AK1102" t="s">
        <v>32</v>
      </c>
      <c r="AN1102" t="s">
        <v>32</v>
      </c>
      <c r="AO1102" t="s">
        <v>32</v>
      </c>
      <c r="AR1102">
        <v>0</v>
      </c>
      <c r="AU1102" t="s">
        <v>32</v>
      </c>
      <c r="AV1102">
        <v>8601766</v>
      </c>
      <c r="AW1102" t="s">
        <v>32</v>
      </c>
      <c r="AX1102" t="s">
        <v>32</v>
      </c>
      <c r="AY1102" t="s">
        <v>185</v>
      </c>
      <c r="AZ1102">
        <v>30</v>
      </c>
      <c r="BA1102">
        <v>8601766</v>
      </c>
      <c r="BB1102">
        <v>0.15999999642372131</v>
      </c>
      <c r="BC1102">
        <v>1376300</v>
      </c>
      <c r="BD1102" t="s">
        <v>31</v>
      </c>
      <c r="BE1102">
        <v>0</v>
      </c>
      <c r="BF1102">
        <v>0</v>
      </c>
      <c r="BG1102">
        <v>43100</v>
      </c>
      <c r="BH1102">
        <v>43100</v>
      </c>
      <c r="BI1102">
        <v>0</v>
      </c>
      <c r="BJ1102">
        <v>1462500</v>
      </c>
      <c r="BK1102" t="s">
        <v>25</v>
      </c>
      <c r="BL1102" t="s">
        <v>1071</v>
      </c>
      <c r="BM1102">
        <v>30</v>
      </c>
      <c r="BN1102">
        <v>8601766</v>
      </c>
      <c r="BO1102">
        <v>3.9999999105930328E-2</v>
      </c>
      <c r="BP1102">
        <v>344100</v>
      </c>
      <c r="BQ1102">
        <v>0</v>
      </c>
      <c r="BS1102">
        <v>0</v>
      </c>
      <c r="BU1102">
        <v>0</v>
      </c>
      <c r="BV1102" t="s">
        <v>25</v>
      </c>
      <c r="BW1102" t="s">
        <v>189</v>
      </c>
      <c r="BX1102">
        <v>30</v>
      </c>
      <c r="BY1102">
        <v>8601766</v>
      </c>
      <c r="BZ1102">
        <v>6.9600000977516174E-2</v>
      </c>
      <c r="CA1102" t="s">
        <v>1439</v>
      </c>
      <c r="CB1102" t="s">
        <v>227</v>
      </c>
      <c r="CC1102" t="s">
        <v>1440</v>
      </c>
      <c r="CD1102">
        <v>598700</v>
      </c>
      <c r="CE1102">
        <v>30</v>
      </c>
      <c r="CF1102" t="s">
        <v>635</v>
      </c>
      <c r="CG1102">
        <v>8601766</v>
      </c>
      <c r="CH1102">
        <v>3.9999999105930328E-2</v>
      </c>
      <c r="CI1102">
        <v>344100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 t="s">
        <v>88</v>
      </c>
      <c r="CT1102" t="s">
        <v>142</v>
      </c>
      <c r="CU1102" t="s">
        <v>1442</v>
      </c>
    </row>
    <row r="1103" spans="1:99">
      <c r="A1103" t="s">
        <v>3047</v>
      </c>
      <c r="B1103" t="s">
        <v>34</v>
      </c>
      <c r="C1103" t="s">
        <v>2669</v>
      </c>
      <c r="D1103" t="s">
        <v>2670</v>
      </c>
      <c r="E1103" t="s">
        <v>2011</v>
      </c>
      <c r="F1103" t="s">
        <v>1853</v>
      </c>
      <c r="G1103" t="s">
        <v>2671</v>
      </c>
      <c r="H1103" t="s">
        <v>1968</v>
      </c>
      <c r="I1103" t="s">
        <v>240</v>
      </c>
      <c r="J1103" t="s">
        <v>46</v>
      </c>
      <c r="K1103" t="s">
        <v>29</v>
      </c>
      <c r="L1103" t="s">
        <v>30</v>
      </c>
      <c r="M1103">
        <v>127</v>
      </c>
      <c r="N1103" t="s">
        <v>32</v>
      </c>
      <c r="O1103" t="s">
        <v>32</v>
      </c>
      <c r="Q1103" t="s">
        <v>32</v>
      </c>
      <c r="S1103" t="s">
        <v>40</v>
      </c>
      <c r="T1103">
        <v>46068</v>
      </c>
      <c r="U1103" t="s">
        <v>32</v>
      </c>
      <c r="V1103" t="s">
        <v>32</v>
      </c>
      <c r="W1103" t="s">
        <v>32</v>
      </c>
      <c r="X1103" t="s">
        <v>32</v>
      </c>
      <c r="Y1103" t="s">
        <v>32</v>
      </c>
      <c r="AA1103" t="s">
        <v>88</v>
      </c>
      <c r="AB1103" t="s">
        <v>32</v>
      </c>
      <c r="AE1103" t="s">
        <v>32</v>
      </c>
      <c r="AH1103" t="s">
        <v>32</v>
      </c>
      <c r="AK1103" t="s">
        <v>32</v>
      </c>
      <c r="AN1103" t="s">
        <v>32</v>
      </c>
      <c r="AO1103" t="s">
        <v>32</v>
      </c>
      <c r="AR1103">
        <v>0</v>
      </c>
      <c r="AU1103" t="s">
        <v>32</v>
      </c>
      <c r="AV1103">
        <v>2970185</v>
      </c>
      <c r="AW1103" t="s">
        <v>32</v>
      </c>
      <c r="AX1103" t="s">
        <v>32</v>
      </c>
      <c r="AY1103" t="s">
        <v>317</v>
      </c>
      <c r="AZ1103">
        <v>15</v>
      </c>
      <c r="BA1103">
        <v>3188494</v>
      </c>
      <c r="BB1103">
        <v>0.15999999642372131</v>
      </c>
      <c r="BC1103">
        <v>510200</v>
      </c>
      <c r="BD1103" t="s">
        <v>31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510200</v>
      </c>
      <c r="BK1103" t="s">
        <v>25</v>
      </c>
      <c r="BL1103" t="s">
        <v>1491</v>
      </c>
      <c r="BM1103">
        <v>15</v>
      </c>
      <c r="BN1103">
        <v>3188494</v>
      </c>
      <c r="BO1103">
        <v>3.9999999105930328E-2</v>
      </c>
      <c r="BP1103">
        <v>127600</v>
      </c>
      <c r="BQ1103">
        <v>0</v>
      </c>
      <c r="BS1103">
        <v>0</v>
      </c>
      <c r="BU1103">
        <v>0</v>
      </c>
      <c r="BV1103" t="s">
        <v>25</v>
      </c>
      <c r="BW1103" t="s">
        <v>189</v>
      </c>
      <c r="BX1103">
        <v>15</v>
      </c>
      <c r="BY1103">
        <v>3188494</v>
      </c>
      <c r="BZ1103">
        <v>6.9600000977516174E-2</v>
      </c>
      <c r="CA1103" t="s">
        <v>1439</v>
      </c>
      <c r="CB1103" t="s">
        <v>227</v>
      </c>
      <c r="CC1103" t="s">
        <v>1440</v>
      </c>
      <c r="CD1103">
        <v>222000</v>
      </c>
      <c r="CE1103">
        <v>15</v>
      </c>
      <c r="CF1103" t="s">
        <v>635</v>
      </c>
      <c r="CG1103">
        <v>4171872</v>
      </c>
      <c r="CH1103">
        <v>3.9999999105930328E-2</v>
      </c>
      <c r="CI1103">
        <v>166900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 t="s">
        <v>88</v>
      </c>
      <c r="CT1103" t="s">
        <v>142</v>
      </c>
      <c r="CU1103" t="s">
        <v>1442</v>
      </c>
    </row>
    <row r="1104" spans="1:99">
      <c r="A1104" t="s">
        <v>3047</v>
      </c>
      <c r="B1104" t="s">
        <v>34</v>
      </c>
      <c r="C1104" t="s">
        <v>2672</v>
      </c>
      <c r="D1104" t="s">
        <v>2673</v>
      </c>
      <c r="E1104" t="s">
        <v>2395</v>
      </c>
      <c r="F1104" t="s">
        <v>1435</v>
      </c>
      <c r="G1104" t="s">
        <v>1489</v>
      </c>
      <c r="H1104" t="s">
        <v>1519</v>
      </c>
      <c r="I1104" t="s">
        <v>240</v>
      </c>
      <c r="J1104" t="s">
        <v>46</v>
      </c>
      <c r="K1104" t="s">
        <v>29</v>
      </c>
      <c r="L1104" t="s">
        <v>30</v>
      </c>
      <c r="M1104">
        <v>180</v>
      </c>
      <c r="N1104" t="s">
        <v>32</v>
      </c>
      <c r="O1104" t="s">
        <v>32</v>
      </c>
      <c r="Q1104" t="s">
        <v>32</v>
      </c>
      <c r="S1104" t="s">
        <v>32</v>
      </c>
      <c r="U1104" t="s">
        <v>32</v>
      </c>
      <c r="V1104" t="s">
        <v>32</v>
      </c>
      <c r="W1104" t="s">
        <v>32</v>
      </c>
      <c r="X1104" t="s">
        <v>32</v>
      </c>
      <c r="Y1104" t="s">
        <v>32</v>
      </c>
      <c r="AA1104" t="s">
        <v>88</v>
      </c>
      <c r="AB1104" t="s">
        <v>32</v>
      </c>
      <c r="AE1104" t="s">
        <v>32</v>
      </c>
      <c r="AH1104" t="s">
        <v>32</v>
      </c>
      <c r="AK1104" t="s">
        <v>32</v>
      </c>
      <c r="AN1104" t="s">
        <v>32</v>
      </c>
      <c r="AO1104" t="s">
        <v>32</v>
      </c>
      <c r="AR1104">
        <v>0</v>
      </c>
      <c r="AU1104" t="s">
        <v>32</v>
      </c>
      <c r="AV1104">
        <v>3415855</v>
      </c>
      <c r="AW1104" t="s">
        <v>32</v>
      </c>
      <c r="AX1104" t="s">
        <v>32</v>
      </c>
      <c r="AY1104" t="s">
        <v>185</v>
      </c>
      <c r="AZ1104">
        <v>30</v>
      </c>
      <c r="BA1104">
        <v>3625694</v>
      </c>
      <c r="BB1104">
        <v>0.15999999642372131</v>
      </c>
      <c r="BC1104">
        <v>580200</v>
      </c>
      <c r="BD1104" t="s">
        <v>31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580200</v>
      </c>
      <c r="BK1104" t="s">
        <v>25</v>
      </c>
      <c r="BL1104" t="s">
        <v>1071</v>
      </c>
      <c r="BM1104">
        <v>30</v>
      </c>
      <c r="BN1104">
        <v>3625694</v>
      </c>
      <c r="BO1104">
        <v>3.9999999105930328E-2</v>
      </c>
      <c r="BP1104">
        <v>145100</v>
      </c>
      <c r="BQ1104">
        <v>0</v>
      </c>
      <c r="BS1104">
        <v>0</v>
      </c>
      <c r="BU1104">
        <v>0</v>
      </c>
      <c r="BV1104" t="s">
        <v>25</v>
      </c>
      <c r="BW1104" t="s">
        <v>189</v>
      </c>
      <c r="BX1104">
        <v>30</v>
      </c>
      <c r="BY1104">
        <v>3625694</v>
      </c>
      <c r="BZ1104">
        <v>6.9600000977516174E-2</v>
      </c>
      <c r="CA1104" t="s">
        <v>1439</v>
      </c>
      <c r="CB1104" t="s">
        <v>227</v>
      </c>
      <c r="CC1104" t="s">
        <v>1440</v>
      </c>
      <c r="CD1104">
        <v>252400</v>
      </c>
      <c r="CE1104">
        <v>30</v>
      </c>
      <c r="CF1104" t="s">
        <v>635</v>
      </c>
      <c r="CG1104">
        <v>3589754</v>
      </c>
      <c r="CH1104">
        <v>3.9999999105930328E-2</v>
      </c>
      <c r="CI1104">
        <v>143600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 t="s">
        <v>88</v>
      </c>
      <c r="CT1104" t="s">
        <v>142</v>
      </c>
      <c r="CU1104" t="s">
        <v>1442</v>
      </c>
    </row>
    <row r="1105" spans="1:99">
      <c r="A1105" t="s">
        <v>3047</v>
      </c>
      <c r="B1105" t="s">
        <v>34</v>
      </c>
      <c r="C1105" t="s">
        <v>2674</v>
      </c>
      <c r="D1105" t="s">
        <v>2675</v>
      </c>
      <c r="E1105" t="s">
        <v>1526</v>
      </c>
      <c r="F1105" t="s">
        <v>1823</v>
      </c>
      <c r="G1105" t="s">
        <v>1436</v>
      </c>
      <c r="H1105" t="s">
        <v>2410</v>
      </c>
      <c r="I1105" t="s">
        <v>240</v>
      </c>
      <c r="J1105" t="s">
        <v>46</v>
      </c>
      <c r="K1105" t="s">
        <v>29</v>
      </c>
      <c r="L1105" t="s">
        <v>30</v>
      </c>
      <c r="M1105">
        <v>0</v>
      </c>
      <c r="N1105" t="s">
        <v>32</v>
      </c>
      <c r="O1105" t="s">
        <v>32</v>
      </c>
      <c r="Q1105" t="s">
        <v>32</v>
      </c>
      <c r="S1105" t="s">
        <v>32</v>
      </c>
      <c r="U1105" t="s">
        <v>32</v>
      </c>
      <c r="V1105" t="s">
        <v>32</v>
      </c>
      <c r="W1105" t="s">
        <v>32</v>
      </c>
      <c r="X1105" t="s">
        <v>32</v>
      </c>
      <c r="Y1105" t="s">
        <v>32</v>
      </c>
      <c r="AA1105" t="s">
        <v>32</v>
      </c>
      <c r="AB1105" t="s">
        <v>37</v>
      </c>
      <c r="AC1105">
        <v>46054</v>
      </c>
      <c r="AD1105">
        <v>46055</v>
      </c>
      <c r="AE1105" t="s">
        <v>32</v>
      </c>
      <c r="AH1105" t="s">
        <v>32</v>
      </c>
      <c r="AK1105" t="s">
        <v>32</v>
      </c>
      <c r="AN1105" t="s">
        <v>32</v>
      </c>
      <c r="AO1105" t="s">
        <v>32</v>
      </c>
      <c r="AR1105">
        <v>0</v>
      </c>
      <c r="AU1105" t="s">
        <v>32</v>
      </c>
      <c r="AV1105">
        <v>2223339</v>
      </c>
      <c r="AW1105" t="s">
        <v>32</v>
      </c>
      <c r="AX1105" t="s">
        <v>32</v>
      </c>
      <c r="AY1105" t="s">
        <v>356</v>
      </c>
      <c r="AZ1105">
        <v>2</v>
      </c>
      <c r="BA1105">
        <v>222334</v>
      </c>
      <c r="BB1105">
        <v>0.15999999642372131</v>
      </c>
      <c r="BC1105">
        <v>35600</v>
      </c>
      <c r="BD1105" t="s">
        <v>31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35600</v>
      </c>
      <c r="BK1105" t="s">
        <v>25</v>
      </c>
      <c r="BL1105" t="s">
        <v>1010</v>
      </c>
      <c r="BM1105">
        <v>2</v>
      </c>
      <c r="BN1105">
        <v>222334</v>
      </c>
      <c r="BO1105">
        <v>0</v>
      </c>
      <c r="BP1105">
        <v>0</v>
      </c>
      <c r="BQ1105">
        <v>0</v>
      </c>
      <c r="BS1105">
        <v>0</v>
      </c>
      <c r="BU1105">
        <v>0</v>
      </c>
      <c r="BV1105" t="s">
        <v>25</v>
      </c>
      <c r="BW1105" t="s">
        <v>189</v>
      </c>
      <c r="BX1105">
        <v>2</v>
      </c>
      <c r="BY1105">
        <v>222334</v>
      </c>
      <c r="BZ1105">
        <v>0</v>
      </c>
      <c r="CA1105" t="s">
        <v>1439</v>
      </c>
      <c r="CB1105" t="s">
        <v>227</v>
      </c>
      <c r="CC1105" t="s">
        <v>1440</v>
      </c>
      <c r="CD1105">
        <v>0</v>
      </c>
      <c r="CE1105">
        <v>2</v>
      </c>
      <c r="CF1105" t="s">
        <v>635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 t="s">
        <v>88</v>
      </c>
      <c r="CT1105" t="s">
        <v>142</v>
      </c>
      <c r="CU1105" t="s">
        <v>1442</v>
      </c>
    </row>
    <row r="1106" spans="1:99">
      <c r="A1106" t="s">
        <v>3047</v>
      </c>
      <c r="B1106" t="s">
        <v>34</v>
      </c>
      <c r="C1106" t="s">
        <v>2674</v>
      </c>
      <c r="D1106" t="s">
        <v>2675</v>
      </c>
      <c r="E1106" t="s">
        <v>1526</v>
      </c>
      <c r="F1106" t="s">
        <v>1823</v>
      </c>
      <c r="G1106" t="s">
        <v>1436</v>
      </c>
      <c r="H1106" t="s">
        <v>2410</v>
      </c>
      <c r="I1106" t="s">
        <v>240</v>
      </c>
      <c r="J1106" t="s">
        <v>46</v>
      </c>
      <c r="K1106" t="s">
        <v>29</v>
      </c>
      <c r="L1106" t="s">
        <v>30</v>
      </c>
      <c r="M1106">
        <v>0</v>
      </c>
      <c r="N1106" t="s">
        <v>32</v>
      </c>
      <c r="O1106" t="s">
        <v>32</v>
      </c>
      <c r="Q1106" t="s">
        <v>32</v>
      </c>
      <c r="S1106" t="s">
        <v>40</v>
      </c>
      <c r="T1106">
        <v>46056</v>
      </c>
      <c r="U1106" t="s">
        <v>32</v>
      </c>
      <c r="V1106" t="s">
        <v>32</v>
      </c>
      <c r="W1106" t="s">
        <v>32</v>
      </c>
      <c r="X1106" t="s">
        <v>32</v>
      </c>
      <c r="Y1106" t="s">
        <v>32</v>
      </c>
      <c r="AA1106" t="s">
        <v>88</v>
      </c>
      <c r="AB1106" t="s">
        <v>32</v>
      </c>
      <c r="AE1106" t="s">
        <v>32</v>
      </c>
      <c r="AH1106" t="s">
        <v>32</v>
      </c>
      <c r="AK1106" t="s">
        <v>32</v>
      </c>
      <c r="AN1106" t="s">
        <v>32</v>
      </c>
      <c r="AO1106" t="s">
        <v>32</v>
      </c>
      <c r="AR1106">
        <v>0</v>
      </c>
      <c r="AU1106" t="s">
        <v>32</v>
      </c>
      <c r="AV1106">
        <v>2223339</v>
      </c>
      <c r="AW1106" t="s">
        <v>32</v>
      </c>
      <c r="AX1106" t="s">
        <v>32</v>
      </c>
      <c r="AY1106" t="s">
        <v>356</v>
      </c>
      <c r="AZ1106">
        <v>1</v>
      </c>
      <c r="BA1106">
        <v>323125</v>
      </c>
      <c r="BB1106">
        <v>0.15999999642372131</v>
      </c>
      <c r="BC1106">
        <v>51700</v>
      </c>
      <c r="BD1106" t="s">
        <v>31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51700</v>
      </c>
      <c r="BK1106" t="s">
        <v>25</v>
      </c>
      <c r="BL1106" t="s">
        <v>1010</v>
      </c>
      <c r="BM1106">
        <v>1</v>
      </c>
      <c r="BN1106">
        <v>323125</v>
      </c>
      <c r="BO1106">
        <v>3.9999999105930328E-2</v>
      </c>
      <c r="BP1106">
        <v>13000</v>
      </c>
      <c r="BQ1106">
        <v>0</v>
      </c>
      <c r="BS1106">
        <v>0</v>
      </c>
      <c r="BU1106">
        <v>0</v>
      </c>
      <c r="BV1106" t="s">
        <v>25</v>
      </c>
      <c r="BW1106" t="s">
        <v>189</v>
      </c>
      <c r="BX1106">
        <v>1</v>
      </c>
      <c r="BY1106">
        <v>323125</v>
      </c>
      <c r="BZ1106">
        <v>6.9600000977516174E-2</v>
      </c>
      <c r="CA1106" t="s">
        <v>1439</v>
      </c>
      <c r="CB1106" t="s">
        <v>227</v>
      </c>
      <c r="CC1106" t="s">
        <v>1440</v>
      </c>
      <c r="CD1106">
        <v>22500</v>
      </c>
      <c r="CE1106">
        <v>1</v>
      </c>
      <c r="CF1106" t="s">
        <v>635</v>
      </c>
      <c r="CG1106">
        <v>794357</v>
      </c>
      <c r="CH1106">
        <v>3.9999999105930328E-2</v>
      </c>
      <c r="CI1106">
        <v>31800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 t="s">
        <v>88</v>
      </c>
      <c r="CT1106" t="s">
        <v>142</v>
      </c>
      <c r="CU1106" t="s">
        <v>1442</v>
      </c>
    </row>
    <row r="1107" spans="1:99">
      <c r="A1107" t="s">
        <v>3047</v>
      </c>
      <c r="B1107" t="s">
        <v>34</v>
      </c>
      <c r="C1107" t="s">
        <v>2676</v>
      </c>
      <c r="D1107" t="s">
        <v>2677</v>
      </c>
      <c r="E1107" t="s">
        <v>1459</v>
      </c>
      <c r="F1107" t="s">
        <v>2678</v>
      </c>
      <c r="G1107" t="s">
        <v>1479</v>
      </c>
      <c r="H1107" t="s">
        <v>2008</v>
      </c>
      <c r="I1107" t="s">
        <v>682</v>
      </c>
      <c r="J1107" t="s">
        <v>484</v>
      </c>
      <c r="K1107" t="s">
        <v>29</v>
      </c>
      <c r="L1107" t="s">
        <v>30</v>
      </c>
      <c r="M1107">
        <v>204</v>
      </c>
      <c r="N1107" t="s">
        <v>32</v>
      </c>
      <c r="O1107" t="s">
        <v>32</v>
      </c>
      <c r="Q1107" t="s">
        <v>32</v>
      </c>
      <c r="S1107" t="s">
        <v>32</v>
      </c>
      <c r="U1107" t="s">
        <v>32</v>
      </c>
      <c r="V1107" t="s">
        <v>32</v>
      </c>
      <c r="W1107" t="s">
        <v>32</v>
      </c>
      <c r="X1107" t="s">
        <v>32</v>
      </c>
      <c r="Y1107" t="s">
        <v>32</v>
      </c>
      <c r="AA1107" t="s">
        <v>88</v>
      </c>
      <c r="AB1107" t="s">
        <v>32</v>
      </c>
      <c r="AE1107" t="s">
        <v>32</v>
      </c>
      <c r="AH1107" t="s">
        <v>32</v>
      </c>
      <c r="AK1107" t="s">
        <v>32</v>
      </c>
      <c r="AN1107" t="s">
        <v>32</v>
      </c>
      <c r="AO1107" t="s">
        <v>32</v>
      </c>
      <c r="AR1107">
        <v>0</v>
      </c>
      <c r="AU1107" t="s">
        <v>32</v>
      </c>
      <c r="AV1107">
        <v>2665550</v>
      </c>
      <c r="AW1107" t="s">
        <v>32</v>
      </c>
      <c r="AX1107" t="s">
        <v>32</v>
      </c>
      <c r="AY1107" t="s">
        <v>356</v>
      </c>
      <c r="AZ1107">
        <v>30</v>
      </c>
      <c r="BA1107">
        <v>3882345</v>
      </c>
      <c r="BB1107">
        <v>0.15999999642372131</v>
      </c>
      <c r="BC1107">
        <v>621200</v>
      </c>
      <c r="BD1107" t="s">
        <v>31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621200</v>
      </c>
      <c r="BK1107" t="s">
        <v>25</v>
      </c>
      <c r="BL1107" t="s">
        <v>1064</v>
      </c>
      <c r="BM1107">
        <v>30</v>
      </c>
      <c r="BN1107">
        <v>3882345</v>
      </c>
      <c r="BO1107">
        <v>3.9999999105930328E-2</v>
      </c>
      <c r="BP1107">
        <v>155300</v>
      </c>
      <c r="BQ1107">
        <v>0</v>
      </c>
      <c r="BS1107">
        <v>0</v>
      </c>
      <c r="BU1107">
        <v>0</v>
      </c>
      <c r="BV1107" t="s">
        <v>25</v>
      </c>
      <c r="BW1107" t="s">
        <v>189</v>
      </c>
      <c r="BX1107">
        <v>30</v>
      </c>
      <c r="BY1107">
        <v>3882345</v>
      </c>
      <c r="BZ1107">
        <v>6.9600000977516174E-2</v>
      </c>
      <c r="CA1107" t="s">
        <v>1439</v>
      </c>
      <c r="CB1107" t="s">
        <v>312</v>
      </c>
      <c r="CC1107" t="s">
        <v>1440</v>
      </c>
      <c r="CD1107">
        <v>270300</v>
      </c>
      <c r="CE1107">
        <v>30</v>
      </c>
      <c r="CF1107" t="s">
        <v>466</v>
      </c>
      <c r="CG1107">
        <v>3882345</v>
      </c>
      <c r="CH1107">
        <v>3.9999999105930328E-2</v>
      </c>
      <c r="CI1107">
        <v>155300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 t="s">
        <v>88</v>
      </c>
      <c r="CT1107" t="s">
        <v>142</v>
      </c>
      <c r="CU1107" t="s">
        <v>1442</v>
      </c>
    </row>
    <row r="1108" spans="1:99">
      <c r="A1108" t="s">
        <v>3047</v>
      </c>
      <c r="B1108" t="s">
        <v>34</v>
      </c>
      <c r="C1108" t="s">
        <v>2679</v>
      </c>
      <c r="D1108" t="s">
        <v>2680</v>
      </c>
      <c r="E1108" t="s">
        <v>2681</v>
      </c>
      <c r="F1108" t="s">
        <v>573</v>
      </c>
      <c r="G1108" t="s">
        <v>1478</v>
      </c>
      <c r="H1108" t="s">
        <v>1548</v>
      </c>
      <c r="I1108" t="s">
        <v>240</v>
      </c>
      <c r="J1108" t="s">
        <v>46</v>
      </c>
      <c r="K1108" t="s">
        <v>29</v>
      </c>
      <c r="L1108" t="s">
        <v>30</v>
      </c>
      <c r="M1108">
        <v>188</v>
      </c>
      <c r="N1108" t="s">
        <v>32</v>
      </c>
      <c r="O1108" t="s">
        <v>32</v>
      </c>
      <c r="Q1108" t="s">
        <v>32</v>
      </c>
      <c r="S1108" t="s">
        <v>32</v>
      </c>
      <c r="U1108" t="s">
        <v>32</v>
      </c>
      <c r="V1108" t="s">
        <v>32</v>
      </c>
      <c r="W1108" t="s">
        <v>32</v>
      </c>
      <c r="X1108" t="s">
        <v>32</v>
      </c>
      <c r="Y1108" t="s">
        <v>88</v>
      </c>
      <c r="Z1108">
        <v>46054</v>
      </c>
      <c r="AA1108" t="s">
        <v>88</v>
      </c>
      <c r="AB1108" t="s">
        <v>32</v>
      </c>
      <c r="AE1108" t="s">
        <v>32</v>
      </c>
      <c r="AH1108" t="s">
        <v>32</v>
      </c>
      <c r="AK1108" t="s">
        <v>32</v>
      </c>
      <c r="AN1108" t="s">
        <v>32</v>
      </c>
      <c r="AO1108" t="s">
        <v>32</v>
      </c>
      <c r="AR1108">
        <v>0</v>
      </c>
      <c r="AU1108" t="s">
        <v>32</v>
      </c>
      <c r="AV1108">
        <v>11201102</v>
      </c>
      <c r="AW1108" t="s">
        <v>32</v>
      </c>
      <c r="AX1108" t="s">
        <v>32</v>
      </c>
      <c r="AY1108" t="s">
        <v>185</v>
      </c>
      <c r="AZ1108">
        <v>30</v>
      </c>
      <c r="BA1108">
        <v>11201102</v>
      </c>
      <c r="BB1108">
        <v>0.15999999642372131</v>
      </c>
      <c r="BC1108">
        <v>1792200</v>
      </c>
      <c r="BD1108" t="s">
        <v>31</v>
      </c>
      <c r="BE1108">
        <v>0</v>
      </c>
      <c r="BF1108">
        <v>0</v>
      </c>
      <c r="BG1108">
        <v>56100</v>
      </c>
      <c r="BH1108">
        <v>56100</v>
      </c>
      <c r="BI1108">
        <v>0</v>
      </c>
      <c r="BJ1108">
        <v>1904400</v>
      </c>
      <c r="BK1108" t="s">
        <v>25</v>
      </c>
      <c r="BL1108" t="s">
        <v>1071</v>
      </c>
      <c r="BM1108">
        <v>30</v>
      </c>
      <c r="BN1108">
        <v>11201102</v>
      </c>
      <c r="BO1108">
        <v>3.9999999105930328E-2</v>
      </c>
      <c r="BP1108">
        <v>448100</v>
      </c>
      <c r="BQ1108">
        <v>0</v>
      </c>
      <c r="BS1108">
        <v>0</v>
      </c>
      <c r="BU1108">
        <v>0</v>
      </c>
      <c r="BV1108" t="s">
        <v>25</v>
      </c>
      <c r="BW1108" t="s">
        <v>189</v>
      </c>
      <c r="BX1108">
        <v>30</v>
      </c>
      <c r="BY1108">
        <v>11201102</v>
      </c>
      <c r="BZ1108">
        <v>6.9600000977516174E-2</v>
      </c>
      <c r="CA1108" t="s">
        <v>1439</v>
      </c>
      <c r="CB1108" t="s">
        <v>227</v>
      </c>
      <c r="CC1108" t="s">
        <v>1440</v>
      </c>
      <c r="CD1108">
        <v>779600</v>
      </c>
      <c r="CE1108">
        <v>30</v>
      </c>
      <c r="CF1108" t="s">
        <v>635</v>
      </c>
      <c r="CG1108">
        <v>11201102</v>
      </c>
      <c r="CH1108">
        <v>3.9999999105930328E-2</v>
      </c>
      <c r="CI1108">
        <v>448100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 t="s">
        <v>88</v>
      </c>
      <c r="CT1108" t="s">
        <v>142</v>
      </c>
      <c r="CU1108" t="s">
        <v>1442</v>
      </c>
    </row>
    <row r="1109" spans="1:99">
      <c r="A1109" t="s">
        <v>3047</v>
      </c>
      <c r="B1109" t="s">
        <v>34</v>
      </c>
      <c r="C1109" t="s">
        <v>2682</v>
      </c>
      <c r="D1109" t="s">
        <v>2683</v>
      </c>
      <c r="E1109" t="s">
        <v>2684</v>
      </c>
      <c r="F1109" t="s">
        <v>2403</v>
      </c>
      <c r="G1109" t="s">
        <v>1806</v>
      </c>
      <c r="H1109" t="s">
        <v>1503</v>
      </c>
      <c r="I1109" t="s">
        <v>240</v>
      </c>
      <c r="J1109" t="s">
        <v>46</v>
      </c>
      <c r="K1109" t="s">
        <v>29</v>
      </c>
      <c r="L1109" t="s">
        <v>30</v>
      </c>
      <c r="M1109">
        <v>216</v>
      </c>
      <c r="N1109" t="s">
        <v>32</v>
      </c>
      <c r="O1109" t="s">
        <v>32</v>
      </c>
      <c r="Q1109" t="s">
        <v>32</v>
      </c>
      <c r="S1109" t="s">
        <v>32</v>
      </c>
      <c r="U1109" t="s">
        <v>32</v>
      </c>
      <c r="V1109" t="s">
        <v>32</v>
      </c>
      <c r="W1109" t="s">
        <v>32</v>
      </c>
      <c r="X1109" t="s">
        <v>32</v>
      </c>
      <c r="Y1109" t="s">
        <v>32</v>
      </c>
      <c r="AA1109" t="s">
        <v>88</v>
      </c>
      <c r="AB1109" t="s">
        <v>32</v>
      </c>
      <c r="AE1109" t="s">
        <v>32</v>
      </c>
      <c r="AH1109" t="s">
        <v>32</v>
      </c>
      <c r="AK1109" t="s">
        <v>32</v>
      </c>
      <c r="AN1109" t="s">
        <v>32</v>
      </c>
      <c r="AO1109" t="s">
        <v>32</v>
      </c>
      <c r="AR1109">
        <v>0</v>
      </c>
      <c r="AU1109" t="s">
        <v>32</v>
      </c>
      <c r="AV1109">
        <v>2223339</v>
      </c>
      <c r="AW1109" t="s">
        <v>32</v>
      </c>
      <c r="AX1109" t="s">
        <v>32</v>
      </c>
      <c r="AY1109" t="s">
        <v>185</v>
      </c>
      <c r="AZ1109">
        <v>30</v>
      </c>
      <c r="BA1109">
        <v>3264484</v>
      </c>
      <c r="BB1109">
        <v>0.15999999642372131</v>
      </c>
      <c r="BC1109">
        <v>522400</v>
      </c>
      <c r="BD1109" t="s">
        <v>31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522400</v>
      </c>
      <c r="BK1109" t="s">
        <v>25</v>
      </c>
      <c r="BL1109" t="s">
        <v>1064</v>
      </c>
      <c r="BM1109">
        <v>30</v>
      </c>
      <c r="BN1109">
        <v>3264484</v>
      </c>
      <c r="BO1109">
        <v>3.9999999105930328E-2</v>
      </c>
      <c r="BP1109">
        <v>130600</v>
      </c>
      <c r="BQ1109">
        <v>0</v>
      </c>
      <c r="BS1109">
        <v>0</v>
      </c>
      <c r="BU1109">
        <v>0</v>
      </c>
      <c r="BV1109" t="s">
        <v>25</v>
      </c>
      <c r="BW1109" t="s">
        <v>189</v>
      </c>
      <c r="BX1109">
        <v>30</v>
      </c>
      <c r="BY1109">
        <v>3264484</v>
      </c>
      <c r="BZ1109">
        <v>6.9600000977516174E-2</v>
      </c>
      <c r="CA1109" t="s">
        <v>1439</v>
      </c>
      <c r="CB1109" t="s">
        <v>227</v>
      </c>
      <c r="CC1109" t="s">
        <v>1440</v>
      </c>
      <c r="CD1109">
        <v>227300</v>
      </c>
      <c r="CE1109">
        <v>30</v>
      </c>
      <c r="CF1109" t="s">
        <v>635</v>
      </c>
      <c r="CG1109">
        <v>2839845</v>
      </c>
      <c r="CH1109">
        <v>3.9999999105930328E-2</v>
      </c>
      <c r="CI1109">
        <v>113600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 t="s">
        <v>88</v>
      </c>
      <c r="CT1109" t="s">
        <v>142</v>
      </c>
      <c r="CU1109" t="s">
        <v>1442</v>
      </c>
    </row>
    <row r="1110" spans="1:99">
      <c r="A1110" t="s">
        <v>3047</v>
      </c>
      <c r="B1110" t="s">
        <v>34</v>
      </c>
      <c r="C1110" t="s">
        <v>2685</v>
      </c>
      <c r="D1110" t="s">
        <v>2686</v>
      </c>
      <c r="E1110" t="s">
        <v>1459</v>
      </c>
      <c r="F1110" t="s">
        <v>1823</v>
      </c>
      <c r="G1110" t="s">
        <v>2687</v>
      </c>
      <c r="H1110" t="s">
        <v>1558</v>
      </c>
      <c r="I1110" t="s">
        <v>240</v>
      </c>
      <c r="J1110" t="s">
        <v>46</v>
      </c>
      <c r="K1110" t="s">
        <v>29</v>
      </c>
      <c r="L1110" t="s">
        <v>30</v>
      </c>
      <c r="M1110">
        <v>0</v>
      </c>
      <c r="N1110" t="s">
        <v>32</v>
      </c>
      <c r="O1110" t="s">
        <v>32</v>
      </c>
      <c r="Q1110" t="s">
        <v>32</v>
      </c>
      <c r="S1110" t="s">
        <v>32</v>
      </c>
      <c r="U1110" t="s">
        <v>32</v>
      </c>
      <c r="V1110" t="s">
        <v>32</v>
      </c>
      <c r="W1110" t="s">
        <v>32</v>
      </c>
      <c r="X1110" t="s">
        <v>32</v>
      </c>
      <c r="Y1110" t="s">
        <v>32</v>
      </c>
      <c r="AA1110" t="s">
        <v>32</v>
      </c>
      <c r="AB1110" t="s">
        <v>32</v>
      </c>
      <c r="AE1110" t="s">
        <v>32</v>
      </c>
      <c r="AH1110" t="s">
        <v>32</v>
      </c>
      <c r="AK1110" t="s">
        <v>128</v>
      </c>
      <c r="AL1110">
        <v>46069</v>
      </c>
      <c r="AM1110">
        <v>46069</v>
      </c>
      <c r="AN1110" t="s">
        <v>32</v>
      </c>
      <c r="AO1110" t="s">
        <v>32</v>
      </c>
      <c r="AR1110">
        <v>0</v>
      </c>
      <c r="AU1110" t="s">
        <v>32</v>
      </c>
      <c r="AV1110">
        <v>3639331</v>
      </c>
      <c r="AW1110" t="s">
        <v>32</v>
      </c>
      <c r="AX1110" t="s">
        <v>32</v>
      </c>
      <c r="AY1110" t="s">
        <v>317</v>
      </c>
      <c r="AZ1110">
        <v>1</v>
      </c>
      <c r="BA1110">
        <v>121312</v>
      </c>
      <c r="BB1110">
        <v>0.15999999642372131</v>
      </c>
      <c r="BC1110">
        <v>19500</v>
      </c>
      <c r="BD1110" t="s">
        <v>31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19500</v>
      </c>
      <c r="BK1110" t="s">
        <v>25</v>
      </c>
      <c r="BL1110" t="s">
        <v>1071</v>
      </c>
      <c r="BM1110">
        <v>1</v>
      </c>
      <c r="BN1110">
        <v>121312</v>
      </c>
      <c r="BO1110">
        <v>3.9999999105930328E-2</v>
      </c>
      <c r="BP1110">
        <v>4900</v>
      </c>
      <c r="BQ1110">
        <v>0</v>
      </c>
      <c r="BS1110">
        <v>0</v>
      </c>
      <c r="BU1110">
        <v>0</v>
      </c>
      <c r="BV1110" t="s">
        <v>25</v>
      </c>
      <c r="BW1110" t="s">
        <v>189</v>
      </c>
      <c r="BX1110">
        <v>1</v>
      </c>
      <c r="BY1110">
        <v>121312</v>
      </c>
      <c r="BZ1110">
        <v>0</v>
      </c>
      <c r="CA1110" t="s">
        <v>1439</v>
      </c>
      <c r="CB1110" t="s">
        <v>227</v>
      </c>
      <c r="CC1110" t="s">
        <v>1440</v>
      </c>
      <c r="CD1110">
        <v>0</v>
      </c>
      <c r="CE1110">
        <v>1</v>
      </c>
      <c r="CF1110" t="s">
        <v>635</v>
      </c>
      <c r="CG1110">
        <v>121312</v>
      </c>
      <c r="CH1110">
        <v>3.9999999105930328E-2</v>
      </c>
      <c r="CI1110">
        <v>4900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 t="s">
        <v>88</v>
      </c>
      <c r="CT1110" t="s">
        <v>142</v>
      </c>
      <c r="CU1110" t="s">
        <v>1442</v>
      </c>
    </row>
    <row r="1111" spans="1:99">
      <c r="A1111" t="s">
        <v>3047</v>
      </c>
      <c r="B1111" t="s">
        <v>34</v>
      </c>
      <c r="C1111" t="s">
        <v>2685</v>
      </c>
      <c r="D1111" t="s">
        <v>2686</v>
      </c>
      <c r="E1111" t="s">
        <v>1459</v>
      </c>
      <c r="F1111" t="s">
        <v>1823</v>
      </c>
      <c r="G1111" t="s">
        <v>2687</v>
      </c>
      <c r="H1111" t="s">
        <v>1558</v>
      </c>
      <c r="I1111" t="s">
        <v>240</v>
      </c>
      <c r="J1111" t="s">
        <v>46</v>
      </c>
      <c r="K1111" t="s">
        <v>29</v>
      </c>
      <c r="L1111" t="s">
        <v>30</v>
      </c>
      <c r="M1111">
        <v>171</v>
      </c>
      <c r="N1111" t="s">
        <v>32</v>
      </c>
      <c r="O1111" t="s">
        <v>32</v>
      </c>
      <c r="Q1111" t="s">
        <v>32</v>
      </c>
      <c r="S1111" t="s">
        <v>32</v>
      </c>
      <c r="U1111" t="s">
        <v>32</v>
      </c>
      <c r="V1111" t="s">
        <v>32</v>
      </c>
      <c r="W1111" t="s">
        <v>32</v>
      </c>
      <c r="X1111" t="s">
        <v>32</v>
      </c>
      <c r="Y1111" t="s">
        <v>32</v>
      </c>
      <c r="AA1111" t="s">
        <v>88</v>
      </c>
      <c r="AB1111" t="s">
        <v>32</v>
      </c>
      <c r="AE1111" t="s">
        <v>32</v>
      </c>
      <c r="AH1111" t="s">
        <v>32</v>
      </c>
      <c r="AK1111" t="s">
        <v>32</v>
      </c>
      <c r="AN1111" t="s">
        <v>32</v>
      </c>
      <c r="AO1111" t="s">
        <v>32</v>
      </c>
      <c r="AR1111">
        <v>0</v>
      </c>
      <c r="AU1111" t="s">
        <v>32</v>
      </c>
      <c r="AV1111">
        <v>3639331</v>
      </c>
      <c r="AW1111" t="s">
        <v>32</v>
      </c>
      <c r="AX1111" t="s">
        <v>32</v>
      </c>
      <c r="AY1111" t="s">
        <v>317</v>
      </c>
      <c r="AZ1111">
        <v>29</v>
      </c>
      <c r="BA1111">
        <v>3755406</v>
      </c>
      <c r="BB1111">
        <v>0.15999999642372131</v>
      </c>
      <c r="BC1111">
        <v>600900</v>
      </c>
      <c r="BD1111" t="s">
        <v>31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600900</v>
      </c>
      <c r="BK1111" t="s">
        <v>25</v>
      </c>
      <c r="BL1111" t="s">
        <v>1071</v>
      </c>
      <c r="BM1111">
        <v>29</v>
      </c>
      <c r="BN1111">
        <v>3755406</v>
      </c>
      <c r="BO1111">
        <v>3.9999999105930328E-2</v>
      </c>
      <c r="BP1111">
        <v>150300</v>
      </c>
      <c r="BQ1111">
        <v>0</v>
      </c>
      <c r="BS1111">
        <v>0</v>
      </c>
      <c r="BU1111">
        <v>0</v>
      </c>
      <c r="BV1111" t="s">
        <v>25</v>
      </c>
      <c r="BW1111" t="s">
        <v>189</v>
      </c>
      <c r="BX1111">
        <v>29</v>
      </c>
      <c r="BY1111">
        <v>3755406</v>
      </c>
      <c r="BZ1111">
        <v>6.9600000977516174E-2</v>
      </c>
      <c r="CA1111" t="s">
        <v>1439</v>
      </c>
      <c r="CB1111" t="s">
        <v>227</v>
      </c>
      <c r="CC1111" t="s">
        <v>1440</v>
      </c>
      <c r="CD1111">
        <v>261400</v>
      </c>
      <c r="CE1111">
        <v>29</v>
      </c>
      <c r="CF1111" t="s">
        <v>635</v>
      </c>
      <c r="CG1111">
        <v>3755406</v>
      </c>
      <c r="CH1111">
        <v>3.9999999105930328E-2</v>
      </c>
      <c r="CI1111">
        <v>150300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 t="s">
        <v>88</v>
      </c>
      <c r="CT1111" t="s">
        <v>142</v>
      </c>
      <c r="CU1111" t="s">
        <v>1442</v>
      </c>
    </row>
    <row r="1112" spans="1:99">
      <c r="A1112" t="s">
        <v>3047</v>
      </c>
      <c r="B1112" t="s">
        <v>34</v>
      </c>
      <c r="C1112" t="s">
        <v>2688</v>
      </c>
      <c r="D1112" t="s">
        <v>2689</v>
      </c>
      <c r="E1112" t="s">
        <v>2690</v>
      </c>
      <c r="F1112" t="s">
        <v>2691</v>
      </c>
      <c r="G1112" t="s">
        <v>1738</v>
      </c>
      <c r="H1112" t="s">
        <v>1558</v>
      </c>
      <c r="I1112" t="s">
        <v>240</v>
      </c>
      <c r="J1112" t="s">
        <v>46</v>
      </c>
      <c r="K1112" t="s">
        <v>29</v>
      </c>
      <c r="L1112" t="s">
        <v>30</v>
      </c>
      <c r="M1112">
        <v>91</v>
      </c>
      <c r="N1112" t="s">
        <v>32</v>
      </c>
      <c r="O1112" t="s">
        <v>32</v>
      </c>
      <c r="Q1112" t="s">
        <v>32</v>
      </c>
      <c r="S1112" t="s">
        <v>40</v>
      </c>
      <c r="T1112">
        <v>46063</v>
      </c>
      <c r="U1112" t="s">
        <v>32</v>
      </c>
      <c r="V1112" t="s">
        <v>32</v>
      </c>
      <c r="W1112" t="s">
        <v>32</v>
      </c>
      <c r="X1112" t="s">
        <v>32</v>
      </c>
      <c r="Y1112" t="s">
        <v>32</v>
      </c>
      <c r="AA1112" t="s">
        <v>88</v>
      </c>
      <c r="AB1112" t="s">
        <v>32</v>
      </c>
      <c r="AE1112" t="s">
        <v>32</v>
      </c>
      <c r="AH1112" t="s">
        <v>32</v>
      </c>
      <c r="AK1112" t="s">
        <v>32</v>
      </c>
      <c r="AN1112" t="s">
        <v>32</v>
      </c>
      <c r="AO1112" t="s">
        <v>32</v>
      </c>
      <c r="AR1112">
        <v>0</v>
      </c>
      <c r="AU1112" t="s">
        <v>32</v>
      </c>
      <c r="AV1112">
        <v>2074908</v>
      </c>
      <c r="AW1112" t="s">
        <v>32</v>
      </c>
      <c r="AX1112" t="s">
        <v>32</v>
      </c>
      <c r="AY1112" t="s">
        <v>356</v>
      </c>
      <c r="AZ1112">
        <v>10</v>
      </c>
      <c r="BA1112">
        <v>1583035</v>
      </c>
      <c r="BB1112">
        <v>0.15999999642372131</v>
      </c>
      <c r="BC1112">
        <v>253300</v>
      </c>
      <c r="BD1112" t="s">
        <v>31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253300</v>
      </c>
      <c r="BK1112" t="s">
        <v>25</v>
      </c>
      <c r="BL1112" t="s">
        <v>1000</v>
      </c>
      <c r="BM1112">
        <v>10</v>
      </c>
      <c r="BN1112">
        <v>1583035</v>
      </c>
      <c r="BO1112">
        <v>3.9999999105930328E-2</v>
      </c>
      <c r="BP1112">
        <v>63400</v>
      </c>
      <c r="BQ1112">
        <v>0</v>
      </c>
      <c r="BS1112">
        <v>0</v>
      </c>
      <c r="BU1112">
        <v>0</v>
      </c>
      <c r="BV1112" t="s">
        <v>25</v>
      </c>
      <c r="BW1112" t="s">
        <v>189</v>
      </c>
      <c r="BX1112">
        <v>10</v>
      </c>
      <c r="BY1112">
        <v>1583035</v>
      </c>
      <c r="BZ1112">
        <v>6.9600000977516174E-2</v>
      </c>
      <c r="CA1112" t="s">
        <v>1439</v>
      </c>
      <c r="CB1112" t="s">
        <v>227</v>
      </c>
      <c r="CC1112" t="s">
        <v>1440</v>
      </c>
      <c r="CD1112">
        <v>110200</v>
      </c>
      <c r="CE1112">
        <v>10</v>
      </c>
      <c r="CF1112" t="s">
        <v>635</v>
      </c>
      <c r="CG1112">
        <v>1433718</v>
      </c>
      <c r="CH1112">
        <v>3.9999999105930328E-2</v>
      </c>
      <c r="CI1112">
        <v>57400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 t="s">
        <v>88</v>
      </c>
      <c r="CT1112" t="s">
        <v>142</v>
      </c>
      <c r="CU1112" t="s">
        <v>1442</v>
      </c>
    </row>
    <row r="1113" spans="1:99">
      <c r="A1113" t="s">
        <v>3047</v>
      </c>
      <c r="B1113" t="s">
        <v>34</v>
      </c>
      <c r="C1113" t="s">
        <v>2692</v>
      </c>
      <c r="D1113" t="s">
        <v>2693</v>
      </c>
      <c r="E1113" t="s">
        <v>1753</v>
      </c>
      <c r="F1113" t="s">
        <v>2694</v>
      </c>
      <c r="G1113" t="s">
        <v>2511</v>
      </c>
      <c r="H1113" t="s">
        <v>2695</v>
      </c>
      <c r="I1113" t="s">
        <v>203</v>
      </c>
      <c r="J1113" t="s">
        <v>403</v>
      </c>
      <c r="K1113" t="s">
        <v>29</v>
      </c>
      <c r="L1113" t="s">
        <v>30</v>
      </c>
      <c r="M1113">
        <v>0</v>
      </c>
      <c r="N1113" t="s">
        <v>32</v>
      </c>
      <c r="O1113" t="s">
        <v>32</v>
      </c>
      <c r="Q1113" t="s">
        <v>32</v>
      </c>
      <c r="S1113" t="s">
        <v>32</v>
      </c>
      <c r="U1113" t="s">
        <v>32</v>
      </c>
      <c r="V1113" t="s">
        <v>32</v>
      </c>
      <c r="W1113" t="s">
        <v>32</v>
      </c>
      <c r="X1113" t="s">
        <v>32</v>
      </c>
      <c r="Y1113" t="s">
        <v>32</v>
      </c>
      <c r="AA1113" t="s">
        <v>32</v>
      </c>
      <c r="AB1113" t="s">
        <v>32</v>
      </c>
      <c r="AE1113" t="s">
        <v>32</v>
      </c>
      <c r="AH1113" t="s">
        <v>32</v>
      </c>
      <c r="AK1113" t="s">
        <v>128</v>
      </c>
      <c r="AL1113">
        <v>46069</v>
      </c>
      <c r="AM1113">
        <v>46075</v>
      </c>
      <c r="AN1113" t="s">
        <v>32</v>
      </c>
      <c r="AO1113" t="s">
        <v>32</v>
      </c>
      <c r="AR1113">
        <v>0</v>
      </c>
      <c r="AU1113" t="s">
        <v>32</v>
      </c>
      <c r="AV1113">
        <v>4476794</v>
      </c>
      <c r="AW1113" t="s">
        <v>32</v>
      </c>
      <c r="AX1113" t="s">
        <v>32</v>
      </c>
      <c r="AY1113" t="s">
        <v>185</v>
      </c>
      <c r="AZ1113">
        <v>7</v>
      </c>
      <c r="BA1113">
        <v>1044586</v>
      </c>
      <c r="BB1113">
        <v>0.15999999642372131</v>
      </c>
      <c r="BC1113">
        <v>167200</v>
      </c>
      <c r="BD1113" t="s">
        <v>31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167200</v>
      </c>
      <c r="BK1113" t="s">
        <v>25</v>
      </c>
      <c r="BL1113" t="s">
        <v>1064</v>
      </c>
      <c r="BM1113">
        <v>7</v>
      </c>
      <c r="BN1113">
        <v>1044586</v>
      </c>
      <c r="BO1113">
        <v>3.9999999105930328E-2</v>
      </c>
      <c r="BP1113">
        <v>41800</v>
      </c>
      <c r="BQ1113">
        <v>0</v>
      </c>
      <c r="BS1113">
        <v>0</v>
      </c>
      <c r="BU1113">
        <v>0</v>
      </c>
      <c r="BV1113" t="s">
        <v>25</v>
      </c>
      <c r="BW1113" t="s">
        <v>189</v>
      </c>
      <c r="BX1113">
        <v>7</v>
      </c>
      <c r="BY1113">
        <v>1044586</v>
      </c>
      <c r="BZ1113">
        <v>0</v>
      </c>
      <c r="CA1113" t="s">
        <v>1439</v>
      </c>
      <c r="CB1113" t="s">
        <v>609</v>
      </c>
      <c r="CC1113" t="s">
        <v>1440</v>
      </c>
      <c r="CD1113">
        <v>0</v>
      </c>
      <c r="CE1113">
        <v>7</v>
      </c>
      <c r="CF1113" t="s">
        <v>1001</v>
      </c>
      <c r="CG1113">
        <v>1044586</v>
      </c>
      <c r="CH1113">
        <v>3.9999999105930328E-2</v>
      </c>
      <c r="CI1113">
        <v>41800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 t="s">
        <v>88</v>
      </c>
      <c r="CT1113" t="s">
        <v>142</v>
      </c>
      <c r="CU1113" t="s">
        <v>1442</v>
      </c>
    </row>
    <row r="1114" spans="1:99">
      <c r="A1114" t="s">
        <v>3047</v>
      </c>
      <c r="B1114" t="s">
        <v>34</v>
      </c>
      <c r="C1114" t="s">
        <v>2692</v>
      </c>
      <c r="D1114" t="s">
        <v>2693</v>
      </c>
      <c r="E1114" t="s">
        <v>1753</v>
      </c>
      <c r="F1114" t="s">
        <v>2694</v>
      </c>
      <c r="G1114" t="s">
        <v>2511</v>
      </c>
      <c r="H1114" t="s">
        <v>2695</v>
      </c>
      <c r="I1114" t="s">
        <v>203</v>
      </c>
      <c r="J1114" t="s">
        <v>403</v>
      </c>
      <c r="K1114" t="s">
        <v>29</v>
      </c>
      <c r="L1114" t="s">
        <v>30</v>
      </c>
      <c r="M1114">
        <v>135</v>
      </c>
      <c r="N1114" t="s">
        <v>32</v>
      </c>
      <c r="O1114" t="s">
        <v>32</v>
      </c>
      <c r="Q1114" t="s">
        <v>32</v>
      </c>
      <c r="S1114" t="s">
        <v>32</v>
      </c>
      <c r="U1114" t="s">
        <v>32</v>
      </c>
      <c r="V1114" t="s">
        <v>32</v>
      </c>
      <c r="W1114" t="s">
        <v>32</v>
      </c>
      <c r="X1114" t="s">
        <v>32</v>
      </c>
      <c r="Y1114" t="s">
        <v>88</v>
      </c>
      <c r="Z1114">
        <v>46054</v>
      </c>
      <c r="AA1114" t="s">
        <v>88</v>
      </c>
      <c r="AB1114" t="s">
        <v>32</v>
      </c>
      <c r="AE1114" t="s">
        <v>32</v>
      </c>
      <c r="AH1114" t="s">
        <v>32</v>
      </c>
      <c r="AK1114" t="s">
        <v>32</v>
      </c>
      <c r="AN1114" t="s">
        <v>32</v>
      </c>
      <c r="AO1114" t="s">
        <v>32</v>
      </c>
      <c r="AR1114">
        <v>0</v>
      </c>
      <c r="AU1114" t="s">
        <v>32</v>
      </c>
      <c r="AV1114">
        <v>4476794</v>
      </c>
      <c r="AW1114" t="s">
        <v>32</v>
      </c>
      <c r="AX1114" t="s">
        <v>32</v>
      </c>
      <c r="AY1114" t="s">
        <v>185</v>
      </c>
      <c r="AZ1114">
        <v>23</v>
      </c>
      <c r="BA1114">
        <v>3432209</v>
      </c>
      <c r="BB1114">
        <v>0.15999999642372131</v>
      </c>
      <c r="BC1114">
        <v>549200</v>
      </c>
      <c r="BD1114" t="s">
        <v>31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549200</v>
      </c>
      <c r="BK1114" t="s">
        <v>25</v>
      </c>
      <c r="BL1114" t="s">
        <v>1064</v>
      </c>
      <c r="BM1114">
        <v>23</v>
      </c>
      <c r="BN1114">
        <v>3432209</v>
      </c>
      <c r="BO1114">
        <v>3.9999999105930328E-2</v>
      </c>
      <c r="BP1114">
        <v>137300</v>
      </c>
      <c r="BQ1114">
        <v>0</v>
      </c>
      <c r="BS1114">
        <v>0</v>
      </c>
      <c r="BU1114">
        <v>0</v>
      </c>
      <c r="BV1114" t="s">
        <v>25</v>
      </c>
      <c r="BW1114" t="s">
        <v>189</v>
      </c>
      <c r="BX1114">
        <v>23</v>
      </c>
      <c r="BY1114">
        <v>3432209</v>
      </c>
      <c r="BZ1114">
        <v>6.9600000977516174E-2</v>
      </c>
      <c r="CA1114" t="s">
        <v>1439</v>
      </c>
      <c r="CB1114" t="s">
        <v>609</v>
      </c>
      <c r="CC1114" t="s">
        <v>1440</v>
      </c>
      <c r="CD1114">
        <v>238900</v>
      </c>
      <c r="CE1114">
        <v>23</v>
      </c>
      <c r="CF1114" t="s">
        <v>1001</v>
      </c>
      <c r="CG1114">
        <v>3432209</v>
      </c>
      <c r="CH1114">
        <v>3.9999999105930328E-2</v>
      </c>
      <c r="CI1114">
        <v>137300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 t="s">
        <v>88</v>
      </c>
      <c r="CT1114" t="s">
        <v>142</v>
      </c>
      <c r="CU1114" t="s">
        <v>1442</v>
      </c>
    </row>
    <row r="1115" spans="1:99">
      <c r="A1115" t="s">
        <v>3047</v>
      </c>
      <c r="B1115" t="s">
        <v>34</v>
      </c>
      <c r="C1115" t="s">
        <v>2699</v>
      </c>
      <c r="D1115" t="s">
        <v>2700</v>
      </c>
      <c r="E1115" t="s">
        <v>2080</v>
      </c>
      <c r="F1115" t="s">
        <v>2701</v>
      </c>
      <c r="G1115" t="s">
        <v>2070</v>
      </c>
      <c r="H1115" t="s">
        <v>2702</v>
      </c>
      <c r="I1115" t="s">
        <v>682</v>
      </c>
      <c r="J1115" t="s">
        <v>484</v>
      </c>
      <c r="K1115" t="s">
        <v>29</v>
      </c>
      <c r="L1115" t="s">
        <v>30</v>
      </c>
      <c r="M1115">
        <v>0</v>
      </c>
      <c r="N1115" t="s">
        <v>32</v>
      </c>
      <c r="O1115" t="s">
        <v>32</v>
      </c>
      <c r="Q1115" t="s">
        <v>32</v>
      </c>
      <c r="S1115" t="s">
        <v>32</v>
      </c>
      <c r="U1115" t="s">
        <v>32</v>
      </c>
      <c r="V1115" t="s">
        <v>32</v>
      </c>
      <c r="W1115" t="s">
        <v>32</v>
      </c>
      <c r="X1115" t="s">
        <v>32</v>
      </c>
      <c r="Y1115" t="s">
        <v>32</v>
      </c>
      <c r="AA1115" t="s">
        <v>32</v>
      </c>
      <c r="AB1115" t="s">
        <v>32</v>
      </c>
      <c r="AE1115" t="s">
        <v>32</v>
      </c>
      <c r="AH1115" t="s">
        <v>32</v>
      </c>
      <c r="AK1115" t="s">
        <v>128</v>
      </c>
      <c r="AL1115">
        <v>46054</v>
      </c>
      <c r="AM1115">
        <v>46058</v>
      </c>
      <c r="AN1115" t="s">
        <v>32</v>
      </c>
      <c r="AO1115" t="s">
        <v>32</v>
      </c>
      <c r="AR1115">
        <v>0</v>
      </c>
      <c r="AU1115" t="s">
        <v>32</v>
      </c>
      <c r="AV1115">
        <v>2665550</v>
      </c>
      <c r="AW1115" t="s">
        <v>32</v>
      </c>
      <c r="AX1115" t="s">
        <v>32</v>
      </c>
      <c r="AY1115" t="s">
        <v>356</v>
      </c>
      <c r="AZ1115">
        <v>5</v>
      </c>
      <c r="BA1115">
        <v>444259</v>
      </c>
      <c r="BB1115">
        <v>0.15999999642372131</v>
      </c>
      <c r="BC1115">
        <v>71100</v>
      </c>
      <c r="BD1115" t="s">
        <v>31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71100</v>
      </c>
      <c r="BK1115" t="s">
        <v>25</v>
      </c>
      <c r="BL1115" t="s">
        <v>1064</v>
      </c>
      <c r="BM1115">
        <v>5</v>
      </c>
      <c r="BN1115">
        <v>444259</v>
      </c>
      <c r="BO1115">
        <v>3.9999999105930328E-2</v>
      </c>
      <c r="BP1115">
        <v>17800</v>
      </c>
      <c r="BQ1115">
        <v>0</v>
      </c>
      <c r="BS1115">
        <v>0</v>
      </c>
      <c r="BU1115">
        <v>0</v>
      </c>
      <c r="BV1115" t="s">
        <v>25</v>
      </c>
      <c r="BW1115" t="s">
        <v>189</v>
      </c>
      <c r="BX1115">
        <v>5</v>
      </c>
      <c r="BY1115">
        <v>444259</v>
      </c>
      <c r="BZ1115">
        <v>0</v>
      </c>
      <c r="CA1115" t="s">
        <v>1439</v>
      </c>
      <c r="CB1115" t="s">
        <v>312</v>
      </c>
      <c r="CC1115" t="s">
        <v>1440</v>
      </c>
      <c r="CD1115">
        <v>0</v>
      </c>
      <c r="CE1115">
        <v>5</v>
      </c>
      <c r="CF1115" t="s">
        <v>466</v>
      </c>
      <c r="CG1115">
        <v>444259</v>
      </c>
      <c r="CH1115">
        <v>3.9999999105930328E-2</v>
      </c>
      <c r="CI1115">
        <v>17800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 t="s">
        <v>88</v>
      </c>
      <c r="CT1115" t="s">
        <v>142</v>
      </c>
      <c r="CU1115" t="s">
        <v>1442</v>
      </c>
    </row>
    <row r="1116" spans="1:99">
      <c r="A1116" t="s">
        <v>3047</v>
      </c>
      <c r="B1116" t="s">
        <v>34</v>
      </c>
      <c r="C1116" t="s">
        <v>2699</v>
      </c>
      <c r="D1116" t="s">
        <v>2700</v>
      </c>
      <c r="E1116" t="s">
        <v>2080</v>
      </c>
      <c r="F1116" t="s">
        <v>2701</v>
      </c>
      <c r="G1116" t="s">
        <v>2070</v>
      </c>
      <c r="H1116" t="s">
        <v>2702</v>
      </c>
      <c r="I1116" t="s">
        <v>682</v>
      </c>
      <c r="J1116" t="s">
        <v>484</v>
      </c>
      <c r="K1116" t="s">
        <v>29</v>
      </c>
      <c r="L1116" t="s">
        <v>30</v>
      </c>
      <c r="M1116">
        <v>163</v>
      </c>
      <c r="N1116" t="s">
        <v>32</v>
      </c>
      <c r="O1116" t="s">
        <v>32</v>
      </c>
      <c r="Q1116" t="s">
        <v>32</v>
      </c>
      <c r="S1116" t="s">
        <v>32</v>
      </c>
      <c r="U1116" t="s">
        <v>32</v>
      </c>
      <c r="V1116" t="s">
        <v>32</v>
      </c>
      <c r="W1116" t="s">
        <v>32</v>
      </c>
      <c r="X1116" t="s">
        <v>32</v>
      </c>
      <c r="Y1116" t="s">
        <v>32</v>
      </c>
      <c r="AA1116" t="s">
        <v>88</v>
      </c>
      <c r="AB1116" t="s">
        <v>32</v>
      </c>
      <c r="AE1116" t="s">
        <v>32</v>
      </c>
      <c r="AH1116" t="s">
        <v>32</v>
      </c>
      <c r="AK1116" t="s">
        <v>32</v>
      </c>
      <c r="AN1116" t="s">
        <v>32</v>
      </c>
      <c r="AO1116" t="s">
        <v>32</v>
      </c>
      <c r="AR1116">
        <v>0</v>
      </c>
      <c r="AU1116" t="s">
        <v>32</v>
      </c>
      <c r="AV1116">
        <v>2665550</v>
      </c>
      <c r="AW1116" t="s">
        <v>32</v>
      </c>
      <c r="AX1116" t="s">
        <v>32</v>
      </c>
      <c r="AY1116" t="s">
        <v>356</v>
      </c>
      <c r="AZ1116">
        <v>25</v>
      </c>
      <c r="BA1116">
        <v>3415673</v>
      </c>
      <c r="BB1116">
        <v>0.15999999642372131</v>
      </c>
      <c r="BC1116">
        <v>546600</v>
      </c>
      <c r="BD1116" t="s">
        <v>31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546600</v>
      </c>
      <c r="BK1116" t="s">
        <v>25</v>
      </c>
      <c r="BL1116" t="s">
        <v>1064</v>
      </c>
      <c r="BM1116">
        <v>25</v>
      </c>
      <c r="BN1116">
        <v>3415673</v>
      </c>
      <c r="BO1116">
        <v>3.9999999105930328E-2</v>
      </c>
      <c r="BP1116">
        <v>136700</v>
      </c>
      <c r="BQ1116">
        <v>0</v>
      </c>
      <c r="BS1116">
        <v>0</v>
      </c>
      <c r="BU1116">
        <v>0</v>
      </c>
      <c r="BV1116" t="s">
        <v>25</v>
      </c>
      <c r="BW1116" t="s">
        <v>189</v>
      </c>
      <c r="BX1116">
        <v>25</v>
      </c>
      <c r="BY1116">
        <v>3415673</v>
      </c>
      <c r="BZ1116">
        <v>6.9600000977516174E-2</v>
      </c>
      <c r="CA1116" t="s">
        <v>1439</v>
      </c>
      <c r="CB1116" t="s">
        <v>312</v>
      </c>
      <c r="CC1116" t="s">
        <v>1440</v>
      </c>
      <c r="CD1116">
        <v>237800</v>
      </c>
      <c r="CE1116">
        <v>25</v>
      </c>
      <c r="CF1116" t="s">
        <v>466</v>
      </c>
      <c r="CG1116">
        <v>3415673</v>
      </c>
      <c r="CH1116">
        <v>3.9999999105930328E-2</v>
      </c>
      <c r="CI1116">
        <v>136700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 t="s">
        <v>88</v>
      </c>
      <c r="CT1116" t="s">
        <v>142</v>
      </c>
      <c r="CU1116" t="s">
        <v>1442</v>
      </c>
    </row>
    <row r="1117" spans="1:99">
      <c r="A1117" t="s">
        <v>3047</v>
      </c>
      <c r="B1117" t="s">
        <v>34</v>
      </c>
      <c r="C1117" t="s">
        <v>2703</v>
      </c>
      <c r="D1117" t="s">
        <v>2704</v>
      </c>
      <c r="E1117" t="s">
        <v>2690</v>
      </c>
      <c r="F1117" t="s">
        <v>2691</v>
      </c>
      <c r="G1117" t="s">
        <v>2410</v>
      </c>
      <c r="H1117" t="s">
        <v>503</v>
      </c>
      <c r="I1117" t="s">
        <v>240</v>
      </c>
      <c r="J1117" t="s">
        <v>46</v>
      </c>
      <c r="K1117" t="s">
        <v>29</v>
      </c>
      <c r="L1117" t="s">
        <v>30</v>
      </c>
      <c r="M1117">
        <v>123</v>
      </c>
      <c r="N1117" t="s">
        <v>32</v>
      </c>
      <c r="O1117" t="s">
        <v>32</v>
      </c>
      <c r="Q1117" t="s">
        <v>32</v>
      </c>
      <c r="S1117" t="s">
        <v>40</v>
      </c>
      <c r="T1117">
        <v>46068</v>
      </c>
      <c r="U1117" t="s">
        <v>32</v>
      </c>
      <c r="V1117" t="s">
        <v>32</v>
      </c>
      <c r="W1117" t="s">
        <v>32</v>
      </c>
      <c r="X1117" t="s">
        <v>32</v>
      </c>
      <c r="Y1117" t="s">
        <v>32</v>
      </c>
      <c r="AA1117" t="s">
        <v>88</v>
      </c>
      <c r="AB1117" t="s">
        <v>32</v>
      </c>
      <c r="AE1117" t="s">
        <v>32</v>
      </c>
      <c r="AH1117" t="s">
        <v>32</v>
      </c>
      <c r="AK1117" t="s">
        <v>32</v>
      </c>
      <c r="AN1117" t="s">
        <v>32</v>
      </c>
      <c r="AO1117" t="s">
        <v>32</v>
      </c>
      <c r="AR1117">
        <v>0</v>
      </c>
      <c r="AU1117" t="s">
        <v>32</v>
      </c>
      <c r="AV1117">
        <v>2223339</v>
      </c>
      <c r="AW1117" t="s">
        <v>32</v>
      </c>
      <c r="AX1117" t="s">
        <v>32</v>
      </c>
      <c r="AY1117" t="s">
        <v>356</v>
      </c>
      <c r="AZ1117">
        <v>15</v>
      </c>
      <c r="BA1117">
        <v>2670517</v>
      </c>
      <c r="BB1117">
        <v>0.15999999642372131</v>
      </c>
      <c r="BC1117">
        <v>427300</v>
      </c>
      <c r="BD1117" t="s">
        <v>31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427300</v>
      </c>
      <c r="BK1117" t="s">
        <v>25</v>
      </c>
      <c r="BL1117" t="s">
        <v>726</v>
      </c>
      <c r="BM1117">
        <v>15</v>
      </c>
      <c r="BN1117">
        <v>2670517</v>
      </c>
      <c r="BO1117">
        <v>3.9999999105930328E-2</v>
      </c>
      <c r="BP1117">
        <v>106900</v>
      </c>
      <c r="BQ1117">
        <v>0</v>
      </c>
      <c r="BS1117">
        <v>0</v>
      </c>
      <c r="BU1117">
        <v>0</v>
      </c>
      <c r="BV1117" t="s">
        <v>25</v>
      </c>
      <c r="BW1117" t="s">
        <v>189</v>
      </c>
      <c r="BX1117">
        <v>15</v>
      </c>
      <c r="BY1117">
        <v>2670517</v>
      </c>
      <c r="BZ1117">
        <v>6.9600000977516174E-2</v>
      </c>
      <c r="CA1117" t="s">
        <v>1439</v>
      </c>
      <c r="CB1117" t="s">
        <v>227</v>
      </c>
      <c r="CC1117" t="s">
        <v>1440</v>
      </c>
      <c r="CD1117">
        <v>185900</v>
      </c>
      <c r="CE1117">
        <v>15</v>
      </c>
      <c r="CF1117" t="s">
        <v>635</v>
      </c>
      <c r="CG1117">
        <v>2405378</v>
      </c>
      <c r="CH1117">
        <v>3.9999999105930328E-2</v>
      </c>
      <c r="CI1117">
        <v>96300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 t="s">
        <v>88</v>
      </c>
      <c r="CT1117" t="s">
        <v>142</v>
      </c>
      <c r="CU1117" t="s">
        <v>1442</v>
      </c>
    </row>
    <row r="1118" spans="1:99">
      <c r="A1118" t="s">
        <v>3047</v>
      </c>
      <c r="B1118" t="s">
        <v>34</v>
      </c>
      <c r="C1118" t="s">
        <v>2705</v>
      </c>
      <c r="D1118" t="s">
        <v>2706</v>
      </c>
      <c r="E1118" t="s">
        <v>1723</v>
      </c>
      <c r="F1118" t="s">
        <v>1506</v>
      </c>
      <c r="G1118" t="s">
        <v>1854</v>
      </c>
      <c r="H1118" t="s">
        <v>1479</v>
      </c>
      <c r="I1118" t="s">
        <v>682</v>
      </c>
      <c r="J1118" t="s">
        <v>484</v>
      </c>
      <c r="K1118" t="s">
        <v>29</v>
      </c>
      <c r="L1118" t="s">
        <v>30</v>
      </c>
      <c r="M1118">
        <v>180</v>
      </c>
      <c r="N1118" t="s">
        <v>32</v>
      </c>
      <c r="O1118" t="s">
        <v>32</v>
      </c>
      <c r="Q1118" t="s">
        <v>32</v>
      </c>
      <c r="S1118" t="s">
        <v>32</v>
      </c>
      <c r="U1118" t="s">
        <v>32</v>
      </c>
      <c r="V1118" t="s">
        <v>32</v>
      </c>
      <c r="W1118" t="s">
        <v>32</v>
      </c>
      <c r="X1118" t="s">
        <v>32</v>
      </c>
      <c r="Y1118" t="s">
        <v>88</v>
      </c>
      <c r="Z1118">
        <v>46054</v>
      </c>
      <c r="AA1118" t="s">
        <v>88</v>
      </c>
      <c r="AB1118" t="s">
        <v>32</v>
      </c>
      <c r="AE1118" t="s">
        <v>32</v>
      </c>
      <c r="AH1118" t="s">
        <v>32</v>
      </c>
      <c r="AK1118" t="s">
        <v>32</v>
      </c>
      <c r="AN1118" t="s">
        <v>32</v>
      </c>
      <c r="AO1118" t="s">
        <v>32</v>
      </c>
      <c r="AR1118">
        <v>0</v>
      </c>
      <c r="AU1118" t="s">
        <v>32</v>
      </c>
      <c r="AV1118">
        <v>4484143</v>
      </c>
      <c r="AW1118" t="s">
        <v>32</v>
      </c>
      <c r="AX1118" t="s">
        <v>32</v>
      </c>
      <c r="AY1118" t="s">
        <v>317</v>
      </c>
      <c r="AZ1118">
        <v>30</v>
      </c>
      <c r="BA1118">
        <v>4484143</v>
      </c>
      <c r="BB1118">
        <v>0.15999999642372131</v>
      </c>
      <c r="BC1118">
        <v>717500</v>
      </c>
      <c r="BD1118" t="s">
        <v>31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717500</v>
      </c>
      <c r="BK1118" t="s">
        <v>25</v>
      </c>
      <c r="BL1118" t="s">
        <v>1491</v>
      </c>
      <c r="BM1118">
        <v>30</v>
      </c>
      <c r="BN1118">
        <v>4484143</v>
      </c>
      <c r="BO1118">
        <v>3.9999999105930328E-2</v>
      </c>
      <c r="BP1118">
        <v>179400</v>
      </c>
      <c r="BQ1118">
        <v>0</v>
      </c>
      <c r="BS1118">
        <v>0</v>
      </c>
      <c r="BU1118">
        <v>0</v>
      </c>
      <c r="BV1118" t="s">
        <v>25</v>
      </c>
      <c r="BW1118" t="s">
        <v>189</v>
      </c>
      <c r="BX1118">
        <v>30</v>
      </c>
      <c r="BY1118">
        <v>4484143</v>
      </c>
      <c r="BZ1118">
        <v>6.9600000977516174E-2</v>
      </c>
      <c r="CA1118" t="s">
        <v>1439</v>
      </c>
      <c r="CB1118" t="s">
        <v>312</v>
      </c>
      <c r="CC1118" t="s">
        <v>1440</v>
      </c>
      <c r="CD1118">
        <v>312100</v>
      </c>
      <c r="CE1118">
        <v>30</v>
      </c>
      <c r="CF1118" t="s">
        <v>466</v>
      </c>
      <c r="CG1118">
        <v>4484143</v>
      </c>
      <c r="CH1118">
        <v>3.9999999105930328E-2</v>
      </c>
      <c r="CI1118">
        <v>179400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 t="s">
        <v>88</v>
      </c>
      <c r="CT1118" t="s">
        <v>142</v>
      </c>
      <c r="CU1118" t="s">
        <v>1442</v>
      </c>
    </row>
    <row r="1119" spans="1:99">
      <c r="A1119" t="s">
        <v>3047</v>
      </c>
      <c r="B1119" t="s">
        <v>34</v>
      </c>
      <c r="C1119" t="s">
        <v>2707</v>
      </c>
      <c r="D1119" t="s">
        <v>2708</v>
      </c>
      <c r="E1119" t="s">
        <v>2709</v>
      </c>
      <c r="F1119" t="s">
        <v>2710</v>
      </c>
      <c r="G1119" t="s">
        <v>1436</v>
      </c>
      <c r="H1119" t="s">
        <v>1558</v>
      </c>
      <c r="I1119" t="s">
        <v>240</v>
      </c>
      <c r="J1119" t="s">
        <v>46</v>
      </c>
      <c r="K1119" t="s">
        <v>29</v>
      </c>
      <c r="L1119" t="s">
        <v>30</v>
      </c>
      <c r="M1119">
        <v>218</v>
      </c>
      <c r="N1119" t="s">
        <v>32</v>
      </c>
      <c r="O1119" t="s">
        <v>32</v>
      </c>
      <c r="Q1119" t="s">
        <v>32</v>
      </c>
      <c r="S1119" t="s">
        <v>32</v>
      </c>
      <c r="U1119" t="s">
        <v>32</v>
      </c>
      <c r="V1119" t="s">
        <v>32</v>
      </c>
      <c r="W1119" t="s">
        <v>32</v>
      </c>
      <c r="X1119" t="s">
        <v>32</v>
      </c>
      <c r="Y1119" t="s">
        <v>32</v>
      </c>
      <c r="AA1119" t="s">
        <v>88</v>
      </c>
      <c r="AB1119" t="s">
        <v>32</v>
      </c>
      <c r="AE1119" t="s">
        <v>32</v>
      </c>
      <c r="AH1119" t="s">
        <v>32</v>
      </c>
      <c r="AK1119" t="s">
        <v>32</v>
      </c>
      <c r="AN1119" t="s">
        <v>32</v>
      </c>
      <c r="AO1119" t="s">
        <v>32</v>
      </c>
      <c r="AR1119">
        <v>0</v>
      </c>
      <c r="AU1119" t="s">
        <v>32</v>
      </c>
      <c r="AV1119">
        <v>2970185</v>
      </c>
      <c r="AW1119" t="s">
        <v>32</v>
      </c>
      <c r="AX1119" t="s">
        <v>32</v>
      </c>
      <c r="AY1119" t="s">
        <v>356</v>
      </c>
      <c r="AZ1119">
        <v>30</v>
      </c>
      <c r="BA1119">
        <v>4331067</v>
      </c>
      <c r="BB1119">
        <v>0.15999999642372131</v>
      </c>
      <c r="BC1119">
        <v>693000</v>
      </c>
      <c r="BD1119" t="s">
        <v>31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693000</v>
      </c>
      <c r="BK1119" t="s">
        <v>25</v>
      </c>
      <c r="BL1119" t="s">
        <v>1064</v>
      </c>
      <c r="BM1119">
        <v>30</v>
      </c>
      <c r="BN1119">
        <v>4331067</v>
      </c>
      <c r="BO1119">
        <v>3.9999999105930328E-2</v>
      </c>
      <c r="BP1119">
        <v>173300</v>
      </c>
      <c r="BQ1119">
        <v>0</v>
      </c>
      <c r="BS1119">
        <v>0</v>
      </c>
      <c r="BU1119">
        <v>0</v>
      </c>
      <c r="BV1119" t="s">
        <v>25</v>
      </c>
      <c r="BW1119" t="s">
        <v>189</v>
      </c>
      <c r="BX1119">
        <v>30</v>
      </c>
      <c r="BY1119">
        <v>4331067</v>
      </c>
      <c r="BZ1119">
        <v>6.9600000977516174E-2</v>
      </c>
      <c r="CA1119" t="s">
        <v>1439</v>
      </c>
      <c r="CB1119" t="s">
        <v>227</v>
      </c>
      <c r="CC1119" t="s">
        <v>1440</v>
      </c>
      <c r="CD1119">
        <v>301500</v>
      </c>
      <c r="CE1119">
        <v>30</v>
      </c>
      <c r="CF1119" t="s">
        <v>635</v>
      </c>
      <c r="CG1119">
        <v>4028022</v>
      </c>
      <c r="CH1119">
        <v>3.9999999105930328E-2</v>
      </c>
      <c r="CI1119">
        <v>161200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 t="s">
        <v>88</v>
      </c>
      <c r="CT1119" t="s">
        <v>142</v>
      </c>
      <c r="CU1119" t="s">
        <v>1442</v>
      </c>
    </row>
    <row r="1120" spans="1:99">
      <c r="A1120" t="s">
        <v>3047</v>
      </c>
      <c r="B1120" t="s">
        <v>34</v>
      </c>
      <c r="C1120" t="s">
        <v>2711</v>
      </c>
      <c r="D1120" t="s">
        <v>2712</v>
      </c>
      <c r="E1120" t="s">
        <v>1507</v>
      </c>
      <c r="F1120" t="s">
        <v>1483</v>
      </c>
      <c r="G1120" t="s">
        <v>2713</v>
      </c>
      <c r="H1120" t="s">
        <v>1479</v>
      </c>
      <c r="I1120" t="s">
        <v>203</v>
      </c>
      <c r="J1120" t="s">
        <v>403</v>
      </c>
      <c r="K1120" t="s">
        <v>29</v>
      </c>
      <c r="L1120" t="s">
        <v>30</v>
      </c>
      <c r="M1120">
        <v>103</v>
      </c>
      <c r="N1120" t="s">
        <v>32</v>
      </c>
      <c r="O1120" t="s">
        <v>32</v>
      </c>
      <c r="Q1120" t="s">
        <v>32</v>
      </c>
      <c r="S1120" t="s">
        <v>40</v>
      </c>
      <c r="T1120">
        <v>46081</v>
      </c>
      <c r="U1120" t="s">
        <v>32</v>
      </c>
      <c r="V1120" t="s">
        <v>32</v>
      </c>
      <c r="W1120" t="s">
        <v>32</v>
      </c>
      <c r="X1120" t="s">
        <v>32</v>
      </c>
      <c r="Y1120" t="s">
        <v>88</v>
      </c>
      <c r="Z1120">
        <v>46054</v>
      </c>
      <c r="AA1120" t="s">
        <v>88</v>
      </c>
      <c r="AB1120" t="s">
        <v>32</v>
      </c>
      <c r="AE1120" t="s">
        <v>32</v>
      </c>
      <c r="AH1120" t="s">
        <v>32</v>
      </c>
      <c r="AK1120" t="s">
        <v>32</v>
      </c>
      <c r="AN1120" t="s">
        <v>32</v>
      </c>
      <c r="AO1120" t="s">
        <v>32</v>
      </c>
      <c r="AR1120">
        <v>0</v>
      </c>
      <c r="AU1120" t="s">
        <v>32</v>
      </c>
      <c r="AV1120">
        <v>1889179</v>
      </c>
      <c r="AW1120" t="s">
        <v>32</v>
      </c>
      <c r="AX1120" t="s">
        <v>32</v>
      </c>
      <c r="AY1120" t="s">
        <v>317</v>
      </c>
      <c r="AZ1120">
        <v>15</v>
      </c>
      <c r="BA1120">
        <v>1024689</v>
      </c>
      <c r="BB1120">
        <v>0.15999999642372131</v>
      </c>
      <c r="BC1120">
        <v>164000</v>
      </c>
      <c r="BD1120" t="s">
        <v>31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164000</v>
      </c>
      <c r="BK1120" t="s">
        <v>25</v>
      </c>
      <c r="BL1120" t="s">
        <v>1000</v>
      </c>
      <c r="BM1120">
        <v>15</v>
      </c>
      <c r="BN1120">
        <v>1024689</v>
      </c>
      <c r="BO1120">
        <v>3.9999999105930328E-2</v>
      </c>
      <c r="BP1120">
        <v>41000</v>
      </c>
      <c r="BQ1120">
        <v>0</v>
      </c>
      <c r="BS1120">
        <v>0</v>
      </c>
      <c r="BU1120">
        <v>0</v>
      </c>
      <c r="BV1120" t="s">
        <v>25</v>
      </c>
      <c r="BW1120" t="s">
        <v>189</v>
      </c>
      <c r="BX1120">
        <v>15</v>
      </c>
      <c r="BY1120">
        <v>1024689</v>
      </c>
      <c r="BZ1120">
        <v>6.9600000977516174E-2</v>
      </c>
      <c r="CA1120" t="s">
        <v>1439</v>
      </c>
      <c r="CB1120" t="s">
        <v>609</v>
      </c>
      <c r="CC1120" t="s">
        <v>1440</v>
      </c>
      <c r="CD1120">
        <v>71400</v>
      </c>
      <c r="CE1120">
        <v>15</v>
      </c>
      <c r="CF1120" t="s">
        <v>1001</v>
      </c>
      <c r="CG1120">
        <v>1024689</v>
      </c>
      <c r="CH1120">
        <v>3.9999999105930328E-2</v>
      </c>
      <c r="CI1120">
        <v>41000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 t="s">
        <v>88</v>
      </c>
      <c r="CT1120" t="s">
        <v>142</v>
      </c>
      <c r="CU1120" t="s">
        <v>1442</v>
      </c>
    </row>
    <row r="1121" spans="1:99">
      <c r="A1121" t="s">
        <v>3047</v>
      </c>
      <c r="B1121" t="s">
        <v>34</v>
      </c>
      <c r="C1121" t="s">
        <v>2711</v>
      </c>
      <c r="D1121" t="s">
        <v>2712</v>
      </c>
      <c r="E1121" t="s">
        <v>1507</v>
      </c>
      <c r="F1121" t="s">
        <v>1483</v>
      </c>
      <c r="G1121" t="s">
        <v>2713</v>
      </c>
      <c r="H1121" t="s">
        <v>1479</v>
      </c>
      <c r="I1121" t="s">
        <v>203</v>
      </c>
      <c r="J1121" t="s">
        <v>403</v>
      </c>
      <c r="K1121" t="s">
        <v>29</v>
      </c>
      <c r="L1121" t="s">
        <v>30</v>
      </c>
      <c r="M1121">
        <v>192</v>
      </c>
      <c r="N1121" t="s">
        <v>32</v>
      </c>
      <c r="O1121" t="s">
        <v>32</v>
      </c>
      <c r="Q1121" t="s">
        <v>32</v>
      </c>
      <c r="S1121" t="s">
        <v>40</v>
      </c>
      <c r="T1121">
        <v>46081</v>
      </c>
      <c r="U1121" t="s">
        <v>32</v>
      </c>
      <c r="V1121" t="s">
        <v>32</v>
      </c>
      <c r="W1121" t="s">
        <v>32</v>
      </c>
      <c r="X1121" t="s">
        <v>32</v>
      </c>
      <c r="Y1121" t="s">
        <v>88</v>
      </c>
      <c r="Z1121">
        <v>46054</v>
      </c>
      <c r="AA1121" t="s">
        <v>88</v>
      </c>
      <c r="AB1121" t="s">
        <v>32</v>
      </c>
      <c r="AE1121" t="s">
        <v>32</v>
      </c>
      <c r="AH1121" t="s">
        <v>32</v>
      </c>
      <c r="AK1121" t="s">
        <v>32</v>
      </c>
      <c r="AN1121" t="s">
        <v>32</v>
      </c>
      <c r="AO1121" t="s">
        <v>32</v>
      </c>
      <c r="AR1121">
        <v>0</v>
      </c>
      <c r="AU1121" t="s">
        <v>32</v>
      </c>
      <c r="AV1121">
        <v>1889179</v>
      </c>
      <c r="AW1121" t="s">
        <v>32</v>
      </c>
      <c r="AX1121" t="s">
        <v>32</v>
      </c>
      <c r="AY1121" t="s">
        <v>317</v>
      </c>
      <c r="AZ1121">
        <v>15</v>
      </c>
      <c r="BA1121">
        <v>1195814</v>
      </c>
      <c r="BB1121">
        <v>0.15999999642372131</v>
      </c>
      <c r="BC1121">
        <v>191400</v>
      </c>
      <c r="BD1121" t="s">
        <v>31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191400</v>
      </c>
      <c r="BK1121" t="s">
        <v>25</v>
      </c>
      <c r="BL1121" t="s">
        <v>1000</v>
      </c>
      <c r="BM1121">
        <v>15</v>
      </c>
      <c r="BN1121">
        <v>1195814</v>
      </c>
      <c r="BO1121">
        <v>3.9999999105930328E-2</v>
      </c>
      <c r="BP1121">
        <v>47900</v>
      </c>
      <c r="BQ1121">
        <v>0</v>
      </c>
      <c r="BS1121">
        <v>0</v>
      </c>
      <c r="BU1121">
        <v>0</v>
      </c>
      <c r="BV1121" t="s">
        <v>25</v>
      </c>
      <c r="BW1121" t="s">
        <v>189</v>
      </c>
      <c r="BX1121">
        <v>15</v>
      </c>
      <c r="BY1121">
        <v>1195814</v>
      </c>
      <c r="BZ1121">
        <v>6.9600000977516174E-2</v>
      </c>
      <c r="CA1121" t="s">
        <v>1439</v>
      </c>
      <c r="CB1121" t="s">
        <v>609</v>
      </c>
      <c r="CC1121" t="s">
        <v>1440</v>
      </c>
      <c r="CD1121">
        <v>83300</v>
      </c>
      <c r="CE1121">
        <v>15</v>
      </c>
      <c r="CF1121" t="s">
        <v>1001</v>
      </c>
      <c r="CG1121">
        <v>1858315</v>
      </c>
      <c r="CH1121">
        <v>3.9999999105930328E-2</v>
      </c>
      <c r="CI1121">
        <v>74400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 t="s">
        <v>88</v>
      </c>
      <c r="CT1121" t="s">
        <v>142</v>
      </c>
      <c r="CU1121" t="s">
        <v>1442</v>
      </c>
    </row>
    <row r="1122" spans="1:99">
      <c r="A1122" t="s">
        <v>3047</v>
      </c>
      <c r="B1122" t="s">
        <v>34</v>
      </c>
      <c r="C1122" t="s">
        <v>2714</v>
      </c>
      <c r="D1122" t="s">
        <v>2715</v>
      </c>
      <c r="E1122" t="s">
        <v>2080</v>
      </c>
      <c r="F1122" t="s">
        <v>2716</v>
      </c>
      <c r="G1122" t="s">
        <v>2717</v>
      </c>
      <c r="H1122" t="s">
        <v>1613</v>
      </c>
      <c r="I1122" t="s">
        <v>682</v>
      </c>
      <c r="J1122" t="s">
        <v>484</v>
      </c>
      <c r="K1122" t="s">
        <v>29</v>
      </c>
      <c r="L1122" t="s">
        <v>30</v>
      </c>
      <c r="M1122">
        <v>205</v>
      </c>
      <c r="N1122" t="s">
        <v>32</v>
      </c>
      <c r="O1122" t="s">
        <v>32</v>
      </c>
      <c r="Q1122" t="s">
        <v>32</v>
      </c>
      <c r="S1122" t="s">
        <v>32</v>
      </c>
      <c r="U1122" t="s">
        <v>32</v>
      </c>
      <c r="V1122" t="s">
        <v>32</v>
      </c>
      <c r="W1122" t="s">
        <v>32</v>
      </c>
      <c r="X1122" t="s">
        <v>32</v>
      </c>
      <c r="Y1122" t="s">
        <v>32</v>
      </c>
      <c r="AA1122" t="s">
        <v>88</v>
      </c>
      <c r="AB1122" t="s">
        <v>32</v>
      </c>
      <c r="AE1122" t="s">
        <v>32</v>
      </c>
      <c r="AH1122" t="s">
        <v>32</v>
      </c>
      <c r="AK1122" t="s">
        <v>32</v>
      </c>
      <c r="AN1122" t="s">
        <v>32</v>
      </c>
      <c r="AO1122" t="s">
        <v>32</v>
      </c>
      <c r="AR1122">
        <v>0</v>
      </c>
      <c r="AU1122" t="s">
        <v>32</v>
      </c>
      <c r="AV1122">
        <v>2074908</v>
      </c>
      <c r="AW1122" t="s">
        <v>32</v>
      </c>
      <c r="AX1122" t="s">
        <v>32</v>
      </c>
      <c r="AY1122" t="s">
        <v>137</v>
      </c>
      <c r="AZ1122">
        <v>30</v>
      </c>
      <c r="BA1122">
        <v>2452635</v>
      </c>
      <c r="BB1122">
        <v>0.15999999642372131</v>
      </c>
      <c r="BC1122">
        <v>392500</v>
      </c>
      <c r="BD1122" t="s">
        <v>31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392500</v>
      </c>
      <c r="BK1122" t="s">
        <v>25</v>
      </c>
      <c r="BL1122" t="s">
        <v>870</v>
      </c>
      <c r="BM1122">
        <v>30</v>
      </c>
      <c r="BN1122">
        <v>2452635</v>
      </c>
      <c r="BO1122">
        <v>3.9999999105930328E-2</v>
      </c>
      <c r="BP1122">
        <v>98200</v>
      </c>
      <c r="BQ1122">
        <v>0</v>
      </c>
      <c r="BS1122">
        <v>0</v>
      </c>
      <c r="BU1122">
        <v>0</v>
      </c>
      <c r="BV1122" t="s">
        <v>25</v>
      </c>
      <c r="BW1122" t="s">
        <v>189</v>
      </c>
      <c r="BX1122">
        <v>30</v>
      </c>
      <c r="BY1122">
        <v>2452635</v>
      </c>
      <c r="BZ1122">
        <v>6.9600000977516174E-2</v>
      </c>
      <c r="CA1122" t="s">
        <v>1439</v>
      </c>
      <c r="CB1122" t="s">
        <v>312</v>
      </c>
      <c r="CC1122" t="s">
        <v>1440</v>
      </c>
      <c r="CD1122">
        <v>170800</v>
      </c>
      <c r="CE1122">
        <v>30</v>
      </c>
      <c r="CF1122" t="s">
        <v>466</v>
      </c>
      <c r="CG1122">
        <v>2452635</v>
      </c>
      <c r="CH1122">
        <v>3.9999999105930328E-2</v>
      </c>
      <c r="CI1122">
        <v>98200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 t="s">
        <v>88</v>
      </c>
      <c r="CT1122" t="s">
        <v>142</v>
      </c>
      <c r="CU1122" t="s">
        <v>1442</v>
      </c>
    </row>
    <row r="1123" spans="1:99">
      <c r="A1123" t="s">
        <v>3047</v>
      </c>
      <c r="B1123" t="s">
        <v>34</v>
      </c>
      <c r="C1123" t="s">
        <v>2722</v>
      </c>
      <c r="D1123" t="s">
        <v>2723</v>
      </c>
      <c r="E1123" t="s">
        <v>2077</v>
      </c>
      <c r="F1123" t="s">
        <v>2724</v>
      </c>
      <c r="G1123" t="s">
        <v>1479</v>
      </c>
      <c r="H1123" t="s">
        <v>2725</v>
      </c>
      <c r="I1123" t="s">
        <v>240</v>
      </c>
      <c r="J1123" t="s">
        <v>46</v>
      </c>
      <c r="K1123" t="s">
        <v>29</v>
      </c>
      <c r="L1123" t="s">
        <v>30</v>
      </c>
      <c r="M1123">
        <v>222</v>
      </c>
      <c r="N1123" t="s">
        <v>32</v>
      </c>
      <c r="O1123" t="s">
        <v>32</v>
      </c>
      <c r="Q1123" t="s">
        <v>32</v>
      </c>
      <c r="S1123" t="s">
        <v>32</v>
      </c>
      <c r="U1123" t="s">
        <v>32</v>
      </c>
      <c r="V1123" t="s">
        <v>32</v>
      </c>
      <c r="W1123" t="s">
        <v>32</v>
      </c>
      <c r="X1123" t="s">
        <v>32</v>
      </c>
      <c r="Y1123" t="s">
        <v>32</v>
      </c>
      <c r="AA1123" t="s">
        <v>88</v>
      </c>
      <c r="AB1123" t="s">
        <v>32</v>
      </c>
      <c r="AE1123" t="s">
        <v>32</v>
      </c>
      <c r="AH1123" t="s">
        <v>32</v>
      </c>
      <c r="AK1123" t="s">
        <v>32</v>
      </c>
      <c r="AN1123" t="s">
        <v>32</v>
      </c>
      <c r="AO1123" t="s">
        <v>32</v>
      </c>
      <c r="AR1123">
        <v>0</v>
      </c>
      <c r="AU1123" t="s">
        <v>32</v>
      </c>
      <c r="AV1123">
        <v>2223339</v>
      </c>
      <c r="AW1123" t="s">
        <v>32</v>
      </c>
      <c r="AX1123" t="s">
        <v>32</v>
      </c>
      <c r="AY1123" t="s">
        <v>317</v>
      </c>
      <c r="AZ1123">
        <v>30</v>
      </c>
      <c r="BA1123">
        <v>3162196</v>
      </c>
      <c r="BB1123">
        <v>0.15999999642372131</v>
      </c>
      <c r="BC1123">
        <v>506000</v>
      </c>
      <c r="BD1123" t="s">
        <v>31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506000</v>
      </c>
      <c r="BK1123" t="s">
        <v>25</v>
      </c>
      <c r="BL1123" t="s">
        <v>885</v>
      </c>
      <c r="BM1123">
        <v>30</v>
      </c>
      <c r="BN1123">
        <v>3162196</v>
      </c>
      <c r="BO1123">
        <v>3.9999999105930328E-2</v>
      </c>
      <c r="BP1123">
        <v>126500</v>
      </c>
      <c r="BQ1123">
        <v>0</v>
      </c>
      <c r="BS1123">
        <v>0</v>
      </c>
      <c r="BU1123">
        <v>0</v>
      </c>
      <c r="BV1123" t="s">
        <v>25</v>
      </c>
      <c r="BW1123" t="s">
        <v>189</v>
      </c>
      <c r="BX1123">
        <v>30</v>
      </c>
      <c r="BY1123">
        <v>3162196</v>
      </c>
      <c r="BZ1123">
        <v>6.9600000977516174E-2</v>
      </c>
      <c r="CA1123" t="s">
        <v>1439</v>
      </c>
      <c r="CB1123" t="s">
        <v>227</v>
      </c>
      <c r="CC1123" t="s">
        <v>1440</v>
      </c>
      <c r="CD1123">
        <v>220100</v>
      </c>
      <c r="CE1123">
        <v>30</v>
      </c>
      <c r="CF1123" t="s">
        <v>635</v>
      </c>
      <c r="CG1123">
        <v>3162196</v>
      </c>
      <c r="CH1123">
        <v>3.9999999105930328E-2</v>
      </c>
      <c r="CI1123">
        <v>126500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 t="s">
        <v>88</v>
      </c>
      <c r="CT1123" t="s">
        <v>142</v>
      </c>
      <c r="CU1123" t="s">
        <v>1442</v>
      </c>
    </row>
    <row r="1124" spans="1:99">
      <c r="A1124" t="s">
        <v>3047</v>
      </c>
      <c r="B1124" t="s">
        <v>34</v>
      </c>
      <c r="C1124" t="s">
        <v>2726</v>
      </c>
      <c r="D1124" t="s">
        <v>2727</v>
      </c>
      <c r="E1124" t="s">
        <v>1535</v>
      </c>
      <c r="F1124" t="s">
        <v>2728</v>
      </c>
      <c r="G1124" t="s">
        <v>2440</v>
      </c>
      <c r="H1124" t="s">
        <v>2729</v>
      </c>
      <c r="I1124" t="s">
        <v>240</v>
      </c>
      <c r="J1124" t="s">
        <v>46</v>
      </c>
      <c r="K1124" t="s">
        <v>29</v>
      </c>
      <c r="L1124" t="s">
        <v>30</v>
      </c>
      <c r="M1124">
        <v>188</v>
      </c>
      <c r="N1124" t="s">
        <v>32</v>
      </c>
      <c r="O1124" t="s">
        <v>32</v>
      </c>
      <c r="Q1124" t="s">
        <v>32</v>
      </c>
      <c r="S1124" t="s">
        <v>32</v>
      </c>
      <c r="U1124" t="s">
        <v>32</v>
      </c>
      <c r="V1124" t="s">
        <v>32</v>
      </c>
      <c r="W1124" t="s">
        <v>32</v>
      </c>
      <c r="X1124" t="s">
        <v>32</v>
      </c>
      <c r="Y1124" t="s">
        <v>32</v>
      </c>
      <c r="AA1124" t="s">
        <v>88</v>
      </c>
      <c r="AB1124" t="s">
        <v>32</v>
      </c>
      <c r="AE1124" t="s">
        <v>32</v>
      </c>
      <c r="AH1124" t="s">
        <v>32</v>
      </c>
      <c r="AK1124" t="s">
        <v>32</v>
      </c>
      <c r="AN1124" t="s">
        <v>32</v>
      </c>
      <c r="AO1124" t="s">
        <v>32</v>
      </c>
      <c r="AR1124">
        <v>0</v>
      </c>
      <c r="AU1124" t="s">
        <v>32</v>
      </c>
      <c r="AV1124">
        <v>2223339</v>
      </c>
      <c r="AW1124" t="s">
        <v>32</v>
      </c>
      <c r="AX1124" t="s">
        <v>32</v>
      </c>
      <c r="AY1124" t="s">
        <v>185</v>
      </c>
      <c r="AZ1124">
        <v>30</v>
      </c>
      <c r="BA1124">
        <v>2712340</v>
      </c>
      <c r="BB1124">
        <v>0.15999999642372131</v>
      </c>
      <c r="BC1124">
        <v>434000</v>
      </c>
      <c r="BD1124" t="s">
        <v>31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434000</v>
      </c>
      <c r="BK1124" t="s">
        <v>25</v>
      </c>
      <c r="BL1124" t="s">
        <v>635</v>
      </c>
      <c r="BM1124">
        <v>30</v>
      </c>
      <c r="BN1124">
        <v>2712340</v>
      </c>
      <c r="BO1124">
        <v>3.9999999105930328E-2</v>
      </c>
      <c r="BP1124">
        <v>108500</v>
      </c>
      <c r="BQ1124">
        <v>0</v>
      </c>
      <c r="BS1124">
        <v>0</v>
      </c>
      <c r="BU1124">
        <v>0</v>
      </c>
      <c r="BV1124" t="s">
        <v>25</v>
      </c>
      <c r="BW1124" t="s">
        <v>189</v>
      </c>
      <c r="BX1124">
        <v>30</v>
      </c>
      <c r="BY1124">
        <v>2712340</v>
      </c>
      <c r="BZ1124">
        <v>6.9600000977516174E-2</v>
      </c>
      <c r="CA1124" t="s">
        <v>1439</v>
      </c>
      <c r="CB1124" t="s">
        <v>227</v>
      </c>
      <c r="CC1124" t="s">
        <v>1440</v>
      </c>
      <c r="CD1124">
        <v>188800</v>
      </c>
      <c r="CE1124">
        <v>30</v>
      </c>
      <c r="CF1124" t="s">
        <v>635</v>
      </c>
      <c r="CG1124">
        <v>2712340</v>
      </c>
      <c r="CH1124">
        <v>3.9999999105930328E-2</v>
      </c>
      <c r="CI1124">
        <v>108500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 t="s">
        <v>88</v>
      </c>
      <c r="CT1124" t="s">
        <v>142</v>
      </c>
      <c r="CU1124" t="s">
        <v>1442</v>
      </c>
    </row>
    <row r="1125" spans="1:99">
      <c r="A1125" t="s">
        <v>3047</v>
      </c>
      <c r="B1125" t="s">
        <v>34</v>
      </c>
      <c r="C1125" t="s">
        <v>2730</v>
      </c>
      <c r="D1125" t="s">
        <v>2731</v>
      </c>
      <c r="E1125" t="s">
        <v>2655</v>
      </c>
      <c r="F1125" t="s">
        <v>1535</v>
      </c>
      <c r="G1125" t="s">
        <v>1436</v>
      </c>
      <c r="H1125" t="s">
        <v>2732</v>
      </c>
      <c r="I1125" t="s">
        <v>240</v>
      </c>
      <c r="J1125" t="s">
        <v>46</v>
      </c>
      <c r="K1125" t="s">
        <v>29</v>
      </c>
      <c r="L1125" t="s">
        <v>30</v>
      </c>
      <c r="M1125">
        <v>188</v>
      </c>
      <c r="N1125" t="s">
        <v>32</v>
      </c>
      <c r="O1125" t="s">
        <v>32</v>
      </c>
      <c r="Q1125" t="s">
        <v>32</v>
      </c>
      <c r="S1125" t="s">
        <v>32</v>
      </c>
      <c r="U1125" t="s">
        <v>32</v>
      </c>
      <c r="V1125" t="s">
        <v>32</v>
      </c>
      <c r="W1125" t="s">
        <v>32</v>
      </c>
      <c r="X1125" t="s">
        <v>32</v>
      </c>
      <c r="Y1125" t="s">
        <v>88</v>
      </c>
      <c r="Z1125">
        <v>46054</v>
      </c>
      <c r="AA1125" t="s">
        <v>88</v>
      </c>
      <c r="AB1125" t="s">
        <v>32</v>
      </c>
      <c r="AE1125" t="s">
        <v>32</v>
      </c>
      <c r="AH1125" t="s">
        <v>32</v>
      </c>
      <c r="AK1125" t="s">
        <v>32</v>
      </c>
      <c r="AN1125" t="s">
        <v>32</v>
      </c>
      <c r="AO1125" t="s">
        <v>32</v>
      </c>
      <c r="AR1125">
        <v>0</v>
      </c>
      <c r="AU1125" t="s">
        <v>32</v>
      </c>
      <c r="AV1125">
        <v>24711738</v>
      </c>
      <c r="AW1125" t="s">
        <v>88</v>
      </c>
      <c r="AX1125" t="s">
        <v>1558</v>
      </c>
      <c r="AY1125" t="s">
        <v>185</v>
      </c>
      <c r="AZ1125">
        <v>30</v>
      </c>
      <c r="BA1125">
        <v>17298217</v>
      </c>
      <c r="BB1125">
        <v>0.15999999642372131</v>
      </c>
      <c r="BC1125">
        <v>2767800</v>
      </c>
      <c r="BD1125" t="s">
        <v>31</v>
      </c>
      <c r="BE1125">
        <v>0</v>
      </c>
      <c r="BF1125">
        <v>0</v>
      </c>
      <c r="BG1125">
        <v>86500</v>
      </c>
      <c r="BH1125">
        <v>86500</v>
      </c>
      <c r="BI1125">
        <v>0</v>
      </c>
      <c r="BJ1125">
        <v>2940800</v>
      </c>
      <c r="BK1125" t="s">
        <v>25</v>
      </c>
      <c r="BL1125" t="s">
        <v>1071</v>
      </c>
      <c r="BM1125">
        <v>30</v>
      </c>
      <c r="BN1125">
        <v>17298217</v>
      </c>
      <c r="BO1125">
        <v>0.125</v>
      </c>
      <c r="BP1125">
        <v>2162300</v>
      </c>
      <c r="BQ1125">
        <v>0</v>
      </c>
      <c r="BS1125">
        <v>0</v>
      </c>
      <c r="BU1125">
        <v>0</v>
      </c>
      <c r="BV1125" t="s">
        <v>25</v>
      </c>
      <c r="BW1125" t="s">
        <v>189</v>
      </c>
      <c r="BX1125">
        <v>30</v>
      </c>
      <c r="BY1125">
        <v>17298217</v>
      </c>
      <c r="BZ1125">
        <v>6.9600000977516174E-2</v>
      </c>
      <c r="CA1125" t="s">
        <v>1439</v>
      </c>
      <c r="CB1125" t="s">
        <v>227</v>
      </c>
      <c r="CC1125" t="s">
        <v>1440</v>
      </c>
      <c r="CD1125">
        <v>1204000</v>
      </c>
      <c r="CE1125">
        <v>30</v>
      </c>
      <c r="CF1125" t="s">
        <v>635</v>
      </c>
      <c r="CG1125">
        <v>17298217</v>
      </c>
      <c r="CH1125">
        <v>3.9999999105930328E-2</v>
      </c>
      <c r="CI1125">
        <v>692000</v>
      </c>
      <c r="CJ1125">
        <v>17298217</v>
      </c>
      <c r="CK1125">
        <v>1.9999999552965164E-2</v>
      </c>
      <c r="CL1125">
        <v>346000</v>
      </c>
      <c r="CM1125">
        <v>2.9999999329447746E-2</v>
      </c>
      <c r="CN1125">
        <v>519000</v>
      </c>
      <c r="CO1125">
        <v>0</v>
      </c>
      <c r="CP1125">
        <v>0</v>
      </c>
      <c r="CQ1125">
        <v>0</v>
      </c>
      <c r="CR1125">
        <v>0</v>
      </c>
      <c r="CS1125" t="s">
        <v>32</v>
      </c>
      <c r="CT1125" t="s">
        <v>142</v>
      </c>
      <c r="CU1125" t="s">
        <v>1442</v>
      </c>
    </row>
    <row r="1126" spans="1:99">
      <c r="A1126" t="s">
        <v>3047</v>
      </c>
      <c r="B1126" t="s">
        <v>34</v>
      </c>
      <c r="C1126" t="s">
        <v>2733</v>
      </c>
      <c r="D1126" t="s">
        <v>2734</v>
      </c>
      <c r="E1126" t="s">
        <v>1620</v>
      </c>
      <c r="F1126" t="s">
        <v>2655</v>
      </c>
      <c r="G1126" t="s">
        <v>2735</v>
      </c>
      <c r="H1126" t="s">
        <v>1558</v>
      </c>
      <c r="I1126" t="s">
        <v>240</v>
      </c>
      <c r="J1126" t="s">
        <v>46</v>
      </c>
      <c r="K1126" t="s">
        <v>29</v>
      </c>
      <c r="L1126" t="s">
        <v>30</v>
      </c>
      <c r="M1126">
        <v>34</v>
      </c>
      <c r="N1126" t="s">
        <v>32</v>
      </c>
      <c r="O1126" t="s">
        <v>32</v>
      </c>
      <c r="Q1126" t="s">
        <v>32</v>
      </c>
      <c r="S1126" t="s">
        <v>40</v>
      </c>
      <c r="T1126">
        <v>46056</v>
      </c>
      <c r="U1126" t="s">
        <v>32</v>
      </c>
      <c r="V1126" t="s">
        <v>32</v>
      </c>
      <c r="W1126" t="s">
        <v>32</v>
      </c>
      <c r="X1126" t="s">
        <v>32</v>
      </c>
      <c r="Y1126" t="s">
        <v>32</v>
      </c>
      <c r="AA1126" t="s">
        <v>88</v>
      </c>
      <c r="AB1126" t="s">
        <v>32</v>
      </c>
      <c r="AE1126" t="s">
        <v>32</v>
      </c>
      <c r="AH1126" t="s">
        <v>32</v>
      </c>
      <c r="AK1126" t="s">
        <v>32</v>
      </c>
      <c r="AN1126" t="s">
        <v>32</v>
      </c>
      <c r="AO1126" t="s">
        <v>32</v>
      </c>
      <c r="AR1126">
        <v>0</v>
      </c>
      <c r="AU1126" t="s">
        <v>32</v>
      </c>
      <c r="AV1126">
        <v>2970185</v>
      </c>
      <c r="AW1126" t="s">
        <v>32</v>
      </c>
      <c r="AX1126" t="s">
        <v>32</v>
      </c>
      <c r="AY1126" t="s">
        <v>185</v>
      </c>
      <c r="AZ1126">
        <v>3</v>
      </c>
      <c r="BA1126">
        <v>1414888</v>
      </c>
      <c r="BB1126">
        <v>0.15999999642372131</v>
      </c>
      <c r="BC1126">
        <v>226400</v>
      </c>
      <c r="BD1126" t="s">
        <v>31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226400</v>
      </c>
      <c r="BK1126" t="s">
        <v>25</v>
      </c>
      <c r="BL1126" t="s">
        <v>1010</v>
      </c>
      <c r="BM1126">
        <v>3</v>
      </c>
      <c r="BN1126">
        <v>1414888</v>
      </c>
      <c r="BO1126">
        <v>0.125</v>
      </c>
      <c r="BP1126">
        <v>176900</v>
      </c>
      <c r="BQ1126">
        <v>0</v>
      </c>
      <c r="BS1126">
        <v>0</v>
      </c>
      <c r="BU1126">
        <v>0</v>
      </c>
      <c r="BV1126" t="s">
        <v>25</v>
      </c>
      <c r="BW1126" t="s">
        <v>189</v>
      </c>
      <c r="BX1126">
        <v>3</v>
      </c>
      <c r="BY1126">
        <v>1414888</v>
      </c>
      <c r="BZ1126">
        <v>6.9600000977516174E-2</v>
      </c>
      <c r="CA1126" t="s">
        <v>1439</v>
      </c>
      <c r="CB1126" t="s">
        <v>227</v>
      </c>
      <c r="CC1126" t="s">
        <v>1440</v>
      </c>
      <c r="CD1126">
        <v>98500</v>
      </c>
      <c r="CE1126">
        <v>3</v>
      </c>
      <c r="CF1126" t="s">
        <v>635</v>
      </c>
      <c r="CG1126">
        <v>2281837</v>
      </c>
      <c r="CH1126">
        <v>3.9999999105930328E-2</v>
      </c>
      <c r="CI1126">
        <v>91300</v>
      </c>
      <c r="CJ1126">
        <v>2281837</v>
      </c>
      <c r="CK1126">
        <v>1.9999999552965164E-2</v>
      </c>
      <c r="CL1126">
        <v>45700</v>
      </c>
      <c r="CM1126">
        <v>2.9999999329447746E-2</v>
      </c>
      <c r="CN1126">
        <v>68500</v>
      </c>
      <c r="CO1126">
        <v>0</v>
      </c>
      <c r="CP1126">
        <v>0</v>
      </c>
      <c r="CQ1126">
        <v>0</v>
      </c>
      <c r="CR1126">
        <v>0</v>
      </c>
      <c r="CS1126" t="s">
        <v>32</v>
      </c>
      <c r="CT1126" t="s">
        <v>142</v>
      </c>
      <c r="CU1126" t="s">
        <v>1442</v>
      </c>
    </row>
    <row r="1127" spans="1:99">
      <c r="A1127" t="s">
        <v>3047</v>
      </c>
      <c r="B1127" t="s">
        <v>34</v>
      </c>
      <c r="C1127" t="s">
        <v>2736</v>
      </c>
      <c r="D1127" t="s">
        <v>2737</v>
      </c>
      <c r="E1127" t="s">
        <v>449</v>
      </c>
      <c r="F1127" t="s">
        <v>1482</v>
      </c>
      <c r="G1127" t="s">
        <v>2738</v>
      </c>
      <c r="H1127" t="s">
        <v>1437</v>
      </c>
      <c r="I1127" t="s">
        <v>240</v>
      </c>
      <c r="J1127" t="s">
        <v>46</v>
      </c>
      <c r="K1127" t="s">
        <v>29</v>
      </c>
      <c r="L1127" t="s">
        <v>30</v>
      </c>
      <c r="M1127">
        <v>0</v>
      </c>
      <c r="N1127" t="s">
        <v>32</v>
      </c>
      <c r="O1127" t="s">
        <v>32</v>
      </c>
      <c r="Q1127" t="s">
        <v>32</v>
      </c>
      <c r="S1127" t="s">
        <v>32</v>
      </c>
      <c r="U1127" t="s">
        <v>32</v>
      </c>
      <c r="V1127" t="s">
        <v>32</v>
      </c>
      <c r="W1127" t="s">
        <v>32</v>
      </c>
      <c r="X1127" t="s">
        <v>32</v>
      </c>
      <c r="Y1127" t="s">
        <v>32</v>
      </c>
      <c r="AA1127" t="s">
        <v>32</v>
      </c>
      <c r="AB1127" t="s">
        <v>32</v>
      </c>
      <c r="AE1127" t="s">
        <v>32</v>
      </c>
      <c r="AH1127" t="s">
        <v>32</v>
      </c>
      <c r="AK1127" t="s">
        <v>128</v>
      </c>
      <c r="AL1127">
        <v>46054</v>
      </c>
      <c r="AM1127">
        <v>46060</v>
      </c>
      <c r="AN1127" t="s">
        <v>32</v>
      </c>
      <c r="AO1127" t="s">
        <v>32</v>
      </c>
      <c r="AR1127">
        <v>0</v>
      </c>
      <c r="AU1127" t="s">
        <v>32</v>
      </c>
      <c r="AV1127">
        <v>11650406</v>
      </c>
      <c r="AW1127" t="s">
        <v>32</v>
      </c>
      <c r="AX1127" t="s">
        <v>32</v>
      </c>
      <c r="AY1127" t="s">
        <v>185</v>
      </c>
      <c r="AZ1127">
        <v>7</v>
      </c>
      <c r="BA1127">
        <v>2718429</v>
      </c>
      <c r="BB1127">
        <v>0.15999999642372131</v>
      </c>
      <c r="BC1127">
        <v>435000</v>
      </c>
      <c r="BD1127" t="s">
        <v>31</v>
      </c>
      <c r="BE1127">
        <v>0</v>
      </c>
      <c r="BF1127">
        <v>0</v>
      </c>
      <c r="BG1127">
        <v>13600</v>
      </c>
      <c r="BH1127">
        <v>13600</v>
      </c>
      <c r="BI1127">
        <v>0</v>
      </c>
      <c r="BJ1127">
        <v>462200</v>
      </c>
      <c r="BK1127" t="s">
        <v>25</v>
      </c>
      <c r="BL1127" t="s">
        <v>1071</v>
      </c>
      <c r="BM1127">
        <v>7</v>
      </c>
      <c r="BN1127">
        <v>2718429</v>
      </c>
      <c r="BO1127">
        <v>3.9999999105930328E-2</v>
      </c>
      <c r="BP1127">
        <v>108800</v>
      </c>
      <c r="BQ1127">
        <v>0</v>
      </c>
      <c r="BS1127">
        <v>0</v>
      </c>
      <c r="BU1127">
        <v>0</v>
      </c>
      <c r="BV1127" t="s">
        <v>25</v>
      </c>
      <c r="BW1127" t="s">
        <v>189</v>
      </c>
      <c r="BX1127">
        <v>7</v>
      </c>
      <c r="BY1127">
        <v>2718429</v>
      </c>
      <c r="BZ1127">
        <v>0</v>
      </c>
      <c r="CA1127" t="s">
        <v>1439</v>
      </c>
      <c r="CB1127" t="s">
        <v>227</v>
      </c>
      <c r="CC1127" t="s">
        <v>1440</v>
      </c>
      <c r="CD1127">
        <v>0</v>
      </c>
      <c r="CE1127">
        <v>7</v>
      </c>
      <c r="CF1127" t="s">
        <v>635</v>
      </c>
      <c r="CG1127">
        <v>2718429</v>
      </c>
      <c r="CH1127">
        <v>3.9999999105930328E-2</v>
      </c>
      <c r="CI1127">
        <v>108800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 t="s">
        <v>88</v>
      </c>
      <c r="CT1127" t="s">
        <v>142</v>
      </c>
      <c r="CU1127" t="s">
        <v>1442</v>
      </c>
    </row>
    <row r="1128" spans="1:99">
      <c r="A1128" t="s">
        <v>3047</v>
      </c>
      <c r="B1128" t="s">
        <v>34</v>
      </c>
      <c r="C1128" t="s">
        <v>2736</v>
      </c>
      <c r="D1128" t="s">
        <v>2737</v>
      </c>
      <c r="E1128" t="s">
        <v>449</v>
      </c>
      <c r="F1128" t="s">
        <v>1482</v>
      </c>
      <c r="G1128" t="s">
        <v>2738</v>
      </c>
      <c r="H1128" t="s">
        <v>1437</v>
      </c>
      <c r="I1128" t="s">
        <v>240</v>
      </c>
      <c r="J1128" t="s">
        <v>46</v>
      </c>
      <c r="K1128" t="s">
        <v>29</v>
      </c>
      <c r="L1128" t="s">
        <v>30</v>
      </c>
      <c r="M1128">
        <v>135</v>
      </c>
      <c r="N1128" t="s">
        <v>32</v>
      </c>
      <c r="O1128" t="s">
        <v>32</v>
      </c>
      <c r="Q1128" t="s">
        <v>32</v>
      </c>
      <c r="S1128" t="s">
        <v>32</v>
      </c>
      <c r="U1128" t="s">
        <v>32</v>
      </c>
      <c r="V1128" t="s">
        <v>32</v>
      </c>
      <c r="W1128" t="s">
        <v>32</v>
      </c>
      <c r="X1128" t="s">
        <v>32</v>
      </c>
      <c r="Y1128" t="s">
        <v>88</v>
      </c>
      <c r="Z1128">
        <v>46054</v>
      </c>
      <c r="AA1128" t="s">
        <v>88</v>
      </c>
      <c r="AB1128" t="s">
        <v>32</v>
      </c>
      <c r="AE1128" t="s">
        <v>32</v>
      </c>
      <c r="AH1128" t="s">
        <v>32</v>
      </c>
      <c r="AK1128" t="s">
        <v>32</v>
      </c>
      <c r="AN1128" t="s">
        <v>32</v>
      </c>
      <c r="AO1128" t="s">
        <v>32</v>
      </c>
      <c r="AR1128">
        <v>0</v>
      </c>
      <c r="AU1128" t="s">
        <v>32</v>
      </c>
      <c r="AV1128">
        <v>11650406</v>
      </c>
      <c r="AW1128" t="s">
        <v>32</v>
      </c>
      <c r="AX1128" t="s">
        <v>32</v>
      </c>
      <c r="AY1128" t="s">
        <v>185</v>
      </c>
      <c r="AZ1128">
        <v>23</v>
      </c>
      <c r="BA1128">
        <v>8931978</v>
      </c>
      <c r="BB1128">
        <v>0.15999999642372131</v>
      </c>
      <c r="BC1128">
        <v>1429200</v>
      </c>
      <c r="BD1128" t="s">
        <v>31</v>
      </c>
      <c r="BE1128">
        <v>0</v>
      </c>
      <c r="BF1128">
        <v>0</v>
      </c>
      <c r="BG1128">
        <v>44700</v>
      </c>
      <c r="BH1128">
        <v>44700</v>
      </c>
      <c r="BI1128">
        <v>0</v>
      </c>
      <c r="BJ1128">
        <v>1518600</v>
      </c>
      <c r="BK1128" t="s">
        <v>25</v>
      </c>
      <c r="BL1128" t="s">
        <v>1071</v>
      </c>
      <c r="BM1128">
        <v>23</v>
      </c>
      <c r="BN1128">
        <v>8931978</v>
      </c>
      <c r="BO1128">
        <v>3.9999999105930328E-2</v>
      </c>
      <c r="BP1128">
        <v>357300</v>
      </c>
      <c r="BQ1128">
        <v>0</v>
      </c>
      <c r="BS1128">
        <v>0</v>
      </c>
      <c r="BU1128">
        <v>0</v>
      </c>
      <c r="BV1128" t="s">
        <v>25</v>
      </c>
      <c r="BW1128" t="s">
        <v>189</v>
      </c>
      <c r="BX1128">
        <v>23</v>
      </c>
      <c r="BY1128">
        <v>8931978</v>
      </c>
      <c r="BZ1128">
        <v>6.9600000977516174E-2</v>
      </c>
      <c r="CA1128" t="s">
        <v>1439</v>
      </c>
      <c r="CB1128" t="s">
        <v>227</v>
      </c>
      <c r="CC1128" t="s">
        <v>1440</v>
      </c>
      <c r="CD1128">
        <v>621700</v>
      </c>
      <c r="CE1128">
        <v>23</v>
      </c>
      <c r="CF1128" t="s">
        <v>635</v>
      </c>
      <c r="CG1128">
        <v>8931978</v>
      </c>
      <c r="CH1128">
        <v>3.9999999105930328E-2</v>
      </c>
      <c r="CI1128">
        <v>357300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 t="s">
        <v>88</v>
      </c>
      <c r="CT1128" t="s">
        <v>142</v>
      </c>
      <c r="CU1128" t="s">
        <v>1442</v>
      </c>
    </row>
    <row r="1129" spans="1:99">
      <c r="A1129" t="s">
        <v>3047</v>
      </c>
      <c r="B1129" t="s">
        <v>34</v>
      </c>
      <c r="C1129" t="s">
        <v>2739</v>
      </c>
      <c r="D1129" t="s">
        <v>2740</v>
      </c>
      <c r="E1129" t="s">
        <v>1566</v>
      </c>
      <c r="F1129" t="s">
        <v>1551</v>
      </c>
      <c r="G1129" t="s">
        <v>2741</v>
      </c>
      <c r="H1129" t="s">
        <v>1558</v>
      </c>
      <c r="I1129" t="s">
        <v>682</v>
      </c>
      <c r="J1129" t="s">
        <v>484</v>
      </c>
      <c r="K1129" t="s">
        <v>29</v>
      </c>
      <c r="L1129" t="s">
        <v>30</v>
      </c>
      <c r="M1129">
        <v>0</v>
      </c>
      <c r="N1129" t="s">
        <v>32</v>
      </c>
      <c r="O1129" t="s">
        <v>32</v>
      </c>
      <c r="Q1129" t="s">
        <v>32</v>
      </c>
      <c r="S1129" t="s">
        <v>32</v>
      </c>
      <c r="U1129" t="s">
        <v>32</v>
      </c>
      <c r="V1129" t="s">
        <v>32</v>
      </c>
      <c r="W1129" t="s">
        <v>32</v>
      </c>
      <c r="X1129" t="s">
        <v>32</v>
      </c>
      <c r="Y1129" t="s">
        <v>32</v>
      </c>
      <c r="AA1129" t="s">
        <v>32</v>
      </c>
      <c r="AB1129" t="s">
        <v>32</v>
      </c>
      <c r="AE1129" t="s">
        <v>32</v>
      </c>
      <c r="AH1129" t="s">
        <v>32</v>
      </c>
      <c r="AK1129" t="s">
        <v>128</v>
      </c>
      <c r="AL1129">
        <v>46069</v>
      </c>
      <c r="AM1129">
        <v>46073</v>
      </c>
      <c r="AN1129" t="s">
        <v>32</v>
      </c>
      <c r="AO1129" t="s">
        <v>32</v>
      </c>
      <c r="AR1129">
        <v>0</v>
      </c>
      <c r="AU1129" t="s">
        <v>32</v>
      </c>
      <c r="AV1129">
        <v>2056650</v>
      </c>
      <c r="AW1129" t="s">
        <v>32</v>
      </c>
      <c r="AX1129" t="s">
        <v>32</v>
      </c>
      <c r="AY1129" t="s">
        <v>137</v>
      </c>
      <c r="AZ1129">
        <v>5</v>
      </c>
      <c r="BA1129">
        <v>342775</v>
      </c>
      <c r="BB1129">
        <v>0.15999999642372131</v>
      </c>
      <c r="BC1129">
        <v>54900</v>
      </c>
      <c r="BD1129" t="s">
        <v>31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54900</v>
      </c>
      <c r="BK1129" t="s">
        <v>25</v>
      </c>
      <c r="BL1129" t="s">
        <v>1010</v>
      </c>
      <c r="BM1129">
        <v>5</v>
      </c>
      <c r="BN1129">
        <v>342775</v>
      </c>
      <c r="BO1129">
        <v>3.9999999105930328E-2</v>
      </c>
      <c r="BP1129">
        <v>13800</v>
      </c>
      <c r="BQ1129">
        <v>0</v>
      </c>
      <c r="BS1129">
        <v>0</v>
      </c>
      <c r="BU1129">
        <v>0</v>
      </c>
      <c r="BV1129" t="s">
        <v>25</v>
      </c>
      <c r="BW1129" t="s">
        <v>189</v>
      </c>
      <c r="BX1129">
        <v>5</v>
      </c>
      <c r="BY1129">
        <v>342775</v>
      </c>
      <c r="BZ1129">
        <v>0</v>
      </c>
      <c r="CA1129" t="s">
        <v>1439</v>
      </c>
      <c r="CB1129" t="s">
        <v>312</v>
      </c>
      <c r="CC1129" t="s">
        <v>1440</v>
      </c>
      <c r="CD1129">
        <v>0</v>
      </c>
      <c r="CE1129">
        <v>5</v>
      </c>
      <c r="CF1129" t="s">
        <v>466</v>
      </c>
      <c r="CG1129">
        <v>342775</v>
      </c>
      <c r="CH1129">
        <v>3.9999999105930328E-2</v>
      </c>
      <c r="CI1129">
        <v>13800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 t="s">
        <v>88</v>
      </c>
      <c r="CT1129" t="s">
        <v>142</v>
      </c>
      <c r="CU1129" t="s">
        <v>1442</v>
      </c>
    </row>
    <row r="1130" spans="1:99">
      <c r="A1130" t="s">
        <v>3047</v>
      </c>
      <c r="B1130" t="s">
        <v>34</v>
      </c>
      <c r="C1130" t="s">
        <v>2739</v>
      </c>
      <c r="D1130" t="s">
        <v>2740</v>
      </c>
      <c r="E1130" t="s">
        <v>1566</v>
      </c>
      <c r="F1130" t="s">
        <v>1551</v>
      </c>
      <c r="G1130" t="s">
        <v>2741</v>
      </c>
      <c r="H1130" t="s">
        <v>1558</v>
      </c>
      <c r="I1130" t="s">
        <v>682</v>
      </c>
      <c r="J1130" t="s">
        <v>484</v>
      </c>
      <c r="K1130" t="s">
        <v>29</v>
      </c>
      <c r="L1130" t="s">
        <v>30</v>
      </c>
      <c r="M1130">
        <v>169</v>
      </c>
      <c r="N1130" t="s">
        <v>32</v>
      </c>
      <c r="O1130" t="s">
        <v>32</v>
      </c>
      <c r="Q1130" t="s">
        <v>32</v>
      </c>
      <c r="S1130" t="s">
        <v>32</v>
      </c>
      <c r="U1130" t="s">
        <v>32</v>
      </c>
      <c r="V1130" t="s">
        <v>32</v>
      </c>
      <c r="W1130" t="s">
        <v>32</v>
      </c>
      <c r="X1130" t="s">
        <v>32</v>
      </c>
      <c r="Y1130" t="s">
        <v>32</v>
      </c>
      <c r="AA1130" t="s">
        <v>88</v>
      </c>
      <c r="AB1130" t="s">
        <v>32</v>
      </c>
      <c r="AE1130" t="s">
        <v>32</v>
      </c>
      <c r="AH1130" t="s">
        <v>32</v>
      </c>
      <c r="AK1130" t="s">
        <v>32</v>
      </c>
      <c r="AN1130" t="s">
        <v>32</v>
      </c>
      <c r="AO1130" t="s">
        <v>32</v>
      </c>
      <c r="AR1130">
        <v>0</v>
      </c>
      <c r="AU1130" t="s">
        <v>32</v>
      </c>
      <c r="AV1130">
        <v>2056650</v>
      </c>
      <c r="AW1130" t="s">
        <v>32</v>
      </c>
      <c r="AX1130" t="s">
        <v>32</v>
      </c>
      <c r="AY1130" t="s">
        <v>137</v>
      </c>
      <c r="AZ1130">
        <v>25</v>
      </c>
      <c r="BA1130">
        <v>2257626</v>
      </c>
      <c r="BB1130">
        <v>0.15999999642372131</v>
      </c>
      <c r="BC1130">
        <v>361300</v>
      </c>
      <c r="BD1130" t="s">
        <v>31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361300</v>
      </c>
      <c r="BK1130" t="s">
        <v>25</v>
      </c>
      <c r="BL1130" t="s">
        <v>1010</v>
      </c>
      <c r="BM1130">
        <v>25</v>
      </c>
      <c r="BN1130">
        <v>2257626</v>
      </c>
      <c r="BO1130">
        <v>3.9999999105930328E-2</v>
      </c>
      <c r="BP1130">
        <v>90400</v>
      </c>
      <c r="BQ1130">
        <v>0</v>
      </c>
      <c r="BS1130">
        <v>0</v>
      </c>
      <c r="BU1130">
        <v>0</v>
      </c>
      <c r="BV1130" t="s">
        <v>25</v>
      </c>
      <c r="BW1130" t="s">
        <v>189</v>
      </c>
      <c r="BX1130">
        <v>25</v>
      </c>
      <c r="BY1130">
        <v>2257626</v>
      </c>
      <c r="BZ1130">
        <v>6.9600000977516174E-2</v>
      </c>
      <c r="CA1130" t="s">
        <v>1439</v>
      </c>
      <c r="CB1130" t="s">
        <v>312</v>
      </c>
      <c r="CC1130" t="s">
        <v>1440</v>
      </c>
      <c r="CD1130">
        <v>157200</v>
      </c>
      <c r="CE1130">
        <v>25</v>
      </c>
      <c r="CF1130" t="s">
        <v>466</v>
      </c>
      <c r="CG1130">
        <v>2187606</v>
      </c>
      <c r="CH1130">
        <v>3.9999999105930328E-2</v>
      </c>
      <c r="CI1130">
        <v>87600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 t="s">
        <v>88</v>
      </c>
      <c r="CT1130" t="s">
        <v>142</v>
      </c>
      <c r="CU1130" t="s">
        <v>1442</v>
      </c>
    </row>
    <row r="1131" spans="1:99">
      <c r="A1131" t="s">
        <v>3047</v>
      </c>
      <c r="B1131" t="s">
        <v>34</v>
      </c>
      <c r="C1131" t="s">
        <v>2742</v>
      </c>
      <c r="D1131" t="s">
        <v>2743</v>
      </c>
      <c r="E1131" t="s">
        <v>2744</v>
      </c>
      <c r="F1131" t="s">
        <v>1977</v>
      </c>
      <c r="G1131" t="s">
        <v>2745</v>
      </c>
      <c r="H1131" t="s">
        <v>2746</v>
      </c>
      <c r="I1131" t="s">
        <v>240</v>
      </c>
      <c r="J1131" t="s">
        <v>46</v>
      </c>
      <c r="K1131" t="s">
        <v>29</v>
      </c>
      <c r="L1131" t="s">
        <v>30</v>
      </c>
      <c r="M1131">
        <v>45</v>
      </c>
      <c r="N1131" t="s">
        <v>32</v>
      </c>
      <c r="O1131" t="s">
        <v>32</v>
      </c>
      <c r="Q1131" t="s">
        <v>40</v>
      </c>
      <c r="R1131">
        <v>46074</v>
      </c>
      <c r="S1131" t="s">
        <v>32</v>
      </c>
      <c r="U1131" t="s">
        <v>32</v>
      </c>
      <c r="V1131" t="s">
        <v>32</v>
      </c>
      <c r="W1131" t="s">
        <v>32</v>
      </c>
      <c r="X1131" t="s">
        <v>32</v>
      </c>
      <c r="Y1131" t="s">
        <v>32</v>
      </c>
      <c r="AA1131" t="s">
        <v>88</v>
      </c>
      <c r="AB1131" t="s">
        <v>32</v>
      </c>
      <c r="AE1131" t="s">
        <v>32</v>
      </c>
      <c r="AH1131" t="s">
        <v>32</v>
      </c>
      <c r="AK1131" t="s">
        <v>32</v>
      </c>
      <c r="AN1131" t="s">
        <v>32</v>
      </c>
      <c r="AO1131" t="s">
        <v>32</v>
      </c>
      <c r="AR1131">
        <v>0</v>
      </c>
      <c r="AU1131" t="s">
        <v>32</v>
      </c>
      <c r="AV1131">
        <v>2113182</v>
      </c>
      <c r="AW1131" t="s">
        <v>32</v>
      </c>
      <c r="AX1131" t="s">
        <v>32</v>
      </c>
      <c r="AY1131" t="s">
        <v>137</v>
      </c>
      <c r="AZ1131">
        <v>10</v>
      </c>
      <c r="BA1131">
        <v>704394</v>
      </c>
      <c r="BB1131">
        <v>0.15999999642372131</v>
      </c>
      <c r="BC1131">
        <v>112800</v>
      </c>
      <c r="BD1131" t="s">
        <v>31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112800</v>
      </c>
      <c r="BK1131" t="s">
        <v>25</v>
      </c>
      <c r="BL1131" t="s">
        <v>1010</v>
      </c>
      <c r="BM1131">
        <v>10</v>
      </c>
      <c r="BN1131">
        <v>704394</v>
      </c>
      <c r="BO1131">
        <v>3.9999999105930328E-2</v>
      </c>
      <c r="BP1131">
        <v>28200</v>
      </c>
      <c r="BQ1131">
        <v>0</v>
      </c>
      <c r="BS1131">
        <v>0</v>
      </c>
      <c r="BU1131">
        <v>0</v>
      </c>
      <c r="BV1131" t="s">
        <v>25</v>
      </c>
      <c r="BW1131" t="s">
        <v>189</v>
      </c>
      <c r="BX1131">
        <v>10</v>
      </c>
      <c r="BY1131">
        <v>704394</v>
      </c>
      <c r="BZ1131">
        <v>6.9600000977516174E-2</v>
      </c>
      <c r="CA1131" t="s">
        <v>1439</v>
      </c>
      <c r="CB1131" t="s">
        <v>227</v>
      </c>
      <c r="CC1131" t="s">
        <v>1440</v>
      </c>
      <c r="CD1131">
        <v>49100</v>
      </c>
      <c r="CE1131">
        <v>10</v>
      </c>
      <c r="CF1131" t="s">
        <v>635</v>
      </c>
      <c r="CG1131">
        <v>704394</v>
      </c>
      <c r="CH1131">
        <v>3.9999999105930328E-2</v>
      </c>
      <c r="CI1131">
        <v>28200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 t="s">
        <v>88</v>
      </c>
      <c r="CT1131" t="s">
        <v>142</v>
      </c>
      <c r="CU1131" t="s">
        <v>1442</v>
      </c>
    </row>
    <row r="1132" spans="1:99">
      <c r="A1132" t="s">
        <v>3047</v>
      </c>
      <c r="B1132" t="s">
        <v>34</v>
      </c>
      <c r="C1132" t="s">
        <v>2747</v>
      </c>
      <c r="D1132" t="s">
        <v>2748</v>
      </c>
      <c r="E1132" t="s">
        <v>1827</v>
      </c>
      <c r="F1132" t="s">
        <v>1487</v>
      </c>
      <c r="G1132" t="s">
        <v>1798</v>
      </c>
      <c r="H1132" t="s">
        <v>1558</v>
      </c>
      <c r="I1132" t="s">
        <v>682</v>
      </c>
      <c r="J1132" t="s">
        <v>484</v>
      </c>
      <c r="K1132" t="s">
        <v>29</v>
      </c>
      <c r="L1132" t="s">
        <v>30</v>
      </c>
      <c r="M1132">
        <v>0</v>
      </c>
      <c r="N1132" t="s">
        <v>32</v>
      </c>
      <c r="O1132" t="s">
        <v>32</v>
      </c>
      <c r="Q1132" t="s">
        <v>32</v>
      </c>
      <c r="S1132" t="s">
        <v>32</v>
      </c>
      <c r="U1132" t="s">
        <v>32</v>
      </c>
      <c r="V1132" t="s">
        <v>32</v>
      </c>
      <c r="W1132" t="s">
        <v>32</v>
      </c>
      <c r="X1132" t="s">
        <v>32</v>
      </c>
      <c r="Y1132" t="s">
        <v>32</v>
      </c>
      <c r="AA1132" t="s">
        <v>32</v>
      </c>
      <c r="AB1132" t="s">
        <v>32</v>
      </c>
      <c r="AE1132" t="s">
        <v>32</v>
      </c>
      <c r="AH1132" t="s">
        <v>32</v>
      </c>
      <c r="AK1132" t="s">
        <v>128</v>
      </c>
      <c r="AL1132">
        <v>46069</v>
      </c>
      <c r="AM1132">
        <v>46075</v>
      </c>
      <c r="AN1132" t="s">
        <v>32</v>
      </c>
      <c r="AO1132" t="s">
        <v>32</v>
      </c>
      <c r="AR1132">
        <v>0</v>
      </c>
      <c r="AU1132" t="s">
        <v>32</v>
      </c>
      <c r="AV1132">
        <v>5408090</v>
      </c>
      <c r="AW1132" t="s">
        <v>32</v>
      </c>
      <c r="AX1132" t="s">
        <v>32</v>
      </c>
      <c r="AY1132" t="s">
        <v>356</v>
      </c>
      <c r="AZ1132">
        <v>7</v>
      </c>
      <c r="BA1132">
        <v>1261888</v>
      </c>
      <c r="BB1132">
        <v>0.15999999642372131</v>
      </c>
      <c r="BC1132">
        <v>202000</v>
      </c>
      <c r="BD1132" t="s">
        <v>31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202000</v>
      </c>
      <c r="BK1132" t="s">
        <v>25</v>
      </c>
      <c r="BL1132" t="s">
        <v>1010</v>
      </c>
      <c r="BM1132">
        <v>7</v>
      </c>
      <c r="BN1132">
        <v>1261888</v>
      </c>
      <c r="BO1132">
        <v>3.9999999105930328E-2</v>
      </c>
      <c r="BP1132">
        <v>50500</v>
      </c>
      <c r="BQ1132">
        <v>0</v>
      </c>
      <c r="BS1132">
        <v>0</v>
      </c>
      <c r="BU1132">
        <v>0</v>
      </c>
      <c r="BV1132" t="s">
        <v>25</v>
      </c>
      <c r="BW1132" t="s">
        <v>189</v>
      </c>
      <c r="BX1132">
        <v>7</v>
      </c>
      <c r="BY1132">
        <v>1261888</v>
      </c>
      <c r="BZ1132">
        <v>0</v>
      </c>
      <c r="CA1132" t="s">
        <v>1439</v>
      </c>
      <c r="CB1132" t="s">
        <v>312</v>
      </c>
      <c r="CC1132" t="s">
        <v>1440</v>
      </c>
      <c r="CD1132">
        <v>0</v>
      </c>
      <c r="CE1132">
        <v>7</v>
      </c>
      <c r="CF1132" t="s">
        <v>466</v>
      </c>
      <c r="CG1132">
        <v>1261888</v>
      </c>
      <c r="CH1132">
        <v>3.9999999105930328E-2</v>
      </c>
      <c r="CI1132">
        <v>50500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 t="s">
        <v>88</v>
      </c>
      <c r="CT1132" t="s">
        <v>142</v>
      </c>
      <c r="CU1132" t="s">
        <v>1442</v>
      </c>
    </row>
    <row r="1133" spans="1:99">
      <c r="A1133" t="s">
        <v>3047</v>
      </c>
      <c r="B1133" t="s">
        <v>34</v>
      </c>
      <c r="C1133" t="s">
        <v>2747</v>
      </c>
      <c r="D1133" t="s">
        <v>2748</v>
      </c>
      <c r="E1133" t="s">
        <v>1827</v>
      </c>
      <c r="F1133" t="s">
        <v>1487</v>
      </c>
      <c r="G1133" t="s">
        <v>1798</v>
      </c>
      <c r="H1133" t="s">
        <v>1558</v>
      </c>
      <c r="I1133" t="s">
        <v>682</v>
      </c>
      <c r="J1133" t="s">
        <v>484</v>
      </c>
      <c r="K1133" t="s">
        <v>29</v>
      </c>
      <c r="L1133" t="s">
        <v>30</v>
      </c>
      <c r="M1133">
        <v>135</v>
      </c>
      <c r="N1133" t="s">
        <v>32</v>
      </c>
      <c r="O1133" t="s">
        <v>32</v>
      </c>
      <c r="Q1133" t="s">
        <v>32</v>
      </c>
      <c r="S1133" t="s">
        <v>32</v>
      </c>
      <c r="U1133" t="s">
        <v>32</v>
      </c>
      <c r="V1133" t="s">
        <v>32</v>
      </c>
      <c r="W1133" t="s">
        <v>32</v>
      </c>
      <c r="X1133" t="s">
        <v>32</v>
      </c>
      <c r="Y1133" t="s">
        <v>88</v>
      </c>
      <c r="Z1133">
        <v>46054</v>
      </c>
      <c r="AA1133" t="s">
        <v>88</v>
      </c>
      <c r="AB1133" t="s">
        <v>32</v>
      </c>
      <c r="AE1133" t="s">
        <v>32</v>
      </c>
      <c r="AH1133" t="s">
        <v>32</v>
      </c>
      <c r="AK1133" t="s">
        <v>32</v>
      </c>
      <c r="AN1133" t="s">
        <v>32</v>
      </c>
      <c r="AO1133" t="s">
        <v>32</v>
      </c>
      <c r="AR1133">
        <v>0</v>
      </c>
      <c r="AU1133" t="s">
        <v>32</v>
      </c>
      <c r="AV1133">
        <v>5408090</v>
      </c>
      <c r="AW1133" t="s">
        <v>32</v>
      </c>
      <c r="AX1133" t="s">
        <v>32</v>
      </c>
      <c r="AY1133" t="s">
        <v>356</v>
      </c>
      <c r="AZ1133">
        <v>23</v>
      </c>
      <c r="BA1133">
        <v>4146203</v>
      </c>
      <c r="BB1133">
        <v>0.15999999642372131</v>
      </c>
      <c r="BC1133">
        <v>663400</v>
      </c>
      <c r="BD1133" t="s">
        <v>31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663400</v>
      </c>
      <c r="BK1133" t="s">
        <v>25</v>
      </c>
      <c r="BL1133" t="s">
        <v>1010</v>
      </c>
      <c r="BM1133">
        <v>23</v>
      </c>
      <c r="BN1133">
        <v>4146203</v>
      </c>
      <c r="BO1133">
        <v>3.9999999105930328E-2</v>
      </c>
      <c r="BP1133">
        <v>165900</v>
      </c>
      <c r="BQ1133">
        <v>0</v>
      </c>
      <c r="BS1133">
        <v>0</v>
      </c>
      <c r="BU1133">
        <v>0</v>
      </c>
      <c r="BV1133" t="s">
        <v>25</v>
      </c>
      <c r="BW1133" t="s">
        <v>189</v>
      </c>
      <c r="BX1133">
        <v>23</v>
      </c>
      <c r="BY1133">
        <v>4146203</v>
      </c>
      <c r="BZ1133">
        <v>6.9600000977516174E-2</v>
      </c>
      <c r="CA1133" t="s">
        <v>1439</v>
      </c>
      <c r="CB1133" t="s">
        <v>312</v>
      </c>
      <c r="CC1133" t="s">
        <v>1440</v>
      </c>
      <c r="CD1133">
        <v>288600</v>
      </c>
      <c r="CE1133">
        <v>23</v>
      </c>
      <c r="CF1133" t="s">
        <v>466</v>
      </c>
      <c r="CG1133">
        <v>4146203</v>
      </c>
      <c r="CH1133">
        <v>3.9999999105930328E-2</v>
      </c>
      <c r="CI1133">
        <v>165900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 t="s">
        <v>88</v>
      </c>
      <c r="CT1133" t="s">
        <v>142</v>
      </c>
      <c r="CU1133" t="s">
        <v>1442</v>
      </c>
    </row>
    <row r="1134" spans="1:99">
      <c r="A1134" t="s">
        <v>3047</v>
      </c>
      <c r="B1134" t="s">
        <v>34</v>
      </c>
      <c r="C1134" t="s">
        <v>2749</v>
      </c>
      <c r="D1134" t="s">
        <v>2750</v>
      </c>
      <c r="E1134" t="s">
        <v>1823</v>
      </c>
      <c r="F1134" t="s">
        <v>2751</v>
      </c>
      <c r="G1134" t="s">
        <v>1503</v>
      </c>
      <c r="H1134" t="s">
        <v>1543</v>
      </c>
      <c r="I1134" t="s">
        <v>682</v>
      </c>
      <c r="J1134" t="s">
        <v>484</v>
      </c>
      <c r="K1134" t="s">
        <v>29</v>
      </c>
      <c r="L1134" t="s">
        <v>30</v>
      </c>
      <c r="M1134">
        <v>123</v>
      </c>
      <c r="N1134" t="s">
        <v>32</v>
      </c>
      <c r="O1134" t="s">
        <v>32</v>
      </c>
      <c r="Q1134" t="s">
        <v>32</v>
      </c>
      <c r="S1134" t="s">
        <v>40</v>
      </c>
      <c r="T1134">
        <v>46067</v>
      </c>
      <c r="U1134" t="s">
        <v>32</v>
      </c>
      <c r="V1134" t="s">
        <v>32</v>
      </c>
      <c r="W1134" t="s">
        <v>32</v>
      </c>
      <c r="X1134" t="s">
        <v>32</v>
      </c>
      <c r="Y1134" t="s">
        <v>32</v>
      </c>
      <c r="AA1134" t="s">
        <v>88</v>
      </c>
      <c r="AB1134" t="s">
        <v>32</v>
      </c>
      <c r="AE1134" t="s">
        <v>32</v>
      </c>
      <c r="AH1134" t="s">
        <v>32</v>
      </c>
      <c r="AK1134" t="s">
        <v>32</v>
      </c>
      <c r="AN1134" t="s">
        <v>32</v>
      </c>
      <c r="AO1134" t="s">
        <v>32</v>
      </c>
      <c r="AR1134">
        <v>0</v>
      </c>
      <c r="AU1134" t="s">
        <v>32</v>
      </c>
      <c r="AV1134">
        <v>2056650</v>
      </c>
      <c r="AW1134" t="s">
        <v>32</v>
      </c>
      <c r="AX1134" t="s">
        <v>32</v>
      </c>
      <c r="AY1134" t="s">
        <v>317</v>
      </c>
      <c r="AZ1134">
        <v>14</v>
      </c>
      <c r="BA1134">
        <v>2265192</v>
      </c>
      <c r="BB1134">
        <v>0.15999999642372131</v>
      </c>
      <c r="BC1134">
        <v>362500</v>
      </c>
      <c r="BD1134" t="s">
        <v>31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362500</v>
      </c>
      <c r="BK1134" t="s">
        <v>25</v>
      </c>
      <c r="BL1134" t="s">
        <v>885</v>
      </c>
      <c r="BM1134">
        <v>14</v>
      </c>
      <c r="BN1134">
        <v>2265192</v>
      </c>
      <c r="BO1134">
        <v>3.9999999105930328E-2</v>
      </c>
      <c r="BP1134">
        <v>90700</v>
      </c>
      <c r="BQ1134">
        <v>0</v>
      </c>
      <c r="BS1134">
        <v>0</v>
      </c>
      <c r="BU1134">
        <v>0</v>
      </c>
      <c r="BV1134" t="s">
        <v>25</v>
      </c>
      <c r="BW1134" t="s">
        <v>189</v>
      </c>
      <c r="BX1134">
        <v>14</v>
      </c>
      <c r="BY1134">
        <v>2265192</v>
      </c>
      <c r="BZ1134">
        <v>6.9600000977516174E-2</v>
      </c>
      <c r="CA1134" t="s">
        <v>1439</v>
      </c>
      <c r="CB1134" t="s">
        <v>312</v>
      </c>
      <c r="CC1134" t="s">
        <v>1440</v>
      </c>
      <c r="CD1134">
        <v>157700</v>
      </c>
      <c r="CE1134">
        <v>14</v>
      </c>
      <c r="CF1134" t="s">
        <v>466</v>
      </c>
      <c r="CG1134">
        <v>3033977</v>
      </c>
      <c r="CH1134">
        <v>3.9999999105930328E-2</v>
      </c>
      <c r="CI1134">
        <v>121400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 t="s">
        <v>88</v>
      </c>
      <c r="CT1134" t="s">
        <v>142</v>
      </c>
      <c r="CU1134" t="s">
        <v>1442</v>
      </c>
    </row>
    <row r="1135" spans="1:99">
      <c r="A1135" t="s">
        <v>3047</v>
      </c>
      <c r="B1135" t="s">
        <v>34</v>
      </c>
      <c r="C1135" t="s">
        <v>2752</v>
      </c>
      <c r="D1135" t="s">
        <v>2753</v>
      </c>
      <c r="E1135" t="s">
        <v>2754</v>
      </c>
      <c r="F1135" t="s">
        <v>1555</v>
      </c>
      <c r="G1135" t="s">
        <v>1537</v>
      </c>
      <c r="H1135" t="s">
        <v>1498</v>
      </c>
      <c r="I1135" t="s">
        <v>240</v>
      </c>
      <c r="J1135" t="s">
        <v>46</v>
      </c>
      <c r="K1135" t="s">
        <v>29</v>
      </c>
      <c r="L1135" t="s">
        <v>30</v>
      </c>
      <c r="M1135">
        <v>0</v>
      </c>
      <c r="N1135" t="s">
        <v>32</v>
      </c>
      <c r="O1135" t="s">
        <v>32</v>
      </c>
      <c r="Q1135" t="s">
        <v>32</v>
      </c>
      <c r="S1135" t="s">
        <v>32</v>
      </c>
      <c r="U1135" t="s">
        <v>32</v>
      </c>
      <c r="V1135" t="s">
        <v>32</v>
      </c>
      <c r="W1135" t="s">
        <v>32</v>
      </c>
      <c r="X1135" t="s">
        <v>32</v>
      </c>
      <c r="Y1135" t="s">
        <v>32</v>
      </c>
      <c r="AA1135" t="s">
        <v>32</v>
      </c>
      <c r="AB1135" t="s">
        <v>32</v>
      </c>
      <c r="AE1135" t="s">
        <v>32</v>
      </c>
      <c r="AH1135" t="s">
        <v>32</v>
      </c>
      <c r="AK1135" t="s">
        <v>128</v>
      </c>
      <c r="AL1135">
        <v>46069</v>
      </c>
      <c r="AM1135">
        <v>46075</v>
      </c>
      <c r="AN1135" t="s">
        <v>32</v>
      </c>
      <c r="AO1135" t="s">
        <v>32</v>
      </c>
      <c r="AR1135">
        <v>0</v>
      </c>
      <c r="AU1135" t="s">
        <v>32</v>
      </c>
      <c r="AV1135">
        <v>9203890</v>
      </c>
      <c r="AW1135" t="s">
        <v>32</v>
      </c>
      <c r="AX1135" t="s">
        <v>32</v>
      </c>
      <c r="AY1135" t="s">
        <v>356</v>
      </c>
      <c r="AZ1135">
        <v>7</v>
      </c>
      <c r="BA1135">
        <v>2147575</v>
      </c>
      <c r="BB1135">
        <v>0.15999999642372131</v>
      </c>
      <c r="BC1135">
        <v>343700</v>
      </c>
      <c r="BD1135" t="s">
        <v>31</v>
      </c>
      <c r="BE1135">
        <v>0</v>
      </c>
      <c r="BF1135">
        <v>0</v>
      </c>
      <c r="BG1135">
        <v>10800</v>
      </c>
      <c r="BH1135">
        <v>10800</v>
      </c>
      <c r="BI1135">
        <v>0</v>
      </c>
      <c r="BJ1135">
        <v>365300</v>
      </c>
      <c r="BK1135" t="s">
        <v>25</v>
      </c>
      <c r="BL1135" t="s">
        <v>1071</v>
      </c>
      <c r="BM1135">
        <v>7</v>
      </c>
      <c r="BN1135">
        <v>2147575</v>
      </c>
      <c r="BO1135">
        <v>3.9999999105930328E-2</v>
      </c>
      <c r="BP1135">
        <v>86000</v>
      </c>
      <c r="BQ1135">
        <v>0</v>
      </c>
      <c r="BS1135">
        <v>0</v>
      </c>
      <c r="BU1135">
        <v>0</v>
      </c>
      <c r="BV1135" t="s">
        <v>25</v>
      </c>
      <c r="BW1135" t="s">
        <v>189</v>
      </c>
      <c r="BX1135">
        <v>7</v>
      </c>
      <c r="BY1135">
        <v>2147575</v>
      </c>
      <c r="BZ1135">
        <v>0</v>
      </c>
      <c r="CA1135" t="s">
        <v>1439</v>
      </c>
      <c r="CB1135" t="s">
        <v>227</v>
      </c>
      <c r="CC1135" t="s">
        <v>1440</v>
      </c>
      <c r="CD1135">
        <v>0</v>
      </c>
      <c r="CE1135">
        <v>7</v>
      </c>
      <c r="CF1135" t="s">
        <v>635</v>
      </c>
      <c r="CG1135">
        <v>2147575</v>
      </c>
      <c r="CH1135">
        <v>3.9999999105930328E-2</v>
      </c>
      <c r="CI1135">
        <v>86000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 t="s">
        <v>88</v>
      </c>
      <c r="CT1135" t="s">
        <v>142</v>
      </c>
      <c r="CU1135" t="s">
        <v>1442</v>
      </c>
    </row>
    <row r="1136" spans="1:99">
      <c r="A1136" t="s">
        <v>3047</v>
      </c>
      <c r="B1136" t="s">
        <v>34</v>
      </c>
      <c r="C1136" t="s">
        <v>2752</v>
      </c>
      <c r="D1136" t="s">
        <v>2753</v>
      </c>
      <c r="E1136" t="s">
        <v>2754</v>
      </c>
      <c r="F1136" t="s">
        <v>1555</v>
      </c>
      <c r="G1136" t="s">
        <v>1537</v>
      </c>
      <c r="H1136" t="s">
        <v>1498</v>
      </c>
      <c r="I1136" t="s">
        <v>240</v>
      </c>
      <c r="J1136" t="s">
        <v>46</v>
      </c>
      <c r="K1136" t="s">
        <v>29</v>
      </c>
      <c r="L1136" t="s">
        <v>30</v>
      </c>
      <c r="M1136">
        <v>135</v>
      </c>
      <c r="N1136" t="s">
        <v>32</v>
      </c>
      <c r="O1136" t="s">
        <v>32</v>
      </c>
      <c r="Q1136" t="s">
        <v>32</v>
      </c>
      <c r="S1136" t="s">
        <v>32</v>
      </c>
      <c r="U1136" t="s">
        <v>32</v>
      </c>
      <c r="V1136" t="s">
        <v>32</v>
      </c>
      <c r="W1136" t="s">
        <v>32</v>
      </c>
      <c r="X1136" t="s">
        <v>32</v>
      </c>
      <c r="Y1136" t="s">
        <v>88</v>
      </c>
      <c r="Z1136">
        <v>46054</v>
      </c>
      <c r="AA1136" t="s">
        <v>88</v>
      </c>
      <c r="AB1136" t="s">
        <v>32</v>
      </c>
      <c r="AE1136" t="s">
        <v>32</v>
      </c>
      <c r="AH1136" t="s">
        <v>32</v>
      </c>
      <c r="AK1136" t="s">
        <v>32</v>
      </c>
      <c r="AN1136" t="s">
        <v>32</v>
      </c>
      <c r="AO1136" t="s">
        <v>32</v>
      </c>
      <c r="AR1136">
        <v>0</v>
      </c>
      <c r="AU1136" t="s">
        <v>32</v>
      </c>
      <c r="AV1136">
        <v>9203890</v>
      </c>
      <c r="AW1136" t="s">
        <v>32</v>
      </c>
      <c r="AX1136" t="s">
        <v>32</v>
      </c>
      <c r="AY1136" t="s">
        <v>356</v>
      </c>
      <c r="AZ1136">
        <v>23</v>
      </c>
      <c r="BA1136">
        <v>7056316</v>
      </c>
      <c r="BB1136">
        <v>0.15999999642372131</v>
      </c>
      <c r="BC1136">
        <v>1129100</v>
      </c>
      <c r="BD1136" t="s">
        <v>31</v>
      </c>
      <c r="BE1136">
        <v>0</v>
      </c>
      <c r="BF1136">
        <v>0</v>
      </c>
      <c r="BG1136">
        <v>35300</v>
      </c>
      <c r="BH1136">
        <v>35300</v>
      </c>
      <c r="BI1136">
        <v>0</v>
      </c>
      <c r="BJ1136">
        <v>1199700</v>
      </c>
      <c r="BK1136" t="s">
        <v>25</v>
      </c>
      <c r="BL1136" t="s">
        <v>1071</v>
      </c>
      <c r="BM1136">
        <v>23</v>
      </c>
      <c r="BN1136">
        <v>7056316</v>
      </c>
      <c r="BO1136">
        <v>3.9999999105930328E-2</v>
      </c>
      <c r="BP1136">
        <v>282300</v>
      </c>
      <c r="BQ1136">
        <v>0</v>
      </c>
      <c r="BS1136">
        <v>0</v>
      </c>
      <c r="BU1136">
        <v>0</v>
      </c>
      <c r="BV1136" t="s">
        <v>25</v>
      </c>
      <c r="BW1136" t="s">
        <v>189</v>
      </c>
      <c r="BX1136">
        <v>23</v>
      </c>
      <c r="BY1136">
        <v>7056316</v>
      </c>
      <c r="BZ1136">
        <v>6.9600000977516174E-2</v>
      </c>
      <c r="CA1136" t="s">
        <v>1439</v>
      </c>
      <c r="CB1136" t="s">
        <v>227</v>
      </c>
      <c r="CC1136" t="s">
        <v>1440</v>
      </c>
      <c r="CD1136">
        <v>491200</v>
      </c>
      <c r="CE1136">
        <v>23</v>
      </c>
      <c r="CF1136" t="s">
        <v>635</v>
      </c>
      <c r="CG1136">
        <v>7056316</v>
      </c>
      <c r="CH1136">
        <v>3.9999999105930328E-2</v>
      </c>
      <c r="CI1136">
        <v>282300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 t="s">
        <v>88</v>
      </c>
      <c r="CT1136" t="s">
        <v>142</v>
      </c>
      <c r="CU1136" t="s">
        <v>1442</v>
      </c>
    </row>
    <row r="1137" spans="1:99">
      <c r="A1137" t="s">
        <v>3047</v>
      </c>
      <c r="B1137" t="s">
        <v>34</v>
      </c>
      <c r="C1137" t="s">
        <v>2755</v>
      </c>
      <c r="D1137" t="s">
        <v>2756</v>
      </c>
      <c r="E1137" t="s">
        <v>2757</v>
      </c>
      <c r="F1137" t="s">
        <v>2142</v>
      </c>
      <c r="G1137" t="s">
        <v>2758</v>
      </c>
      <c r="H1137" t="s">
        <v>2759</v>
      </c>
      <c r="I1137" t="s">
        <v>682</v>
      </c>
      <c r="J1137" t="s">
        <v>484</v>
      </c>
      <c r="K1137" t="s">
        <v>29</v>
      </c>
      <c r="L1137" t="s">
        <v>30</v>
      </c>
      <c r="M1137">
        <v>257</v>
      </c>
      <c r="N1137" t="s">
        <v>32</v>
      </c>
      <c r="O1137" t="s">
        <v>32</v>
      </c>
      <c r="Q1137" t="s">
        <v>32</v>
      </c>
      <c r="S1137" t="s">
        <v>32</v>
      </c>
      <c r="U1137" t="s">
        <v>32</v>
      </c>
      <c r="V1137" t="s">
        <v>32</v>
      </c>
      <c r="W1137" t="s">
        <v>32</v>
      </c>
      <c r="X1137" t="s">
        <v>32</v>
      </c>
      <c r="Y1137" t="s">
        <v>32</v>
      </c>
      <c r="AA1137" t="s">
        <v>88</v>
      </c>
      <c r="AB1137" t="s">
        <v>32</v>
      </c>
      <c r="AE1137" t="s">
        <v>32</v>
      </c>
      <c r="AH1137" t="s">
        <v>32</v>
      </c>
      <c r="AK1137" t="s">
        <v>32</v>
      </c>
      <c r="AN1137" t="s">
        <v>32</v>
      </c>
      <c r="AO1137" t="s">
        <v>32</v>
      </c>
      <c r="AR1137">
        <v>0</v>
      </c>
      <c r="AU1137" t="s">
        <v>32</v>
      </c>
      <c r="AV1137">
        <v>1750905</v>
      </c>
      <c r="AW1137" t="s">
        <v>32</v>
      </c>
      <c r="AX1137" t="s">
        <v>32</v>
      </c>
      <c r="AY1137" t="s">
        <v>317</v>
      </c>
      <c r="AZ1137">
        <v>30</v>
      </c>
      <c r="BA1137">
        <v>2545380</v>
      </c>
      <c r="BB1137">
        <v>0.15999999642372131</v>
      </c>
      <c r="BC1137">
        <v>407300</v>
      </c>
      <c r="BD1137" t="s">
        <v>31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407300</v>
      </c>
      <c r="BK1137" t="s">
        <v>25</v>
      </c>
      <c r="BL1137" t="s">
        <v>1010</v>
      </c>
      <c r="BM1137">
        <v>30</v>
      </c>
      <c r="BN1137">
        <v>2545380</v>
      </c>
      <c r="BO1137">
        <v>3.9999999105930328E-2</v>
      </c>
      <c r="BP1137">
        <v>101900</v>
      </c>
      <c r="BQ1137">
        <v>0</v>
      </c>
      <c r="BS1137">
        <v>0</v>
      </c>
      <c r="BU1137">
        <v>0</v>
      </c>
      <c r="BV1137" t="s">
        <v>25</v>
      </c>
      <c r="BW1137" t="s">
        <v>189</v>
      </c>
      <c r="BX1137">
        <v>30</v>
      </c>
      <c r="BY1137">
        <v>2545380</v>
      </c>
      <c r="BZ1137">
        <v>6.9600000977516174E-2</v>
      </c>
      <c r="CA1137" t="s">
        <v>1439</v>
      </c>
      <c r="CB1137" t="s">
        <v>312</v>
      </c>
      <c r="CC1137" t="s">
        <v>1440</v>
      </c>
      <c r="CD1137">
        <v>177200</v>
      </c>
      <c r="CE1137">
        <v>30</v>
      </c>
      <c r="CF1137" t="s">
        <v>466</v>
      </c>
      <c r="CG1137">
        <v>2545380</v>
      </c>
      <c r="CH1137">
        <v>3.9999999105930328E-2</v>
      </c>
      <c r="CI1137">
        <v>101900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 t="s">
        <v>88</v>
      </c>
      <c r="CT1137" t="s">
        <v>142</v>
      </c>
      <c r="CU1137" t="s">
        <v>1442</v>
      </c>
    </row>
    <row r="1138" spans="1:99">
      <c r="A1138" t="s">
        <v>3047</v>
      </c>
      <c r="B1138" t="s">
        <v>34</v>
      </c>
      <c r="C1138" t="s">
        <v>2760</v>
      </c>
      <c r="D1138" t="s">
        <v>2761</v>
      </c>
      <c r="E1138" t="s">
        <v>1555</v>
      </c>
      <c r="F1138" t="s">
        <v>1483</v>
      </c>
      <c r="G1138" t="s">
        <v>2410</v>
      </c>
      <c r="H1138" t="s">
        <v>2762</v>
      </c>
      <c r="I1138" t="s">
        <v>682</v>
      </c>
      <c r="J1138" t="s">
        <v>484</v>
      </c>
      <c r="K1138" t="s">
        <v>29</v>
      </c>
      <c r="L1138" t="s">
        <v>30</v>
      </c>
      <c r="M1138">
        <v>0</v>
      </c>
      <c r="N1138" t="s">
        <v>32</v>
      </c>
      <c r="O1138" t="s">
        <v>32</v>
      </c>
      <c r="Q1138" t="s">
        <v>32</v>
      </c>
      <c r="S1138" t="s">
        <v>32</v>
      </c>
      <c r="U1138" t="s">
        <v>32</v>
      </c>
      <c r="V1138" t="s">
        <v>32</v>
      </c>
      <c r="W1138" t="s">
        <v>32</v>
      </c>
      <c r="X1138" t="s">
        <v>32</v>
      </c>
      <c r="Y1138" t="s">
        <v>32</v>
      </c>
      <c r="AA1138" t="s">
        <v>32</v>
      </c>
      <c r="AB1138" t="s">
        <v>37</v>
      </c>
      <c r="AC1138">
        <v>46054</v>
      </c>
      <c r="AD1138">
        <v>46054</v>
      </c>
      <c r="AE1138" t="s">
        <v>32</v>
      </c>
      <c r="AH1138" t="s">
        <v>32</v>
      </c>
      <c r="AK1138" t="s">
        <v>32</v>
      </c>
      <c r="AN1138" t="s">
        <v>32</v>
      </c>
      <c r="AO1138" t="s">
        <v>32</v>
      </c>
      <c r="AR1138">
        <v>0</v>
      </c>
      <c r="AU1138" t="s">
        <v>32</v>
      </c>
      <c r="AV1138">
        <v>2056650</v>
      </c>
      <c r="AW1138" t="s">
        <v>32</v>
      </c>
      <c r="AX1138" t="s">
        <v>32</v>
      </c>
      <c r="AY1138" t="s">
        <v>317</v>
      </c>
      <c r="AZ1138">
        <v>1</v>
      </c>
      <c r="BA1138">
        <v>68555</v>
      </c>
      <c r="BB1138">
        <v>0.15999999642372131</v>
      </c>
      <c r="BC1138">
        <v>11000</v>
      </c>
      <c r="BD1138" t="s">
        <v>31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11000</v>
      </c>
      <c r="BK1138" t="s">
        <v>25</v>
      </c>
      <c r="BL1138" t="s">
        <v>1491</v>
      </c>
      <c r="BM1138">
        <v>1</v>
      </c>
      <c r="BN1138">
        <v>68555</v>
      </c>
      <c r="BO1138">
        <v>0</v>
      </c>
      <c r="BP1138">
        <v>0</v>
      </c>
      <c r="BQ1138">
        <v>0</v>
      </c>
      <c r="BS1138">
        <v>0</v>
      </c>
      <c r="BU1138">
        <v>0</v>
      </c>
      <c r="BV1138" t="s">
        <v>25</v>
      </c>
      <c r="BW1138" t="s">
        <v>189</v>
      </c>
      <c r="BX1138">
        <v>1</v>
      </c>
      <c r="BY1138">
        <v>68555</v>
      </c>
      <c r="BZ1138">
        <v>0</v>
      </c>
      <c r="CA1138" t="s">
        <v>1439</v>
      </c>
      <c r="CB1138" t="s">
        <v>312</v>
      </c>
      <c r="CC1138" t="s">
        <v>1440</v>
      </c>
      <c r="CD1138">
        <v>0</v>
      </c>
      <c r="CE1138">
        <v>1</v>
      </c>
      <c r="CF1138" t="s">
        <v>466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 t="s">
        <v>88</v>
      </c>
      <c r="CT1138" t="s">
        <v>142</v>
      </c>
      <c r="CU1138" t="s">
        <v>1442</v>
      </c>
    </row>
    <row r="1139" spans="1:99">
      <c r="A1139" t="s">
        <v>3047</v>
      </c>
      <c r="B1139" t="s">
        <v>34</v>
      </c>
      <c r="C1139" t="s">
        <v>2760</v>
      </c>
      <c r="D1139" t="s">
        <v>2761</v>
      </c>
      <c r="E1139" t="s">
        <v>1555</v>
      </c>
      <c r="F1139" t="s">
        <v>1483</v>
      </c>
      <c r="G1139" t="s">
        <v>2410</v>
      </c>
      <c r="H1139" t="s">
        <v>2762</v>
      </c>
      <c r="I1139" t="s">
        <v>682</v>
      </c>
      <c r="J1139" t="s">
        <v>484</v>
      </c>
      <c r="K1139" t="s">
        <v>29</v>
      </c>
      <c r="L1139" t="s">
        <v>30</v>
      </c>
      <c r="M1139">
        <v>205</v>
      </c>
      <c r="N1139" t="s">
        <v>32</v>
      </c>
      <c r="O1139" t="s">
        <v>32</v>
      </c>
      <c r="Q1139" t="s">
        <v>32</v>
      </c>
      <c r="S1139" t="s">
        <v>32</v>
      </c>
      <c r="U1139" t="s">
        <v>32</v>
      </c>
      <c r="V1139" t="s">
        <v>32</v>
      </c>
      <c r="W1139" t="s">
        <v>32</v>
      </c>
      <c r="X1139" t="s">
        <v>32</v>
      </c>
      <c r="Y1139" t="s">
        <v>32</v>
      </c>
      <c r="AA1139" t="s">
        <v>88</v>
      </c>
      <c r="AB1139" t="s">
        <v>32</v>
      </c>
      <c r="AE1139" t="s">
        <v>32</v>
      </c>
      <c r="AH1139" t="s">
        <v>32</v>
      </c>
      <c r="AK1139" t="s">
        <v>32</v>
      </c>
      <c r="AN1139" t="s">
        <v>32</v>
      </c>
      <c r="AO1139" t="s">
        <v>32</v>
      </c>
      <c r="AR1139">
        <v>0</v>
      </c>
      <c r="AU1139" t="s">
        <v>32</v>
      </c>
      <c r="AV1139">
        <v>2056650</v>
      </c>
      <c r="AW1139" t="s">
        <v>32</v>
      </c>
      <c r="AX1139" t="s">
        <v>32</v>
      </c>
      <c r="AY1139" t="s">
        <v>317</v>
      </c>
      <c r="AZ1139">
        <v>29</v>
      </c>
      <c r="BA1139">
        <v>2434575</v>
      </c>
      <c r="BB1139">
        <v>0.15999999642372131</v>
      </c>
      <c r="BC1139">
        <v>389600</v>
      </c>
      <c r="BD1139" t="s">
        <v>31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389600</v>
      </c>
      <c r="BK1139" t="s">
        <v>25</v>
      </c>
      <c r="BL1139" t="s">
        <v>1491</v>
      </c>
      <c r="BM1139">
        <v>29</v>
      </c>
      <c r="BN1139">
        <v>2434575</v>
      </c>
      <c r="BO1139">
        <v>3.9999999105930328E-2</v>
      </c>
      <c r="BP1139">
        <v>97400</v>
      </c>
      <c r="BQ1139">
        <v>0</v>
      </c>
      <c r="BS1139">
        <v>0</v>
      </c>
      <c r="BU1139">
        <v>0</v>
      </c>
      <c r="BV1139" t="s">
        <v>25</v>
      </c>
      <c r="BW1139" t="s">
        <v>189</v>
      </c>
      <c r="BX1139">
        <v>29</v>
      </c>
      <c r="BY1139">
        <v>2434575</v>
      </c>
      <c r="BZ1139">
        <v>6.9600000977516174E-2</v>
      </c>
      <c r="CA1139" t="s">
        <v>1439</v>
      </c>
      <c r="CB1139" t="s">
        <v>312</v>
      </c>
      <c r="CC1139" t="s">
        <v>1440</v>
      </c>
      <c r="CD1139">
        <v>169500</v>
      </c>
      <c r="CE1139">
        <v>29</v>
      </c>
      <c r="CF1139" t="s">
        <v>466</v>
      </c>
      <c r="CG1139">
        <v>2304913</v>
      </c>
      <c r="CH1139">
        <v>3.9999999105930328E-2</v>
      </c>
      <c r="CI1139">
        <v>92200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 t="s">
        <v>88</v>
      </c>
      <c r="CT1139" t="s">
        <v>142</v>
      </c>
      <c r="CU1139" t="s">
        <v>1442</v>
      </c>
    </row>
    <row r="1140" spans="1:99">
      <c r="A1140" t="s">
        <v>3047</v>
      </c>
      <c r="B1140" t="s">
        <v>34</v>
      </c>
      <c r="C1140" t="s">
        <v>2763</v>
      </c>
      <c r="D1140" t="s">
        <v>2764</v>
      </c>
      <c r="E1140" t="s">
        <v>2765</v>
      </c>
      <c r="F1140" t="s">
        <v>2310</v>
      </c>
      <c r="G1140" t="s">
        <v>1543</v>
      </c>
      <c r="H1140" t="s">
        <v>1489</v>
      </c>
      <c r="I1140" t="s">
        <v>682</v>
      </c>
      <c r="J1140" t="s">
        <v>484</v>
      </c>
      <c r="K1140" t="s">
        <v>29</v>
      </c>
      <c r="L1140" t="s">
        <v>30</v>
      </c>
      <c r="M1140">
        <v>199</v>
      </c>
      <c r="N1140" t="s">
        <v>32</v>
      </c>
      <c r="O1140" t="s">
        <v>32</v>
      </c>
      <c r="Q1140" t="s">
        <v>32</v>
      </c>
      <c r="S1140" t="s">
        <v>32</v>
      </c>
      <c r="U1140" t="s">
        <v>32</v>
      </c>
      <c r="V1140" t="s">
        <v>32</v>
      </c>
      <c r="W1140" t="s">
        <v>32</v>
      </c>
      <c r="X1140" t="s">
        <v>32</v>
      </c>
      <c r="Y1140" t="s">
        <v>32</v>
      </c>
      <c r="AA1140" t="s">
        <v>88</v>
      </c>
      <c r="AB1140" t="s">
        <v>32</v>
      </c>
      <c r="AE1140" t="s">
        <v>32</v>
      </c>
      <c r="AH1140" t="s">
        <v>32</v>
      </c>
      <c r="AK1140" t="s">
        <v>32</v>
      </c>
      <c r="AN1140" t="s">
        <v>32</v>
      </c>
      <c r="AO1140" t="s">
        <v>32</v>
      </c>
      <c r="AR1140">
        <v>0</v>
      </c>
      <c r="AU1140" t="s">
        <v>32</v>
      </c>
      <c r="AV1140">
        <v>2223339</v>
      </c>
      <c r="AW1140" t="s">
        <v>32</v>
      </c>
      <c r="AX1140" t="s">
        <v>32</v>
      </c>
      <c r="AY1140" t="s">
        <v>137</v>
      </c>
      <c r="AZ1140">
        <v>30</v>
      </c>
      <c r="BA1140">
        <v>2702349</v>
      </c>
      <c r="BB1140">
        <v>0.15999999642372131</v>
      </c>
      <c r="BC1140">
        <v>432400</v>
      </c>
      <c r="BD1140" t="s">
        <v>31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432400</v>
      </c>
      <c r="BK1140" t="s">
        <v>25</v>
      </c>
      <c r="BL1140" t="s">
        <v>1064</v>
      </c>
      <c r="BM1140">
        <v>30</v>
      </c>
      <c r="BN1140">
        <v>2702349</v>
      </c>
      <c r="BO1140">
        <v>3.9999999105930328E-2</v>
      </c>
      <c r="BP1140">
        <v>108100</v>
      </c>
      <c r="BQ1140">
        <v>0</v>
      </c>
      <c r="BS1140">
        <v>0</v>
      </c>
      <c r="BU1140">
        <v>0</v>
      </c>
      <c r="BV1140" t="s">
        <v>25</v>
      </c>
      <c r="BW1140" t="s">
        <v>189</v>
      </c>
      <c r="BX1140">
        <v>30</v>
      </c>
      <c r="BY1140">
        <v>2702349</v>
      </c>
      <c r="BZ1140">
        <v>6.9600000977516174E-2</v>
      </c>
      <c r="CA1140" t="s">
        <v>1439</v>
      </c>
      <c r="CB1140" t="s">
        <v>312</v>
      </c>
      <c r="CC1140" t="s">
        <v>1440</v>
      </c>
      <c r="CD1140">
        <v>188100</v>
      </c>
      <c r="CE1140">
        <v>30</v>
      </c>
      <c r="CF1140" t="s">
        <v>466</v>
      </c>
      <c r="CG1140">
        <v>2552294</v>
      </c>
      <c r="CH1140">
        <v>3.9999999105930328E-2</v>
      </c>
      <c r="CI1140">
        <v>102100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 t="s">
        <v>88</v>
      </c>
      <c r="CT1140" t="s">
        <v>142</v>
      </c>
      <c r="CU1140" t="s">
        <v>1442</v>
      </c>
    </row>
    <row r="1141" spans="1:99">
      <c r="A1141" t="s">
        <v>3047</v>
      </c>
      <c r="B1141" t="s">
        <v>34</v>
      </c>
      <c r="C1141" t="s">
        <v>2766</v>
      </c>
      <c r="D1141" t="s">
        <v>2767</v>
      </c>
      <c r="E1141" t="s">
        <v>1555</v>
      </c>
      <c r="F1141" t="s">
        <v>1483</v>
      </c>
      <c r="G1141" t="s">
        <v>2768</v>
      </c>
      <c r="H1141" t="s">
        <v>1468</v>
      </c>
      <c r="I1141" t="s">
        <v>203</v>
      </c>
      <c r="J1141" t="s">
        <v>403</v>
      </c>
      <c r="K1141" t="s">
        <v>29</v>
      </c>
      <c r="L1141" t="s">
        <v>30</v>
      </c>
      <c r="M1141">
        <v>201</v>
      </c>
      <c r="N1141" t="s">
        <v>32</v>
      </c>
      <c r="O1141" t="s">
        <v>32</v>
      </c>
      <c r="Q1141" t="s">
        <v>32</v>
      </c>
      <c r="S1141" t="s">
        <v>32</v>
      </c>
      <c r="U1141" t="s">
        <v>32</v>
      </c>
      <c r="V1141" t="s">
        <v>32</v>
      </c>
      <c r="W1141" t="s">
        <v>32</v>
      </c>
      <c r="X1141" t="s">
        <v>32</v>
      </c>
      <c r="Y1141" t="s">
        <v>32</v>
      </c>
      <c r="AA1141" t="s">
        <v>88</v>
      </c>
      <c r="AB1141" t="s">
        <v>32</v>
      </c>
      <c r="AE1141" t="s">
        <v>32</v>
      </c>
      <c r="AH1141" t="s">
        <v>32</v>
      </c>
      <c r="AK1141" t="s">
        <v>32</v>
      </c>
      <c r="AN1141" t="s">
        <v>32</v>
      </c>
      <c r="AO1141" t="s">
        <v>32</v>
      </c>
      <c r="AR1141">
        <v>0</v>
      </c>
      <c r="AU1141" t="s">
        <v>32</v>
      </c>
      <c r="AV1141">
        <v>3534205</v>
      </c>
      <c r="AW1141" t="s">
        <v>32</v>
      </c>
      <c r="AX1141" t="s">
        <v>32</v>
      </c>
      <c r="AY1141" t="s">
        <v>185</v>
      </c>
      <c r="AZ1141">
        <v>30</v>
      </c>
      <c r="BA1141">
        <v>3955901</v>
      </c>
      <c r="BB1141">
        <v>0.15999999642372131</v>
      </c>
      <c r="BC1141">
        <v>633000</v>
      </c>
      <c r="BD1141" t="s">
        <v>31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633000</v>
      </c>
      <c r="BK1141" t="s">
        <v>25</v>
      </c>
      <c r="BL1141" t="s">
        <v>1491</v>
      </c>
      <c r="BM1141">
        <v>30</v>
      </c>
      <c r="BN1141">
        <v>3955901</v>
      </c>
      <c r="BO1141">
        <v>3.9999999105930328E-2</v>
      </c>
      <c r="BP1141">
        <v>158300</v>
      </c>
      <c r="BQ1141">
        <v>0</v>
      </c>
      <c r="BS1141">
        <v>0</v>
      </c>
      <c r="BU1141">
        <v>0</v>
      </c>
      <c r="BV1141" t="s">
        <v>25</v>
      </c>
      <c r="BW1141" t="s">
        <v>189</v>
      </c>
      <c r="BX1141">
        <v>30</v>
      </c>
      <c r="BY1141">
        <v>3955901</v>
      </c>
      <c r="BZ1141">
        <v>6.9600000977516174E-2</v>
      </c>
      <c r="CA1141" t="s">
        <v>1439</v>
      </c>
      <c r="CB1141" t="s">
        <v>609</v>
      </c>
      <c r="CC1141" t="s">
        <v>1440</v>
      </c>
      <c r="CD1141">
        <v>275400</v>
      </c>
      <c r="CE1141">
        <v>30</v>
      </c>
      <c r="CF1141" t="s">
        <v>1001</v>
      </c>
      <c r="CG1141">
        <v>3955901</v>
      </c>
      <c r="CH1141">
        <v>3.9999999105930328E-2</v>
      </c>
      <c r="CI1141">
        <v>158300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 t="s">
        <v>88</v>
      </c>
      <c r="CT1141" t="s">
        <v>142</v>
      </c>
      <c r="CU1141" t="s">
        <v>1442</v>
      </c>
    </row>
    <row r="1142" spans="1:99">
      <c r="A1142" t="s">
        <v>3047</v>
      </c>
      <c r="B1142" t="s">
        <v>34</v>
      </c>
      <c r="C1142" t="s">
        <v>2769</v>
      </c>
      <c r="D1142" t="s">
        <v>2770</v>
      </c>
      <c r="E1142" t="s">
        <v>510</v>
      </c>
      <c r="F1142" t="s">
        <v>2771</v>
      </c>
      <c r="G1142" t="s">
        <v>1436</v>
      </c>
      <c r="H1142" t="s">
        <v>1498</v>
      </c>
      <c r="I1142" t="s">
        <v>682</v>
      </c>
      <c r="J1142" t="s">
        <v>484</v>
      </c>
      <c r="K1142" t="s">
        <v>29</v>
      </c>
      <c r="L1142" t="s">
        <v>30</v>
      </c>
      <c r="M1142">
        <v>205</v>
      </c>
      <c r="N1142" t="s">
        <v>32</v>
      </c>
      <c r="O1142" t="s">
        <v>32</v>
      </c>
      <c r="Q1142" t="s">
        <v>32</v>
      </c>
      <c r="S1142" t="s">
        <v>32</v>
      </c>
      <c r="U1142" t="s">
        <v>32</v>
      </c>
      <c r="V1142" t="s">
        <v>32</v>
      </c>
      <c r="W1142" t="s">
        <v>32</v>
      </c>
      <c r="X1142" t="s">
        <v>32</v>
      </c>
      <c r="Y1142" t="s">
        <v>32</v>
      </c>
      <c r="AA1142" t="s">
        <v>88</v>
      </c>
      <c r="AB1142" t="s">
        <v>32</v>
      </c>
      <c r="AE1142" t="s">
        <v>32</v>
      </c>
      <c r="AH1142" t="s">
        <v>32</v>
      </c>
      <c r="AK1142" t="s">
        <v>32</v>
      </c>
      <c r="AN1142" t="s">
        <v>32</v>
      </c>
      <c r="AO1142" t="s">
        <v>32</v>
      </c>
      <c r="AR1142">
        <v>0</v>
      </c>
      <c r="AU1142" t="s">
        <v>32</v>
      </c>
      <c r="AV1142">
        <v>2056650</v>
      </c>
      <c r="AW1142" t="s">
        <v>32</v>
      </c>
      <c r="AX1142" t="s">
        <v>32</v>
      </c>
      <c r="AY1142" t="s">
        <v>185</v>
      </c>
      <c r="AZ1142">
        <v>30</v>
      </c>
      <c r="BA1142">
        <v>2544653</v>
      </c>
      <c r="BB1142">
        <v>0.15999999642372131</v>
      </c>
      <c r="BC1142">
        <v>407200</v>
      </c>
      <c r="BD1142" t="s">
        <v>31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407200</v>
      </c>
      <c r="BK1142" t="s">
        <v>25</v>
      </c>
      <c r="BL1142" t="s">
        <v>1010</v>
      </c>
      <c r="BM1142">
        <v>30</v>
      </c>
      <c r="BN1142">
        <v>2544653</v>
      </c>
      <c r="BO1142">
        <v>3.9999999105930328E-2</v>
      </c>
      <c r="BP1142">
        <v>101800</v>
      </c>
      <c r="BQ1142">
        <v>0</v>
      </c>
      <c r="BS1142">
        <v>0</v>
      </c>
      <c r="BU1142">
        <v>0</v>
      </c>
      <c r="BV1142" t="s">
        <v>25</v>
      </c>
      <c r="BW1142" t="s">
        <v>189</v>
      </c>
      <c r="BX1142">
        <v>30</v>
      </c>
      <c r="BY1142">
        <v>2544653</v>
      </c>
      <c r="BZ1142">
        <v>6.9600000977516174E-2</v>
      </c>
      <c r="CA1142" t="s">
        <v>1439</v>
      </c>
      <c r="CB1142" t="s">
        <v>312</v>
      </c>
      <c r="CC1142" t="s">
        <v>1440</v>
      </c>
      <c r="CD1142">
        <v>177200</v>
      </c>
      <c r="CE1142">
        <v>30</v>
      </c>
      <c r="CF1142" t="s">
        <v>466</v>
      </c>
      <c r="CG1142">
        <v>2373468</v>
      </c>
      <c r="CH1142">
        <v>3.9999999105930328E-2</v>
      </c>
      <c r="CI1142">
        <v>95000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 t="s">
        <v>88</v>
      </c>
      <c r="CT1142" t="s">
        <v>142</v>
      </c>
      <c r="CU1142" t="s">
        <v>1442</v>
      </c>
    </row>
    <row r="1143" spans="1:99">
      <c r="A1143" t="s">
        <v>3047</v>
      </c>
      <c r="B1143" t="s">
        <v>34</v>
      </c>
      <c r="C1143" t="s">
        <v>2772</v>
      </c>
      <c r="D1143" t="s">
        <v>2773</v>
      </c>
      <c r="E1143" t="s">
        <v>2011</v>
      </c>
      <c r="F1143" t="s">
        <v>2774</v>
      </c>
      <c r="G1143" t="s">
        <v>1489</v>
      </c>
      <c r="H1143" t="s">
        <v>1781</v>
      </c>
      <c r="I1143" t="s">
        <v>240</v>
      </c>
      <c r="J1143" t="s">
        <v>46</v>
      </c>
      <c r="K1143" t="s">
        <v>29</v>
      </c>
      <c r="L1143" t="s">
        <v>30</v>
      </c>
      <c r="M1143">
        <v>188</v>
      </c>
      <c r="N1143" t="s">
        <v>32</v>
      </c>
      <c r="O1143" t="s">
        <v>32</v>
      </c>
      <c r="Q1143" t="s">
        <v>32</v>
      </c>
      <c r="S1143" t="s">
        <v>32</v>
      </c>
      <c r="U1143" t="s">
        <v>32</v>
      </c>
      <c r="V1143" t="s">
        <v>32</v>
      </c>
      <c r="W1143" t="s">
        <v>32</v>
      </c>
      <c r="X1143" t="s">
        <v>32</v>
      </c>
      <c r="Y1143" t="s">
        <v>88</v>
      </c>
      <c r="Z1143">
        <v>46054</v>
      </c>
      <c r="AA1143" t="s">
        <v>88</v>
      </c>
      <c r="AB1143" t="s">
        <v>32</v>
      </c>
      <c r="AE1143" t="s">
        <v>32</v>
      </c>
      <c r="AH1143" t="s">
        <v>32</v>
      </c>
      <c r="AK1143" t="s">
        <v>32</v>
      </c>
      <c r="AN1143" t="s">
        <v>32</v>
      </c>
      <c r="AO1143" t="s">
        <v>32</v>
      </c>
      <c r="AR1143">
        <v>0</v>
      </c>
      <c r="AU1143" t="s">
        <v>32</v>
      </c>
      <c r="AV1143">
        <v>7262840</v>
      </c>
      <c r="AW1143" t="s">
        <v>32</v>
      </c>
      <c r="AX1143" t="s">
        <v>32</v>
      </c>
      <c r="AY1143" t="s">
        <v>317</v>
      </c>
      <c r="AZ1143">
        <v>30</v>
      </c>
      <c r="BA1143">
        <v>14394928</v>
      </c>
      <c r="BB1143">
        <v>0.15999999642372131</v>
      </c>
      <c r="BC1143">
        <v>2303200</v>
      </c>
      <c r="BD1143" t="s">
        <v>31</v>
      </c>
      <c r="BE1143">
        <v>0</v>
      </c>
      <c r="BF1143">
        <v>0</v>
      </c>
      <c r="BG1143">
        <v>72000</v>
      </c>
      <c r="BH1143">
        <v>72000</v>
      </c>
      <c r="BI1143">
        <v>0</v>
      </c>
      <c r="BJ1143">
        <v>2447200</v>
      </c>
      <c r="BK1143" t="s">
        <v>25</v>
      </c>
      <c r="BL1143" t="s">
        <v>1064</v>
      </c>
      <c r="BM1143">
        <v>30</v>
      </c>
      <c r="BN1143">
        <v>14394928</v>
      </c>
      <c r="BO1143">
        <v>0.125</v>
      </c>
      <c r="BP1143">
        <v>1799400</v>
      </c>
      <c r="BQ1143">
        <v>0</v>
      </c>
      <c r="BS1143">
        <v>0</v>
      </c>
      <c r="BU1143">
        <v>0</v>
      </c>
      <c r="BV1143" t="s">
        <v>25</v>
      </c>
      <c r="BW1143" t="s">
        <v>189</v>
      </c>
      <c r="BX1143">
        <v>30</v>
      </c>
      <c r="BY1143">
        <v>14394928</v>
      </c>
      <c r="BZ1143">
        <v>5.2200001664459705E-3</v>
      </c>
      <c r="CA1143" t="s">
        <v>1592</v>
      </c>
      <c r="CB1143" t="s">
        <v>227</v>
      </c>
      <c r="CC1143" t="s">
        <v>1593</v>
      </c>
      <c r="CD1143">
        <v>75200</v>
      </c>
      <c r="CE1143">
        <v>30</v>
      </c>
      <c r="CF1143" t="s">
        <v>635</v>
      </c>
      <c r="CG1143">
        <v>7262840</v>
      </c>
      <c r="CH1143">
        <v>3.9999999105930328E-2</v>
      </c>
      <c r="CI1143">
        <v>290600</v>
      </c>
      <c r="CJ1143">
        <v>7262840</v>
      </c>
      <c r="CK1143">
        <v>1.9999999552965164E-2</v>
      </c>
      <c r="CL1143">
        <v>145300</v>
      </c>
      <c r="CM1143">
        <v>2.9999999329447746E-2</v>
      </c>
      <c r="CN1143">
        <v>217900</v>
      </c>
      <c r="CO1143">
        <v>0</v>
      </c>
      <c r="CP1143">
        <v>0</v>
      </c>
      <c r="CQ1143">
        <v>0</v>
      </c>
      <c r="CR1143">
        <v>0</v>
      </c>
      <c r="CS1143" t="s">
        <v>32</v>
      </c>
      <c r="CT1143" t="s">
        <v>142</v>
      </c>
      <c r="CU1143" t="s">
        <v>1442</v>
      </c>
    </row>
    <row r="1144" spans="1:99">
      <c r="A1144" t="s">
        <v>3047</v>
      </c>
      <c r="B1144" t="s">
        <v>34</v>
      </c>
      <c r="C1144" t="s">
        <v>2775</v>
      </c>
      <c r="D1144" t="s">
        <v>2776</v>
      </c>
      <c r="E1144" t="s">
        <v>2777</v>
      </c>
      <c r="F1144" t="s">
        <v>1511</v>
      </c>
      <c r="G1144" t="s">
        <v>1436</v>
      </c>
      <c r="H1144" t="s">
        <v>1798</v>
      </c>
      <c r="I1144" t="s">
        <v>682</v>
      </c>
      <c r="J1144" t="s">
        <v>484</v>
      </c>
      <c r="K1144" t="s">
        <v>29</v>
      </c>
      <c r="L1144" t="s">
        <v>30</v>
      </c>
      <c r="M1144">
        <v>0</v>
      </c>
      <c r="N1144" t="s">
        <v>32</v>
      </c>
      <c r="O1144" t="s">
        <v>32</v>
      </c>
      <c r="Q1144" t="s">
        <v>32</v>
      </c>
      <c r="S1144" t="s">
        <v>32</v>
      </c>
      <c r="U1144" t="s">
        <v>32</v>
      </c>
      <c r="V1144" t="s">
        <v>32</v>
      </c>
      <c r="W1144" t="s">
        <v>32</v>
      </c>
      <c r="X1144" t="s">
        <v>32</v>
      </c>
      <c r="Y1144" t="s">
        <v>32</v>
      </c>
      <c r="AA1144" t="s">
        <v>32</v>
      </c>
      <c r="AB1144" t="s">
        <v>37</v>
      </c>
      <c r="AC1144">
        <v>46054</v>
      </c>
      <c r="AD1144">
        <v>46054</v>
      </c>
      <c r="AE1144" t="s">
        <v>32</v>
      </c>
      <c r="AH1144" t="s">
        <v>32</v>
      </c>
      <c r="AK1144" t="s">
        <v>32</v>
      </c>
      <c r="AN1144" t="s">
        <v>32</v>
      </c>
      <c r="AO1144" t="s">
        <v>32</v>
      </c>
      <c r="AR1144">
        <v>0</v>
      </c>
      <c r="AU1144" t="s">
        <v>32</v>
      </c>
      <c r="AV1144">
        <v>1785595</v>
      </c>
      <c r="AW1144" t="s">
        <v>32</v>
      </c>
      <c r="AX1144" t="s">
        <v>32</v>
      </c>
      <c r="AY1144" t="s">
        <v>356</v>
      </c>
      <c r="AZ1144">
        <v>1</v>
      </c>
      <c r="BA1144">
        <v>59520</v>
      </c>
      <c r="BB1144">
        <v>0.15999999642372131</v>
      </c>
      <c r="BC1144">
        <v>9600</v>
      </c>
      <c r="BD1144" t="s">
        <v>31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9600</v>
      </c>
      <c r="BK1144" t="s">
        <v>25</v>
      </c>
      <c r="BL1144" t="s">
        <v>1064</v>
      </c>
      <c r="BM1144">
        <v>1</v>
      </c>
      <c r="BN1144">
        <v>59520</v>
      </c>
      <c r="BO1144">
        <v>0</v>
      </c>
      <c r="BP1144">
        <v>0</v>
      </c>
      <c r="BQ1144">
        <v>0</v>
      </c>
      <c r="BS1144">
        <v>0</v>
      </c>
      <c r="BU1144">
        <v>0</v>
      </c>
      <c r="BV1144" t="s">
        <v>25</v>
      </c>
      <c r="BW1144" t="s">
        <v>189</v>
      </c>
      <c r="BX1144">
        <v>1</v>
      </c>
      <c r="BY1144">
        <v>59520</v>
      </c>
      <c r="BZ1144">
        <v>0</v>
      </c>
      <c r="CA1144" t="s">
        <v>1439</v>
      </c>
      <c r="CB1144" t="s">
        <v>312</v>
      </c>
      <c r="CC1144" t="s">
        <v>1440</v>
      </c>
      <c r="CD1144">
        <v>0</v>
      </c>
      <c r="CE1144">
        <v>1</v>
      </c>
      <c r="CF1144" t="s">
        <v>466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 t="s">
        <v>88</v>
      </c>
      <c r="CT1144" t="s">
        <v>142</v>
      </c>
      <c r="CU1144" t="s">
        <v>1442</v>
      </c>
    </row>
    <row r="1145" spans="1:99">
      <c r="A1145" t="s">
        <v>3047</v>
      </c>
      <c r="B1145" t="s">
        <v>34</v>
      </c>
      <c r="C1145" t="s">
        <v>2775</v>
      </c>
      <c r="D1145" t="s">
        <v>2776</v>
      </c>
      <c r="E1145" t="s">
        <v>2777</v>
      </c>
      <c r="F1145" t="s">
        <v>1511</v>
      </c>
      <c r="G1145" t="s">
        <v>1436</v>
      </c>
      <c r="H1145" t="s">
        <v>1798</v>
      </c>
      <c r="I1145" t="s">
        <v>682</v>
      </c>
      <c r="J1145" t="s">
        <v>484</v>
      </c>
      <c r="K1145" t="s">
        <v>29</v>
      </c>
      <c r="L1145" t="s">
        <v>30</v>
      </c>
      <c r="M1145">
        <v>0</v>
      </c>
      <c r="N1145" t="s">
        <v>32</v>
      </c>
      <c r="O1145" t="s">
        <v>32</v>
      </c>
      <c r="Q1145" t="s">
        <v>32</v>
      </c>
      <c r="S1145" t="s">
        <v>32</v>
      </c>
      <c r="U1145" t="s">
        <v>32</v>
      </c>
      <c r="V1145" t="s">
        <v>32</v>
      </c>
      <c r="W1145" t="s">
        <v>32</v>
      </c>
      <c r="X1145" t="s">
        <v>32</v>
      </c>
      <c r="Y1145" t="s">
        <v>32</v>
      </c>
      <c r="AA1145" t="s">
        <v>32</v>
      </c>
      <c r="AB1145" t="s">
        <v>32</v>
      </c>
      <c r="AE1145" t="s">
        <v>32</v>
      </c>
      <c r="AH1145" t="s">
        <v>32</v>
      </c>
      <c r="AK1145" t="s">
        <v>128</v>
      </c>
      <c r="AL1145">
        <v>46069</v>
      </c>
      <c r="AM1145">
        <v>46069</v>
      </c>
      <c r="AN1145" t="s">
        <v>32</v>
      </c>
      <c r="AO1145" t="s">
        <v>32</v>
      </c>
      <c r="AR1145">
        <v>0</v>
      </c>
      <c r="AU1145" t="s">
        <v>32</v>
      </c>
      <c r="AV1145">
        <v>1785595</v>
      </c>
      <c r="AW1145" t="s">
        <v>32</v>
      </c>
      <c r="AX1145" t="s">
        <v>32</v>
      </c>
      <c r="AY1145" t="s">
        <v>356</v>
      </c>
      <c r="AZ1145">
        <v>1</v>
      </c>
      <c r="BA1145">
        <v>59520</v>
      </c>
      <c r="BB1145">
        <v>0.15999999642372131</v>
      </c>
      <c r="BC1145">
        <v>9600</v>
      </c>
      <c r="BD1145" t="s">
        <v>31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9600</v>
      </c>
      <c r="BK1145" t="s">
        <v>25</v>
      </c>
      <c r="BL1145" t="s">
        <v>1064</v>
      </c>
      <c r="BM1145">
        <v>1</v>
      </c>
      <c r="BN1145">
        <v>59520</v>
      </c>
      <c r="BO1145">
        <v>3.9999999105930328E-2</v>
      </c>
      <c r="BP1145">
        <v>2400</v>
      </c>
      <c r="BQ1145">
        <v>0</v>
      </c>
      <c r="BS1145">
        <v>0</v>
      </c>
      <c r="BU1145">
        <v>0</v>
      </c>
      <c r="BV1145" t="s">
        <v>25</v>
      </c>
      <c r="BW1145" t="s">
        <v>189</v>
      </c>
      <c r="BX1145">
        <v>1</v>
      </c>
      <c r="BY1145">
        <v>59520</v>
      </c>
      <c r="BZ1145">
        <v>0</v>
      </c>
      <c r="CA1145" t="s">
        <v>1439</v>
      </c>
      <c r="CB1145" t="s">
        <v>312</v>
      </c>
      <c r="CC1145" t="s">
        <v>1440</v>
      </c>
      <c r="CD1145">
        <v>0</v>
      </c>
      <c r="CE1145">
        <v>1</v>
      </c>
      <c r="CF1145" t="s">
        <v>466</v>
      </c>
      <c r="CG1145">
        <v>59520</v>
      </c>
      <c r="CH1145">
        <v>3.9999999105930328E-2</v>
      </c>
      <c r="CI1145">
        <v>2400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 t="s">
        <v>88</v>
      </c>
      <c r="CT1145" t="s">
        <v>142</v>
      </c>
      <c r="CU1145" t="s">
        <v>1442</v>
      </c>
    </row>
    <row r="1146" spans="1:99">
      <c r="A1146" t="s">
        <v>3047</v>
      </c>
      <c r="B1146" t="s">
        <v>34</v>
      </c>
      <c r="C1146" t="s">
        <v>2775</v>
      </c>
      <c r="D1146" t="s">
        <v>2776</v>
      </c>
      <c r="E1146" t="s">
        <v>2777</v>
      </c>
      <c r="F1146" t="s">
        <v>1511</v>
      </c>
      <c r="G1146" t="s">
        <v>1436</v>
      </c>
      <c r="H1146" t="s">
        <v>1798</v>
      </c>
      <c r="I1146" t="s">
        <v>682</v>
      </c>
      <c r="J1146" t="s">
        <v>484</v>
      </c>
      <c r="K1146" t="s">
        <v>29</v>
      </c>
      <c r="L1146" t="s">
        <v>30</v>
      </c>
      <c r="M1146">
        <v>194</v>
      </c>
      <c r="N1146" t="s">
        <v>32</v>
      </c>
      <c r="O1146" t="s">
        <v>32</v>
      </c>
      <c r="Q1146" t="s">
        <v>32</v>
      </c>
      <c r="S1146" t="s">
        <v>32</v>
      </c>
      <c r="U1146" t="s">
        <v>32</v>
      </c>
      <c r="V1146" t="s">
        <v>32</v>
      </c>
      <c r="W1146" t="s">
        <v>32</v>
      </c>
      <c r="X1146" t="s">
        <v>32</v>
      </c>
      <c r="Y1146" t="s">
        <v>32</v>
      </c>
      <c r="AA1146" t="s">
        <v>88</v>
      </c>
      <c r="AB1146" t="s">
        <v>32</v>
      </c>
      <c r="AE1146" t="s">
        <v>32</v>
      </c>
      <c r="AH1146" t="s">
        <v>32</v>
      </c>
      <c r="AK1146" t="s">
        <v>32</v>
      </c>
      <c r="AN1146" t="s">
        <v>32</v>
      </c>
      <c r="AO1146" t="s">
        <v>32</v>
      </c>
      <c r="AR1146">
        <v>0</v>
      </c>
      <c r="AU1146" t="s">
        <v>32</v>
      </c>
      <c r="AV1146">
        <v>1785595</v>
      </c>
      <c r="AW1146" t="s">
        <v>32</v>
      </c>
      <c r="AX1146" t="s">
        <v>32</v>
      </c>
      <c r="AY1146" t="s">
        <v>356</v>
      </c>
      <c r="AZ1146">
        <v>28</v>
      </c>
      <c r="BA1146">
        <v>1935613</v>
      </c>
      <c r="BB1146">
        <v>0.15999999642372131</v>
      </c>
      <c r="BC1146">
        <v>309700</v>
      </c>
      <c r="BD1146" t="s">
        <v>31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309700</v>
      </c>
      <c r="BK1146" t="s">
        <v>25</v>
      </c>
      <c r="BL1146" t="s">
        <v>1064</v>
      </c>
      <c r="BM1146">
        <v>28</v>
      </c>
      <c r="BN1146">
        <v>1935613</v>
      </c>
      <c r="BO1146">
        <v>3.9999999105930328E-2</v>
      </c>
      <c r="BP1146">
        <v>77500</v>
      </c>
      <c r="BQ1146">
        <v>0</v>
      </c>
      <c r="BS1146">
        <v>0</v>
      </c>
      <c r="BU1146">
        <v>0</v>
      </c>
      <c r="BV1146" t="s">
        <v>25</v>
      </c>
      <c r="BW1146" t="s">
        <v>189</v>
      </c>
      <c r="BX1146">
        <v>28</v>
      </c>
      <c r="BY1146">
        <v>1935613</v>
      </c>
      <c r="BZ1146">
        <v>6.9600000977516174E-2</v>
      </c>
      <c r="CA1146" t="s">
        <v>1439</v>
      </c>
      <c r="CB1146" t="s">
        <v>312</v>
      </c>
      <c r="CC1146" t="s">
        <v>1440</v>
      </c>
      <c r="CD1146">
        <v>134800</v>
      </c>
      <c r="CE1146">
        <v>28</v>
      </c>
      <c r="CF1146" t="s">
        <v>466</v>
      </c>
      <c r="CG1146">
        <v>1935613</v>
      </c>
      <c r="CH1146">
        <v>3.9999999105930328E-2</v>
      </c>
      <c r="CI1146">
        <v>77500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 t="s">
        <v>88</v>
      </c>
      <c r="CT1146" t="s">
        <v>142</v>
      </c>
      <c r="CU1146" t="s">
        <v>1442</v>
      </c>
    </row>
    <row r="1147" spans="1:99">
      <c r="A1147" t="s">
        <v>3047</v>
      </c>
      <c r="B1147" t="s">
        <v>34</v>
      </c>
      <c r="C1147" t="s">
        <v>2778</v>
      </c>
      <c r="D1147" t="s">
        <v>2779</v>
      </c>
      <c r="E1147" t="s">
        <v>2780</v>
      </c>
      <c r="F1147" t="s">
        <v>2310</v>
      </c>
      <c r="G1147" t="s">
        <v>2781</v>
      </c>
      <c r="H1147" t="s">
        <v>1543</v>
      </c>
      <c r="I1147" t="s">
        <v>240</v>
      </c>
      <c r="J1147" t="s">
        <v>46</v>
      </c>
      <c r="K1147" t="s">
        <v>29</v>
      </c>
      <c r="L1147" t="s">
        <v>30</v>
      </c>
      <c r="M1147">
        <v>214</v>
      </c>
      <c r="N1147" t="s">
        <v>32</v>
      </c>
      <c r="O1147" t="s">
        <v>32</v>
      </c>
      <c r="Q1147" t="s">
        <v>32</v>
      </c>
      <c r="S1147" t="s">
        <v>32</v>
      </c>
      <c r="U1147" t="s">
        <v>32</v>
      </c>
      <c r="V1147" t="s">
        <v>32</v>
      </c>
      <c r="W1147" t="s">
        <v>32</v>
      </c>
      <c r="X1147" t="s">
        <v>32</v>
      </c>
      <c r="Y1147" t="s">
        <v>32</v>
      </c>
      <c r="AA1147" t="s">
        <v>88</v>
      </c>
      <c r="AB1147" t="s">
        <v>32</v>
      </c>
      <c r="AE1147" t="s">
        <v>32</v>
      </c>
      <c r="AH1147" t="s">
        <v>32</v>
      </c>
      <c r="AK1147" t="s">
        <v>32</v>
      </c>
      <c r="AN1147" t="s">
        <v>32</v>
      </c>
      <c r="AO1147" t="s">
        <v>32</v>
      </c>
      <c r="AR1147">
        <v>0</v>
      </c>
      <c r="AU1147" t="s">
        <v>32</v>
      </c>
      <c r="AV1147">
        <v>2223339</v>
      </c>
      <c r="AW1147" t="s">
        <v>32</v>
      </c>
      <c r="AX1147" t="s">
        <v>32</v>
      </c>
      <c r="AY1147" t="s">
        <v>185</v>
      </c>
      <c r="AZ1147">
        <v>30</v>
      </c>
      <c r="BA1147">
        <v>3060826</v>
      </c>
      <c r="BB1147">
        <v>0.15999999642372131</v>
      </c>
      <c r="BC1147">
        <v>489800</v>
      </c>
      <c r="BD1147" t="s">
        <v>31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489800</v>
      </c>
      <c r="BK1147" t="s">
        <v>25</v>
      </c>
      <c r="BL1147" t="s">
        <v>1491</v>
      </c>
      <c r="BM1147">
        <v>30</v>
      </c>
      <c r="BN1147">
        <v>3060826</v>
      </c>
      <c r="BO1147">
        <v>3.9999999105930328E-2</v>
      </c>
      <c r="BP1147">
        <v>122500</v>
      </c>
      <c r="BQ1147">
        <v>0</v>
      </c>
      <c r="BS1147">
        <v>0</v>
      </c>
      <c r="BU1147">
        <v>0</v>
      </c>
      <c r="BV1147" t="s">
        <v>25</v>
      </c>
      <c r="BW1147" t="s">
        <v>189</v>
      </c>
      <c r="BX1147">
        <v>30</v>
      </c>
      <c r="BY1147">
        <v>3060826</v>
      </c>
      <c r="BZ1147">
        <v>6.9600000977516174E-2</v>
      </c>
      <c r="CA1147" t="s">
        <v>1439</v>
      </c>
      <c r="CB1147" t="s">
        <v>227</v>
      </c>
      <c r="CC1147" t="s">
        <v>1440</v>
      </c>
      <c r="CD1147">
        <v>213100</v>
      </c>
      <c r="CE1147">
        <v>30</v>
      </c>
      <c r="CF1147" t="s">
        <v>635</v>
      </c>
      <c r="CG1147">
        <v>2976528</v>
      </c>
      <c r="CH1147">
        <v>3.9999999105930328E-2</v>
      </c>
      <c r="CI1147">
        <v>119100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 t="s">
        <v>88</v>
      </c>
      <c r="CT1147" t="s">
        <v>142</v>
      </c>
      <c r="CU1147" t="s">
        <v>1442</v>
      </c>
    </row>
    <row r="1148" spans="1:99">
      <c r="A1148" t="s">
        <v>3047</v>
      </c>
      <c r="B1148" t="s">
        <v>34</v>
      </c>
      <c r="C1148" t="s">
        <v>2782</v>
      </c>
      <c r="D1148" t="s">
        <v>2783</v>
      </c>
      <c r="E1148" t="s">
        <v>2784</v>
      </c>
      <c r="F1148" t="s">
        <v>1496</v>
      </c>
      <c r="G1148" t="s">
        <v>2511</v>
      </c>
      <c r="H1148" t="s">
        <v>1468</v>
      </c>
      <c r="I1148" t="s">
        <v>240</v>
      </c>
      <c r="J1148" t="s">
        <v>46</v>
      </c>
      <c r="K1148" t="s">
        <v>29</v>
      </c>
      <c r="L1148" t="s">
        <v>30</v>
      </c>
      <c r="M1148">
        <v>69</v>
      </c>
      <c r="N1148" t="s">
        <v>32</v>
      </c>
      <c r="O1148" t="s">
        <v>32</v>
      </c>
      <c r="Q1148" t="s">
        <v>32</v>
      </c>
      <c r="S1148" t="s">
        <v>40</v>
      </c>
      <c r="T1148">
        <v>46060</v>
      </c>
      <c r="U1148" t="s">
        <v>32</v>
      </c>
      <c r="V1148" t="s">
        <v>32</v>
      </c>
      <c r="W1148" t="s">
        <v>32</v>
      </c>
      <c r="X1148" t="s">
        <v>32</v>
      </c>
      <c r="Y1148" t="s">
        <v>32</v>
      </c>
      <c r="AA1148" t="s">
        <v>88</v>
      </c>
      <c r="AB1148" t="s">
        <v>32</v>
      </c>
      <c r="AE1148" t="s">
        <v>32</v>
      </c>
      <c r="AH1148" t="s">
        <v>32</v>
      </c>
      <c r="AK1148" t="s">
        <v>32</v>
      </c>
      <c r="AN1148" t="s">
        <v>32</v>
      </c>
      <c r="AO1148" t="s">
        <v>32</v>
      </c>
      <c r="AR1148">
        <v>0</v>
      </c>
      <c r="AU1148" t="s">
        <v>32</v>
      </c>
      <c r="AV1148">
        <v>2891569</v>
      </c>
      <c r="AW1148" t="s">
        <v>32</v>
      </c>
      <c r="AX1148" t="s">
        <v>32</v>
      </c>
      <c r="AY1148" t="s">
        <v>185</v>
      </c>
      <c r="AZ1148">
        <v>7</v>
      </c>
      <c r="BA1148">
        <v>1886552</v>
      </c>
      <c r="BB1148">
        <v>0.15999999642372131</v>
      </c>
      <c r="BC1148">
        <v>301900</v>
      </c>
      <c r="BD1148" t="s">
        <v>31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301900</v>
      </c>
      <c r="BK1148" t="s">
        <v>25</v>
      </c>
      <c r="BL1148" t="s">
        <v>870</v>
      </c>
      <c r="BM1148">
        <v>7</v>
      </c>
      <c r="BN1148">
        <v>1886552</v>
      </c>
      <c r="BO1148">
        <v>3.9999999105930328E-2</v>
      </c>
      <c r="BP1148">
        <v>75500</v>
      </c>
      <c r="BQ1148">
        <v>0</v>
      </c>
      <c r="BS1148">
        <v>0</v>
      </c>
      <c r="BU1148">
        <v>0</v>
      </c>
      <c r="BV1148" t="s">
        <v>25</v>
      </c>
      <c r="BW1148" t="s">
        <v>189</v>
      </c>
      <c r="BX1148">
        <v>7</v>
      </c>
      <c r="BY1148">
        <v>1886552</v>
      </c>
      <c r="BZ1148">
        <v>6.9600000977516174E-2</v>
      </c>
      <c r="CA1148" t="s">
        <v>1439</v>
      </c>
      <c r="CB1148" t="s">
        <v>227</v>
      </c>
      <c r="CC1148" t="s">
        <v>1440</v>
      </c>
      <c r="CD1148">
        <v>131400</v>
      </c>
      <c r="CE1148">
        <v>7</v>
      </c>
      <c r="CF1148" t="s">
        <v>635</v>
      </c>
      <c r="CG1148">
        <v>2353890</v>
      </c>
      <c r="CH1148">
        <v>3.9999999105930328E-2</v>
      </c>
      <c r="CI1148">
        <v>94200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 t="s">
        <v>88</v>
      </c>
      <c r="CT1148" t="s">
        <v>142</v>
      </c>
      <c r="CU1148" t="s">
        <v>1442</v>
      </c>
    </row>
    <row r="1149" spans="1:99">
      <c r="A1149" t="s">
        <v>3047</v>
      </c>
      <c r="B1149" t="s">
        <v>34</v>
      </c>
      <c r="C1149" t="s">
        <v>2785</v>
      </c>
      <c r="D1149" t="s">
        <v>2786</v>
      </c>
      <c r="E1149" t="s">
        <v>2787</v>
      </c>
      <c r="F1149" t="s">
        <v>2788</v>
      </c>
      <c r="G1149" t="s">
        <v>2789</v>
      </c>
      <c r="H1149" t="s">
        <v>1757</v>
      </c>
      <c r="I1149" t="s">
        <v>682</v>
      </c>
      <c r="J1149" t="s">
        <v>484</v>
      </c>
      <c r="K1149" t="s">
        <v>29</v>
      </c>
      <c r="L1149" t="s">
        <v>30</v>
      </c>
      <c r="M1149">
        <v>205</v>
      </c>
      <c r="N1149" t="s">
        <v>32</v>
      </c>
      <c r="O1149" t="s">
        <v>32</v>
      </c>
      <c r="Q1149" t="s">
        <v>32</v>
      </c>
      <c r="S1149" t="s">
        <v>32</v>
      </c>
      <c r="U1149" t="s">
        <v>32</v>
      </c>
      <c r="V1149" t="s">
        <v>32</v>
      </c>
      <c r="W1149" t="s">
        <v>32</v>
      </c>
      <c r="X1149" t="s">
        <v>32</v>
      </c>
      <c r="Y1149" t="s">
        <v>32</v>
      </c>
      <c r="AA1149" t="s">
        <v>88</v>
      </c>
      <c r="AB1149" t="s">
        <v>32</v>
      </c>
      <c r="AE1149" t="s">
        <v>32</v>
      </c>
      <c r="AH1149" t="s">
        <v>32</v>
      </c>
      <c r="AK1149" t="s">
        <v>32</v>
      </c>
      <c r="AN1149" t="s">
        <v>32</v>
      </c>
      <c r="AO1149" t="s">
        <v>32</v>
      </c>
      <c r="AR1149">
        <v>0</v>
      </c>
      <c r="AU1149" t="s">
        <v>32</v>
      </c>
      <c r="AV1149">
        <v>2665550</v>
      </c>
      <c r="AW1149" t="s">
        <v>32</v>
      </c>
      <c r="AX1149" t="s">
        <v>32</v>
      </c>
      <c r="AY1149" t="s">
        <v>185</v>
      </c>
      <c r="AZ1149">
        <v>30</v>
      </c>
      <c r="BA1149">
        <v>3076166</v>
      </c>
      <c r="BB1149">
        <v>0.15999999642372131</v>
      </c>
      <c r="BC1149">
        <v>492200</v>
      </c>
      <c r="BD1149" t="s">
        <v>31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492200</v>
      </c>
      <c r="BK1149" t="s">
        <v>25</v>
      </c>
      <c r="BL1149" t="s">
        <v>1071</v>
      </c>
      <c r="BM1149">
        <v>30</v>
      </c>
      <c r="BN1149">
        <v>3076166</v>
      </c>
      <c r="BO1149">
        <v>3.9999999105930328E-2</v>
      </c>
      <c r="BP1149">
        <v>123100</v>
      </c>
      <c r="BQ1149">
        <v>0</v>
      </c>
      <c r="BS1149">
        <v>0</v>
      </c>
      <c r="BU1149">
        <v>0</v>
      </c>
      <c r="BV1149" t="s">
        <v>25</v>
      </c>
      <c r="BW1149" t="s">
        <v>189</v>
      </c>
      <c r="BX1149">
        <v>30</v>
      </c>
      <c r="BY1149">
        <v>3076166</v>
      </c>
      <c r="BZ1149">
        <v>6.9600000977516174E-2</v>
      </c>
      <c r="CA1149" t="s">
        <v>1439</v>
      </c>
      <c r="CB1149" t="s">
        <v>312</v>
      </c>
      <c r="CC1149" t="s">
        <v>1440</v>
      </c>
      <c r="CD1149">
        <v>214200</v>
      </c>
      <c r="CE1149">
        <v>30</v>
      </c>
      <c r="CF1149" t="s">
        <v>466</v>
      </c>
      <c r="CG1149">
        <v>3076166</v>
      </c>
      <c r="CH1149">
        <v>3.9999999105930328E-2</v>
      </c>
      <c r="CI1149">
        <v>123100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 t="s">
        <v>88</v>
      </c>
      <c r="CT1149" t="s">
        <v>142</v>
      </c>
      <c r="CU1149" t="s">
        <v>1442</v>
      </c>
    </row>
    <row r="1150" spans="1:99">
      <c r="A1150" t="s">
        <v>3047</v>
      </c>
      <c r="B1150" t="s">
        <v>397</v>
      </c>
      <c r="C1150" t="s">
        <v>2790</v>
      </c>
      <c r="D1150" t="s">
        <v>2791</v>
      </c>
      <c r="E1150" t="s">
        <v>1303</v>
      </c>
      <c r="F1150" t="s">
        <v>2792</v>
      </c>
      <c r="G1150" t="s">
        <v>1436</v>
      </c>
      <c r="H1150" t="s">
        <v>1437</v>
      </c>
      <c r="I1150" t="s">
        <v>240</v>
      </c>
      <c r="J1150" t="s">
        <v>46</v>
      </c>
      <c r="K1150" t="s">
        <v>29</v>
      </c>
      <c r="L1150" t="s">
        <v>30</v>
      </c>
      <c r="M1150">
        <v>33</v>
      </c>
      <c r="N1150" t="s">
        <v>32</v>
      </c>
      <c r="O1150" t="s">
        <v>32</v>
      </c>
      <c r="Q1150" t="s">
        <v>32</v>
      </c>
      <c r="S1150" t="s">
        <v>40</v>
      </c>
      <c r="T1150">
        <v>46056</v>
      </c>
      <c r="U1150" t="s">
        <v>32</v>
      </c>
      <c r="V1150" t="s">
        <v>32</v>
      </c>
      <c r="W1150" t="s">
        <v>32</v>
      </c>
      <c r="X1150" t="s">
        <v>32</v>
      </c>
      <c r="Y1150" t="s">
        <v>32</v>
      </c>
      <c r="AA1150" t="s">
        <v>88</v>
      </c>
      <c r="AB1150" t="s">
        <v>32</v>
      </c>
      <c r="AE1150" t="s">
        <v>32</v>
      </c>
      <c r="AH1150" t="s">
        <v>32</v>
      </c>
      <c r="AK1150" t="s">
        <v>32</v>
      </c>
      <c r="AN1150" t="s">
        <v>32</v>
      </c>
      <c r="AO1150" t="s">
        <v>32</v>
      </c>
      <c r="AR1150">
        <v>0</v>
      </c>
      <c r="AU1150" t="s">
        <v>32</v>
      </c>
      <c r="AV1150">
        <v>2074908</v>
      </c>
      <c r="AW1150" t="s">
        <v>32</v>
      </c>
      <c r="AX1150" t="s">
        <v>32</v>
      </c>
      <c r="AY1150" t="s">
        <v>185</v>
      </c>
      <c r="AZ1150">
        <v>3</v>
      </c>
      <c r="BA1150">
        <v>996180</v>
      </c>
      <c r="BB1150">
        <v>0.15999999642372131</v>
      </c>
      <c r="BC1150">
        <v>159400</v>
      </c>
      <c r="BD1150" t="s">
        <v>31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159400</v>
      </c>
      <c r="BK1150" t="s">
        <v>25</v>
      </c>
      <c r="BL1150" t="s">
        <v>1071</v>
      </c>
      <c r="BM1150">
        <v>3</v>
      </c>
      <c r="BN1150">
        <v>996180</v>
      </c>
      <c r="BO1150">
        <v>0.125</v>
      </c>
      <c r="BP1150">
        <v>124600</v>
      </c>
      <c r="BQ1150">
        <v>0</v>
      </c>
      <c r="BS1150">
        <v>0</v>
      </c>
      <c r="BU1150">
        <v>0</v>
      </c>
      <c r="BV1150" t="s">
        <v>25</v>
      </c>
      <c r="BW1150" t="s">
        <v>189</v>
      </c>
      <c r="BX1150">
        <v>3</v>
      </c>
      <c r="BY1150">
        <v>996180</v>
      </c>
      <c r="BZ1150">
        <v>6.9600000977516174E-2</v>
      </c>
      <c r="CA1150" t="s">
        <v>1439</v>
      </c>
      <c r="CB1150" t="s">
        <v>227</v>
      </c>
      <c r="CC1150" t="s">
        <v>1440</v>
      </c>
      <c r="CD1150">
        <v>69400</v>
      </c>
      <c r="CE1150">
        <v>3</v>
      </c>
      <c r="CF1150" t="s">
        <v>635</v>
      </c>
      <c r="CG1150">
        <v>1807808</v>
      </c>
      <c r="CH1150">
        <v>3.9999999105930328E-2</v>
      </c>
      <c r="CI1150">
        <v>72400</v>
      </c>
      <c r="CJ1150">
        <v>1807808</v>
      </c>
      <c r="CK1150">
        <v>1.9999999552965164E-2</v>
      </c>
      <c r="CL1150">
        <v>36200</v>
      </c>
      <c r="CM1150">
        <v>2.9999999329447746E-2</v>
      </c>
      <c r="CN1150">
        <v>54300</v>
      </c>
      <c r="CO1150">
        <v>0</v>
      </c>
      <c r="CP1150">
        <v>0</v>
      </c>
      <c r="CQ1150">
        <v>0</v>
      </c>
      <c r="CR1150">
        <v>0</v>
      </c>
      <c r="CS1150" t="s">
        <v>32</v>
      </c>
      <c r="CT1150" t="s">
        <v>142</v>
      </c>
      <c r="CU1150" t="s">
        <v>1442</v>
      </c>
    </row>
    <row r="1151" spans="1:99">
      <c r="A1151" t="s">
        <v>3047</v>
      </c>
      <c r="B1151" t="s">
        <v>34</v>
      </c>
      <c r="C1151" t="s">
        <v>2793</v>
      </c>
      <c r="D1151" t="s">
        <v>2794</v>
      </c>
      <c r="E1151" t="s">
        <v>1487</v>
      </c>
      <c r="F1151" t="s">
        <v>1511</v>
      </c>
      <c r="G1151" t="s">
        <v>2219</v>
      </c>
      <c r="H1151" t="s">
        <v>2410</v>
      </c>
      <c r="I1151" t="s">
        <v>682</v>
      </c>
      <c r="J1151" t="s">
        <v>484</v>
      </c>
      <c r="K1151" t="s">
        <v>29</v>
      </c>
      <c r="L1151" t="s">
        <v>30</v>
      </c>
      <c r="M1151">
        <v>0</v>
      </c>
      <c r="N1151" t="s">
        <v>32</v>
      </c>
      <c r="O1151" t="s">
        <v>32</v>
      </c>
      <c r="Q1151" t="s">
        <v>32</v>
      </c>
      <c r="S1151" t="s">
        <v>32</v>
      </c>
      <c r="U1151" t="s">
        <v>32</v>
      </c>
      <c r="V1151" t="s">
        <v>32</v>
      </c>
      <c r="W1151" t="s">
        <v>32</v>
      </c>
      <c r="X1151" t="s">
        <v>32</v>
      </c>
      <c r="Y1151" t="s">
        <v>32</v>
      </c>
      <c r="AA1151" t="s">
        <v>32</v>
      </c>
      <c r="AB1151" t="s">
        <v>37</v>
      </c>
      <c r="AC1151">
        <v>46054</v>
      </c>
      <c r="AD1151">
        <v>46054</v>
      </c>
      <c r="AE1151" t="s">
        <v>32</v>
      </c>
      <c r="AH1151" t="s">
        <v>32</v>
      </c>
      <c r="AK1151" t="s">
        <v>32</v>
      </c>
      <c r="AN1151" t="s">
        <v>32</v>
      </c>
      <c r="AO1151" t="s">
        <v>32</v>
      </c>
      <c r="AR1151">
        <v>0</v>
      </c>
      <c r="AU1151" t="s">
        <v>32</v>
      </c>
      <c r="AV1151">
        <v>2223339</v>
      </c>
      <c r="AW1151" t="s">
        <v>32</v>
      </c>
      <c r="AX1151" t="s">
        <v>32</v>
      </c>
      <c r="AY1151" t="s">
        <v>317</v>
      </c>
      <c r="AZ1151">
        <v>1</v>
      </c>
      <c r="BA1151">
        <v>74112</v>
      </c>
      <c r="BB1151">
        <v>0.15999999642372131</v>
      </c>
      <c r="BC1151">
        <v>11900</v>
      </c>
      <c r="BD1151" t="s">
        <v>31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11900</v>
      </c>
      <c r="BK1151" t="s">
        <v>25</v>
      </c>
      <c r="BL1151" t="s">
        <v>1010</v>
      </c>
      <c r="BM1151">
        <v>1</v>
      </c>
      <c r="BN1151">
        <v>74112</v>
      </c>
      <c r="BO1151">
        <v>0</v>
      </c>
      <c r="BP1151">
        <v>0</v>
      </c>
      <c r="BQ1151">
        <v>0</v>
      </c>
      <c r="BS1151">
        <v>0</v>
      </c>
      <c r="BU1151">
        <v>0</v>
      </c>
      <c r="BV1151" t="s">
        <v>25</v>
      </c>
      <c r="BW1151" t="s">
        <v>189</v>
      </c>
      <c r="BX1151">
        <v>1</v>
      </c>
      <c r="BY1151">
        <v>74112</v>
      </c>
      <c r="BZ1151">
        <v>0</v>
      </c>
      <c r="CA1151" t="s">
        <v>1439</v>
      </c>
      <c r="CB1151" t="s">
        <v>312</v>
      </c>
      <c r="CC1151" t="s">
        <v>1440</v>
      </c>
      <c r="CD1151">
        <v>0</v>
      </c>
      <c r="CE1151">
        <v>1</v>
      </c>
      <c r="CF1151" t="s">
        <v>466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 t="s">
        <v>88</v>
      </c>
      <c r="CT1151" t="s">
        <v>142</v>
      </c>
      <c r="CU1151" t="s">
        <v>1442</v>
      </c>
    </row>
    <row r="1152" spans="1:99">
      <c r="A1152" t="s">
        <v>3047</v>
      </c>
      <c r="B1152" t="s">
        <v>34</v>
      </c>
      <c r="C1152" t="s">
        <v>2793</v>
      </c>
      <c r="D1152" t="s">
        <v>2794</v>
      </c>
      <c r="E1152" t="s">
        <v>1487</v>
      </c>
      <c r="F1152" t="s">
        <v>1511</v>
      </c>
      <c r="G1152" t="s">
        <v>2219</v>
      </c>
      <c r="H1152" t="s">
        <v>2410</v>
      </c>
      <c r="I1152" t="s">
        <v>682</v>
      </c>
      <c r="J1152" t="s">
        <v>484</v>
      </c>
      <c r="K1152" t="s">
        <v>29</v>
      </c>
      <c r="L1152" t="s">
        <v>30</v>
      </c>
      <c r="M1152">
        <v>211</v>
      </c>
      <c r="N1152" t="s">
        <v>32</v>
      </c>
      <c r="O1152" t="s">
        <v>32</v>
      </c>
      <c r="Q1152" t="s">
        <v>32</v>
      </c>
      <c r="S1152" t="s">
        <v>40</v>
      </c>
      <c r="T1152">
        <v>46081</v>
      </c>
      <c r="U1152" t="s">
        <v>32</v>
      </c>
      <c r="V1152" t="s">
        <v>32</v>
      </c>
      <c r="W1152" t="s">
        <v>32</v>
      </c>
      <c r="X1152" t="s">
        <v>32</v>
      </c>
      <c r="Y1152" t="s">
        <v>32</v>
      </c>
      <c r="AA1152" t="s">
        <v>88</v>
      </c>
      <c r="AB1152" t="s">
        <v>32</v>
      </c>
      <c r="AE1152" t="s">
        <v>32</v>
      </c>
      <c r="AH1152" t="s">
        <v>32</v>
      </c>
      <c r="AK1152" t="s">
        <v>32</v>
      </c>
      <c r="AN1152" t="s">
        <v>32</v>
      </c>
      <c r="AO1152" t="s">
        <v>32</v>
      </c>
      <c r="AR1152">
        <v>0</v>
      </c>
      <c r="AU1152" t="s">
        <v>32</v>
      </c>
      <c r="AV1152">
        <v>2223339</v>
      </c>
      <c r="AW1152" t="s">
        <v>32</v>
      </c>
      <c r="AX1152" t="s">
        <v>32</v>
      </c>
      <c r="AY1152" t="s">
        <v>317</v>
      </c>
      <c r="AZ1152">
        <v>29</v>
      </c>
      <c r="BA1152">
        <v>3332691</v>
      </c>
      <c r="BB1152">
        <v>0.15999999642372131</v>
      </c>
      <c r="BC1152">
        <v>533300</v>
      </c>
      <c r="BD1152" t="s">
        <v>31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533300</v>
      </c>
      <c r="BK1152" t="s">
        <v>25</v>
      </c>
      <c r="BL1152" t="s">
        <v>1010</v>
      </c>
      <c r="BM1152">
        <v>29</v>
      </c>
      <c r="BN1152">
        <v>3332691</v>
      </c>
      <c r="BO1152">
        <v>3.9999999105930328E-2</v>
      </c>
      <c r="BP1152">
        <v>133400</v>
      </c>
      <c r="BQ1152">
        <v>0</v>
      </c>
      <c r="BS1152">
        <v>0</v>
      </c>
      <c r="BU1152">
        <v>0</v>
      </c>
      <c r="BV1152" t="s">
        <v>25</v>
      </c>
      <c r="BW1152" t="s">
        <v>189</v>
      </c>
      <c r="BX1152">
        <v>29</v>
      </c>
      <c r="BY1152">
        <v>3332691</v>
      </c>
      <c r="BZ1152">
        <v>6.9600000977516174E-2</v>
      </c>
      <c r="CA1152" t="s">
        <v>1439</v>
      </c>
      <c r="CB1152" t="s">
        <v>312</v>
      </c>
      <c r="CC1152" t="s">
        <v>1440</v>
      </c>
      <c r="CD1152">
        <v>232000</v>
      </c>
      <c r="CE1152">
        <v>29</v>
      </c>
      <c r="CF1152" t="s">
        <v>466</v>
      </c>
      <c r="CG1152">
        <v>3381750</v>
      </c>
      <c r="CH1152">
        <v>3.9999999105930328E-2</v>
      </c>
      <c r="CI1152">
        <v>135300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 t="s">
        <v>88</v>
      </c>
      <c r="CT1152" t="s">
        <v>142</v>
      </c>
      <c r="CU1152" t="s">
        <v>1442</v>
      </c>
    </row>
    <row r="1153" spans="1:99">
      <c r="A1153" t="s">
        <v>3047</v>
      </c>
      <c r="B1153" t="s">
        <v>34</v>
      </c>
      <c r="C1153" t="s">
        <v>2795</v>
      </c>
      <c r="D1153" t="s">
        <v>2796</v>
      </c>
      <c r="E1153" t="s">
        <v>2142</v>
      </c>
      <c r="F1153" t="s">
        <v>2125</v>
      </c>
      <c r="G1153" t="s">
        <v>1479</v>
      </c>
      <c r="H1153" t="s">
        <v>1928</v>
      </c>
      <c r="I1153" t="s">
        <v>240</v>
      </c>
      <c r="J1153" t="s">
        <v>46</v>
      </c>
      <c r="K1153" t="s">
        <v>29</v>
      </c>
      <c r="L1153" t="s">
        <v>30</v>
      </c>
      <c r="M1153">
        <v>0</v>
      </c>
      <c r="N1153" t="s">
        <v>32</v>
      </c>
      <c r="O1153" t="s">
        <v>32</v>
      </c>
      <c r="Q1153" t="s">
        <v>32</v>
      </c>
      <c r="S1153" t="s">
        <v>32</v>
      </c>
      <c r="U1153" t="s">
        <v>32</v>
      </c>
      <c r="V1153" t="s">
        <v>32</v>
      </c>
      <c r="W1153" t="s">
        <v>32</v>
      </c>
      <c r="X1153" t="s">
        <v>32</v>
      </c>
      <c r="Y1153" t="s">
        <v>32</v>
      </c>
      <c r="AA1153" t="s">
        <v>32</v>
      </c>
      <c r="AB1153" t="s">
        <v>32</v>
      </c>
      <c r="AE1153" t="s">
        <v>32</v>
      </c>
      <c r="AH1153" t="s">
        <v>32</v>
      </c>
      <c r="AK1153" t="s">
        <v>128</v>
      </c>
      <c r="AL1153">
        <v>46054</v>
      </c>
      <c r="AM1153">
        <v>46054</v>
      </c>
      <c r="AN1153" t="s">
        <v>32</v>
      </c>
      <c r="AO1153" t="s">
        <v>32</v>
      </c>
      <c r="AR1153">
        <v>0</v>
      </c>
      <c r="AU1153" t="s">
        <v>32</v>
      </c>
      <c r="AV1153">
        <v>3235758</v>
      </c>
      <c r="AW1153" t="s">
        <v>32</v>
      </c>
      <c r="AX1153" t="s">
        <v>32</v>
      </c>
      <c r="AY1153" t="s">
        <v>137</v>
      </c>
      <c r="AZ1153">
        <v>1</v>
      </c>
      <c r="BA1153">
        <v>107859</v>
      </c>
      <c r="BB1153">
        <v>0.15999999642372131</v>
      </c>
      <c r="BC1153">
        <v>17300</v>
      </c>
      <c r="BD1153" t="s">
        <v>31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17300</v>
      </c>
      <c r="BK1153" t="s">
        <v>25</v>
      </c>
      <c r="BL1153" t="s">
        <v>635</v>
      </c>
      <c r="BM1153">
        <v>1</v>
      </c>
      <c r="BN1153">
        <v>107859</v>
      </c>
      <c r="BO1153">
        <v>3.9999999105930328E-2</v>
      </c>
      <c r="BP1153">
        <v>4400</v>
      </c>
      <c r="BQ1153">
        <v>0</v>
      </c>
      <c r="BS1153">
        <v>0</v>
      </c>
      <c r="BU1153">
        <v>0</v>
      </c>
      <c r="BV1153" t="s">
        <v>25</v>
      </c>
      <c r="BW1153" t="s">
        <v>189</v>
      </c>
      <c r="BX1153">
        <v>1</v>
      </c>
      <c r="BY1153">
        <v>107859</v>
      </c>
      <c r="BZ1153">
        <v>0</v>
      </c>
      <c r="CA1153" t="s">
        <v>1439</v>
      </c>
      <c r="CB1153" t="s">
        <v>227</v>
      </c>
      <c r="CC1153" t="s">
        <v>1440</v>
      </c>
      <c r="CD1153">
        <v>0</v>
      </c>
      <c r="CE1153">
        <v>1</v>
      </c>
      <c r="CF1153" t="s">
        <v>635</v>
      </c>
      <c r="CG1153">
        <v>107859</v>
      </c>
      <c r="CH1153">
        <v>3.9999999105930328E-2</v>
      </c>
      <c r="CI1153">
        <v>4400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 t="s">
        <v>88</v>
      </c>
      <c r="CT1153" t="s">
        <v>142</v>
      </c>
      <c r="CU1153" t="s">
        <v>1442</v>
      </c>
    </row>
    <row r="1154" spans="1:99">
      <c r="A1154" t="s">
        <v>3047</v>
      </c>
      <c r="B1154" t="s">
        <v>34</v>
      </c>
      <c r="C1154" t="s">
        <v>2795</v>
      </c>
      <c r="D1154" t="s">
        <v>2796</v>
      </c>
      <c r="E1154" t="s">
        <v>2142</v>
      </c>
      <c r="F1154" t="s">
        <v>2125</v>
      </c>
      <c r="G1154" t="s">
        <v>1479</v>
      </c>
      <c r="H1154" t="s">
        <v>1928</v>
      </c>
      <c r="I1154" t="s">
        <v>240</v>
      </c>
      <c r="J1154" t="s">
        <v>46</v>
      </c>
      <c r="K1154" t="s">
        <v>29</v>
      </c>
      <c r="L1154" t="s">
        <v>30</v>
      </c>
      <c r="M1154">
        <v>180</v>
      </c>
      <c r="N1154" t="s">
        <v>32</v>
      </c>
      <c r="O1154" t="s">
        <v>32</v>
      </c>
      <c r="Q1154" t="s">
        <v>32</v>
      </c>
      <c r="S1154" t="s">
        <v>32</v>
      </c>
      <c r="U1154" t="s">
        <v>32</v>
      </c>
      <c r="V1154" t="s">
        <v>32</v>
      </c>
      <c r="W1154" t="s">
        <v>32</v>
      </c>
      <c r="X1154" t="s">
        <v>32</v>
      </c>
      <c r="Y1154" t="s">
        <v>32</v>
      </c>
      <c r="AA1154" t="s">
        <v>88</v>
      </c>
      <c r="AB1154" t="s">
        <v>32</v>
      </c>
      <c r="AE1154" t="s">
        <v>32</v>
      </c>
      <c r="AH1154" t="s">
        <v>32</v>
      </c>
      <c r="AK1154" t="s">
        <v>32</v>
      </c>
      <c r="AN1154" t="s">
        <v>32</v>
      </c>
      <c r="AO1154" t="s">
        <v>32</v>
      </c>
      <c r="AR1154">
        <v>0</v>
      </c>
      <c r="AU1154" t="s">
        <v>32</v>
      </c>
      <c r="AV1154">
        <v>3235758</v>
      </c>
      <c r="AW1154" t="s">
        <v>32</v>
      </c>
      <c r="AX1154" t="s">
        <v>32</v>
      </c>
      <c r="AY1154" t="s">
        <v>137</v>
      </c>
      <c r="AZ1154">
        <v>29</v>
      </c>
      <c r="BA1154">
        <v>3127900</v>
      </c>
      <c r="BB1154">
        <v>0.15999999642372131</v>
      </c>
      <c r="BC1154">
        <v>500500</v>
      </c>
      <c r="BD1154" t="s">
        <v>31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500500</v>
      </c>
      <c r="BK1154" t="s">
        <v>25</v>
      </c>
      <c r="BL1154" t="s">
        <v>635</v>
      </c>
      <c r="BM1154">
        <v>29</v>
      </c>
      <c r="BN1154">
        <v>3127900</v>
      </c>
      <c r="BO1154">
        <v>3.9999999105930328E-2</v>
      </c>
      <c r="BP1154">
        <v>125200</v>
      </c>
      <c r="BQ1154">
        <v>0</v>
      </c>
      <c r="BS1154">
        <v>0</v>
      </c>
      <c r="BU1154">
        <v>0</v>
      </c>
      <c r="BV1154" t="s">
        <v>25</v>
      </c>
      <c r="BW1154" t="s">
        <v>189</v>
      </c>
      <c r="BX1154">
        <v>29</v>
      </c>
      <c r="BY1154">
        <v>3127900</v>
      </c>
      <c r="BZ1154">
        <v>6.9600000977516174E-2</v>
      </c>
      <c r="CA1154" t="s">
        <v>1439</v>
      </c>
      <c r="CB1154" t="s">
        <v>227</v>
      </c>
      <c r="CC1154" t="s">
        <v>1440</v>
      </c>
      <c r="CD1154">
        <v>217800</v>
      </c>
      <c r="CE1154">
        <v>29</v>
      </c>
      <c r="CF1154" t="s">
        <v>635</v>
      </c>
      <c r="CG1154">
        <v>3127900</v>
      </c>
      <c r="CH1154">
        <v>3.9999999105930328E-2</v>
      </c>
      <c r="CI1154">
        <v>125200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 t="s">
        <v>88</v>
      </c>
      <c r="CT1154" t="s">
        <v>142</v>
      </c>
      <c r="CU1154" t="s">
        <v>1442</v>
      </c>
    </row>
    <row r="1155" spans="1:99">
      <c r="A1155" t="s">
        <v>3047</v>
      </c>
      <c r="B1155" t="s">
        <v>34</v>
      </c>
      <c r="C1155" t="s">
        <v>2797</v>
      </c>
      <c r="D1155" t="s">
        <v>2798</v>
      </c>
      <c r="E1155" t="s">
        <v>2799</v>
      </c>
      <c r="F1155" t="s">
        <v>1620</v>
      </c>
      <c r="G1155" t="s">
        <v>2800</v>
      </c>
      <c r="H1155" t="s">
        <v>1558</v>
      </c>
      <c r="I1155" t="s">
        <v>240</v>
      </c>
      <c r="J1155" t="s">
        <v>46</v>
      </c>
      <c r="K1155" t="s">
        <v>29</v>
      </c>
      <c r="L1155" t="s">
        <v>82</v>
      </c>
      <c r="M1155">
        <v>222</v>
      </c>
      <c r="N1155" t="s">
        <v>32</v>
      </c>
      <c r="O1155" t="s">
        <v>32</v>
      </c>
      <c r="Q1155" t="s">
        <v>32</v>
      </c>
      <c r="S1155" t="s">
        <v>32</v>
      </c>
      <c r="U1155" t="s">
        <v>32</v>
      </c>
      <c r="V1155" t="s">
        <v>32</v>
      </c>
      <c r="W1155" t="s">
        <v>32</v>
      </c>
      <c r="X1155" t="s">
        <v>32</v>
      </c>
      <c r="Y1155" t="s">
        <v>88</v>
      </c>
      <c r="Z1155">
        <v>46054</v>
      </c>
      <c r="AA1155" t="s">
        <v>88</v>
      </c>
      <c r="AB1155" t="s">
        <v>32</v>
      </c>
      <c r="AE1155" t="s">
        <v>32</v>
      </c>
      <c r="AH1155" t="s">
        <v>32</v>
      </c>
      <c r="AK1155" t="s">
        <v>32</v>
      </c>
      <c r="AN1155" t="s">
        <v>32</v>
      </c>
      <c r="AO1155" t="s">
        <v>32</v>
      </c>
      <c r="AR1155">
        <v>0</v>
      </c>
      <c r="AU1155" t="s">
        <v>32</v>
      </c>
      <c r="AV1155">
        <v>2469610</v>
      </c>
      <c r="AW1155" t="s">
        <v>32</v>
      </c>
      <c r="AX1155" t="s">
        <v>32</v>
      </c>
      <c r="AY1155" t="s">
        <v>25</v>
      </c>
      <c r="AZ1155">
        <v>0</v>
      </c>
      <c r="BA1155">
        <v>0</v>
      </c>
      <c r="BB1155">
        <v>0</v>
      </c>
      <c r="BC1155">
        <v>0</v>
      </c>
      <c r="BD1155" t="s">
        <v>31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 t="s">
        <v>25</v>
      </c>
      <c r="BL1155" t="s">
        <v>885</v>
      </c>
      <c r="BM1155">
        <v>30</v>
      </c>
      <c r="BN1155">
        <v>3543891</v>
      </c>
      <c r="BO1155">
        <v>3.9999999105930328E-2</v>
      </c>
      <c r="BP1155">
        <v>141800</v>
      </c>
      <c r="BQ1155">
        <v>0</v>
      </c>
      <c r="BS1155">
        <v>0</v>
      </c>
      <c r="BU1155">
        <v>0</v>
      </c>
      <c r="BV1155" t="s">
        <v>25</v>
      </c>
      <c r="BW1155" t="s">
        <v>189</v>
      </c>
      <c r="BX1155">
        <v>30</v>
      </c>
      <c r="BY1155">
        <v>3543891</v>
      </c>
      <c r="BZ1155">
        <v>6.9600000977516174E-2</v>
      </c>
      <c r="CA1155" t="s">
        <v>1439</v>
      </c>
      <c r="CB1155" t="s">
        <v>227</v>
      </c>
      <c r="CC1155" t="s">
        <v>1440</v>
      </c>
      <c r="CD1155">
        <v>246700</v>
      </c>
      <c r="CE1155">
        <v>30</v>
      </c>
      <c r="CF1155" t="s">
        <v>635</v>
      </c>
      <c r="CG1155">
        <v>3543891</v>
      </c>
      <c r="CH1155">
        <v>3.9999999105930328E-2</v>
      </c>
      <c r="CI1155">
        <v>141800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 t="s">
        <v>88</v>
      </c>
      <c r="CT1155" t="s">
        <v>142</v>
      </c>
      <c r="CU1155" t="s">
        <v>1442</v>
      </c>
    </row>
    <row r="1156" spans="1:99">
      <c r="A1156" t="s">
        <v>3047</v>
      </c>
      <c r="B1156" t="s">
        <v>34</v>
      </c>
      <c r="C1156" t="s">
        <v>2801</v>
      </c>
      <c r="D1156" t="s">
        <v>2802</v>
      </c>
      <c r="E1156" t="s">
        <v>2629</v>
      </c>
      <c r="F1156" t="s">
        <v>1913</v>
      </c>
      <c r="G1156" t="s">
        <v>1570</v>
      </c>
      <c r="H1156" t="s">
        <v>1552</v>
      </c>
      <c r="I1156" t="s">
        <v>240</v>
      </c>
      <c r="J1156" t="s">
        <v>46</v>
      </c>
      <c r="K1156" t="s">
        <v>29</v>
      </c>
      <c r="L1156" t="s">
        <v>30</v>
      </c>
      <c r="M1156">
        <v>180</v>
      </c>
      <c r="N1156" t="s">
        <v>32</v>
      </c>
      <c r="O1156" t="s">
        <v>32</v>
      </c>
      <c r="Q1156" t="s">
        <v>32</v>
      </c>
      <c r="S1156" t="s">
        <v>32</v>
      </c>
      <c r="U1156" t="s">
        <v>32</v>
      </c>
      <c r="V1156" t="s">
        <v>32</v>
      </c>
      <c r="W1156" t="s">
        <v>32</v>
      </c>
      <c r="X1156" t="s">
        <v>32</v>
      </c>
      <c r="Y1156" t="s">
        <v>88</v>
      </c>
      <c r="Z1156">
        <v>46054</v>
      </c>
      <c r="AA1156" t="s">
        <v>88</v>
      </c>
      <c r="AB1156" t="s">
        <v>32</v>
      </c>
      <c r="AE1156" t="s">
        <v>32</v>
      </c>
      <c r="AH1156" t="s">
        <v>32</v>
      </c>
      <c r="AK1156" t="s">
        <v>32</v>
      </c>
      <c r="AN1156" t="s">
        <v>32</v>
      </c>
      <c r="AO1156" t="s">
        <v>32</v>
      </c>
      <c r="AR1156">
        <v>0</v>
      </c>
      <c r="AU1156" t="s">
        <v>32</v>
      </c>
      <c r="AV1156">
        <v>6384779</v>
      </c>
      <c r="AW1156" t="s">
        <v>32</v>
      </c>
      <c r="AX1156" t="s">
        <v>32</v>
      </c>
      <c r="AY1156" t="s">
        <v>185</v>
      </c>
      <c r="AZ1156">
        <v>30</v>
      </c>
      <c r="BA1156">
        <v>6384779</v>
      </c>
      <c r="BB1156">
        <v>0.15999999642372131</v>
      </c>
      <c r="BC1156">
        <v>1021600</v>
      </c>
      <c r="BD1156" t="s">
        <v>31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1021600</v>
      </c>
      <c r="BK1156" t="s">
        <v>25</v>
      </c>
      <c r="BL1156" t="s">
        <v>635</v>
      </c>
      <c r="BM1156">
        <v>30</v>
      </c>
      <c r="BN1156">
        <v>6384779</v>
      </c>
      <c r="BO1156">
        <v>3.9999999105930328E-2</v>
      </c>
      <c r="BP1156">
        <v>255400</v>
      </c>
      <c r="BQ1156">
        <v>0</v>
      </c>
      <c r="BS1156">
        <v>0</v>
      </c>
      <c r="BU1156">
        <v>0</v>
      </c>
      <c r="BV1156" t="s">
        <v>25</v>
      </c>
      <c r="BW1156" t="s">
        <v>189</v>
      </c>
      <c r="BX1156">
        <v>30</v>
      </c>
      <c r="BY1156">
        <v>6384779</v>
      </c>
      <c r="BZ1156">
        <v>6.9600000977516174E-2</v>
      </c>
      <c r="CA1156" t="s">
        <v>1439</v>
      </c>
      <c r="CB1156" t="s">
        <v>227</v>
      </c>
      <c r="CC1156" t="s">
        <v>1440</v>
      </c>
      <c r="CD1156">
        <v>444400</v>
      </c>
      <c r="CE1156">
        <v>30</v>
      </c>
      <c r="CF1156" t="s">
        <v>635</v>
      </c>
      <c r="CG1156">
        <v>6384779</v>
      </c>
      <c r="CH1156">
        <v>3.9999999105930328E-2</v>
      </c>
      <c r="CI1156">
        <v>255400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 t="s">
        <v>88</v>
      </c>
      <c r="CT1156" t="s">
        <v>142</v>
      </c>
      <c r="CU1156" t="s">
        <v>1442</v>
      </c>
    </row>
    <row r="1157" spans="1:99">
      <c r="A1157" t="s">
        <v>3047</v>
      </c>
      <c r="B1157" t="s">
        <v>34</v>
      </c>
      <c r="C1157" t="s">
        <v>2803</v>
      </c>
      <c r="D1157" t="s">
        <v>2804</v>
      </c>
      <c r="E1157" t="s">
        <v>1616</v>
      </c>
      <c r="F1157" t="s">
        <v>1620</v>
      </c>
      <c r="G1157" t="s">
        <v>1489</v>
      </c>
      <c r="H1157" t="s">
        <v>1558</v>
      </c>
      <c r="I1157" t="s">
        <v>240</v>
      </c>
      <c r="J1157" t="s">
        <v>46</v>
      </c>
      <c r="K1157" t="s">
        <v>29</v>
      </c>
      <c r="L1157" t="s">
        <v>30</v>
      </c>
      <c r="M1157">
        <v>0</v>
      </c>
      <c r="N1157" t="s">
        <v>32</v>
      </c>
      <c r="O1157" t="s">
        <v>32</v>
      </c>
      <c r="Q1157" t="s">
        <v>32</v>
      </c>
      <c r="S1157" t="s">
        <v>32</v>
      </c>
      <c r="U1157" t="s">
        <v>32</v>
      </c>
      <c r="V1157" t="s">
        <v>32</v>
      </c>
      <c r="W1157" t="s">
        <v>32</v>
      </c>
      <c r="X1157" t="s">
        <v>32</v>
      </c>
      <c r="Y1157" t="s">
        <v>32</v>
      </c>
      <c r="AA1157" t="s">
        <v>32</v>
      </c>
      <c r="AB1157" t="s">
        <v>32</v>
      </c>
      <c r="AE1157" t="s">
        <v>32</v>
      </c>
      <c r="AH1157" t="s">
        <v>32</v>
      </c>
      <c r="AK1157" t="s">
        <v>128</v>
      </c>
      <c r="AL1157">
        <v>46069</v>
      </c>
      <c r="AM1157">
        <v>46073</v>
      </c>
      <c r="AN1157" t="s">
        <v>32</v>
      </c>
      <c r="AO1157" t="s">
        <v>32</v>
      </c>
      <c r="AR1157">
        <v>0</v>
      </c>
      <c r="AU1157" t="s">
        <v>32</v>
      </c>
      <c r="AV1157">
        <v>8367173</v>
      </c>
      <c r="AW1157" t="s">
        <v>32</v>
      </c>
      <c r="AX1157" t="s">
        <v>32</v>
      </c>
      <c r="AY1157" t="s">
        <v>185</v>
      </c>
      <c r="AZ1157">
        <v>5</v>
      </c>
      <c r="BA1157">
        <v>1394529</v>
      </c>
      <c r="BB1157">
        <v>0.15999999642372131</v>
      </c>
      <c r="BC1157">
        <v>223200</v>
      </c>
      <c r="BD1157" t="s">
        <v>31</v>
      </c>
      <c r="BE1157">
        <v>0</v>
      </c>
      <c r="BF1157">
        <v>0</v>
      </c>
      <c r="BG1157">
        <v>7000</v>
      </c>
      <c r="BH1157">
        <v>7000</v>
      </c>
      <c r="BI1157">
        <v>0</v>
      </c>
      <c r="BJ1157">
        <v>237200</v>
      </c>
      <c r="BK1157" t="s">
        <v>25</v>
      </c>
      <c r="BL1157" t="s">
        <v>1071</v>
      </c>
      <c r="BM1157">
        <v>5</v>
      </c>
      <c r="BN1157">
        <v>1394529</v>
      </c>
      <c r="BO1157">
        <v>3.9999999105930328E-2</v>
      </c>
      <c r="BP1157">
        <v>55800</v>
      </c>
      <c r="BQ1157">
        <v>0</v>
      </c>
      <c r="BS1157">
        <v>0</v>
      </c>
      <c r="BU1157">
        <v>0</v>
      </c>
      <c r="BV1157" t="s">
        <v>25</v>
      </c>
      <c r="BW1157" t="s">
        <v>189</v>
      </c>
      <c r="BX1157">
        <v>5</v>
      </c>
      <c r="BY1157">
        <v>1394529</v>
      </c>
      <c r="BZ1157">
        <v>0</v>
      </c>
      <c r="CA1157" t="s">
        <v>1439</v>
      </c>
      <c r="CB1157" t="s">
        <v>227</v>
      </c>
      <c r="CC1157" t="s">
        <v>1440</v>
      </c>
      <c r="CD1157">
        <v>0</v>
      </c>
      <c r="CE1157">
        <v>5</v>
      </c>
      <c r="CF1157" t="s">
        <v>635</v>
      </c>
      <c r="CG1157">
        <v>1394529</v>
      </c>
      <c r="CH1157">
        <v>3.9999999105930328E-2</v>
      </c>
      <c r="CI1157">
        <v>55800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 t="s">
        <v>88</v>
      </c>
      <c r="CT1157" t="s">
        <v>142</v>
      </c>
      <c r="CU1157" t="s">
        <v>1442</v>
      </c>
    </row>
    <row r="1158" spans="1:99">
      <c r="A1158" t="s">
        <v>3047</v>
      </c>
      <c r="B1158" t="s">
        <v>34</v>
      </c>
      <c r="C1158" t="s">
        <v>2803</v>
      </c>
      <c r="D1158" t="s">
        <v>2804</v>
      </c>
      <c r="E1158" t="s">
        <v>1616</v>
      </c>
      <c r="F1158" t="s">
        <v>1620</v>
      </c>
      <c r="G1158" t="s">
        <v>1489</v>
      </c>
      <c r="H1158" t="s">
        <v>1558</v>
      </c>
      <c r="I1158" t="s">
        <v>240</v>
      </c>
      <c r="J1158" t="s">
        <v>46</v>
      </c>
      <c r="K1158" t="s">
        <v>29</v>
      </c>
      <c r="L1158" t="s">
        <v>30</v>
      </c>
      <c r="M1158">
        <v>135</v>
      </c>
      <c r="N1158" t="s">
        <v>32</v>
      </c>
      <c r="O1158" t="s">
        <v>32</v>
      </c>
      <c r="Q1158" t="s">
        <v>32</v>
      </c>
      <c r="S1158" t="s">
        <v>32</v>
      </c>
      <c r="U1158" t="s">
        <v>32</v>
      </c>
      <c r="V1158" t="s">
        <v>32</v>
      </c>
      <c r="W1158" t="s">
        <v>32</v>
      </c>
      <c r="X1158" t="s">
        <v>32</v>
      </c>
      <c r="Y1158" t="s">
        <v>88</v>
      </c>
      <c r="Z1158">
        <v>46054</v>
      </c>
      <c r="AA1158" t="s">
        <v>88</v>
      </c>
      <c r="AB1158" t="s">
        <v>32</v>
      </c>
      <c r="AE1158" t="s">
        <v>32</v>
      </c>
      <c r="AH1158" t="s">
        <v>32</v>
      </c>
      <c r="AK1158" t="s">
        <v>32</v>
      </c>
      <c r="AN1158" t="s">
        <v>32</v>
      </c>
      <c r="AO1158" t="s">
        <v>32</v>
      </c>
      <c r="AR1158">
        <v>0</v>
      </c>
      <c r="AU1158" t="s">
        <v>32</v>
      </c>
      <c r="AV1158">
        <v>8367173</v>
      </c>
      <c r="AW1158" t="s">
        <v>32</v>
      </c>
      <c r="AX1158" t="s">
        <v>32</v>
      </c>
      <c r="AY1158" t="s">
        <v>185</v>
      </c>
      <c r="AZ1158">
        <v>25</v>
      </c>
      <c r="BA1158">
        <v>6972645</v>
      </c>
      <c r="BB1158">
        <v>0.15999999642372131</v>
      </c>
      <c r="BC1158">
        <v>1115700</v>
      </c>
      <c r="BD1158" t="s">
        <v>31</v>
      </c>
      <c r="BE1158">
        <v>0</v>
      </c>
      <c r="BF1158">
        <v>0</v>
      </c>
      <c r="BG1158">
        <v>34900</v>
      </c>
      <c r="BH1158">
        <v>34900</v>
      </c>
      <c r="BI1158">
        <v>0</v>
      </c>
      <c r="BJ1158">
        <v>1185500</v>
      </c>
      <c r="BK1158" t="s">
        <v>25</v>
      </c>
      <c r="BL1158" t="s">
        <v>1071</v>
      </c>
      <c r="BM1158">
        <v>25</v>
      </c>
      <c r="BN1158">
        <v>6972645</v>
      </c>
      <c r="BO1158">
        <v>3.9999999105930328E-2</v>
      </c>
      <c r="BP1158">
        <v>279000</v>
      </c>
      <c r="BQ1158">
        <v>0</v>
      </c>
      <c r="BS1158">
        <v>0</v>
      </c>
      <c r="BU1158">
        <v>0</v>
      </c>
      <c r="BV1158" t="s">
        <v>25</v>
      </c>
      <c r="BW1158" t="s">
        <v>189</v>
      </c>
      <c r="BX1158">
        <v>25</v>
      </c>
      <c r="BY1158">
        <v>6972645</v>
      </c>
      <c r="BZ1158">
        <v>6.9600000977516174E-2</v>
      </c>
      <c r="CA1158" t="s">
        <v>1439</v>
      </c>
      <c r="CB1158" t="s">
        <v>227</v>
      </c>
      <c r="CC1158" t="s">
        <v>1440</v>
      </c>
      <c r="CD1158">
        <v>485300</v>
      </c>
      <c r="CE1158">
        <v>25</v>
      </c>
      <c r="CF1158" t="s">
        <v>635</v>
      </c>
      <c r="CG1158">
        <v>6972645</v>
      </c>
      <c r="CH1158">
        <v>3.9999999105930328E-2</v>
      </c>
      <c r="CI1158">
        <v>279000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 t="s">
        <v>88</v>
      </c>
      <c r="CT1158" t="s">
        <v>142</v>
      </c>
      <c r="CU1158" t="s">
        <v>1442</v>
      </c>
    </row>
    <row r="1159" spans="1:99">
      <c r="A1159" t="s">
        <v>3047</v>
      </c>
      <c r="B1159" t="s">
        <v>34</v>
      </c>
      <c r="C1159" t="s">
        <v>2805</v>
      </c>
      <c r="D1159" t="s">
        <v>2806</v>
      </c>
      <c r="E1159" t="s">
        <v>778</v>
      </c>
      <c r="F1159" t="s">
        <v>1483</v>
      </c>
      <c r="G1159" t="s">
        <v>1479</v>
      </c>
      <c r="H1159" t="s">
        <v>2807</v>
      </c>
      <c r="I1159" t="s">
        <v>240</v>
      </c>
      <c r="J1159" t="s">
        <v>46</v>
      </c>
      <c r="K1159" t="s">
        <v>29</v>
      </c>
      <c r="L1159" t="s">
        <v>30</v>
      </c>
      <c r="M1159">
        <v>180</v>
      </c>
      <c r="N1159" t="s">
        <v>32</v>
      </c>
      <c r="O1159" t="s">
        <v>32</v>
      </c>
      <c r="Q1159" t="s">
        <v>32</v>
      </c>
      <c r="S1159" t="s">
        <v>32</v>
      </c>
      <c r="U1159" t="s">
        <v>32</v>
      </c>
      <c r="V1159" t="s">
        <v>32</v>
      </c>
      <c r="W1159" t="s">
        <v>32</v>
      </c>
      <c r="X1159" t="s">
        <v>32</v>
      </c>
      <c r="Y1159" t="s">
        <v>32</v>
      </c>
      <c r="AA1159" t="s">
        <v>88</v>
      </c>
      <c r="AB1159" t="s">
        <v>32</v>
      </c>
      <c r="AE1159" t="s">
        <v>32</v>
      </c>
      <c r="AH1159" t="s">
        <v>32</v>
      </c>
      <c r="AK1159" t="s">
        <v>32</v>
      </c>
      <c r="AN1159" t="s">
        <v>32</v>
      </c>
      <c r="AO1159" t="s">
        <v>32</v>
      </c>
      <c r="AR1159">
        <v>0</v>
      </c>
      <c r="AU1159" t="s">
        <v>32</v>
      </c>
      <c r="AV1159">
        <v>16882380</v>
      </c>
      <c r="AW1159" t="s">
        <v>32</v>
      </c>
      <c r="AX1159" t="s">
        <v>32</v>
      </c>
      <c r="AY1159" t="s">
        <v>185</v>
      </c>
      <c r="AZ1159">
        <v>30</v>
      </c>
      <c r="BA1159">
        <v>16882380</v>
      </c>
      <c r="BB1159">
        <v>0.15999999642372131</v>
      </c>
      <c r="BC1159">
        <v>2701200</v>
      </c>
      <c r="BD1159" t="s">
        <v>31</v>
      </c>
      <c r="BE1159">
        <v>0</v>
      </c>
      <c r="BF1159">
        <v>0</v>
      </c>
      <c r="BG1159">
        <v>84500</v>
      </c>
      <c r="BH1159">
        <v>84500</v>
      </c>
      <c r="BI1159">
        <v>0</v>
      </c>
      <c r="BJ1159">
        <v>2870200</v>
      </c>
      <c r="BK1159" t="s">
        <v>25</v>
      </c>
      <c r="BL1159" t="s">
        <v>1071</v>
      </c>
      <c r="BM1159">
        <v>30</v>
      </c>
      <c r="BN1159">
        <v>16882380</v>
      </c>
      <c r="BO1159">
        <v>0.125</v>
      </c>
      <c r="BP1159">
        <v>2110300</v>
      </c>
      <c r="BQ1159">
        <v>0</v>
      </c>
      <c r="BS1159">
        <v>0</v>
      </c>
      <c r="BU1159">
        <v>0</v>
      </c>
      <c r="BV1159" t="s">
        <v>25</v>
      </c>
      <c r="BW1159" t="s">
        <v>189</v>
      </c>
      <c r="BX1159">
        <v>30</v>
      </c>
      <c r="BY1159">
        <v>16882380</v>
      </c>
      <c r="BZ1159">
        <v>6.9600000977516174E-2</v>
      </c>
      <c r="CA1159" t="s">
        <v>1439</v>
      </c>
      <c r="CB1159" t="s">
        <v>227</v>
      </c>
      <c r="CC1159" t="s">
        <v>1440</v>
      </c>
      <c r="CD1159">
        <v>1175100</v>
      </c>
      <c r="CE1159">
        <v>30</v>
      </c>
      <c r="CF1159" t="s">
        <v>635</v>
      </c>
      <c r="CG1159">
        <v>16882380</v>
      </c>
      <c r="CH1159">
        <v>3.9999999105930328E-2</v>
      </c>
      <c r="CI1159">
        <v>675300</v>
      </c>
      <c r="CJ1159">
        <v>16882380</v>
      </c>
      <c r="CK1159">
        <v>1.9999999552965164E-2</v>
      </c>
      <c r="CL1159">
        <v>337700</v>
      </c>
      <c r="CM1159">
        <v>2.9999999329447746E-2</v>
      </c>
      <c r="CN1159">
        <v>506500</v>
      </c>
      <c r="CO1159">
        <v>0</v>
      </c>
      <c r="CP1159">
        <v>0</v>
      </c>
      <c r="CQ1159">
        <v>0</v>
      </c>
      <c r="CR1159">
        <v>0</v>
      </c>
      <c r="CS1159" t="s">
        <v>32</v>
      </c>
      <c r="CT1159" t="s">
        <v>142</v>
      </c>
      <c r="CU1159" t="s">
        <v>1442</v>
      </c>
    </row>
    <row r="1160" spans="1:99">
      <c r="A1160" t="s">
        <v>3047</v>
      </c>
      <c r="B1160" t="s">
        <v>34</v>
      </c>
      <c r="C1160" t="s">
        <v>2808</v>
      </c>
      <c r="D1160" t="s">
        <v>2809</v>
      </c>
      <c r="E1160" t="s">
        <v>2754</v>
      </c>
      <c r="F1160" t="s">
        <v>1705</v>
      </c>
      <c r="G1160" t="s">
        <v>1608</v>
      </c>
      <c r="H1160" t="s">
        <v>1558</v>
      </c>
      <c r="I1160" t="s">
        <v>240</v>
      </c>
      <c r="J1160" t="s">
        <v>46</v>
      </c>
      <c r="K1160" t="s">
        <v>29</v>
      </c>
      <c r="L1160" t="s">
        <v>30</v>
      </c>
      <c r="M1160">
        <v>188</v>
      </c>
      <c r="N1160" t="s">
        <v>32</v>
      </c>
      <c r="O1160" t="s">
        <v>32</v>
      </c>
      <c r="Q1160" t="s">
        <v>32</v>
      </c>
      <c r="S1160" t="s">
        <v>32</v>
      </c>
      <c r="U1160" t="s">
        <v>32</v>
      </c>
      <c r="V1160" t="s">
        <v>32</v>
      </c>
      <c r="W1160" t="s">
        <v>32</v>
      </c>
      <c r="X1160" t="s">
        <v>32</v>
      </c>
      <c r="Y1160" t="s">
        <v>88</v>
      </c>
      <c r="Z1160">
        <v>46054</v>
      </c>
      <c r="AA1160" t="s">
        <v>88</v>
      </c>
      <c r="AB1160" t="s">
        <v>32</v>
      </c>
      <c r="AE1160" t="s">
        <v>32</v>
      </c>
      <c r="AH1160" t="s">
        <v>32</v>
      </c>
      <c r="AK1160" t="s">
        <v>32</v>
      </c>
      <c r="AN1160" t="s">
        <v>32</v>
      </c>
      <c r="AO1160" t="s">
        <v>32</v>
      </c>
      <c r="AR1160">
        <v>0</v>
      </c>
      <c r="AU1160" t="s">
        <v>32</v>
      </c>
      <c r="AV1160">
        <v>24711738</v>
      </c>
      <c r="AW1160" t="s">
        <v>88</v>
      </c>
      <c r="AX1160" t="s">
        <v>1558</v>
      </c>
      <c r="AY1160" t="s">
        <v>185</v>
      </c>
      <c r="AZ1160">
        <v>30</v>
      </c>
      <c r="BA1160">
        <v>17298217</v>
      </c>
      <c r="BB1160">
        <v>0.15999999642372131</v>
      </c>
      <c r="BC1160">
        <v>2767800</v>
      </c>
      <c r="BD1160" t="s">
        <v>31</v>
      </c>
      <c r="BE1160">
        <v>0</v>
      </c>
      <c r="BF1160">
        <v>0</v>
      </c>
      <c r="BG1160">
        <v>86500</v>
      </c>
      <c r="BH1160">
        <v>86500</v>
      </c>
      <c r="BI1160">
        <v>0</v>
      </c>
      <c r="BJ1160">
        <v>2940800</v>
      </c>
      <c r="BK1160" t="s">
        <v>25</v>
      </c>
      <c r="BL1160" t="s">
        <v>1071</v>
      </c>
      <c r="BM1160">
        <v>30</v>
      </c>
      <c r="BN1160">
        <v>17298217</v>
      </c>
      <c r="BO1160">
        <v>0.125</v>
      </c>
      <c r="BP1160">
        <v>2162300</v>
      </c>
      <c r="BQ1160">
        <v>0</v>
      </c>
      <c r="BS1160">
        <v>0</v>
      </c>
      <c r="BU1160">
        <v>0</v>
      </c>
      <c r="BV1160" t="s">
        <v>25</v>
      </c>
      <c r="BW1160" t="s">
        <v>189</v>
      </c>
      <c r="BX1160">
        <v>30</v>
      </c>
      <c r="BY1160">
        <v>17298217</v>
      </c>
      <c r="BZ1160">
        <v>6.9600000977516174E-2</v>
      </c>
      <c r="CA1160" t="s">
        <v>1439</v>
      </c>
      <c r="CB1160" t="s">
        <v>227</v>
      </c>
      <c r="CC1160" t="s">
        <v>1440</v>
      </c>
      <c r="CD1160">
        <v>1204000</v>
      </c>
      <c r="CE1160">
        <v>30</v>
      </c>
      <c r="CF1160" t="s">
        <v>635</v>
      </c>
      <c r="CG1160">
        <v>17298217</v>
      </c>
      <c r="CH1160">
        <v>3.9999999105930328E-2</v>
      </c>
      <c r="CI1160">
        <v>692000</v>
      </c>
      <c r="CJ1160">
        <v>17298217</v>
      </c>
      <c r="CK1160">
        <v>1.9999999552965164E-2</v>
      </c>
      <c r="CL1160">
        <v>346000</v>
      </c>
      <c r="CM1160">
        <v>2.9999999329447746E-2</v>
      </c>
      <c r="CN1160">
        <v>519000</v>
      </c>
      <c r="CO1160">
        <v>0</v>
      </c>
      <c r="CP1160">
        <v>0</v>
      </c>
      <c r="CQ1160">
        <v>0</v>
      </c>
      <c r="CR1160">
        <v>0</v>
      </c>
      <c r="CS1160" t="s">
        <v>32</v>
      </c>
      <c r="CT1160" t="s">
        <v>142</v>
      </c>
      <c r="CU1160" t="s">
        <v>1442</v>
      </c>
    </row>
    <row r="1161" spans="1:99">
      <c r="A1161" t="s">
        <v>3047</v>
      </c>
      <c r="B1161" t="s">
        <v>34</v>
      </c>
      <c r="C1161" t="s">
        <v>2810</v>
      </c>
      <c r="D1161" t="s">
        <v>2811</v>
      </c>
      <c r="E1161" t="s">
        <v>1144</v>
      </c>
      <c r="F1161" t="s">
        <v>1977</v>
      </c>
      <c r="G1161" t="s">
        <v>1489</v>
      </c>
      <c r="H1161" t="s">
        <v>1965</v>
      </c>
      <c r="I1161" t="s">
        <v>240</v>
      </c>
      <c r="J1161" t="s">
        <v>46</v>
      </c>
      <c r="K1161" t="s">
        <v>29</v>
      </c>
      <c r="L1161" t="s">
        <v>30</v>
      </c>
      <c r="M1161">
        <v>180</v>
      </c>
      <c r="N1161" t="s">
        <v>32</v>
      </c>
      <c r="O1161" t="s">
        <v>32</v>
      </c>
      <c r="Q1161" t="s">
        <v>32</v>
      </c>
      <c r="S1161" t="s">
        <v>32</v>
      </c>
      <c r="U1161" t="s">
        <v>32</v>
      </c>
      <c r="V1161" t="s">
        <v>32</v>
      </c>
      <c r="W1161" t="s">
        <v>32</v>
      </c>
      <c r="X1161" t="s">
        <v>32</v>
      </c>
      <c r="Y1161" t="s">
        <v>32</v>
      </c>
      <c r="AA1161" t="s">
        <v>88</v>
      </c>
      <c r="AB1161" t="s">
        <v>32</v>
      </c>
      <c r="AE1161" t="s">
        <v>32</v>
      </c>
      <c r="AH1161" t="s">
        <v>32</v>
      </c>
      <c r="AK1161" t="s">
        <v>32</v>
      </c>
      <c r="AN1161" t="s">
        <v>32</v>
      </c>
      <c r="AO1161" t="s">
        <v>32</v>
      </c>
      <c r="AR1161">
        <v>0</v>
      </c>
      <c r="AU1161" t="s">
        <v>32</v>
      </c>
      <c r="AV1161">
        <v>7189330</v>
      </c>
      <c r="AW1161" t="s">
        <v>32</v>
      </c>
      <c r="AX1161" t="s">
        <v>32</v>
      </c>
      <c r="AY1161" t="s">
        <v>185</v>
      </c>
      <c r="AZ1161">
        <v>30</v>
      </c>
      <c r="BA1161">
        <v>7189330</v>
      </c>
      <c r="BB1161">
        <v>0.15999999642372131</v>
      </c>
      <c r="BC1161">
        <v>1150300</v>
      </c>
      <c r="BD1161" t="s">
        <v>31</v>
      </c>
      <c r="BE1161">
        <v>0</v>
      </c>
      <c r="BF1161">
        <v>0</v>
      </c>
      <c r="BG1161">
        <v>36000</v>
      </c>
      <c r="BH1161">
        <v>36000</v>
      </c>
      <c r="BI1161">
        <v>0</v>
      </c>
      <c r="BJ1161">
        <v>1222300</v>
      </c>
      <c r="BK1161" t="s">
        <v>25</v>
      </c>
      <c r="BL1161" t="s">
        <v>1064</v>
      </c>
      <c r="BM1161">
        <v>30</v>
      </c>
      <c r="BN1161">
        <v>7189330</v>
      </c>
      <c r="BO1161">
        <v>3.9999999105930328E-2</v>
      </c>
      <c r="BP1161">
        <v>287600</v>
      </c>
      <c r="BQ1161">
        <v>0</v>
      </c>
      <c r="BS1161">
        <v>0</v>
      </c>
      <c r="BU1161">
        <v>0</v>
      </c>
      <c r="BV1161" t="s">
        <v>25</v>
      </c>
      <c r="BW1161" t="s">
        <v>189</v>
      </c>
      <c r="BX1161">
        <v>30</v>
      </c>
      <c r="BY1161">
        <v>7189330</v>
      </c>
      <c r="BZ1161">
        <v>6.9600000977516174E-2</v>
      </c>
      <c r="CA1161" t="s">
        <v>1439</v>
      </c>
      <c r="CB1161" t="s">
        <v>227</v>
      </c>
      <c r="CC1161" t="s">
        <v>1440</v>
      </c>
      <c r="CD1161">
        <v>500400</v>
      </c>
      <c r="CE1161">
        <v>30</v>
      </c>
      <c r="CF1161" t="s">
        <v>635</v>
      </c>
      <c r="CG1161">
        <v>7189330</v>
      </c>
      <c r="CH1161">
        <v>3.9999999105930328E-2</v>
      </c>
      <c r="CI1161">
        <v>287600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 t="s">
        <v>88</v>
      </c>
      <c r="CT1161" t="s">
        <v>142</v>
      </c>
      <c r="CU1161" t="s">
        <v>1442</v>
      </c>
    </row>
    <row r="1162" spans="1:99">
      <c r="A1162" t="s">
        <v>3047</v>
      </c>
      <c r="B1162" t="s">
        <v>34</v>
      </c>
      <c r="C1162" t="s">
        <v>2812</v>
      </c>
      <c r="D1162" t="s">
        <v>2813</v>
      </c>
      <c r="E1162" t="s">
        <v>1210</v>
      </c>
      <c r="F1162" t="s">
        <v>968</v>
      </c>
      <c r="G1162" t="s">
        <v>2814</v>
      </c>
      <c r="H1162" t="s">
        <v>2815</v>
      </c>
      <c r="I1162" t="s">
        <v>240</v>
      </c>
      <c r="J1162" t="s">
        <v>46</v>
      </c>
      <c r="K1162" t="s">
        <v>29</v>
      </c>
      <c r="L1162" t="s">
        <v>30</v>
      </c>
      <c r="M1162">
        <v>180</v>
      </c>
      <c r="N1162" t="s">
        <v>32</v>
      </c>
      <c r="O1162" t="s">
        <v>32</v>
      </c>
      <c r="Q1162" t="s">
        <v>32</v>
      </c>
      <c r="S1162" t="s">
        <v>32</v>
      </c>
      <c r="U1162" t="s">
        <v>32</v>
      </c>
      <c r="V1162" t="s">
        <v>32</v>
      </c>
      <c r="W1162" t="s">
        <v>32</v>
      </c>
      <c r="X1162" t="s">
        <v>32</v>
      </c>
      <c r="Y1162" t="s">
        <v>88</v>
      </c>
      <c r="Z1162">
        <v>46054</v>
      </c>
      <c r="AA1162" t="s">
        <v>88</v>
      </c>
      <c r="AB1162" t="s">
        <v>32</v>
      </c>
      <c r="AE1162" t="s">
        <v>32</v>
      </c>
      <c r="AH1162" t="s">
        <v>32</v>
      </c>
      <c r="AK1162" t="s">
        <v>32</v>
      </c>
      <c r="AN1162" t="s">
        <v>32</v>
      </c>
      <c r="AO1162" t="s">
        <v>32</v>
      </c>
      <c r="AR1162">
        <v>0</v>
      </c>
      <c r="AU1162" t="s">
        <v>32</v>
      </c>
      <c r="AV1162">
        <v>3761020</v>
      </c>
      <c r="AW1162" t="s">
        <v>32</v>
      </c>
      <c r="AX1162" t="s">
        <v>32</v>
      </c>
      <c r="AY1162" t="s">
        <v>185</v>
      </c>
      <c r="AZ1162">
        <v>30</v>
      </c>
      <c r="BA1162">
        <v>3761020</v>
      </c>
      <c r="BB1162">
        <v>0.15999999642372131</v>
      </c>
      <c r="BC1162">
        <v>601800</v>
      </c>
      <c r="BD1162" t="s">
        <v>31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601800</v>
      </c>
      <c r="BK1162" t="s">
        <v>25</v>
      </c>
      <c r="BL1162" t="s">
        <v>1064</v>
      </c>
      <c r="BM1162">
        <v>30</v>
      </c>
      <c r="BN1162">
        <v>3761020</v>
      </c>
      <c r="BO1162">
        <v>3.9999999105930328E-2</v>
      </c>
      <c r="BP1162">
        <v>150500</v>
      </c>
      <c r="BQ1162">
        <v>0</v>
      </c>
      <c r="BS1162">
        <v>0</v>
      </c>
      <c r="BU1162">
        <v>0</v>
      </c>
      <c r="BV1162" t="s">
        <v>25</v>
      </c>
      <c r="BW1162" t="s">
        <v>189</v>
      </c>
      <c r="BX1162">
        <v>30</v>
      </c>
      <c r="BY1162">
        <v>3761020</v>
      </c>
      <c r="BZ1162">
        <v>6.9600000977516174E-2</v>
      </c>
      <c r="CA1162" t="s">
        <v>1439</v>
      </c>
      <c r="CB1162" t="s">
        <v>227</v>
      </c>
      <c r="CC1162" t="s">
        <v>1440</v>
      </c>
      <c r="CD1162">
        <v>261800</v>
      </c>
      <c r="CE1162">
        <v>30</v>
      </c>
      <c r="CF1162" t="s">
        <v>635</v>
      </c>
      <c r="CG1162">
        <v>3761020</v>
      </c>
      <c r="CH1162">
        <v>3.9999999105930328E-2</v>
      </c>
      <c r="CI1162">
        <v>150500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 t="s">
        <v>88</v>
      </c>
      <c r="CT1162" t="s">
        <v>142</v>
      </c>
      <c r="CU1162" t="s">
        <v>1442</v>
      </c>
    </row>
    <row r="1163" spans="1:99">
      <c r="A1163" t="s">
        <v>3047</v>
      </c>
      <c r="B1163" t="s">
        <v>34</v>
      </c>
      <c r="C1163" t="s">
        <v>2816</v>
      </c>
      <c r="D1163" t="s">
        <v>2817</v>
      </c>
      <c r="E1163" t="s">
        <v>2818</v>
      </c>
      <c r="F1163" t="s">
        <v>2819</v>
      </c>
      <c r="G1163" t="s">
        <v>2136</v>
      </c>
      <c r="H1163" t="s">
        <v>1558</v>
      </c>
      <c r="I1163" t="s">
        <v>240</v>
      </c>
      <c r="J1163" t="s">
        <v>46</v>
      </c>
      <c r="K1163" t="s">
        <v>29</v>
      </c>
      <c r="L1163" t="s">
        <v>30</v>
      </c>
      <c r="M1163">
        <v>210</v>
      </c>
      <c r="N1163" t="s">
        <v>32</v>
      </c>
      <c r="O1163" t="s">
        <v>32</v>
      </c>
      <c r="Q1163" t="s">
        <v>32</v>
      </c>
      <c r="S1163" t="s">
        <v>32</v>
      </c>
      <c r="U1163" t="s">
        <v>32</v>
      </c>
      <c r="V1163" t="s">
        <v>32</v>
      </c>
      <c r="W1163" t="s">
        <v>32</v>
      </c>
      <c r="X1163" t="s">
        <v>32</v>
      </c>
      <c r="Y1163" t="s">
        <v>32</v>
      </c>
      <c r="AA1163" t="s">
        <v>88</v>
      </c>
      <c r="AB1163" t="s">
        <v>32</v>
      </c>
      <c r="AE1163" t="s">
        <v>32</v>
      </c>
      <c r="AH1163" t="s">
        <v>32</v>
      </c>
      <c r="AK1163" t="s">
        <v>32</v>
      </c>
      <c r="AN1163" t="s">
        <v>32</v>
      </c>
      <c r="AO1163" t="s">
        <v>32</v>
      </c>
      <c r="AR1163">
        <v>0</v>
      </c>
      <c r="AU1163" t="s">
        <v>32</v>
      </c>
      <c r="AV1163">
        <v>2891569</v>
      </c>
      <c r="AW1163" t="s">
        <v>32</v>
      </c>
      <c r="AX1163" t="s">
        <v>32</v>
      </c>
      <c r="AY1163" t="s">
        <v>185</v>
      </c>
      <c r="AZ1163">
        <v>30</v>
      </c>
      <c r="BA1163">
        <v>3550059</v>
      </c>
      <c r="BB1163">
        <v>0.15999999642372131</v>
      </c>
      <c r="BC1163">
        <v>568100</v>
      </c>
      <c r="BD1163" t="s">
        <v>31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568100</v>
      </c>
      <c r="BK1163" t="s">
        <v>25</v>
      </c>
      <c r="BL1163" t="s">
        <v>1010</v>
      </c>
      <c r="BM1163">
        <v>30</v>
      </c>
      <c r="BN1163">
        <v>3550059</v>
      </c>
      <c r="BO1163">
        <v>3.9999999105930328E-2</v>
      </c>
      <c r="BP1163">
        <v>142100</v>
      </c>
      <c r="BQ1163">
        <v>0</v>
      </c>
      <c r="BS1163">
        <v>0</v>
      </c>
      <c r="BU1163">
        <v>0</v>
      </c>
      <c r="BV1163" t="s">
        <v>25</v>
      </c>
      <c r="BW1163" t="s">
        <v>189</v>
      </c>
      <c r="BX1163">
        <v>30</v>
      </c>
      <c r="BY1163">
        <v>3550059</v>
      </c>
      <c r="BZ1163">
        <v>6.9600000977516174E-2</v>
      </c>
      <c r="CA1163" t="s">
        <v>1439</v>
      </c>
      <c r="CB1163" t="s">
        <v>227</v>
      </c>
      <c r="CC1163" t="s">
        <v>1440</v>
      </c>
      <c r="CD1163">
        <v>247100</v>
      </c>
      <c r="CE1163">
        <v>30</v>
      </c>
      <c r="CF1163" t="s">
        <v>635</v>
      </c>
      <c r="CG1163">
        <v>3550059</v>
      </c>
      <c r="CH1163">
        <v>3.9999999105930328E-2</v>
      </c>
      <c r="CI1163">
        <v>142100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 t="s">
        <v>88</v>
      </c>
      <c r="CT1163" t="s">
        <v>142</v>
      </c>
      <c r="CU1163" t="s">
        <v>1442</v>
      </c>
    </row>
    <row r="1164" spans="1:99">
      <c r="A1164" t="s">
        <v>3047</v>
      </c>
      <c r="B1164" t="s">
        <v>34</v>
      </c>
      <c r="C1164" t="s">
        <v>2820</v>
      </c>
      <c r="D1164" t="s">
        <v>2821</v>
      </c>
      <c r="E1164" t="s">
        <v>2822</v>
      </c>
      <c r="F1164" t="s">
        <v>667</v>
      </c>
      <c r="G1164" t="s">
        <v>1489</v>
      </c>
      <c r="H1164" t="s">
        <v>2823</v>
      </c>
      <c r="I1164" t="s">
        <v>682</v>
      </c>
      <c r="J1164" t="s">
        <v>484</v>
      </c>
      <c r="K1164" t="s">
        <v>29</v>
      </c>
      <c r="L1164" t="s">
        <v>30</v>
      </c>
      <c r="M1164">
        <v>0</v>
      </c>
      <c r="N1164" t="s">
        <v>32</v>
      </c>
      <c r="O1164" t="s">
        <v>32</v>
      </c>
      <c r="Q1164" t="s">
        <v>32</v>
      </c>
      <c r="S1164" t="s">
        <v>32</v>
      </c>
      <c r="U1164" t="s">
        <v>32</v>
      </c>
      <c r="V1164" t="s">
        <v>32</v>
      </c>
      <c r="W1164" t="s">
        <v>32</v>
      </c>
      <c r="X1164" t="s">
        <v>32</v>
      </c>
      <c r="Y1164" t="s">
        <v>32</v>
      </c>
      <c r="AA1164" t="s">
        <v>32</v>
      </c>
      <c r="AB1164" t="s">
        <v>32</v>
      </c>
      <c r="AE1164" t="s">
        <v>32</v>
      </c>
      <c r="AH1164" t="s">
        <v>32</v>
      </c>
      <c r="AK1164" t="s">
        <v>128</v>
      </c>
      <c r="AL1164">
        <v>46069</v>
      </c>
      <c r="AM1164">
        <v>46075</v>
      </c>
      <c r="AN1164" t="s">
        <v>32</v>
      </c>
      <c r="AO1164" t="s">
        <v>32</v>
      </c>
      <c r="AR1164">
        <v>0</v>
      </c>
      <c r="AU1164" t="s">
        <v>32</v>
      </c>
      <c r="AV1164">
        <v>4613967</v>
      </c>
      <c r="AW1164" t="s">
        <v>32</v>
      </c>
      <c r="AX1164" t="s">
        <v>32</v>
      </c>
      <c r="AY1164" t="s">
        <v>356</v>
      </c>
      <c r="AZ1164">
        <v>7</v>
      </c>
      <c r="BA1164">
        <v>1076593</v>
      </c>
      <c r="BB1164">
        <v>0.15999999642372131</v>
      </c>
      <c r="BC1164">
        <v>172300</v>
      </c>
      <c r="BD1164" t="s">
        <v>31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172300</v>
      </c>
      <c r="BK1164" t="s">
        <v>25</v>
      </c>
      <c r="BL1164" t="s">
        <v>1071</v>
      </c>
      <c r="BM1164">
        <v>7</v>
      </c>
      <c r="BN1164">
        <v>1076593</v>
      </c>
      <c r="BO1164">
        <v>3.9999999105930328E-2</v>
      </c>
      <c r="BP1164">
        <v>43100</v>
      </c>
      <c r="BQ1164">
        <v>0</v>
      </c>
      <c r="BS1164">
        <v>0</v>
      </c>
      <c r="BU1164">
        <v>0</v>
      </c>
      <c r="BV1164" t="s">
        <v>25</v>
      </c>
      <c r="BW1164" t="s">
        <v>189</v>
      </c>
      <c r="BX1164">
        <v>7</v>
      </c>
      <c r="BY1164">
        <v>1076593</v>
      </c>
      <c r="BZ1164">
        <v>0</v>
      </c>
      <c r="CA1164" t="s">
        <v>1439</v>
      </c>
      <c r="CB1164" t="s">
        <v>312</v>
      </c>
      <c r="CC1164" t="s">
        <v>1440</v>
      </c>
      <c r="CD1164">
        <v>0</v>
      </c>
      <c r="CE1164">
        <v>7</v>
      </c>
      <c r="CF1164" t="s">
        <v>466</v>
      </c>
      <c r="CG1164">
        <v>1076593</v>
      </c>
      <c r="CH1164">
        <v>3.9999999105930328E-2</v>
      </c>
      <c r="CI1164">
        <v>43100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 t="s">
        <v>88</v>
      </c>
      <c r="CT1164" t="s">
        <v>142</v>
      </c>
      <c r="CU1164" t="s">
        <v>1442</v>
      </c>
    </row>
    <row r="1165" spans="1:99">
      <c r="A1165" t="s">
        <v>3047</v>
      </c>
      <c r="B1165" t="s">
        <v>34</v>
      </c>
      <c r="C1165" t="s">
        <v>2820</v>
      </c>
      <c r="D1165" t="s">
        <v>2821</v>
      </c>
      <c r="E1165" t="s">
        <v>2822</v>
      </c>
      <c r="F1165" t="s">
        <v>667</v>
      </c>
      <c r="G1165" t="s">
        <v>1489</v>
      </c>
      <c r="H1165" t="s">
        <v>2823</v>
      </c>
      <c r="I1165" t="s">
        <v>682</v>
      </c>
      <c r="J1165" t="s">
        <v>484</v>
      </c>
      <c r="K1165" t="s">
        <v>29</v>
      </c>
      <c r="L1165" t="s">
        <v>30</v>
      </c>
      <c r="M1165">
        <v>135</v>
      </c>
      <c r="N1165" t="s">
        <v>32</v>
      </c>
      <c r="O1165" t="s">
        <v>32</v>
      </c>
      <c r="Q1165" t="s">
        <v>32</v>
      </c>
      <c r="S1165" t="s">
        <v>32</v>
      </c>
      <c r="U1165" t="s">
        <v>32</v>
      </c>
      <c r="V1165" t="s">
        <v>32</v>
      </c>
      <c r="W1165" t="s">
        <v>32</v>
      </c>
      <c r="X1165" t="s">
        <v>32</v>
      </c>
      <c r="Y1165" t="s">
        <v>88</v>
      </c>
      <c r="Z1165">
        <v>46054</v>
      </c>
      <c r="AA1165" t="s">
        <v>88</v>
      </c>
      <c r="AB1165" t="s">
        <v>32</v>
      </c>
      <c r="AE1165" t="s">
        <v>32</v>
      </c>
      <c r="AH1165" t="s">
        <v>32</v>
      </c>
      <c r="AK1165" t="s">
        <v>32</v>
      </c>
      <c r="AN1165" t="s">
        <v>32</v>
      </c>
      <c r="AO1165" t="s">
        <v>32</v>
      </c>
      <c r="AR1165">
        <v>0</v>
      </c>
      <c r="AU1165" t="s">
        <v>32</v>
      </c>
      <c r="AV1165">
        <v>4613967</v>
      </c>
      <c r="AW1165" t="s">
        <v>32</v>
      </c>
      <c r="AX1165" t="s">
        <v>32</v>
      </c>
      <c r="AY1165" t="s">
        <v>356</v>
      </c>
      <c r="AZ1165">
        <v>23</v>
      </c>
      <c r="BA1165">
        <v>3537375</v>
      </c>
      <c r="BB1165">
        <v>0.15999999642372131</v>
      </c>
      <c r="BC1165">
        <v>566000</v>
      </c>
      <c r="BD1165" t="s">
        <v>31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566000</v>
      </c>
      <c r="BK1165" t="s">
        <v>25</v>
      </c>
      <c r="BL1165" t="s">
        <v>1071</v>
      </c>
      <c r="BM1165">
        <v>23</v>
      </c>
      <c r="BN1165">
        <v>3537375</v>
      </c>
      <c r="BO1165">
        <v>3.9999999105930328E-2</v>
      </c>
      <c r="BP1165">
        <v>141500</v>
      </c>
      <c r="BQ1165">
        <v>0</v>
      </c>
      <c r="BS1165">
        <v>0</v>
      </c>
      <c r="BU1165">
        <v>0</v>
      </c>
      <c r="BV1165" t="s">
        <v>25</v>
      </c>
      <c r="BW1165" t="s">
        <v>189</v>
      </c>
      <c r="BX1165">
        <v>23</v>
      </c>
      <c r="BY1165">
        <v>3537375</v>
      </c>
      <c r="BZ1165">
        <v>6.9600000977516174E-2</v>
      </c>
      <c r="CA1165" t="s">
        <v>1439</v>
      </c>
      <c r="CB1165" t="s">
        <v>312</v>
      </c>
      <c r="CC1165" t="s">
        <v>1440</v>
      </c>
      <c r="CD1165">
        <v>246300</v>
      </c>
      <c r="CE1165">
        <v>23</v>
      </c>
      <c r="CF1165" t="s">
        <v>466</v>
      </c>
      <c r="CG1165">
        <v>3537375</v>
      </c>
      <c r="CH1165">
        <v>3.9999999105930328E-2</v>
      </c>
      <c r="CI1165">
        <v>141500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 t="s">
        <v>88</v>
      </c>
      <c r="CT1165" t="s">
        <v>142</v>
      </c>
      <c r="CU1165" t="s">
        <v>1442</v>
      </c>
    </row>
    <row r="1166" spans="1:99">
      <c r="A1166" t="s">
        <v>3047</v>
      </c>
      <c r="B1166" t="s">
        <v>34</v>
      </c>
      <c r="C1166" t="s">
        <v>2824</v>
      </c>
      <c r="D1166" t="s">
        <v>2825</v>
      </c>
      <c r="E1166" t="s">
        <v>2125</v>
      </c>
      <c r="F1166" t="s">
        <v>1972</v>
      </c>
      <c r="G1166" t="s">
        <v>2082</v>
      </c>
      <c r="H1166" t="s">
        <v>2826</v>
      </c>
      <c r="I1166" t="s">
        <v>240</v>
      </c>
      <c r="J1166" t="s">
        <v>46</v>
      </c>
      <c r="K1166" t="s">
        <v>29</v>
      </c>
      <c r="L1166" t="s">
        <v>30</v>
      </c>
      <c r="M1166">
        <v>0</v>
      </c>
      <c r="N1166" t="s">
        <v>32</v>
      </c>
      <c r="O1166" t="s">
        <v>32</v>
      </c>
      <c r="Q1166" t="s">
        <v>32</v>
      </c>
      <c r="S1166" t="s">
        <v>32</v>
      </c>
      <c r="U1166" t="s">
        <v>32</v>
      </c>
      <c r="V1166" t="s">
        <v>32</v>
      </c>
      <c r="W1166" t="s">
        <v>32</v>
      </c>
      <c r="X1166" t="s">
        <v>32</v>
      </c>
      <c r="Y1166" t="s">
        <v>32</v>
      </c>
      <c r="AA1166" t="s">
        <v>32</v>
      </c>
      <c r="AB1166" t="s">
        <v>32</v>
      </c>
      <c r="AE1166" t="s">
        <v>32</v>
      </c>
      <c r="AH1166" t="s">
        <v>32</v>
      </c>
      <c r="AK1166" t="s">
        <v>74</v>
      </c>
      <c r="AL1166">
        <v>46054</v>
      </c>
      <c r="AM1166">
        <v>46054</v>
      </c>
      <c r="AN1166" t="s">
        <v>32</v>
      </c>
      <c r="AO1166" t="s">
        <v>32</v>
      </c>
      <c r="AR1166">
        <v>0</v>
      </c>
      <c r="AU1166" t="s">
        <v>32</v>
      </c>
      <c r="AV1166">
        <v>8150490</v>
      </c>
      <c r="AW1166" t="s">
        <v>32</v>
      </c>
      <c r="AX1166" t="s">
        <v>32</v>
      </c>
      <c r="AY1166" t="s">
        <v>317</v>
      </c>
      <c r="AZ1166">
        <v>1</v>
      </c>
      <c r="BA1166">
        <v>255101</v>
      </c>
      <c r="BB1166">
        <v>0.15999999642372131</v>
      </c>
      <c r="BC1166">
        <v>40900</v>
      </c>
      <c r="BD1166" t="s">
        <v>31</v>
      </c>
      <c r="BE1166">
        <v>0</v>
      </c>
      <c r="BF1166">
        <v>0</v>
      </c>
      <c r="BG1166">
        <v>1300</v>
      </c>
      <c r="BH1166">
        <v>1300</v>
      </c>
      <c r="BI1166">
        <v>0</v>
      </c>
      <c r="BJ1166">
        <v>43500</v>
      </c>
      <c r="BK1166" t="s">
        <v>25</v>
      </c>
      <c r="BL1166" t="s">
        <v>1071</v>
      </c>
      <c r="BM1166">
        <v>1</v>
      </c>
      <c r="BN1166">
        <v>255101</v>
      </c>
      <c r="BO1166">
        <v>0.125</v>
      </c>
      <c r="BP1166">
        <v>31900</v>
      </c>
      <c r="BQ1166">
        <v>0</v>
      </c>
      <c r="BS1166">
        <v>0</v>
      </c>
      <c r="BU1166">
        <v>0</v>
      </c>
      <c r="BV1166" t="s">
        <v>25</v>
      </c>
      <c r="BW1166" t="s">
        <v>189</v>
      </c>
      <c r="BX1166">
        <v>1</v>
      </c>
      <c r="BY1166">
        <v>255101</v>
      </c>
      <c r="BZ1166">
        <v>0</v>
      </c>
      <c r="CA1166" t="s">
        <v>1592</v>
      </c>
      <c r="CB1166" t="s">
        <v>227</v>
      </c>
      <c r="CC1166" t="s">
        <v>1593</v>
      </c>
      <c r="CD1166">
        <v>0</v>
      </c>
      <c r="CE1166">
        <v>1</v>
      </c>
      <c r="CF1166" t="s">
        <v>635</v>
      </c>
      <c r="CG1166">
        <v>271683</v>
      </c>
      <c r="CH1166">
        <v>3.9999999105930328E-2</v>
      </c>
      <c r="CI1166">
        <v>10900</v>
      </c>
      <c r="CJ1166">
        <v>271683</v>
      </c>
      <c r="CK1166">
        <v>1.9999999552965164E-2</v>
      </c>
      <c r="CL1166">
        <v>5500</v>
      </c>
      <c r="CM1166">
        <v>2.9999999329447746E-2</v>
      </c>
      <c r="CN1166">
        <v>8200</v>
      </c>
      <c r="CO1166">
        <v>0</v>
      </c>
      <c r="CP1166">
        <v>0</v>
      </c>
      <c r="CQ1166">
        <v>0</v>
      </c>
      <c r="CR1166">
        <v>0</v>
      </c>
      <c r="CS1166" t="s">
        <v>32</v>
      </c>
      <c r="CT1166" t="s">
        <v>142</v>
      </c>
      <c r="CU1166" t="s">
        <v>1442</v>
      </c>
    </row>
    <row r="1167" spans="1:99">
      <c r="A1167" t="s">
        <v>3047</v>
      </c>
      <c r="B1167" t="s">
        <v>34</v>
      </c>
      <c r="C1167" t="s">
        <v>2824</v>
      </c>
      <c r="D1167" t="s">
        <v>2825</v>
      </c>
      <c r="E1167" t="s">
        <v>2125</v>
      </c>
      <c r="F1167" t="s">
        <v>1972</v>
      </c>
      <c r="G1167" t="s">
        <v>2082</v>
      </c>
      <c r="H1167" t="s">
        <v>2826</v>
      </c>
      <c r="I1167" t="s">
        <v>240</v>
      </c>
      <c r="J1167" t="s">
        <v>46</v>
      </c>
      <c r="K1167" t="s">
        <v>29</v>
      </c>
      <c r="L1167" t="s">
        <v>30</v>
      </c>
      <c r="M1167">
        <v>0</v>
      </c>
      <c r="N1167" t="s">
        <v>32</v>
      </c>
      <c r="O1167" t="s">
        <v>32</v>
      </c>
      <c r="Q1167" t="s">
        <v>32</v>
      </c>
      <c r="S1167" t="s">
        <v>32</v>
      </c>
      <c r="U1167" t="s">
        <v>32</v>
      </c>
      <c r="V1167" t="s">
        <v>32</v>
      </c>
      <c r="W1167" t="s">
        <v>32</v>
      </c>
      <c r="X1167" t="s">
        <v>32</v>
      </c>
      <c r="Y1167" t="s">
        <v>32</v>
      </c>
      <c r="AA1167" t="s">
        <v>32</v>
      </c>
      <c r="AB1167" t="s">
        <v>32</v>
      </c>
      <c r="AE1167" t="s">
        <v>1492</v>
      </c>
      <c r="AF1167">
        <v>46057</v>
      </c>
      <c r="AG1167">
        <v>46059</v>
      </c>
      <c r="AH1167" t="s">
        <v>32</v>
      </c>
      <c r="AK1167" t="s">
        <v>32</v>
      </c>
      <c r="AN1167" t="s">
        <v>32</v>
      </c>
      <c r="AO1167" t="s">
        <v>32</v>
      </c>
      <c r="AR1167">
        <v>0</v>
      </c>
      <c r="AU1167" t="s">
        <v>32</v>
      </c>
      <c r="AV1167">
        <v>8150490</v>
      </c>
      <c r="AW1167" t="s">
        <v>32</v>
      </c>
      <c r="AX1167" t="s">
        <v>32</v>
      </c>
      <c r="AY1167" t="s">
        <v>317</v>
      </c>
      <c r="AZ1167">
        <v>3</v>
      </c>
      <c r="BA1167">
        <v>680278</v>
      </c>
      <c r="BB1167">
        <v>0.15999999642372131</v>
      </c>
      <c r="BC1167">
        <v>108900</v>
      </c>
      <c r="BD1167" t="s">
        <v>31</v>
      </c>
      <c r="BE1167">
        <v>0</v>
      </c>
      <c r="BF1167">
        <v>0</v>
      </c>
      <c r="BG1167">
        <v>3500</v>
      </c>
      <c r="BH1167">
        <v>3500</v>
      </c>
      <c r="BI1167">
        <v>0</v>
      </c>
      <c r="BJ1167">
        <v>115900</v>
      </c>
      <c r="BK1167" t="s">
        <v>25</v>
      </c>
      <c r="BL1167" t="s">
        <v>1071</v>
      </c>
      <c r="BM1167">
        <v>3</v>
      </c>
      <c r="BN1167">
        <v>680278</v>
      </c>
      <c r="BO1167">
        <v>0.125</v>
      </c>
      <c r="BP1167">
        <v>85100</v>
      </c>
      <c r="BQ1167">
        <v>0</v>
      </c>
      <c r="BS1167">
        <v>0</v>
      </c>
      <c r="BU1167">
        <v>0</v>
      </c>
      <c r="BV1167" t="s">
        <v>25</v>
      </c>
      <c r="BW1167" t="s">
        <v>189</v>
      </c>
      <c r="BX1167">
        <v>3</v>
      </c>
      <c r="BY1167">
        <v>680278</v>
      </c>
      <c r="BZ1167">
        <v>0</v>
      </c>
      <c r="CA1167" t="s">
        <v>1592</v>
      </c>
      <c r="CB1167" t="s">
        <v>227</v>
      </c>
      <c r="CC1167" t="s">
        <v>1593</v>
      </c>
      <c r="CD1167">
        <v>0</v>
      </c>
      <c r="CE1167">
        <v>3</v>
      </c>
      <c r="CF1167" t="s">
        <v>635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 t="s">
        <v>32</v>
      </c>
      <c r="CT1167" t="s">
        <v>142</v>
      </c>
      <c r="CU1167" t="s">
        <v>1442</v>
      </c>
    </row>
    <row r="1168" spans="1:99">
      <c r="A1168" t="s">
        <v>3047</v>
      </c>
      <c r="B1168" t="s">
        <v>34</v>
      </c>
      <c r="C1168" t="s">
        <v>2824</v>
      </c>
      <c r="D1168" t="s">
        <v>2825</v>
      </c>
      <c r="E1168" t="s">
        <v>2125</v>
      </c>
      <c r="F1168" t="s">
        <v>1972</v>
      </c>
      <c r="G1168" t="s">
        <v>2082</v>
      </c>
      <c r="H1168" t="s">
        <v>2826</v>
      </c>
      <c r="I1168" t="s">
        <v>240</v>
      </c>
      <c r="J1168" t="s">
        <v>46</v>
      </c>
      <c r="K1168" t="s">
        <v>29</v>
      </c>
      <c r="L1168" t="s">
        <v>30</v>
      </c>
      <c r="M1168">
        <v>164</v>
      </c>
      <c r="N1168" t="s">
        <v>32</v>
      </c>
      <c r="O1168" t="s">
        <v>32</v>
      </c>
      <c r="Q1168" t="s">
        <v>32</v>
      </c>
      <c r="S1168" t="s">
        <v>32</v>
      </c>
      <c r="U1168" t="s">
        <v>32</v>
      </c>
      <c r="V1168" t="s">
        <v>32</v>
      </c>
      <c r="W1168" t="s">
        <v>32</v>
      </c>
      <c r="X1168" t="s">
        <v>32</v>
      </c>
      <c r="Y1168" t="s">
        <v>32</v>
      </c>
      <c r="AA1168" t="s">
        <v>88</v>
      </c>
      <c r="AB1168" t="s">
        <v>32</v>
      </c>
      <c r="AE1168" t="s">
        <v>32</v>
      </c>
      <c r="AH1168" t="s">
        <v>32</v>
      </c>
      <c r="AK1168" t="s">
        <v>32</v>
      </c>
      <c r="AN1168" t="s">
        <v>32</v>
      </c>
      <c r="AO1168" t="s">
        <v>32</v>
      </c>
      <c r="AR1168">
        <v>0</v>
      </c>
      <c r="AU1168" t="s">
        <v>32</v>
      </c>
      <c r="AV1168">
        <v>8150490</v>
      </c>
      <c r="AW1168" t="s">
        <v>32</v>
      </c>
      <c r="AX1168" t="s">
        <v>32</v>
      </c>
      <c r="AY1168" t="s">
        <v>317</v>
      </c>
      <c r="AZ1168">
        <v>26</v>
      </c>
      <c r="BA1168">
        <v>15140255</v>
      </c>
      <c r="BB1168">
        <v>0.15999999642372131</v>
      </c>
      <c r="BC1168">
        <v>2422500</v>
      </c>
      <c r="BD1168" t="s">
        <v>31</v>
      </c>
      <c r="BE1168">
        <v>0</v>
      </c>
      <c r="BF1168">
        <v>0</v>
      </c>
      <c r="BG1168">
        <v>75800</v>
      </c>
      <c r="BH1168">
        <v>75800</v>
      </c>
      <c r="BI1168">
        <v>0</v>
      </c>
      <c r="BJ1168">
        <v>2574100</v>
      </c>
      <c r="BK1168" t="s">
        <v>25</v>
      </c>
      <c r="BL1168" t="s">
        <v>1071</v>
      </c>
      <c r="BM1168">
        <v>26</v>
      </c>
      <c r="BN1168">
        <v>15140255</v>
      </c>
      <c r="BO1168">
        <v>0.125</v>
      </c>
      <c r="BP1168">
        <v>1892600</v>
      </c>
      <c r="BQ1168">
        <v>0</v>
      </c>
      <c r="BS1168">
        <v>0</v>
      </c>
      <c r="BU1168">
        <v>0</v>
      </c>
      <c r="BV1168" t="s">
        <v>25</v>
      </c>
      <c r="BW1168" t="s">
        <v>189</v>
      </c>
      <c r="BX1168">
        <v>26</v>
      </c>
      <c r="BY1168">
        <v>15140255</v>
      </c>
      <c r="BZ1168">
        <v>5.2200001664459705E-3</v>
      </c>
      <c r="CA1168" t="s">
        <v>1592</v>
      </c>
      <c r="CB1168" t="s">
        <v>227</v>
      </c>
      <c r="CC1168" t="s">
        <v>1593</v>
      </c>
      <c r="CD1168">
        <v>79100</v>
      </c>
      <c r="CE1168">
        <v>26</v>
      </c>
      <c r="CF1168" t="s">
        <v>635</v>
      </c>
      <c r="CG1168">
        <v>7063758</v>
      </c>
      <c r="CH1168">
        <v>3.9999999105930328E-2</v>
      </c>
      <c r="CI1168">
        <v>282600</v>
      </c>
      <c r="CJ1168">
        <v>7063758</v>
      </c>
      <c r="CK1168">
        <v>1.9999999552965164E-2</v>
      </c>
      <c r="CL1168">
        <v>141300</v>
      </c>
      <c r="CM1168">
        <v>2.9999999329447746E-2</v>
      </c>
      <c r="CN1168">
        <v>212000</v>
      </c>
      <c r="CO1168">
        <v>0</v>
      </c>
      <c r="CP1168">
        <v>0</v>
      </c>
      <c r="CQ1168">
        <v>0</v>
      </c>
      <c r="CR1168">
        <v>0</v>
      </c>
      <c r="CS1168" t="s">
        <v>32</v>
      </c>
      <c r="CT1168" t="s">
        <v>142</v>
      </c>
      <c r="CU1168" t="s">
        <v>1442</v>
      </c>
    </row>
    <row r="1169" spans="1:99">
      <c r="A1169" t="s">
        <v>3047</v>
      </c>
      <c r="B1169" t="s">
        <v>34</v>
      </c>
      <c r="C1169" t="s">
        <v>2827</v>
      </c>
      <c r="D1169" t="s">
        <v>2828</v>
      </c>
      <c r="E1169" t="s">
        <v>1620</v>
      </c>
      <c r="F1169" t="s">
        <v>1644</v>
      </c>
      <c r="G1169" t="s">
        <v>1478</v>
      </c>
      <c r="H1169" t="s">
        <v>1994</v>
      </c>
      <c r="I1169" t="s">
        <v>240</v>
      </c>
      <c r="J1169" t="s">
        <v>46</v>
      </c>
      <c r="K1169" t="s">
        <v>29</v>
      </c>
      <c r="L1169" t="s">
        <v>30</v>
      </c>
      <c r="M1169">
        <v>0</v>
      </c>
      <c r="N1169" t="s">
        <v>32</v>
      </c>
      <c r="O1169" t="s">
        <v>32</v>
      </c>
      <c r="Q1169" t="s">
        <v>32</v>
      </c>
      <c r="S1169" t="s">
        <v>32</v>
      </c>
      <c r="U1169" t="s">
        <v>32</v>
      </c>
      <c r="V1169" t="s">
        <v>32</v>
      </c>
      <c r="W1169" t="s">
        <v>32</v>
      </c>
      <c r="X1169" t="s">
        <v>32</v>
      </c>
      <c r="Y1169" t="s">
        <v>32</v>
      </c>
      <c r="AA1169" t="s">
        <v>32</v>
      </c>
      <c r="AB1169" t="s">
        <v>37</v>
      </c>
      <c r="AC1169">
        <v>46054</v>
      </c>
      <c r="AD1169">
        <v>46054</v>
      </c>
      <c r="AE1169" t="s">
        <v>32</v>
      </c>
      <c r="AH1169" t="s">
        <v>32</v>
      </c>
      <c r="AK1169" t="s">
        <v>32</v>
      </c>
      <c r="AN1169" t="s">
        <v>32</v>
      </c>
      <c r="AO1169" t="s">
        <v>32</v>
      </c>
      <c r="AR1169">
        <v>0</v>
      </c>
      <c r="AU1169" t="s">
        <v>32</v>
      </c>
      <c r="AV1169">
        <v>2223339</v>
      </c>
      <c r="AW1169" t="s">
        <v>32</v>
      </c>
      <c r="AX1169" t="s">
        <v>32</v>
      </c>
      <c r="AY1169" t="s">
        <v>356</v>
      </c>
      <c r="AZ1169">
        <v>1</v>
      </c>
      <c r="BA1169">
        <v>74112</v>
      </c>
      <c r="BB1169">
        <v>0.15999999642372131</v>
      </c>
      <c r="BC1169">
        <v>11900</v>
      </c>
      <c r="BD1169" t="s">
        <v>31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11900</v>
      </c>
      <c r="BK1169" t="s">
        <v>25</v>
      </c>
      <c r="BL1169" t="s">
        <v>1064</v>
      </c>
      <c r="BM1169">
        <v>1</v>
      </c>
      <c r="BN1169">
        <v>74112</v>
      </c>
      <c r="BO1169">
        <v>0</v>
      </c>
      <c r="BP1169">
        <v>0</v>
      </c>
      <c r="BQ1169">
        <v>0</v>
      </c>
      <c r="BS1169">
        <v>0</v>
      </c>
      <c r="BU1169">
        <v>0</v>
      </c>
      <c r="BV1169" t="s">
        <v>25</v>
      </c>
      <c r="BW1169" t="s">
        <v>189</v>
      </c>
      <c r="BX1169">
        <v>1</v>
      </c>
      <c r="BY1169">
        <v>74112</v>
      </c>
      <c r="BZ1169">
        <v>0</v>
      </c>
      <c r="CA1169" t="s">
        <v>1439</v>
      </c>
      <c r="CB1169" t="s">
        <v>227</v>
      </c>
      <c r="CC1169" t="s">
        <v>1440</v>
      </c>
      <c r="CD1169">
        <v>0</v>
      </c>
      <c r="CE1169">
        <v>1</v>
      </c>
      <c r="CF1169" t="s">
        <v>635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 t="s">
        <v>88</v>
      </c>
      <c r="CT1169" t="s">
        <v>142</v>
      </c>
      <c r="CU1169" t="s">
        <v>1442</v>
      </c>
    </row>
    <row r="1170" spans="1:99">
      <c r="A1170" t="s">
        <v>3047</v>
      </c>
      <c r="B1170" t="s">
        <v>34</v>
      </c>
      <c r="C1170" t="s">
        <v>2827</v>
      </c>
      <c r="D1170" t="s">
        <v>2828</v>
      </c>
      <c r="E1170" t="s">
        <v>1620</v>
      </c>
      <c r="F1170" t="s">
        <v>1644</v>
      </c>
      <c r="G1170" t="s">
        <v>1478</v>
      </c>
      <c r="H1170" t="s">
        <v>1994</v>
      </c>
      <c r="I1170" t="s">
        <v>240</v>
      </c>
      <c r="J1170" t="s">
        <v>46</v>
      </c>
      <c r="K1170" t="s">
        <v>29</v>
      </c>
      <c r="L1170" t="s">
        <v>30</v>
      </c>
      <c r="M1170">
        <v>210</v>
      </c>
      <c r="N1170" t="s">
        <v>32</v>
      </c>
      <c r="O1170" t="s">
        <v>32</v>
      </c>
      <c r="Q1170" t="s">
        <v>32</v>
      </c>
      <c r="S1170" t="s">
        <v>32</v>
      </c>
      <c r="U1170" t="s">
        <v>32</v>
      </c>
      <c r="V1170" t="s">
        <v>32</v>
      </c>
      <c r="W1170" t="s">
        <v>32</v>
      </c>
      <c r="X1170" t="s">
        <v>32</v>
      </c>
      <c r="Y1170" t="s">
        <v>32</v>
      </c>
      <c r="AA1170" t="s">
        <v>88</v>
      </c>
      <c r="AB1170" t="s">
        <v>32</v>
      </c>
      <c r="AE1170" t="s">
        <v>32</v>
      </c>
      <c r="AH1170" t="s">
        <v>32</v>
      </c>
      <c r="AK1170" t="s">
        <v>32</v>
      </c>
      <c r="AN1170" t="s">
        <v>32</v>
      </c>
      <c r="AO1170" t="s">
        <v>32</v>
      </c>
      <c r="AR1170">
        <v>0</v>
      </c>
      <c r="AU1170" t="s">
        <v>32</v>
      </c>
      <c r="AV1170">
        <v>2223339</v>
      </c>
      <c r="AW1170" t="s">
        <v>32</v>
      </c>
      <c r="AX1170" t="s">
        <v>32</v>
      </c>
      <c r="AY1170" t="s">
        <v>356</v>
      </c>
      <c r="AZ1170">
        <v>29</v>
      </c>
      <c r="BA1170">
        <v>2719971</v>
      </c>
      <c r="BB1170">
        <v>0.15999999642372131</v>
      </c>
      <c r="BC1170">
        <v>435200</v>
      </c>
      <c r="BD1170" t="s">
        <v>31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435200</v>
      </c>
      <c r="BK1170" t="s">
        <v>25</v>
      </c>
      <c r="BL1170" t="s">
        <v>1064</v>
      </c>
      <c r="BM1170">
        <v>29</v>
      </c>
      <c r="BN1170">
        <v>2719971</v>
      </c>
      <c r="BO1170">
        <v>3.9999999105930328E-2</v>
      </c>
      <c r="BP1170">
        <v>108800</v>
      </c>
      <c r="BQ1170">
        <v>0</v>
      </c>
      <c r="BS1170">
        <v>0</v>
      </c>
      <c r="BU1170">
        <v>0</v>
      </c>
      <c r="BV1170" t="s">
        <v>25</v>
      </c>
      <c r="BW1170" t="s">
        <v>189</v>
      </c>
      <c r="BX1170">
        <v>29</v>
      </c>
      <c r="BY1170">
        <v>2719971</v>
      </c>
      <c r="BZ1170">
        <v>6.9600000977516174E-2</v>
      </c>
      <c r="CA1170" t="s">
        <v>1439</v>
      </c>
      <c r="CB1170" t="s">
        <v>227</v>
      </c>
      <c r="CC1170" t="s">
        <v>1440</v>
      </c>
      <c r="CD1170">
        <v>189400</v>
      </c>
      <c r="CE1170">
        <v>29</v>
      </c>
      <c r="CF1170" t="s">
        <v>635</v>
      </c>
      <c r="CG1170">
        <v>2719971</v>
      </c>
      <c r="CH1170">
        <v>3.9999999105930328E-2</v>
      </c>
      <c r="CI1170">
        <v>108800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 t="s">
        <v>88</v>
      </c>
      <c r="CT1170" t="s">
        <v>142</v>
      </c>
      <c r="CU1170" t="s">
        <v>1442</v>
      </c>
    </row>
    <row r="1171" spans="1:99">
      <c r="A1171" t="s">
        <v>3047</v>
      </c>
      <c r="B1171" t="s">
        <v>34</v>
      </c>
      <c r="C1171" t="s">
        <v>2829</v>
      </c>
      <c r="D1171" t="s">
        <v>2830</v>
      </c>
      <c r="E1171" t="s">
        <v>2831</v>
      </c>
      <c r="F1171" t="s">
        <v>1507</v>
      </c>
      <c r="G1171" t="s">
        <v>1806</v>
      </c>
      <c r="H1171" t="s">
        <v>1489</v>
      </c>
      <c r="I1171" t="s">
        <v>240</v>
      </c>
      <c r="J1171" t="s">
        <v>46</v>
      </c>
      <c r="K1171" t="s">
        <v>29</v>
      </c>
      <c r="L1171" t="s">
        <v>30</v>
      </c>
      <c r="M1171">
        <v>45</v>
      </c>
      <c r="N1171" t="s">
        <v>32</v>
      </c>
      <c r="O1171" t="s">
        <v>32</v>
      </c>
      <c r="Q1171" t="s">
        <v>40</v>
      </c>
      <c r="R1171">
        <v>46074</v>
      </c>
      <c r="S1171" t="s">
        <v>32</v>
      </c>
      <c r="U1171" t="s">
        <v>32</v>
      </c>
      <c r="V1171" t="s">
        <v>32</v>
      </c>
      <c r="W1171" t="s">
        <v>32</v>
      </c>
      <c r="X1171" t="s">
        <v>32</v>
      </c>
      <c r="Y1171" t="s">
        <v>32</v>
      </c>
      <c r="AA1171" t="s">
        <v>88</v>
      </c>
      <c r="AB1171" t="s">
        <v>32</v>
      </c>
      <c r="AE1171" t="s">
        <v>32</v>
      </c>
      <c r="AH1171" t="s">
        <v>32</v>
      </c>
      <c r="AK1171" t="s">
        <v>32</v>
      </c>
      <c r="AN1171" t="s">
        <v>32</v>
      </c>
      <c r="AO1171" t="s">
        <v>32</v>
      </c>
      <c r="AR1171">
        <v>0</v>
      </c>
      <c r="AU1171" t="s">
        <v>32</v>
      </c>
      <c r="AV1171">
        <v>2113182</v>
      </c>
      <c r="AW1171" t="s">
        <v>32</v>
      </c>
      <c r="AX1171" t="s">
        <v>32</v>
      </c>
      <c r="AY1171" t="s">
        <v>317</v>
      </c>
      <c r="AZ1171">
        <v>10</v>
      </c>
      <c r="BA1171">
        <v>704394</v>
      </c>
      <c r="BB1171">
        <v>0.15999999642372131</v>
      </c>
      <c r="BC1171">
        <v>112800</v>
      </c>
      <c r="BD1171" t="s">
        <v>31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112800</v>
      </c>
      <c r="BK1171" t="s">
        <v>25</v>
      </c>
      <c r="BL1171" t="s">
        <v>635</v>
      </c>
      <c r="BM1171">
        <v>10</v>
      </c>
      <c r="BN1171">
        <v>704394</v>
      </c>
      <c r="BO1171">
        <v>3.9999999105930328E-2</v>
      </c>
      <c r="BP1171">
        <v>28200</v>
      </c>
      <c r="BQ1171">
        <v>0</v>
      </c>
      <c r="BS1171">
        <v>0</v>
      </c>
      <c r="BU1171">
        <v>0</v>
      </c>
      <c r="BV1171" t="s">
        <v>25</v>
      </c>
      <c r="BW1171" t="s">
        <v>189</v>
      </c>
      <c r="BX1171">
        <v>10</v>
      </c>
      <c r="BY1171">
        <v>704394</v>
      </c>
      <c r="BZ1171">
        <v>6.9600000977516174E-2</v>
      </c>
      <c r="CA1171" t="s">
        <v>1439</v>
      </c>
      <c r="CB1171" t="s">
        <v>227</v>
      </c>
      <c r="CC1171" t="s">
        <v>1440</v>
      </c>
      <c r="CD1171">
        <v>49100</v>
      </c>
      <c r="CE1171">
        <v>10</v>
      </c>
      <c r="CF1171" t="s">
        <v>635</v>
      </c>
      <c r="CG1171">
        <v>704394</v>
      </c>
      <c r="CH1171">
        <v>3.9999999105930328E-2</v>
      </c>
      <c r="CI1171">
        <v>28200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 t="s">
        <v>88</v>
      </c>
      <c r="CT1171" t="s">
        <v>142</v>
      </c>
      <c r="CU1171" t="s">
        <v>1442</v>
      </c>
    </row>
    <row r="1172" spans="1:99">
      <c r="A1172" t="s">
        <v>3047</v>
      </c>
      <c r="B1172" t="s">
        <v>34</v>
      </c>
      <c r="C1172" t="s">
        <v>2832</v>
      </c>
      <c r="D1172" t="s">
        <v>2833</v>
      </c>
      <c r="E1172" t="s">
        <v>2403</v>
      </c>
      <c r="F1172" t="s">
        <v>1882</v>
      </c>
      <c r="G1172" t="s">
        <v>1790</v>
      </c>
      <c r="H1172" t="s">
        <v>1558</v>
      </c>
      <c r="I1172" t="s">
        <v>240</v>
      </c>
      <c r="J1172" t="s">
        <v>46</v>
      </c>
      <c r="K1172" t="s">
        <v>29</v>
      </c>
      <c r="L1172" t="s">
        <v>30</v>
      </c>
      <c r="M1172">
        <v>207</v>
      </c>
      <c r="N1172" t="s">
        <v>32</v>
      </c>
      <c r="O1172" t="s">
        <v>32</v>
      </c>
      <c r="Q1172" t="s">
        <v>32</v>
      </c>
      <c r="S1172" t="s">
        <v>32</v>
      </c>
      <c r="U1172" t="s">
        <v>32</v>
      </c>
      <c r="V1172" t="s">
        <v>32</v>
      </c>
      <c r="W1172" t="s">
        <v>32</v>
      </c>
      <c r="X1172" t="s">
        <v>32</v>
      </c>
      <c r="Y1172" t="s">
        <v>32</v>
      </c>
      <c r="AA1172" t="s">
        <v>88</v>
      </c>
      <c r="AB1172" t="s">
        <v>32</v>
      </c>
      <c r="AE1172" t="s">
        <v>32</v>
      </c>
      <c r="AH1172" t="s">
        <v>32</v>
      </c>
      <c r="AK1172" t="s">
        <v>32</v>
      </c>
      <c r="AN1172" t="s">
        <v>32</v>
      </c>
      <c r="AO1172" t="s">
        <v>32</v>
      </c>
      <c r="AR1172">
        <v>0</v>
      </c>
      <c r="AU1172" t="s">
        <v>32</v>
      </c>
      <c r="AV1172">
        <v>1785595</v>
      </c>
      <c r="AW1172" t="s">
        <v>32</v>
      </c>
      <c r="AX1172" t="s">
        <v>32</v>
      </c>
      <c r="AY1172" t="s">
        <v>185</v>
      </c>
      <c r="AZ1172">
        <v>30</v>
      </c>
      <c r="BA1172">
        <v>2099090</v>
      </c>
      <c r="BB1172">
        <v>0.15999999642372131</v>
      </c>
      <c r="BC1172">
        <v>335900</v>
      </c>
      <c r="BD1172" t="s">
        <v>31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335900</v>
      </c>
      <c r="BK1172" t="s">
        <v>25</v>
      </c>
      <c r="BL1172" t="s">
        <v>1071</v>
      </c>
      <c r="BM1172">
        <v>30</v>
      </c>
      <c r="BN1172">
        <v>2099090</v>
      </c>
      <c r="BO1172">
        <v>3.9999999105930328E-2</v>
      </c>
      <c r="BP1172">
        <v>84000</v>
      </c>
      <c r="BQ1172">
        <v>0</v>
      </c>
      <c r="BS1172">
        <v>0</v>
      </c>
      <c r="BU1172">
        <v>0</v>
      </c>
      <c r="BV1172" t="s">
        <v>25</v>
      </c>
      <c r="BW1172" t="s">
        <v>189</v>
      </c>
      <c r="BX1172">
        <v>30</v>
      </c>
      <c r="BY1172">
        <v>2099090</v>
      </c>
      <c r="BZ1172">
        <v>6.9600000977516174E-2</v>
      </c>
      <c r="CA1172" t="s">
        <v>1439</v>
      </c>
      <c r="CB1172" t="s">
        <v>227</v>
      </c>
      <c r="CC1172" t="s">
        <v>1440</v>
      </c>
      <c r="CD1172">
        <v>146100</v>
      </c>
      <c r="CE1172">
        <v>30</v>
      </c>
      <c r="CF1172" t="s">
        <v>635</v>
      </c>
      <c r="CG1172">
        <v>2099090</v>
      </c>
      <c r="CH1172">
        <v>3.9999999105930328E-2</v>
      </c>
      <c r="CI1172">
        <v>84000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 t="s">
        <v>88</v>
      </c>
      <c r="CT1172" t="s">
        <v>142</v>
      </c>
      <c r="CU1172" t="s">
        <v>1442</v>
      </c>
    </row>
    <row r="1173" spans="1:99">
      <c r="A1173" t="s">
        <v>3047</v>
      </c>
      <c r="B1173" t="s">
        <v>34</v>
      </c>
      <c r="C1173" t="s">
        <v>2834</v>
      </c>
      <c r="D1173" t="s">
        <v>2835</v>
      </c>
      <c r="E1173" t="s">
        <v>2581</v>
      </c>
      <c r="F1173" t="s">
        <v>1526</v>
      </c>
      <c r="G1173" t="s">
        <v>1552</v>
      </c>
      <c r="H1173" t="s">
        <v>1558</v>
      </c>
      <c r="I1173" t="s">
        <v>240</v>
      </c>
      <c r="J1173" t="s">
        <v>46</v>
      </c>
      <c r="K1173" t="s">
        <v>29</v>
      </c>
      <c r="L1173" t="s">
        <v>30</v>
      </c>
      <c r="M1173">
        <v>0</v>
      </c>
      <c r="N1173" t="s">
        <v>32</v>
      </c>
      <c r="O1173" t="s">
        <v>32</v>
      </c>
      <c r="Q1173" t="s">
        <v>32</v>
      </c>
      <c r="S1173" t="s">
        <v>32</v>
      </c>
      <c r="U1173" t="s">
        <v>32</v>
      </c>
      <c r="V1173" t="s">
        <v>32</v>
      </c>
      <c r="W1173" t="s">
        <v>32</v>
      </c>
      <c r="X1173" t="s">
        <v>32</v>
      </c>
      <c r="Y1173" t="s">
        <v>32</v>
      </c>
      <c r="AA1173" t="s">
        <v>32</v>
      </c>
      <c r="AB1173" t="s">
        <v>32</v>
      </c>
      <c r="AE1173" t="s">
        <v>32</v>
      </c>
      <c r="AH1173" t="s">
        <v>32</v>
      </c>
      <c r="AK1173" t="s">
        <v>128</v>
      </c>
      <c r="AL1173">
        <v>46079</v>
      </c>
      <c r="AM1173">
        <v>46081</v>
      </c>
      <c r="AN1173" t="s">
        <v>32</v>
      </c>
      <c r="AO1173" t="s">
        <v>32</v>
      </c>
      <c r="AR1173">
        <v>0</v>
      </c>
      <c r="AU1173" t="s">
        <v>32</v>
      </c>
      <c r="AV1173">
        <v>4024292</v>
      </c>
      <c r="AW1173" t="s">
        <v>32</v>
      </c>
      <c r="AX1173" t="s">
        <v>32</v>
      </c>
      <c r="AY1173" t="s">
        <v>317</v>
      </c>
      <c r="AZ1173">
        <v>3</v>
      </c>
      <c r="BA1173">
        <v>402430</v>
      </c>
      <c r="BB1173">
        <v>0.15999999642372131</v>
      </c>
      <c r="BC1173">
        <v>64400</v>
      </c>
      <c r="BD1173" t="s">
        <v>31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64400</v>
      </c>
      <c r="BK1173" t="s">
        <v>25</v>
      </c>
      <c r="BL1173" t="s">
        <v>885</v>
      </c>
      <c r="BM1173">
        <v>3</v>
      </c>
      <c r="BN1173">
        <v>402430</v>
      </c>
      <c r="BO1173">
        <v>3.9999999105930328E-2</v>
      </c>
      <c r="BP1173">
        <v>16100</v>
      </c>
      <c r="BQ1173">
        <v>0</v>
      </c>
      <c r="BS1173">
        <v>0</v>
      </c>
      <c r="BU1173">
        <v>0</v>
      </c>
      <c r="BV1173" t="s">
        <v>25</v>
      </c>
      <c r="BW1173" t="s">
        <v>189</v>
      </c>
      <c r="BX1173">
        <v>3</v>
      </c>
      <c r="BY1173">
        <v>402430</v>
      </c>
      <c r="BZ1173">
        <v>0</v>
      </c>
      <c r="CA1173" t="s">
        <v>1439</v>
      </c>
      <c r="CB1173" t="s">
        <v>227</v>
      </c>
      <c r="CC1173" t="s">
        <v>1440</v>
      </c>
      <c r="CD1173">
        <v>0</v>
      </c>
      <c r="CE1173">
        <v>3</v>
      </c>
      <c r="CF1173" t="s">
        <v>635</v>
      </c>
      <c r="CG1173">
        <v>402430</v>
      </c>
      <c r="CH1173">
        <v>3.9999999105930328E-2</v>
      </c>
      <c r="CI1173">
        <v>16100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 t="s">
        <v>88</v>
      </c>
      <c r="CT1173" t="s">
        <v>142</v>
      </c>
      <c r="CU1173" t="s">
        <v>1442</v>
      </c>
    </row>
    <row r="1174" spans="1:99">
      <c r="A1174" t="s">
        <v>3047</v>
      </c>
      <c r="B1174" t="s">
        <v>34</v>
      </c>
      <c r="C1174" t="s">
        <v>2834</v>
      </c>
      <c r="D1174" t="s">
        <v>2835</v>
      </c>
      <c r="E1174" t="s">
        <v>2581</v>
      </c>
      <c r="F1174" t="s">
        <v>1526</v>
      </c>
      <c r="G1174" t="s">
        <v>1552</v>
      </c>
      <c r="H1174" t="s">
        <v>1558</v>
      </c>
      <c r="I1174" t="s">
        <v>240</v>
      </c>
      <c r="J1174" t="s">
        <v>46</v>
      </c>
      <c r="K1174" t="s">
        <v>29</v>
      </c>
      <c r="L1174" t="s">
        <v>30</v>
      </c>
      <c r="M1174">
        <v>164</v>
      </c>
      <c r="N1174" t="s">
        <v>32</v>
      </c>
      <c r="O1174" t="s">
        <v>32</v>
      </c>
      <c r="Q1174" t="s">
        <v>32</v>
      </c>
      <c r="S1174" t="s">
        <v>40</v>
      </c>
      <c r="T1174">
        <v>46081</v>
      </c>
      <c r="U1174" t="s">
        <v>32</v>
      </c>
      <c r="V1174" t="s">
        <v>32</v>
      </c>
      <c r="W1174" t="s">
        <v>32</v>
      </c>
      <c r="X1174" t="s">
        <v>32</v>
      </c>
      <c r="Y1174" t="s">
        <v>32</v>
      </c>
      <c r="AA1174" t="s">
        <v>88</v>
      </c>
      <c r="AB1174" t="s">
        <v>32</v>
      </c>
      <c r="AE1174" t="s">
        <v>32</v>
      </c>
      <c r="AH1174" t="s">
        <v>32</v>
      </c>
      <c r="AK1174" t="s">
        <v>32</v>
      </c>
      <c r="AN1174" t="s">
        <v>32</v>
      </c>
      <c r="AO1174" t="s">
        <v>32</v>
      </c>
      <c r="AR1174">
        <v>0</v>
      </c>
      <c r="AU1174" t="s">
        <v>32</v>
      </c>
      <c r="AV1174">
        <v>4024292</v>
      </c>
      <c r="AW1174" t="s">
        <v>32</v>
      </c>
      <c r="AX1174" t="s">
        <v>32</v>
      </c>
      <c r="AY1174" t="s">
        <v>317</v>
      </c>
      <c r="AZ1174">
        <v>27</v>
      </c>
      <c r="BA1174">
        <v>3756006</v>
      </c>
      <c r="BB1174">
        <v>0.15999999642372131</v>
      </c>
      <c r="BC1174">
        <v>601000</v>
      </c>
      <c r="BD1174" t="s">
        <v>31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601000</v>
      </c>
      <c r="BK1174" t="s">
        <v>25</v>
      </c>
      <c r="BL1174" t="s">
        <v>885</v>
      </c>
      <c r="BM1174">
        <v>27</v>
      </c>
      <c r="BN1174">
        <v>3756006</v>
      </c>
      <c r="BO1174">
        <v>3.9999999105930328E-2</v>
      </c>
      <c r="BP1174">
        <v>150300</v>
      </c>
      <c r="BQ1174">
        <v>0</v>
      </c>
      <c r="BS1174">
        <v>0</v>
      </c>
      <c r="BU1174">
        <v>0</v>
      </c>
      <c r="BV1174" t="s">
        <v>25</v>
      </c>
      <c r="BW1174" t="s">
        <v>189</v>
      </c>
      <c r="BX1174">
        <v>27</v>
      </c>
      <c r="BY1174">
        <v>3756006</v>
      </c>
      <c r="BZ1174">
        <v>6.9600000977516174E-2</v>
      </c>
      <c r="CA1174" t="s">
        <v>1439</v>
      </c>
      <c r="CB1174" t="s">
        <v>227</v>
      </c>
      <c r="CC1174" t="s">
        <v>1440</v>
      </c>
      <c r="CD1174">
        <v>261500</v>
      </c>
      <c r="CE1174">
        <v>27</v>
      </c>
      <c r="CF1174" t="s">
        <v>635</v>
      </c>
      <c r="CG1174">
        <v>4428063</v>
      </c>
      <c r="CH1174">
        <v>3.9999999105930328E-2</v>
      </c>
      <c r="CI1174">
        <v>177200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 t="s">
        <v>88</v>
      </c>
      <c r="CT1174" t="s">
        <v>142</v>
      </c>
      <c r="CU1174" t="s">
        <v>1442</v>
      </c>
    </row>
    <row r="1175" spans="1:99">
      <c r="A1175" t="s">
        <v>3047</v>
      </c>
      <c r="B1175" t="s">
        <v>34</v>
      </c>
      <c r="C1175" t="s">
        <v>2836</v>
      </c>
      <c r="D1175" t="s">
        <v>2837</v>
      </c>
      <c r="E1175" t="s">
        <v>1517</v>
      </c>
      <c r="F1175" t="s">
        <v>1028</v>
      </c>
      <c r="G1175" t="s">
        <v>1537</v>
      </c>
      <c r="H1175" t="s">
        <v>2838</v>
      </c>
      <c r="I1175" t="s">
        <v>240</v>
      </c>
      <c r="J1175" t="s">
        <v>46</v>
      </c>
      <c r="K1175" t="s">
        <v>29</v>
      </c>
      <c r="L1175" t="s">
        <v>30</v>
      </c>
      <c r="M1175">
        <v>188</v>
      </c>
      <c r="N1175" t="s">
        <v>32</v>
      </c>
      <c r="O1175" t="s">
        <v>32</v>
      </c>
      <c r="Q1175" t="s">
        <v>32</v>
      </c>
      <c r="S1175" t="s">
        <v>32</v>
      </c>
      <c r="U1175" t="s">
        <v>32</v>
      </c>
      <c r="V1175" t="s">
        <v>32</v>
      </c>
      <c r="W1175" t="s">
        <v>32</v>
      </c>
      <c r="X1175" t="s">
        <v>32</v>
      </c>
      <c r="Y1175" t="s">
        <v>32</v>
      </c>
      <c r="AA1175" t="s">
        <v>88</v>
      </c>
      <c r="AB1175" t="s">
        <v>32</v>
      </c>
      <c r="AE1175" t="s">
        <v>32</v>
      </c>
      <c r="AH1175" t="s">
        <v>32</v>
      </c>
      <c r="AK1175" t="s">
        <v>32</v>
      </c>
      <c r="AN1175" t="s">
        <v>32</v>
      </c>
      <c r="AO1175" t="s">
        <v>32</v>
      </c>
      <c r="AR1175">
        <v>0</v>
      </c>
      <c r="AU1175" t="s">
        <v>32</v>
      </c>
      <c r="AV1175">
        <v>41554091</v>
      </c>
      <c r="AW1175" t="s">
        <v>88</v>
      </c>
      <c r="AX1175" t="s">
        <v>1558</v>
      </c>
      <c r="AY1175" t="s">
        <v>393</v>
      </c>
      <c r="AZ1175">
        <v>30</v>
      </c>
      <c r="BA1175">
        <v>29087864</v>
      </c>
      <c r="BB1175">
        <v>0.15999999642372131</v>
      </c>
      <c r="BC1175">
        <v>4654100</v>
      </c>
      <c r="BD1175" t="s">
        <v>31</v>
      </c>
      <c r="BE1175">
        <v>0</v>
      </c>
      <c r="BF1175">
        <v>0</v>
      </c>
      <c r="BG1175">
        <v>145500</v>
      </c>
      <c r="BH1175">
        <v>203700</v>
      </c>
      <c r="BI1175">
        <v>0</v>
      </c>
      <c r="BJ1175">
        <v>5003300</v>
      </c>
      <c r="BK1175" t="s">
        <v>25</v>
      </c>
      <c r="BL1175" t="s">
        <v>187</v>
      </c>
      <c r="BM1175">
        <v>30</v>
      </c>
      <c r="BN1175">
        <v>29087864</v>
      </c>
      <c r="BO1175">
        <v>0.125</v>
      </c>
      <c r="BP1175">
        <v>3636000</v>
      </c>
      <c r="BQ1175">
        <v>0</v>
      </c>
      <c r="BS1175">
        <v>0</v>
      </c>
      <c r="BU1175">
        <v>0</v>
      </c>
      <c r="BV1175" t="s">
        <v>25</v>
      </c>
      <c r="BW1175" t="s">
        <v>189</v>
      </c>
      <c r="BX1175">
        <v>30</v>
      </c>
      <c r="BY1175">
        <v>29087864</v>
      </c>
      <c r="BZ1175">
        <v>6.9600000977516174E-2</v>
      </c>
      <c r="CA1175" t="s">
        <v>1439</v>
      </c>
      <c r="CB1175" t="s">
        <v>227</v>
      </c>
      <c r="CC1175" t="s">
        <v>1440</v>
      </c>
      <c r="CD1175">
        <v>2024600</v>
      </c>
      <c r="CE1175">
        <v>30</v>
      </c>
      <c r="CF1175" t="s">
        <v>635</v>
      </c>
      <c r="CG1175">
        <v>29087864</v>
      </c>
      <c r="CH1175">
        <v>3.9999999105930328E-2</v>
      </c>
      <c r="CI1175">
        <v>1163600</v>
      </c>
      <c r="CJ1175">
        <v>29087864</v>
      </c>
      <c r="CK1175">
        <v>1.9999999552965164E-2</v>
      </c>
      <c r="CL1175">
        <v>581800</v>
      </c>
      <c r="CM1175">
        <v>2.9999999329447746E-2</v>
      </c>
      <c r="CN1175">
        <v>872700</v>
      </c>
      <c r="CO1175">
        <v>0</v>
      </c>
      <c r="CP1175">
        <v>0</v>
      </c>
      <c r="CQ1175">
        <v>0</v>
      </c>
      <c r="CR1175">
        <v>0</v>
      </c>
      <c r="CS1175" t="s">
        <v>32</v>
      </c>
      <c r="CT1175" t="s">
        <v>142</v>
      </c>
      <c r="CU1175" t="s">
        <v>1442</v>
      </c>
    </row>
    <row r="1176" spans="1:99">
      <c r="A1176" t="s">
        <v>3047</v>
      </c>
      <c r="B1176" t="s">
        <v>34</v>
      </c>
      <c r="C1176" t="s">
        <v>2839</v>
      </c>
      <c r="D1176" t="s">
        <v>2840</v>
      </c>
      <c r="E1176" t="s">
        <v>1471</v>
      </c>
      <c r="F1176" t="s">
        <v>2115</v>
      </c>
      <c r="G1176" t="s">
        <v>1742</v>
      </c>
      <c r="H1176" t="s">
        <v>1474</v>
      </c>
      <c r="I1176" t="s">
        <v>240</v>
      </c>
      <c r="J1176" t="s">
        <v>46</v>
      </c>
      <c r="K1176" t="s">
        <v>29</v>
      </c>
      <c r="L1176" t="s">
        <v>30</v>
      </c>
      <c r="M1176">
        <v>188</v>
      </c>
      <c r="N1176" t="s">
        <v>32</v>
      </c>
      <c r="O1176" t="s">
        <v>32</v>
      </c>
      <c r="Q1176" t="s">
        <v>32</v>
      </c>
      <c r="S1176" t="s">
        <v>32</v>
      </c>
      <c r="U1176" t="s">
        <v>32</v>
      </c>
      <c r="V1176" t="s">
        <v>32</v>
      </c>
      <c r="W1176" t="s">
        <v>32</v>
      </c>
      <c r="X1176" t="s">
        <v>32</v>
      </c>
      <c r="Y1176" t="s">
        <v>88</v>
      </c>
      <c r="Z1176">
        <v>46054</v>
      </c>
      <c r="AA1176" t="s">
        <v>88</v>
      </c>
      <c r="AB1176" t="s">
        <v>32</v>
      </c>
      <c r="AE1176" t="s">
        <v>32</v>
      </c>
      <c r="AH1176" t="s">
        <v>32</v>
      </c>
      <c r="AK1176" t="s">
        <v>32</v>
      </c>
      <c r="AN1176" t="s">
        <v>32</v>
      </c>
      <c r="AO1176" t="s">
        <v>32</v>
      </c>
      <c r="AR1176">
        <v>0</v>
      </c>
      <c r="AU1176" t="s">
        <v>32</v>
      </c>
      <c r="AV1176">
        <v>2382840</v>
      </c>
      <c r="AW1176" t="s">
        <v>32</v>
      </c>
      <c r="AX1176" t="s">
        <v>32</v>
      </c>
      <c r="AY1176" t="s">
        <v>317</v>
      </c>
      <c r="AZ1176">
        <v>30</v>
      </c>
      <c r="BA1176">
        <v>2382840</v>
      </c>
      <c r="BB1176">
        <v>0.15999999642372131</v>
      </c>
      <c r="BC1176">
        <v>381300</v>
      </c>
      <c r="BD1176" t="s">
        <v>31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381300</v>
      </c>
      <c r="BK1176" t="s">
        <v>25</v>
      </c>
      <c r="BL1176" t="s">
        <v>870</v>
      </c>
      <c r="BM1176">
        <v>30</v>
      </c>
      <c r="BN1176">
        <v>2382840</v>
      </c>
      <c r="BO1176">
        <v>3.9999999105930328E-2</v>
      </c>
      <c r="BP1176">
        <v>95400</v>
      </c>
      <c r="BQ1176">
        <v>0</v>
      </c>
      <c r="BS1176">
        <v>0</v>
      </c>
      <c r="BU1176">
        <v>0</v>
      </c>
      <c r="BV1176" t="s">
        <v>25</v>
      </c>
      <c r="BW1176" t="s">
        <v>189</v>
      </c>
      <c r="BX1176">
        <v>30</v>
      </c>
      <c r="BY1176">
        <v>2382840</v>
      </c>
      <c r="BZ1176">
        <v>5.2200001664459705E-3</v>
      </c>
      <c r="CA1176" t="s">
        <v>1592</v>
      </c>
      <c r="CB1176" t="s">
        <v>227</v>
      </c>
      <c r="CC1176" t="s">
        <v>1593</v>
      </c>
      <c r="CD1176">
        <v>12500</v>
      </c>
      <c r="CE1176">
        <v>30</v>
      </c>
      <c r="CF1176" t="s">
        <v>635</v>
      </c>
      <c r="CG1176">
        <v>2382840</v>
      </c>
      <c r="CH1176">
        <v>3.9999999105930328E-2</v>
      </c>
      <c r="CI1176">
        <v>95400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 t="s">
        <v>88</v>
      </c>
      <c r="CT1176" t="s">
        <v>142</v>
      </c>
      <c r="CU1176" t="s">
        <v>1442</v>
      </c>
    </row>
    <row r="1177" spans="1:99">
      <c r="A1177" t="s">
        <v>3047</v>
      </c>
      <c r="B1177" t="s">
        <v>34</v>
      </c>
      <c r="C1177" t="s">
        <v>2841</v>
      </c>
      <c r="D1177" t="s">
        <v>2842</v>
      </c>
      <c r="E1177" t="s">
        <v>2843</v>
      </c>
      <c r="F1177" t="s">
        <v>926</v>
      </c>
      <c r="G1177" t="s">
        <v>1489</v>
      </c>
      <c r="H1177" t="s">
        <v>1543</v>
      </c>
      <c r="I1177" t="s">
        <v>362</v>
      </c>
      <c r="J1177" t="s">
        <v>405</v>
      </c>
      <c r="K1177" t="s">
        <v>29</v>
      </c>
      <c r="L1177" t="s">
        <v>30</v>
      </c>
      <c r="M1177">
        <v>63</v>
      </c>
      <c r="N1177" t="s">
        <v>32</v>
      </c>
      <c r="O1177" t="s">
        <v>32</v>
      </c>
      <c r="Q1177" t="s">
        <v>40</v>
      </c>
      <c r="R1177">
        <v>46072</v>
      </c>
      <c r="S1177" t="s">
        <v>32</v>
      </c>
      <c r="U1177" t="s">
        <v>32</v>
      </c>
      <c r="V1177" t="s">
        <v>32</v>
      </c>
      <c r="W1177" t="s">
        <v>32</v>
      </c>
      <c r="X1177" t="s">
        <v>32</v>
      </c>
      <c r="Y1177" t="s">
        <v>32</v>
      </c>
      <c r="AA1177" t="s">
        <v>88</v>
      </c>
      <c r="AB1177" t="s">
        <v>32</v>
      </c>
      <c r="AE1177" t="s">
        <v>32</v>
      </c>
      <c r="AH1177" t="s">
        <v>32</v>
      </c>
      <c r="AK1177" t="s">
        <v>32</v>
      </c>
      <c r="AN1177" t="s">
        <v>32</v>
      </c>
      <c r="AO1177" t="s">
        <v>32</v>
      </c>
      <c r="AR1177">
        <v>0</v>
      </c>
      <c r="AU1177" t="s">
        <v>32</v>
      </c>
      <c r="AV1177">
        <v>11201102</v>
      </c>
      <c r="AW1177" t="s">
        <v>32</v>
      </c>
      <c r="AX1177" t="s">
        <v>32</v>
      </c>
      <c r="AY1177" t="s">
        <v>356</v>
      </c>
      <c r="AZ1177">
        <v>12</v>
      </c>
      <c r="BA1177">
        <v>4480441</v>
      </c>
      <c r="BB1177">
        <v>0.15999999642372131</v>
      </c>
      <c r="BC1177">
        <v>716900</v>
      </c>
      <c r="BD1177" t="s">
        <v>31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716900</v>
      </c>
      <c r="BK1177" t="s">
        <v>25</v>
      </c>
      <c r="BL1177" t="s">
        <v>870</v>
      </c>
      <c r="BM1177">
        <v>12</v>
      </c>
      <c r="BN1177">
        <v>4480441</v>
      </c>
      <c r="BO1177">
        <v>3.9999999105930328E-2</v>
      </c>
      <c r="BP1177">
        <v>179300</v>
      </c>
      <c r="BQ1177">
        <v>0</v>
      </c>
      <c r="BS1177">
        <v>0</v>
      </c>
      <c r="BU1177">
        <v>0</v>
      </c>
      <c r="BV1177" t="s">
        <v>25</v>
      </c>
      <c r="BW1177" t="s">
        <v>189</v>
      </c>
      <c r="BX1177">
        <v>12</v>
      </c>
      <c r="BY1177">
        <v>4480441</v>
      </c>
      <c r="BZ1177">
        <v>6.9600000977516174E-2</v>
      </c>
      <c r="CA1177" t="s">
        <v>1439</v>
      </c>
      <c r="CB1177" t="s">
        <v>312</v>
      </c>
      <c r="CC1177" t="s">
        <v>1440</v>
      </c>
      <c r="CD1177">
        <v>311900</v>
      </c>
      <c r="CE1177">
        <v>12</v>
      </c>
      <c r="CF1177" t="s">
        <v>1072</v>
      </c>
      <c r="CG1177">
        <v>4480441</v>
      </c>
      <c r="CH1177">
        <v>3.9999999105930328E-2</v>
      </c>
      <c r="CI1177">
        <v>179300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 t="s">
        <v>88</v>
      </c>
      <c r="CT1177" t="s">
        <v>142</v>
      </c>
      <c r="CU1177" t="s">
        <v>1442</v>
      </c>
    </row>
    <row r="1178" spans="1:99">
      <c r="A1178" t="s">
        <v>3047</v>
      </c>
      <c r="B1178" t="s">
        <v>34</v>
      </c>
      <c r="C1178" t="s">
        <v>2845</v>
      </c>
      <c r="D1178" t="s">
        <v>2846</v>
      </c>
      <c r="E1178" t="s">
        <v>2847</v>
      </c>
      <c r="F1178" t="s">
        <v>2698</v>
      </c>
      <c r="G1178" t="s">
        <v>2440</v>
      </c>
      <c r="H1178" t="s">
        <v>1706</v>
      </c>
      <c r="I1178" t="s">
        <v>240</v>
      </c>
      <c r="J1178" t="s">
        <v>46</v>
      </c>
      <c r="K1178" t="s">
        <v>29</v>
      </c>
      <c r="L1178" t="s">
        <v>30</v>
      </c>
      <c r="M1178">
        <v>0</v>
      </c>
      <c r="N1178" t="s">
        <v>32</v>
      </c>
      <c r="O1178" t="s">
        <v>32</v>
      </c>
      <c r="Q1178" t="s">
        <v>32</v>
      </c>
      <c r="S1178" t="s">
        <v>32</v>
      </c>
      <c r="U1178" t="s">
        <v>32</v>
      </c>
      <c r="V1178" t="s">
        <v>32</v>
      </c>
      <c r="W1178" t="s">
        <v>32</v>
      </c>
      <c r="X1178" t="s">
        <v>32</v>
      </c>
      <c r="Y1178" t="s">
        <v>32</v>
      </c>
      <c r="AA1178" t="s">
        <v>32</v>
      </c>
      <c r="AB1178" t="s">
        <v>37</v>
      </c>
      <c r="AC1178">
        <v>46058</v>
      </c>
      <c r="AD1178">
        <v>46059</v>
      </c>
      <c r="AE1178" t="s">
        <v>32</v>
      </c>
      <c r="AH1178" t="s">
        <v>32</v>
      </c>
      <c r="AK1178" t="s">
        <v>32</v>
      </c>
      <c r="AN1178" t="s">
        <v>32</v>
      </c>
      <c r="AO1178" t="s">
        <v>32</v>
      </c>
      <c r="AR1178">
        <v>0</v>
      </c>
      <c r="AU1178" t="s">
        <v>32</v>
      </c>
      <c r="AV1178">
        <v>2223339</v>
      </c>
      <c r="AW1178" t="s">
        <v>32</v>
      </c>
      <c r="AX1178" t="s">
        <v>32</v>
      </c>
      <c r="AY1178" t="s">
        <v>137</v>
      </c>
      <c r="AZ1178">
        <v>2</v>
      </c>
      <c r="BA1178">
        <v>148223</v>
      </c>
      <c r="BB1178">
        <v>0.15999999642372131</v>
      </c>
      <c r="BC1178">
        <v>23800</v>
      </c>
      <c r="BD1178" t="s">
        <v>31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23800</v>
      </c>
      <c r="BK1178" t="s">
        <v>25</v>
      </c>
      <c r="BL1178" t="s">
        <v>1064</v>
      </c>
      <c r="BM1178">
        <v>2</v>
      </c>
      <c r="BN1178">
        <v>148223</v>
      </c>
      <c r="BO1178">
        <v>0</v>
      </c>
      <c r="BP1178">
        <v>0</v>
      </c>
      <c r="BQ1178">
        <v>0</v>
      </c>
      <c r="BS1178">
        <v>0</v>
      </c>
      <c r="BU1178">
        <v>0</v>
      </c>
      <c r="BV1178" t="s">
        <v>25</v>
      </c>
      <c r="BW1178" t="s">
        <v>189</v>
      </c>
      <c r="BX1178">
        <v>2</v>
      </c>
      <c r="BY1178">
        <v>148223</v>
      </c>
      <c r="BZ1178">
        <v>0</v>
      </c>
      <c r="CA1178" t="s">
        <v>1439</v>
      </c>
      <c r="CB1178" t="s">
        <v>227</v>
      </c>
      <c r="CC1178" t="s">
        <v>1440</v>
      </c>
      <c r="CD1178">
        <v>0</v>
      </c>
      <c r="CE1178">
        <v>2</v>
      </c>
      <c r="CF1178" t="s">
        <v>635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 t="s">
        <v>88</v>
      </c>
      <c r="CT1178" t="s">
        <v>142</v>
      </c>
      <c r="CU1178" t="s">
        <v>1442</v>
      </c>
    </row>
    <row r="1179" spans="1:99">
      <c r="A1179" t="s">
        <v>3047</v>
      </c>
      <c r="B1179" t="s">
        <v>34</v>
      </c>
      <c r="C1179" t="s">
        <v>2845</v>
      </c>
      <c r="D1179" t="s">
        <v>2846</v>
      </c>
      <c r="E1179" t="s">
        <v>2847</v>
      </c>
      <c r="F1179" t="s">
        <v>2698</v>
      </c>
      <c r="G1179" t="s">
        <v>2440</v>
      </c>
      <c r="H1179" t="s">
        <v>1706</v>
      </c>
      <c r="I1179" t="s">
        <v>240</v>
      </c>
      <c r="J1179" t="s">
        <v>46</v>
      </c>
      <c r="K1179" t="s">
        <v>29</v>
      </c>
      <c r="L1179" t="s">
        <v>30</v>
      </c>
      <c r="M1179">
        <v>38</v>
      </c>
      <c r="N1179" t="s">
        <v>32</v>
      </c>
      <c r="O1179" t="s">
        <v>32</v>
      </c>
      <c r="Q1179" t="s">
        <v>32</v>
      </c>
      <c r="S1179" t="s">
        <v>40</v>
      </c>
      <c r="T1179">
        <v>46060</v>
      </c>
      <c r="U1179" t="s">
        <v>32</v>
      </c>
      <c r="V1179" t="s">
        <v>32</v>
      </c>
      <c r="W1179" t="s">
        <v>32</v>
      </c>
      <c r="X1179" t="s">
        <v>32</v>
      </c>
      <c r="Y1179" t="s">
        <v>32</v>
      </c>
      <c r="AA1179" t="s">
        <v>88</v>
      </c>
      <c r="AB1179" t="s">
        <v>32</v>
      </c>
      <c r="AE1179" t="s">
        <v>32</v>
      </c>
      <c r="AH1179" t="s">
        <v>32</v>
      </c>
      <c r="AK1179" t="s">
        <v>32</v>
      </c>
      <c r="AN1179" t="s">
        <v>32</v>
      </c>
      <c r="AO1179" t="s">
        <v>32</v>
      </c>
      <c r="AR1179">
        <v>0</v>
      </c>
      <c r="AU1179" t="s">
        <v>32</v>
      </c>
      <c r="AV1179">
        <v>2223339</v>
      </c>
      <c r="AW1179" t="s">
        <v>32</v>
      </c>
      <c r="AX1179" t="s">
        <v>32</v>
      </c>
      <c r="AY1179" t="s">
        <v>137</v>
      </c>
      <c r="AZ1179">
        <v>5</v>
      </c>
      <c r="BA1179">
        <v>761763</v>
      </c>
      <c r="BB1179">
        <v>0.15999999642372131</v>
      </c>
      <c r="BC1179">
        <v>121900</v>
      </c>
      <c r="BD1179" t="s">
        <v>31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121900</v>
      </c>
      <c r="BK1179" t="s">
        <v>25</v>
      </c>
      <c r="BL1179" t="s">
        <v>1064</v>
      </c>
      <c r="BM1179">
        <v>5</v>
      </c>
      <c r="BN1179">
        <v>761763</v>
      </c>
      <c r="BO1179">
        <v>3.9999999105930328E-2</v>
      </c>
      <c r="BP1179">
        <v>30500</v>
      </c>
      <c r="BQ1179">
        <v>0</v>
      </c>
      <c r="BS1179">
        <v>0</v>
      </c>
      <c r="BU1179">
        <v>0</v>
      </c>
      <c r="BV1179" t="s">
        <v>25</v>
      </c>
      <c r="BW1179" t="s">
        <v>189</v>
      </c>
      <c r="BX1179">
        <v>5</v>
      </c>
      <c r="BY1179">
        <v>761763</v>
      </c>
      <c r="BZ1179">
        <v>6.9600000977516174E-2</v>
      </c>
      <c r="CA1179" t="s">
        <v>1439</v>
      </c>
      <c r="CB1179" t="s">
        <v>227</v>
      </c>
      <c r="CC1179" t="s">
        <v>1440</v>
      </c>
      <c r="CD1179">
        <v>53100</v>
      </c>
      <c r="CE1179">
        <v>5</v>
      </c>
      <c r="CF1179" t="s">
        <v>635</v>
      </c>
      <c r="CG1179">
        <v>806594</v>
      </c>
      <c r="CH1179">
        <v>3.9999999105930328E-2</v>
      </c>
      <c r="CI1179">
        <v>32300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 t="s">
        <v>88</v>
      </c>
      <c r="CT1179" t="s">
        <v>142</v>
      </c>
      <c r="CU1179" t="s">
        <v>1442</v>
      </c>
    </row>
    <row r="1180" spans="1:99">
      <c r="A1180" t="s">
        <v>3047</v>
      </c>
      <c r="B1180" t="s">
        <v>34</v>
      </c>
      <c r="C1180" t="s">
        <v>2848</v>
      </c>
      <c r="D1180" t="s">
        <v>2849</v>
      </c>
      <c r="E1180" t="s">
        <v>263</v>
      </c>
      <c r="F1180" t="s">
        <v>2850</v>
      </c>
      <c r="G1180" t="s">
        <v>1742</v>
      </c>
      <c r="H1180" t="s">
        <v>2511</v>
      </c>
      <c r="I1180" t="s">
        <v>240</v>
      </c>
      <c r="J1180" t="s">
        <v>46</v>
      </c>
      <c r="K1180" t="s">
        <v>29</v>
      </c>
      <c r="L1180" t="s">
        <v>30</v>
      </c>
      <c r="M1180">
        <v>212</v>
      </c>
      <c r="N1180" t="s">
        <v>32</v>
      </c>
      <c r="O1180" t="s">
        <v>32</v>
      </c>
      <c r="Q1180" t="s">
        <v>32</v>
      </c>
      <c r="S1180" t="s">
        <v>32</v>
      </c>
      <c r="U1180" t="s">
        <v>32</v>
      </c>
      <c r="V1180" t="s">
        <v>32</v>
      </c>
      <c r="W1180" t="s">
        <v>32</v>
      </c>
      <c r="X1180" t="s">
        <v>32</v>
      </c>
      <c r="Y1180" t="s">
        <v>32</v>
      </c>
      <c r="AA1180" t="s">
        <v>88</v>
      </c>
      <c r="AB1180" t="s">
        <v>32</v>
      </c>
      <c r="AE1180" t="s">
        <v>32</v>
      </c>
      <c r="AH1180" t="s">
        <v>32</v>
      </c>
      <c r="AK1180" t="s">
        <v>32</v>
      </c>
      <c r="AN1180" t="s">
        <v>32</v>
      </c>
      <c r="AO1180" t="s">
        <v>32</v>
      </c>
      <c r="AR1180">
        <v>0</v>
      </c>
      <c r="AU1180" t="s">
        <v>32</v>
      </c>
      <c r="AV1180">
        <v>1898887</v>
      </c>
      <c r="AW1180" t="s">
        <v>32</v>
      </c>
      <c r="AX1180" t="s">
        <v>32</v>
      </c>
      <c r="AY1180" t="s">
        <v>356</v>
      </c>
      <c r="AZ1180">
        <v>30</v>
      </c>
      <c r="BA1180">
        <v>2157827</v>
      </c>
      <c r="BB1180">
        <v>0.15999999642372131</v>
      </c>
      <c r="BC1180">
        <v>345300</v>
      </c>
      <c r="BD1180" t="s">
        <v>31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345300</v>
      </c>
      <c r="BK1180" t="s">
        <v>25</v>
      </c>
      <c r="BL1180" t="s">
        <v>885</v>
      </c>
      <c r="BM1180">
        <v>30</v>
      </c>
      <c r="BN1180">
        <v>2157827</v>
      </c>
      <c r="BO1180">
        <v>3.9999999105930328E-2</v>
      </c>
      <c r="BP1180">
        <v>86400</v>
      </c>
      <c r="BQ1180">
        <v>0</v>
      </c>
      <c r="BS1180">
        <v>0</v>
      </c>
      <c r="BU1180">
        <v>0</v>
      </c>
      <c r="BV1180" t="s">
        <v>25</v>
      </c>
      <c r="BW1180" t="s">
        <v>189</v>
      </c>
      <c r="BX1180">
        <v>30</v>
      </c>
      <c r="BY1180">
        <v>2157827</v>
      </c>
      <c r="BZ1180">
        <v>2.4360001087188721E-2</v>
      </c>
      <c r="CA1180" t="s">
        <v>1772</v>
      </c>
      <c r="CB1180" t="s">
        <v>227</v>
      </c>
      <c r="CC1180" t="s">
        <v>1773</v>
      </c>
      <c r="CD1180">
        <v>52600</v>
      </c>
      <c r="CE1180">
        <v>30</v>
      </c>
      <c r="CF1180" t="s">
        <v>635</v>
      </c>
      <c r="CG1180">
        <v>2157827</v>
      </c>
      <c r="CH1180">
        <v>3.9999999105930328E-2</v>
      </c>
      <c r="CI1180">
        <v>86400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 t="s">
        <v>88</v>
      </c>
      <c r="CT1180" t="s">
        <v>142</v>
      </c>
      <c r="CU1180" t="s">
        <v>1442</v>
      </c>
    </row>
    <row r="1181" spans="1:99">
      <c r="A1181" t="s">
        <v>3047</v>
      </c>
      <c r="B1181" t="s">
        <v>34</v>
      </c>
      <c r="C1181" t="s">
        <v>2851</v>
      </c>
      <c r="D1181" t="s">
        <v>2852</v>
      </c>
      <c r="E1181" t="s">
        <v>2568</v>
      </c>
      <c r="F1181" t="s">
        <v>734</v>
      </c>
      <c r="G1181" t="s">
        <v>2319</v>
      </c>
      <c r="H1181" t="s">
        <v>1558</v>
      </c>
      <c r="I1181" t="s">
        <v>240</v>
      </c>
      <c r="J1181" t="s">
        <v>46</v>
      </c>
      <c r="K1181" t="s">
        <v>29</v>
      </c>
      <c r="L1181" t="s">
        <v>30</v>
      </c>
      <c r="M1181">
        <v>226</v>
      </c>
      <c r="N1181" t="s">
        <v>32</v>
      </c>
      <c r="O1181" t="s">
        <v>32</v>
      </c>
      <c r="Q1181" t="s">
        <v>32</v>
      </c>
      <c r="S1181" t="s">
        <v>32</v>
      </c>
      <c r="U1181" t="s">
        <v>32</v>
      </c>
      <c r="V1181" t="s">
        <v>32</v>
      </c>
      <c r="W1181" t="s">
        <v>32</v>
      </c>
      <c r="X1181" t="s">
        <v>32</v>
      </c>
      <c r="Y1181" t="s">
        <v>32</v>
      </c>
      <c r="AA1181" t="s">
        <v>88</v>
      </c>
      <c r="AB1181" t="s">
        <v>32</v>
      </c>
      <c r="AE1181" t="s">
        <v>32</v>
      </c>
      <c r="AH1181" t="s">
        <v>32</v>
      </c>
      <c r="AK1181" t="s">
        <v>32</v>
      </c>
      <c r="AN1181" t="s">
        <v>32</v>
      </c>
      <c r="AO1181" t="s">
        <v>32</v>
      </c>
      <c r="AR1181">
        <v>0</v>
      </c>
      <c r="AU1181" t="s">
        <v>32</v>
      </c>
      <c r="AV1181">
        <v>2078522</v>
      </c>
      <c r="AW1181" t="s">
        <v>32</v>
      </c>
      <c r="AX1181" t="s">
        <v>32</v>
      </c>
      <c r="AY1181" t="s">
        <v>356</v>
      </c>
      <c r="AZ1181">
        <v>30</v>
      </c>
      <c r="BA1181">
        <v>2663343</v>
      </c>
      <c r="BB1181">
        <v>0.15999999642372131</v>
      </c>
      <c r="BC1181">
        <v>426200</v>
      </c>
      <c r="BD1181" t="s">
        <v>31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426200</v>
      </c>
      <c r="BK1181" t="s">
        <v>25</v>
      </c>
      <c r="BL1181" t="s">
        <v>885</v>
      </c>
      <c r="BM1181">
        <v>30</v>
      </c>
      <c r="BN1181">
        <v>2663343</v>
      </c>
      <c r="BO1181">
        <v>3.9999999105930328E-2</v>
      </c>
      <c r="BP1181">
        <v>106600</v>
      </c>
      <c r="BQ1181">
        <v>0</v>
      </c>
      <c r="BS1181">
        <v>0</v>
      </c>
      <c r="BU1181">
        <v>0</v>
      </c>
      <c r="BV1181" t="s">
        <v>25</v>
      </c>
      <c r="BW1181" t="s">
        <v>189</v>
      </c>
      <c r="BX1181">
        <v>30</v>
      </c>
      <c r="BY1181">
        <v>2663343</v>
      </c>
      <c r="BZ1181">
        <v>2.4360001087188721E-2</v>
      </c>
      <c r="CA1181" t="s">
        <v>1772</v>
      </c>
      <c r="CB1181" t="s">
        <v>227</v>
      </c>
      <c r="CC1181" t="s">
        <v>1773</v>
      </c>
      <c r="CD1181">
        <v>64900</v>
      </c>
      <c r="CE1181">
        <v>30</v>
      </c>
      <c r="CF1181" t="s">
        <v>635</v>
      </c>
      <c r="CG1181">
        <v>2663343</v>
      </c>
      <c r="CH1181">
        <v>3.9999999105930328E-2</v>
      </c>
      <c r="CI1181">
        <v>106600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 t="s">
        <v>88</v>
      </c>
      <c r="CT1181" t="s">
        <v>142</v>
      </c>
      <c r="CU1181" t="s">
        <v>1442</v>
      </c>
    </row>
    <row r="1182" spans="1:99">
      <c r="A1182" t="s">
        <v>3047</v>
      </c>
      <c r="B1182" t="s">
        <v>34</v>
      </c>
      <c r="C1182" t="s">
        <v>2853</v>
      </c>
      <c r="D1182" t="s">
        <v>2854</v>
      </c>
      <c r="E1182" t="s">
        <v>2460</v>
      </c>
      <c r="F1182" t="s">
        <v>2855</v>
      </c>
      <c r="G1182" t="s">
        <v>2856</v>
      </c>
      <c r="H1182" t="s">
        <v>1498</v>
      </c>
      <c r="I1182" t="s">
        <v>240</v>
      </c>
      <c r="J1182" t="s">
        <v>46</v>
      </c>
      <c r="K1182" t="s">
        <v>29</v>
      </c>
      <c r="L1182" t="s">
        <v>30</v>
      </c>
      <c r="M1182">
        <v>180</v>
      </c>
      <c r="N1182" t="s">
        <v>32</v>
      </c>
      <c r="O1182" t="s">
        <v>32</v>
      </c>
      <c r="Q1182" t="s">
        <v>32</v>
      </c>
      <c r="S1182" t="s">
        <v>32</v>
      </c>
      <c r="U1182" t="s">
        <v>32</v>
      </c>
      <c r="V1182" t="s">
        <v>32</v>
      </c>
      <c r="W1182" t="s">
        <v>32</v>
      </c>
      <c r="X1182" t="s">
        <v>32</v>
      </c>
      <c r="Y1182" t="s">
        <v>32</v>
      </c>
      <c r="AA1182" t="s">
        <v>88</v>
      </c>
      <c r="AB1182" t="s">
        <v>32</v>
      </c>
      <c r="AE1182" t="s">
        <v>32</v>
      </c>
      <c r="AH1182" t="s">
        <v>32</v>
      </c>
      <c r="AK1182" t="s">
        <v>32</v>
      </c>
      <c r="AN1182" t="s">
        <v>32</v>
      </c>
      <c r="AO1182" t="s">
        <v>32</v>
      </c>
      <c r="AR1182">
        <v>0</v>
      </c>
      <c r="AU1182" t="s">
        <v>32</v>
      </c>
      <c r="AV1182">
        <v>3503370</v>
      </c>
      <c r="AW1182" t="s">
        <v>32</v>
      </c>
      <c r="AX1182" t="s">
        <v>32</v>
      </c>
      <c r="AY1182" t="s">
        <v>137</v>
      </c>
      <c r="AZ1182">
        <v>30</v>
      </c>
      <c r="BA1182">
        <v>3659429</v>
      </c>
      <c r="BB1182">
        <v>0.15999999642372131</v>
      </c>
      <c r="BC1182">
        <v>585600</v>
      </c>
      <c r="BD1182" t="s">
        <v>31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585600</v>
      </c>
      <c r="BK1182" t="s">
        <v>25</v>
      </c>
      <c r="BL1182" t="s">
        <v>885</v>
      </c>
      <c r="BM1182">
        <v>30</v>
      </c>
      <c r="BN1182">
        <v>3659429</v>
      </c>
      <c r="BO1182">
        <v>3.9999999105930328E-2</v>
      </c>
      <c r="BP1182">
        <v>146400</v>
      </c>
      <c r="BQ1182">
        <v>0</v>
      </c>
      <c r="BS1182">
        <v>0</v>
      </c>
      <c r="BU1182">
        <v>0</v>
      </c>
      <c r="BV1182" t="s">
        <v>25</v>
      </c>
      <c r="BW1182" t="s">
        <v>189</v>
      </c>
      <c r="BX1182">
        <v>30</v>
      </c>
      <c r="BY1182">
        <v>3659429</v>
      </c>
      <c r="BZ1182">
        <v>6.9600000977516174E-2</v>
      </c>
      <c r="CA1182" t="s">
        <v>1439</v>
      </c>
      <c r="CB1182" t="s">
        <v>227</v>
      </c>
      <c r="CC1182" t="s">
        <v>1440</v>
      </c>
      <c r="CD1182">
        <v>254700</v>
      </c>
      <c r="CE1182">
        <v>30</v>
      </c>
      <c r="CF1182" t="s">
        <v>635</v>
      </c>
      <c r="CG1182">
        <v>3659429</v>
      </c>
      <c r="CH1182">
        <v>3.9999999105930328E-2</v>
      </c>
      <c r="CI1182">
        <v>146400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 t="s">
        <v>88</v>
      </c>
      <c r="CT1182" t="s">
        <v>142</v>
      </c>
      <c r="CU1182" t="s">
        <v>1442</v>
      </c>
    </row>
    <row r="1183" spans="1:99">
      <c r="A1183" t="s">
        <v>3047</v>
      </c>
      <c r="B1183" t="s">
        <v>34</v>
      </c>
      <c r="C1183" t="s">
        <v>2857</v>
      </c>
      <c r="D1183" t="s">
        <v>2858</v>
      </c>
      <c r="E1183" t="s">
        <v>2859</v>
      </c>
      <c r="F1183" t="s">
        <v>1616</v>
      </c>
      <c r="G1183" t="s">
        <v>2860</v>
      </c>
      <c r="H1183" t="s">
        <v>1757</v>
      </c>
      <c r="I1183" t="s">
        <v>240</v>
      </c>
      <c r="J1183" t="s">
        <v>46</v>
      </c>
      <c r="K1183" t="s">
        <v>29</v>
      </c>
      <c r="L1183" t="s">
        <v>30</v>
      </c>
      <c r="M1183">
        <v>219</v>
      </c>
      <c r="N1183" t="s">
        <v>32</v>
      </c>
      <c r="O1183" t="s">
        <v>32</v>
      </c>
      <c r="Q1183" t="s">
        <v>32</v>
      </c>
      <c r="S1183" t="s">
        <v>32</v>
      </c>
      <c r="U1183" t="s">
        <v>32</v>
      </c>
      <c r="V1183" t="s">
        <v>32</v>
      </c>
      <c r="W1183" t="s">
        <v>32</v>
      </c>
      <c r="X1183" t="s">
        <v>32</v>
      </c>
      <c r="Y1183" t="s">
        <v>32</v>
      </c>
      <c r="AA1183" t="s">
        <v>88</v>
      </c>
      <c r="AB1183" t="s">
        <v>32</v>
      </c>
      <c r="AE1183" t="s">
        <v>32</v>
      </c>
      <c r="AH1183" t="s">
        <v>32</v>
      </c>
      <c r="AK1183" t="s">
        <v>32</v>
      </c>
      <c r="AN1183" t="s">
        <v>32</v>
      </c>
      <c r="AO1183" t="s">
        <v>32</v>
      </c>
      <c r="AR1183">
        <v>0</v>
      </c>
      <c r="AU1183" t="s">
        <v>32</v>
      </c>
      <c r="AV1183">
        <v>2665550</v>
      </c>
      <c r="AW1183" t="s">
        <v>32</v>
      </c>
      <c r="AX1183" t="s">
        <v>32</v>
      </c>
      <c r="AY1183" t="s">
        <v>317</v>
      </c>
      <c r="AZ1183">
        <v>30</v>
      </c>
      <c r="BA1183">
        <v>3630035</v>
      </c>
      <c r="BB1183">
        <v>0.15999999642372131</v>
      </c>
      <c r="BC1183">
        <v>580900</v>
      </c>
      <c r="BD1183" t="s">
        <v>31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580900</v>
      </c>
      <c r="BK1183" t="s">
        <v>25</v>
      </c>
      <c r="BL1183" t="s">
        <v>1010</v>
      </c>
      <c r="BM1183">
        <v>30</v>
      </c>
      <c r="BN1183">
        <v>3630035</v>
      </c>
      <c r="BO1183">
        <v>3.9999999105930328E-2</v>
      </c>
      <c r="BP1183">
        <v>145300</v>
      </c>
      <c r="BQ1183">
        <v>0</v>
      </c>
      <c r="BS1183">
        <v>0</v>
      </c>
      <c r="BU1183">
        <v>0</v>
      </c>
      <c r="BV1183" t="s">
        <v>25</v>
      </c>
      <c r="BW1183" t="s">
        <v>189</v>
      </c>
      <c r="BX1183">
        <v>30</v>
      </c>
      <c r="BY1183">
        <v>3630035</v>
      </c>
      <c r="BZ1183">
        <v>6.9600000977516174E-2</v>
      </c>
      <c r="CA1183" t="s">
        <v>1439</v>
      </c>
      <c r="CB1183" t="s">
        <v>227</v>
      </c>
      <c r="CC1183" t="s">
        <v>1440</v>
      </c>
      <c r="CD1183">
        <v>252700</v>
      </c>
      <c r="CE1183">
        <v>30</v>
      </c>
      <c r="CF1183" t="s">
        <v>635</v>
      </c>
      <c r="CG1183">
        <v>3630035</v>
      </c>
      <c r="CH1183">
        <v>3.9999999105930328E-2</v>
      </c>
      <c r="CI1183">
        <v>145300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 t="s">
        <v>88</v>
      </c>
      <c r="CT1183" t="s">
        <v>142</v>
      </c>
      <c r="CU1183" t="s">
        <v>1442</v>
      </c>
    </row>
    <row r="1184" spans="1:99">
      <c r="A1184" t="s">
        <v>3047</v>
      </c>
      <c r="B1184" t="s">
        <v>34</v>
      </c>
      <c r="C1184" t="s">
        <v>2861</v>
      </c>
      <c r="D1184" t="s">
        <v>2862</v>
      </c>
      <c r="E1184" t="s">
        <v>1551</v>
      </c>
      <c r="F1184" t="s">
        <v>1952</v>
      </c>
      <c r="G1184" t="s">
        <v>1474</v>
      </c>
      <c r="H1184" t="s">
        <v>1558</v>
      </c>
      <c r="I1184" t="s">
        <v>240</v>
      </c>
      <c r="J1184" t="s">
        <v>46</v>
      </c>
      <c r="K1184" t="s">
        <v>29</v>
      </c>
      <c r="L1184" t="s">
        <v>30</v>
      </c>
      <c r="M1184">
        <v>217</v>
      </c>
      <c r="N1184" t="s">
        <v>32</v>
      </c>
      <c r="O1184" t="s">
        <v>32</v>
      </c>
      <c r="Q1184" t="s">
        <v>32</v>
      </c>
      <c r="S1184" t="s">
        <v>32</v>
      </c>
      <c r="U1184" t="s">
        <v>32</v>
      </c>
      <c r="V1184" t="s">
        <v>32</v>
      </c>
      <c r="W1184" t="s">
        <v>32</v>
      </c>
      <c r="X1184" t="s">
        <v>32</v>
      </c>
      <c r="Y1184" t="s">
        <v>88</v>
      </c>
      <c r="Z1184">
        <v>46054</v>
      </c>
      <c r="AA1184" t="s">
        <v>88</v>
      </c>
      <c r="AB1184" t="s">
        <v>32</v>
      </c>
      <c r="AE1184" t="s">
        <v>32</v>
      </c>
      <c r="AH1184" t="s">
        <v>32</v>
      </c>
      <c r="AK1184" t="s">
        <v>32</v>
      </c>
      <c r="AN1184" t="s">
        <v>32</v>
      </c>
      <c r="AO1184" t="s">
        <v>32</v>
      </c>
      <c r="AR1184">
        <v>0</v>
      </c>
      <c r="AU1184" t="s">
        <v>32</v>
      </c>
      <c r="AV1184">
        <v>3050412</v>
      </c>
      <c r="AW1184" t="s">
        <v>32</v>
      </c>
      <c r="AX1184" t="s">
        <v>32</v>
      </c>
      <c r="AY1184" t="s">
        <v>356</v>
      </c>
      <c r="AZ1184">
        <v>30</v>
      </c>
      <c r="BA1184">
        <v>3561703</v>
      </c>
      <c r="BB1184">
        <v>0.15999999642372131</v>
      </c>
      <c r="BC1184">
        <v>569900</v>
      </c>
      <c r="BD1184" t="s">
        <v>31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569900</v>
      </c>
      <c r="BK1184" t="s">
        <v>25</v>
      </c>
      <c r="BL1184" t="s">
        <v>635</v>
      </c>
      <c r="BM1184">
        <v>30</v>
      </c>
      <c r="BN1184">
        <v>3561703</v>
      </c>
      <c r="BO1184">
        <v>3.9999999105930328E-2</v>
      </c>
      <c r="BP1184">
        <v>142500</v>
      </c>
      <c r="BQ1184">
        <v>0</v>
      </c>
      <c r="BS1184">
        <v>0</v>
      </c>
      <c r="BU1184">
        <v>0</v>
      </c>
      <c r="BV1184" t="s">
        <v>25</v>
      </c>
      <c r="BW1184" t="s">
        <v>189</v>
      </c>
      <c r="BX1184">
        <v>30</v>
      </c>
      <c r="BY1184">
        <v>3561703</v>
      </c>
      <c r="BZ1184">
        <v>6.9600000977516174E-2</v>
      </c>
      <c r="CA1184" t="s">
        <v>1439</v>
      </c>
      <c r="CB1184" t="s">
        <v>227</v>
      </c>
      <c r="CC1184" t="s">
        <v>1440</v>
      </c>
      <c r="CD1184">
        <v>247900</v>
      </c>
      <c r="CE1184">
        <v>30</v>
      </c>
      <c r="CF1184" t="s">
        <v>635</v>
      </c>
      <c r="CG1184">
        <v>3561703</v>
      </c>
      <c r="CH1184">
        <v>3.9999999105930328E-2</v>
      </c>
      <c r="CI1184">
        <v>142500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 t="s">
        <v>88</v>
      </c>
      <c r="CT1184" t="s">
        <v>142</v>
      </c>
      <c r="CU1184" t="s">
        <v>1442</v>
      </c>
    </row>
    <row r="1185" spans="1:99">
      <c r="A1185" t="s">
        <v>3047</v>
      </c>
      <c r="B1185" t="s">
        <v>34</v>
      </c>
      <c r="C1185" t="s">
        <v>2863</v>
      </c>
      <c r="D1185" t="s">
        <v>2864</v>
      </c>
      <c r="E1185" t="s">
        <v>2865</v>
      </c>
      <c r="F1185" t="s">
        <v>2866</v>
      </c>
      <c r="G1185" t="s">
        <v>1473</v>
      </c>
      <c r="H1185" t="s">
        <v>1498</v>
      </c>
      <c r="I1185" t="s">
        <v>240</v>
      </c>
      <c r="J1185" t="s">
        <v>46</v>
      </c>
      <c r="K1185" t="s">
        <v>29</v>
      </c>
      <c r="L1185" t="s">
        <v>30</v>
      </c>
      <c r="M1185">
        <v>229</v>
      </c>
      <c r="N1185" t="s">
        <v>32</v>
      </c>
      <c r="O1185" t="s">
        <v>32</v>
      </c>
      <c r="Q1185" t="s">
        <v>32</v>
      </c>
      <c r="S1185" t="s">
        <v>40</v>
      </c>
      <c r="T1185">
        <v>46081</v>
      </c>
      <c r="U1185" t="s">
        <v>32</v>
      </c>
      <c r="V1185" t="s">
        <v>32</v>
      </c>
      <c r="W1185" t="s">
        <v>32</v>
      </c>
      <c r="X1185" t="s">
        <v>32</v>
      </c>
      <c r="Y1185" t="s">
        <v>32</v>
      </c>
      <c r="AA1185" t="s">
        <v>88</v>
      </c>
      <c r="AB1185" t="s">
        <v>32</v>
      </c>
      <c r="AE1185" t="s">
        <v>32</v>
      </c>
      <c r="AH1185" t="s">
        <v>32</v>
      </c>
      <c r="AK1185" t="s">
        <v>32</v>
      </c>
      <c r="AN1185" t="s">
        <v>32</v>
      </c>
      <c r="AO1185" t="s">
        <v>32</v>
      </c>
      <c r="AR1185">
        <v>0</v>
      </c>
      <c r="AU1185" t="s">
        <v>32</v>
      </c>
      <c r="AV1185">
        <v>1785595</v>
      </c>
      <c r="AW1185" t="s">
        <v>32</v>
      </c>
      <c r="AX1185" t="s">
        <v>32</v>
      </c>
      <c r="AY1185" t="s">
        <v>317</v>
      </c>
      <c r="AZ1185">
        <v>30</v>
      </c>
      <c r="BA1185">
        <v>2967739</v>
      </c>
      <c r="BB1185">
        <v>0.15999999642372131</v>
      </c>
      <c r="BC1185">
        <v>474900</v>
      </c>
      <c r="BD1185" t="s">
        <v>31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474900</v>
      </c>
      <c r="BK1185" t="s">
        <v>25</v>
      </c>
      <c r="BL1185" t="s">
        <v>1010</v>
      </c>
      <c r="BM1185">
        <v>30</v>
      </c>
      <c r="BN1185">
        <v>2967739</v>
      </c>
      <c r="BO1185">
        <v>3.9999999105930328E-2</v>
      </c>
      <c r="BP1185">
        <v>118800</v>
      </c>
      <c r="BQ1185">
        <v>0</v>
      </c>
      <c r="BS1185">
        <v>0</v>
      </c>
      <c r="BU1185">
        <v>0</v>
      </c>
      <c r="BV1185" t="s">
        <v>25</v>
      </c>
      <c r="BW1185" t="s">
        <v>189</v>
      </c>
      <c r="BX1185">
        <v>30</v>
      </c>
      <c r="BY1185">
        <v>2967739</v>
      </c>
      <c r="BZ1185">
        <v>6.9600000977516174E-2</v>
      </c>
      <c r="CA1185" t="s">
        <v>1439</v>
      </c>
      <c r="CB1185" t="s">
        <v>227</v>
      </c>
      <c r="CC1185" t="s">
        <v>1440</v>
      </c>
      <c r="CD1185">
        <v>206600</v>
      </c>
      <c r="CE1185">
        <v>30</v>
      </c>
      <c r="CF1185" t="s">
        <v>635</v>
      </c>
      <c r="CG1185">
        <v>3484962</v>
      </c>
      <c r="CH1185">
        <v>3.9999999105930328E-2</v>
      </c>
      <c r="CI1185">
        <v>139400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 t="s">
        <v>88</v>
      </c>
      <c r="CT1185" t="s">
        <v>142</v>
      </c>
      <c r="CU1185" t="s">
        <v>1442</v>
      </c>
    </row>
    <row r="1186" spans="1:99">
      <c r="A1186" t="s">
        <v>3047</v>
      </c>
      <c r="B1186" t="s">
        <v>34</v>
      </c>
      <c r="C1186" t="s">
        <v>2867</v>
      </c>
      <c r="D1186" t="s">
        <v>2868</v>
      </c>
      <c r="E1186" t="s">
        <v>1644</v>
      </c>
      <c r="F1186" t="s">
        <v>2869</v>
      </c>
      <c r="G1186" t="s">
        <v>2870</v>
      </c>
      <c r="H1186" t="s">
        <v>2871</v>
      </c>
      <c r="I1186" t="s">
        <v>240</v>
      </c>
      <c r="J1186" t="s">
        <v>46</v>
      </c>
      <c r="K1186" t="s">
        <v>29</v>
      </c>
      <c r="L1186" t="s">
        <v>30</v>
      </c>
      <c r="M1186">
        <v>224</v>
      </c>
      <c r="N1186" t="s">
        <v>32</v>
      </c>
      <c r="O1186" t="s">
        <v>32</v>
      </c>
      <c r="Q1186" t="s">
        <v>32</v>
      </c>
      <c r="S1186" t="s">
        <v>32</v>
      </c>
      <c r="U1186" t="s">
        <v>32</v>
      </c>
      <c r="V1186" t="s">
        <v>32</v>
      </c>
      <c r="W1186" t="s">
        <v>32</v>
      </c>
      <c r="X1186" t="s">
        <v>32</v>
      </c>
      <c r="Y1186" t="s">
        <v>32</v>
      </c>
      <c r="AA1186" t="s">
        <v>88</v>
      </c>
      <c r="AB1186" t="s">
        <v>32</v>
      </c>
      <c r="AE1186" t="s">
        <v>32</v>
      </c>
      <c r="AH1186" t="s">
        <v>32</v>
      </c>
      <c r="AK1186" t="s">
        <v>32</v>
      </c>
      <c r="AN1186" t="s">
        <v>32</v>
      </c>
      <c r="AO1186" t="s">
        <v>32</v>
      </c>
      <c r="AR1186">
        <v>0</v>
      </c>
      <c r="AU1186" t="s">
        <v>32</v>
      </c>
      <c r="AV1186">
        <v>2970185</v>
      </c>
      <c r="AW1186" t="s">
        <v>32</v>
      </c>
      <c r="AX1186" t="s">
        <v>32</v>
      </c>
      <c r="AY1186" t="s">
        <v>317</v>
      </c>
      <c r="AZ1186">
        <v>30</v>
      </c>
      <c r="BA1186">
        <v>4129279</v>
      </c>
      <c r="BB1186">
        <v>0.15999999642372131</v>
      </c>
      <c r="BC1186">
        <v>660700</v>
      </c>
      <c r="BD1186" t="s">
        <v>31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660700</v>
      </c>
      <c r="BK1186" t="s">
        <v>25</v>
      </c>
      <c r="BL1186" t="s">
        <v>1010</v>
      </c>
      <c r="BM1186">
        <v>30</v>
      </c>
      <c r="BN1186">
        <v>4129279</v>
      </c>
      <c r="BO1186">
        <v>3.9999999105930328E-2</v>
      </c>
      <c r="BP1186">
        <v>165200</v>
      </c>
      <c r="BQ1186">
        <v>0</v>
      </c>
      <c r="BS1186">
        <v>0</v>
      </c>
      <c r="BU1186">
        <v>0</v>
      </c>
      <c r="BV1186" t="s">
        <v>25</v>
      </c>
      <c r="BW1186" t="s">
        <v>189</v>
      </c>
      <c r="BX1186">
        <v>30</v>
      </c>
      <c r="BY1186">
        <v>4129279</v>
      </c>
      <c r="BZ1186">
        <v>6.9600000977516174E-2</v>
      </c>
      <c r="CA1186" t="s">
        <v>1439</v>
      </c>
      <c r="CB1186" t="s">
        <v>227</v>
      </c>
      <c r="CC1186" t="s">
        <v>1440</v>
      </c>
      <c r="CD1186">
        <v>287400</v>
      </c>
      <c r="CE1186">
        <v>30</v>
      </c>
      <c r="CF1186" t="s">
        <v>635</v>
      </c>
      <c r="CG1186">
        <v>4129279</v>
      </c>
      <c r="CH1186">
        <v>3.9999999105930328E-2</v>
      </c>
      <c r="CI1186">
        <v>165200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 t="s">
        <v>88</v>
      </c>
      <c r="CT1186" t="s">
        <v>142</v>
      </c>
      <c r="CU1186" t="s">
        <v>1442</v>
      </c>
    </row>
    <row r="1187" spans="1:99">
      <c r="A1187" t="s">
        <v>3047</v>
      </c>
      <c r="B1187" t="s">
        <v>34</v>
      </c>
      <c r="C1187" t="s">
        <v>2875</v>
      </c>
      <c r="D1187" t="s">
        <v>2876</v>
      </c>
      <c r="E1187" t="s">
        <v>1517</v>
      </c>
      <c r="F1187" t="s">
        <v>2250</v>
      </c>
      <c r="G1187" t="s">
        <v>1859</v>
      </c>
      <c r="H1187" t="s">
        <v>2046</v>
      </c>
      <c r="I1187" t="s">
        <v>240</v>
      </c>
      <c r="J1187" t="s">
        <v>46</v>
      </c>
      <c r="K1187" t="s">
        <v>29</v>
      </c>
      <c r="L1187" t="s">
        <v>30</v>
      </c>
      <c r="M1187">
        <v>188</v>
      </c>
      <c r="N1187" t="s">
        <v>32</v>
      </c>
      <c r="O1187" t="s">
        <v>32</v>
      </c>
      <c r="Q1187" t="s">
        <v>32</v>
      </c>
      <c r="S1187" t="s">
        <v>32</v>
      </c>
      <c r="U1187" t="s">
        <v>32</v>
      </c>
      <c r="V1187" t="s">
        <v>32</v>
      </c>
      <c r="W1187" t="s">
        <v>32</v>
      </c>
      <c r="X1187" t="s">
        <v>32</v>
      </c>
      <c r="Y1187" t="s">
        <v>88</v>
      </c>
      <c r="Z1187">
        <v>46054</v>
      </c>
      <c r="AA1187" t="s">
        <v>88</v>
      </c>
      <c r="AB1187" t="s">
        <v>32</v>
      </c>
      <c r="AE1187" t="s">
        <v>32</v>
      </c>
      <c r="AH1187" t="s">
        <v>32</v>
      </c>
      <c r="AK1187" t="s">
        <v>32</v>
      </c>
      <c r="AN1187" t="s">
        <v>32</v>
      </c>
      <c r="AO1187" t="s">
        <v>32</v>
      </c>
      <c r="AR1187">
        <v>0</v>
      </c>
      <c r="AU1187" t="s">
        <v>32</v>
      </c>
      <c r="AV1187">
        <v>8352209</v>
      </c>
      <c r="AW1187" t="s">
        <v>32</v>
      </c>
      <c r="AX1187" t="s">
        <v>32</v>
      </c>
      <c r="AY1187" t="s">
        <v>137</v>
      </c>
      <c r="AZ1187">
        <v>30</v>
      </c>
      <c r="BA1187">
        <v>16487612</v>
      </c>
      <c r="BB1187">
        <v>0.15999999642372131</v>
      </c>
      <c r="BC1187">
        <v>2638100</v>
      </c>
      <c r="BD1187" t="s">
        <v>31</v>
      </c>
      <c r="BE1187">
        <v>0</v>
      </c>
      <c r="BF1187">
        <v>0</v>
      </c>
      <c r="BG1187">
        <v>82500</v>
      </c>
      <c r="BH1187">
        <v>82500</v>
      </c>
      <c r="BI1187">
        <v>0</v>
      </c>
      <c r="BJ1187">
        <v>2803100</v>
      </c>
      <c r="BK1187" t="s">
        <v>25</v>
      </c>
      <c r="BL1187" t="s">
        <v>1071</v>
      </c>
      <c r="BM1187">
        <v>30</v>
      </c>
      <c r="BN1187">
        <v>16487612</v>
      </c>
      <c r="BO1187">
        <v>0.125</v>
      </c>
      <c r="BP1187">
        <v>2061000</v>
      </c>
      <c r="BQ1187">
        <v>0</v>
      </c>
      <c r="BS1187">
        <v>0</v>
      </c>
      <c r="BU1187">
        <v>0</v>
      </c>
      <c r="BV1187" t="s">
        <v>25</v>
      </c>
      <c r="BW1187" t="s">
        <v>189</v>
      </c>
      <c r="BX1187">
        <v>30</v>
      </c>
      <c r="BY1187">
        <v>16487612</v>
      </c>
      <c r="BZ1187">
        <v>5.2200001664459705E-3</v>
      </c>
      <c r="CA1187" t="s">
        <v>1592</v>
      </c>
      <c r="CB1187" t="s">
        <v>227</v>
      </c>
      <c r="CC1187" t="s">
        <v>1593</v>
      </c>
      <c r="CD1187">
        <v>86100</v>
      </c>
      <c r="CE1187">
        <v>30</v>
      </c>
      <c r="CF1187" t="s">
        <v>635</v>
      </c>
      <c r="CG1187">
        <v>8352209</v>
      </c>
      <c r="CH1187">
        <v>3.9999999105930328E-2</v>
      </c>
      <c r="CI1187">
        <v>334100</v>
      </c>
      <c r="CJ1187">
        <v>8352209</v>
      </c>
      <c r="CK1187">
        <v>1.9999999552965164E-2</v>
      </c>
      <c r="CL1187">
        <v>167100</v>
      </c>
      <c r="CM1187">
        <v>2.9999999329447746E-2</v>
      </c>
      <c r="CN1187">
        <v>250600</v>
      </c>
      <c r="CO1187">
        <v>0</v>
      </c>
      <c r="CP1187">
        <v>0</v>
      </c>
      <c r="CQ1187">
        <v>0</v>
      </c>
      <c r="CR1187">
        <v>0</v>
      </c>
      <c r="CS1187" t="s">
        <v>32</v>
      </c>
      <c r="CT1187" t="s">
        <v>142</v>
      </c>
      <c r="CU1187" t="s">
        <v>1442</v>
      </c>
    </row>
    <row r="1188" spans="1:99">
      <c r="A1188" t="s">
        <v>3047</v>
      </c>
      <c r="B1188" t="s">
        <v>34</v>
      </c>
      <c r="C1188" t="s">
        <v>2877</v>
      </c>
      <c r="D1188" t="s">
        <v>2878</v>
      </c>
      <c r="E1188" t="s">
        <v>2879</v>
      </c>
      <c r="F1188" t="s">
        <v>647</v>
      </c>
      <c r="G1188" t="s">
        <v>1532</v>
      </c>
      <c r="H1188" t="s">
        <v>2355</v>
      </c>
      <c r="I1188" t="s">
        <v>240</v>
      </c>
      <c r="J1188" t="s">
        <v>46</v>
      </c>
      <c r="K1188" t="s">
        <v>29</v>
      </c>
      <c r="L1188" t="s">
        <v>30</v>
      </c>
      <c r="M1188">
        <v>252</v>
      </c>
      <c r="N1188" t="s">
        <v>32</v>
      </c>
      <c r="O1188" t="s">
        <v>32</v>
      </c>
      <c r="Q1188" t="s">
        <v>32</v>
      </c>
      <c r="S1188" t="s">
        <v>32</v>
      </c>
      <c r="U1188" t="s">
        <v>32</v>
      </c>
      <c r="V1188" t="s">
        <v>32</v>
      </c>
      <c r="W1188" t="s">
        <v>32</v>
      </c>
      <c r="X1188" t="s">
        <v>32</v>
      </c>
      <c r="Y1188" t="s">
        <v>32</v>
      </c>
      <c r="AA1188" t="s">
        <v>88</v>
      </c>
      <c r="AB1188" t="s">
        <v>32</v>
      </c>
      <c r="AE1188" t="s">
        <v>32</v>
      </c>
      <c r="AH1188" t="s">
        <v>32</v>
      </c>
      <c r="AK1188" t="s">
        <v>32</v>
      </c>
      <c r="AN1188" t="s">
        <v>32</v>
      </c>
      <c r="AO1188" t="s">
        <v>32</v>
      </c>
      <c r="AR1188">
        <v>0</v>
      </c>
      <c r="AU1188" t="s">
        <v>32</v>
      </c>
      <c r="AV1188">
        <v>1750905</v>
      </c>
      <c r="AW1188" t="s">
        <v>32</v>
      </c>
      <c r="AX1188" t="s">
        <v>32</v>
      </c>
      <c r="AY1188" t="s">
        <v>137</v>
      </c>
      <c r="AZ1188">
        <v>30</v>
      </c>
      <c r="BA1188">
        <v>2771406</v>
      </c>
      <c r="BB1188">
        <v>0.15999999642372131</v>
      </c>
      <c r="BC1188">
        <v>443500</v>
      </c>
      <c r="BD1188" t="s">
        <v>31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443500</v>
      </c>
      <c r="BK1188" t="s">
        <v>25</v>
      </c>
      <c r="BL1188" t="s">
        <v>635</v>
      </c>
      <c r="BM1188">
        <v>30</v>
      </c>
      <c r="BN1188">
        <v>2771406</v>
      </c>
      <c r="BO1188">
        <v>3.9999999105930328E-2</v>
      </c>
      <c r="BP1188">
        <v>110900</v>
      </c>
      <c r="BQ1188">
        <v>0</v>
      </c>
      <c r="BS1188">
        <v>0</v>
      </c>
      <c r="BU1188">
        <v>0</v>
      </c>
      <c r="BV1188" t="s">
        <v>25</v>
      </c>
      <c r="BW1188" t="s">
        <v>189</v>
      </c>
      <c r="BX1188">
        <v>30</v>
      </c>
      <c r="BY1188">
        <v>2771406</v>
      </c>
      <c r="BZ1188">
        <v>6.9600000977516174E-2</v>
      </c>
      <c r="CA1188" t="s">
        <v>1439</v>
      </c>
      <c r="CB1188" t="s">
        <v>227</v>
      </c>
      <c r="CC1188" t="s">
        <v>1440</v>
      </c>
      <c r="CD1188">
        <v>192900</v>
      </c>
      <c r="CE1188">
        <v>30</v>
      </c>
      <c r="CF1188" t="s">
        <v>635</v>
      </c>
      <c r="CG1188">
        <v>2771406</v>
      </c>
      <c r="CH1188">
        <v>3.9999999105930328E-2</v>
      </c>
      <c r="CI1188">
        <v>110900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 t="s">
        <v>88</v>
      </c>
      <c r="CT1188" t="s">
        <v>142</v>
      </c>
      <c r="CU1188" t="s">
        <v>1442</v>
      </c>
    </row>
    <row r="1189" spans="1:99">
      <c r="A1189" t="s">
        <v>3047</v>
      </c>
      <c r="B1189" t="s">
        <v>34</v>
      </c>
      <c r="C1189" t="s">
        <v>2880</v>
      </c>
      <c r="D1189" t="s">
        <v>2881</v>
      </c>
      <c r="E1189" t="s">
        <v>1090</v>
      </c>
      <c r="F1189" t="s">
        <v>2882</v>
      </c>
      <c r="G1189" t="s">
        <v>2046</v>
      </c>
      <c r="H1189" t="s">
        <v>1558</v>
      </c>
      <c r="I1189" t="s">
        <v>240</v>
      </c>
      <c r="J1189" t="s">
        <v>46</v>
      </c>
      <c r="K1189" t="s">
        <v>29</v>
      </c>
      <c r="L1189" t="s">
        <v>30</v>
      </c>
      <c r="M1189">
        <v>72</v>
      </c>
      <c r="N1189" t="s">
        <v>32</v>
      </c>
      <c r="O1189" t="s">
        <v>32</v>
      </c>
      <c r="Q1189" t="s">
        <v>40</v>
      </c>
      <c r="R1189">
        <v>46071</v>
      </c>
      <c r="S1189" t="s">
        <v>32</v>
      </c>
      <c r="U1189" t="s">
        <v>32</v>
      </c>
      <c r="V1189" t="s">
        <v>32</v>
      </c>
      <c r="W1189" t="s">
        <v>32</v>
      </c>
      <c r="X1189" t="s">
        <v>32</v>
      </c>
      <c r="Y1189" t="s">
        <v>32</v>
      </c>
      <c r="AA1189" t="s">
        <v>88</v>
      </c>
      <c r="AB1189" t="s">
        <v>32</v>
      </c>
      <c r="AE1189" t="s">
        <v>32</v>
      </c>
      <c r="AH1189" t="s">
        <v>32</v>
      </c>
      <c r="AK1189" t="s">
        <v>32</v>
      </c>
      <c r="AN1189" t="s">
        <v>32</v>
      </c>
      <c r="AO1189" t="s">
        <v>32</v>
      </c>
      <c r="AR1189">
        <v>0</v>
      </c>
      <c r="AU1189" t="s">
        <v>32</v>
      </c>
      <c r="AV1189">
        <v>7262840</v>
      </c>
      <c r="AW1189" t="s">
        <v>32</v>
      </c>
      <c r="AX1189" t="s">
        <v>88</v>
      </c>
      <c r="AY1189" t="s">
        <v>356</v>
      </c>
      <c r="AZ1189">
        <v>13</v>
      </c>
      <c r="BA1189">
        <v>3147231</v>
      </c>
      <c r="BB1189">
        <v>0.15999999642372131</v>
      </c>
      <c r="BC1189">
        <v>503600</v>
      </c>
      <c r="BD1189" t="s">
        <v>31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503600</v>
      </c>
      <c r="BK1189" t="s">
        <v>25</v>
      </c>
      <c r="BL1189" t="s">
        <v>1071</v>
      </c>
      <c r="BM1189">
        <v>13</v>
      </c>
      <c r="BN1189">
        <v>3147231</v>
      </c>
      <c r="BO1189">
        <v>3.9999999105930328E-2</v>
      </c>
      <c r="BP1189">
        <v>125900</v>
      </c>
      <c r="BQ1189">
        <v>0</v>
      </c>
      <c r="BS1189">
        <v>0</v>
      </c>
      <c r="BU1189">
        <v>0</v>
      </c>
      <c r="BV1189" t="s">
        <v>25</v>
      </c>
      <c r="BW1189" t="s">
        <v>189</v>
      </c>
      <c r="BX1189">
        <v>13</v>
      </c>
      <c r="BY1189">
        <v>3147231</v>
      </c>
      <c r="BZ1189">
        <v>6.9600000977516174E-2</v>
      </c>
      <c r="CA1189" t="s">
        <v>1439</v>
      </c>
      <c r="CB1189" t="s">
        <v>227</v>
      </c>
      <c r="CC1189" t="s">
        <v>1440</v>
      </c>
      <c r="CD1189">
        <v>219100</v>
      </c>
      <c r="CE1189">
        <v>13</v>
      </c>
      <c r="CF1189" t="s">
        <v>635</v>
      </c>
      <c r="CG1189">
        <v>3147231</v>
      </c>
      <c r="CH1189">
        <v>3.9999999105930328E-2</v>
      </c>
      <c r="CI1189">
        <v>125900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 t="s">
        <v>88</v>
      </c>
      <c r="CT1189" t="s">
        <v>142</v>
      </c>
      <c r="CU1189" t="s">
        <v>1442</v>
      </c>
    </row>
    <row r="1190" spans="1:99">
      <c r="A1190" t="s">
        <v>3047</v>
      </c>
      <c r="B1190" t="s">
        <v>34</v>
      </c>
      <c r="C1190" t="s">
        <v>2883</v>
      </c>
      <c r="D1190" t="s">
        <v>2884</v>
      </c>
      <c r="E1190" t="s">
        <v>1999</v>
      </c>
      <c r="F1190" t="s">
        <v>1587</v>
      </c>
      <c r="G1190" t="s">
        <v>2713</v>
      </c>
      <c r="H1190" t="s">
        <v>2838</v>
      </c>
      <c r="I1190" t="s">
        <v>240</v>
      </c>
      <c r="J1190" t="s">
        <v>46</v>
      </c>
      <c r="K1190" t="s">
        <v>29</v>
      </c>
      <c r="L1190" t="s">
        <v>30</v>
      </c>
      <c r="M1190">
        <v>180</v>
      </c>
      <c r="N1190" t="s">
        <v>32</v>
      </c>
      <c r="O1190" t="s">
        <v>32</v>
      </c>
      <c r="Q1190" t="s">
        <v>32</v>
      </c>
      <c r="S1190" t="s">
        <v>32</v>
      </c>
      <c r="U1190" t="s">
        <v>32</v>
      </c>
      <c r="V1190" t="s">
        <v>32</v>
      </c>
      <c r="W1190" t="s">
        <v>32</v>
      </c>
      <c r="X1190" t="s">
        <v>32</v>
      </c>
      <c r="Y1190" t="s">
        <v>88</v>
      </c>
      <c r="Z1190">
        <v>46054</v>
      </c>
      <c r="AA1190" t="s">
        <v>88</v>
      </c>
      <c r="AB1190" t="s">
        <v>32</v>
      </c>
      <c r="AE1190" t="s">
        <v>32</v>
      </c>
      <c r="AH1190" t="s">
        <v>32</v>
      </c>
      <c r="AK1190" t="s">
        <v>32</v>
      </c>
      <c r="AN1190" t="s">
        <v>32</v>
      </c>
      <c r="AO1190" t="s">
        <v>32</v>
      </c>
      <c r="AR1190">
        <v>0</v>
      </c>
      <c r="AU1190" t="s">
        <v>32</v>
      </c>
      <c r="AV1190">
        <v>4024292</v>
      </c>
      <c r="AW1190" t="s">
        <v>32</v>
      </c>
      <c r="AX1190" t="s">
        <v>32</v>
      </c>
      <c r="AY1190" t="s">
        <v>185</v>
      </c>
      <c r="AZ1190">
        <v>30</v>
      </c>
      <c r="BA1190">
        <v>4024292</v>
      </c>
      <c r="BB1190">
        <v>0.15999999642372131</v>
      </c>
      <c r="BC1190">
        <v>643900</v>
      </c>
      <c r="BD1190" t="s">
        <v>31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643900</v>
      </c>
      <c r="BK1190" t="s">
        <v>25</v>
      </c>
      <c r="BL1190" t="s">
        <v>635</v>
      </c>
      <c r="BM1190">
        <v>30</v>
      </c>
      <c r="BN1190">
        <v>4024292</v>
      </c>
      <c r="BO1190">
        <v>3.9999999105930328E-2</v>
      </c>
      <c r="BP1190">
        <v>161000</v>
      </c>
      <c r="BQ1190">
        <v>0</v>
      </c>
      <c r="BS1190">
        <v>0</v>
      </c>
      <c r="BU1190">
        <v>0</v>
      </c>
      <c r="BV1190" t="s">
        <v>25</v>
      </c>
      <c r="BW1190" t="s">
        <v>189</v>
      </c>
      <c r="BX1190">
        <v>30</v>
      </c>
      <c r="BY1190">
        <v>4024292</v>
      </c>
      <c r="BZ1190">
        <v>6.9600000977516174E-2</v>
      </c>
      <c r="CA1190" t="s">
        <v>1439</v>
      </c>
      <c r="CB1190" t="s">
        <v>227</v>
      </c>
      <c r="CC1190" t="s">
        <v>1440</v>
      </c>
      <c r="CD1190">
        <v>280100</v>
      </c>
      <c r="CE1190">
        <v>30</v>
      </c>
      <c r="CF1190" t="s">
        <v>635</v>
      </c>
      <c r="CG1190">
        <v>4024292</v>
      </c>
      <c r="CH1190">
        <v>3.9999999105930328E-2</v>
      </c>
      <c r="CI1190">
        <v>161000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 t="s">
        <v>88</v>
      </c>
      <c r="CT1190" t="s">
        <v>142</v>
      </c>
      <c r="CU1190" t="s">
        <v>1442</v>
      </c>
    </row>
    <row r="1191" spans="1:99">
      <c r="A1191" t="s">
        <v>3047</v>
      </c>
      <c r="B1191" t="s">
        <v>34</v>
      </c>
      <c r="C1191" t="s">
        <v>2885</v>
      </c>
      <c r="D1191" t="s">
        <v>2886</v>
      </c>
      <c r="E1191" t="s">
        <v>2887</v>
      </c>
      <c r="F1191" t="s">
        <v>2081</v>
      </c>
      <c r="G1191" t="s">
        <v>2070</v>
      </c>
      <c r="H1191" t="s">
        <v>2512</v>
      </c>
      <c r="I1191" t="s">
        <v>240</v>
      </c>
      <c r="J1191" t="s">
        <v>46</v>
      </c>
      <c r="K1191" t="s">
        <v>29</v>
      </c>
      <c r="L1191" t="s">
        <v>30</v>
      </c>
      <c r="M1191">
        <v>188</v>
      </c>
      <c r="N1191" t="s">
        <v>32</v>
      </c>
      <c r="O1191" t="s">
        <v>32</v>
      </c>
      <c r="Q1191" t="s">
        <v>32</v>
      </c>
      <c r="S1191" t="s">
        <v>32</v>
      </c>
      <c r="U1191" t="s">
        <v>32</v>
      </c>
      <c r="V1191" t="s">
        <v>32</v>
      </c>
      <c r="W1191" t="s">
        <v>32</v>
      </c>
      <c r="X1191" t="s">
        <v>32</v>
      </c>
      <c r="Y1191" t="s">
        <v>88</v>
      </c>
      <c r="Z1191">
        <v>46054</v>
      </c>
      <c r="AA1191" t="s">
        <v>88</v>
      </c>
      <c r="AB1191" t="s">
        <v>32</v>
      </c>
      <c r="AE1191" t="s">
        <v>32</v>
      </c>
      <c r="AH1191" t="s">
        <v>32</v>
      </c>
      <c r="AK1191" t="s">
        <v>32</v>
      </c>
      <c r="AN1191" t="s">
        <v>32</v>
      </c>
      <c r="AO1191" t="s">
        <v>32</v>
      </c>
      <c r="AR1191">
        <v>0</v>
      </c>
      <c r="AU1191" t="s">
        <v>32</v>
      </c>
      <c r="AV1191">
        <v>5209465</v>
      </c>
      <c r="AW1191" t="s">
        <v>32</v>
      </c>
      <c r="AX1191" t="s">
        <v>32</v>
      </c>
      <c r="AY1191" t="s">
        <v>317</v>
      </c>
      <c r="AZ1191">
        <v>30</v>
      </c>
      <c r="BA1191">
        <v>5209465</v>
      </c>
      <c r="BB1191">
        <v>0.15999999642372131</v>
      </c>
      <c r="BC1191">
        <v>833600</v>
      </c>
      <c r="BD1191" t="s">
        <v>31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833600</v>
      </c>
      <c r="BK1191" t="s">
        <v>25</v>
      </c>
      <c r="BL1191" t="s">
        <v>1071</v>
      </c>
      <c r="BM1191">
        <v>30</v>
      </c>
      <c r="BN1191">
        <v>5209465</v>
      </c>
      <c r="BO1191">
        <v>3.9999999105930328E-2</v>
      </c>
      <c r="BP1191">
        <v>208400</v>
      </c>
      <c r="BQ1191">
        <v>0</v>
      </c>
      <c r="BS1191">
        <v>0</v>
      </c>
      <c r="BU1191">
        <v>0</v>
      </c>
      <c r="BV1191" t="s">
        <v>25</v>
      </c>
      <c r="BW1191" t="s">
        <v>189</v>
      </c>
      <c r="BX1191">
        <v>30</v>
      </c>
      <c r="BY1191">
        <v>5209465</v>
      </c>
      <c r="BZ1191">
        <v>5.2200001664459705E-3</v>
      </c>
      <c r="CA1191" t="s">
        <v>1592</v>
      </c>
      <c r="CB1191" t="s">
        <v>227</v>
      </c>
      <c r="CC1191" t="s">
        <v>1593</v>
      </c>
      <c r="CD1191">
        <v>27200</v>
      </c>
      <c r="CE1191">
        <v>30</v>
      </c>
      <c r="CF1191" t="s">
        <v>635</v>
      </c>
      <c r="CG1191">
        <v>5209465</v>
      </c>
      <c r="CH1191">
        <v>3.9999999105930328E-2</v>
      </c>
      <c r="CI1191">
        <v>208400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 t="s">
        <v>88</v>
      </c>
      <c r="CT1191" t="s">
        <v>142</v>
      </c>
      <c r="CU1191" t="s">
        <v>1442</v>
      </c>
    </row>
    <row r="1192" spans="1:99">
      <c r="A1192" t="s">
        <v>3047</v>
      </c>
      <c r="B1192" t="s">
        <v>34</v>
      </c>
      <c r="C1192" t="s">
        <v>2888</v>
      </c>
      <c r="D1192" t="s">
        <v>2889</v>
      </c>
      <c r="E1192" t="s">
        <v>2890</v>
      </c>
      <c r="F1192" t="s">
        <v>2891</v>
      </c>
      <c r="G1192" t="s">
        <v>2892</v>
      </c>
      <c r="H1192" t="s">
        <v>1519</v>
      </c>
      <c r="I1192" t="s">
        <v>682</v>
      </c>
      <c r="J1192" t="s">
        <v>484</v>
      </c>
      <c r="K1192" t="s">
        <v>29</v>
      </c>
      <c r="L1192" t="s">
        <v>30</v>
      </c>
      <c r="M1192">
        <v>0</v>
      </c>
      <c r="N1192" t="s">
        <v>32</v>
      </c>
      <c r="O1192" t="s">
        <v>32</v>
      </c>
      <c r="Q1192" t="s">
        <v>32</v>
      </c>
      <c r="S1192" t="s">
        <v>32</v>
      </c>
      <c r="U1192" t="s">
        <v>32</v>
      </c>
      <c r="V1192" t="s">
        <v>32</v>
      </c>
      <c r="W1192" t="s">
        <v>32</v>
      </c>
      <c r="X1192" t="s">
        <v>32</v>
      </c>
      <c r="Y1192" t="s">
        <v>32</v>
      </c>
      <c r="AA1192" t="s">
        <v>32</v>
      </c>
      <c r="AB1192" t="s">
        <v>32</v>
      </c>
      <c r="AE1192" t="s">
        <v>32</v>
      </c>
      <c r="AH1192" t="s">
        <v>32</v>
      </c>
      <c r="AK1192" t="s">
        <v>128</v>
      </c>
      <c r="AL1192">
        <v>46054</v>
      </c>
      <c r="AM1192">
        <v>46054</v>
      </c>
      <c r="AN1192" t="s">
        <v>32</v>
      </c>
      <c r="AO1192" t="s">
        <v>32</v>
      </c>
      <c r="AR1192">
        <v>0</v>
      </c>
      <c r="AU1192" t="s">
        <v>32</v>
      </c>
      <c r="AV1192">
        <v>2223339</v>
      </c>
      <c r="AW1192" t="s">
        <v>32</v>
      </c>
      <c r="AX1192" t="s">
        <v>88</v>
      </c>
      <c r="AY1192" t="s">
        <v>317</v>
      </c>
      <c r="AZ1192">
        <v>1</v>
      </c>
      <c r="BA1192">
        <v>74112</v>
      </c>
      <c r="BB1192">
        <v>0.15999999642372131</v>
      </c>
      <c r="BC1192">
        <v>11900</v>
      </c>
      <c r="BD1192" t="s">
        <v>31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11900</v>
      </c>
      <c r="BK1192" t="s">
        <v>25</v>
      </c>
      <c r="BL1192" t="s">
        <v>1010</v>
      </c>
      <c r="BM1192">
        <v>1</v>
      </c>
      <c r="BN1192">
        <v>74112</v>
      </c>
      <c r="BO1192">
        <v>3.9999999105930328E-2</v>
      </c>
      <c r="BP1192">
        <v>3000</v>
      </c>
      <c r="BQ1192">
        <v>0</v>
      </c>
      <c r="BS1192">
        <v>0</v>
      </c>
      <c r="BU1192">
        <v>0</v>
      </c>
      <c r="BV1192" t="s">
        <v>25</v>
      </c>
      <c r="BW1192" t="s">
        <v>189</v>
      </c>
      <c r="BX1192">
        <v>1</v>
      </c>
      <c r="BY1192">
        <v>74112</v>
      </c>
      <c r="BZ1192">
        <v>0</v>
      </c>
      <c r="CA1192" t="s">
        <v>1439</v>
      </c>
      <c r="CB1192" t="s">
        <v>312</v>
      </c>
      <c r="CC1192" t="s">
        <v>1440</v>
      </c>
      <c r="CD1192">
        <v>0</v>
      </c>
      <c r="CE1192">
        <v>1</v>
      </c>
      <c r="CF1192" t="s">
        <v>466</v>
      </c>
      <c r="CG1192">
        <v>74112</v>
      </c>
      <c r="CH1192">
        <v>3.9999999105930328E-2</v>
      </c>
      <c r="CI1192">
        <v>3000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 t="s">
        <v>88</v>
      </c>
      <c r="CT1192" t="s">
        <v>142</v>
      </c>
      <c r="CU1192" t="s">
        <v>1442</v>
      </c>
    </row>
    <row r="1193" spans="1:99">
      <c r="A1193" t="s">
        <v>3047</v>
      </c>
      <c r="B1193" t="s">
        <v>34</v>
      </c>
      <c r="C1193" t="s">
        <v>2888</v>
      </c>
      <c r="D1193" t="s">
        <v>2889</v>
      </c>
      <c r="E1193" t="s">
        <v>2890</v>
      </c>
      <c r="F1193" t="s">
        <v>2891</v>
      </c>
      <c r="G1193" t="s">
        <v>2892</v>
      </c>
      <c r="H1193" t="s">
        <v>1519</v>
      </c>
      <c r="I1193" t="s">
        <v>682</v>
      </c>
      <c r="J1193" t="s">
        <v>484</v>
      </c>
      <c r="K1193" t="s">
        <v>29</v>
      </c>
      <c r="L1193" t="s">
        <v>30</v>
      </c>
      <c r="M1193">
        <v>0</v>
      </c>
      <c r="N1193" t="s">
        <v>32</v>
      </c>
      <c r="O1193" t="s">
        <v>32</v>
      </c>
      <c r="Q1193" t="s">
        <v>32</v>
      </c>
      <c r="S1193" t="s">
        <v>32</v>
      </c>
      <c r="U1193" t="s">
        <v>32</v>
      </c>
      <c r="V1193" t="s">
        <v>32</v>
      </c>
      <c r="W1193" t="s">
        <v>32</v>
      </c>
      <c r="X1193" t="s">
        <v>32</v>
      </c>
      <c r="Y1193" t="s">
        <v>32</v>
      </c>
      <c r="AA1193" t="s">
        <v>32</v>
      </c>
      <c r="AB1193" t="s">
        <v>32</v>
      </c>
      <c r="AE1193" t="s">
        <v>1492</v>
      </c>
      <c r="AF1193">
        <v>46056</v>
      </c>
      <c r="AG1193">
        <v>46056</v>
      </c>
      <c r="AH1193" t="s">
        <v>32</v>
      </c>
      <c r="AK1193" t="s">
        <v>32</v>
      </c>
      <c r="AN1193" t="s">
        <v>32</v>
      </c>
      <c r="AO1193" t="s">
        <v>32</v>
      </c>
      <c r="AR1193">
        <v>0</v>
      </c>
      <c r="AU1193" t="s">
        <v>32</v>
      </c>
      <c r="AV1193">
        <v>2223339</v>
      </c>
      <c r="AW1193" t="s">
        <v>32</v>
      </c>
      <c r="AX1193" t="s">
        <v>88</v>
      </c>
      <c r="AY1193" t="s">
        <v>317</v>
      </c>
      <c r="AZ1193">
        <v>1</v>
      </c>
      <c r="BA1193">
        <v>87005</v>
      </c>
      <c r="BB1193">
        <v>0.15999999642372131</v>
      </c>
      <c r="BC1193">
        <v>14000</v>
      </c>
      <c r="BD1193" t="s">
        <v>31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14000</v>
      </c>
      <c r="BK1193" t="s">
        <v>25</v>
      </c>
      <c r="BL1193" t="s">
        <v>1010</v>
      </c>
      <c r="BM1193">
        <v>1</v>
      </c>
      <c r="BN1193">
        <v>87005</v>
      </c>
      <c r="BO1193">
        <v>3.9999999105930328E-2</v>
      </c>
      <c r="BP1193">
        <v>3500</v>
      </c>
      <c r="BQ1193">
        <v>0</v>
      </c>
      <c r="BS1193">
        <v>0</v>
      </c>
      <c r="BU1193">
        <v>0</v>
      </c>
      <c r="BV1193" t="s">
        <v>25</v>
      </c>
      <c r="BW1193" t="s">
        <v>189</v>
      </c>
      <c r="BX1193">
        <v>1</v>
      </c>
      <c r="BY1193">
        <v>87005</v>
      </c>
      <c r="BZ1193">
        <v>0</v>
      </c>
      <c r="CA1193" t="s">
        <v>1439</v>
      </c>
      <c r="CB1193" t="s">
        <v>312</v>
      </c>
      <c r="CC1193" t="s">
        <v>1440</v>
      </c>
      <c r="CD1193">
        <v>0</v>
      </c>
      <c r="CE1193">
        <v>1</v>
      </c>
      <c r="CF1193" t="s">
        <v>466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 t="s">
        <v>88</v>
      </c>
      <c r="CT1193" t="s">
        <v>142</v>
      </c>
      <c r="CU1193" t="s">
        <v>1442</v>
      </c>
    </row>
    <row r="1194" spans="1:99">
      <c r="A1194" t="s">
        <v>3047</v>
      </c>
      <c r="B1194" t="s">
        <v>34</v>
      </c>
      <c r="C1194" t="s">
        <v>2888</v>
      </c>
      <c r="D1194" t="s">
        <v>2889</v>
      </c>
      <c r="E1194" t="s">
        <v>2890</v>
      </c>
      <c r="F1194" t="s">
        <v>2891</v>
      </c>
      <c r="G1194" t="s">
        <v>2892</v>
      </c>
      <c r="H1194" t="s">
        <v>1519</v>
      </c>
      <c r="I1194" t="s">
        <v>682</v>
      </c>
      <c r="J1194" t="s">
        <v>484</v>
      </c>
      <c r="K1194" t="s">
        <v>29</v>
      </c>
      <c r="L1194" t="s">
        <v>30</v>
      </c>
      <c r="M1194">
        <v>0</v>
      </c>
      <c r="N1194" t="s">
        <v>32</v>
      </c>
      <c r="O1194" t="s">
        <v>32</v>
      </c>
      <c r="Q1194" t="s">
        <v>32</v>
      </c>
      <c r="S1194" t="s">
        <v>32</v>
      </c>
      <c r="U1194" t="s">
        <v>32</v>
      </c>
      <c r="V1194" t="s">
        <v>32</v>
      </c>
      <c r="W1194" t="s">
        <v>32</v>
      </c>
      <c r="X1194" t="s">
        <v>32</v>
      </c>
      <c r="Y1194" t="s">
        <v>32</v>
      </c>
      <c r="AA1194" t="s">
        <v>32</v>
      </c>
      <c r="AB1194" t="s">
        <v>37</v>
      </c>
      <c r="AC1194">
        <v>46069</v>
      </c>
      <c r="AD1194">
        <v>46069</v>
      </c>
      <c r="AE1194" t="s">
        <v>32</v>
      </c>
      <c r="AH1194" t="s">
        <v>32</v>
      </c>
      <c r="AK1194" t="s">
        <v>32</v>
      </c>
      <c r="AN1194" t="s">
        <v>32</v>
      </c>
      <c r="AO1194" t="s">
        <v>32</v>
      </c>
      <c r="AR1194">
        <v>0</v>
      </c>
      <c r="AU1194" t="s">
        <v>32</v>
      </c>
      <c r="AV1194">
        <v>2223339</v>
      </c>
      <c r="AW1194" t="s">
        <v>32</v>
      </c>
      <c r="AX1194" t="s">
        <v>88</v>
      </c>
      <c r="AY1194" t="s">
        <v>317</v>
      </c>
      <c r="AZ1194">
        <v>1</v>
      </c>
      <c r="BA1194">
        <v>74112</v>
      </c>
      <c r="BB1194">
        <v>0.15999999642372131</v>
      </c>
      <c r="BC1194">
        <v>11900</v>
      </c>
      <c r="BD1194" t="s">
        <v>31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11900</v>
      </c>
      <c r="BK1194" t="s">
        <v>25</v>
      </c>
      <c r="BL1194" t="s">
        <v>1010</v>
      </c>
      <c r="BM1194">
        <v>1</v>
      </c>
      <c r="BN1194">
        <v>74112</v>
      </c>
      <c r="BO1194">
        <v>0</v>
      </c>
      <c r="BP1194">
        <v>0</v>
      </c>
      <c r="BQ1194">
        <v>0</v>
      </c>
      <c r="BS1194">
        <v>0</v>
      </c>
      <c r="BU1194">
        <v>0</v>
      </c>
      <c r="BV1194" t="s">
        <v>25</v>
      </c>
      <c r="BW1194" t="s">
        <v>189</v>
      </c>
      <c r="BX1194">
        <v>1</v>
      </c>
      <c r="BY1194">
        <v>74112</v>
      </c>
      <c r="BZ1194">
        <v>0</v>
      </c>
      <c r="CA1194" t="s">
        <v>1439</v>
      </c>
      <c r="CB1194" t="s">
        <v>312</v>
      </c>
      <c r="CC1194" t="s">
        <v>1440</v>
      </c>
      <c r="CD1194">
        <v>0</v>
      </c>
      <c r="CE1194">
        <v>1</v>
      </c>
      <c r="CF1194" t="s">
        <v>466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 t="s">
        <v>88</v>
      </c>
      <c r="CT1194" t="s">
        <v>142</v>
      </c>
      <c r="CU1194" t="s">
        <v>1442</v>
      </c>
    </row>
    <row r="1195" spans="1:99">
      <c r="A1195" t="s">
        <v>3047</v>
      </c>
      <c r="B1195" t="s">
        <v>34</v>
      </c>
      <c r="C1195" t="s">
        <v>2888</v>
      </c>
      <c r="D1195" t="s">
        <v>2889</v>
      </c>
      <c r="E1195" t="s">
        <v>2890</v>
      </c>
      <c r="F1195" t="s">
        <v>2891</v>
      </c>
      <c r="G1195" t="s">
        <v>2892</v>
      </c>
      <c r="H1195" t="s">
        <v>1519</v>
      </c>
      <c r="I1195" t="s">
        <v>682</v>
      </c>
      <c r="J1195" t="s">
        <v>484</v>
      </c>
      <c r="K1195" t="s">
        <v>29</v>
      </c>
      <c r="L1195" t="s">
        <v>30</v>
      </c>
      <c r="M1195">
        <v>0</v>
      </c>
      <c r="N1195" t="s">
        <v>32</v>
      </c>
      <c r="O1195" t="s">
        <v>32</v>
      </c>
      <c r="Q1195" t="s">
        <v>32</v>
      </c>
      <c r="S1195" t="s">
        <v>32</v>
      </c>
      <c r="U1195" t="s">
        <v>32</v>
      </c>
      <c r="V1195" t="s">
        <v>32</v>
      </c>
      <c r="W1195" t="s">
        <v>32</v>
      </c>
      <c r="X1195" t="s">
        <v>32</v>
      </c>
      <c r="Y1195" t="s">
        <v>32</v>
      </c>
      <c r="AA1195" t="s">
        <v>32</v>
      </c>
      <c r="AB1195" t="s">
        <v>32</v>
      </c>
      <c r="AE1195" t="s">
        <v>32</v>
      </c>
      <c r="AH1195" t="s">
        <v>32</v>
      </c>
      <c r="AK1195" t="s">
        <v>128</v>
      </c>
      <c r="AL1195">
        <v>46076</v>
      </c>
      <c r="AM1195">
        <v>46080</v>
      </c>
      <c r="AN1195" t="s">
        <v>32</v>
      </c>
      <c r="AO1195" t="s">
        <v>32</v>
      </c>
      <c r="AR1195">
        <v>0</v>
      </c>
      <c r="AU1195" t="s">
        <v>32</v>
      </c>
      <c r="AV1195">
        <v>2223339</v>
      </c>
      <c r="AW1195" t="s">
        <v>32</v>
      </c>
      <c r="AX1195" t="s">
        <v>88</v>
      </c>
      <c r="AY1195" t="s">
        <v>317</v>
      </c>
      <c r="AZ1195">
        <v>5</v>
      </c>
      <c r="BA1195">
        <v>370557</v>
      </c>
      <c r="BB1195">
        <v>0.15999999642372131</v>
      </c>
      <c r="BC1195">
        <v>59300</v>
      </c>
      <c r="BD1195" t="s">
        <v>31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59300</v>
      </c>
      <c r="BK1195" t="s">
        <v>25</v>
      </c>
      <c r="BL1195" t="s">
        <v>1010</v>
      </c>
      <c r="BM1195">
        <v>5</v>
      </c>
      <c r="BN1195">
        <v>370557</v>
      </c>
      <c r="BO1195">
        <v>3.9999999105930328E-2</v>
      </c>
      <c r="BP1195">
        <v>14900</v>
      </c>
      <c r="BQ1195">
        <v>0</v>
      </c>
      <c r="BS1195">
        <v>0</v>
      </c>
      <c r="BU1195">
        <v>0</v>
      </c>
      <c r="BV1195" t="s">
        <v>25</v>
      </c>
      <c r="BW1195" t="s">
        <v>189</v>
      </c>
      <c r="BX1195">
        <v>5</v>
      </c>
      <c r="BY1195">
        <v>370557</v>
      </c>
      <c r="BZ1195">
        <v>0</v>
      </c>
      <c r="CA1195" t="s">
        <v>1439</v>
      </c>
      <c r="CB1195" t="s">
        <v>312</v>
      </c>
      <c r="CC1195" t="s">
        <v>1440</v>
      </c>
      <c r="CD1195">
        <v>0</v>
      </c>
      <c r="CE1195">
        <v>5</v>
      </c>
      <c r="CF1195" t="s">
        <v>466</v>
      </c>
      <c r="CG1195">
        <v>370557</v>
      </c>
      <c r="CH1195">
        <v>3.9999999105930328E-2</v>
      </c>
      <c r="CI1195">
        <v>14900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 t="s">
        <v>88</v>
      </c>
      <c r="CT1195" t="s">
        <v>142</v>
      </c>
      <c r="CU1195" t="s">
        <v>1442</v>
      </c>
    </row>
    <row r="1196" spans="1:99">
      <c r="A1196" t="s">
        <v>3047</v>
      </c>
      <c r="B1196" t="s">
        <v>34</v>
      </c>
      <c r="C1196" t="s">
        <v>2888</v>
      </c>
      <c r="D1196" t="s">
        <v>2889</v>
      </c>
      <c r="E1196" t="s">
        <v>2890</v>
      </c>
      <c r="F1196" t="s">
        <v>2891</v>
      </c>
      <c r="G1196" t="s">
        <v>2892</v>
      </c>
      <c r="H1196" t="s">
        <v>1519</v>
      </c>
      <c r="I1196" t="s">
        <v>682</v>
      </c>
      <c r="J1196" t="s">
        <v>484</v>
      </c>
      <c r="K1196" t="s">
        <v>29</v>
      </c>
      <c r="L1196" t="s">
        <v>30</v>
      </c>
      <c r="M1196">
        <v>145</v>
      </c>
      <c r="N1196" t="s">
        <v>32</v>
      </c>
      <c r="O1196" t="s">
        <v>32</v>
      </c>
      <c r="Q1196" t="s">
        <v>32</v>
      </c>
      <c r="S1196" t="s">
        <v>40</v>
      </c>
      <c r="T1196">
        <v>46081</v>
      </c>
      <c r="U1196" t="s">
        <v>32</v>
      </c>
      <c r="V1196" t="s">
        <v>32</v>
      </c>
      <c r="W1196" t="s">
        <v>32</v>
      </c>
      <c r="X1196" t="s">
        <v>32</v>
      </c>
      <c r="Y1196" t="s">
        <v>32</v>
      </c>
      <c r="AA1196" t="s">
        <v>88</v>
      </c>
      <c r="AB1196" t="s">
        <v>32</v>
      </c>
      <c r="AE1196" t="s">
        <v>32</v>
      </c>
      <c r="AH1196" t="s">
        <v>32</v>
      </c>
      <c r="AK1196" t="s">
        <v>32</v>
      </c>
      <c r="AN1196" t="s">
        <v>32</v>
      </c>
      <c r="AO1196" t="s">
        <v>32</v>
      </c>
      <c r="AR1196">
        <v>0</v>
      </c>
      <c r="AU1196" t="s">
        <v>32</v>
      </c>
      <c r="AV1196">
        <v>2223339</v>
      </c>
      <c r="AW1196" t="s">
        <v>32</v>
      </c>
      <c r="AX1196" t="s">
        <v>88</v>
      </c>
      <c r="AY1196" t="s">
        <v>317</v>
      </c>
      <c r="AZ1196">
        <v>22</v>
      </c>
      <c r="BA1196">
        <v>3548197</v>
      </c>
      <c r="BB1196">
        <v>0.15999999642372131</v>
      </c>
      <c r="BC1196">
        <v>567800</v>
      </c>
      <c r="BD1196" t="s">
        <v>31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567800</v>
      </c>
      <c r="BK1196" t="s">
        <v>25</v>
      </c>
      <c r="BL1196" t="s">
        <v>1010</v>
      </c>
      <c r="BM1196">
        <v>22</v>
      </c>
      <c r="BN1196">
        <v>3548197</v>
      </c>
      <c r="BO1196">
        <v>3.9999999105930328E-2</v>
      </c>
      <c r="BP1196">
        <v>142000</v>
      </c>
      <c r="BQ1196">
        <v>0</v>
      </c>
      <c r="BS1196">
        <v>0</v>
      </c>
      <c r="BU1196">
        <v>0</v>
      </c>
      <c r="BV1196" t="s">
        <v>25</v>
      </c>
      <c r="BW1196" t="s">
        <v>189</v>
      </c>
      <c r="BX1196">
        <v>22</v>
      </c>
      <c r="BY1196">
        <v>3548197</v>
      </c>
      <c r="BZ1196">
        <v>6.9600000977516174E-2</v>
      </c>
      <c r="CA1196" t="s">
        <v>1439</v>
      </c>
      <c r="CB1196" t="s">
        <v>312</v>
      </c>
      <c r="CC1196" t="s">
        <v>1440</v>
      </c>
      <c r="CD1196">
        <v>247000</v>
      </c>
      <c r="CE1196">
        <v>22</v>
      </c>
      <c r="CF1196" t="s">
        <v>466</v>
      </c>
      <c r="CG1196">
        <v>5256886</v>
      </c>
      <c r="CH1196">
        <v>3.9999999105930328E-2</v>
      </c>
      <c r="CI1196">
        <v>210300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 t="s">
        <v>88</v>
      </c>
      <c r="CT1196" t="s">
        <v>142</v>
      </c>
      <c r="CU1196" t="s">
        <v>1442</v>
      </c>
    </row>
    <row r="1197" spans="1:99">
      <c r="A1197" t="s">
        <v>3047</v>
      </c>
      <c r="B1197" t="s">
        <v>34</v>
      </c>
      <c r="C1197" t="s">
        <v>2893</v>
      </c>
      <c r="D1197" t="s">
        <v>2894</v>
      </c>
      <c r="E1197" t="s">
        <v>2895</v>
      </c>
      <c r="F1197" t="s">
        <v>1506</v>
      </c>
      <c r="G1197" t="s">
        <v>1798</v>
      </c>
      <c r="H1197" t="s">
        <v>1558</v>
      </c>
      <c r="I1197" t="s">
        <v>240</v>
      </c>
      <c r="J1197" t="s">
        <v>46</v>
      </c>
      <c r="K1197" t="s">
        <v>29</v>
      </c>
      <c r="L1197" t="s">
        <v>30</v>
      </c>
      <c r="M1197">
        <v>218</v>
      </c>
      <c r="N1197" t="s">
        <v>32</v>
      </c>
      <c r="O1197" t="s">
        <v>32</v>
      </c>
      <c r="Q1197" t="s">
        <v>32</v>
      </c>
      <c r="S1197" t="s">
        <v>32</v>
      </c>
      <c r="U1197" t="s">
        <v>32</v>
      </c>
      <c r="V1197" t="s">
        <v>32</v>
      </c>
      <c r="W1197" t="s">
        <v>32</v>
      </c>
      <c r="X1197" t="s">
        <v>32</v>
      </c>
      <c r="Y1197" t="s">
        <v>32</v>
      </c>
      <c r="AA1197" t="s">
        <v>88</v>
      </c>
      <c r="AB1197" t="s">
        <v>32</v>
      </c>
      <c r="AE1197" t="s">
        <v>32</v>
      </c>
      <c r="AH1197" t="s">
        <v>32</v>
      </c>
      <c r="AK1197" t="s">
        <v>32</v>
      </c>
      <c r="AN1197" t="s">
        <v>32</v>
      </c>
      <c r="AO1197" t="s">
        <v>32</v>
      </c>
      <c r="AR1197">
        <v>0</v>
      </c>
      <c r="AU1197" t="s">
        <v>32</v>
      </c>
      <c r="AV1197">
        <v>2074908</v>
      </c>
      <c r="AW1197" t="s">
        <v>32</v>
      </c>
      <c r="AX1197" t="s">
        <v>32</v>
      </c>
      <c r="AY1197" t="s">
        <v>317</v>
      </c>
      <c r="AZ1197">
        <v>30</v>
      </c>
      <c r="BA1197">
        <v>3335771</v>
      </c>
      <c r="BB1197">
        <v>0.15999999642372131</v>
      </c>
      <c r="BC1197">
        <v>533800</v>
      </c>
      <c r="BD1197" t="s">
        <v>31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533800</v>
      </c>
      <c r="BK1197" t="s">
        <v>25</v>
      </c>
      <c r="BL1197" t="s">
        <v>1064</v>
      </c>
      <c r="BM1197">
        <v>30</v>
      </c>
      <c r="BN1197">
        <v>3335771</v>
      </c>
      <c r="BO1197">
        <v>3.9999999105930328E-2</v>
      </c>
      <c r="BP1197">
        <v>133500</v>
      </c>
      <c r="BQ1197">
        <v>0</v>
      </c>
      <c r="BS1197">
        <v>0</v>
      </c>
      <c r="BU1197">
        <v>0</v>
      </c>
      <c r="BV1197" t="s">
        <v>25</v>
      </c>
      <c r="BW1197" t="s">
        <v>189</v>
      </c>
      <c r="BX1197">
        <v>30</v>
      </c>
      <c r="BY1197">
        <v>3335771</v>
      </c>
      <c r="BZ1197">
        <v>6.9600000977516174E-2</v>
      </c>
      <c r="CA1197" t="s">
        <v>1439</v>
      </c>
      <c r="CB1197" t="s">
        <v>227</v>
      </c>
      <c r="CC1197" t="s">
        <v>1440</v>
      </c>
      <c r="CD1197">
        <v>232200</v>
      </c>
      <c r="CE1197">
        <v>30</v>
      </c>
      <c r="CF1197" t="s">
        <v>635</v>
      </c>
      <c r="CG1197">
        <v>2949702</v>
      </c>
      <c r="CH1197">
        <v>3.9999999105930328E-2</v>
      </c>
      <c r="CI1197">
        <v>118000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 t="s">
        <v>88</v>
      </c>
      <c r="CT1197" t="s">
        <v>142</v>
      </c>
      <c r="CU1197" t="s">
        <v>1442</v>
      </c>
    </row>
    <row r="1198" spans="1:99">
      <c r="A1198" t="s">
        <v>3047</v>
      </c>
      <c r="B1198" t="s">
        <v>34</v>
      </c>
      <c r="C1198" t="s">
        <v>2896</v>
      </c>
      <c r="D1198" t="s">
        <v>2897</v>
      </c>
      <c r="E1198" t="s">
        <v>2898</v>
      </c>
      <c r="F1198" t="s">
        <v>2899</v>
      </c>
      <c r="G1198" t="s">
        <v>1584</v>
      </c>
      <c r="H1198" t="s">
        <v>1598</v>
      </c>
      <c r="I1198" t="s">
        <v>682</v>
      </c>
      <c r="J1198" t="s">
        <v>484</v>
      </c>
      <c r="K1198" t="s">
        <v>29</v>
      </c>
      <c r="L1198" t="s">
        <v>30</v>
      </c>
      <c r="M1198">
        <v>205</v>
      </c>
      <c r="N1198" t="s">
        <v>32</v>
      </c>
      <c r="O1198" t="s">
        <v>32</v>
      </c>
      <c r="Q1198" t="s">
        <v>32</v>
      </c>
      <c r="S1198" t="s">
        <v>32</v>
      </c>
      <c r="U1198" t="s">
        <v>32</v>
      </c>
      <c r="V1198" t="s">
        <v>32</v>
      </c>
      <c r="W1198" t="s">
        <v>32</v>
      </c>
      <c r="X1198" t="s">
        <v>32</v>
      </c>
      <c r="Y1198" t="s">
        <v>32</v>
      </c>
      <c r="AA1198" t="s">
        <v>88</v>
      </c>
      <c r="AB1198" t="s">
        <v>32</v>
      </c>
      <c r="AE1198" t="s">
        <v>32</v>
      </c>
      <c r="AH1198" t="s">
        <v>32</v>
      </c>
      <c r="AK1198" t="s">
        <v>32</v>
      </c>
      <c r="AN1198" t="s">
        <v>32</v>
      </c>
      <c r="AO1198" t="s">
        <v>32</v>
      </c>
      <c r="AR1198">
        <v>0</v>
      </c>
      <c r="AU1198" t="s">
        <v>32</v>
      </c>
      <c r="AV1198">
        <v>2970185</v>
      </c>
      <c r="AW1198" t="s">
        <v>32</v>
      </c>
      <c r="AX1198" t="s">
        <v>32</v>
      </c>
      <c r="AY1198" t="s">
        <v>317</v>
      </c>
      <c r="AZ1198">
        <v>30</v>
      </c>
      <c r="BA1198">
        <v>3427729</v>
      </c>
      <c r="BB1198">
        <v>0.15999999642372131</v>
      </c>
      <c r="BC1198">
        <v>548500</v>
      </c>
      <c r="BD1198" t="s">
        <v>31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548500</v>
      </c>
      <c r="BK1198" t="s">
        <v>25</v>
      </c>
      <c r="BL1198" t="s">
        <v>1064</v>
      </c>
      <c r="BM1198">
        <v>30</v>
      </c>
      <c r="BN1198">
        <v>3427729</v>
      </c>
      <c r="BO1198">
        <v>3.9999999105930328E-2</v>
      </c>
      <c r="BP1198">
        <v>137200</v>
      </c>
      <c r="BQ1198">
        <v>0</v>
      </c>
      <c r="BS1198">
        <v>0</v>
      </c>
      <c r="BU1198">
        <v>0</v>
      </c>
      <c r="BV1198" t="s">
        <v>25</v>
      </c>
      <c r="BW1198" t="s">
        <v>189</v>
      </c>
      <c r="BX1198">
        <v>30</v>
      </c>
      <c r="BY1198">
        <v>3427729</v>
      </c>
      <c r="BZ1198">
        <v>6.9600000977516174E-2</v>
      </c>
      <c r="CA1198" t="s">
        <v>1439</v>
      </c>
      <c r="CB1198" t="s">
        <v>312</v>
      </c>
      <c r="CC1198" t="s">
        <v>1440</v>
      </c>
      <c r="CD1198">
        <v>238600</v>
      </c>
      <c r="CE1198">
        <v>30</v>
      </c>
      <c r="CF1198" t="s">
        <v>466</v>
      </c>
      <c r="CG1198">
        <v>3427729</v>
      </c>
      <c r="CH1198">
        <v>3.9999999105930328E-2</v>
      </c>
      <c r="CI1198">
        <v>137200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 t="s">
        <v>88</v>
      </c>
      <c r="CT1198" t="s">
        <v>142</v>
      </c>
      <c r="CU1198" t="s">
        <v>1442</v>
      </c>
    </row>
    <row r="1199" spans="1:99">
      <c r="A1199" t="s">
        <v>3047</v>
      </c>
      <c r="B1199" t="s">
        <v>34</v>
      </c>
      <c r="C1199" t="s">
        <v>2904</v>
      </c>
      <c r="D1199" t="s">
        <v>2905</v>
      </c>
      <c r="E1199" t="s">
        <v>1471</v>
      </c>
      <c r="F1199" t="s">
        <v>2906</v>
      </c>
      <c r="G1199" t="s">
        <v>2907</v>
      </c>
      <c r="H1199" t="s">
        <v>2908</v>
      </c>
      <c r="I1199" t="s">
        <v>682</v>
      </c>
      <c r="J1199" t="s">
        <v>484</v>
      </c>
      <c r="K1199" t="s">
        <v>29</v>
      </c>
      <c r="L1199" t="s">
        <v>30</v>
      </c>
      <c r="M1199">
        <v>0</v>
      </c>
      <c r="N1199" t="s">
        <v>32</v>
      </c>
      <c r="O1199" t="s">
        <v>32</v>
      </c>
      <c r="Q1199" t="s">
        <v>32</v>
      </c>
      <c r="S1199" t="s">
        <v>32</v>
      </c>
      <c r="U1199" t="s">
        <v>32</v>
      </c>
      <c r="V1199" t="s">
        <v>32</v>
      </c>
      <c r="W1199" t="s">
        <v>32</v>
      </c>
      <c r="X1199" t="s">
        <v>32</v>
      </c>
      <c r="Y1199" t="s">
        <v>32</v>
      </c>
      <c r="AA1199" t="s">
        <v>32</v>
      </c>
      <c r="AB1199" t="s">
        <v>32</v>
      </c>
      <c r="AE1199" t="s">
        <v>32</v>
      </c>
      <c r="AH1199" t="s">
        <v>32</v>
      </c>
      <c r="AK1199" t="s">
        <v>128</v>
      </c>
      <c r="AL1199">
        <v>46069</v>
      </c>
      <c r="AM1199">
        <v>46073</v>
      </c>
      <c r="AN1199" t="s">
        <v>32</v>
      </c>
      <c r="AO1199" t="s">
        <v>32</v>
      </c>
      <c r="AR1199">
        <v>0</v>
      </c>
      <c r="AU1199" t="s">
        <v>32</v>
      </c>
      <c r="AV1199">
        <v>2223339</v>
      </c>
      <c r="AW1199" t="s">
        <v>32</v>
      </c>
      <c r="AX1199" t="s">
        <v>32</v>
      </c>
      <c r="AY1199" t="s">
        <v>317</v>
      </c>
      <c r="AZ1199">
        <v>5</v>
      </c>
      <c r="BA1199">
        <v>370557</v>
      </c>
      <c r="BB1199">
        <v>0.15999999642372131</v>
      </c>
      <c r="BC1199">
        <v>59300</v>
      </c>
      <c r="BD1199" t="s">
        <v>31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59300</v>
      </c>
      <c r="BK1199" t="s">
        <v>25</v>
      </c>
      <c r="BL1199" t="s">
        <v>1064</v>
      </c>
      <c r="BM1199">
        <v>5</v>
      </c>
      <c r="BN1199">
        <v>370557</v>
      </c>
      <c r="BO1199">
        <v>3.9999999105930328E-2</v>
      </c>
      <c r="BP1199">
        <v>14900</v>
      </c>
      <c r="BQ1199">
        <v>0</v>
      </c>
      <c r="BS1199">
        <v>0</v>
      </c>
      <c r="BU1199">
        <v>0</v>
      </c>
      <c r="BV1199" t="s">
        <v>25</v>
      </c>
      <c r="BW1199" t="s">
        <v>189</v>
      </c>
      <c r="BX1199">
        <v>5</v>
      </c>
      <c r="BY1199">
        <v>370557</v>
      </c>
      <c r="BZ1199">
        <v>0</v>
      </c>
      <c r="CA1199" t="s">
        <v>1439</v>
      </c>
      <c r="CB1199" t="s">
        <v>312</v>
      </c>
      <c r="CC1199" t="s">
        <v>1440</v>
      </c>
      <c r="CD1199">
        <v>0</v>
      </c>
      <c r="CE1199">
        <v>5</v>
      </c>
      <c r="CF1199" t="s">
        <v>466</v>
      </c>
      <c r="CG1199">
        <v>370557</v>
      </c>
      <c r="CH1199">
        <v>3.9999999105930328E-2</v>
      </c>
      <c r="CI1199">
        <v>14900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 t="s">
        <v>88</v>
      </c>
      <c r="CT1199" t="s">
        <v>142</v>
      </c>
      <c r="CU1199" t="s">
        <v>1442</v>
      </c>
    </row>
    <row r="1200" spans="1:99">
      <c r="A1200" t="s">
        <v>3047</v>
      </c>
      <c r="B1200" t="s">
        <v>34</v>
      </c>
      <c r="C1200" t="s">
        <v>2904</v>
      </c>
      <c r="D1200" t="s">
        <v>2905</v>
      </c>
      <c r="E1200" t="s">
        <v>1471</v>
      </c>
      <c r="F1200" t="s">
        <v>2906</v>
      </c>
      <c r="G1200" t="s">
        <v>2907</v>
      </c>
      <c r="H1200" t="s">
        <v>2908</v>
      </c>
      <c r="I1200" t="s">
        <v>682</v>
      </c>
      <c r="J1200" t="s">
        <v>484</v>
      </c>
      <c r="K1200" t="s">
        <v>29</v>
      </c>
      <c r="L1200" t="s">
        <v>30</v>
      </c>
      <c r="M1200">
        <v>152</v>
      </c>
      <c r="N1200" t="s">
        <v>32</v>
      </c>
      <c r="O1200" t="s">
        <v>32</v>
      </c>
      <c r="Q1200" t="s">
        <v>32</v>
      </c>
      <c r="S1200" t="s">
        <v>32</v>
      </c>
      <c r="U1200" t="s">
        <v>32</v>
      </c>
      <c r="V1200" t="s">
        <v>32</v>
      </c>
      <c r="W1200" t="s">
        <v>32</v>
      </c>
      <c r="X1200" t="s">
        <v>32</v>
      </c>
      <c r="Y1200" t="s">
        <v>32</v>
      </c>
      <c r="AA1200" t="s">
        <v>88</v>
      </c>
      <c r="AB1200" t="s">
        <v>32</v>
      </c>
      <c r="AE1200" t="s">
        <v>32</v>
      </c>
      <c r="AH1200" t="s">
        <v>32</v>
      </c>
      <c r="AK1200" t="s">
        <v>32</v>
      </c>
      <c r="AN1200" t="s">
        <v>32</v>
      </c>
      <c r="AO1200" t="s">
        <v>32</v>
      </c>
      <c r="AR1200">
        <v>0</v>
      </c>
      <c r="AU1200" t="s">
        <v>32</v>
      </c>
      <c r="AV1200">
        <v>2223339</v>
      </c>
      <c r="AW1200" t="s">
        <v>32</v>
      </c>
      <c r="AX1200" t="s">
        <v>32</v>
      </c>
      <c r="AY1200" t="s">
        <v>317</v>
      </c>
      <c r="AZ1200">
        <v>25</v>
      </c>
      <c r="BA1200">
        <v>2234402</v>
      </c>
      <c r="BB1200">
        <v>0.15999999642372131</v>
      </c>
      <c r="BC1200">
        <v>357600</v>
      </c>
      <c r="BD1200" t="s">
        <v>31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357600</v>
      </c>
      <c r="BK1200" t="s">
        <v>25</v>
      </c>
      <c r="BL1200" t="s">
        <v>1064</v>
      </c>
      <c r="BM1200">
        <v>25</v>
      </c>
      <c r="BN1200">
        <v>2234402</v>
      </c>
      <c r="BO1200">
        <v>3.9999999105930328E-2</v>
      </c>
      <c r="BP1200">
        <v>89400</v>
      </c>
      <c r="BQ1200">
        <v>0</v>
      </c>
      <c r="BS1200">
        <v>0</v>
      </c>
      <c r="BU1200">
        <v>0</v>
      </c>
      <c r="BV1200" t="s">
        <v>25</v>
      </c>
      <c r="BW1200" t="s">
        <v>189</v>
      </c>
      <c r="BX1200">
        <v>25</v>
      </c>
      <c r="BY1200">
        <v>2234402</v>
      </c>
      <c r="BZ1200">
        <v>6.9600000977516174E-2</v>
      </c>
      <c r="CA1200" t="s">
        <v>1439</v>
      </c>
      <c r="CB1200" t="s">
        <v>312</v>
      </c>
      <c r="CC1200" t="s">
        <v>1440</v>
      </c>
      <c r="CD1200">
        <v>155600</v>
      </c>
      <c r="CE1200">
        <v>25</v>
      </c>
      <c r="CF1200" t="s">
        <v>466</v>
      </c>
      <c r="CG1200">
        <v>2156471</v>
      </c>
      <c r="CH1200">
        <v>3.9999999105930328E-2</v>
      </c>
      <c r="CI1200">
        <v>86300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 t="s">
        <v>88</v>
      </c>
      <c r="CT1200" t="s">
        <v>142</v>
      </c>
      <c r="CU1200" t="s">
        <v>1442</v>
      </c>
    </row>
    <row r="1201" spans="1:99">
      <c r="A1201" t="s">
        <v>3047</v>
      </c>
      <c r="B1201" t="s">
        <v>34</v>
      </c>
      <c r="C1201" t="s">
        <v>2909</v>
      </c>
      <c r="D1201" t="s">
        <v>2910</v>
      </c>
      <c r="E1201" t="s">
        <v>1853</v>
      </c>
      <c r="F1201" t="s">
        <v>2911</v>
      </c>
      <c r="G1201" t="s">
        <v>1489</v>
      </c>
      <c r="H1201" t="s">
        <v>1479</v>
      </c>
      <c r="I1201" t="s">
        <v>240</v>
      </c>
      <c r="J1201" t="s">
        <v>46</v>
      </c>
      <c r="K1201" t="s">
        <v>29</v>
      </c>
      <c r="L1201" t="s">
        <v>30</v>
      </c>
      <c r="M1201">
        <v>68</v>
      </c>
      <c r="N1201" t="s">
        <v>32</v>
      </c>
      <c r="O1201" t="s">
        <v>32</v>
      </c>
      <c r="Q1201" t="s">
        <v>32</v>
      </c>
      <c r="S1201" t="s">
        <v>40</v>
      </c>
      <c r="T1201">
        <v>46060</v>
      </c>
      <c r="U1201" t="s">
        <v>32</v>
      </c>
      <c r="V1201" t="s">
        <v>32</v>
      </c>
      <c r="W1201" t="s">
        <v>32</v>
      </c>
      <c r="X1201" t="s">
        <v>32</v>
      </c>
      <c r="Y1201" t="s">
        <v>32</v>
      </c>
      <c r="AA1201" t="s">
        <v>88</v>
      </c>
      <c r="AB1201" t="s">
        <v>32</v>
      </c>
      <c r="AE1201" t="s">
        <v>32</v>
      </c>
      <c r="AH1201" t="s">
        <v>32</v>
      </c>
      <c r="AK1201" t="s">
        <v>32</v>
      </c>
      <c r="AN1201" t="s">
        <v>32</v>
      </c>
      <c r="AO1201" t="s">
        <v>32</v>
      </c>
      <c r="AR1201">
        <v>0</v>
      </c>
      <c r="AU1201" t="s">
        <v>32</v>
      </c>
      <c r="AV1201">
        <v>2223339</v>
      </c>
      <c r="AW1201" t="s">
        <v>32</v>
      </c>
      <c r="AX1201" t="s">
        <v>32</v>
      </c>
      <c r="AY1201" t="s">
        <v>317</v>
      </c>
      <c r="AZ1201">
        <v>7</v>
      </c>
      <c r="BA1201">
        <v>1808619</v>
      </c>
      <c r="BB1201">
        <v>0.15999999642372131</v>
      </c>
      <c r="BC1201">
        <v>289400</v>
      </c>
      <c r="BD1201" t="s">
        <v>31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289400</v>
      </c>
      <c r="BK1201" t="s">
        <v>25</v>
      </c>
      <c r="BL1201" t="s">
        <v>1010</v>
      </c>
      <c r="BM1201">
        <v>7</v>
      </c>
      <c r="BN1201">
        <v>1808619</v>
      </c>
      <c r="BO1201">
        <v>3.9999999105930328E-2</v>
      </c>
      <c r="BP1201">
        <v>72400</v>
      </c>
      <c r="BQ1201">
        <v>0</v>
      </c>
      <c r="BS1201">
        <v>0</v>
      </c>
      <c r="BU1201">
        <v>0</v>
      </c>
      <c r="BV1201" t="s">
        <v>25</v>
      </c>
      <c r="BW1201" t="s">
        <v>189</v>
      </c>
      <c r="BX1201">
        <v>7</v>
      </c>
      <c r="BY1201">
        <v>1808619</v>
      </c>
      <c r="BZ1201">
        <v>6.9600000977516174E-2</v>
      </c>
      <c r="CA1201" t="s">
        <v>1439</v>
      </c>
      <c r="CB1201" t="s">
        <v>227</v>
      </c>
      <c r="CC1201" t="s">
        <v>1440</v>
      </c>
      <c r="CD1201">
        <v>125900</v>
      </c>
      <c r="CE1201">
        <v>7</v>
      </c>
      <c r="CF1201" t="s">
        <v>635</v>
      </c>
      <c r="CG1201">
        <v>2878789</v>
      </c>
      <c r="CH1201">
        <v>3.9999999105930328E-2</v>
      </c>
      <c r="CI1201">
        <v>115200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 t="s">
        <v>88</v>
      </c>
      <c r="CT1201" t="s">
        <v>142</v>
      </c>
      <c r="CU1201" t="s">
        <v>1442</v>
      </c>
    </row>
    <row r="1202" spans="1:99">
      <c r="A1202" t="s">
        <v>3047</v>
      </c>
      <c r="B1202" t="s">
        <v>34</v>
      </c>
      <c r="C1202" t="s">
        <v>2912</v>
      </c>
      <c r="D1202" t="s">
        <v>2913</v>
      </c>
      <c r="E1202" t="s">
        <v>1864</v>
      </c>
      <c r="F1202" t="s">
        <v>1561</v>
      </c>
      <c r="G1202" t="s">
        <v>2914</v>
      </c>
      <c r="H1202" t="s">
        <v>1468</v>
      </c>
      <c r="I1202" t="s">
        <v>682</v>
      </c>
      <c r="J1202" t="s">
        <v>484</v>
      </c>
      <c r="K1202" t="s">
        <v>29</v>
      </c>
      <c r="L1202" t="s">
        <v>30</v>
      </c>
      <c r="M1202">
        <v>0</v>
      </c>
      <c r="N1202" t="s">
        <v>32</v>
      </c>
      <c r="O1202" t="s">
        <v>32</v>
      </c>
      <c r="Q1202" t="s">
        <v>32</v>
      </c>
      <c r="S1202" t="s">
        <v>32</v>
      </c>
      <c r="U1202" t="s">
        <v>32</v>
      </c>
      <c r="V1202" t="s">
        <v>32</v>
      </c>
      <c r="W1202" t="s">
        <v>32</v>
      </c>
      <c r="X1202" t="s">
        <v>32</v>
      </c>
      <c r="Y1202" t="s">
        <v>32</v>
      </c>
      <c r="AA1202" t="s">
        <v>32</v>
      </c>
      <c r="AB1202" t="s">
        <v>32</v>
      </c>
      <c r="AE1202" t="s">
        <v>1492</v>
      </c>
      <c r="AF1202">
        <v>46054</v>
      </c>
      <c r="AG1202">
        <v>46054</v>
      </c>
      <c r="AH1202" t="s">
        <v>32</v>
      </c>
      <c r="AK1202" t="s">
        <v>32</v>
      </c>
      <c r="AN1202" t="s">
        <v>32</v>
      </c>
      <c r="AO1202" t="s">
        <v>32</v>
      </c>
      <c r="AR1202">
        <v>0</v>
      </c>
      <c r="AU1202" t="s">
        <v>32</v>
      </c>
      <c r="AV1202">
        <v>3140434</v>
      </c>
      <c r="AW1202" t="s">
        <v>32</v>
      </c>
      <c r="AX1202" t="s">
        <v>32</v>
      </c>
      <c r="AY1202" t="s">
        <v>317</v>
      </c>
      <c r="AZ1202">
        <v>1</v>
      </c>
      <c r="BA1202">
        <v>99923</v>
      </c>
      <c r="BB1202">
        <v>0.15999999642372131</v>
      </c>
      <c r="BC1202">
        <v>16000</v>
      </c>
      <c r="BD1202" t="s">
        <v>31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16000</v>
      </c>
      <c r="BK1202" t="s">
        <v>25</v>
      </c>
      <c r="BL1202" t="s">
        <v>1071</v>
      </c>
      <c r="BM1202">
        <v>1</v>
      </c>
      <c r="BN1202">
        <v>99923</v>
      </c>
      <c r="BO1202">
        <v>3.9999999105930328E-2</v>
      </c>
      <c r="BP1202">
        <v>4000</v>
      </c>
      <c r="BQ1202">
        <v>0</v>
      </c>
      <c r="BS1202">
        <v>0</v>
      </c>
      <c r="BU1202">
        <v>0</v>
      </c>
      <c r="BV1202" t="s">
        <v>25</v>
      </c>
      <c r="BW1202" t="s">
        <v>189</v>
      </c>
      <c r="BX1202">
        <v>1</v>
      </c>
      <c r="BY1202">
        <v>99923</v>
      </c>
      <c r="BZ1202">
        <v>0</v>
      </c>
      <c r="CA1202" t="s">
        <v>1439</v>
      </c>
      <c r="CB1202" t="s">
        <v>312</v>
      </c>
      <c r="CC1202" t="s">
        <v>1440</v>
      </c>
      <c r="CD1202">
        <v>0</v>
      </c>
      <c r="CE1202">
        <v>1</v>
      </c>
      <c r="CF1202" t="s">
        <v>466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 t="s">
        <v>88</v>
      </c>
      <c r="CT1202" t="s">
        <v>142</v>
      </c>
      <c r="CU1202" t="s">
        <v>1442</v>
      </c>
    </row>
    <row r="1203" spans="1:99">
      <c r="A1203" t="s">
        <v>3047</v>
      </c>
      <c r="B1203" t="s">
        <v>34</v>
      </c>
      <c r="C1203" t="s">
        <v>2912</v>
      </c>
      <c r="D1203" t="s">
        <v>2913</v>
      </c>
      <c r="E1203" t="s">
        <v>1864</v>
      </c>
      <c r="F1203" t="s">
        <v>1561</v>
      </c>
      <c r="G1203" t="s">
        <v>2914</v>
      </c>
      <c r="H1203" t="s">
        <v>1468</v>
      </c>
      <c r="I1203" t="s">
        <v>682</v>
      </c>
      <c r="J1203" t="s">
        <v>484</v>
      </c>
      <c r="K1203" t="s">
        <v>29</v>
      </c>
      <c r="L1203" t="s">
        <v>30</v>
      </c>
      <c r="M1203">
        <v>0</v>
      </c>
      <c r="N1203" t="s">
        <v>32</v>
      </c>
      <c r="O1203" t="s">
        <v>32</v>
      </c>
      <c r="Q1203" t="s">
        <v>32</v>
      </c>
      <c r="S1203" t="s">
        <v>32</v>
      </c>
      <c r="U1203" t="s">
        <v>32</v>
      </c>
      <c r="V1203" t="s">
        <v>32</v>
      </c>
      <c r="W1203" t="s">
        <v>32</v>
      </c>
      <c r="X1203" t="s">
        <v>32</v>
      </c>
      <c r="Y1203" t="s">
        <v>32</v>
      </c>
      <c r="AA1203" t="s">
        <v>32</v>
      </c>
      <c r="AB1203" t="s">
        <v>32</v>
      </c>
      <c r="AE1203" t="s">
        <v>32</v>
      </c>
      <c r="AH1203" t="s">
        <v>32</v>
      </c>
      <c r="AK1203" t="s">
        <v>128</v>
      </c>
      <c r="AL1203">
        <v>46069</v>
      </c>
      <c r="AM1203">
        <v>46075</v>
      </c>
      <c r="AN1203" t="s">
        <v>32</v>
      </c>
      <c r="AO1203" t="s">
        <v>32</v>
      </c>
      <c r="AR1203">
        <v>0</v>
      </c>
      <c r="AU1203" t="s">
        <v>32</v>
      </c>
      <c r="AV1203">
        <v>3140434</v>
      </c>
      <c r="AW1203" t="s">
        <v>32</v>
      </c>
      <c r="AX1203" t="s">
        <v>32</v>
      </c>
      <c r="AY1203" t="s">
        <v>317</v>
      </c>
      <c r="AZ1203">
        <v>7</v>
      </c>
      <c r="BA1203">
        <v>732768</v>
      </c>
      <c r="BB1203">
        <v>0.15999999642372131</v>
      </c>
      <c r="BC1203">
        <v>117300</v>
      </c>
      <c r="BD1203" t="s">
        <v>31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117300</v>
      </c>
      <c r="BK1203" t="s">
        <v>25</v>
      </c>
      <c r="BL1203" t="s">
        <v>1071</v>
      </c>
      <c r="BM1203">
        <v>7</v>
      </c>
      <c r="BN1203">
        <v>732768</v>
      </c>
      <c r="BO1203">
        <v>3.9999999105930328E-2</v>
      </c>
      <c r="BP1203">
        <v>29400</v>
      </c>
      <c r="BQ1203">
        <v>0</v>
      </c>
      <c r="BS1203">
        <v>0</v>
      </c>
      <c r="BU1203">
        <v>0</v>
      </c>
      <c r="BV1203" t="s">
        <v>25</v>
      </c>
      <c r="BW1203" t="s">
        <v>189</v>
      </c>
      <c r="BX1203">
        <v>7</v>
      </c>
      <c r="BY1203">
        <v>732768</v>
      </c>
      <c r="BZ1203">
        <v>0</v>
      </c>
      <c r="CA1203" t="s">
        <v>1439</v>
      </c>
      <c r="CB1203" t="s">
        <v>312</v>
      </c>
      <c r="CC1203" t="s">
        <v>1440</v>
      </c>
      <c r="CD1203">
        <v>0</v>
      </c>
      <c r="CE1203">
        <v>7</v>
      </c>
      <c r="CF1203" t="s">
        <v>466</v>
      </c>
      <c r="CG1203">
        <v>732768</v>
      </c>
      <c r="CH1203">
        <v>3.9999999105930328E-2</v>
      </c>
      <c r="CI1203">
        <v>29400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 t="s">
        <v>88</v>
      </c>
      <c r="CT1203" t="s">
        <v>142</v>
      </c>
      <c r="CU1203" t="s">
        <v>1442</v>
      </c>
    </row>
    <row r="1204" spans="1:99">
      <c r="A1204" t="s">
        <v>3047</v>
      </c>
      <c r="B1204" t="s">
        <v>34</v>
      </c>
      <c r="C1204" t="s">
        <v>2912</v>
      </c>
      <c r="D1204" t="s">
        <v>2913</v>
      </c>
      <c r="E1204" t="s">
        <v>1864</v>
      </c>
      <c r="F1204" t="s">
        <v>1561</v>
      </c>
      <c r="G1204" t="s">
        <v>2914</v>
      </c>
      <c r="H1204" t="s">
        <v>1468</v>
      </c>
      <c r="I1204" t="s">
        <v>682</v>
      </c>
      <c r="J1204" t="s">
        <v>484</v>
      </c>
      <c r="K1204" t="s">
        <v>29</v>
      </c>
      <c r="L1204" t="s">
        <v>30</v>
      </c>
      <c r="M1204">
        <v>135</v>
      </c>
      <c r="N1204" t="s">
        <v>32</v>
      </c>
      <c r="O1204" t="s">
        <v>32</v>
      </c>
      <c r="Q1204" t="s">
        <v>32</v>
      </c>
      <c r="S1204" t="s">
        <v>32</v>
      </c>
      <c r="U1204" t="s">
        <v>32</v>
      </c>
      <c r="V1204" t="s">
        <v>32</v>
      </c>
      <c r="W1204" t="s">
        <v>32</v>
      </c>
      <c r="X1204" t="s">
        <v>32</v>
      </c>
      <c r="Y1204" t="s">
        <v>88</v>
      </c>
      <c r="Z1204">
        <v>46054</v>
      </c>
      <c r="AA1204" t="s">
        <v>88</v>
      </c>
      <c r="AB1204" t="s">
        <v>32</v>
      </c>
      <c r="AE1204" t="s">
        <v>32</v>
      </c>
      <c r="AH1204" t="s">
        <v>32</v>
      </c>
      <c r="AK1204" t="s">
        <v>32</v>
      </c>
      <c r="AN1204" t="s">
        <v>32</v>
      </c>
      <c r="AO1204" t="s">
        <v>32</v>
      </c>
      <c r="AR1204">
        <v>0</v>
      </c>
      <c r="AU1204" t="s">
        <v>32</v>
      </c>
      <c r="AV1204">
        <v>3140434</v>
      </c>
      <c r="AW1204" t="s">
        <v>32</v>
      </c>
      <c r="AX1204" t="s">
        <v>32</v>
      </c>
      <c r="AY1204" t="s">
        <v>317</v>
      </c>
      <c r="AZ1204">
        <v>22</v>
      </c>
      <c r="BA1204">
        <v>2302985</v>
      </c>
      <c r="BB1204">
        <v>0.15999999642372131</v>
      </c>
      <c r="BC1204">
        <v>368500</v>
      </c>
      <c r="BD1204" t="s">
        <v>31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368500</v>
      </c>
      <c r="BK1204" t="s">
        <v>25</v>
      </c>
      <c r="BL1204" t="s">
        <v>1071</v>
      </c>
      <c r="BM1204">
        <v>22</v>
      </c>
      <c r="BN1204">
        <v>2302985</v>
      </c>
      <c r="BO1204">
        <v>3.9999999105930328E-2</v>
      </c>
      <c r="BP1204">
        <v>92200</v>
      </c>
      <c r="BQ1204">
        <v>0</v>
      </c>
      <c r="BS1204">
        <v>0</v>
      </c>
      <c r="BU1204">
        <v>0</v>
      </c>
      <c r="BV1204" t="s">
        <v>25</v>
      </c>
      <c r="BW1204" t="s">
        <v>189</v>
      </c>
      <c r="BX1204">
        <v>22</v>
      </c>
      <c r="BY1204">
        <v>2302985</v>
      </c>
      <c r="BZ1204">
        <v>6.9600000977516174E-2</v>
      </c>
      <c r="CA1204" t="s">
        <v>1439</v>
      </c>
      <c r="CB1204" t="s">
        <v>312</v>
      </c>
      <c r="CC1204" t="s">
        <v>1440</v>
      </c>
      <c r="CD1204">
        <v>160300</v>
      </c>
      <c r="CE1204">
        <v>22</v>
      </c>
      <c r="CF1204" t="s">
        <v>466</v>
      </c>
      <c r="CG1204">
        <v>2302985</v>
      </c>
      <c r="CH1204">
        <v>3.9999999105930328E-2</v>
      </c>
      <c r="CI1204">
        <v>92200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 t="s">
        <v>88</v>
      </c>
      <c r="CT1204" t="s">
        <v>142</v>
      </c>
      <c r="CU1204" t="s">
        <v>1442</v>
      </c>
    </row>
    <row r="1205" spans="1:99">
      <c r="A1205" t="s">
        <v>3047</v>
      </c>
      <c r="B1205" t="s">
        <v>34</v>
      </c>
      <c r="C1205" t="s">
        <v>2919</v>
      </c>
      <c r="D1205" t="s">
        <v>2920</v>
      </c>
      <c r="E1205" t="s">
        <v>1459</v>
      </c>
      <c r="F1205" t="s">
        <v>2921</v>
      </c>
      <c r="G1205" t="s">
        <v>1489</v>
      </c>
      <c r="H1205" t="s">
        <v>1503</v>
      </c>
      <c r="I1205" t="s">
        <v>240</v>
      </c>
      <c r="J1205" t="s">
        <v>46</v>
      </c>
      <c r="K1205" t="s">
        <v>29</v>
      </c>
      <c r="L1205" t="s">
        <v>30</v>
      </c>
      <c r="M1205">
        <v>0</v>
      </c>
      <c r="N1205" t="s">
        <v>32</v>
      </c>
      <c r="O1205" t="s">
        <v>32</v>
      </c>
      <c r="Q1205" t="s">
        <v>32</v>
      </c>
      <c r="S1205" t="s">
        <v>32</v>
      </c>
      <c r="U1205" t="s">
        <v>32</v>
      </c>
      <c r="V1205" t="s">
        <v>32</v>
      </c>
      <c r="W1205" t="s">
        <v>32</v>
      </c>
      <c r="X1205" t="s">
        <v>32</v>
      </c>
      <c r="Y1205" t="s">
        <v>32</v>
      </c>
      <c r="AA1205" t="s">
        <v>32</v>
      </c>
      <c r="AB1205" t="s">
        <v>37</v>
      </c>
      <c r="AC1205">
        <v>46054</v>
      </c>
      <c r="AD1205">
        <v>46054</v>
      </c>
      <c r="AE1205" t="s">
        <v>32</v>
      </c>
      <c r="AH1205" t="s">
        <v>32</v>
      </c>
      <c r="AK1205" t="s">
        <v>32</v>
      </c>
      <c r="AN1205" t="s">
        <v>32</v>
      </c>
      <c r="AO1205" t="s">
        <v>32</v>
      </c>
      <c r="AR1205">
        <v>0</v>
      </c>
      <c r="AU1205" t="s">
        <v>32</v>
      </c>
      <c r="AV1205">
        <v>1750905</v>
      </c>
      <c r="AW1205" t="s">
        <v>32</v>
      </c>
      <c r="AX1205" t="s">
        <v>32</v>
      </c>
      <c r="AY1205" t="s">
        <v>317</v>
      </c>
      <c r="AZ1205">
        <v>1</v>
      </c>
      <c r="BA1205">
        <v>58364</v>
      </c>
      <c r="BB1205">
        <v>0.15999999642372131</v>
      </c>
      <c r="BC1205">
        <v>9400</v>
      </c>
      <c r="BD1205" t="s">
        <v>31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9400</v>
      </c>
      <c r="BK1205" t="s">
        <v>25</v>
      </c>
      <c r="BL1205" t="s">
        <v>1010</v>
      </c>
      <c r="BM1205">
        <v>1</v>
      </c>
      <c r="BN1205">
        <v>58364</v>
      </c>
      <c r="BO1205">
        <v>0</v>
      </c>
      <c r="BP1205">
        <v>0</v>
      </c>
      <c r="BQ1205">
        <v>0</v>
      </c>
      <c r="BS1205">
        <v>0</v>
      </c>
      <c r="BU1205">
        <v>0</v>
      </c>
      <c r="BV1205" t="s">
        <v>25</v>
      </c>
      <c r="BW1205" t="s">
        <v>189</v>
      </c>
      <c r="BX1205">
        <v>1</v>
      </c>
      <c r="BY1205">
        <v>58364</v>
      </c>
      <c r="BZ1205">
        <v>0</v>
      </c>
      <c r="CA1205" t="s">
        <v>1439</v>
      </c>
      <c r="CB1205" t="s">
        <v>227</v>
      </c>
      <c r="CC1205" t="s">
        <v>1440</v>
      </c>
      <c r="CD1205">
        <v>0</v>
      </c>
      <c r="CE1205">
        <v>1</v>
      </c>
      <c r="CF1205" t="s">
        <v>635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 t="s">
        <v>88</v>
      </c>
      <c r="CT1205" t="s">
        <v>142</v>
      </c>
      <c r="CU1205" t="s">
        <v>1442</v>
      </c>
    </row>
    <row r="1206" spans="1:99">
      <c r="A1206" t="s">
        <v>3047</v>
      </c>
      <c r="B1206" t="s">
        <v>34</v>
      </c>
      <c r="C1206" t="s">
        <v>2919</v>
      </c>
      <c r="D1206" t="s">
        <v>2920</v>
      </c>
      <c r="E1206" t="s">
        <v>1459</v>
      </c>
      <c r="F1206" t="s">
        <v>2921</v>
      </c>
      <c r="G1206" t="s">
        <v>1489</v>
      </c>
      <c r="H1206" t="s">
        <v>1503</v>
      </c>
      <c r="I1206" t="s">
        <v>240</v>
      </c>
      <c r="J1206" t="s">
        <v>46</v>
      </c>
      <c r="K1206" t="s">
        <v>29</v>
      </c>
      <c r="L1206" t="s">
        <v>30</v>
      </c>
      <c r="M1206">
        <v>0</v>
      </c>
      <c r="N1206" t="s">
        <v>32</v>
      </c>
      <c r="O1206" t="s">
        <v>32</v>
      </c>
      <c r="Q1206" t="s">
        <v>32</v>
      </c>
      <c r="S1206" t="s">
        <v>32</v>
      </c>
      <c r="U1206" t="s">
        <v>32</v>
      </c>
      <c r="V1206" t="s">
        <v>32</v>
      </c>
      <c r="W1206" t="s">
        <v>32</v>
      </c>
      <c r="X1206" t="s">
        <v>32</v>
      </c>
      <c r="Y1206" t="s">
        <v>32</v>
      </c>
      <c r="AA1206" t="s">
        <v>32</v>
      </c>
      <c r="AB1206" t="s">
        <v>32</v>
      </c>
      <c r="AE1206" t="s">
        <v>1492</v>
      </c>
      <c r="AF1206">
        <v>46058</v>
      </c>
      <c r="AG1206">
        <v>46059</v>
      </c>
      <c r="AH1206" t="s">
        <v>32</v>
      </c>
      <c r="AK1206" t="s">
        <v>32</v>
      </c>
      <c r="AN1206" t="s">
        <v>32</v>
      </c>
      <c r="AO1206" t="s">
        <v>32</v>
      </c>
      <c r="AR1206">
        <v>0</v>
      </c>
      <c r="AU1206" t="s">
        <v>32</v>
      </c>
      <c r="AV1206">
        <v>1750905</v>
      </c>
      <c r="AW1206" t="s">
        <v>32</v>
      </c>
      <c r="AX1206" t="s">
        <v>32</v>
      </c>
      <c r="AY1206" t="s">
        <v>317</v>
      </c>
      <c r="AZ1206">
        <v>2</v>
      </c>
      <c r="BA1206">
        <v>203264</v>
      </c>
      <c r="BB1206">
        <v>0.15999999642372131</v>
      </c>
      <c r="BC1206">
        <v>32600</v>
      </c>
      <c r="BD1206" t="s">
        <v>31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32600</v>
      </c>
      <c r="BK1206" t="s">
        <v>25</v>
      </c>
      <c r="BL1206" t="s">
        <v>1010</v>
      </c>
      <c r="BM1206">
        <v>2</v>
      </c>
      <c r="BN1206">
        <v>203264</v>
      </c>
      <c r="BO1206">
        <v>3.9999999105930328E-2</v>
      </c>
      <c r="BP1206">
        <v>8200</v>
      </c>
      <c r="BQ1206">
        <v>0</v>
      </c>
      <c r="BS1206">
        <v>0</v>
      </c>
      <c r="BU1206">
        <v>0</v>
      </c>
      <c r="BV1206" t="s">
        <v>25</v>
      </c>
      <c r="BW1206" t="s">
        <v>189</v>
      </c>
      <c r="BX1206">
        <v>2</v>
      </c>
      <c r="BY1206">
        <v>203264</v>
      </c>
      <c r="BZ1206">
        <v>0</v>
      </c>
      <c r="CA1206" t="s">
        <v>1439</v>
      </c>
      <c r="CB1206" t="s">
        <v>227</v>
      </c>
      <c r="CC1206" t="s">
        <v>1440</v>
      </c>
      <c r="CD1206">
        <v>0</v>
      </c>
      <c r="CE1206">
        <v>2</v>
      </c>
      <c r="CF1206" t="s">
        <v>635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 t="s">
        <v>88</v>
      </c>
      <c r="CT1206" t="s">
        <v>142</v>
      </c>
      <c r="CU1206" t="s">
        <v>1442</v>
      </c>
    </row>
    <row r="1207" spans="1:99">
      <c r="A1207" t="s">
        <v>3047</v>
      </c>
      <c r="B1207" t="s">
        <v>34</v>
      </c>
      <c r="C1207" t="s">
        <v>2919</v>
      </c>
      <c r="D1207" t="s">
        <v>2920</v>
      </c>
      <c r="E1207" t="s">
        <v>1459</v>
      </c>
      <c r="F1207" t="s">
        <v>2921</v>
      </c>
      <c r="G1207" t="s">
        <v>1489</v>
      </c>
      <c r="H1207" t="s">
        <v>1503</v>
      </c>
      <c r="I1207" t="s">
        <v>240</v>
      </c>
      <c r="J1207" t="s">
        <v>46</v>
      </c>
      <c r="K1207" t="s">
        <v>29</v>
      </c>
      <c r="L1207" t="s">
        <v>30</v>
      </c>
      <c r="M1207">
        <v>196</v>
      </c>
      <c r="N1207" t="s">
        <v>32</v>
      </c>
      <c r="O1207" t="s">
        <v>32</v>
      </c>
      <c r="Q1207" t="s">
        <v>32</v>
      </c>
      <c r="S1207" t="s">
        <v>32</v>
      </c>
      <c r="U1207" t="s">
        <v>32</v>
      </c>
      <c r="V1207" t="s">
        <v>32</v>
      </c>
      <c r="W1207" t="s">
        <v>32</v>
      </c>
      <c r="X1207" t="s">
        <v>32</v>
      </c>
      <c r="Y1207" t="s">
        <v>32</v>
      </c>
      <c r="AA1207" t="s">
        <v>88</v>
      </c>
      <c r="AB1207" t="s">
        <v>32</v>
      </c>
      <c r="AE1207" t="s">
        <v>32</v>
      </c>
      <c r="AH1207" t="s">
        <v>32</v>
      </c>
      <c r="AK1207" t="s">
        <v>32</v>
      </c>
      <c r="AN1207" t="s">
        <v>32</v>
      </c>
      <c r="AO1207" t="s">
        <v>32</v>
      </c>
      <c r="AR1207">
        <v>0</v>
      </c>
      <c r="AU1207" t="s">
        <v>32</v>
      </c>
      <c r="AV1207">
        <v>1750905</v>
      </c>
      <c r="AW1207" t="s">
        <v>32</v>
      </c>
      <c r="AX1207" t="s">
        <v>32</v>
      </c>
      <c r="AY1207" t="s">
        <v>317</v>
      </c>
      <c r="AZ1207">
        <v>27</v>
      </c>
      <c r="BA1207">
        <v>2466989</v>
      </c>
      <c r="BB1207">
        <v>0.15999999642372131</v>
      </c>
      <c r="BC1207">
        <v>394800</v>
      </c>
      <c r="BD1207" t="s">
        <v>31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394800</v>
      </c>
      <c r="BK1207" t="s">
        <v>25</v>
      </c>
      <c r="BL1207" t="s">
        <v>1010</v>
      </c>
      <c r="BM1207">
        <v>27</v>
      </c>
      <c r="BN1207">
        <v>2466989</v>
      </c>
      <c r="BO1207">
        <v>3.9999999105930328E-2</v>
      </c>
      <c r="BP1207">
        <v>98700</v>
      </c>
      <c r="BQ1207">
        <v>0</v>
      </c>
      <c r="BS1207">
        <v>0</v>
      </c>
      <c r="BU1207">
        <v>0</v>
      </c>
      <c r="BV1207" t="s">
        <v>25</v>
      </c>
      <c r="BW1207" t="s">
        <v>189</v>
      </c>
      <c r="BX1207">
        <v>27</v>
      </c>
      <c r="BY1207">
        <v>2466989</v>
      </c>
      <c r="BZ1207">
        <v>6.9600000977516174E-2</v>
      </c>
      <c r="CA1207" t="s">
        <v>1439</v>
      </c>
      <c r="CB1207" t="s">
        <v>227</v>
      </c>
      <c r="CC1207" t="s">
        <v>1440</v>
      </c>
      <c r="CD1207">
        <v>171800</v>
      </c>
      <c r="CE1207">
        <v>27</v>
      </c>
      <c r="CF1207" t="s">
        <v>635</v>
      </c>
      <c r="CG1207">
        <v>2466989</v>
      </c>
      <c r="CH1207">
        <v>3.9999999105930328E-2</v>
      </c>
      <c r="CI1207">
        <v>98700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 t="s">
        <v>88</v>
      </c>
      <c r="CT1207" t="s">
        <v>142</v>
      </c>
      <c r="CU1207" t="s">
        <v>1442</v>
      </c>
    </row>
    <row r="1208" spans="1:99">
      <c r="A1208" t="s">
        <v>3047</v>
      </c>
      <c r="B1208" t="s">
        <v>34</v>
      </c>
      <c r="C1208" t="s">
        <v>2922</v>
      </c>
      <c r="D1208" t="s">
        <v>2923</v>
      </c>
      <c r="E1208" t="s">
        <v>1506</v>
      </c>
      <c r="F1208" t="s">
        <v>2924</v>
      </c>
      <c r="G1208" t="s">
        <v>1548</v>
      </c>
      <c r="H1208" t="s">
        <v>1489</v>
      </c>
      <c r="I1208" t="s">
        <v>682</v>
      </c>
      <c r="J1208" t="s">
        <v>484</v>
      </c>
      <c r="K1208" t="s">
        <v>29</v>
      </c>
      <c r="L1208" t="s">
        <v>30</v>
      </c>
      <c r="M1208">
        <v>0</v>
      </c>
      <c r="N1208" t="s">
        <v>32</v>
      </c>
      <c r="O1208" t="s">
        <v>32</v>
      </c>
      <c r="Q1208" t="s">
        <v>32</v>
      </c>
      <c r="S1208" t="s">
        <v>32</v>
      </c>
      <c r="U1208" t="s">
        <v>32</v>
      </c>
      <c r="V1208" t="s">
        <v>32</v>
      </c>
      <c r="W1208" t="s">
        <v>32</v>
      </c>
      <c r="X1208" t="s">
        <v>32</v>
      </c>
      <c r="Y1208" t="s">
        <v>32</v>
      </c>
      <c r="AA1208" t="s">
        <v>32</v>
      </c>
      <c r="AB1208" t="s">
        <v>37</v>
      </c>
      <c r="AC1208">
        <v>46054</v>
      </c>
      <c r="AD1208">
        <v>46054</v>
      </c>
      <c r="AE1208" t="s">
        <v>32</v>
      </c>
      <c r="AH1208" t="s">
        <v>32</v>
      </c>
      <c r="AK1208" t="s">
        <v>32</v>
      </c>
      <c r="AN1208" t="s">
        <v>32</v>
      </c>
      <c r="AO1208" t="s">
        <v>32</v>
      </c>
      <c r="AR1208">
        <v>0</v>
      </c>
      <c r="AU1208" t="s">
        <v>32</v>
      </c>
      <c r="AV1208">
        <v>2223339</v>
      </c>
      <c r="AW1208" t="s">
        <v>32</v>
      </c>
      <c r="AX1208" t="s">
        <v>32</v>
      </c>
      <c r="AY1208" t="s">
        <v>356</v>
      </c>
      <c r="AZ1208">
        <v>1</v>
      </c>
      <c r="BA1208">
        <v>74112</v>
      </c>
      <c r="BB1208">
        <v>0.15999999642372131</v>
      </c>
      <c r="BC1208">
        <v>11900</v>
      </c>
      <c r="BD1208" t="s">
        <v>31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11900</v>
      </c>
      <c r="BK1208" t="s">
        <v>25</v>
      </c>
      <c r="BL1208" t="s">
        <v>1010</v>
      </c>
      <c r="BM1208">
        <v>1</v>
      </c>
      <c r="BN1208">
        <v>74112</v>
      </c>
      <c r="BO1208">
        <v>0</v>
      </c>
      <c r="BP1208">
        <v>0</v>
      </c>
      <c r="BQ1208">
        <v>0</v>
      </c>
      <c r="BS1208">
        <v>0</v>
      </c>
      <c r="BU1208">
        <v>0</v>
      </c>
      <c r="BV1208" t="s">
        <v>25</v>
      </c>
      <c r="BW1208" t="s">
        <v>189</v>
      </c>
      <c r="BX1208">
        <v>1</v>
      </c>
      <c r="BY1208">
        <v>74112</v>
      </c>
      <c r="BZ1208">
        <v>0</v>
      </c>
      <c r="CA1208" t="s">
        <v>1439</v>
      </c>
      <c r="CB1208" t="s">
        <v>312</v>
      </c>
      <c r="CC1208" t="s">
        <v>1440</v>
      </c>
      <c r="CD1208">
        <v>0</v>
      </c>
      <c r="CE1208">
        <v>1</v>
      </c>
      <c r="CF1208" t="s">
        <v>466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 t="s">
        <v>88</v>
      </c>
      <c r="CT1208" t="s">
        <v>142</v>
      </c>
      <c r="CU1208" t="s">
        <v>1442</v>
      </c>
    </row>
    <row r="1209" spans="1:99">
      <c r="A1209" t="s">
        <v>3047</v>
      </c>
      <c r="B1209" t="s">
        <v>34</v>
      </c>
      <c r="C1209" t="s">
        <v>2922</v>
      </c>
      <c r="D1209" t="s">
        <v>2923</v>
      </c>
      <c r="E1209" t="s">
        <v>1506</v>
      </c>
      <c r="F1209" t="s">
        <v>2924</v>
      </c>
      <c r="G1209" t="s">
        <v>1548</v>
      </c>
      <c r="H1209" t="s">
        <v>1489</v>
      </c>
      <c r="I1209" t="s">
        <v>682</v>
      </c>
      <c r="J1209" t="s">
        <v>484</v>
      </c>
      <c r="K1209" t="s">
        <v>29</v>
      </c>
      <c r="L1209" t="s">
        <v>30</v>
      </c>
      <c r="M1209">
        <v>204</v>
      </c>
      <c r="N1209" t="s">
        <v>32</v>
      </c>
      <c r="O1209" t="s">
        <v>32</v>
      </c>
      <c r="Q1209" t="s">
        <v>32</v>
      </c>
      <c r="S1209" t="s">
        <v>32</v>
      </c>
      <c r="U1209" t="s">
        <v>32</v>
      </c>
      <c r="V1209" t="s">
        <v>32</v>
      </c>
      <c r="W1209" t="s">
        <v>32</v>
      </c>
      <c r="X1209" t="s">
        <v>32</v>
      </c>
      <c r="Y1209" t="s">
        <v>32</v>
      </c>
      <c r="AA1209" t="s">
        <v>88</v>
      </c>
      <c r="AB1209" t="s">
        <v>32</v>
      </c>
      <c r="AE1209" t="s">
        <v>32</v>
      </c>
      <c r="AH1209" t="s">
        <v>32</v>
      </c>
      <c r="AK1209" t="s">
        <v>32</v>
      </c>
      <c r="AN1209" t="s">
        <v>32</v>
      </c>
      <c r="AO1209" t="s">
        <v>32</v>
      </c>
      <c r="AR1209">
        <v>0</v>
      </c>
      <c r="AU1209" t="s">
        <v>32</v>
      </c>
      <c r="AV1209">
        <v>2223339</v>
      </c>
      <c r="AW1209" t="s">
        <v>32</v>
      </c>
      <c r="AX1209" t="s">
        <v>32</v>
      </c>
      <c r="AY1209" t="s">
        <v>356</v>
      </c>
      <c r="AZ1209">
        <v>29</v>
      </c>
      <c r="BA1209">
        <v>2549755</v>
      </c>
      <c r="BB1209">
        <v>0.15999999642372131</v>
      </c>
      <c r="BC1209">
        <v>408000</v>
      </c>
      <c r="BD1209" t="s">
        <v>31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408000</v>
      </c>
      <c r="BK1209" t="s">
        <v>25</v>
      </c>
      <c r="BL1209" t="s">
        <v>1010</v>
      </c>
      <c r="BM1209">
        <v>29</v>
      </c>
      <c r="BN1209">
        <v>2549755</v>
      </c>
      <c r="BO1209">
        <v>3.9999999105930328E-2</v>
      </c>
      <c r="BP1209">
        <v>102000</v>
      </c>
      <c r="BQ1209">
        <v>0</v>
      </c>
      <c r="BS1209">
        <v>0</v>
      </c>
      <c r="BU1209">
        <v>0</v>
      </c>
      <c r="BV1209" t="s">
        <v>25</v>
      </c>
      <c r="BW1209" t="s">
        <v>189</v>
      </c>
      <c r="BX1209">
        <v>29</v>
      </c>
      <c r="BY1209">
        <v>2549755</v>
      </c>
      <c r="BZ1209">
        <v>6.9600000977516174E-2</v>
      </c>
      <c r="CA1209" t="s">
        <v>1439</v>
      </c>
      <c r="CB1209" t="s">
        <v>312</v>
      </c>
      <c r="CC1209" t="s">
        <v>1440</v>
      </c>
      <c r="CD1209">
        <v>177500</v>
      </c>
      <c r="CE1209">
        <v>29</v>
      </c>
      <c r="CF1209" t="s">
        <v>466</v>
      </c>
      <c r="CG1209">
        <v>2496879</v>
      </c>
      <c r="CH1209">
        <v>3.9999999105930328E-2</v>
      </c>
      <c r="CI1209">
        <v>99900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 t="s">
        <v>88</v>
      </c>
      <c r="CT1209" t="s">
        <v>142</v>
      </c>
      <c r="CU1209" t="s">
        <v>1442</v>
      </c>
    </row>
    <row r="1210" spans="1:99">
      <c r="A1210" t="s">
        <v>3047</v>
      </c>
      <c r="B1210" t="s">
        <v>34</v>
      </c>
      <c r="C1210" t="s">
        <v>2925</v>
      </c>
      <c r="D1210" t="s">
        <v>2926</v>
      </c>
      <c r="E1210" t="s">
        <v>1971</v>
      </c>
      <c r="F1210" t="s">
        <v>2927</v>
      </c>
      <c r="G1210" t="s">
        <v>2758</v>
      </c>
      <c r="H1210" t="s">
        <v>1928</v>
      </c>
      <c r="I1210" t="s">
        <v>240</v>
      </c>
      <c r="J1210" t="s">
        <v>46</v>
      </c>
      <c r="K1210" t="s">
        <v>29</v>
      </c>
      <c r="L1210" t="s">
        <v>30</v>
      </c>
      <c r="M1210">
        <v>32</v>
      </c>
      <c r="N1210" t="s">
        <v>32</v>
      </c>
      <c r="O1210" t="s">
        <v>32</v>
      </c>
      <c r="Q1210" t="s">
        <v>32</v>
      </c>
      <c r="S1210" t="s">
        <v>40</v>
      </c>
      <c r="T1210">
        <v>46056</v>
      </c>
      <c r="U1210" t="s">
        <v>32</v>
      </c>
      <c r="V1210" t="s">
        <v>32</v>
      </c>
      <c r="W1210" t="s">
        <v>32</v>
      </c>
      <c r="X1210" t="s">
        <v>32</v>
      </c>
      <c r="Y1210" t="s">
        <v>32</v>
      </c>
      <c r="AA1210" t="s">
        <v>88</v>
      </c>
      <c r="AB1210" t="s">
        <v>32</v>
      </c>
      <c r="AE1210" t="s">
        <v>32</v>
      </c>
      <c r="AH1210" t="s">
        <v>32</v>
      </c>
      <c r="AK1210" t="s">
        <v>32</v>
      </c>
      <c r="AN1210" t="s">
        <v>32</v>
      </c>
      <c r="AO1210" t="s">
        <v>32</v>
      </c>
      <c r="AR1210">
        <v>0</v>
      </c>
      <c r="AU1210" t="s">
        <v>32</v>
      </c>
      <c r="AV1210">
        <v>2223339</v>
      </c>
      <c r="AW1210" t="s">
        <v>32</v>
      </c>
      <c r="AX1210" t="s">
        <v>32</v>
      </c>
      <c r="AY1210" t="s">
        <v>356</v>
      </c>
      <c r="AZ1210">
        <v>3</v>
      </c>
      <c r="BA1210">
        <v>1145990</v>
      </c>
      <c r="BB1210">
        <v>0.15999999642372131</v>
      </c>
      <c r="BC1210">
        <v>183400</v>
      </c>
      <c r="BD1210" t="s">
        <v>31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183400</v>
      </c>
      <c r="BK1210" t="s">
        <v>25</v>
      </c>
      <c r="BL1210" t="s">
        <v>1064</v>
      </c>
      <c r="BM1210">
        <v>3</v>
      </c>
      <c r="BN1210">
        <v>1145990</v>
      </c>
      <c r="BO1210">
        <v>0.125</v>
      </c>
      <c r="BP1210">
        <v>143300</v>
      </c>
      <c r="BQ1210">
        <v>0</v>
      </c>
      <c r="BS1210">
        <v>0</v>
      </c>
      <c r="BU1210">
        <v>0</v>
      </c>
      <c r="BV1210" t="s">
        <v>25</v>
      </c>
      <c r="BW1210" t="s">
        <v>189</v>
      </c>
      <c r="BX1210">
        <v>3</v>
      </c>
      <c r="BY1210">
        <v>1145990</v>
      </c>
      <c r="BZ1210">
        <v>6.9600000977516174E-2</v>
      </c>
      <c r="CA1210" t="s">
        <v>1439</v>
      </c>
      <c r="CB1210" t="s">
        <v>227</v>
      </c>
      <c r="CC1210" t="s">
        <v>1440</v>
      </c>
      <c r="CD1210">
        <v>79800</v>
      </c>
      <c r="CE1210">
        <v>3</v>
      </c>
      <c r="CF1210" t="s">
        <v>635</v>
      </c>
      <c r="CG1210">
        <v>1658332</v>
      </c>
      <c r="CH1210">
        <v>3.9999999105930328E-2</v>
      </c>
      <c r="CI1210">
        <v>66400</v>
      </c>
      <c r="CJ1210">
        <v>1658332</v>
      </c>
      <c r="CK1210">
        <v>1.9999999552965164E-2</v>
      </c>
      <c r="CL1210">
        <v>33200</v>
      </c>
      <c r="CM1210">
        <v>2.9999999329447746E-2</v>
      </c>
      <c r="CN1210">
        <v>49800</v>
      </c>
      <c r="CO1210">
        <v>0</v>
      </c>
      <c r="CP1210">
        <v>0</v>
      </c>
      <c r="CQ1210">
        <v>0</v>
      </c>
      <c r="CR1210">
        <v>0</v>
      </c>
      <c r="CS1210" t="s">
        <v>32</v>
      </c>
      <c r="CT1210" t="s">
        <v>142</v>
      </c>
      <c r="CU1210" t="s">
        <v>1442</v>
      </c>
    </row>
    <row r="1211" spans="1:99">
      <c r="A1211" t="s">
        <v>3047</v>
      </c>
      <c r="B1211" t="s">
        <v>34</v>
      </c>
      <c r="C1211" t="s">
        <v>2928</v>
      </c>
      <c r="D1211" t="s">
        <v>2929</v>
      </c>
      <c r="E1211" t="s">
        <v>1561</v>
      </c>
      <c r="F1211" t="s">
        <v>1102</v>
      </c>
      <c r="G1211" t="s">
        <v>2930</v>
      </c>
      <c r="H1211" t="s">
        <v>1468</v>
      </c>
      <c r="I1211" t="s">
        <v>682</v>
      </c>
      <c r="J1211" t="s">
        <v>484</v>
      </c>
      <c r="K1211" t="s">
        <v>29</v>
      </c>
      <c r="L1211" t="s">
        <v>30</v>
      </c>
      <c r="M1211">
        <v>45</v>
      </c>
      <c r="N1211" t="s">
        <v>32</v>
      </c>
      <c r="O1211" t="s">
        <v>32</v>
      </c>
      <c r="Q1211" t="s">
        <v>32</v>
      </c>
      <c r="S1211" t="s">
        <v>40</v>
      </c>
      <c r="T1211">
        <v>46058</v>
      </c>
      <c r="U1211" t="s">
        <v>32</v>
      </c>
      <c r="V1211" t="s">
        <v>32</v>
      </c>
      <c r="W1211" t="s">
        <v>32</v>
      </c>
      <c r="X1211" t="s">
        <v>32</v>
      </c>
      <c r="Y1211" t="s">
        <v>32</v>
      </c>
      <c r="AA1211" t="s">
        <v>88</v>
      </c>
      <c r="AB1211" t="s">
        <v>32</v>
      </c>
      <c r="AE1211" t="s">
        <v>32</v>
      </c>
      <c r="AH1211" t="s">
        <v>32</v>
      </c>
      <c r="AK1211" t="s">
        <v>32</v>
      </c>
      <c r="AN1211" t="s">
        <v>32</v>
      </c>
      <c r="AO1211" t="s">
        <v>32</v>
      </c>
      <c r="AR1211">
        <v>0</v>
      </c>
      <c r="AU1211" t="s">
        <v>32</v>
      </c>
      <c r="AV1211">
        <v>2056650</v>
      </c>
      <c r="AW1211" t="s">
        <v>32</v>
      </c>
      <c r="AX1211" t="s">
        <v>32</v>
      </c>
      <c r="AY1211" t="s">
        <v>137</v>
      </c>
      <c r="AZ1211">
        <v>5</v>
      </c>
      <c r="BA1211">
        <v>577779</v>
      </c>
      <c r="BB1211">
        <v>0.15999999642372131</v>
      </c>
      <c r="BC1211">
        <v>92500</v>
      </c>
      <c r="BD1211" t="s">
        <v>31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92500</v>
      </c>
      <c r="BK1211" t="s">
        <v>25</v>
      </c>
      <c r="BL1211" t="s">
        <v>1010</v>
      </c>
      <c r="BM1211">
        <v>5</v>
      </c>
      <c r="BN1211">
        <v>577779</v>
      </c>
      <c r="BO1211">
        <v>3.9999999105930328E-2</v>
      </c>
      <c r="BP1211">
        <v>23200</v>
      </c>
      <c r="BQ1211">
        <v>0</v>
      </c>
      <c r="BS1211">
        <v>0</v>
      </c>
      <c r="BU1211">
        <v>0</v>
      </c>
      <c r="BV1211" t="s">
        <v>25</v>
      </c>
      <c r="BW1211" t="s">
        <v>189</v>
      </c>
      <c r="BX1211">
        <v>5</v>
      </c>
      <c r="BY1211">
        <v>577779</v>
      </c>
      <c r="BZ1211">
        <v>6.9600000977516174E-2</v>
      </c>
      <c r="CA1211" t="s">
        <v>1439</v>
      </c>
      <c r="CB1211" t="s">
        <v>312</v>
      </c>
      <c r="CC1211" t="s">
        <v>1440</v>
      </c>
      <c r="CD1211">
        <v>40300</v>
      </c>
      <c r="CE1211">
        <v>5</v>
      </c>
      <c r="CF1211" t="s">
        <v>466</v>
      </c>
      <c r="CG1211">
        <v>559021</v>
      </c>
      <c r="CH1211">
        <v>3.9999999105930328E-2</v>
      </c>
      <c r="CI1211">
        <v>22400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 t="s">
        <v>88</v>
      </c>
      <c r="CT1211" t="s">
        <v>142</v>
      </c>
      <c r="CU1211" t="s">
        <v>1442</v>
      </c>
    </row>
    <row r="1212" spans="1:99">
      <c r="A1212" t="s">
        <v>3047</v>
      </c>
      <c r="B1212" t="s">
        <v>34</v>
      </c>
      <c r="C1212" t="s">
        <v>2931</v>
      </c>
      <c r="D1212" t="s">
        <v>2932</v>
      </c>
      <c r="E1212" t="s">
        <v>1551</v>
      </c>
      <c r="F1212" t="s">
        <v>1802</v>
      </c>
      <c r="G1212" t="s">
        <v>1584</v>
      </c>
      <c r="H1212" t="s">
        <v>2341</v>
      </c>
      <c r="I1212" t="s">
        <v>240</v>
      </c>
      <c r="J1212" t="s">
        <v>46</v>
      </c>
      <c r="K1212" t="s">
        <v>29</v>
      </c>
      <c r="L1212" t="s">
        <v>30</v>
      </c>
      <c r="M1212">
        <v>204</v>
      </c>
      <c r="N1212" t="s">
        <v>32</v>
      </c>
      <c r="O1212" t="s">
        <v>32</v>
      </c>
      <c r="Q1212" t="s">
        <v>32</v>
      </c>
      <c r="S1212" t="s">
        <v>32</v>
      </c>
      <c r="U1212" t="s">
        <v>32</v>
      </c>
      <c r="V1212" t="s">
        <v>32</v>
      </c>
      <c r="W1212" t="s">
        <v>32</v>
      </c>
      <c r="X1212" t="s">
        <v>32</v>
      </c>
      <c r="Y1212" t="s">
        <v>32</v>
      </c>
      <c r="AA1212" t="s">
        <v>88</v>
      </c>
      <c r="AB1212" t="s">
        <v>32</v>
      </c>
      <c r="AE1212" t="s">
        <v>32</v>
      </c>
      <c r="AH1212" t="s">
        <v>32</v>
      </c>
      <c r="AK1212" t="s">
        <v>32</v>
      </c>
      <c r="AN1212" t="s">
        <v>32</v>
      </c>
      <c r="AO1212" t="s">
        <v>32</v>
      </c>
      <c r="AR1212">
        <v>0</v>
      </c>
      <c r="AU1212" t="s">
        <v>32</v>
      </c>
      <c r="AV1212">
        <v>2308750</v>
      </c>
      <c r="AW1212" t="s">
        <v>32</v>
      </c>
      <c r="AX1212" t="s">
        <v>32</v>
      </c>
      <c r="AY1212" t="s">
        <v>356</v>
      </c>
      <c r="AZ1212">
        <v>30</v>
      </c>
      <c r="BA1212">
        <v>2685886</v>
      </c>
      <c r="BB1212">
        <v>0.15999999642372131</v>
      </c>
      <c r="BC1212">
        <v>429800</v>
      </c>
      <c r="BD1212" t="s">
        <v>31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429800</v>
      </c>
      <c r="BK1212" t="s">
        <v>25</v>
      </c>
      <c r="BL1212" t="s">
        <v>1000</v>
      </c>
      <c r="BM1212">
        <v>30</v>
      </c>
      <c r="BN1212">
        <v>2685886</v>
      </c>
      <c r="BO1212">
        <v>3.9999999105930328E-2</v>
      </c>
      <c r="BP1212">
        <v>107500</v>
      </c>
      <c r="BQ1212">
        <v>0</v>
      </c>
      <c r="BS1212">
        <v>0</v>
      </c>
      <c r="BU1212">
        <v>0</v>
      </c>
      <c r="BV1212" t="s">
        <v>25</v>
      </c>
      <c r="BW1212" t="s">
        <v>189</v>
      </c>
      <c r="BX1212">
        <v>30</v>
      </c>
      <c r="BY1212">
        <v>2685886</v>
      </c>
      <c r="BZ1212">
        <v>6.9600000977516174E-2</v>
      </c>
      <c r="CA1212" t="s">
        <v>1439</v>
      </c>
      <c r="CB1212" t="s">
        <v>227</v>
      </c>
      <c r="CC1212" t="s">
        <v>1440</v>
      </c>
      <c r="CD1212">
        <v>187000</v>
      </c>
      <c r="CE1212">
        <v>30</v>
      </c>
      <c r="CF1212" t="s">
        <v>635</v>
      </c>
      <c r="CG1212">
        <v>2623579</v>
      </c>
      <c r="CH1212">
        <v>3.9999999105930328E-2</v>
      </c>
      <c r="CI1212">
        <v>105000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 t="s">
        <v>88</v>
      </c>
      <c r="CT1212" t="s">
        <v>142</v>
      </c>
      <c r="CU1212" t="s">
        <v>1442</v>
      </c>
    </row>
    <row r="1213" spans="1:99">
      <c r="A1213" t="s">
        <v>3047</v>
      </c>
      <c r="B1213" t="s">
        <v>34</v>
      </c>
      <c r="C1213" t="s">
        <v>2933</v>
      </c>
      <c r="D1213" t="s">
        <v>2934</v>
      </c>
      <c r="E1213" t="s">
        <v>1728</v>
      </c>
      <c r="F1213" t="s">
        <v>2935</v>
      </c>
      <c r="G1213" t="s">
        <v>1479</v>
      </c>
      <c r="H1213" t="s">
        <v>1437</v>
      </c>
      <c r="I1213" t="s">
        <v>240</v>
      </c>
      <c r="J1213" t="s">
        <v>46</v>
      </c>
      <c r="K1213" t="s">
        <v>29</v>
      </c>
      <c r="L1213" t="s">
        <v>30</v>
      </c>
      <c r="M1213">
        <v>0</v>
      </c>
      <c r="N1213" t="s">
        <v>32</v>
      </c>
      <c r="O1213" t="s">
        <v>32</v>
      </c>
      <c r="Q1213" t="s">
        <v>32</v>
      </c>
      <c r="S1213" t="s">
        <v>32</v>
      </c>
      <c r="U1213" t="s">
        <v>32</v>
      </c>
      <c r="V1213" t="s">
        <v>32</v>
      </c>
      <c r="W1213" t="s">
        <v>32</v>
      </c>
      <c r="X1213" t="s">
        <v>32</v>
      </c>
      <c r="Y1213" t="s">
        <v>32</v>
      </c>
      <c r="AA1213" t="s">
        <v>32</v>
      </c>
      <c r="AB1213" t="s">
        <v>37</v>
      </c>
      <c r="AC1213">
        <v>46054</v>
      </c>
      <c r="AD1213">
        <v>46055</v>
      </c>
      <c r="AE1213" t="s">
        <v>32</v>
      </c>
      <c r="AH1213" t="s">
        <v>32</v>
      </c>
      <c r="AK1213" t="s">
        <v>32</v>
      </c>
      <c r="AN1213" t="s">
        <v>32</v>
      </c>
      <c r="AO1213" t="s">
        <v>32</v>
      </c>
      <c r="AR1213">
        <v>0</v>
      </c>
      <c r="AU1213" t="s">
        <v>32</v>
      </c>
      <c r="AV1213">
        <v>2223339</v>
      </c>
      <c r="AW1213" t="s">
        <v>32</v>
      </c>
      <c r="AX1213" t="s">
        <v>32</v>
      </c>
      <c r="AY1213" t="s">
        <v>356</v>
      </c>
      <c r="AZ1213">
        <v>2</v>
      </c>
      <c r="BA1213">
        <v>148223</v>
      </c>
      <c r="BB1213">
        <v>0.15999999642372131</v>
      </c>
      <c r="BC1213">
        <v>23800</v>
      </c>
      <c r="BD1213" t="s">
        <v>31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23800</v>
      </c>
      <c r="BK1213" t="s">
        <v>25</v>
      </c>
      <c r="BL1213" t="s">
        <v>1064</v>
      </c>
      <c r="BM1213">
        <v>2</v>
      </c>
      <c r="BN1213">
        <v>148223</v>
      </c>
      <c r="BO1213">
        <v>0</v>
      </c>
      <c r="BP1213">
        <v>0</v>
      </c>
      <c r="BQ1213">
        <v>0</v>
      </c>
      <c r="BS1213">
        <v>0</v>
      </c>
      <c r="BU1213">
        <v>0</v>
      </c>
      <c r="BV1213" t="s">
        <v>25</v>
      </c>
      <c r="BW1213" t="s">
        <v>189</v>
      </c>
      <c r="BX1213">
        <v>2</v>
      </c>
      <c r="BY1213">
        <v>148223</v>
      </c>
      <c r="BZ1213">
        <v>0</v>
      </c>
      <c r="CA1213" t="s">
        <v>1439</v>
      </c>
      <c r="CB1213" t="s">
        <v>227</v>
      </c>
      <c r="CC1213" t="s">
        <v>1440</v>
      </c>
      <c r="CD1213">
        <v>0</v>
      </c>
      <c r="CE1213">
        <v>2</v>
      </c>
      <c r="CF1213" t="s">
        <v>635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 t="s">
        <v>88</v>
      </c>
      <c r="CT1213" t="s">
        <v>142</v>
      </c>
      <c r="CU1213" t="s">
        <v>1442</v>
      </c>
    </row>
    <row r="1214" spans="1:99">
      <c r="A1214" t="s">
        <v>3047</v>
      </c>
      <c r="B1214" t="s">
        <v>34</v>
      </c>
      <c r="C1214" t="s">
        <v>2933</v>
      </c>
      <c r="D1214" t="s">
        <v>2934</v>
      </c>
      <c r="E1214" t="s">
        <v>1728</v>
      </c>
      <c r="F1214" t="s">
        <v>2935</v>
      </c>
      <c r="G1214" t="s">
        <v>1479</v>
      </c>
      <c r="H1214" t="s">
        <v>1437</v>
      </c>
      <c r="I1214" t="s">
        <v>240</v>
      </c>
      <c r="J1214" t="s">
        <v>46</v>
      </c>
      <c r="K1214" t="s">
        <v>29</v>
      </c>
      <c r="L1214" t="s">
        <v>30</v>
      </c>
      <c r="M1214">
        <v>210</v>
      </c>
      <c r="N1214" t="s">
        <v>32</v>
      </c>
      <c r="O1214" t="s">
        <v>32</v>
      </c>
      <c r="Q1214" t="s">
        <v>32</v>
      </c>
      <c r="S1214" t="s">
        <v>32</v>
      </c>
      <c r="U1214" t="s">
        <v>32</v>
      </c>
      <c r="V1214" t="s">
        <v>32</v>
      </c>
      <c r="W1214" t="s">
        <v>32</v>
      </c>
      <c r="X1214" t="s">
        <v>32</v>
      </c>
      <c r="Y1214" t="s">
        <v>32</v>
      </c>
      <c r="AA1214" t="s">
        <v>88</v>
      </c>
      <c r="AB1214" t="s">
        <v>32</v>
      </c>
      <c r="AE1214" t="s">
        <v>32</v>
      </c>
      <c r="AH1214" t="s">
        <v>32</v>
      </c>
      <c r="AK1214" t="s">
        <v>32</v>
      </c>
      <c r="AN1214" t="s">
        <v>32</v>
      </c>
      <c r="AO1214" t="s">
        <v>32</v>
      </c>
      <c r="AR1214">
        <v>0</v>
      </c>
      <c r="AU1214" t="s">
        <v>32</v>
      </c>
      <c r="AV1214">
        <v>2223339</v>
      </c>
      <c r="AW1214" t="s">
        <v>32</v>
      </c>
      <c r="AX1214" t="s">
        <v>32</v>
      </c>
      <c r="AY1214" t="s">
        <v>356</v>
      </c>
      <c r="AZ1214">
        <v>28</v>
      </c>
      <c r="BA1214">
        <v>2854296</v>
      </c>
      <c r="BB1214">
        <v>0.15999999642372131</v>
      </c>
      <c r="BC1214">
        <v>456700</v>
      </c>
      <c r="BD1214" t="s">
        <v>31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456700</v>
      </c>
      <c r="BK1214" t="s">
        <v>25</v>
      </c>
      <c r="BL1214" t="s">
        <v>1064</v>
      </c>
      <c r="BM1214">
        <v>28</v>
      </c>
      <c r="BN1214">
        <v>2854296</v>
      </c>
      <c r="BO1214">
        <v>3.9999999105930328E-2</v>
      </c>
      <c r="BP1214">
        <v>114200</v>
      </c>
      <c r="BQ1214">
        <v>0</v>
      </c>
      <c r="BS1214">
        <v>0</v>
      </c>
      <c r="BU1214">
        <v>0</v>
      </c>
      <c r="BV1214" t="s">
        <v>25</v>
      </c>
      <c r="BW1214" t="s">
        <v>189</v>
      </c>
      <c r="BX1214">
        <v>28</v>
      </c>
      <c r="BY1214">
        <v>2854296</v>
      </c>
      <c r="BZ1214">
        <v>6.9600000977516174E-2</v>
      </c>
      <c r="CA1214" t="s">
        <v>1439</v>
      </c>
      <c r="CB1214" t="s">
        <v>227</v>
      </c>
      <c r="CC1214" t="s">
        <v>1440</v>
      </c>
      <c r="CD1214">
        <v>198700</v>
      </c>
      <c r="CE1214">
        <v>28</v>
      </c>
      <c r="CF1214" t="s">
        <v>635</v>
      </c>
      <c r="CG1214">
        <v>2854296</v>
      </c>
      <c r="CH1214">
        <v>3.9999999105930328E-2</v>
      </c>
      <c r="CI1214">
        <v>114200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 t="s">
        <v>88</v>
      </c>
      <c r="CT1214" t="s">
        <v>142</v>
      </c>
      <c r="CU1214" t="s">
        <v>1442</v>
      </c>
    </row>
    <row r="1215" spans="1:99">
      <c r="A1215" t="s">
        <v>3047</v>
      </c>
      <c r="B1215" t="s">
        <v>34</v>
      </c>
      <c r="C1215" t="s">
        <v>2936</v>
      </c>
      <c r="D1215" t="s">
        <v>2937</v>
      </c>
      <c r="E1215" t="s">
        <v>2403</v>
      </c>
      <c r="F1215" t="s">
        <v>1924</v>
      </c>
      <c r="G1215" t="s">
        <v>1798</v>
      </c>
      <c r="H1215" t="s">
        <v>1437</v>
      </c>
      <c r="I1215" t="s">
        <v>240</v>
      </c>
      <c r="J1215" t="s">
        <v>46</v>
      </c>
      <c r="K1215" t="s">
        <v>29</v>
      </c>
      <c r="L1215" t="s">
        <v>30</v>
      </c>
      <c r="M1215">
        <v>218</v>
      </c>
      <c r="N1215" t="s">
        <v>32</v>
      </c>
      <c r="O1215" t="s">
        <v>32</v>
      </c>
      <c r="Q1215" t="s">
        <v>32</v>
      </c>
      <c r="S1215" t="s">
        <v>32</v>
      </c>
      <c r="U1215" t="s">
        <v>32</v>
      </c>
      <c r="V1215" t="s">
        <v>32</v>
      </c>
      <c r="W1215" t="s">
        <v>32</v>
      </c>
      <c r="X1215" t="s">
        <v>32</v>
      </c>
      <c r="Y1215" t="s">
        <v>32</v>
      </c>
      <c r="AA1215" t="s">
        <v>88</v>
      </c>
      <c r="AB1215" t="s">
        <v>32</v>
      </c>
      <c r="AE1215" t="s">
        <v>32</v>
      </c>
      <c r="AH1215" t="s">
        <v>32</v>
      </c>
      <c r="AK1215" t="s">
        <v>32</v>
      </c>
      <c r="AN1215" t="s">
        <v>32</v>
      </c>
      <c r="AO1215" t="s">
        <v>32</v>
      </c>
      <c r="AR1215">
        <v>0</v>
      </c>
      <c r="AU1215" t="s">
        <v>32</v>
      </c>
      <c r="AV1215">
        <v>2970185</v>
      </c>
      <c r="AW1215" t="s">
        <v>32</v>
      </c>
      <c r="AX1215" t="s">
        <v>32</v>
      </c>
      <c r="AY1215" t="s">
        <v>185</v>
      </c>
      <c r="AZ1215">
        <v>30</v>
      </c>
      <c r="BA1215">
        <v>4337067</v>
      </c>
      <c r="BB1215">
        <v>0.15999999642372131</v>
      </c>
      <c r="BC1215">
        <v>694000</v>
      </c>
      <c r="BD1215" t="s">
        <v>31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694000</v>
      </c>
      <c r="BK1215" t="s">
        <v>25</v>
      </c>
      <c r="BL1215" t="s">
        <v>1000</v>
      </c>
      <c r="BM1215">
        <v>30</v>
      </c>
      <c r="BN1215">
        <v>4337067</v>
      </c>
      <c r="BO1215">
        <v>3.9999999105930328E-2</v>
      </c>
      <c r="BP1215">
        <v>173500</v>
      </c>
      <c r="BQ1215">
        <v>0</v>
      </c>
      <c r="BS1215">
        <v>0</v>
      </c>
      <c r="BU1215">
        <v>0</v>
      </c>
      <c r="BV1215" t="s">
        <v>25</v>
      </c>
      <c r="BW1215" t="s">
        <v>189</v>
      </c>
      <c r="BX1215">
        <v>30</v>
      </c>
      <c r="BY1215">
        <v>4337067</v>
      </c>
      <c r="BZ1215">
        <v>6.9600000977516174E-2</v>
      </c>
      <c r="CA1215" t="s">
        <v>1439</v>
      </c>
      <c r="CB1215" t="s">
        <v>227</v>
      </c>
      <c r="CC1215" t="s">
        <v>1440</v>
      </c>
      <c r="CD1215">
        <v>301900</v>
      </c>
      <c r="CE1215">
        <v>30</v>
      </c>
      <c r="CF1215" t="s">
        <v>635</v>
      </c>
      <c r="CG1215">
        <v>4028022</v>
      </c>
      <c r="CH1215">
        <v>3.9999999105930328E-2</v>
      </c>
      <c r="CI1215">
        <v>161200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 t="s">
        <v>88</v>
      </c>
      <c r="CT1215" t="s">
        <v>142</v>
      </c>
      <c r="CU1215" t="s">
        <v>1442</v>
      </c>
    </row>
    <row r="1216" spans="1:99">
      <c r="A1216" t="s">
        <v>3047</v>
      </c>
      <c r="B1216" t="s">
        <v>34</v>
      </c>
      <c r="C1216" t="s">
        <v>2938</v>
      </c>
      <c r="D1216" t="s">
        <v>2939</v>
      </c>
      <c r="E1216" t="s">
        <v>2940</v>
      </c>
      <c r="F1216" t="s">
        <v>2941</v>
      </c>
      <c r="G1216" t="s">
        <v>2942</v>
      </c>
      <c r="H1216" t="s">
        <v>1558</v>
      </c>
      <c r="I1216" t="s">
        <v>682</v>
      </c>
      <c r="J1216" t="s">
        <v>484</v>
      </c>
      <c r="K1216" t="s">
        <v>29</v>
      </c>
      <c r="L1216" t="s">
        <v>30</v>
      </c>
      <c r="M1216">
        <v>172</v>
      </c>
      <c r="N1216" t="s">
        <v>32</v>
      </c>
      <c r="O1216" t="s">
        <v>32</v>
      </c>
      <c r="Q1216" t="s">
        <v>32</v>
      </c>
      <c r="S1216" t="s">
        <v>40</v>
      </c>
      <c r="T1216">
        <v>46076</v>
      </c>
      <c r="U1216" t="s">
        <v>32</v>
      </c>
      <c r="V1216" t="s">
        <v>32</v>
      </c>
      <c r="W1216" t="s">
        <v>32</v>
      </c>
      <c r="X1216" t="s">
        <v>32</v>
      </c>
      <c r="Y1216" t="s">
        <v>32</v>
      </c>
      <c r="AA1216" t="s">
        <v>88</v>
      </c>
      <c r="AB1216" t="s">
        <v>32</v>
      </c>
      <c r="AE1216" t="s">
        <v>32</v>
      </c>
      <c r="AH1216" t="s">
        <v>32</v>
      </c>
      <c r="AK1216" t="s">
        <v>32</v>
      </c>
      <c r="AN1216" t="s">
        <v>32</v>
      </c>
      <c r="AO1216" t="s">
        <v>32</v>
      </c>
      <c r="AR1216">
        <v>0</v>
      </c>
      <c r="AU1216" t="s">
        <v>32</v>
      </c>
      <c r="AV1216">
        <v>2539029</v>
      </c>
      <c r="AW1216" t="s">
        <v>32</v>
      </c>
      <c r="AX1216" t="s">
        <v>32</v>
      </c>
      <c r="AY1216" t="s">
        <v>317</v>
      </c>
      <c r="AZ1216">
        <v>23</v>
      </c>
      <c r="BA1216">
        <v>2558768</v>
      </c>
      <c r="BB1216">
        <v>0.15999999642372131</v>
      </c>
      <c r="BC1216">
        <v>409500</v>
      </c>
      <c r="BD1216" t="s">
        <v>31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409500</v>
      </c>
      <c r="BK1216" t="s">
        <v>25</v>
      </c>
      <c r="BL1216" t="s">
        <v>1000</v>
      </c>
      <c r="BM1216">
        <v>23</v>
      </c>
      <c r="BN1216">
        <v>2558768</v>
      </c>
      <c r="BO1216">
        <v>3.9999999105930328E-2</v>
      </c>
      <c r="BP1216">
        <v>102400</v>
      </c>
      <c r="BQ1216">
        <v>0</v>
      </c>
      <c r="BS1216">
        <v>0</v>
      </c>
      <c r="BU1216">
        <v>0</v>
      </c>
      <c r="BV1216" t="s">
        <v>25</v>
      </c>
      <c r="BW1216" t="s">
        <v>189</v>
      </c>
      <c r="BX1216">
        <v>23</v>
      </c>
      <c r="BY1216">
        <v>2558768</v>
      </c>
      <c r="BZ1216">
        <v>6.9600000977516174E-2</v>
      </c>
      <c r="CA1216" t="s">
        <v>1439</v>
      </c>
      <c r="CB1216" t="s">
        <v>312</v>
      </c>
      <c r="CC1216" t="s">
        <v>1440</v>
      </c>
      <c r="CD1216">
        <v>178100</v>
      </c>
      <c r="CE1216">
        <v>23</v>
      </c>
      <c r="CF1216" t="s">
        <v>466</v>
      </c>
      <c r="CG1216">
        <v>2640046</v>
      </c>
      <c r="CH1216">
        <v>3.9999999105930328E-2</v>
      </c>
      <c r="CI1216">
        <v>105700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 t="s">
        <v>88</v>
      </c>
      <c r="CT1216" t="s">
        <v>142</v>
      </c>
      <c r="CU1216" t="s">
        <v>1442</v>
      </c>
    </row>
    <row r="1217" spans="1:99">
      <c r="A1217" t="s">
        <v>3047</v>
      </c>
      <c r="B1217" t="s">
        <v>34</v>
      </c>
      <c r="C1217" t="s">
        <v>2943</v>
      </c>
      <c r="D1217" t="s">
        <v>2944</v>
      </c>
      <c r="E1217" t="s">
        <v>1629</v>
      </c>
      <c r="F1217" t="s">
        <v>1753</v>
      </c>
      <c r="G1217" t="s">
        <v>1766</v>
      </c>
      <c r="H1217" t="s">
        <v>1489</v>
      </c>
      <c r="I1217" t="s">
        <v>240</v>
      </c>
      <c r="J1217" t="s">
        <v>46</v>
      </c>
      <c r="K1217" t="s">
        <v>29</v>
      </c>
      <c r="L1217" t="s">
        <v>30</v>
      </c>
      <c r="M1217">
        <v>28</v>
      </c>
      <c r="N1217" t="s">
        <v>32</v>
      </c>
      <c r="O1217" t="s">
        <v>32</v>
      </c>
      <c r="Q1217" t="s">
        <v>32</v>
      </c>
      <c r="S1217" t="s">
        <v>40</v>
      </c>
      <c r="T1217">
        <v>46056</v>
      </c>
      <c r="U1217" t="s">
        <v>32</v>
      </c>
      <c r="V1217" t="s">
        <v>32</v>
      </c>
      <c r="W1217" t="s">
        <v>32</v>
      </c>
      <c r="X1217" t="s">
        <v>32</v>
      </c>
      <c r="Y1217" t="s">
        <v>32</v>
      </c>
      <c r="AA1217" t="s">
        <v>88</v>
      </c>
      <c r="AB1217" t="s">
        <v>32</v>
      </c>
      <c r="AE1217" t="s">
        <v>32</v>
      </c>
      <c r="AH1217" t="s">
        <v>32</v>
      </c>
      <c r="AK1217" t="s">
        <v>32</v>
      </c>
      <c r="AN1217" t="s">
        <v>32</v>
      </c>
      <c r="AO1217" t="s">
        <v>32</v>
      </c>
      <c r="AR1217">
        <v>0</v>
      </c>
      <c r="AU1217" t="s">
        <v>32</v>
      </c>
      <c r="AV1217">
        <v>2223339</v>
      </c>
      <c r="AW1217" t="s">
        <v>32</v>
      </c>
      <c r="AX1217" t="s">
        <v>32</v>
      </c>
      <c r="AY1217" t="s">
        <v>356</v>
      </c>
      <c r="AZ1217">
        <v>3</v>
      </c>
      <c r="BA1217">
        <v>653978</v>
      </c>
      <c r="BB1217">
        <v>0.15999999642372131</v>
      </c>
      <c r="BC1217">
        <v>104700</v>
      </c>
      <c r="BD1217" t="s">
        <v>31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104700</v>
      </c>
      <c r="BK1217" t="s">
        <v>25</v>
      </c>
      <c r="BL1217" t="s">
        <v>1064</v>
      </c>
      <c r="BM1217">
        <v>3</v>
      </c>
      <c r="BN1217">
        <v>653978</v>
      </c>
      <c r="BO1217">
        <v>3.9999999105930328E-2</v>
      </c>
      <c r="BP1217">
        <v>26200</v>
      </c>
      <c r="BQ1217">
        <v>0</v>
      </c>
      <c r="BS1217">
        <v>0</v>
      </c>
      <c r="BU1217">
        <v>0</v>
      </c>
      <c r="BV1217" t="s">
        <v>25</v>
      </c>
      <c r="BW1217" t="s">
        <v>189</v>
      </c>
      <c r="BX1217">
        <v>3</v>
      </c>
      <c r="BY1217">
        <v>653978</v>
      </c>
      <c r="BZ1217">
        <v>6.9600000977516174E-2</v>
      </c>
      <c r="CA1217" t="s">
        <v>1439</v>
      </c>
      <c r="CB1217" t="s">
        <v>227</v>
      </c>
      <c r="CC1217" t="s">
        <v>1440</v>
      </c>
      <c r="CD1217">
        <v>45600</v>
      </c>
      <c r="CE1217">
        <v>3</v>
      </c>
      <c r="CF1217" t="s">
        <v>635</v>
      </c>
      <c r="CG1217">
        <v>583808</v>
      </c>
      <c r="CH1217">
        <v>3.9999999105930328E-2</v>
      </c>
      <c r="CI1217">
        <v>23400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 t="s">
        <v>88</v>
      </c>
      <c r="CT1217" t="s">
        <v>142</v>
      </c>
      <c r="CU1217" t="s">
        <v>1442</v>
      </c>
    </row>
    <row r="1218" spans="1:99">
      <c r="A1218" t="s">
        <v>3047</v>
      </c>
      <c r="B1218" t="s">
        <v>34</v>
      </c>
      <c r="C1218" t="s">
        <v>2945</v>
      </c>
      <c r="D1218" t="s">
        <v>2946</v>
      </c>
      <c r="E1218" t="s">
        <v>2108</v>
      </c>
      <c r="F1218" t="s">
        <v>842</v>
      </c>
      <c r="G1218" t="s">
        <v>1781</v>
      </c>
      <c r="H1218" t="s">
        <v>1558</v>
      </c>
      <c r="I1218" t="s">
        <v>99</v>
      </c>
      <c r="J1218" t="s">
        <v>226</v>
      </c>
      <c r="K1218" t="s">
        <v>29</v>
      </c>
      <c r="L1218" t="s">
        <v>30</v>
      </c>
      <c r="M1218">
        <v>0</v>
      </c>
      <c r="N1218" t="s">
        <v>32</v>
      </c>
      <c r="O1218" t="s">
        <v>32</v>
      </c>
      <c r="Q1218" t="s">
        <v>32</v>
      </c>
      <c r="S1218" t="s">
        <v>32</v>
      </c>
      <c r="U1218" t="s">
        <v>32</v>
      </c>
      <c r="V1218" t="s">
        <v>32</v>
      </c>
      <c r="W1218" t="s">
        <v>32</v>
      </c>
      <c r="X1218" t="s">
        <v>32</v>
      </c>
      <c r="Y1218" t="s">
        <v>32</v>
      </c>
      <c r="AA1218" t="s">
        <v>32</v>
      </c>
      <c r="AB1218" t="s">
        <v>32</v>
      </c>
      <c r="AE1218" t="s">
        <v>32</v>
      </c>
      <c r="AH1218" t="s">
        <v>32</v>
      </c>
      <c r="AK1218" t="s">
        <v>128</v>
      </c>
      <c r="AL1218">
        <v>46054</v>
      </c>
      <c r="AM1218">
        <v>46081</v>
      </c>
      <c r="AN1218" t="s">
        <v>32</v>
      </c>
      <c r="AO1218" t="s">
        <v>32</v>
      </c>
      <c r="AR1218">
        <v>0</v>
      </c>
      <c r="AU1218" t="s">
        <v>32</v>
      </c>
      <c r="AV1218">
        <v>1810000</v>
      </c>
      <c r="AW1218" t="s">
        <v>32</v>
      </c>
      <c r="AX1218" t="s">
        <v>32</v>
      </c>
      <c r="AY1218" t="s">
        <v>185</v>
      </c>
      <c r="AZ1218">
        <v>30</v>
      </c>
      <c r="BA1218">
        <v>1810000</v>
      </c>
      <c r="BB1218">
        <v>0.15999999642372131</v>
      </c>
      <c r="BC1218">
        <v>289600</v>
      </c>
      <c r="BD1218" t="s">
        <v>31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289600</v>
      </c>
      <c r="BK1218" t="s">
        <v>25</v>
      </c>
      <c r="BL1218" t="s">
        <v>1071</v>
      </c>
      <c r="BM1218">
        <v>30</v>
      </c>
      <c r="BN1218">
        <v>1810000</v>
      </c>
      <c r="BO1218">
        <v>3.9999999105930328E-2</v>
      </c>
      <c r="BP1218">
        <v>72400</v>
      </c>
      <c r="BQ1218">
        <v>0</v>
      </c>
      <c r="BS1218">
        <v>0</v>
      </c>
      <c r="BU1218">
        <v>0</v>
      </c>
      <c r="BV1218" t="s">
        <v>25</v>
      </c>
      <c r="BW1218" t="s">
        <v>189</v>
      </c>
      <c r="BX1218">
        <v>30</v>
      </c>
      <c r="BY1218">
        <v>1810000</v>
      </c>
      <c r="BZ1218">
        <v>0</v>
      </c>
      <c r="CA1218" t="s">
        <v>1592</v>
      </c>
      <c r="CB1218" t="s">
        <v>389</v>
      </c>
      <c r="CC1218" t="s">
        <v>1593</v>
      </c>
      <c r="CD1218">
        <v>0</v>
      </c>
      <c r="CE1218">
        <v>30</v>
      </c>
      <c r="CF1218" t="s">
        <v>749</v>
      </c>
      <c r="CG1218">
        <v>1810000</v>
      </c>
      <c r="CH1218">
        <v>3.9999999105930328E-2</v>
      </c>
      <c r="CI1218">
        <v>72400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 t="s">
        <v>88</v>
      </c>
      <c r="CT1218" t="s">
        <v>142</v>
      </c>
      <c r="CU1218" t="s">
        <v>1442</v>
      </c>
    </row>
    <row r="1219" spans="1:99">
      <c r="A1219" t="s">
        <v>3047</v>
      </c>
      <c r="B1219" t="s">
        <v>34</v>
      </c>
      <c r="C1219" t="s">
        <v>2947</v>
      </c>
      <c r="D1219" t="s">
        <v>2948</v>
      </c>
      <c r="E1219" t="s">
        <v>1643</v>
      </c>
      <c r="F1219" t="s">
        <v>2949</v>
      </c>
      <c r="G1219" t="s">
        <v>2440</v>
      </c>
      <c r="H1219" t="s">
        <v>1558</v>
      </c>
      <c r="I1219" t="s">
        <v>240</v>
      </c>
      <c r="J1219" t="s">
        <v>46</v>
      </c>
      <c r="K1219" t="s">
        <v>29</v>
      </c>
      <c r="L1219" t="s">
        <v>30</v>
      </c>
      <c r="M1219">
        <v>216</v>
      </c>
      <c r="N1219" t="s">
        <v>32</v>
      </c>
      <c r="O1219" t="s">
        <v>32</v>
      </c>
      <c r="Q1219" t="s">
        <v>32</v>
      </c>
      <c r="S1219" t="s">
        <v>32</v>
      </c>
      <c r="U1219" t="s">
        <v>32</v>
      </c>
      <c r="V1219" t="s">
        <v>32</v>
      </c>
      <c r="W1219" t="s">
        <v>32</v>
      </c>
      <c r="X1219" t="s">
        <v>32</v>
      </c>
      <c r="Y1219" t="s">
        <v>32</v>
      </c>
      <c r="AA1219" t="s">
        <v>88</v>
      </c>
      <c r="AB1219" t="s">
        <v>32</v>
      </c>
      <c r="AE1219" t="s">
        <v>32</v>
      </c>
      <c r="AH1219" t="s">
        <v>32</v>
      </c>
      <c r="AK1219" t="s">
        <v>32</v>
      </c>
      <c r="AN1219" t="s">
        <v>32</v>
      </c>
      <c r="AO1219" t="s">
        <v>32</v>
      </c>
      <c r="AR1219">
        <v>0</v>
      </c>
      <c r="AU1219" t="s">
        <v>32</v>
      </c>
      <c r="AV1219">
        <v>2223339</v>
      </c>
      <c r="AW1219" t="s">
        <v>32</v>
      </c>
      <c r="AX1219" t="s">
        <v>32</v>
      </c>
      <c r="AY1219" t="s">
        <v>185</v>
      </c>
      <c r="AZ1219">
        <v>30</v>
      </c>
      <c r="BA1219">
        <v>2713687</v>
      </c>
      <c r="BB1219">
        <v>0.15999999642372131</v>
      </c>
      <c r="BC1219">
        <v>434200</v>
      </c>
      <c r="BD1219" t="s">
        <v>31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434200</v>
      </c>
      <c r="BK1219" t="s">
        <v>25</v>
      </c>
      <c r="BL1219" t="s">
        <v>1071</v>
      </c>
      <c r="BM1219">
        <v>30</v>
      </c>
      <c r="BN1219">
        <v>2713687</v>
      </c>
      <c r="BO1219">
        <v>3.9999999105930328E-2</v>
      </c>
      <c r="BP1219">
        <v>108600</v>
      </c>
      <c r="BQ1219">
        <v>0</v>
      </c>
      <c r="BS1219">
        <v>0</v>
      </c>
      <c r="BU1219">
        <v>0</v>
      </c>
      <c r="BV1219" t="s">
        <v>25</v>
      </c>
      <c r="BW1219" t="s">
        <v>189</v>
      </c>
      <c r="BX1219">
        <v>30</v>
      </c>
      <c r="BY1219">
        <v>2713687</v>
      </c>
      <c r="BZ1219">
        <v>6.9600000977516174E-2</v>
      </c>
      <c r="CA1219" t="s">
        <v>1439</v>
      </c>
      <c r="CB1219" t="s">
        <v>227</v>
      </c>
      <c r="CC1219" t="s">
        <v>1440</v>
      </c>
      <c r="CD1219">
        <v>188900</v>
      </c>
      <c r="CE1219">
        <v>30</v>
      </c>
      <c r="CF1219" t="s">
        <v>635</v>
      </c>
      <c r="CG1219">
        <v>2713687</v>
      </c>
      <c r="CH1219">
        <v>3.9999999105930328E-2</v>
      </c>
      <c r="CI1219">
        <v>108600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 t="s">
        <v>88</v>
      </c>
      <c r="CT1219" t="s">
        <v>142</v>
      </c>
      <c r="CU1219" t="s">
        <v>1442</v>
      </c>
    </row>
    <row r="1220" spans="1:99">
      <c r="A1220" t="s">
        <v>3047</v>
      </c>
      <c r="B1220" t="s">
        <v>34</v>
      </c>
      <c r="C1220" t="s">
        <v>2950</v>
      </c>
      <c r="D1220" t="s">
        <v>2951</v>
      </c>
      <c r="E1220" t="s">
        <v>1823</v>
      </c>
      <c r="F1220" t="s">
        <v>1913</v>
      </c>
      <c r="G1220" t="s">
        <v>2741</v>
      </c>
      <c r="H1220" t="s">
        <v>1558</v>
      </c>
      <c r="I1220" t="s">
        <v>203</v>
      </c>
      <c r="J1220" t="s">
        <v>403</v>
      </c>
      <c r="K1220" t="s">
        <v>29</v>
      </c>
      <c r="L1220" t="s">
        <v>30</v>
      </c>
      <c r="M1220">
        <v>205</v>
      </c>
      <c r="N1220" t="s">
        <v>32</v>
      </c>
      <c r="O1220" t="s">
        <v>32</v>
      </c>
      <c r="Q1220" t="s">
        <v>32</v>
      </c>
      <c r="S1220" t="s">
        <v>32</v>
      </c>
      <c r="U1220" t="s">
        <v>32</v>
      </c>
      <c r="V1220" t="s">
        <v>32</v>
      </c>
      <c r="W1220" t="s">
        <v>32</v>
      </c>
      <c r="X1220" t="s">
        <v>32</v>
      </c>
      <c r="Y1220" t="s">
        <v>88</v>
      </c>
      <c r="Z1220">
        <v>46054</v>
      </c>
      <c r="AA1220" t="s">
        <v>88</v>
      </c>
      <c r="AB1220" t="s">
        <v>32</v>
      </c>
      <c r="AE1220" t="s">
        <v>32</v>
      </c>
      <c r="AH1220" t="s">
        <v>32</v>
      </c>
      <c r="AK1220" t="s">
        <v>32</v>
      </c>
      <c r="AN1220" t="s">
        <v>32</v>
      </c>
      <c r="AO1220" t="s">
        <v>32</v>
      </c>
      <c r="AR1220">
        <v>0</v>
      </c>
      <c r="AU1220" t="s">
        <v>32</v>
      </c>
      <c r="AV1220">
        <v>2308750</v>
      </c>
      <c r="AW1220" t="s">
        <v>32</v>
      </c>
      <c r="AX1220" t="s">
        <v>32</v>
      </c>
      <c r="AY1220" t="s">
        <v>185</v>
      </c>
      <c r="AZ1220">
        <v>30</v>
      </c>
      <c r="BA1220">
        <v>2703357</v>
      </c>
      <c r="BB1220">
        <v>0.15999999642372131</v>
      </c>
      <c r="BC1220">
        <v>432600</v>
      </c>
      <c r="BD1220" t="s">
        <v>31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432600</v>
      </c>
      <c r="BK1220" t="s">
        <v>25</v>
      </c>
      <c r="BL1220" t="s">
        <v>1000</v>
      </c>
      <c r="BM1220">
        <v>30</v>
      </c>
      <c r="BN1220">
        <v>2703357</v>
      </c>
      <c r="BO1220">
        <v>3.9999999105930328E-2</v>
      </c>
      <c r="BP1220">
        <v>108200</v>
      </c>
      <c r="BQ1220">
        <v>0</v>
      </c>
      <c r="BS1220">
        <v>0</v>
      </c>
      <c r="BU1220">
        <v>0</v>
      </c>
      <c r="BV1220" t="s">
        <v>25</v>
      </c>
      <c r="BW1220" t="s">
        <v>189</v>
      </c>
      <c r="BX1220">
        <v>30</v>
      </c>
      <c r="BY1220">
        <v>2703357</v>
      </c>
      <c r="BZ1220">
        <v>6.9600000977516174E-2</v>
      </c>
      <c r="CA1220" t="s">
        <v>1439</v>
      </c>
      <c r="CB1220" t="s">
        <v>609</v>
      </c>
      <c r="CC1220" t="s">
        <v>1440</v>
      </c>
      <c r="CD1220">
        <v>188200</v>
      </c>
      <c r="CE1220">
        <v>30</v>
      </c>
      <c r="CF1220" t="s">
        <v>1001</v>
      </c>
      <c r="CG1220">
        <v>2636697</v>
      </c>
      <c r="CH1220">
        <v>3.9999999105930328E-2</v>
      </c>
      <c r="CI1220">
        <v>105500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 t="s">
        <v>88</v>
      </c>
      <c r="CT1220" t="s">
        <v>142</v>
      </c>
      <c r="CU1220" t="s">
        <v>1442</v>
      </c>
    </row>
    <row r="1221" spans="1:99">
      <c r="A1221" t="s">
        <v>3047</v>
      </c>
      <c r="B1221" t="s">
        <v>34</v>
      </c>
      <c r="C1221" t="s">
        <v>2952</v>
      </c>
      <c r="D1221" t="s">
        <v>2953</v>
      </c>
      <c r="E1221" t="s">
        <v>1535</v>
      </c>
      <c r="F1221" t="s">
        <v>1526</v>
      </c>
      <c r="G1221" t="s">
        <v>1631</v>
      </c>
      <c r="H1221" t="s">
        <v>1558</v>
      </c>
      <c r="I1221" t="s">
        <v>240</v>
      </c>
      <c r="J1221" t="s">
        <v>46</v>
      </c>
      <c r="K1221" t="s">
        <v>29</v>
      </c>
      <c r="L1221" t="s">
        <v>30</v>
      </c>
      <c r="M1221">
        <v>188</v>
      </c>
      <c r="N1221" t="s">
        <v>32</v>
      </c>
      <c r="O1221" t="s">
        <v>32</v>
      </c>
      <c r="Q1221" t="s">
        <v>32</v>
      </c>
      <c r="S1221" t="s">
        <v>32</v>
      </c>
      <c r="U1221" t="s">
        <v>32</v>
      </c>
      <c r="V1221" t="s">
        <v>32</v>
      </c>
      <c r="W1221" t="s">
        <v>32</v>
      </c>
      <c r="X1221" t="s">
        <v>32</v>
      </c>
      <c r="Y1221" t="s">
        <v>32</v>
      </c>
      <c r="AA1221" t="s">
        <v>88</v>
      </c>
      <c r="AB1221" t="s">
        <v>32</v>
      </c>
      <c r="AE1221" t="s">
        <v>32</v>
      </c>
      <c r="AH1221" t="s">
        <v>32</v>
      </c>
      <c r="AK1221" t="s">
        <v>32</v>
      </c>
      <c r="AN1221" t="s">
        <v>32</v>
      </c>
      <c r="AO1221" t="s">
        <v>32</v>
      </c>
      <c r="AR1221">
        <v>0</v>
      </c>
      <c r="AU1221" t="s">
        <v>32</v>
      </c>
      <c r="AV1221">
        <v>16882380</v>
      </c>
      <c r="AW1221" t="s">
        <v>32</v>
      </c>
      <c r="AX1221" t="s">
        <v>32</v>
      </c>
      <c r="AY1221" t="s">
        <v>185</v>
      </c>
      <c r="AZ1221">
        <v>30</v>
      </c>
      <c r="BA1221">
        <v>16882380</v>
      </c>
      <c r="BB1221">
        <v>0.15999999642372131</v>
      </c>
      <c r="BC1221">
        <v>2701200</v>
      </c>
      <c r="BD1221" t="s">
        <v>31</v>
      </c>
      <c r="BE1221">
        <v>0</v>
      </c>
      <c r="BF1221">
        <v>0</v>
      </c>
      <c r="BG1221">
        <v>84500</v>
      </c>
      <c r="BH1221">
        <v>84500</v>
      </c>
      <c r="BI1221">
        <v>0</v>
      </c>
      <c r="BJ1221">
        <v>2870200</v>
      </c>
      <c r="BK1221" t="s">
        <v>25</v>
      </c>
      <c r="BL1221" t="s">
        <v>1071</v>
      </c>
      <c r="BM1221">
        <v>30</v>
      </c>
      <c r="BN1221">
        <v>16882380</v>
      </c>
      <c r="BO1221">
        <v>0.125</v>
      </c>
      <c r="BP1221">
        <v>2110300</v>
      </c>
      <c r="BQ1221">
        <v>0</v>
      </c>
      <c r="BS1221">
        <v>0</v>
      </c>
      <c r="BU1221">
        <v>0</v>
      </c>
      <c r="BV1221" t="s">
        <v>25</v>
      </c>
      <c r="BW1221" t="s">
        <v>189</v>
      </c>
      <c r="BX1221">
        <v>30</v>
      </c>
      <c r="BY1221">
        <v>16882380</v>
      </c>
      <c r="BZ1221">
        <v>5.2200001664459705E-3</v>
      </c>
      <c r="CA1221" t="s">
        <v>1592</v>
      </c>
      <c r="CB1221" t="s">
        <v>227</v>
      </c>
      <c r="CC1221" t="s">
        <v>1593</v>
      </c>
      <c r="CD1221">
        <v>88200</v>
      </c>
      <c r="CE1221">
        <v>30</v>
      </c>
      <c r="CF1221" t="s">
        <v>635</v>
      </c>
      <c r="CG1221">
        <v>16882380</v>
      </c>
      <c r="CH1221">
        <v>3.9999999105930328E-2</v>
      </c>
      <c r="CI1221">
        <v>675300</v>
      </c>
      <c r="CJ1221">
        <v>16882380</v>
      </c>
      <c r="CK1221">
        <v>1.9999999552965164E-2</v>
      </c>
      <c r="CL1221">
        <v>337700</v>
      </c>
      <c r="CM1221">
        <v>2.9999999329447746E-2</v>
      </c>
      <c r="CN1221">
        <v>506500</v>
      </c>
      <c r="CO1221">
        <v>0</v>
      </c>
      <c r="CP1221">
        <v>0</v>
      </c>
      <c r="CQ1221">
        <v>0</v>
      </c>
      <c r="CR1221">
        <v>0</v>
      </c>
      <c r="CS1221" t="s">
        <v>32</v>
      </c>
      <c r="CT1221" t="s">
        <v>142</v>
      </c>
      <c r="CU1221" t="s">
        <v>1442</v>
      </c>
    </row>
    <row r="1222" spans="1:99">
      <c r="A1222" t="s">
        <v>3047</v>
      </c>
      <c r="B1222" t="s">
        <v>34</v>
      </c>
      <c r="C1222" t="s">
        <v>2954</v>
      </c>
      <c r="D1222" t="s">
        <v>2955</v>
      </c>
      <c r="E1222" t="s">
        <v>2956</v>
      </c>
      <c r="F1222" t="s">
        <v>1597</v>
      </c>
      <c r="G1222" t="s">
        <v>2957</v>
      </c>
      <c r="H1222" t="s">
        <v>1558</v>
      </c>
      <c r="I1222" t="s">
        <v>682</v>
      </c>
      <c r="J1222" t="s">
        <v>484</v>
      </c>
      <c r="K1222" t="s">
        <v>29</v>
      </c>
      <c r="L1222" t="s">
        <v>30</v>
      </c>
      <c r="M1222">
        <v>0</v>
      </c>
      <c r="N1222" t="s">
        <v>32</v>
      </c>
      <c r="O1222" t="s">
        <v>32</v>
      </c>
      <c r="Q1222" t="s">
        <v>32</v>
      </c>
      <c r="S1222" t="s">
        <v>32</v>
      </c>
      <c r="U1222" t="s">
        <v>32</v>
      </c>
      <c r="V1222" t="s">
        <v>32</v>
      </c>
      <c r="W1222" t="s">
        <v>32</v>
      </c>
      <c r="X1222" t="s">
        <v>32</v>
      </c>
      <c r="Y1222" t="s">
        <v>32</v>
      </c>
      <c r="AA1222" t="s">
        <v>32</v>
      </c>
      <c r="AB1222" t="s">
        <v>32</v>
      </c>
      <c r="AE1222" t="s">
        <v>32</v>
      </c>
      <c r="AH1222" t="s">
        <v>32</v>
      </c>
      <c r="AK1222" t="s">
        <v>128</v>
      </c>
      <c r="AL1222">
        <v>46069</v>
      </c>
      <c r="AM1222">
        <v>46075</v>
      </c>
      <c r="AN1222" t="s">
        <v>32</v>
      </c>
      <c r="AO1222" t="s">
        <v>32</v>
      </c>
      <c r="AR1222">
        <v>0</v>
      </c>
      <c r="AU1222" t="s">
        <v>32</v>
      </c>
      <c r="AV1222">
        <v>3050412</v>
      </c>
      <c r="AW1222" t="s">
        <v>32</v>
      </c>
      <c r="AX1222" t="s">
        <v>32</v>
      </c>
      <c r="AY1222" t="s">
        <v>317</v>
      </c>
      <c r="AZ1222">
        <v>7</v>
      </c>
      <c r="BA1222">
        <v>711763</v>
      </c>
      <c r="BB1222">
        <v>0.15999999642372131</v>
      </c>
      <c r="BC1222">
        <v>113900</v>
      </c>
      <c r="BD1222" t="s">
        <v>31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113900</v>
      </c>
      <c r="BK1222" t="s">
        <v>25</v>
      </c>
      <c r="BL1222" t="s">
        <v>1010</v>
      </c>
      <c r="BM1222">
        <v>7</v>
      </c>
      <c r="BN1222">
        <v>711763</v>
      </c>
      <c r="BO1222">
        <v>3.9999999105930328E-2</v>
      </c>
      <c r="BP1222">
        <v>28500</v>
      </c>
      <c r="BQ1222">
        <v>0</v>
      </c>
      <c r="BS1222">
        <v>0</v>
      </c>
      <c r="BU1222">
        <v>0</v>
      </c>
      <c r="BV1222" t="s">
        <v>25</v>
      </c>
      <c r="BW1222" t="s">
        <v>189</v>
      </c>
      <c r="BX1222">
        <v>7</v>
      </c>
      <c r="BY1222">
        <v>711763</v>
      </c>
      <c r="BZ1222">
        <v>0</v>
      </c>
      <c r="CA1222" t="s">
        <v>1439</v>
      </c>
      <c r="CB1222" t="s">
        <v>312</v>
      </c>
      <c r="CC1222" t="s">
        <v>1440</v>
      </c>
      <c r="CD1222">
        <v>0</v>
      </c>
      <c r="CE1222">
        <v>7</v>
      </c>
      <c r="CF1222" t="s">
        <v>466</v>
      </c>
      <c r="CG1222">
        <v>711763</v>
      </c>
      <c r="CH1222">
        <v>3.9999999105930328E-2</v>
      </c>
      <c r="CI1222">
        <v>28500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 t="s">
        <v>88</v>
      </c>
      <c r="CT1222" t="s">
        <v>142</v>
      </c>
      <c r="CU1222" t="s">
        <v>1442</v>
      </c>
    </row>
    <row r="1223" spans="1:99">
      <c r="A1223" t="s">
        <v>3047</v>
      </c>
      <c r="B1223" t="s">
        <v>34</v>
      </c>
      <c r="C1223" t="s">
        <v>2954</v>
      </c>
      <c r="D1223" t="s">
        <v>2955</v>
      </c>
      <c r="E1223" t="s">
        <v>2956</v>
      </c>
      <c r="F1223" t="s">
        <v>1597</v>
      </c>
      <c r="G1223" t="s">
        <v>2957</v>
      </c>
      <c r="H1223" t="s">
        <v>1558</v>
      </c>
      <c r="I1223" t="s">
        <v>682</v>
      </c>
      <c r="J1223" t="s">
        <v>484</v>
      </c>
      <c r="K1223" t="s">
        <v>29</v>
      </c>
      <c r="L1223" t="s">
        <v>30</v>
      </c>
      <c r="M1223">
        <v>153</v>
      </c>
      <c r="N1223" t="s">
        <v>32</v>
      </c>
      <c r="O1223" t="s">
        <v>32</v>
      </c>
      <c r="Q1223" t="s">
        <v>32</v>
      </c>
      <c r="S1223" t="s">
        <v>32</v>
      </c>
      <c r="U1223" t="s">
        <v>32</v>
      </c>
      <c r="V1223" t="s">
        <v>32</v>
      </c>
      <c r="W1223" t="s">
        <v>32</v>
      </c>
      <c r="X1223" t="s">
        <v>32</v>
      </c>
      <c r="Y1223" t="s">
        <v>88</v>
      </c>
      <c r="Z1223">
        <v>46054</v>
      </c>
      <c r="AA1223" t="s">
        <v>88</v>
      </c>
      <c r="AB1223" t="s">
        <v>32</v>
      </c>
      <c r="AE1223" t="s">
        <v>32</v>
      </c>
      <c r="AH1223" t="s">
        <v>32</v>
      </c>
      <c r="AK1223" t="s">
        <v>32</v>
      </c>
      <c r="AN1223" t="s">
        <v>32</v>
      </c>
      <c r="AO1223" t="s">
        <v>32</v>
      </c>
      <c r="AR1223">
        <v>0</v>
      </c>
      <c r="AU1223" t="s">
        <v>32</v>
      </c>
      <c r="AV1223">
        <v>3050412</v>
      </c>
      <c r="AW1223" t="s">
        <v>32</v>
      </c>
      <c r="AX1223" t="s">
        <v>32</v>
      </c>
      <c r="AY1223" t="s">
        <v>317</v>
      </c>
      <c r="AZ1223">
        <v>23</v>
      </c>
      <c r="BA1223">
        <v>2934743</v>
      </c>
      <c r="BB1223">
        <v>0.15999999642372131</v>
      </c>
      <c r="BC1223">
        <v>469600</v>
      </c>
      <c r="BD1223" t="s">
        <v>31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469600</v>
      </c>
      <c r="BK1223" t="s">
        <v>25</v>
      </c>
      <c r="BL1223" t="s">
        <v>1010</v>
      </c>
      <c r="BM1223">
        <v>23</v>
      </c>
      <c r="BN1223">
        <v>2934743</v>
      </c>
      <c r="BO1223">
        <v>3.9999999105930328E-2</v>
      </c>
      <c r="BP1223">
        <v>117400</v>
      </c>
      <c r="BQ1223">
        <v>0</v>
      </c>
      <c r="BS1223">
        <v>0</v>
      </c>
      <c r="BU1223">
        <v>0</v>
      </c>
      <c r="BV1223" t="s">
        <v>25</v>
      </c>
      <c r="BW1223" t="s">
        <v>189</v>
      </c>
      <c r="BX1223">
        <v>23</v>
      </c>
      <c r="BY1223">
        <v>2934743</v>
      </c>
      <c r="BZ1223">
        <v>6.9600000977516174E-2</v>
      </c>
      <c r="CA1223" t="s">
        <v>1439</v>
      </c>
      <c r="CB1223" t="s">
        <v>312</v>
      </c>
      <c r="CC1223" t="s">
        <v>1440</v>
      </c>
      <c r="CD1223">
        <v>204300</v>
      </c>
      <c r="CE1223">
        <v>23</v>
      </c>
      <c r="CF1223" t="s">
        <v>466</v>
      </c>
      <c r="CG1223">
        <v>2650623</v>
      </c>
      <c r="CH1223">
        <v>3.9999999105930328E-2</v>
      </c>
      <c r="CI1223">
        <v>106100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 t="s">
        <v>88</v>
      </c>
      <c r="CT1223" t="s">
        <v>142</v>
      </c>
      <c r="CU1223" t="s">
        <v>1442</v>
      </c>
    </row>
    <row r="1224" spans="1:99">
      <c r="A1224" t="s">
        <v>3047</v>
      </c>
      <c r="B1224" t="s">
        <v>34</v>
      </c>
      <c r="C1224" t="s">
        <v>2958</v>
      </c>
      <c r="D1224" t="s">
        <v>2959</v>
      </c>
      <c r="E1224" t="s">
        <v>2960</v>
      </c>
      <c r="F1224" t="s">
        <v>1776</v>
      </c>
      <c r="G1224" t="s">
        <v>2095</v>
      </c>
      <c r="H1224" t="s">
        <v>2961</v>
      </c>
      <c r="I1224" t="s">
        <v>240</v>
      </c>
      <c r="J1224" t="s">
        <v>46</v>
      </c>
      <c r="K1224" t="s">
        <v>29</v>
      </c>
      <c r="L1224" t="s">
        <v>30</v>
      </c>
      <c r="M1224">
        <v>218</v>
      </c>
      <c r="N1224" t="s">
        <v>32</v>
      </c>
      <c r="O1224" t="s">
        <v>32</v>
      </c>
      <c r="Q1224" t="s">
        <v>32</v>
      </c>
      <c r="S1224" t="s">
        <v>32</v>
      </c>
      <c r="U1224" t="s">
        <v>32</v>
      </c>
      <c r="V1224" t="s">
        <v>32</v>
      </c>
      <c r="W1224" t="s">
        <v>32</v>
      </c>
      <c r="X1224" t="s">
        <v>32</v>
      </c>
      <c r="Y1224" t="s">
        <v>32</v>
      </c>
      <c r="AA1224" t="s">
        <v>88</v>
      </c>
      <c r="AB1224" t="s">
        <v>32</v>
      </c>
      <c r="AE1224" t="s">
        <v>32</v>
      </c>
      <c r="AH1224" t="s">
        <v>32</v>
      </c>
      <c r="AK1224" t="s">
        <v>32</v>
      </c>
      <c r="AN1224" t="s">
        <v>32</v>
      </c>
      <c r="AO1224" t="s">
        <v>32</v>
      </c>
      <c r="AR1224">
        <v>0</v>
      </c>
      <c r="AU1224" t="s">
        <v>32</v>
      </c>
      <c r="AV1224">
        <v>2223339</v>
      </c>
      <c r="AW1224" t="s">
        <v>32</v>
      </c>
      <c r="AX1224" t="s">
        <v>32</v>
      </c>
      <c r="AY1224" t="s">
        <v>317</v>
      </c>
      <c r="AZ1224">
        <v>30</v>
      </c>
      <c r="BA1224">
        <v>3160713</v>
      </c>
      <c r="BB1224">
        <v>0.15999999642372131</v>
      </c>
      <c r="BC1224">
        <v>505800</v>
      </c>
      <c r="BD1224" t="s">
        <v>31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505800</v>
      </c>
      <c r="BK1224" t="s">
        <v>25</v>
      </c>
      <c r="BL1224" t="s">
        <v>1010</v>
      </c>
      <c r="BM1224">
        <v>30</v>
      </c>
      <c r="BN1224">
        <v>3160713</v>
      </c>
      <c r="BO1224">
        <v>3.9999999105930328E-2</v>
      </c>
      <c r="BP1224">
        <v>126500</v>
      </c>
      <c r="BQ1224">
        <v>0</v>
      </c>
      <c r="BS1224">
        <v>0</v>
      </c>
      <c r="BU1224">
        <v>0</v>
      </c>
      <c r="BV1224" t="s">
        <v>25</v>
      </c>
      <c r="BW1224" t="s">
        <v>189</v>
      </c>
      <c r="BX1224">
        <v>30</v>
      </c>
      <c r="BY1224">
        <v>3160713</v>
      </c>
      <c r="BZ1224">
        <v>6.9600000977516174E-2</v>
      </c>
      <c r="CA1224" t="s">
        <v>1439</v>
      </c>
      <c r="CB1224" t="s">
        <v>227</v>
      </c>
      <c r="CC1224" t="s">
        <v>1440</v>
      </c>
      <c r="CD1224">
        <v>220000</v>
      </c>
      <c r="CE1224">
        <v>30</v>
      </c>
      <c r="CF1224" t="s">
        <v>635</v>
      </c>
      <c r="CG1224">
        <v>3160713</v>
      </c>
      <c r="CH1224">
        <v>3.9999999105930328E-2</v>
      </c>
      <c r="CI1224">
        <v>126500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 t="s">
        <v>88</v>
      </c>
      <c r="CT1224" t="s">
        <v>142</v>
      </c>
      <c r="CU1224" t="s">
        <v>1442</v>
      </c>
    </row>
    <row r="1225" spans="1:99">
      <c r="A1225" t="s">
        <v>3047</v>
      </c>
      <c r="B1225" t="s">
        <v>34</v>
      </c>
      <c r="C1225" t="s">
        <v>2962</v>
      </c>
      <c r="D1225" t="s">
        <v>2963</v>
      </c>
      <c r="E1225" t="s">
        <v>1753</v>
      </c>
      <c r="F1225" t="s">
        <v>2142</v>
      </c>
      <c r="G1225" t="s">
        <v>2066</v>
      </c>
      <c r="H1225" t="s">
        <v>2964</v>
      </c>
      <c r="I1225" t="s">
        <v>240</v>
      </c>
      <c r="J1225" t="s">
        <v>46</v>
      </c>
      <c r="K1225" t="s">
        <v>29</v>
      </c>
      <c r="L1225" t="s">
        <v>30</v>
      </c>
      <c r="M1225">
        <v>180</v>
      </c>
      <c r="N1225" t="s">
        <v>32</v>
      </c>
      <c r="O1225" t="s">
        <v>32</v>
      </c>
      <c r="Q1225" t="s">
        <v>32</v>
      </c>
      <c r="S1225" t="s">
        <v>32</v>
      </c>
      <c r="U1225" t="s">
        <v>32</v>
      </c>
      <c r="V1225" t="s">
        <v>32</v>
      </c>
      <c r="W1225" t="s">
        <v>32</v>
      </c>
      <c r="X1225" t="s">
        <v>32</v>
      </c>
      <c r="Y1225" t="s">
        <v>88</v>
      </c>
      <c r="Z1225">
        <v>46054</v>
      </c>
      <c r="AA1225" t="s">
        <v>88</v>
      </c>
      <c r="AB1225" t="s">
        <v>32</v>
      </c>
      <c r="AE1225" t="s">
        <v>32</v>
      </c>
      <c r="AH1225" t="s">
        <v>32</v>
      </c>
      <c r="AK1225" t="s">
        <v>32</v>
      </c>
      <c r="AN1225" t="s">
        <v>32</v>
      </c>
      <c r="AO1225" t="s">
        <v>32</v>
      </c>
      <c r="AR1225">
        <v>0</v>
      </c>
      <c r="AU1225" t="s">
        <v>32</v>
      </c>
      <c r="AV1225">
        <v>8422300</v>
      </c>
      <c r="AW1225" t="s">
        <v>32</v>
      </c>
      <c r="AX1225" t="s">
        <v>32</v>
      </c>
      <c r="AY1225" t="s">
        <v>317</v>
      </c>
      <c r="AZ1225">
        <v>30</v>
      </c>
      <c r="BA1225">
        <v>8422300</v>
      </c>
      <c r="BB1225">
        <v>0.15999999642372131</v>
      </c>
      <c r="BC1225">
        <v>1347600</v>
      </c>
      <c r="BD1225" t="s">
        <v>31</v>
      </c>
      <c r="BE1225">
        <v>0</v>
      </c>
      <c r="BF1225">
        <v>0</v>
      </c>
      <c r="BG1225">
        <v>42200</v>
      </c>
      <c r="BH1225">
        <v>42200</v>
      </c>
      <c r="BI1225">
        <v>0</v>
      </c>
      <c r="BJ1225">
        <v>1432000</v>
      </c>
      <c r="BK1225" t="s">
        <v>25</v>
      </c>
      <c r="BL1225" t="s">
        <v>1010</v>
      </c>
      <c r="BM1225">
        <v>30</v>
      </c>
      <c r="BN1225">
        <v>8422300</v>
      </c>
      <c r="BO1225">
        <v>3.9999999105930328E-2</v>
      </c>
      <c r="BP1225">
        <v>336900</v>
      </c>
      <c r="BQ1225">
        <v>0</v>
      </c>
      <c r="BS1225">
        <v>0</v>
      </c>
      <c r="BU1225">
        <v>0</v>
      </c>
      <c r="BV1225" t="s">
        <v>25</v>
      </c>
      <c r="BW1225" t="s">
        <v>189</v>
      </c>
      <c r="BX1225">
        <v>30</v>
      </c>
      <c r="BY1225">
        <v>8422300</v>
      </c>
      <c r="BZ1225">
        <v>6.9600000977516174E-2</v>
      </c>
      <c r="CA1225" t="s">
        <v>1439</v>
      </c>
      <c r="CB1225" t="s">
        <v>227</v>
      </c>
      <c r="CC1225" t="s">
        <v>1440</v>
      </c>
      <c r="CD1225">
        <v>586200</v>
      </c>
      <c r="CE1225">
        <v>30</v>
      </c>
      <c r="CF1225" t="s">
        <v>635</v>
      </c>
      <c r="CG1225">
        <v>8422300</v>
      </c>
      <c r="CH1225">
        <v>3.9999999105930328E-2</v>
      </c>
      <c r="CI1225">
        <v>336900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 t="s">
        <v>88</v>
      </c>
      <c r="CT1225" t="s">
        <v>142</v>
      </c>
      <c r="CU1225" t="s">
        <v>1442</v>
      </c>
    </row>
    <row r="1226" spans="1:99">
      <c r="A1226" t="s">
        <v>3047</v>
      </c>
      <c r="B1226" t="s">
        <v>34</v>
      </c>
      <c r="C1226" t="s">
        <v>2965</v>
      </c>
      <c r="D1226" t="s">
        <v>2966</v>
      </c>
      <c r="E1226" t="s">
        <v>263</v>
      </c>
      <c r="F1226" t="s">
        <v>1629</v>
      </c>
      <c r="G1226" t="s">
        <v>1489</v>
      </c>
      <c r="H1226" t="s">
        <v>1590</v>
      </c>
      <c r="I1226" t="s">
        <v>682</v>
      </c>
      <c r="J1226" t="s">
        <v>484</v>
      </c>
      <c r="K1226" t="s">
        <v>29</v>
      </c>
      <c r="L1226" t="s">
        <v>30</v>
      </c>
      <c r="M1226">
        <v>0</v>
      </c>
      <c r="N1226" t="s">
        <v>32</v>
      </c>
      <c r="O1226" t="s">
        <v>32</v>
      </c>
      <c r="Q1226" t="s">
        <v>32</v>
      </c>
      <c r="S1226" t="s">
        <v>32</v>
      </c>
      <c r="U1226" t="s">
        <v>32</v>
      </c>
      <c r="V1226" t="s">
        <v>32</v>
      </c>
      <c r="W1226" t="s">
        <v>32</v>
      </c>
      <c r="X1226" t="s">
        <v>32</v>
      </c>
      <c r="Y1226" t="s">
        <v>32</v>
      </c>
      <c r="AA1226" t="s">
        <v>32</v>
      </c>
      <c r="AB1226" t="s">
        <v>32</v>
      </c>
      <c r="AE1226" t="s">
        <v>32</v>
      </c>
      <c r="AH1226" t="s">
        <v>32</v>
      </c>
      <c r="AK1226" t="s">
        <v>128</v>
      </c>
      <c r="AL1226">
        <v>46054</v>
      </c>
      <c r="AM1226">
        <v>46060</v>
      </c>
      <c r="AN1226" t="s">
        <v>32</v>
      </c>
      <c r="AO1226" t="s">
        <v>32</v>
      </c>
      <c r="AR1226">
        <v>0</v>
      </c>
      <c r="AU1226" t="s">
        <v>32</v>
      </c>
      <c r="AV1226">
        <v>6384779</v>
      </c>
      <c r="AW1226" t="s">
        <v>32</v>
      </c>
      <c r="AX1226" t="s">
        <v>32</v>
      </c>
      <c r="AY1226" t="s">
        <v>317</v>
      </c>
      <c r="AZ1226">
        <v>7</v>
      </c>
      <c r="BA1226">
        <v>1489782</v>
      </c>
      <c r="BB1226">
        <v>0.15999999642372131</v>
      </c>
      <c r="BC1226">
        <v>238400</v>
      </c>
      <c r="BD1226" t="s">
        <v>31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238400</v>
      </c>
      <c r="BK1226" t="s">
        <v>25</v>
      </c>
      <c r="BL1226" t="s">
        <v>1071</v>
      </c>
      <c r="BM1226">
        <v>7</v>
      </c>
      <c r="BN1226">
        <v>1489782</v>
      </c>
      <c r="BO1226">
        <v>3.9999999105930328E-2</v>
      </c>
      <c r="BP1226">
        <v>59600</v>
      </c>
      <c r="BQ1226">
        <v>0</v>
      </c>
      <c r="BS1226">
        <v>0</v>
      </c>
      <c r="BU1226">
        <v>0</v>
      </c>
      <c r="BV1226" t="s">
        <v>25</v>
      </c>
      <c r="BW1226" t="s">
        <v>189</v>
      </c>
      <c r="BX1226">
        <v>7</v>
      </c>
      <c r="BY1226">
        <v>1489782</v>
      </c>
      <c r="BZ1226">
        <v>0</v>
      </c>
      <c r="CA1226" t="s">
        <v>1439</v>
      </c>
      <c r="CB1226" t="s">
        <v>312</v>
      </c>
      <c r="CC1226" t="s">
        <v>1440</v>
      </c>
      <c r="CD1226">
        <v>0</v>
      </c>
      <c r="CE1226">
        <v>7</v>
      </c>
      <c r="CF1226" t="s">
        <v>466</v>
      </c>
      <c r="CG1226">
        <v>1489782</v>
      </c>
      <c r="CH1226">
        <v>3.9999999105930328E-2</v>
      </c>
      <c r="CI1226">
        <v>59600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 t="s">
        <v>88</v>
      </c>
      <c r="CT1226" t="s">
        <v>142</v>
      </c>
      <c r="CU1226" t="s">
        <v>1442</v>
      </c>
    </row>
    <row r="1227" spans="1:99">
      <c r="A1227" t="s">
        <v>3047</v>
      </c>
      <c r="B1227" t="s">
        <v>34</v>
      </c>
      <c r="C1227" t="s">
        <v>2965</v>
      </c>
      <c r="D1227" t="s">
        <v>2966</v>
      </c>
      <c r="E1227" t="s">
        <v>263</v>
      </c>
      <c r="F1227" t="s">
        <v>1629</v>
      </c>
      <c r="G1227" t="s">
        <v>1489</v>
      </c>
      <c r="H1227" t="s">
        <v>1590</v>
      </c>
      <c r="I1227" t="s">
        <v>682</v>
      </c>
      <c r="J1227" t="s">
        <v>484</v>
      </c>
      <c r="K1227" t="s">
        <v>29</v>
      </c>
      <c r="L1227" t="s">
        <v>30</v>
      </c>
      <c r="M1227">
        <v>0</v>
      </c>
      <c r="N1227" t="s">
        <v>32</v>
      </c>
      <c r="O1227" t="s">
        <v>32</v>
      </c>
      <c r="Q1227" t="s">
        <v>32</v>
      </c>
      <c r="S1227" t="s">
        <v>32</v>
      </c>
      <c r="U1227" t="s">
        <v>32</v>
      </c>
      <c r="V1227" t="s">
        <v>32</v>
      </c>
      <c r="W1227" t="s">
        <v>32</v>
      </c>
      <c r="X1227" t="s">
        <v>32</v>
      </c>
      <c r="Y1227" t="s">
        <v>32</v>
      </c>
      <c r="AA1227" t="s">
        <v>32</v>
      </c>
      <c r="AB1227" t="s">
        <v>37</v>
      </c>
      <c r="AC1227">
        <v>46061</v>
      </c>
      <c r="AD1227">
        <v>46066</v>
      </c>
      <c r="AE1227" t="s">
        <v>32</v>
      </c>
      <c r="AH1227" t="s">
        <v>32</v>
      </c>
      <c r="AK1227" t="s">
        <v>32</v>
      </c>
      <c r="AN1227" t="s">
        <v>32</v>
      </c>
      <c r="AO1227" t="s">
        <v>32</v>
      </c>
      <c r="AR1227">
        <v>0</v>
      </c>
      <c r="AU1227" t="s">
        <v>32</v>
      </c>
      <c r="AV1227">
        <v>6384779</v>
      </c>
      <c r="AW1227" t="s">
        <v>32</v>
      </c>
      <c r="AX1227" t="s">
        <v>32</v>
      </c>
      <c r="AY1227" t="s">
        <v>317</v>
      </c>
      <c r="AZ1227">
        <v>6</v>
      </c>
      <c r="BA1227">
        <v>1276956</v>
      </c>
      <c r="BB1227">
        <v>0.15999999642372131</v>
      </c>
      <c r="BC1227">
        <v>204400</v>
      </c>
      <c r="BD1227" t="s">
        <v>31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204400</v>
      </c>
      <c r="BK1227" t="s">
        <v>25</v>
      </c>
      <c r="BL1227" t="s">
        <v>1071</v>
      </c>
      <c r="BM1227">
        <v>6</v>
      </c>
      <c r="BN1227">
        <v>1276956</v>
      </c>
      <c r="BO1227">
        <v>0</v>
      </c>
      <c r="BP1227">
        <v>0</v>
      </c>
      <c r="BQ1227">
        <v>0</v>
      </c>
      <c r="BS1227">
        <v>0</v>
      </c>
      <c r="BU1227">
        <v>0</v>
      </c>
      <c r="BV1227" t="s">
        <v>25</v>
      </c>
      <c r="BW1227" t="s">
        <v>189</v>
      </c>
      <c r="BX1227">
        <v>6</v>
      </c>
      <c r="BY1227">
        <v>1276956</v>
      </c>
      <c r="BZ1227">
        <v>0</v>
      </c>
      <c r="CA1227" t="s">
        <v>1439</v>
      </c>
      <c r="CB1227" t="s">
        <v>312</v>
      </c>
      <c r="CC1227" t="s">
        <v>1440</v>
      </c>
      <c r="CD1227">
        <v>0</v>
      </c>
      <c r="CE1227">
        <v>6</v>
      </c>
      <c r="CF1227" t="s">
        <v>466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 t="s">
        <v>88</v>
      </c>
      <c r="CT1227" t="s">
        <v>142</v>
      </c>
      <c r="CU1227" t="s">
        <v>1442</v>
      </c>
    </row>
    <row r="1228" spans="1:99">
      <c r="A1228" t="s">
        <v>3047</v>
      </c>
      <c r="B1228" t="s">
        <v>34</v>
      </c>
      <c r="C1228" t="s">
        <v>2965</v>
      </c>
      <c r="D1228" t="s">
        <v>2966</v>
      </c>
      <c r="E1228" t="s">
        <v>263</v>
      </c>
      <c r="F1228" t="s">
        <v>1629</v>
      </c>
      <c r="G1228" t="s">
        <v>1489</v>
      </c>
      <c r="H1228" t="s">
        <v>1590</v>
      </c>
      <c r="I1228" t="s">
        <v>682</v>
      </c>
      <c r="J1228" t="s">
        <v>484</v>
      </c>
      <c r="K1228" t="s">
        <v>29</v>
      </c>
      <c r="L1228" t="s">
        <v>30</v>
      </c>
      <c r="M1228">
        <v>0</v>
      </c>
      <c r="N1228" t="s">
        <v>32</v>
      </c>
      <c r="O1228" t="s">
        <v>32</v>
      </c>
      <c r="Q1228" t="s">
        <v>32</v>
      </c>
      <c r="S1228" t="s">
        <v>32</v>
      </c>
      <c r="U1228" t="s">
        <v>32</v>
      </c>
      <c r="V1228" t="s">
        <v>32</v>
      </c>
      <c r="W1228" t="s">
        <v>32</v>
      </c>
      <c r="X1228" t="s">
        <v>32</v>
      </c>
      <c r="Y1228" t="s">
        <v>32</v>
      </c>
      <c r="AA1228" t="s">
        <v>32</v>
      </c>
      <c r="AB1228" t="s">
        <v>37</v>
      </c>
      <c r="AC1228">
        <v>46069</v>
      </c>
      <c r="AD1228">
        <v>46079</v>
      </c>
      <c r="AE1228" t="s">
        <v>32</v>
      </c>
      <c r="AH1228" t="s">
        <v>32</v>
      </c>
      <c r="AK1228" t="s">
        <v>32</v>
      </c>
      <c r="AN1228" t="s">
        <v>32</v>
      </c>
      <c r="AO1228" t="s">
        <v>32</v>
      </c>
      <c r="AR1228">
        <v>0</v>
      </c>
      <c r="AU1228" t="s">
        <v>32</v>
      </c>
      <c r="AV1228">
        <v>6384779</v>
      </c>
      <c r="AW1228" t="s">
        <v>32</v>
      </c>
      <c r="AX1228" t="s">
        <v>32</v>
      </c>
      <c r="AY1228" t="s">
        <v>317</v>
      </c>
      <c r="AZ1228">
        <v>11</v>
      </c>
      <c r="BA1228">
        <v>2341086</v>
      </c>
      <c r="BB1228">
        <v>0.15999999642372131</v>
      </c>
      <c r="BC1228">
        <v>374600</v>
      </c>
      <c r="BD1228" t="s">
        <v>31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374600</v>
      </c>
      <c r="BK1228" t="s">
        <v>25</v>
      </c>
      <c r="BL1228" t="s">
        <v>1071</v>
      </c>
      <c r="BM1228">
        <v>11</v>
      </c>
      <c r="BN1228">
        <v>2341086</v>
      </c>
      <c r="BO1228">
        <v>0</v>
      </c>
      <c r="BP1228">
        <v>0</v>
      </c>
      <c r="BQ1228">
        <v>0</v>
      </c>
      <c r="BS1228">
        <v>0</v>
      </c>
      <c r="BU1228">
        <v>0</v>
      </c>
      <c r="BV1228" t="s">
        <v>25</v>
      </c>
      <c r="BW1228" t="s">
        <v>189</v>
      </c>
      <c r="BX1228">
        <v>11</v>
      </c>
      <c r="BY1228">
        <v>2341086</v>
      </c>
      <c r="BZ1228">
        <v>0</v>
      </c>
      <c r="CA1228" t="s">
        <v>1439</v>
      </c>
      <c r="CB1228" t="s">
        <v>312</v>
      </c>
      <c r="CC1228" t="s">
        <v>1440</v>
      </c>
      <c r="CD1228">
        <v>0</v>
      </c>
      <c r="CE1228">
        <v>11</v>
      </c>
      <c r="CF1228" t="s">
        <v>466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 t="s">
        <v>88</v>
      </c>
      <c r="CT1228" t="s">
        <v>142</v>
      </c>
      <c r="CU1228" t="s">
        <v>1442</v>
      </c>
    </row>
    <row r="1229" spans="1:99">
      <c r="A1229" t="s">
        <v>3047</v>
      </c>
      <c r="B1229" t="s">
        <v>34</v>
      </c>
      <c r="C1229" t="s">
        <v>2965</v>
      </c>
      <c r="D1229" t="s">
        <v>2966</v>
      </c>
      <c r="E1229" t="s">
        <v>263</v>
      </c>
      <c r="F1229" t="s">
        <v>1629</v>
      </c>
      <c r="G1229" t="s">
        <v>1489</v>
      </c>
      <c r="H1229" t="s">
        <v>1590</v>
      </c>
      <c r="I1229" t="s">
        <v>682</v>
      </c>
      <c r="J1229" t="s">
        <v>484</v>
      </c>
      <c r="K1229" t="s">
        <v>29</v>
      </c>
      <c r="L1229" t="s">
        <v>30</v>
      </c>
      <c r="M1229">
        <v>9</v>
      </c>
      <c r="N1229" t="s">
        <v>32</v>
      </c>
      <c r="O1229" t="s">
        <v>32</v>
      </c>
      <c r="Q1229" t="s">
        <v>32</v>
      </c>
      <c r="S1229" t="s">
        <v>32</v>
      </c>
      <c r="U1229" t="s">
        <v>32</v>
      </c>
      <c r="V1229" t="s">
        <v>32</v>
      </c>
      <c r="W1229" t="s">
        <v>32</v>
      </c>
      <c r="X1229" t="s">
        <v>32</v>
      </c>
      <c r="Y1229" t="s">
        <v>32</v>
      </c>
      <c r="AA1229" t="s">
        <v>88</v>
      </c>
      <c r="AB1229" t="s">
        <v>32</v>
      </c>
      <c r="AE1229" t="s">
        <v>32</v>
      </c>
      <c r="AH1229" t="s">
        <v>32</v>
      </c>
      <c r="AK1229" t="s">
        <v>32</v>
      </c>
      <c r="AN1229" t="s">
        <v>32</v>
      </c>
      <c r="AO1229" t="s">
        <v>32</v>
      </c>
      <c r="AR1229">
        <v>0</v>
      </c>
      <c r="AU1229" t="s">
        <v>32</v>
      </c>
      <c r="AV1229">
        <v>6384779</v>
      </c>
      <c r="AW1229" t="s">
        <v>32</v>
      </c>
      <c r="AX1229" t="s">
        <v>32</v>
      </c>
      <c r="AY1229" t="s">
        <v>317</v>
      </c>
      <c r="AZ1229">
        <v>6</v>
      </c>
      <c r="BA1229">
        <v>1276956</v>
      </c>
      <c r="BB1229">
        <v>0.15999999642372131</v>
      </c>
      <c r="BC1229">
        <v>204400</v>
      </c>
      <c r="BD1229" t="s">
        <v>31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204400</v>
      </c>
      <c r="BK1229" t="s">
        <v>25</v>
      </c>
      <c r="BL1229" t="s">
        <v>1071</v>
      </c>
      <c r="BM1229">
        <v>6</v>
      </c>
      <c r="BN1229">
        <v>1276956</v>
      </c>
      <c r="BO1229">
        <v>3.9999999105930328E-2</v>
      </c>
      <c r="BP1229">
        <v>51100</v>
      </c>
      <c r="BQ1229">
        <v>0</v>
      </c>
      <c r="BS1229">
        <v>0</v>
      </c>
      <c r="BU1229">
        <v>0</v>
      </c>
      <c r="BV1229" t="s">
        <v>25</v>
      </c>
      <c r="BW1229" t="s">
        <v>189</v>
      </c>
      <c r="BX1229">
        <v>6</v>
      </c>
      <c r="BY1229">
        <v>1276956</v>
      </c>
      <c r="BZ1229">
        <v>6.9600000977516174E-2</v>
      </c>
      <c r="CA1229" t="s">
        <v>1439</v>
      </c>
      <c r="CB1229" t="s">
        <v>312</v>
      </c>
      <c r="CC1229" t="s">
        <v>1440</v>
      </c>
      <c r="CD1229">
        <v>88900</v>
      </c>
      <c r="CE1229">
        <v>6</v>
      </c>
      <c r="CF1229" t="s">
        <v>466</v>
      </c>
      <c r="CG1229">
        <v>1276956</v>
      </c>
      <c r="CH1229">
        <v>3.9999999105930328E-2</v>
      </c>
      <c r="CI1229">
        <v>51100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 t="s">
        <v>88</v>
      </c>
      <c r="CT1229" t="s">
        <v>142</v>
      </c>
      <c r="CU1229" t="s">
        <v>1442</v>
      </c>
    </row>
    <row r="1230" spans="1:99">
      <c r="A1230" t="s">
        <v>3047</v>
      </c>
      <c r="B1230" t="s">
        <v>34</v>
      </c>
      <c r="C1230" t="s">
        <v>2967</v>
      </c>
      <c r="D1230" t="s">
        <v>2968</v>
      </c>
      <c r="E1230" t="s">
        <v>2142</v>
      </c>
      <c r="F1230" t="s">
        <v>2969</v>
      </c>
      <c r="G1230" t="s">
        <v>1584</v>
      </c>
      <c r="H1230" t="s">
        <v>1558</v>
      </c>
      <c r="I1230" t="s">
        <v>240</v>
      </c>
      <c r="J1230" t="s">
        <v>46</v>
      </c>
      <c r="K1230" t="s">
        <v>29</v>
      </c>
      <c r="L1230" t="s">
        <v>30</v>
      </c>
      <c r="M1230">
        <v>219</v>
      </c>
      <c r="N1230" t="s">
        <v>32</v>
      </c>
      <c r="O1230" t="s">
        <v>32</v>
      </c>
      <c r="Q1230" t="s">
        <v>32</v>
      </c>
      <c r="S1230" t="s">
        <v>32</v>
      </c>
      <c r="U1230" t="s">
        <v>32</v>
      </c>
      <c r="V1230" t="s">
        <v>32</v>
      </c>
      <c r="W1230" t="s">
        <v>32</v>
      </c>
      <c r="X1230" t="s">
        <v>32</v>
      </c>
      <c r="Y1230" t="s">
        <v>32</v>
      </c>
      <c r="AA1230" t="s">
        <v>88</v>
      </c>
      <c r="AB1230" t="s">
        <v>32</v>
      </c>
      <c r="AE1230" t="s">
        <v>32</v>
      </c>
      <c r="AH1230" t="s">
        <v>32</v>
      </c>
      <c r="AK1230" t="s">
        <v>32</v>
      </c>
      <c r="AN1230" t="s">
        <v>32</v>
      </c>
      <c r="AO1230" t="s">
        <v>32</v>
      </c>
      <c r="AR1230">
        <v>0</v>
      </c>
      <c r="AU1230" t="s">
        <v>32</v>
      </c>
      <c r="AV1230">
        <v>2074908</v>
      </c>
      <c r="AW1230" t="s">
        <v>32</v>
      </c>
      <c r="AX1230" t="s">
        <v>32</v>
      </c>
      <c r="AY1230" t="s">
        <v>185</v>
      </c>
      <c r="AZ1230">
        <v>30</v>
      </c>
      <c r="BA1230">
        <v>2825679</v>
      </c>
      <c r="BB1230">
        <v>0.15999999642372131</v>
      </c>
      <c r="BC1230">
        <v>452200</v>
      </c>
      <c r="BD1230" t="s">
        <v>31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452200</v>
      </c>
      <c r="BK1230" t="s">
        <v>25</v>
      </c>
      <c r="BL1230" t="s">
        <v>1010</v>
      </c>
      <c r="BM1230">
        <v>30</v>
      </c>
      <c r="BN1230">
        <v>2825679</v>
      </c>
      <c r="BO1230">
        <v>3.9999999105930328E-2</v>
      </c>
      <c r="BP1230">
        <v>113100</v>
      </c>
      <c r="BQ1230">
        <v>0</v>
      </c>
      <c r="BS1230">
        <v>0</v>
      </c>
      <c r="BU1230">
        <v>0</v>
      </c>
      <c r="BV1230" t="s">
        <v>25</v>
      </c>
      <c r="BW1230" t="s">
        <v>189</v>
      </c>
      <c r="BX1230">
        <v>30</v>
      </c>
      <c r="BY1230">
        <v>2825679</v>
      </c>
      <c r="BZ1230">
        <v>6.9600000977516174E-2</v>
      </c>
      <c r="CA1230" t="s">
        <v>1439</v>
      </c>
      <c r="CB1230" t="s">
        <v>227</v>
      </c>
      <c r="CC1230" t="s">
        <v>1440</v>
      </c>
      <c r="CD1230">
        <v>196700</v>
      </c>
      <c r="CE1230">
        <v>30</v>
      </c>
      <c r="CF1230" t="s">
        <v>635</v>
      </c>
      <c r="CG1230">
        <v>2825679</v>
      </c>
      <c r="CH1230">
        <v>3.9999999105930328E-2</v>
      </c>
      <c r="CI1230">
        <v>113100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 t="s">
        <v>88</v>
      </c>
      <c r="CT1230" t="s">
        <v>142</v>
      </c>
      <c r="CU1230" t="s">
        <v>1442</v>
      </c>
    </row>
    <row r="1231" spans="1:99">
      <c r="A1231" t="s">
        <v>3047</v>
      </c>
      <c r="B1231" t="s">
        <v>34</v>
      </c>
      <c r="C1231" t="s">
        <v>2970</v>
      </c>
      <c r="D1231" t="s">
        <v>2971</v>
      </c>
      <c r="E1231" t="s">
        <v>2972</v>
      </c>
      <c r="F1231" t="s">
        <v>614</v>
      </c>
      <c r="G1231" t="s">
        <v>2973</v>
      </c>
      <c r="H1231" t="s">
        <v>1558</v>
      </c>
      <c r="I1231" t="s">
        <v>240</v>
      </c>
      <c r="J1231" t="s">
        <v>46</v>
      </c>
      <c r="K1231" t="s">
        <v>29</v>
      </c>
      <c r="L1231" t="s">
        <v>30</v>
      </c>
      <c r="M1231">
        <v>218</v>
      </c>
      <c r="N1231" t="s">
        <v>32</v>
      </c>
      <c r="O1231" t="s">
        <v>32</v>
      </c>
      <c r="Q1231" t="s">
        <v>32</v>
      </c>
      <c r="S1231" t="s">
        <v>32</v>
      </c>
      <c r="U1231" t="s">
        <v>32</v>
      </c>
      <c r="V1231" t="s">
        <v>32</v>
      </c>
      <c r="W1231" t="s">
        <v>32</v>
      </c>
      <c r="X1231" t="s">
        <v>32</v>
      </c>
      <c r="Y1231" t="s">
        <v>32</v>
      </c>
      <c r="AA1231" t="s">
        <v>88</v>
      </c>
      <c r="AB1231" t="s">
        <v>32</v>
      </c>
      <c r="AE1231" t="s">
        <v>32</v>
      </c>
      <c r="AH1231" t="s">
        <v>32</v>
      </c>
      <c r="AK1231" t="s">
        <v>32</v>
      </c>
      <c r="AN1231" t="s">
        <v>32</v>
      </c>
      <c r="AO1231" t="s">
        <v>32</v>
      </c>
      <c r="AR1231">
        <v>0</v>
      </c>
      <c r="AU1231" t="s">
        <v>32</v>
      </c>
      <c r="AV1231">
        <v>2074908</v>
      </c>
      <c r="AW1231" t="s">
        <v>32</v>
      </c>
      <c r="AX1231" t="s">
        <v>32</v>
      </c>
      <c r="AY1231" t="s">
        <v>137</v>
      </c>
      <c r="AZ1231">
        <v>30</v>
      </c>
      <c r="BA1231">
        <v>2941214</v>
      </c>
      <c r="BB1231">
        <v>0.15999999642372131</v>
      </c>
      <c r="BC1231">
        <v>470600</v>
      </c>
      <c r="BD1231" t="s">
        <v>31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470600</v>
      </c>
      <c r="BK1231" t="s">
        <v>25</v>
      </c>
      <c r="BL1231" t="s">
        <v>1064</v>
      </c>
      <c r="BM1231">
        <v>30</v>
      </c>
      <c r="BN1231">
        <v>2941214</v>
      </c>
      <c r="BO1231">
        <v>3.9999999105930328E-2</v>
      </c>
      <c r="BP1231">
        <v>117700</v>
      </c>
      <c r="BQ1231">
        <v>0</v>
      </c>
      <c r="BS1231">
        <v>0</v>
      </c>
      <c r="BU1231">
        <v>0</v>
      </c>
      <c r="BV1231" t="s">
        <v>25</v>
      </c>
      <c r="BW1231" t="s">
        <v>189</v>
      </c>
      <c r="BX1231">
        <v>30</v>
      </c>
      <c r="BY1231">
        <v>2941214</v>
      </c>
      <c r="BZ1231">
        <v>6.9600000977516174E-2</v>
      </c>
      <c r="CA1231" t="s">
        <v>1439</v>
      </c>
      <c r="CB1231" t="s">
        <v>227</v>
      </c>
      <c r="CC1231" t="s">
        <v>1440</v>
      </c>
      <c r="CD1231">
        <v>204800</v>
      </c>
      <c r="CE1231">
        <v>30</v>
      </c>
      <c r="CF1231" t="s">
        <v>635</v>
      </c>
      <c r="CG1231">
        <v>2941214</v>
      </c>
      <c r="CH1231">
        <v>3.9999999105930328E-2</v>
      </c>
      <c r="CI1231">
        <v>117700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 t="s">
        <v>88</v>
      </c>
      <c r="CT1231" t="s">
        <v>142</v>
      </c>
      <c r="CU1231" t="s">
        <v>1442</v>
      </c>
    </row>
    <row r="1232" spans="1:99">
      <c r="A1232" t="s">
        <v>3047</v>
      </c>
      <c r="B1232" t="s">
        <v>34</v>
      </c>
      <c r="C1232" t="s">
        <v>2974</v>
      </c>
      <c r="D1232" t="s">
        <v>2975</v>
      </c>
      <c r="E1232" t="s">
        <v>1648</v>
      </c>
      <c r="F1232" t="s">
        <v>1551</v>
      </c>
      <c r="G1232" t="s">
        <v>2976</v>
      </c>
      <c r="H1232" t="s">
        <v>1436</v>
      </c>
      <c r="I1232" t="s">
        <v>240</v>
      </c>
      <c r="J1232" t="s">
        <v>46</v>
      </c>
      <c r="K1232" t="s">
        <v>29</v>
      </c>
      <c r="L1232" t="s">
        <v>30</v>
      </c>
      <c r="M1232">
        <v>34</v>
      </c>
      <c r="N1232" t="s">
        <v>32</v>
      </c>
      <c r="O1232" t="s">
        <v>32</v>
      </c>
      <c r="Q1232" t="s">
        <v>32</v>
      </c>
      <c r="S1232" t="s">
        <v>40</v>
      </c>
      <c r="T1232">
        <v>46056</v>
      </c>
      <c r="U1232" t="s">
        <v>32</v>
      </c>
      <c r="V1232" t="s">
        <v>32</v>
      </c>
      <c r="W1232" t="s">
        <v>32</v>
      </c>
      <c r="X1232" t="s">
        <v>32</v>
      </c>
      <c r="Y1232" t="s">
        <v>32</v>
      </c>
      <c r="AA1232" t="s">
        <v>88</v>
      </c>
      <c r="AB1232" t="s">
        <v>32</v>
      </c>
      <c r="AE1232" t="s">
        <v>32</v>
      </c>
      <c r="AH1232" t="s">
        <v>32</v>
      </c>
      <c r="AK1232" t="s">
        <v>32</v>
      </c>
      <c r="AN1232" t="s">
        <v>32</v>
      </c>
      <c r="AO1232" t="s">
        <v>32</v>
      </c>
      <c r="AR1232">
        <v>0</v>
      </c>
      <c r="AU1232" t="s">
        <v>32</v>
      </c>
      <c r="AV1232">
        <v>2665550</v>
      </c>
      <c r="AW1232" t="s">
        <v>32</v>
      </c>
      <c r="AX1232" t="s">
        <v>32</v>
      </c>
      <c r="AY1232" t="s">
        <v>185</v>
      </c>
      <c r="AZ1232">
        <v>3</v>
      </c>
      <c r="BA1232">
        <v>1251616</v>
      </c>
      <c r="BB1232">
        <v>0.15999999642372131</v>
      </c>
      <c r="BC1232">
        <v>200300</v>
      </c>
      <c r="BD1232" t="s">
        <v>31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200300</v>
      </c>
      <c r="BK1232" t="s">
        <v>25</v>
      </c>
      <c r="BL1232" t="s">
        <v>1064</v>
      </c>
      <c r="BM1232">
        <v>3</v>
      </c>
      <c r="BN1232">
        <v>1251616</v>
      </c>
      <c r="BO1232">
        <v>0.125</v>
      </c>
      <c r="BP1232">
        <v>156500</v>
      </c>
      <c r="BQ1232">
        <v>0</v>
      </c>
      <c r="BS1232">
        <v>0</v>
      </c>
      <c r="BU1232">
        <v>0</v>
      </c>
      <c r="BV1232" t="s">
        <v>25</v>
      </c>
      <c r="BW1232" t="s">
        <v>189</v>
      </c>
      <c r="BX1232">
        <v>3</v>
      </c>
      <c r="BY1232">
        <v>1251616</v>
      </c>
      <c r="BZ1232">
        <v>6.9600000977516174E-2</v>
      </c>
      <c r="CA1232" t="s">
        <v>1439</v>
      </c>
      <c r="CB1232" t="s">
        <v>227</v>
      </c>
      <c r="CC1232" t="s">
        <v>1440</v>
      </c>
      <c r="CD1232">
        <v>87200</v>
      </c>
      <c r="CE1232">
        <v>3</v>
      </c>
      <c r="CF1232" t="s">
        <v>635</v>
      </c>
      <c r="CG1232">
        <v>1875016</v>
      </c>
      <c r="CH1232">
        <v>3.9999999105930328E-2</v>
      </c>
      <c r="CI1232">
        <v>75100</v>
      </c>
      <c r="CJ1232">
        <v>1875016</v>
      </c>
      <c r="CK1232">
        <v>1.9999999552965164E-2</v>
      </c>
      <c r="CL1232">
        <v>37600</v>
      </c>
      <c r="CM1232">
        <v>2.9999999329447746E-2</v>
      </c>
      <c r="CN1232">
        <v>56300</v>
      </c>
      <c r="CO1232">
        <v>0</v>
      </c>
      <c r="CP1232">
        <v>0</v>
      </c>
      <c r="CQ1232">
        <v>0</v>
      </c>
      <c r="CR1232">
        <v>0</v>
      </c>
      <c r="CS1232" t="s">
        <v>32</v>
      </c>
      <c r="CT1232" t="s">
        <v>142</v>
      </c>
      <c r="CU1232" t="s">
        <v>1442</v>
      </c>
    </row>
    <row r="1233" spans="1:99">
      <c r="A1233" t="s">
        <v>3047</v>
      </c>
      <c r="B1233" t="s">
        <v>34</v>
      </c>
      <c r="C1233" t="s">
        <v>2977</v>
      </c>
      <c r="D1233" t="s">
        <v>2978</v>
      </c>
      <c r="E1233" t="s">
        <v>2979</v>
      </c>
      <c r="F1233" t="s">
        <v>1562</v>
      </c>
      <c r="G1233" t="s">
        <v>2194</v>
      </c>
      <c r="H1233" t="s">
        <v>2046</v>
      </c>
      <c r="I1233" t="s">
        <v>682</v>
      </c>
      <c r="J1233" t="s">
        <v>484</v>
      </c>
      <c r="K1233" t="s">
        <v>29</v>
      </c>
      <c r="L1233" t="s">
        <v>30</v>
      </c>
      <c r="M1233">
        <v>180</v>
      </c>
      <c r="N1233" t="s">
        <v>32</v>
      </c>
      <c r="O1233" t="s">
        <v>32</v>
      </c>
      <c r="Q1233" t="s">
        <v>32</v>
      </c>
      <c r="S1233" t="s">
        <v>32</v>
      </c>
      <c r="U1233" t="s">
        <v>32</v>
      </c>
      <c r="V1233" t="s">
        <v>32</v>
      </c>
      <c r="W1233" t="s">
        <v>32</v>
      </c>
      <c r="X1233" t="s">
        <v>32</v>
      </c>
      <c r="Y1233" t="s">
        <v>88</v>
      </c>
      <c r="Z1233">
        <v>46054</v>
      </c>
      <c r="AA1233" t="s">
        <v>88</v>
      </c>
      <c r="AB1233" t="s">
        <v>32</v>
      </c>
      <c r="AE1233" t="s">
        <v>32</v>
      </c>
      <c r="AH1233" t="s">
        <v>32</v>
      </c>
      <c r="AK1233" t="s">
        <v>32</v>
      </c>
      <c r="AN1233" t="s">
        <v>32</v>
      </c>
      <c r="AO1233" t="s">
        <v>32</v>
      </c>
      <c r="AR1233">
        <v>0</v>
      </c>
      <c r="AU1233" t="s">
        <v>32</v>
      </c>
      <c r="AV1233">
        <v>4902458</v>
      </c>
      <c r="AW1233" t="s">
        <v>32</v>
      </c>
      <c r="AX1233" t="s">
        <v>32</v>
      </c>
      <c r="AY1233" t="s">
        <v>317</v>
      </c>
      <c r="AZ1233">
        <v>30</v>
      </c>
      <c r="BA1233">
        <v>4902458</v>
      </c>
      <c r="BB1233">
        <v>0.15999999642372131</v>
      </c>
      <c r="BC1233">
        <v>784400</v>
      </c>
      <c r="BD1233" t="s">
        <v>31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784400</v>
      </c>
      <c r="BK1233" t="s">
        <v>25</v>
      </c>
      <c r="BL1233" t="s">
        <v>1064</v>
      </c>
      <c r="BM1233">
        <v>30</v>
      </c>
      <c r="BN1233">
        <v>4902458</v>
      </c>
      <c r="BO1233">
        <v>3.9999999105930328E-2</v>
      </c>
      <c r="BP1233">
        <v>196100</v>
      </c>
      <c r="BQ1233">
        <v>0</v>
      </c>
      <c r="BS1233">
        <v>0</v>
      </c>
      <c r="BU1233">
        <v>0</v>
      </c>
      <c r="BV1233" t="s">
        <v>25</v>
      </c>
      <c r="BW1233" t="s">
        <v>189</v>
      </c>
      <c r="BX1233">
        <v>30</v>
      </c>
      <c r="BY1233">
        <v>4902458</v>
      </c>
      <c r="BZ1233">
        <v>6.9600000977516174E-2</v>
      </c>
      <c r="CA1233" t="s">
        <v>1439</v>
      </c>
      <c r="CB1233" t="s">
        <v>312</v>
      </c>
      <c r="CC1233" t="s">
        <v>1440</v>
      </c>
      <c r="CD1233">
        <v>341300</v>
      </c>
      <c r="CE1233">
        <v>30</v>
      </c>
      <c r="CF1233" t="s">
        <v>466</v>
      </c>
      <c r="CG1233">
        <v>4902458</v>
      </c>
      <c r="CH1233">
        <v>3.9999999105930328E-2</v>
      </c>
      <c r="CI1233">
        <v>196100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 t="s">
        <v>88</v>
      </c>
      <c r="CT1233" t="s">
        <v>142</v>
      </c>
      <c r="CU1233" t="s">
        <v>1442</v>
      </c>
    </row>
    <row r="1234" spans="1:99">
      <c r="A1234" t="s">
        <v>3047</v>
      </c>
      <c r="B1234" t="s">
        <v>34</v>
      </c>
      <c r="C1234" t="s">
        <v>2980</v>
      </c>
      <c r="D1234" t="s">
        <v>2981</v>
      </c>
      <c r="E1234" t="s">
        <v>1634</v>
      </c>
      <c r="F1234" t="s">
        <v>1628</v>
      </c>
      <c r="G1234" t="s">
        <v>2066</v>
      </c>
      <c r="H1234" t="s">
        <v>2341</v>
      </c>
      <c r="I1234" t="s">
        <v>240</v>
      </c>
      <c r="J1234" t="s">
        <v>46</v>
      </c>
      <c r="K1234" t="s">
        <v>29</v>
      </c>
      <c r="L1234" t="s">
        <v>30</v>
      </c>
      <c r="M1234">
        <v>0</v>
      </c>
      <c r="N1234" t="s">
        <v>32</v>
      </c>
      <c r="O1234" t="s">
        <v>32</v>
      </c>
      <c r="Q1234" t="s">
        <v>32</v>
      </c>
      <c r="S1234" t="s">
        <v>32</v>
      </c>
      <c r="U1234" t="s">
        <v>32</v>
      </c>
      <c r="V1234" t="s">
        <v>32</v>
      </c>
      <c r="W1234" t="s">
        <v>32</v>
      </c>
      <c r="X1234" t="s">
        <v>32</v>
      </c>
      <c r="Y1234" t="s">
        <v>32</v>
      </c>
      <c r="AA1234" t="s">
        <v>32</v>
      </c>
      <c r="AB1234" t="s">
        <v>37</v>
      </c>
      <c r="AC1234">
        <v>46059</v>
      </c>
      <c r="AD1234">
        <v>46060</v>
      </c>
      <c r="AE1234" t="s">
        <v>32</v>
      </c>
      <c r="AH1234" t="s">
        <v>32</v>
      </c>
      <c r="AK1234" t="s">
        <v>32</v>
      </c>
      <c r="AN1234" t="s">
        <v>32</v>
      </c>
      <c r="AO1234" t="s">
        <v>32</v>
      </c>
      <c r="AR1234">
        <v>0</v>
      </c>
      <c r="AU1234" t="s">
        <v>32</v>
      </c>
      <c r="AV1234">
        <v>1785595</v>
      </c>
      <c r="AW1234" t="s">
        <v>32</v>
      </c>
      <c r="AX1234" t="s">
        <v>32</v>
      </c>
      <c r="AY1234" t="s">
        <v>317</v>
      </c>
      <c r="AZ1234">
        <v>2</v>
      </c>
      <c r="BA1234">
        <v>119040</v>
      </c>
      <c r="BB1234">
        <v>0.15999999642372131</v>
      </c>
      <c r="BC1234">
        <v>19100</v>
      </c>
      <c r="BD1234" t="s">
        <v>31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19100</v>
      </c>
      <c r="BK1234" t="s">
        <v>25</v>
      </c>
      <c r="BL1234" t="s">
        <v>1010</v>
      </c>
      <c r="BM1234">
        <v>2</v>
      </c>
      <c r="BN1234">
        <v>119040</v>
      </c>
      <c r="BO1234">
        <v>0</v>
      </c>
      <c r="BP1234">
        <v>0</v>
      </c>
      <c r="BQ1234">
        <v>0</v>
      </c>
      <c r="BS1234">
        <v>0</v>
      </c>
      <c r="BU1234">
        <v>0</v>
      </c>
      <c r="BV1234" t="s">
        <v>25</v>
      </c>
      <c r="BW1234" t="s">
        <v>189</v>
      </c>
      <c r="BX1234">
        <v>2</v>
      </c>
      <c r="BY1234">
        <v>119040</v>
      </c>
      <c r="BZ1234">
        <v>0</v>
      </c>
      <c r="CA1234" t="s">
        <v>1439</v>
      </c>
      <c r="CB1234" t="s">
        <v>227</v>
      </c>
      <c r="CC1234" t="s">
        <v>1440</v>
      </c>
      <c r="CD1234">
        <v>0</v>
      </c>
      <c r="CE1234">
        <v>2</v>
      </c>
      <c r="CF1234" t="s">
        <v>635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 t="s">
        <v>88</v>
      </c>
      <c r="CT1234" t="s">
        <v>142</v>
      </c>
      <c r="CU1234" t="s">
        <v>1442</v>
      </c>
    </row>
    <row r="1235" spans="1:99">
      <c r="A1235" t="s">
        <v>3047</v>
      </c>
      <c r="B1235" t="s">
        <v>34</v>
      </c>
      <c r="C1235" t="s">
        <v>2980</v>
      </c>
      <c r="D1235" t="s">
        <v>2981</v>
      </c>
      <c r="E1235" t="s">
        <v>1634</v>
      </c>
      <c r="F1235" t="s">
        <v>1628</v>
      </c>
      <c r="G1235" t="s">
        <v>2066</v>
      </c>
      <c r="H1235" t="s">
        <v>2341</v>
      </c>
      <c r="I1235" t="s">
        <v>240</v>
      </c>
      <c r="J1235" t="s">
        <v>46</v>
      </c>
      <c r="K1235" t="s">
        <v>29</v>
      </c>
      <c r="L1235" t="s">
        <v>30</v>
      </c>
      <c r="M1235">
        <v>0</v>
      </c>
      <c r="N1235" t="s">
        <v>32</v>
      </c>
      <c r="O1235" t="s">
        <v>32</v>
      </c>
      <c r="Q1235" t="s">
        <v>32</v>
      </c>
      <c r="S1235" t="s">
        <v>32</v>
      </c>
      <c r="U1235" t="s">
        <v>32</v>
      </c>
      <c r="V1235" t="s">
        <v>32</v>
      </c>
      <c r="W1235" t="s">
        <v>32</v>
      </c>
      <c r="X1235" t="s">
        <v>32</v>
      </c>
      <c r="Y1235" t="s">
        <v>32</v>
      </c>
      <c r="AA1235" t="s">
        <v>32</v>
      </c>
      <c r="AB1235" t="s">
        <v>37</v>
      </c>
      <c r="AC1235">
        <v>46069</v>
      </c>
      <c r="AD1235">
        <v>46070</v>
      </c>
      <c r="AE1235" t="s">
        <v>32</v>
      </c>
      <c r="AH1235" t="s">
        <v>32</v>
      </c>
      <c r="AK1235" t="s">
        <v>32</v>
      </c>
      <c r="AN1235" t="s">
        <v>32</v>
      </c>
      <c r="AO1235" t="s">
        <v>32</v>
      </c>
      <c r="AR1235">
        <v>0</v>
      </c>
      <c r="AU1235" t="s">
        <v>32</v>
      </c>
      <c r="AV1235">
        <v>1785595</v>
      </c>
      <c r="AW1235" t="s">
        <v>32</v>
      </c>
      <c r="AX1235" t="s">
        <v>32</v>
      </c>
      <c r="AY1235" t="s">
        <v>317</v>
      </c>
      <c r="AZ1235">
        <v>2</v>
      </c>
      <c r="BA1235">
        <v>119040</v>
      </c>
      <c r="BB1235">
        <v>0.15999999642372131</v>
      </c>
      <c r="BC1235">
        <v>19100</v>
      </c>
      <c r="BD1235" t="s">
        <v>31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19100</v>
      </c>
      <c r="BK1235" t="s">
        <v>25</v>
      </c>
      <c r="BL1235" t="s">
        <v>1010</v>
      </c>
      <c r="BM1235">
        <v>2</v>
      </c>
      <c r="BN1235">
        <v>119040</v>
      </c>
      <c r="BO1235">
        <v>0</v>
      </c>
      <c r="BP1235">
        <v>0</v>
      </c>
      <c r="BQ1235">
        <v>0</v>
      </c>
      <c r="BS1235">
        <v>0</v>
      </c>
      <c r="BU1235">
        <v>0</v>
      </c>
      <c r="BV1235" t="s">
        <v>25</v>
      </c>
      <c r="BW1235" t="s">
        <v>189</v>
      </c>
      <c r="BX1235">
        <v>2</v>
      </c>
      <c r="BY1235">
        <v>119040</v>
      </c>
      <c r="BZ1235">
        <v>0</v>
      </c>
      <c r="CA1235" t="s">
        <v>1439</v>
      </c>
      <c r="CB1235" t="s">
        <v>227</v>
      </c>
      <c r="CC1235" t="s">
        <v>1440</v>
      </c>
      <c r="CD1235">
        <v>0</v>
      </c>
      <c r="CE1235">
        <v>2</v>
      </c>
      <c r="CF1235" t="s">
        <v>635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 t="s">
        <v>88</v>
      </c>
      <c r="CT1235" t="s">
        <v>142</v>
      </c>
      <c r="CU1235" t="s">
        <v>1442</v>
      </c>
    </row>
    <row r="1236" spans="1:99">
      <c r="A1236" t="s">
        <v>3047</v>
      </c>
      <c r="B1236" t="s">
        <v>34</v>
      </c>
      <c r="C1236" t="s">
        <v>2980</v>
      </c>
      <c r="D1236" t="s">
        <v>2981</v>
      </c>
      <c r="E1236" t="s">
        <v>1634</v>
      </c>
      <c r="F1236" t="s">
        <v>1628</v>
      </c>
      <c r="G1236" t="s">
        <v>2066</v>
      </c>
      <c r="H1236" t="s">
        <v>2341</v>
      </c>
      <c r="I1236" t="s">
        <v>240</v>
      </c>
      <c r="J1236" t="s">
        <v>46</v>
      </c>
      <c r="K1236" t="s">
        <v>29</v>
      </c>
      <c r="L1236" t="s">
        <v>30</v>
      </c>
      <c r="M1236">
        <v>188</v>
      </c>
      <c r="N1236" t="s">
        <v>32</v>
      </c>
      <c r="O1236" t="s">
        <v>32</v>
      </c>
      <c r="Q1236" t="s">
        <v>32</v>
      </c>
      <c r="S1236" t="s">
        <v>32</v>
      </c>
      <c r="U1236" t="s">
        <v>32</v>
      </c>
      <c r="V1236" t="s">
        <v>32</v>
      </c>
      <c r="W1236" t="s">
        <v>32</v>
      </c>
      <c r="X1236" t="s">
        <v>32</v>
      </c>
      <c r="Y1236" t="s">
        <v>32</v>
      </c>
      <c r="AA1236" t="s">
        <v>88</v>
      </c>
      <c r="AB1236" t="s">
        <v>32</v>
      </c>
      <c r="AE1236" t="s">
        <v>32</v>
      </c>
      <c r="AH1236" t="s">
        <v>32</v>
      </c>
      <c r="AK1236" t="s">
        <v>32</v>
      </c>
      <c r="AN1236" t="s">
        <v>32</v>
      </c>
      <c r="AO1236" t="s">
        <v>32</v>
      </c>
      <c r="AR1236">
        <v>0</v>
      </c>
      <c r="AU1236" t="s">
        <v>32</v>
      </c>
      <c r="AV1236">
        <v>1785595</v>
      </c>
      <c r="AW1236" t="s">
        <v>32</v>
      </c>
      <c r="AX1236" t="s">
        <v>32</v>
      </c>
      <c r="AY1236" t="s">
        <v>317</v>
      </c>
      <c r="AZ1236">
        <v>26</v>
      </c>
      <c r="BA1236">
        <v>2153022</v>
      </c>
      <c r="BB1236">
        <v>0.15999999642372131</v>
      </c>
      <c r="BC1236">
        <v>344500</v>
      </c>
      <c r="BD1236" t="s">
        <v>31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344500</v>
      </c>
      <c r="BK1236" t="s">
        <v>25</v>
      </c>
      <c r="BL1236" t="s">
        <v>1010</v>
      </c>
      <c r="BM1236">
        <v>26</v>
      </c>
      <c r="BN1236">
        <v>2153022</v>
      </c>
      <c r="BO1236">
        <v>3.9999999105930328E-2</v>
      </c>
      <c r="BP1236">
        <v>86200</v>
      </c>
      <c r="BQ1236">
        <v>0</v>
      </c>
      <c r="BS1236">
        <v>0</v>
      </c>
      <c r="BU1236">
        <v>0</v>
      </c>
      <c r="BV1236" t="s">
        <v>25</v>
      </c>
      <c r="BW1236" t="s">
        <v>189</v>
      </c>
      <c r="BX1236">
        <v>26</v>
      </c>
      <c r="BY1236">
        <v>2153022</v>
      </c>
      <c r="BZ1236">
        <v>6.9600000977516174E-2</v>
      </c>
      <c r="CA1236" t="s">
        <v>1439</v>
      </c>
      <c r="CB1236" t="s">
        <v>227</v>
      </c>
      <c r="CC1236" t="s">
        <v>1440</v>
      </c>
      <c r="CD1236">
        <v>149900</v>
      </c>
      <c r="CE1236">
        <v>26</v>
      </c>
      <c r="CF1236" t="s">
        <v>635</v>
      </c>
      <c r="CG1236">
        <v>2153022</v>
      </c>
      <c r="CH1236">
        <v>3.9999999105930328E-2</v>
      </c>
      <c r="CI1236">
        <v>86200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 t="s">
        <v>88</v>
      </c>
      <c r="CT1236" t="s">
        <v>142</v>
      </c>
      <c r="CU1236" t="s">
        <v>1442</v>
      </c>
    </row>
    <row r="1237" spans="1:99">
      <c r="A1237" t="s">
        <v>3047</v>
      </c>
      <c r="B1237" t="s">
        <v>34</v>
      </c>
      <c r="C1237" t="s">
        <v>2982</v>
      </c>
      <c r="D1237" t="s">
        <v>2983</v>
      </c>
      <c r="E1237" t="s">
        <v>2449</v>
      </c>
      <c r="F1237" t="s">
        <v>1471</v>
      </c>
      <c r="G1237" t="s">
        <v>1742</v>
      </c>
      <c r="H1237" t="s">
        <v>1558</v>
      </c>
      <c r="I1237" t="s">
        <v>240</v>
      </c>
      <c r="J1237" t="s">
        <v>46</v>
      </c>
      <c r="K1237" t="s">
        <v>29</v>
      </c>
      <c r="L1237" t="s">
        <v>30</v>
      </c>
      <c r="M1237">
        <v>0</v>
      </c>
      <c r="N1237" t="s">
        <v>32</v>
      </c>
      <c r="O1237" t="s">
        <v>32</v>
      </c>
      <c r="Q1237" t="s">
        <v>32</v>
      </c>
      <c r="S1237" t="s">
        <v>32</v>
      </c>
      <c r="U1237" t="s">
        <v>32</v>
      </c>
      <c r="V1237" t="s">
        <v>32</v>
      </c>
      <c r="W1237" t="s">
        <v>32</v>
      </c>
      <c r="X1237" t="s">
        <v>32</v>
      </c>
      <c r="Y1237" t="s">
        <v>32</v>
      </c>
      <c r="AA1237" t="s">
        <v>32</v>
      </c>
      <c r="AB1237" t="s">
        <v>32</v>
      </c>
      <c r="AE1237" t="s">
        <v>32</v>
      </c>
      <c r="AH1237" t="s">
        <v>32</v>
      </c>
      <c r="AK1237" t="s">
        <v>128</v>
      </c>
      <c r="AL1237">
        <v>46054</v>
      </c>
      <c r="AM1237">
        <v>46060</v>
      </c>
      <c r="AN1237" t="s">
        <v>32</v>
      </c>
      <c r="AO1237" t="s">
        <v>32</v>
      </c>
      <c r="AR1237">
        <v>0</v>
      </c>
      <c r="AU1237" t="s">
        <v>32</v>
      </c>
      <c r="AV1237">
        <v>6340158</v>
      </c>
      <c r="AW1237" t="s">
        <v>32</v>
      </c>
      <c r="AX1237" t="s">
        <v>32</v>
      </c>
      <c r="AY1237" t="s">
        <v>185</v>
      </c>
      <c r="AZ1237">
        <v>7</v>
      </c>
      <c r="BA1237">
        <v>1479371</v>
      </c>
      <c r="BB1237">
        <v>0.15999999642372131</v>
      </c>
      <c r="BC1237">
        <v>236700</v>
      </c>
      <c r="BD1237" t="s">
        <v>31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236700</v>
      </c>
      <c r="BK1237" t="s">
        <v>25</v>
      </c>
      <c r="BL1237" t="s">
        <v>1071</v>
      </c>
      <c r="BM1237">
        <v>7</v>
      </c>
      <c r="BN1237">
        <v>1479371</v>
      </c>
      <c r="BO1237">
        <v>3.9999999105930328E-2</v>
      </c>
      <c r="BP1237">
        <v>59200</v>
      </c>
      <c r="BQ1237">
        <v>0</v>
      </c>
      <c r="BS1237">
        <v>0</v>
      </c>
      <c r="BU1237">
        <v>0</v>
      </c>
      <c r="BV1237" t="s">
        <v>25</v>
      </c>
      <c r="BW1237" t="s">
        <v>189</v>
      </c>
      <c r="BX1237">
        <v>7</v>
      </c>
      <c r="BY1237">
        <v>1479371</v>
      </c>
      <c r="BZ1237">
        <v>0</v>
      </c>
      <c r="CA1237" t="s">
        <v>1439</v>
      </c>
      <c r="CB1237" t="s">
        <v>227</v>
      </c>
      <c r="CC1237" t="s">
        <v>1440</v>
      </c>
      <c r="CD1237">
        <v>0</v>
      </c>
      <c r="CE1237">
        <v>7</v>
      </c>
      <c r="CF1237" t="s">
        <v>635</v>
      </c>
      <c r="CG1237">
        <v>1479371</v>
      </c>
      <c r="CH1237">
        <v>3.9999999105930328E-2</v>
      </c>
      <c r="CI1237">
        <v>59200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 t="s">
        <v>88</v>
      </c>
      <c r="CT1237" t="s">
        <v>142</v>
      </c>
      <c r="CU1237" t="s">
        <v>1442</v>
      </c>
    </row>
    <row r="1238" spans="1:99">
      <c r="A1238" t="s">
        <v>3047</v>
      </c>
      <c r="B1238" t="s">
        <v>34</v>
      </c>
      <c r="C1238" t="s">
        <v>2982</v>
      </c>
      <c r="D1238" t="s">
        <v>2983</v>
      </c>
      <c r="E1238" t="s">
        <v>2449</v>
      </c>
      <c r="F1238" t="s">
        <v>1471</v>
      </c>
      <c r="G1238" t="s">
        <v>1742</v>
      </c>
      <c r="H1238" t="s">
        <v>1558</v>
      </c>
      <c r="I1238" t="s">
        <v>240</v>
      </c>
      <c r="J1238" t="s">
        <v>46</v>
      </c>
      <c r="K1238" t="s">
        <v>29</v>
      </c>
      <c r="L1238" t="s">
        <v>30</v>
      </c>
      <c r="M1238">
        <v>0</v>
      </c>
      <c r="N1238" t="s">
        <v>32</v>
      </c>
      <c r="O1238" t="s">
        <v>32</v>
      </c>
      <c r="Q1238" t="s">
        <v>32</v>
      </c>
      <c r="S1238" t="s">
        <v>32</v>
      </c>
      <c r="U1238" t="s">
        <v>32</v>
      </c>
      <c r="V1238" t="s">
        <v>32</v>
      </c>
      <c r="W1238" t="s">
        <v>32</v>
      </c>
      <c r="X1238" t="s">
        <v>32</v>
      </c>
      <c r="Y1238" t="s">
        <v>32</v>
      </c>
      <c r="AA1238" t="s">
        <v>32</v>
      </c>
      <c r="AB1238" t="s">
        <v>32</v>
      </c>
      <c r="AE1238" t="s">
        <v>32</v>
      </c>
      <c r="AH1238" t="s">
        <v>32</v>
      </c>
      <c r="AK1238" t="s">
        <v>128</v>
      </c>
      <c r="AL1238">
        <v>46063</v>
      </c>
      <c r="AM1238">
        <v>46063</v>
      </c>
      <c r="AN1238" t="s">
        <v>32</v>
      </c>
      <c r="AO1238" t="s">
        <v>32</v>
      </c>
      <c r="AR1238">
        <v>0</v>
      </c>
      <c r="AU1238" t="s">
        <v>32</v>
      </c>
      <c r="AV1238">
        <v>6340158</v>
      </c>
      <c r="AW1238" t="s">
        <v>32</v>
      </c>
      <c r="AX1238" t="s">
        <v>32</v>
      </c>
      <c r="AY1238" t="s">
        <v>185</v>
      </c>
      <c r="AZ1238">
        <v>1</v>
      </c>
      <c r="BA1238">
        <v>211339</v>
      </c>
      <c r="BB1238">
        <v>0.15999999642372131</v>
      </c>
      <c r="BC1238">
        <v>33900</v>
      </c>
      <c r="BD1238" t="s">
        <v>31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33900</v>
      </c>
      <c r="BK1238" t="s">
        <v>25</v>
      </c>
      <c r="BL1238" t="s">
        <v>1071</v>
      </c>
      <c r="BM1238">
        <v>1</v>
      </c>
      <c r="BN1238">
        <v>211339</v>
      </c>
      <c r="BO1238">
        <v>3.9999999105930328E-2</v>
      </c>
      <c r="BP1238">
        <v>8500</v>
      </c>
      <c r="BQ1238">
        <v>0</v>
      </c>
      <c r="BS1238">
        <v>0</v>
      </c>
      <c r="BU1238">
        <v>0</v>
      </c>
      <c r="BV1238" t="s">
        <v>25</v>
      </c>
      <c r="BW1238" t="s">
        <v>189</v>
      </c>
      <c r="BX1238">
        <v>1</v>
      </c>
      <c r="BY1238">
        <v>211339</v>
      </c>
      <c r="BZ1238">
        <v>0</v>
      </c>
      <c r="CA1238" t="s">
        <v>1439</v>
      </c>
      <c r="CB1238" t="s">
        <v>227</v>
      </c>
      <c r="CC1238" t="s">
        <v>1440</v>
      </c>
      <c r="CD1238">
        <v>0</v>
      </c>
      <c r="CE1238">
        <v>1</v>
      </c>
      <c r="CF1238" t="s">
        <v>635</v>
      </c>
      <c r="CG1238">
        <v>211339</v>
      </c>
      <c r="CH1238">
        <v>3.9999999105930328E-2</v>
      </c>
      <c r="CI1238">
        <v>8500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 t="s">
        <v>88</v>
      </c>
      <c r="CT1238" t="s">
        <v>142</v>
      </c>
      <c r="CU1238" t="s">
        <v>1442</v>
      </c>
    </row>
    <row r="1239" spans="1:99">
      <c r="A1239" t="s">
        <v>3047</v>
      </c>
      <c r="B1239" t="s">
        <v>34</v>
      </c>
      <c r="C1239" t="s">
        <v>2982</v>
      </c>
      <c r="D1239" t="s">
        <v>2983</v>
      </c>
      <c r="E1239" t="s">
        <v>2449</v>
      </c>
      <c r="F1239" t="s">
        <v>1471</v>
      </c>
      <c r="G1239" t="s">
        <v>1742</v>
      </c>
      <c r="H1239" t="s">
        <v>1558</v>
      </c>
      <c r="I1239" t="s">
        <v>240</v>
      </c>
      <c r="J1239" t="s">
        <v>46</v>
      </c>
      <c r="K1239" t="s">
        <v>29</v>
      </c>
      <c r="L1239" t="s">
        <v>30</v>
      </c>
      <c r="M1239">
        <v>39</v>
      </c>
      <c r="N1239" t="s">
        <v>32</v>
      </c>
      <c r="O1239" t="s">
        <v>32</v>
      </c>
      <c r="Q1239" t="s">
        <v>32</v>
      </c>
      <c r="S1239" t="s">
        <v>40</v>
      </c>
      <c r="T1239">
        <v>46068</v>
      </c>
      <c r="U1239" t="s">
        <v>32</v>
      </c>
      <c r="V1239" t="s">
        <v>32</v>
      </c>
      <c r="W1239" t="s">
        <v>32</v>
      </c>
      <c r="X1239" t="s">
        <v>32</v>
      </c>
      <c r="Y1239" t="s">
        <v>88</v>
      </c>
      <c r="Z1239">
        <v>46054</v>
      </c>
      <c r="AA1239" t="s">
        <v>88</v>
      </c>
      <c r="AB1239" t="s">
        <v>32</v>
      </c>
      <c r="AE1239" t="s">
        <v>32</v>
      </c>
      <c r="AH1239" t="s">
        <v>32</v>
      </c>
      <c r="AK1239" t="s">
        <v>32</v>
      </c>
      <c r="AN1239" t="s">
        <v>32</v>
      </c>
      <c r="AO1239" t="s">
        <v>32</v>
      </c>
      <c r="AR1239">
        <v>0</v>
      </c>
      <c r="AU1239" t="s">
        <v>32</v>
      </c>
      <c r="AV1239">
        <v>6340158</v>
      </c>
      <c r="AW1239" t="s">
        <v>32</v>
      </c>
      <c r="AX1239" t="s">
        <v>32</v>
      </c>
      <c r="AY1239" t="s">
        <v>185</v>
      </c>
      <c r="AZ1239">
        <v>7</v>
      </c>
      <c r="BA1239">
        <v>2523130</v>
      </c>
      <c r="BB1239">
        <v>0.15999999642372131</v>
      </c>
      <c r="BC1239">
        <v>403800</v>
      </c>
      <c r="BD1239" t="s">
        <v>31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403800</v>
      </c>
      <c r="BK1239" t="s">
        <v>25</v>
      </c>
      <c r="BL1239" t="s">
        <v>1071</v>
      </c>
      <c r="BM1239">
        <v>7</v>
      </c>
      <c r="BN1239">
        <v>2523130</v>
      </c>
      <c r="BO1239">
        <v>3.9999999105930328E-2</v>
      </c>
      <c r="BP1239">
        <v>101000</v>
      </c>
      <c r="BQ1239">
        <v>0</v>
      </c>
      <c r="BS1239">
        <v>0</v>
      </c>
      <c r="BU1239">
        <v>0</v>
      </c>
      <c r="BV1239" t="s">
        <v>25</v>
      </c>
      <c r="BW1239" t="s">
        <v>189</v>
      </c>
      <c r="BX1239">
        <v>7</v>
      </c>
      <c r="BY1239">
        <v>2523130</v>
      </c>
      <c r="BZ1239">
        <v>6.9600000977516174E-2</v>
      </c>
      <c r="CA1239" t="s">
        <v>1439</v>
      </c>
      <c r="CB1239" t="s">
        <v>227</v>
      </c>
      <c r="CC1239" t="s">
        <v>1440</v>
      </c>
      <c r="CD1239">
        <v>175700</v>
      </c>
      <c r="CE1239">
        <v>7</v>
      </c>
      <c r="CF1239" t="s">
        <v>635</v>
      </c>
      <c r="CG1239">
        <v>2720532</v>
      </c>
      <c r="CH1239">
        <v>3.9999999105930328E-2</v>
      </c>
      <c r="CI1239">
        <v>108900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 t="s">
        <v>88</v>
      </c>
      <c r="CT1239" t="s">
        <v>142</v>
      </c>
      <c r="CU1239" t="s">
        <v>1442</v>
      </c>
    </row>
    <row r="1240" spans="1:99">
      <c r="A1240" t="s">
        <v>3047</v>
      </c>
      <c r="B1240" t="s">
        <v>34</v>
      </c>
      <c r="C1240" t="s">
        <v>2984</v>
      </c>
      <c r="D1240" t="s">
        <v>2985</v>
      </c>
      <c r="E1240" t="s">
        <v>1620</v>
      </c>
      <c r="F1240" t="s">
        <v>2986</v>
      </c>
      <c r="G1240" t="s">
        <v>2987</v>
      </c>
      <c r="H1240" t="s">
        <v>1558</v>
      </c>
      <c r="I1240" t="s">
        <v>240</v>
      </c>
      <c r="J1240" t="s">
        <v>46</v>
      </c>
      <c r="K1240" t="s">
        <v>29</v>
      </c>
      <c r="L1240" t="s">
        <v>30</v>
      </c>
      <c r="M1240">
        <v>180</v>
      </c>
      <c r="N1240" t="s">
        <v>32</v>
      </c>
      <c r="O1240" t="s">
        <v>32</v>
      </c>
      <c r="Q1240" t="s">
        <v>32</v>
      </c>
      <c r="S1240" t="s">
        <v>32</v>
      </c>
      <c r="U1240" t="s">
        <v>32</v>
      </c>
      <c r="V1240" t="s">
        <v>32</v>
      </c>
      <c r="W1240" t="s">
        <v>32</v>
      </c>
      <c r="X1240" t="s">
        <v>32</v>
      </c>
      <c r="Y1240" t="s">
        <v>88</v>
      </c>
      <c r="Z1240">
        <v>46054</v>
      </c>
      <c r="AA1240" t="s">
        <v>88</v>
      </c>
      <c r="AB1240" t="s">
        <v>32</v>
      </c>
      <c r="AE1240" t="s">
        <v>32</v>
      </c>
      <c r="AH1240" t="s">
        <v>32</v>
      </c>
      <c r="AK1240" t="s">
        <v>32</v>
      </c>
      <c r="AN1240" t="s">
        <v>32</v>
      </c>
      <c r="AO1240" t="s">
        <v>32</v>
      </c>
      <c r="AR1240">
        <v>0</v>
      </c>
      <c r="AU1240" t="s">
        <v>32</v>
      </c>
      <c r="AV1240">
        <v>7662332</v>
      </c>
      <c r="AW1240" t="s">
        <v>32</v>
      </c>
      <c r="AX1240" t="s">
        <v>32</v>
      </c>
      <c r="AY1240" t="s">
        <v>185</v>
      </c>
      <c r="AZ1240">
        <v>30</v>
      </c>
      <c r="BA1240">
        <v>10216442</v>
      </c>
      <c r="BB1240">
        <v>0.15999999642372131</v>
      </c>
      <c r="BC1240">
        <v>1634700</v>
      </c>
      <c r="BD1240" t="s">
        <v>31</v>
      </c>
      <c r="BE1240">
        <v>0</v>
      </c>
      <c r="BF1240">
        <v>0</v>
      </c>
      <c r="BG1240">
        <v>51100</v>
      </c>
      <c r="BH1240">
        <v>51100</v>
      </c>
      <c r="BI1240">
        <v>0</v>
      </c>
      <c r="BJ1240">
        <v>1736900</v>
      </c>
      <c r="BK1240" t="s">
        <v>25</v>
      </c>
      <c r="BL1240" t="s">
        <v>1010</v>
      </c>
      <c r="BM1240">
        <v>30</v>
      </c>
      <c r="BN1240">
        <v>10216442</v>
      </c>
      <c r="BO1240">
        <v>3.9999999105930328E-2</v>
      </c>
      <c r="BP1240">
        <v>408700</v>
      </c>
      <c r="BQ1240">
        <v>0</v>
      </c>
      <c r="BS1240">
        <v>0</v>
      </c>
      <c r="BU1240">
        <v>0</v>
      </c>
      <c r="BV1240" t="s">
        <v>25</v>
      </c>
      <c r="BW1240" t="s">
        <v>189</v>
      </c>
      <c r="BX1240">
        <v>30</v>
      </c>
      <c r="BY1240">
        <v>10216442</v>
      </c>
      <c r="BZ1240">
        <v>6.9600000977516174E-2</v>
      </c>
      <c r="CA1240" t="s">
        <v>1439</v>
      </c>
      <c r="CB1240" t="s">
        <v>227</v>
      </c>
      <c r="CC1240" t="s">
        <v>1440</v>
      </c>
      <c r="CD1240">
        <v>711100</v>
      </c>
      <c r="CE1240">
        <v>30</v>
      </c>
      <c r="CF1240" t="s">
        <v>635</v>
      </c>
      <c r="CG1240">
        <v>7662331</v>
      </c>
      <c r="CH1240">
        <v>3.9999999105930328E-2</v>
      </c>
      <c r="CI1240">
        <v>306500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 t="s">
        <v>88</v>
      </c>
      <c r="CT1240" t="s">
        <v>142</v>
      </c>
      <c r="CU1240" t="s">
        <v>1442</v>
      </c>
    </row>
    <row r="1241" spans="1:99">
      <c r="A1241" t="s">
        <v>3047</v>
      </c>
      <c r="B1241" t="s">
        <v>34</v>
      </c>
      <c r="C1241" t="s">
        <v>2988</v>
      </c>
      <c r="D1241" t="s">
        <v>2989</v>
      </c>
      <c r="E1241" t="s">
        <v>2302</v>
      </c>
      <c r="F1241" t="s">
        <v>1723</v>
      </c>
      <c r="G1241" t="s">
        <v>2990</v>
      </c>
      <c r="H1241" t="s">
        <v>1798</v>
      </c>
      <c r="I1241" t="s">
        <v>240</v>
      </c>
      <c r="J1241" t="s">
        <v>46</v>
      </c>
      <c r="K1241" t="s">
        <v>29</v>
      </c>
      <c r="L1241" t="s">
        <v>30</v>
      </c>
      <c r="M1241">
        <v>180</v>
      </c>
      <c r="N1241" t="s">
        <v>32</v>
      </c>
      <c r="O1241" t="s">
        <v>32</v>
      </c>
      <c r="Q1241" t="s">
        <v>40</v>
      </c>
      <c r="R1241">
        <v>46055</v>
      </c>
      <c r="S1241" t="s">
        <v>32</v>
      </c>
      <c r="U1241" t="s">
        <v>32</v>
      </c>
      <c r="V1241" t="s">
        <v>32</v>
      </c>
      <c r="W1241" t="s">
        <v>32</v>
      </c>
      <c r="X1241" t="s">
        <v>32</v>
      </c>
      <c r="Y1241" t="s">
        <v>32</v>
      </c>
      <c r="AA1241" t="s">
        <v>88</v>
      </c>
      <c r="AB1241" t="s">
        <v>32</v>
      </c>
      <c r="AE1241" t="s">
        <v>32</v>
      </c>
      <c r="AH1241" t="s">
        <v>32</v>
      </c>
      <c r="AK1241" t="s">
        <v>32</v>
      </c>
      <c r="AN1241" t="s">
        <v>32</v>
      </c>
      <c r="AO1241" t="s">
        <v>32</v>
      </c>
      <c r="AR1241">
        <v>0</v>
      </c>
      <c r="AU1241" t="s">
        <v>32</v>
      </c>
      <c r="AV1241">
        <v>5459847</v>
      </c>
      <c r="AW1241" t="s">
        <v>32</v>
      </c>
      <c r="AX1241" t="s">
        <v>32</v>
      </c>
      <c r="AY1241" t="s">
        <v>185</v>
      </c>
      <c r="AZ1241">
        <v>29</v>
      </c>
      <c r="BA1241">
        <v>5729532</v>
      </c>
      <c r="BB1241">
        <v>0.15999999642372131</v>
      </c>
      <c r="BC1241">
        <v>916800</v>
      </c>
      <c r="BD1241" t="s">
        <v>31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916800</v>
      </c>
      <c r="BK1241" t="s">
        <v>25</v>
      </c>
      <c r="BL1241" t="s">
        <v>1071</v>
      </c>
      <c r="BM1241">
        <v>29</v>
      </c>
      <c r="BN1241">
        <v>5729532</v>
      </c>
      <c r="BO1241">
        <v>3.9999999105930328E-2</v>
      </c>
      <c r="BP1241">
        <v>229200</v>
      </c>
      <c r="BQ1241">
        <v>0</v>
      </c>
      <c r="BS1241">
        <v>0</v>
      </c>
      <c r="BU1241">
        <v>0</v>
      </c>
      <c r="BV1241" t="s">
        <v>25</v>
      </c>
      <c r="BW1241" t="s">
        <v>189</v>
      </c>
      <c r="BX1241">
        <v>29</v>
      </c>
      <c r="BY1241">
        <v>5729532</v>
      </c>
      <c r="BZ1241">
        <v>6.9600000977516174E-2</v>
      </c>
      <c r="CA1241" t="s">
        <v>1439</v>
      </c>
      <c r="CB1241" t="s">
        <v>227</v>
      </c>
      <c r="CC1241" t="s">
        <v>1440</v>
      </c>
      <c r="CD1241">
        <v>398800</v>
      </c>
      <c r="CE1241">
        <v>29</v>
      </c>
      <c r="CF1241" t="s">
        <v>635</v>
      </c>
      <c r="CG1241">
        <v>5729532</v>
      </c>
      <c r="CH1241">
        <v>3.9999999105930328E-2</v>
      </c>
      <c r="CI1241">
        <v>229200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 t="s">
        <v>88</v>
      </c>
      <c r="CT1241" t="s">
        <v>142</v>
      </c>
      <c r="CU1241" t="s">
        <v>1442</v>
      </c>
    </row>
    <row r="1242" spans="1:99">
      <c r="A1242" t="s">
        <v>3047</v>
      </c>
      <c r="B1242" t="s">
        <v>34</v>
      </c>
      <c r="C1242" t="s">
        <v>2991</v>
      </c>
      <c r="D1242" t="s">
        <v>2992</v>
      </c>
      <c r="E1242" t="s">
        <v>1886</v>
      </c>
      <c r="F1242" t="s">
        <v>2993</v>
      </c>
      <c r="G1242" t="s">
        <v>2066</v>
      </c>
      <c r="H1242" t="s">
        <v>2994</v>
      </c>
      <c r="I1242" t="s">
        <v>240</v>
      </c>
      <c r="J1242" t="s">
        <v>46</v>
      </c>
      <c r="K1242" t="s">
        <v>29</v>
      </c>
      <c r="L1242" t="s">
        <v>30</v>
      </c>
      <c r="M1242">
        <v>0</v>
      </c>
      <c r="N1242" t="s">
        <v>32</v>
      </c>
      <c r="O1242" t="s">
        <v>32</v>
      </c>
      <c r="Q1242" t="s">
        <v>32</v>
      </c>
      <c r="S1242" t="s">
        <v>32</v>
      </c>
      <c r="U1242" t="s">
        <v>32</v>
      </c>
      <c r="V1242" t="s">
        <v>32</v>
      </c>
      <c r="W1242" t="s">
        <v>32</v>
      </c>
      <c r="X1242" t="s">
        <v>32</v>
      </c>
      <c r="Y1242" t="s">
        <v>32</v>
      </c>
      <c r="AA1242" t="s">
        <v>32</v>
      </c>
      <c r="AB1242" t="s">
        <v>32</v>
      </c>
      <c r="AE1242" t="s">
        <v>32</v>
      </c>
      <c r="AH1242" t="s">
        <v>32</v>
      </c>
      <c r="AK1242" t="s">
        <v>74</v>
      </c>
      <c r="AL1242">
        <v>46054</v>
      </c>
      <c r="AM1242">
        <v>46057</v>
      </c>
      <c r="AN1242" t="s">
        <v>32</v>
      </c>
      <c r="AO1242" t="s">
        <v>32</v>
      </c>
      <c r="AR1242">
        <v>0</v>
      </c>
      <c r="AU1242" t="s">
        <v>32</v>
      </c>
      <c r="AV1242">
        <v>8428565</v>
      </c>
      <c r="AW1242" t="s">
        <v>32</v>
      </c>
      <c r="AX1242" t="s">
        <v>32</v>
      </c>
      <c r="AY1242" t="s">
        <v>185</v>
      </c>
      <c r="AZ1242">
        <v>4</v>
      </c>
      <c r="BA1242">
        <v>1055220</v>
      </c>
      <c r="BB1242">
        <v>0.15999999642372131</v>
      </c>
      <c r="BC1242">
        <v>168900</v>
      </c>
      <c r="BD1242" t="s">
        <v>31</v>
      </c>
      <c r="BE1242">
        <v>0</v>
      </c>
      <c r="BF1242">
        <v>0</v>
      </c>
      <c r="BG1242">
        <v>5300</v>
      </c>
      <c r="BH1242">
        <v>5300</v>
      </c>
      <c r="BI1242">
        <v>0</v>
      </c>
      <c r="BJ1242">
        <v>179500</v>
      </c>
      <c r="BK1242" t="s">
        <v>25</v>
      </c>
      <c r="BL1242" t="s">
        <v>1071</v>
      </c>
      <c r="BM1242">
        <v>4</v>
      </c>
      <c r="BN1242">
        <v>1055220</v>
      </c>
      <c r="BO1242">
        <v>3.9999999105930328E-2</v>
      </c>
      <c r="BP1242">
        <v>42300</v>
      </c>
      <c r="BQ1242">
        <v>0</v>
      </c>
      <c r="BS1242">
        <v>0</v>
      </c>
      <c r="BU1242">
        <v>0</v>
      </c>
      <c r="BV1242" t="s">
        <v>25</v>
      </c>
      <c r="BW1242" t="s">
        <v>189</v>
      </c>
      <c r="BX1242">
        <v>4</v>
      </c>
      <c r="BY1242">
        <v>1055220</v>
      </c>
      <c r="BZ1242">
        <v>0</v>
      </c>
      <c r="CA1242" t="s">
        <v>1439</v>
      </c>
      <c r="CB1242" t="s">
        <v>227</v>
      </c>
      <c r="CC1242" t="s">
        <v>1440</v>
      </c>
      <c r="CD1242">
        <v>0</v>
      </c>
      <c r="CE1242">
        <v>4</v>
      </c>
      <c r="CF1242" t="s">
        <v>635</v>
      </c>
      <c r="CG1242">
        <v>1123809</v>
      </c>
      <c r="CH1242">
        <v>3.9999999105930328E-2</v>
      </c>
      <c r="CI1242">
        <v>45000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 t="s">
        <v>88</v>
      </c>
      <c r="CT1242" t="s">
        <v>142</v>
      </c>
      <c r="CU1242" t="s">
        <v>1442</v>
      </c>
    </row>
    <row r="1243" spans="1:99">
      <c r="A1243" t="s">
        <v>3047</v>
      </c>
      <c r="B1243" t="s">
        <v>34</v>
      </c>
      <c r="C1243" t="s">
        <v>2991</v>
      </c>
      <c r="D1243" t="s">
        <v>2992</v>
      </c>
      <c r="E1243" t="s">
        <v>1886</v>
      </c>
      <c r="F1243" t="s">
        <v>2993</v>
      </c>
      <c r="G1243" t="s">
        <v>2066</v>
      </c>
      <c r="H1243" t="s">
        <v>2994</v>
      </c>
      <c r="I1243" t="s">
        <v>240</v>
      </c>
      <c r="J1243" t="s">
        <v>46</v>
      </c>
      <c r="K1243" t="s">
        <v>29</v>
      </c>
      <c r="L1243" t="s">
        <v>30</v>
      </c>
      <c r="M1243">
        <v>153</v>
      </c>
      <c r="N1243" t="s">
        <v>32</v>
      </c>
      <c r="O1243" t="s">
        <v>32</v>
      </c>
      <c r="Q1243" t="s">
        <v>32</v>
      </c>
      <c r="S1243" t="s">
        <v>32</v>
      </c>
      <c r="U1243" t="s">
        <v>32</v>
      </c>
      <c r="V1243" t="s">
        <v>32</v>
      </c>
      <c r="W1243" t="s">
        <v>32</v>
      </c>
      <c r="X1243" t="s">
        <v>32</v>
      </c>
      <c r="Y1243" t="s">
        <v>88</v>
      </c>
      <c r="Z1243">
        <v>46054</v>
      </c>
      <c r="AA1243" t="s">
        <v>88</v>
      </c>
      <c r="AB1243" t="s">
        <v>32</v>
      </c>
      <c r="AE1243" t="s">
        <v>32</v>
      </c>
      <c r="AH1243" t="s">
        <v>32</v>
      </c>
      <c r="AK1243" t="s">
        <v>32</v>
      </c>
      <c r="AN1243" t="s">
        <v>32</v>
      </c>
      <c r="AO1243" t="s">
        <v>32</v>
      </c>
      <c r="AR1243">
        <v>0</v>
      </c>
      <c r="AU1243" t="s">
        <v>32</v>
      </c>
      <c r="AV1243">
        <v>8428565</v>
      </c>
      <c r="AW1243" t="s">
        <v>32</v>
      </c>
      <c r="AX1243" t="s">
        <v>32</v>
      </c>
      <c r="AY1243" t="s">
        <v>185</v>
      </c>
      <c r="AZ1243">
        <v>26</v>
      </c>
      <c r="BA1243">
        <v>7304757</v>
      </c>
      <c r="BB1243">
        <v>0.15999999642372131</v>
      </c>
      <c r="BC1243">
        <v>1168800</v>
      </c>
      <c r="BD1243" t="s">
        <v>31</v>
      </c>
      <c r="BE1243">
        <v>0</v>
      </c>
      <c r="BF1243">
        <v>0</v>
      </c>
      <c r="BG1243">
        <v>36600</v>
      </c>
      <c r="BH1243">
        <v>36600</v>
      </c>
      <c r="BI1243">
        <v>0</v>
      </c>
      <c r="BJ1243">
        <v>1242000</v>
      </c>
      <c r="BK1243" t="s">
        <v>25</v>
      </c>
      <c r="BL1243" t="s">
        <v>1071</v>
      </c>
      <c r="BM1243">
        <v>26</v>
      </c>
      <c r="BN1243">
        <v>7304757</v>
      </c>
      <c r="BO1243">
        <v>3.9999999105930328E-2</v>
      </c>
      <c r="BP1243">
        <v>292200</v>
      </c>
      <c r="BQ1243">
        <v>0</v>
      </c>
      <c r="BS1243">
        <v>0</v>
      </c>
      <c r="BU1243">
        <v>0</v>
      </c>
      <c r="BV1243" t="s">
        <v>25</v>
      </c>
      <c r="BW1243" t="s">
        <v>189</v>
      </c>
      <c r="BX1243">
        <v>26</v>
      </c>
      <c r="BY1243">
        <v>7304757</v>
      </c>
      <c r="BZ1243">
        <v>6.9600000977516174E-2</v>
      </c>
      <c r="CA1243" t="s">
        <v>1439</v>
      </c>
      <c r="CB1243" t="s">
        <v>227</v>
      </c>
      <c r="CC1243" t="s">
        <v>1440</v>
      </c>
      <c r="CD1243">
        <v>508500</v>
      </c>
      <c r="CE1243">
        <v>26</v>
      </c>
      <c r="CF1243" t="s">
        <v>635</v>
      </c>
      <c r="CG1243">
        <v>7304757</v>
      </c>
      <c r="CH1243">
        <v>3.9999999105930328E-2</v>
      </c>
      <c r="CI1243">
        <v>292200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 t="s">
        <v>88</v>
      </c>
      <c r="CT1243" t="s">
        <v>142</v>
      </c>
      <c r="CU1243" t="s">
        <v>1442</v>
      </c>
    </row>
    <row r="1244" spans="1:99">
      <c r="A1244" t="s">
        <v>3047</v>
      </c>
      <c r="B1244" t="s">
        <v>34</v>
      </c>
      <c r="C1244" t="s">
        <v>2995</v>
      </c>
      <c r="D1244" t="s">
        <v>3068</v>
      </c>
      <c r="E1244" t="s">
        <v>756</v>
      </c>
      <c r="F1244" t="s">
        <v>2887</v>
      </c>
      <c r="G1244" t="s">
        <v>1742</v>
      </c>
      <c r="H1244" t="s">
        <v>2511</v>
      </c>
      <c r="I1244" t="s">
        <v>240</v>
      </c>
      <c r="J1244" t="s">
        <v>46</v>
      </c>
      <c r="K1244" t="s">
        <v>29</v>
      </c>
      <c r="L1244" t="s">
        <v>30</v>
      </c>
      <c r="M1244">
        <v>0</v>
      </c>
      <c r="N1244" t="s">
        <v>32</v>
      </c>
      <c r="O1244" t="s">
        <v>32</v>
      </c>
      <c r="Q1244" t="s">
        <v>32</v>
      </c>
      <c r="S1244" t="s">
        <v>32</v>
      </c>
      <c r="U1244" t="s">
        <v>32</v>
      </c>
      <c r="V1244" t="s">
        <v>32</v>
      </c>
      <c r="W1244" t="s">
        <v>32</v>
      </c>
      <c r="X1244" t="s">
        <v>32</v>
      </c>
      <c r="Y1244" t="s">
        <v>32</v>
      </c>
      <c r="AA1244" t="s">
        <v>32</v>
      </c>
      <c r="AB1244" t="s">
        <v>37</v>
      </c>
      <c r="AC1244">
        <v>46054</v>
      </c>
      <c r="AD1244">
        <v>46055</v>
      </c>
      <c r="AE1244" t="s">
        <v>32</v>
      </c>
      <c r="AH1244" t="s">
        <v>32</v>
      </c>
      <c r="AK1244" t="s">
        <v>32</v>
      </c>
      <c r="AN1244" t="s">
        <v>32</v>
      </c>
      <c r="AO1244" t="s">
        <v>32</v>
      </c>
      <c r="AR1244">
        <v>0</v>
      </c>
      <c r="AU1244" t="s">
        <v>32</v>
      </c>
      <c r="AV1244">
        <v>2223339</v>
      </c>
      <c r="AW1244" t="s">
        <v>32</v>
      </c>
      <c r="AX1244" t="s">
        <v>32</v>
      </c>
      <c r="AY1244" t="s">
        <v>356</v>
      </c>
      <c r="AZ1244">
        <v>2</v>
      </c>
      <c r="BA1244">
        <v>148223</v>
      </c>
      <c r="BB1244">
        <v>0.15999999642372131</v>
      </c>
      <c r="BC1244">
        <v>23800</v>
      </c>
      <c r="BD1244" t="s">
        <v>31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23800</v>
      </c>
      <c r="BK1244" t="s">
        <v>25</v>
      </c>
      <c r="BL1244" t="s">
        <v>1010</v>
      </c>
      <c r="BM1244">
        <v>2</v>
      </c>
      <c r="BN1244">
        <v>148223</v>
      </c>
      <c r="BO1244">
        <v>0</v>
      </c>
      <c r="BP1244">
        <v>0</v>
      </c>
      <c r="BQ1244">
        <v>0</v>
      </c>
      <c r="BS1244">
        <v>0</v>
      </c>
      <c r="BU1244">
        <v>0</v>
      </c>
      <c r="BV1244" t="s">
        <v>25</v>
      </c>
      <c r="BW1244" t="s">
        <v>189</v>
      </c>
      <c r="BX1244">
        <v>2</v>
      </c>
      <c r="BY1244">
        <v>148223</v>
      </c>
      <c r="BZ1244">
        <v>0</v>
      </c>
      <c r="CA1244" t="s">
        <v>1439</v>
      </c>
      <c r="CB1244" t="s">
        <v>227</v>
      </c>
      <c r="CC1244" t="s">
        <v>1440</v>
      </c>
      <c r="CD1244">
        <v>0</v>
      </c>
      <c r="CE1244">
        <v>2</v>
      </c>
      <c r="CF1244" t="s">
        <v>635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 t="s">
        <v>88</v>
      </c>
      <c r="CT1244" t="s">
        <v>142</v>
      </c>
      <c r="CU1244" t="s">
        <v>1442</v>
      </c>
    </row>
    <row r="1245" spans="1:99">
      <c r="A1245" t="s">
        <v>3047</v>
      </c>
      <c r="B1245" t="s">
        <v>34</v>
      </c>
      <c r="C1245" t="s">
        <v>2995</v>
      </c>
      <c r="D1245" t="s">
        <v>3068</v>
      </c>
      <c r="E1245" t="s">
        <v>756</v>
      </c>
      <c r="F1245" t="s">
        <v>2887</v>
      </c>
      <c r="G1245" t="s">
        <v>1742</v>
      </c>
      <c r="H1245" t="s">
        <v>2511</v>
      </c>
      <c r="I1245" t="s">
        <v>240</v>
      </c>
      <c r="J1245" t="s">
        <v>46</v>
      </c>
      <c r="K1245" t="s">
        <v>29</v>
      </c>
      <c r="L1245" t="s">
        <v>30</v>
      </c>
      <c r="M1245">
        <v>213</v>
      </c>
      <c r="N1245" t="s">
        <v>32</v>
      </c>
      <c r="O1245" t="s">
        <v>32</v>
      </c>
      <c r="Q1245" t="s">
        <v>32</v>
      </c>
      <c r="S1245" t="s">
        <v>40</v>
      </c>
      <c r="T1245">
        <v>46081</v>
      </c>
      <c r="U1245" t="s">
        <v>32</v>
      </c>
      <c r="V1245" t="s">
        <v>32</v>
      </c>
      <c r="W1245" t="s">
        <v>32</v>
      </c>
      <c r="X1245" t="s">
        <v>32</v>
      </c>
      <c r="Y1245" t="s">
        <v>32</v>
      </c>
      <c r="AA1245" t="s">
        <v>88</v>
      </c>
      <c r="AB1245" t="s">
        <v>32</v>
      </c>
      <c r="AE1245" t="s">
        <v>32</v>
      </c>
      <c r="AH1245" t="s">
        <v>32</v>
      </c>
      <c r="AK1245" t="s">
        <v>32</v>
      </c>
      <c r="AN1245" t="s">
        <v>32</v>
      </c>
      <c r="AO1245" t="s">
        <v>32</v>
      </c>
      <c r="AR1245">
        <v>0</v>
      </c>
      <c r="AU1245" t="s">
        <v>32</v>
      </c>
      <c r="AV1245">
        <v>2223339</v>
      </c>
      <c r="AW1245" t="s">
        <v>32</v>
      </c>
      <c r="AX1245" t="s">
        <v>32</v>
      </c>
      <c r="AY1245" t="s">
        <v>356</v>
      </c>
      <c r="AZ1245">
        <v>28</v>
      </c>
      <c r="BA1245">
        <v>3585149</v>
      </c>
      <c r="BB1245">
        <v>0.15999999642372131</v>
      </c>
      <c r="BC1245">
        <v>573700</v>
      </c>
      <c r="BD1245" t="s">
        <v>31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573700</v>
      </c>
      <c r="BK1245" t="s">
        <v>25</v>
      </c>
      <c r="BL1245" t="s">
        <v>1010</v>
      </c>
      <c r="BM1245">
        <v>28</v>
      </c>
      <c r="BN1245">
        <v>3585149</v>
      </c>
      <c r="BO1245">
        <v>3.9999999105930328E-2</v>
      </c>
      <c r="BP1245">
        <v>143500</v>
      </c>
      <c r="BQ1245">
        <v>0</v>
      </c>
      <c r="BS1245">
        <v>0</v>
      </c>
      <c r="BU1245">
        <v>0</v>
      </c>
      <c r="BV1245" t="s">
        <v>25</v>
      </c>
      <c r="BW1245" t="s">
        <v>189</v>
      </c>
      <c r="BX1245">
        <v>28</v>
      </c>
      <c r="BY1245">
        <v>3585149</v>
      </c>
      <c r="BZ1245">
        <v>6.9600000977516174E-2</v>
      </c>
      <c r="CA1245" t="s">
        <v>1439</v>
      </c>
      <c r="CB1245" t="s">
        <v>227</v>
      </c>
      <c r="CC1245" t="s">
        <v>1440</v>
      </c>
      <c r="CD1245">
        <v>249600</v>
      </c>
      <c r="CE1245">
        <v>28</v>
      </c>
      <c r="CF1245" t="s">
        <v>635</v>
      </c>
      <c r="CG1245">
        <v>4234152</v>
      </c>
      <c r="CH1245">
        <v>3.9999999105930328E-2</v>
      </c>
      <c r="CI1245">
        <v>169400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 t="s">
        <v>88</v>
      </c>
      <c r="CT1245" t="s">
        <v>142</v>
      </c>
      <c r="CU1245" t="s">
        <v>1442</v>
      </c>
    </row>
    <row r="1246" spans="1:99">
      <c r="A1246" t="s">
        <v>3047</v>
      </c>
      <c r="B1246" t="s">
        <v>34</v>
      </c>
      <c r="C1246" t="s">
        <v>2997</v>
      </c>
      <c r="D1246" t="s">
        <v>2998</v>
      </c>
      <c r="E1246" t="s">
        <v>734</v>
      </c>
      <c r="F1246" t="s">
        <v>2999</v>
      </c>
      <c r="G1246" t="s">
        <v>1790</v>
      </c>
      <c r="H1246" t="s">
        <v>1558</v>
      </c>
      <c r="I1246" t="s">
        <v>99</v>
      </c>
      <c r="J1246" t="s">
        <v>226</v>
      </c>
      <c r="K1246" t="s">
        <v>29</v>
      </c>
      <c r="L1246" t="s">
        <v>30</v>
      </c>
      <c r="M1246">
        <v>188</v>
      </c>
      <c r="N1246" t="s">
        <v>32</v>
      </c>
      <c r="O1246" t="s">
        <v>32</v>
      </c>
      <c r="Q1246" t="s">
        <v>32</v>
      </c>
      <c r="S1246" t="s">
        <v>32</v>
      </c>
      <c r="U1246" t="s">
        <v>32</v>
      </c>
      <c r="V1246" t="s">
        <v>32</v>
      </c>
      <c r="W1246" t="s">
        <v>32</v>
      </c>
      <c r="X1246" t="s">
        <v>32</v>
      </c>
      <c r="Y1246" t="s">
        <v>88</v>
      </c>
      <c r="Z1246">
        <v>46054</v>
      </c>
      <c r="AA1246" t="s">
        <v>88</v>
      </c>
      <c r="AB1246" t="s">
        <v>32</v>
      </c>
      <c r="AE1246" t="s">
        <v>32</v>
      </c>
      <c r="AH1246" t="s">
        <v>32</v>
      </c>
      <c r="AK1246" t="s">
        <v>32</v>
      </c>
      <c r="AN1246" t="s">
        <v>32</v>
      </c>
      <c r="AO1246" t="s">
        <v>32</v>
      </c>
      <c r="AR1246">
        <v>0</v>
      </c>
      <c r="AU1246" t="s">
        <v>32</v>
      </c>
      <c r="AV1246">
        <v>9729530</v>
      </c>
      <c r="AW1246" t="s">
        <v>32</v>
      </c>
      <c r="AX1246" t="s">
        <v>32</v>
      </c>
      <c r="AY1246" t="s">
        <v>185</v>
      </c>
      <c r="AZ1246">
        <v>30</v>
      </c>
      <c r="BA1246">
        <v>11704368</v>
      </c>
      <c r="BB1246">
        <v>0.15999999642372131</v>
      </c>
      <c r="BC1246">
        <v>1872700</v>
      </c>
      <c r="BD1246" t="s">
        <v>31</v>
      </c>
      <c r="BE1246">
        <v>0</v>
      </c>
      <c r="BF1246">
        <v>0</v>
      </c>
      <c r="BG1246">
        <v>58600</v>
      </c>
      <c r="BH1246">
        <v>58600</v>
      </c>
      <c r="BI1246">
        <v>0</v>
      </c>
      <c r="BJ1246">
        <v>1989900</v>
      </c>
      <c r="BK1246" t="s">
        <v>25</v>
      </c>
      <c r="BL1246" t="s">
        <v>1010</v>
      </c>
      <c r="BM1246">
        <v>30</v>
      </c>
      <c r="BN1246">
        <v>11704368</v>
      </c>
      <c r="BO1246">
        <v>0.125</v>
      </c>
      <c r="BP1246">
        <v>1463100</v>
      </c>
      <c r="BQ1246">
        <v>0</v>
      </c>
      <c r="BS1246">
        <v>0</v>
      </c>
      <c r="BU1246">
        <v>0</v>
      </c>
      <c r="BV1246" t="s">
        <v>25</v>
      </c>
      <c r="BW1246" t="s">
        <v>189</v>
      </c>
      <c r="BX1246">
        <v>30</v>
      </c>
      <c r="BY1246">
        <v>11704368</v>
      </c>
      <c r="BZ1246">
        <v>6.9600000977516174E-2</v>
      </c>
      <c r="CA1246" t="s">
        <v>1439</v>
      </c>
      <c r="CB1246" t="s">
        <v>389</v>
      </c>
      <c r="CC1246" t="s">
        <v>1440</v>
      </c>
      <c r="CD1246">
        <v>814700</v>
      </c>
      <c r="CE1246">
        <v>30</v>
      </c>
      <c r="CF1246" t="s">
        <v>749</v>
      </c>
      <c r="CG1246">
        <v>9729530</v>
      </c>
      <c r="CH1246">
        <v>3.9999999105930328E-2</v>
      </c>
      <c r="CI1246">
        <v>389200</v>
      </c>
      <c r="CJ1246">
        <v>9729530</v>
      </c>
      <c r="CK1246">
        <v>1.9999999552965164E-2</v>
      </c>
      <c r="CL1246">
        <v>194600</v>
      </c>
      <c r="CM1246">
        <v>2.9999999329447746E-2</v>
      </c>
      <c r="CN1246">
        <v>291900</v>
      </c>
      <c r="CO1246">
        <v>0</v>
      </c>
      <c r="CP1246">
        <v>0</v>
      </c>
      <c r="CQ1246">
        <v>0</v>
      </c>
      <c r="CR1246">
        <v>0</v>
      </c>
      <c r="CS1246" t="s">
        <v>32</v>
      </c>
      <c r="CT1246" t="s">
        <v>142</v>
      </c>
      <c r="CU1246" t="s">
        <v>1442</v>
      </c>
    </row>
    <row r="1247" spans="1:99">
      <c r="A1247" t="s">
        <v>3047</v>
      </c>
      <c r="B1247" t="s">
        <v>34</v>
      </c>
      <c r="C1247" t="s">
        <v>3000</v>
      </c>
      <c r="D1247" t="s">
        <v>3001</v>
      </c>
      <c r="E1247" t="s">
        <v>3002</v>
      </c>
      <c r="F1247" t="s">
        <v>3003</v>
      </c>
      <c r="G1247" t="s">
        <v>3004</v>
      </c>
      <c r="H1247" t="s">
        <v>1781</v>
      </c>
      <c r="I1247" t="s">
        <v>240</v>
      </c>
      <c r="J1247" t="s">
        <v>46</v>
      </c>
      <c r="K1247" t="s">
        <v>29</v>
      </c>
      <c r="L1247" t="s">
        <v>30</v>
      </c>
      <c r="M1247">
        <v>188</v>
      </c>
      <c r="N1247" t="s">
        <v>32</v>
      </c>
      <c r="O1247" t="s">
        <v>32</v>
      </c>
      <c r="Q1247" t="s">
        <v>32</v>
      </c>
      <c r="S1247" t="s">
        <v>32</v>
      </c>
      <c r="U1247" t="s">
        <v>32</v>
      </c>
      <c r="V1247" t="s">
        <v>32</v>
      </c>
      <c r="W1247" t="s">
        <v>32</v>
      </c>
      <c r="X1247" t="s">
        <v>32</v>
      </c>
      <c r="Y1247" t="s">
        <v>32</v>
      </c>
      <c r="AA1247" t="s">
        <v>88</v>
      </c>
      <c r="AB1247" t="s">
        <v>32</v>
      </c>
      <c r="AE1247" t="s">
        <v>32</v>
      </c>
      <c r="AH1247" t="s">
        <v>32</v>
      </c>
      <c r="AK1247" t="s">
        <v>32</v>
      </c>
      <c r="AN1247" t="s">
        <v>32</v>
      </c>
      <c r="AO1247" t="s">
        <v>32</v>
      </c>
      <c r="AR1247">
        <v>0</v>
      </c>
      <c r="AU1247" t="s">
        <v>32</v>
      </c>
      <c r="AV1247">
        <v>16882380</v>
      </c>
      <c r="AW1247" t="s">
        <v>32</v>
      </c>
      <c r="AX1247" t="s">
        <v>88</v>
      </c>
      <c r="AY1247" t="s">
        <v>185</v>
      </c>
      <c r="AZ1247">
        <v>30</v>
      </c>
      <c r="BA1247">
        <v>16882380</v>
      </c>
      <c r="BB1247">
        <v>0.15999999642372131</v>
      </c>
      <c r="BC1247">
        <v>2701200</v>
      </c>
      <c r="BD1247" t="s">
        <v>31</v>
      </c>
      <c r="BE1247">
        <v>0</v>
      </c>
      <c r="BF1247">
        <v>0</v>
      </c>
      <c r="BG1247">
        <v>84500</v>
      </c>
      <c r="BH1247">
        <v>84500</v>
      </c>
      <c r="BI1247">
        <v>0</v>
      </c>
      <c r="BJ1247">
        <v>2870200</v>
      </c>
      <c r="BK1247" t="s">
        <v>25</v>
      </c>
      <c r="BL1247" t="s">
        <v>187</v>
      </c>
      <c r="BM1247">
        <v>30</v>
      </c>
      <c r="BN1247">
        <v>16882380</v>
      </c>
      <c r="BO1247">
        <v>3.9999999105930328E-2</v>
      </c>
      <c r="BP1247">
        <v>675300</v>
      </c>
      <c r="BQ1247">
        <v>0</v>
      </c>
      <c r="BS1247">
        <v>0</v>
      </c>
      <c r="BU1247">
        <v>0</v>
      </c>
      <c r="BV1247" t="s">
        <v>25</v>
      </c>
      <c r="BW1247" t="s">
        <v>189</v>
      </c>
      <c r="BX1247">
        <v>30</v>
      </c>
      <c r="BY1247">
        <v>16882380</v>
      </c>
      <c r="BZ1247">
        <v>6.9600000977516174E-2</v>
      </c>
      <c r="CA1247" t="s">
        <v>1439</v>
      </c>
      <c r="CB1247" t="s">
        <v>227</v>
      </c>
      <c r="CC1247" t="s">
        <v>1440</v>
      </c>
      <c r="CD1247">
        <v>1175100</v>
      </c>
      <c r="CE1247">
        <v>30</v>
      </c>
      <c r="CF1247" t="s">
        <v>635</v>
      </c>
      <c r="CG1247">
        <v>16882380</v>
      </c>
      <c r="CH1247">
        <v>3.9999999105930328E-2</v>
      </c>
      <c r="CI1247">
        <v>675300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 t="s">
        <v>88</v>
      </c>
      <c r="CT1247" t="s">
        <v>142</v>
      </c>
      <c r="CU1247" t="s">
        <v>1442</v>
      </c>
    </row>
    <row r="1248" spans="1:99">
      <c r="A1248" t="s">
        <v>3047</v>
      </c>
      <c r="B1248" t="s">
        <v>34</v>
      </c>
      <c r="C1248" t="s">
        <v>3005</v>
      </c>
      <c r="D1248" t="s">
        <v>3006</v>
      </c>
      <c r="E1248" t="s">
        <v>1729</v>
      </c>
      <c r="F1248" t="s">
        <v>3007</v>
      </c>
      <c r="G1248" t="s">
        <v>3008</v>
      </c>
      <c r="H1248" t="s">
        <v>3009</v>
      </c>
      <c r="I1248" t="s">
        <v>240</v>
      </c>
      <c r="J1248" t="s">
        <v>46</v>
      </c>
      <c r="K1248" t="s">
        <v>29</v>
      </c>
      <c r="L1248" t="s">
        <v>30</v>
      </c>
      <c r="M1248">
        <v>0</v>
      </c>
      <c r="N1248" t="s">
        <v>32</v>
      </c>
      <c r="O1248" t="s">
        <v>32</v>
      </c>
      <c r="Q1248" t="s">
        <v>32</v>
      </c>
      <c r="S1248" t="s">
        <v>32</v>
      </c>
      <c r="U1248" t="s">
        <v>32</v>
      </c>
      <c r="V1248" t="s">
        <v>32</v>
      </c>
      <c r="W1248" t="s">
        <v>32</v>
      </c>
      <c r="X1248" t="s">
        <v>32</v>
      </c>
      <c r="Y1248" t="s">
        <v>32</v>
      </c>
      <c r="AA1248" t="s">
        <v>32</v>
      </c>
      <c r="AB1248" t="s">
        <v>32</v>
      </c>
      <c r="AE1248" t="s">
        <v>32</v>
      </c>
      <c r="AH1248" t="s">
        <v>32</v>
      </c>
      <c r="AK1248" t="s">
        <v>128</v>
      </c>
      <c r="AL1248">
        <v>46058</v>
      </c>
      <c r="AM1248">
        <v>46058</v>
      </c>
      <c r="AN1248" t="s">
        <v>32</v>
      </c>
      <c r="AO1248" t="s">
        <v>32</v>
      </c>
      <c r="AR1248">
        <v>0</v>
      </c>
      <c r="AU1248" t="s">
        <v>32</v>
      </c>
      <c r="AV1248">
        <v>3415855</v>
      </c>
      <c r="AW1248" t="s">
        <v>32</v>
      </c>
      <c r="AX1248" t="s">
        <v>32</v>
      </c>
      <c r="AY1248" t="s">
        <v>185</v>
      </c>
      <c r="AZ1248">
        <v>1</v>
      </c>
      <c r="BA1248">
        <v>113862</v>
      </c>
      <c r="BB1248">
        <v>0.15999999642372131</v>
      </c>
      <c r="BC1248">
        <v>18300</v>
      </c>
      <c r="BD1248" t="s">
        <v>31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18300</v>
      </c>
      <c r="BK1248" t="s">
        <v>25</v>
      </c>
      <c r="BL1248" t="s">
        <v>187</v>
      </c>
      <c r="BM1248">
        <v>1</v>
      </c>
      <c r="BN1248">
        <v>113862</v>
      </c>
      <c r="BO1248">
        <v>3.9999999105930328E-2</v>
      </c>
      <c r="BP1248">
        <v>4600</v>
      </c>
      <c r="BQ1248">
        <v>0</v>
      </c>
      <c r="BS1248">
        <v>0</v>
      </c>
      <c r="BU1248">
        <v>0</v>
      </c>
      <c r="BV1248" t="s">
        <v>25</v>
      </c>
      <c r="BW1248" t="s">
        <v>189</v>
      </c>
      <c r="BX1248">
        <v>1</v>
      </c>
      <c r="BY1248">
        <v>113862</v>
      </c>
      <c r="BZ1248">
        <v>0</v>
      </c>
      <c r="CA1248" t="s">
        <v>1439</v>
      </c>
      <c r="CB1248" t="s">
        <v>227</v>
      </c>
      <c r="CC1248" t="s">
        <v>1440</v>
      </c>
      <c r="CD1248">
        <v>0</v>
      </c>
      <c r="CE1248">
        <v>1</v>
      </c>
      <c r="CF1248" t="s">
        <v>635</v>
      </c>
      <c r="CG1248">
        <v>113862</v>
      </c>
      <c r="CH1248">
        <v>3.9999999105930328E-2</v>
      </c>
      <c r="CI1248">
        <v>4600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 t="s">
        <v>88</v>
      </c>
      <c r="CT1248" t="s">
        <v>142</v>
      </c>
      <c r="CU1248" t="s">
        <v>1442</v>
      </c>
    </row>
    <row r="1249" spans="1:99">
      <c r="A1249" t="s">
        <v>3047</v>
      </c>
      <c r="B1249" t="s">
        <v>34</v>
      </c>
      <c r="C1249" t="s">
        <v>3005</v>
      </c>
      <c r="D1249" t="s">
        <v>3006</v>
      </c>
      <c r="E1249" t="s">
        <v>1729</v>
      </c>
      <c r="F1249" t="s">
        <v>3007</v>
      </c>
      <c r="G1249" t="s">
        <v>3008</v>
      </c>
      <c r="H1249" t="s">
        <v>3009</v>
      </c>
      <c r="I1249" t="s">
        <v>240</v>
      </c>
      <c r="J1249" t="s">
        <v>46</v>
      </c>
      <c r="K1249" t="s">
        <v>29</v>
      </c>
      <c r="L1249" t="s">
        <v>30</v>
      </c>
      <c r="M1249">
        <v>171</v>
      </c>
      <c r="N1249" t="s">
        <v>32</v>
      </c>
      <c r="O1249" t="s">
        <v>32</v>
      </c>
      <c r="Q1249" t="s">
        <v>32</v>
      </c>
      <c r="S1249" t="s">
        <v>32</v>
      </c>
      <c r="U1249" t="s">
        <v>32</v>
      </c>
      <c r="V1249" t="s">
        <v>32</v>
      </c>
      <c r="W1249" t="s">
        <v>32</v>
      </c>
      <c r="X1249" t="s">
        <v>32</v>
      </c>
      <c r="Y1249" t="s">
        <v>32</v>
      </c>
      <c r="AA1249" t="s">
        <v>88</v>
      </c>
      <c r="AB1249" t="s">
        <v>32</v>
      </c>
      <c r="AE1249" t="s">
        <v>32</v>
      </c>
      <c r="AH1249" t="s">
        <v>32</v>
      </c>
      <c r="AK1249" t="s">
        <v>32</v>
      </c>
      <c r="AN1249" t="s">
        <v>32</v>
      </c>
      <c r="AO1249" t="s">
        <v>32</v>
      </c>
      <c r="AR1249">
        <v>0</v>
      </c>
      <c r="AU1249" t="s">
        <v>32</v>
      </c>
      <c r="AV1249">
        <v>3415855</v>
      </c>
      <c r="AW1249" t="s">
        <v>32</v>
      </c>
      <c r="AX1249" t="s">
        <v>32</v>
      </c>
      <c r="AY1249" t="s">
        <v>185</v>
      </c>
      <c r="AZ1249">
        <v>29</v>
      </c>
      <c r="BA1249">
        <v>3301994</v>
      </c>
      <c r="BB1249">
        <v>0.15999999642372131</v>
      </c>
      <c r="BC1249">
        <v>528400</v>
      </c>
      <c r="BD1249" t="s">
        <v>31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528400</v>
      </c>
      <c r="BK1249" t="s">
        <v>25</v>
      </c>
      <c r="BL1249" t="s">
        <v>187</v>
      </c>
      <c r="BM1249">
        <v>29</v>
      </c>
      <c r="BN1249">
        <v>3301994</v>
      </c>
      <c r="BO1249">
        <v>3.9999999105930328E-2</v>
      </c>
      <c r="BP1249">
        <v>132100</v>
      </c>
      <c r="BQ1249">
        <v>0</v>
      </c>
      <c r="BS1249">
        <v>0</v>
      </c>
      <c r="BU1249">
        <v>0</v>
      </c>
      <c r="BV1249" t="s">
        <v>25</v>
      </c>
      <c r="BW1249" t="s">
        <v>189</v>
      </c>
      <c r="BX1249">
        <v>29</v>
      </c>
      <c r="BY1249">
        <v>3301994</v>
      </c>
      <c r="BZ1249">
        <v>6.9600000977516174E-2</v>
      </c>
      <c r="CA1249" t="s">
        <v>1439</v>
      </c>
      <c r="CB1249" t="s">
        <v>227</v>
      </c>
      <c r="CC1249" t="s">
        <v>1440</v>
      </c>
      <c r="CD1249">
        <v>229900</v>
      </c>
      <c r="CE1249">
        <v>29</v>
      </c>
      <c r="CF1249" t="s">
        <v>635</v>
      </c>
      <c r="CG1249">
        <v>3301994</v>
      </c>
      <c r="CH1249">
        <v>3.9999999105930328E-2</v>
      </c>
      <c r="CI1249">
        <v>132100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 t="s">
        <v>88</v>
      </c>
      <c r="CT1249" t="s">
        <v>142</v>
      </c>
      <c r="CU1249" t="s">
        <v>1442</v>
      </c>
    </row>
    <row r="1250" spans="1:99">
      <c r="A1250" t="s">
        <v>3047</v>
      </c>
      <c r="B1250" t="s">
        <v>34</v>
      </c>
      <c r="C1250" t="s">
        <v>3010</v>
      </c>
      <c r="D1250" t="s">
        <v>3011</v>
      </c>
      <c r="E1250" t="s">
        <v>2581</v>
      </c>
      <c r="F1250" t="s">
        <v>1471</v>
      </c>
      <c r="G1250" t="s">
        <v>2410</v>
      </c>
      <c r="H1250" t="s">
        <v>1468</v>
      </c>
      <c r="I1250" t="s">
        <v>240</v>
      </c>
      <c r="J1250" t="s">
        <v>46</v>
      </c>
      <c r="K1250" t="s">
        <v>29</v>
      </c>
      <c r="L1250" t="s">
        <v>30</v>
      </c>
      <c r="M1250">
        <v>188</v>
      </c>
      <c r="N1250" t="s">
        <v>32</v>
      </c>
      <c r="O1250" t="s">
        <v>32</v>
      </c>
      <c r="Q1250" t="s">
        <v>32</v>
      </c>
      <c r="S1250" t="s">
        <v>32</v>
      </c>
      <c r="U1250" t="s">
        <v>32</v>
      </c>
      <c r="V1250" t="s">
        <v>32</v>
      </c>
      <c r="W1250" t="s">
        <v>32</v>
      </c>
      <c r="X1250" t="s">
        <v>32</v>
      </c>
      <c r="Y1250" t="s">
        <v>32</v>
      </c>
      <c r="AA1250" t="s">
        <v>88</v>
      </c>
      <c r="AB1250" t="s">
        <v>32</v>
      </c>
      <c r="AE1250" t="s">
        <v>32</v>
      </c>
      <c r="AH1250" t="s">
        <v>32</v>
      </c>
      <c r="AK1250" t="s">
        <v>32</v>
      </c>
      <c r="AN1250" t="s">
        <v>32</v>
      </c>
      <c r="AO1250" t="s">
        <v>32</v>
      </c>
      <c r="AR1250">
        <v>0</v>
      </c>
      <c r="AU1250" t="s">
        <v>32</v>
      </c>
      <c r="AV1250">
        <v>11650406</v>
      </c>
      <c r="AW1250" t="s">
        <v>32</v>
      </c>
      <c r="AX1250" t="s">
        <v>32</v>
      </c>
      <c r="AY1250" t="s">
        <v>185</v>
      </c>
      <c r="AZ1250">
        <v>30</v>
      </c>
      <c r="BA1250">
        <v>11650406</v>
      </c>
      <c r="BB1250">
        <v>0.15999999642372131</v>
      </c>
      <c r="BC1250">
        <v>1864100</v>
      </c>
      <c r="BD1250" t="s">
        <v>31</v>
      </c>
      <c r="BE1250">
        <v>0</v>
      </c>
      <c r="BF1250">
        <v>0</v>
      </c>
      <c r="BG1250">
        <v>58300</v>
      </c>
      <c r="BH1250">
        <v>58300</v>
      </c>
      <c r="BI1250">
        <v>0</v>
      </c>
      <c r="BJ1250">
        <v>1980700</v>
      </c>
      <c r="BK1250" t="s">
        <v>25</v>
      </c>
      <c r="BL1250" t="s">
        <v>635</v>
      </c>
      <c r="BM1250">
        <v>30</v>
      </c>
      <c r="BN1250">
        <v>11650406</v>
      </c>
      <c r="BO1250">
        <v>3.9999999105930328E-2</v>
      </c>
      <c r="BP1250">
        <v>466100</v>
      </c>
      <c r="BQ1250">
        <v>0</v>
      </c>
      <c r="BS1250">
        <v>0</v>
      </c>
      <c r="BU1250">
        <v>0</v>
      </c>
      <c r="BV1250" t="s">
        <v>25</v>
      </c>
      <c r="BW1250" t="s">
        <v>189</v>
      </c>
      <c r="BX1250">
        <v>30</v>
      </c>
      <c r="BY1250">
        <v>11650406</v>
      </c>
      <c r="BZ1250">
        <v>6.9600000977516174E-2</v>
      </c>
      <c r="CA1250" t="s">
        <v>1439</v>
      </c>
      <c r="CB1250" t="s">
        <v>227</v>
      </c>
      <c r="CC1250" t="s">
        <v>1440</v>
      </c>
      <c r="CD1250">
        <v>810900</v>
      </c>
      <c r="CE1250">
        <v>30</v>
      </c>
      <c r="CF1250" t="s">
        <v>635</v>
      </c>
      <c r="CG1250">
        <v>11650406</v>
      </c>
      <c r="CH1250">
        <v>3.9999999105930328E-2</v>
      </c>
      <c r="CI1250">
        <v>466100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 t="s">
        <v>88</v>
      </c>
      <c r="CT1250" t="s">
        <v>142</v>
      </c>
      <c r="CU1250" t="s">
        <v>1442</v>
      </c>
    </row>
    <row r="1251" spans="1:99">
      <c r="A1251" t="s">
        <v>3047</v>
      </c>
      <c r="B1251" t="s">
        <v>34</v>
      </c>
      <c r="C1251" t="s">
        <v>3012</v>
      </c>
      <c r="D1251" t="s">
        <v>3013</v>
      </c>
      <c r="E1251" t="s">
        <v>3014</v>
      </c>
      <c r="F1251" t="s">
        <v>3015</v>
      </c>
      <c r="G1251" t="s">
        <v>1709</v>
      </c>
      <c r="H1251" t="s">
        <v>1558</v>
      </c>
      <c r="I1251" t="s">
        <v>240</v>
      </c>
      <c r="J1251" t="s">
        <v>46</v>
      </c>
      <c r="K1251" t="s">
        <v>29</v>
      </c>
      <c r="L1251" t="s">
        <v>30</v>
      </c>
      <c r="M1251">
        <v>180</v>
      </c>
      <c r="N1251" t="s">
        <v>32</v>
      </c>
      <c r="O1251" t="s">
        <v>32</v>
      </c>
      <c r="Q1251" t="s">
        <v>32</v>
      </c>
      <c r="S1251" t="s">
        <v>32</v>
      </c>
      <c r="U1251" t="s">
        <v>32</v>
      </c>
      <c r="V1251" t="s">
        <v>32</v>
      </c>
      <c r="W1251" t="s">
        <v>32</v>
      </c>
      <c r="X1251" t="s">
        <v>32</v>
      </c>
      <c r="Y1251" t="s">
        <v>88</v>
      </c>
      <c r="Z1251">
        <v>46054</v>
      </c>
      <c r="AA1251" t="s">
        <v>88</v>
      </c>
      <c r="AB1251" t="s">
        <v>32</v>
      </c>
      <c r="AE1251" t="s">
        <v>32</v>
      </c>
      <c r="AH1251" t="s">
        <v>32</v>
      </c>
      <c r="AK1251" t="s">
        <v>32</v>
      </c>
      <c r="AN1251" t="s">
        <v>32</v>
      </c>
      <c r="AO1251" t="s">
        <v>32</v>
      </c>
      <c r="AR1251">
        <v>0</v>
      </c>
      <c r="AU1251" t="s">
        <v>32</v>
      </c>
      <c r="AV1251">
        <v>4937231</v>
      </c>
      <c r="AW1251" t="s">
        <v>32</v>
      </c>
      <c r="AX1251" t="s">
        <v>32</v>
      </c>
      <c r="AY1251" t="s">
        <v>185</v>
      </c>
      <c r="AZ1251">
        <v>30</v>
      </c>
      <c r="BA1251">
        <v>5616084</v>
      </c>
      <c r="BB1251">
        <v>0.15999999642372131</v>
      </c>
      <c r="BC1251">
        <v>898600</v>
      </c>
      <c r="BD1251" t="s">
        <v>31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898600</v>
      </c>
      <c r="BK1251" t="s">
        <v>25</v>
      </c>
      <c r="BL1251" t="s">
        <v>1010</v>
      </c>
      <c r="BM1251">
        <v>30</v>
      </c>
      <c r="BN1251">
        <v>5616084</v>
      </c>
      <c r="BO1251">
        <v>3.9999999105930328E-2</v>
      </c>
      <c r="BP1251">
        <v>224700</v>
      </c>
      <c r="BQ1251">
        <v>0</v>
      </c>
      <c r="BS1251">
        <v>0</v>
      </c>
      <c r="BU1251">
        <v>0</v>
      </c>
      <c r="BV1251" t="s">
        <v>25</v>
      </c>
      <c r="BW1251" t="s">
        <v>189</v>
      </c>
      <c r="BX1251">
        <v>30</v>
      </c>
      <c r="BY1251">
        <v>5616084</v>
      </c>
      <c r="BZ1251">
        <v>6.9600000977516174E-2</v>
      </c>
      <c r="CA1251" t="s">
        <v>1439</v>
      </c>
      <c r="CB1251" t="s">
        <v>227</v>
      </c>
      <c r="CC1251" t="s">
        <v>1440</v>
      </c>
      <c r="CD1251">
        <v>390900</v>
      </c>
      <c r="CE1251">
        <v>30</v>
      </c>
      <c r="CF1251" t="s">
        <v>635</v>
      </c>
      <c r="CG1251">
        <v>4937231</v>
      </c>
      <c r="CH1251">
        <v>3.9999999105930328E-2</v>
      </c>
      <c r="CI1251">
        <v>197500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 t="s">
        <v>88</v>
      </c>
      <c r="CT1251" t="s">
        <v>142</v>
      </c>
      <c r="CU1251" t="s">
        <v>1442</v>
      </c>
    </row>
    <row r="1252" spans="1:99">
      <c r="A1252" t="s">
        <v>3047</v>
      </c>
      <c r="B1252" t="s">
        <v>34</v>
      </c>
      <c r="C1252" t="s">
        <v>3016</v>
      </c>
      <c r="D1252" t="s">
        <v>3017</v>
      </c>
      <c r="E1252" t="s">
        <v>2302</v>
      </c>
      <c r="F1252" t="s">
        <v>3018</v>
      </c>
      <c r="G1252" t="s">
        <v>2070</v>
      </c>
      <c r="H1252" t="s">
        <v>3019</v>
      </c>
      <c r="I1252" t="s">
        <v>240</v>
      </c>
      <c r="J1252" t="s">
        <v>46</v>
      </c>
      <c r="K1252" t="s">
        <v>29</v>
      </c>
      <c r="L1252" t="s">
        <v>30</v>
      </c>
      <c r="M1252">
        <v>0</v>
      </c>
      <c r="N1252" t="s">
        <v>32</v>
      </c>
      <c r="O1252" t="s">
        <v>32</v>
      </c>
      <c r="Q1252" t="s">
        <v>32</v>
      </c>
      <c r="S1252" t="s">
        <v>32</v>
      </c>
      <c r="U1252" t="s">
        <v>32</v>
      </c>
      <c r="V1252" t="s">
        <v>32</v>
      </c>
      <c r="W1252" t="s">
        <v>32</v>
      </c>
      <c r="X1252" t="s">
        <v>32</v>
      </c>
      <c r="Y1252" t="s">
        <v>32</v>
      </c>
      <c r="AA1252" t="s">
        <v>32</v>
      </c>
      <c r="AB1252" t="s">
        <v>32</v>
      </c>
      <c r="AE1252" t="s">
        <v>32</v>
      </c>
      <c r="AH1252" t="s">
        <v>32</v>
      </c>
      <c r="AK1252" t="s">
        <v>128</v>
      </c>
      <c r="AL1252">
        <v>46069</v>
      </c>
      <c r="AM1252">
        <v>46071</v>
      </c>
      <c r="AN1252" t="s">
        <v>32</v>
      </c>
      <c r="AO1252" t="s">
        <v>32</v>
      </c>
      <c r="AR1252">
        <v>0</v>
      </c>
      <c r="AU1252" t="s">
        <v>32</v>
      </c>
      <c r="AV1252">
        <v>6167245</v>
      </c>
      <c r="AW1252" t="s">
        <v>32</v>
      </c>
      <c r="AX1252" t="s">
        <v>88</v>
      </c>
      <c r="AY1252" t="s">
        <v>185</v>
      </c>
      <c r="AZ1252">
        <v>3</v>
      </c>
      <c r="BA1252">
        <v>616725</v>
      </c>
      <c r="BB1252">
        <v>0.15999999642372131</v>
      </c>
      <c r="BC1252">
        <v>98700</v>
      </c>
      <c r="BD1252" t="s">
        <v>31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98700</v>
      </c>
      <c r="BK1252" t="s">
        <v>25</v>
      </c>
      <c r="BL1252" t="s">
        <v>1010</v>
      </c>
      <c r="BM1252">
        <v>3</v>
      </c>
      <c r="BN1252">
        <v>616725</v>
      </c>
      <c r="BO1252">
        <v>3.9999999105930328E-2</v>
      </c>
      <c r="BP1252">
        <v>24700</v>
      </c>
      <c r="BQ1252">
        <v>0</v>
      </c>
      <c r="BS1252">
        <v>0</v>
      </c>
      <c r="BU1252">
        <v>0</v>
      </c>
      <c r="BV1252" t="s">
        <v>25</v>
      </c>
      <c r="BW1252" t="s">
        <v>189</v>
      </c>
      <c r="BX1252">
        <v>3</v>
      </c>
      <c r="BY1252">
        <v>616725</v>
      </c>
      <c r="BZ1252">
        <v>0</v>
      </c>
      <c r="CA1252" t="s">
        <v>1439</v>
      </c>
      <c r="CB1252" t="s">
        <v>227</v>
      </c>
      <c r="CC1252" t="s">
        <v>1440</v>
      </c>
      <c r="CD1252">
        <v>0</v>
      </c>
      <c r="CE1252">
        <v>3</v>
      </c>
      <c r="CF1252" t="s">
        <v>635</v>
      </c>
      <c r="CG1252">
        <v>616725</v>
      </c>
      <c r="CH1252">
        <v>3.9999999105930328E-2</v>
      </c>
      <c r="CI1252">
        <v>24700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 t="s">
        <v>88</v>
      </c>
      <c r="CT1252" t="s">
        <v>142</v>
      </c>
      <c r="CU1252" t="s">
        <v>1442</v>
      </c>
    </row>
    <row r="1253" spans="1:99">
      <c r="A1253" t="s">
        <v>3047</v>
      </c>
      <c r="B1253" t="s">
        <v>34</v>
      </c>
      <c r="C1253" t="s">
        <v>3016</v>
      </c>
      <c r="D1253" t="s">
        <v>3017</v>
      </c>
      <c r="E1253" t="s">
        <v>2302</v>
      </c>
      <c r="F1253" t="s">
        <v>3018</v>
      </c>
      <c r="G1253" t="s">
        <v>2070</v>
      </c>
      <c r="H1253" t="s">
        <v>3019</v>
      </c>
      <c r="I1253" t="s">
        <v>240</v>
      </c>
      <c r="J1253" t="s">
        <v>46</v>
      </c>
      <c r="K1253" t="s">
        <v>29</v>
      </c>
      <c r="L1253" t="s">
        <v>30</v>
      </c>
      <c r="M1253">
        <v>153</v>
      </c>
      <c r="N1253" t="s">
        <v>32</v>
      </c>
      <c r="O1253" t="s">
        <v>32</v>
      </c>
      <c r="Q1253" t="s">
        <v>32</v>
      </c>
      <c r="S1253" t="s">
        <v>32</v>
      </c>
      <c r="U1253" t="s">
        <v>32</v>
      </c>
      <c r="V1253" t="s">
        <v>32</v>
      </c>
      <c r="W1253" t="s">
        <v>32</v>
      </c>
      <c r="X1253" t="s">
        <v>32</v>
      </c>
      <c r="Y1253" t="s">
        <v>88</v>
      </c>
      <c r="Z1253">
        <v>46054</v>
      </c>
      <c r="AA1253" t="s">
        <v>88</v>
      </c>
      <c r="AB1253" t="s">
        <v>32</v>
      </c>
      <c r="AE1253" t="s">
        <v>32</v>
      </c>
      <c r="AH1253" t="s">
        <v>32</v>
      </c>
      <c r="AK1253" t="s">
        <v>32</v>
      </c>
      <c r="AN1253" t="s">
        <v>32</v>
      </c>
      <c r="AO1253" t="s">
        <v>32</v>
      </c>
      <c r="AR1253">
        <v>0</v>
      </c>
      <c r="AU1253" t="s">
        <v>32</v>
      </c>
      <c r="AV1253">
        <v>6167245</v>
      </c>
      <c r="AW1253" t="s">
        <v>32</v>
      </c>
      <c r="AX1253" t="s">
        <v>88</v>
      </c>
      <c r="AY1253" t="s">
        <v>185</v>
      </c>
      <c r="AZ1253">
        <v>27</v>
      </c>
      <c r="BA1253">
        <v>5550521</v>
      </c>
      <c r="BB1253">
        <v>0.15999999642372131</v>
      </c>
      <c r="BC1253">
        <v>888100</v>
      </c>
      <c r="BD1253" t="s">
        <v>31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888100</v>
      </c>
      <c r="BK1253" t="s">
        <v>25</v>
      </c>
      <c r="BL1253" t="s">
        <v>1010</v>
      </c>
      <c r="BM1253">
        <v>27</v>
      </c>
      <c r="BN1253">
        <v>5550521</v>
      </c>
      <c r="BO1253">
        <v>3.9999999105930328E-2</v>
      </c>
      <c r="BP1253">
        <v>222100</v>
      </c>
      <c r="BQ1253">
        <v>0</v>
      </c>
      <c r="BS1253">
        <v>0</v>
      </c>
      <c r="BU1253">
        <v>0</v>
      </c>
      <c r="BV1253" t="s">
        <v>25</v>
      </c>
      <c r="BW1253" t="s">
        <v>189</v>
      </c>
      <c r="BX1253">
        <v>27</v>
      </c>
      <c r="BY1253">
        <v>5550521</v>
      </c>
      <c r="BZ1253">
        <v>6.9600000977516174E-2</v>
      </c>
      <c r="CA1253" t="s">
        <v>1439</v>
      </c>
      <c r="CB1253" t="s">
        <v>227</v>
      </c>
      <c r="CC1253" t="s">
        <v>1440</v>
      </c>
      <c r="CD1253">
        <v>386400</v>
      </c>
      <c r="CE1253">
        <v>27</v>
      </c>
      <c r="CF1253" t="s">
        <v>635</v>
      </c>
      <c r="CG1253">
        <v>5550521</v>
      </c>
      <c r="CH1253">
        <v>3.9999999105930328E-2</v>
      </c>
      <c r="CI1253">
        <v>222100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 t="s">
        <v>88</v>
      </c>
      <c r="CT1253" t="s">
        <v>142</v>
      </c>
      <c r="CU1253" t="s">
        <v>1442</v>
      </c>
    </row>
    <row r="1254" spans="1:99">
      <c r="A1254" t="s">
        <v>3047</v>
      </c>
      <c r="B1254" t="s">
        <v>34</v>
      </c>
      <c r="C1254" t="s">
        <v>3020</v>
      </c>
      <c r="D1254" t="s">
        <v>3021</v>
      </c>
      <c r="E1254" t="s">
        <v>1575</v>
      </c>
      <c r="F1254" t="s">
        <v>3022</v>
      </c>
      <c r="G1254" t="s">
        <v>1489</v>
      </c>
      <c r="H1254" t="s">
        <v>1991</v>
      </c>
      <c r="I1254" t="s">
        <v>240</v>
      </c>
      <c r="J1254" t="s">
        <v>46</v>
      </c>
      <c r="K1254" t="s">
        <v>29</v>
      </c>
      <c r="L1254" t="s">
        <v>30</v>
      </c>
      <c r="M1254">
        <v>0</v>
      </c>
      <c r="N1254" t="s">
        <v>32</v>
      </c>
      <c r="O1254" t="s">
        <v>32</v>
      </c>
      <c r="Q1254" t="s">
        <v>32</v>
      </c>
      <c r="S1254" t="s">
        <v>32</v>
      </c>
      <c r="U1254" t="s">
        <v>32</v>
      </c>
      <c r="V1254" t="s">
        <v>32</v>
      </c>
      <c r="W1254" t="s">
        <v>32</v>
      </c>
      <c r="X1254" t="s">
        <v>32</v>
      </c>
      <c r="Y1254" t="s">
        <v>32</v>
      </c>
      <c r="AA1254" t="s">
        <v>32</v>
      </c>
      <c r="AB1254" t="s">
        <v>32</v>
      </c>
      <c r="AE1254" t="s">
        <v>1492</v>
      </c>
      <c r="AF1254">
        <v>46054</v>
      </c>
      <c r="AG1254">
        <v>46055</v>
      </c>
      <c r="AH1254" t="s">
        <v>32</v>
      </c>
      <c r="AK1254" t="s">
        <v>32</v>
      </c>
      <c r="AN1254" t="s">
        <v>32</v>
      </c>
      <c r="AO1254" t="s">
        <v>32</v>
      </c>
      <c r="AR1254">
        <v>0</v>
      </c>
      <c r="AU1254" t="s">
        <v>32</v>
      </c>
      <c r="AV1254">
        <v>2223339</v>
      </c>
      <c r="AW1254" t="s">
        <v>32</v>
      </c>
      <c r="AX1254" t="s">
        <v>32</v>
      </c>
      <c r="AY1254" t="s">
        <v>185</v>
      </c>
      <c r="AZ1254">
        <v>2</v>
      </c>
      <c r="BA1254">
        <v>255500</v>
      </c>
      <c r="BB1254">
        <v>0.15999999642372131</v>
      </c>
      <c r="BC1254">
        <v>40900</v>
      </c>
      <c r="BD1254" t="s">
        <v>31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40900</v>
      </c>
      <c r="BK1254" t="s">
        <v>25</v>
      </c>
      <c r="BL1254" t="s">
        <v>1064</v>
      </c>
      <c r="BM1254">
        <v>2</v>
      </c>
      <c r="BN1254">
        <v>255500</v>
      </c>
      <c r="BO1254">
        <v>3.9999999105930328E-2</v>
      </c>
      <c r="BP1254">
        <v>10300</v>
      </c>
      <c r="BQ1254">
        <v>0</v>
      </c>
      <c r="BS1254">
        <v>0</v>
      </c>
      <c r="BU1254">
        <v>0</v>
      </c>
      <c r="BV1254" t="s">
        <v>25</v>
      </c>
      <c r="BW1254" t="s">
        <v>189</v>
      </c>
      <c r="BX1254">
        <v>2</v>
      </c>
      <c r="BY1254">
        <v>255500</v>
      </c>
      <c r="BZ1254">
        <v>0</v>
      </c>
      <c r="CA1254" t="s">
        <v>1439</v>
      </c>
      <c r="CB1254" t="s">
        <v>227</v>
      </c>
      <c r="CC1254" t="s">
        <v>1440</v>
      </c>
      <c r="CD1254">
        <v>0</v>
      </c>
      <c r="CE1254">
        <v>2</v>
      </c>
      <c r="CF1254" t="s">
        <v>635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 t="s">
        <v>88</v>
      </c>
      <c r="CT1254" t="s">
        <v>142</v>
      </c>
      <c r="CU1254" t="s">
        <v>1442</v>
      </c>
    </row>
    <row r="1255" spans="1:99">
      <c r="A1255" t="s">
        <v>3047</v>
      </c>
      <c r="B1255" t="s">
        <v>34</v>
      </c>
      <c r="C1255" t="s">
        <v>3020</v>
      </c>
      <c r="D1255" t="s">
        <v>3021</v>
      </c>
      <c r="E1255" t="s">
        <v>1575</v>
      </c>
      <c r="F1255" t="s">
        <v>3022</v>
      </c>
      <c r="G1255" t="s">
        <v>1489</v>
      </c>
      <c r="H1255" t="s">
        <v>1991</v>
      </c>
      <c r="I1255" t="s">
        <v>240</v>
      </c>
      <c r="J1255" t="s">
        <v>46</v>
      </c>
      <c r="K1255" t="s">
        <v>29</v>
      </c>
      <c r="L1255" t="s">
        <v>30</v>
      </c>
      <c r="M1255">
        <v>0</v>
      </c>
      <c r="N1255" t="s">
        <v>32</v>
      </c>
      <c r="O1255" t="s">
        <v>32</v>
      </c>
      <c r="Q1255" t="s">
        <v>32</v>
      </c>
      <c r="S1255" t="s">
        <v>32</v>
      </c>
      <c r="U1255" t="s">
        <v>32</v>
      </c>
      <c r="V1255" t="s">
        <v>32</v>
      </c>
      <c r="W1255" t="s">
        <v>32</v>
      </c>
      <c r="X1255" t="s">
        <v>32</v>
      </c>
      <c r="Y1255" t="s">
        <v>32</v>
      </c>
      <c r="AA1255" t="s">
        <v>32</v>
      </c>
      <c r="AB1255" t="s">
        <v>32</v>
      </c>
      <c r="AE1255" t="s">
        <v>32</v>
      </c>
      <c r="AH1255" t="s">
        <v>32</v>
      </c>
      <c r="AK1255" t="s">
        <v>32</v>
      </c>
      <c r="AN1255" t="s">
        <v>32</v>
      </c>
      <c r="AO1255" t="s">
        <v>32</v>
      </c>
      <c r="AR1255">
        <v>10</v>
      </c>
      <c r="AS1255">
        <v>46072</v>
      </c>
      <c r="AT1255">
        <v>46081</v>
      </c>
      <c r="AU1255" t="s">
        <v>32</v>
      </c>
      <c r="AV1255">
        <v>2223339</v>
      </c>
      <c r="AW1255" t="s">
        <v>32</v>
      </c>
      <c r="AX1255" t="s">
        <v>32</v>
      </c>
      <c r="AY1255" t="s">
        <v>185</v>
      </c>
      <c r="AZ1255">
        <v>10</v>
      </c>
      <c r="BA1255">
        <v>1277500</v>
      </c>
      <c r="BB1255">
        <v>0.15999999642372131</v>
      </c>
      <c r="BC1255">
        <v>204400</v>
      </c>
      <c r="BD1255" t="s">
        <v>31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204400</v>
      </c>
      <c r="BK1255" t="s">
        <v>25</v>
      </c>
      <c r="BL1255" t="s">
        <v>1064</v>
      </c>
      <c r="BM1255">
        <v>10</v>
      </c>
      <c r="BN1255">
        <v>1277500</v>
      </c>
      <c r="BO1255">
        <v>3.9999999105930328E-2</v>
      </c>
      <c r="BP1255">
        <v>51100</v>
      </c>
      <c r="BQ1255">
        <v>0</v>
      </c>
      <c r="BS1255">
        <v>0</v>
      </c>
      <c r="BU1255">
        <v>0</v>
      </c>
      <c r="BV1255" t="s">
        <v>25</v>
      </c>
      <c r="BW1255" t="s">
        <v>189</v>
      </c>
      <c r="BX1255">
        <v>10</v>
      </c>
      <c r="BY1255">
        <v>1277500</v>
      </c>
      <c r="BZ1255">
        <v>0</v>
      </c>
      <c r="CA1255" t="s">
        <v>1439</v>
      </c>
      <c r="CB1255" t="s">
        <v>227</v>
      </c>
      <c r="CC1255" t="s">
        <v>1440</v>
      </c>
      <c r="CD1255">
        <v>0</v>
      </c>
      <c r="CE1255">
        <v>10</v>
      </c>
      <c r="CF1255" t="s">
        <v>635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 t="s">
        <v>88</v>
      </c>
      <c r="CT1255" t="s">
        <v>142</v>
      </c>
      <c r="CU1255" t="s">
        <v>1442</v>
      </c>
    </row>
    <row r="1256" spans="1:99">
      <c r="A1256" t="s">
        <v>3047</v>
      </c>
      <c r="B1256" t="s">
        <v>34</v>
      </c>
      <c r="C1256" t="s">
        <v>3020</v>
      </c>
      <c r="D1256" t="s">
        <v>3021</v>
      </c>
      <c r="E1256" t="s">
        <v>1575</v>
      </c>
      <c r="F1256" t="s">
        <v>3022</v>
      </c>
      <c r="G1256" t="s">
        <v>1489</v>
      </c>
      <c r="H1256" t="s">
        <v>1991</v>
      </c>
      <c r="I1256" t="s">
        <v>240</v>
      </c>
      <c r="J1256" t="s">
        <v>46</v>
      </c>
      <c r="K1256" t="s">
        <v>29</v>
      </c>
      <c r="L1256" t="s">
        <v>30</v>
      </c>
      <c r="M1256">
        <v>140</v>
      </c>
      <c r="N1256" t="s">
        <v>32</v>
      </c>
      <c r="O1256" t="s">
        <v>32</v>
      </c>
      <c r="Q1256" t="s">
        <v>32</v>
      </c>
      <c r="S1256" t="s">
        <v>32</v>
      </c>
      <c r="U1256" t="s">
        <v>32</v>
      </c>
      <c r="V1256" t="s">
        <v>32</v>
      </c>
      <c r="W1256" t="s">
        <v>32</v>
      </c>
      <c r="X1256" t="s">
        <v>32</v>
      </c>
      <c r="Y1256" t="s">
        <v>32</v>
      </c>
      <c r="AA1256" t="s">
        <v>88</v>
      </c>
      <c r="AB1256" t="s">
        <v>32</v>
      </c>
      <c r="AE1256" t="s">
        <v>32</v>
      </c>
      <c r="AH1256" t="s">
        <v>32</v>
      </c>
      <c r="AK1256" t="s">
        <v>32</v>
      </c>
      <c r="AN1256" t="s">
        <v>32</v>
      </c>
      <c r="AO1256" t="s">
        <v>32</v>
      </c>
      <c r="AR1256">
        <v>0</v>
      </c>
      <c r="AU1256" t="s">
        <v>32</v>
      </c>
      <c r="AV1256">
        <v>2223339</v>
      </c>
      <c r="AW1256" t="s">
        <v>32</v>
      </c>
      <c r="AX1256" t="s">
        <v>32</v>
      </c>
      <c r="AY1256" t="s">
        <v>185</v>
      </c>
      <c r="AZ1256">
        <v>18</v>
      </c>
      <c r="BA1256">
        <v>2056842</v>
      </c>
      <c r="BB1256">
        <v>0.15999999642372131</v>
      </c>
      <c r="BC1256">
        <v>329100</v>
      </c>
      <c r="BD1256" t="s">
        <v>31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329100</v>
      </c>
      <c r="BK1256" t="s">
        <v>25</v>
      </c>
      <c r="BL1256" t="s">
        <v>1064</v>
      </c>
      <c r="BM1256">
        <v>18</v>
      </c>
      <c r="BN1256">
        <v>2056842</v>
      </c>
      <c r="BO1256">
        <v>3.9999999105930328E-2</v>
      </c>
      <c r="BP1256">
        <v>82300</v>
      </c>
      <c r="BQ1256">
        <v>0</v>
      </c>
      <c r="BS1256">
        <v>0</v>
      </c>
      <c r="BU1256">
        <v>0</v>
      </c>
      <c r="BV1256" t="s">
        <v>25</v>
      </c>
      <c r="BW1256" t="s">
        <v>189</v>
      </c>
      <c r="BX1256">
        <v>18</v>
      </c>
      <c r="BY1256">
        <v>2056842</v>
      </c>
      <c r="BZ1256">
        <v>6.9600000977516174E-2</v>
      </c>
      <c r="CA1256" t="s">
        <v>1439</v>
      </c>
      <c r="CB1256" t="s">
        <v>227</v>
      </c>
      <c r="CC1256" t="s">
        <v>1440</v>
      </c>
      <c r="CD1256">
        <v>143200</v>
      </c>
      <c r="CE1256">
        <v>18</v>
      </c>
      <c r="CF1256" t="s">
        <v>635</v>
      </c>
      <c r="CG1256">
        <v>2056842</v>
      </c>
      <c r="CH1256">
        <v>3.9999999105930328E-2</v>
      </c>
      <c r="CI1256">
        <v>82300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 t="s">
        <v>88</v>
      </c>
      <c r="CT1256" t="s">
        <v>142</v>
      </c>
      <c r="CU1256" t="s">
        <v>1442</v>
      </c>
    </row>
    <row r="1257" spans="1:99">
      <c r="A1257" t="s">
        <v>3047</v>
      </c>
      <c r="B1257" t="s">
        <v>34</v>
      </c>
      <c r="C1257" t="s">
        <v>3023</v>
      </c>
      <c r="D1257" t="s">
        <v>3024</v>
      </c>
      <c r="E1257" t="s">
        <v>1483</v>
      </c>
      <c r="F1257" t="s">
        <v>3025</v>
      </c>
      <c r="G1257" t="s">
        <v>1436</v>
      </c>
      <c r="H1257" t="s">
        <v>1437</v>
      </c>
      <c r="I1257" t="s">
        <v>240</v>
      </c>
      <c r="J1257" t="s">
        <v>46</v>
      </c>
      <c r="K1257" t="s">
        <v>29</v>
      </c>
      <c r="L1257" t="s">
        <v>30</v>
      </c>
      <c r="M1257">
        <v>68</v>
      </c>
      <c r="N1257" t="s">
        <v>32</v>
      </c>
      <c r="O1257" t="s">
        <v>32</v>
      </c>
      <c r="Q1257" t="s">
        <v>32</v>
      </c>
      <c r="S1257" t="s">
        <v>40</v>
      </c>
      <c r="T1257">
        <v>46060</v>
      </c>
      <c r="U1257" t="s">
        <v>32</v>
      </c>
      <c r="V1257" t="s">
        <v>32</v>
      </c>
      <c r="W1257" t="s">
        <v>32</v>
      </c>
      <c r="X1257" t="s">
        <v>32</v>
      </c>
      <c r="Y1257" t="s">
        <v>32</v>
      </c>
      <c r="AA1257" t="s">
        <v>88</v>
      </c>
      <c r="AB1257" t="s">
        <v>32</v>
      </c>
      <c r="AE1257" t="s">
        <v>32</v>
      </c>
      <c r="AH1257" t="s">
        <v>32</v>
      </c>
      <c r="AK1257" t="s">
        <v>32</v>
      </c>
      <c r="AN1257" t="s">
        <v>32</v>
      </c>
      <c r="AO1257" t="s">
        <v>32</v>
      </c>
      <c r="AR1257">
        <v>0</v>
      </c>
      <c r="AU1257" t="s">
        <v>32</v>
      </c>
      <c r="AV1257">
        <v>2665550</v>
      </c>
      <c r="AW1257" t="s">
        <v>32</v>
      </c>
      <c r="AX1257" t="s">
        <v>88</v>
      </c>
      <c r="AY1257" t="s">
        <v>356</v>
      </c>
      <c r="AZ1257">
        <v>7</v>
      </c>
      <c r="BA1257">
        <v>1757051</v>
      </c>
      <c r="BB1257">
        <v>0.15999999642372131</v>
      </c>
      <c r="BC1257">
        <v>281200</v>
      </c>
      <c r="BD1257" t="s">
        <v>31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281200</v>
      </c>
      <c r="BK1257" t="s">
        <v>25</v>
      </c>
      <c r="BL1257" t="s">
        <v>1010</v>
      </c>
      <c r="BM1257">
        <v>7</v>
      </c>
      <c r="BN1257">
        <v>1757051</v>
      </c>
      <c r="BO1257">
        <v>3.9999999105930328E-2</v>
      </c>
      <c r="BP1257">
        <v>70300</v>
      </c>
      <c r="BQ1257">
        <v>0</v>
      </c>
      <c r="BS1257">
        <v>0</v>
      </c>
      <c r="BU1257">
        <v>0</v>
      </c>
      <c r="BV1257" t="s">
        <v>25</v>
      </c>
      <c r="BW1257" t="s">
        <v>189</v>
      </c>
      <c r="BX1257">
        <v>7</v>
      </c>
      <c r="BY1257">
        <v>1757051</v>
      </c>
      <c r="BZ1257">
        <v>6.9600000977516174E-2</v>
      </c>
      <c r="CA1257" t="s">
        <v>1439</v>
      </c>
      <c r="CB1257" t="s">
        <v>227</v>
      </c>
      <c r="CC1257" t="s">
        <v>1440</v>
      </c>
      <c r="CD1257">
        <v>122300</v>
      </c>
      <c r="CE1257">
        <v>7</v>
      </c>
      <c r="CF1257" t="s">
        <v>635</v>
      </c>
      <c r="CG1257">
        <v>2340224</v>
      </c>
      <c r="CH1257">
        <v>3.9999999105930328E-2</v>
      </c>
      <c r="CI1257">
        <v>93700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 t="s">
        <v>88</v>
      </c>
      <c r="CT1257" t="s">
        <v>142</v>
      </c>
      <c r="CU1257" t="s">
        <v>1442</v>
      </c>
    </row>
    <row r="1258" spans="1:99">
      <c r="A1258" t="s">
        <v>3047</v>
      </c>
      <c r="B1258" t="s">
        <v>34</v>
      </c>
      <c r="C1258" t="s">
        <v>3026</v>
      </c>
      <c r="D1258" t="s">
        <v>3027</v>
      </c>
      <c r="E1258" t="s">
        <v>2890</v>
      </c>
      <c r="F1258" t="s">
        <v>2847</v>
      </c>
      <c r="G1258" t="s">
        <v>1489</v>
      </c>
      <c r="H1258" t="s">
        <v>1725</v>
      </c>
      <c r="I1258" t="s">
        <v>240</v>
      </c>
      <c r="J1258" t="s">
        <v>46</v>
      </c>
      <c r="K1258" t="s">
        <v>29</v>
      </c>
      <c r="L1258" t="s">
        <v>30</v>
      </c>
      <c r="M1258">
        <v>180</v>
      </c>
      <c r="N1258" t="s">
        <v>32</v>
      </c>
      <c r="O1258" t="s">
        <v>32</v>
      </c>
      <c r="Q1258" t="s">
        <v>32</v>
      </c>
      <c r="S1258" t="s">
        <v>32</v>
      </c>
      <c r="U1258" t="s">
        <v>32</v>
      </c>
      <c r="V1258" t="s">
        <v>32</v>
      </c>
      <c r="W1258" t="s">
        <v>32</v>
      </c>
      <c r="X1258" t="s">
        <v>32</v>
      </c>
      <c r="Y1258" t="s">
        <v>32</v>
      </c>
      <c r="AA1258" t="s">
        <v>88</v>
      </c>
      <c r="AB1258" t="s">
        <v>32</v>
      </c>
      <c r="AE1258" t="s">
        <v>32</v>
      </c>
      <c r="AH1258" t="s">
        <v>32</v>
      </c>
      <c r="AK1258" t="s">
        <v>32</v>
      </c>
      <c r="AN1258" t="s">
        <v>32</v>
      </c>
      <c r="AO1258" t="s">
        <v>32</v>
      </c>
      <c r="AR1258">
        <v>0</v>
      </c>
      <c r="AU1258" t="s">
        <v>32</v>
      </c>
      <c r="AV1258">
        <v>16882380</v>
      </c>
      <c r="AW1258" t="s">
        <v>32</v>
      </c>
      <c r="AX1258" t="s">
        <v>32</v>
      </c>
      <c r="AY1258" t="s">
        <v>356</v>
      </c>
      <c r="AZ1258">
        <v>30</v>
      </c>
      <c r="BA1258">
        <v>16882380</v>
      </c>
      <c r="BB1258">
        <v>0.15999999642372131</v>
      </c>
      <c r="BC1258">
        <v>2701200</v>
      </c>
      <c r="BD1258" t="s">
        <v>31</v>
      </c>
      <c r="BE1258">
        <v>0</v>
      </c>
      <c r="BF1258">
        <v>0</v>
      </c>
      <c r="BG1258">
        <v>84500</v>
      </c>
      <c r="BH1258">
        <v>84500</v>
      </c>
      <c r="BI1258">
        <v>0</v>
      </c>
      <c r="BJ1258">
        <v>2870200</v>
      </c>
      <c r="BK1258" t="s">
        <v>25</v>
      </c>
      <c r="BL1258" t="s">
        <v>1071</v>
      </c>
      <c r="BM1258">
        <v>30</v>
      </c>
      <c r="BN1258">
        <v>16882380</v>
      </c>
      <c r="BO1258">
        <v>0.125</v>
      </c>
      <c r="BP1258">
        <v>2110300</v>
      </c>
      <c r="BQ1258">
        <v>0</v>
      </c>
      <c r="BS1258">
        <v>0</v>
      </c>
      <c r="BU1258">
        <v>0</v>
      </c>
      <c r="BV1258" t="s">
        <v>25</v>
      </c>
      <c r="BW1258" t="s">
        <v>189</v>
      </c>
      <c r="BX1258">
        <v>30</v>
      </c>
      <c r="BY1258">
        <v>16882380</v>
      </c>
      <c r="BZ1258">
        <v>6.9600000977516174E-2</v>
      </c>
      <c r="CA1258" t="s">
        <v>1439</v>
      </c>
      <c r="CB1258" t="s">
        <v>227</v>
      </c>
      <c r="CC1258" t="s">
        <v>1440</v>
      </c>
      <c r="CD1258">
        <v>1175100</v>
      </c>
      <c r="CE1258">
        <v>30</v>
      </c>
      <c r="CF1258" t="s">
        <v>635</v>
      </c>
      <c r="CG1258">
        <v>16882380</v>
      </c>
      <c r="CH1258">
        <v>3.9999999105930328E-2</v>
      </c>
      <c r="CI1258">
        <v>675300</v>
      </c>
      <c r="CJ1258">
        <v>16882380</v>
      </c>
      <c r="CK1258">
        <v>1.9999999552965164E-2</v>
      </c>
      <c r="CL1258">
        <v>337700</v>
      </c>
      <c r="CM1258">
        <v>2.9999999329447746E-2</v>
      </c>
      <c r="CN1258">
        <v>506500</v>
      </c>
      <c r="CO1258">
        <v>0</v>
      </c>
      <c r="CP1258">
        <v>0</v>
      </c>
      <c r="CQ1258">
        <v>0</v>
      </c>
      <c r="CR1258">
        <v>0</v>
      </c>
      <c r="CS1258" t="s">
        <v>32</v>
      </c>
      <c r="CT1258" t="s">
        <v>142</v>
      </c>
      <c r="CU1258" t="s">
        <v>1442</v>
      </c>
    </row>
    <row r="1259" spans="1:99">
      <c r="A1259" t="s">
        <v>3047</v>
      </c>
      <c r="B1259" t="s">
        <v>34</v>
      </c>
      <c r="C1259" t="s">
        <v>3028</v>
      </c>
      <c r="D1259" t="s">
        <v>3029</v>
      </c>
      <c r="E1259" t="s">
        <v>1882</v>
      </c>
      <c r="F1259" t="s">
        <v>3030</v>
      </c>
      <c r="G1259" t="s">
        <v>1455</v>
      </c>
      <c r="H1259" t="s">
        <v>2789</v>
      </c>
      <c r="I1259" t="s">
        <v>240</v>
      </c>
      <c r="J1259" t="s">
        <v>46</v>
      </c>
      <c r="K1259" t="s">
        <v>29</v>
      </c>
      <c r="L1259" t="s">
        <v>30</v>
      </c>
      <c r="M1259">
        <v>0</v>
      </c>
      <c r="N1259" t="s">
        <v>32</v>
      </c>
      <c r="O1259" t="s">
        <v>32</v>
      </c>
      <c r="Q1259" t="s">
        <v>32</v>
      </c>
      <c r="S1259" t="s">
        <v>32</v>
      </c>
      <c r="U1259" t="s">
        <v>32</v>
      </c>
      <c r="V1259" t="s">
        <v>32</v>
      </c>
      <c r="W1259" t="s">
        <v>32</v>
      </c>
      <c r="X1259" t="s">
        <v>32</v>
      </c>
      <c r="Y1259" t="s">
        <v>32</v>
      </c>
      <c r="AA1259" t="s">
        <v>32</v>
      </c>
      <c r="AB1259" t="s">
        <v>32</v>
      </c>
      <c r="AE1259" t="s">
        <v>32</v>
      </c>
      <c r="AH1259" t="s">
        <v>32</v>
      </c>
      <c r="AK1259" t="s">
        <v>128</v>
      </c>
      <c r="AL1259">
        <v>46054</v>
      </c>
      <c r="AM1259">
        <v>46060</v>
      </c>
      <c r="AN1259" t="s">
        <v>32</v>
      </c>
      <c r="AO1259" t="s">
        <v>32</v>
      </c>
      <c r="AR1259">
        <v>0</v>
      </c>
      <c r="AU1259" t="s">
        <v>32</v>
      </c>
      <c r="AV1259">
        <v>7458355</v>
      </c>
      <c r="AW1259" t="s">
        <v>32</v>
      </c>
      <c r="AX1259" t="s">
        <v>88</v>
      </c>
      <c r="AY1259" t="s">
        <v>185</v>
      </c>
      <c r="AZ1259">
        <v>7</v>
      </c>
      <c r="BA1259">
        <v>1740283</v>
      </c>
      <c r="BB1259">
        <v>0.15999999642372131</v>
      </c>
      <c r="BC1259">
        <v>278500</v>
      </c>
      <c r="BD1259" t="s">
        <v>31</v>
      </c>
      <c r="BE1259">
        <v>0</v>
      </c>
      <c r="BF1259">
        <v>0</v>
      </c>
      <c r="BG1259">
        <v>8800</v>
      </c>
      <c r="BH1259">
        <v>8800</v>
      </c>
      <c r="BI1259">
        <v>0</v>
      </c>
      <c r="BJ1259">
        <v>296100</v>
      </c>
      <c r="BK1259" t="s">
        <v>25</v>
      </c>
      <c r="BL1259" t="s">
        <v>635</v>
      </c>
      <c r="BM1259">
        <v>7</v>
      </c>
      <c r="BN1259">
        <v>1740283</v>
      </c>
      <c r="BO1259">
        <v>3.9999999105930328E-2</v>
      </c>
      <c r="BP1259">
        <v>69700</v>
      </c>
      <c r="BQ1259">
        <v>0</v>
      </c>
      <c r="BS1259">
        <v>0</v>
      </c>
      <c r="BU1259">
        <v>0</v>
      </c>
      <c r="BV1259" t="s">
        <v>25</v>
      </c>
      <c r="BW1259" t="s">
        <v>189</v>
      </c>
      <c r="BX1259">
        <v>7</v>
      </c>
      <c r="BY1259">
        <v>1740283</v>
      </c>
      <c r="BZ1259">
        <v>0</v>
      </c>
      <c r="CA1259" t="s">
        <v>1439</v>
      </c>
      <c r="CB1259" t="s">
        <v>227</v>
      </c>
      <c r="CC1259" t="s">
        <v>1440</v>
      </c>
      <c r="CD1259">
        <v>0</v>
      </c>
      <c r="CE1259">
        <v>7</v>
      </c>
      <c r="CF1259" t="s">
        <v>635</v>
      </c>
      <c r="CG1259">
        <v>1740283</v>
      </c>
      <c r="CH1259">
        <v>3.9999999105930328E-2</v>
      </c>
      <c r="CI1259">
        <v>69700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 t="s">
        <v>88</v>
      </c>
      <c r="CT1259" t="s">
        <v>142</v>
      </c>
      <c r="CU1259" t="s">
        <v>1442</v>
      </c>
    </row>
    <row r="1260" spans="1:99">
      <c r="A1260" t="s">
        <v>3047</v>
      </c>
      <c r="B1260" t="s">
        <v>34</v>
      </c>
      <c r="C1260" t="s">
        <v>3028</v>
      </c>
      <c r="D1260" t="s">
        <v>3029</v>
      </c>
      <c r="E1260" t="s">
        <v>1882</v>
      </c>
      <c r="F1260" t="s">
        <v>3030</v>
      </c>
      <c r="G1260" t="s">
        <v>1455</v>
      </c>
      <c r="H1260" t="s">
        <v>2789</v>
      </c>
      <c r="I1260" t="s">
        <v>240</v>
      </c>
      <c r="J1260" t="s">
        <v>46</v>
      </c>
      <c r="K1260" t="s">
        <v>29</v>
      </c>
      <c r="L1260" t="s">
        <v>30</v>
      </c>
      <c r="M1260">
        <v>135</v>
      </c>
      <c r="N1260" t="s">
        <v>32</v>
      </c>
      <c r="O1260" t="s">
        <v>32</v>
      </c>
      <c r="Q1260" t="s">
        <v>32</v>
      </c>
      <c r="S1260" t="s">
        <v>32</v>
      </c>
      <c r="U1260" t="s">
        <v>32</v>
      </c>
      <c r="V1260" t="s">
        <v>32</v>
      </c>
      <c r="W1260" t="s">
        <v>32</v>
      </c>
      <c r="X1260" t="s">
        <v>32</v>
      </c>
      <c r="Y1260" t="s">
        <v>32</v>
      </c>
      <c r="AA1260" t="s">
        <v>88</v>
      </c>
      <c r="AB1260" t="s">
        <v>32</v>
      </c>
      <c r="AE1260" t="s">
        <v>32</v>
      </c>
      <c r="AH1260" t="s">
        <v>32</v>
      </c>
      <c r="AK1260" t="s">
        <v>32</v>
      </c>
      <c r="AN1260" t="s">
        <v>32</v>
      </c>
      <c r="AO1260" t="s">
        <v>32</v>
      </c>
      <c r="AR1260">
        <v>0</v>
      </c>
      <c r="AU1260" t="s">
        <v>32</v>
      </c>
      <c r="AV1260">
        <v>7458355</v>
      </c>
      <c r="AW1260" t="s">
        <v>32</v>
      </c>
      <c r="AX1260" t="s">
        <v>88</v>
      </c>
      <c r="AY1260" t="s">
        <v>185</v>
      </c>
      <c r="AZ1260">
        <v>23</v>
      </c>
      <c r="BA1260">
        <v>5718073</v>
      </c>
      <c r="BB1260">
        <v>0.15999999642372131</v>
      </c>
      <c r="BC1260">
        <v>914900</v>
      </c>
      <c r="BD1260" t="s">
        <v>31</v>
      </c>
      <c r="BE1260">
        <v>0</v>
      </c>
      <c r="BF1260">
        <v>0</v>
      </c>
      <c r="BG1260">
        <v>28600</v>
      </c>
      <c r="BH1260">
        <v>28600</v>
      </c>
      <c r="BI1260">
        <v>0</v>
      </c>
      <c r="BJ1260">
        <v>972100</v>
      </c>
      <c r="BK1260" t="s">
        <v>25</v>
      </c>
      <c r="BL1260" t="s">
        <v>635</v>
      </c>
      <c r="BM1260">
        <v>23</v>
      </c>
      <c r="BN1260">
        <v>5718073</v>
      </c>
      <c r="BO1260">
        <v>3.9999999105930328E-2</v>
      </c>
      <c r="BP1260">
        <v>228800</v>
      </c>
      <c r="BQ1260">
        <v>0</v>
      </c>
      <c r="BS1260">
        <v>0</v>
      </c>
      <c r="BU1260">
        <v>0</v>
      </c>
      <c r="BV1260" t="s">
        <v>25</v>
      </c>
      <c r="BW1260" t="s">
        <v>189</v>
      </c>
      <c r="BX1260">
        <v>23</v>
      </c>
      <c r="BY1260">
        <v>5718073</v>
      </c>
      <c r="BZ1260">
        <v>6.9600000977516174E-2</v>
      </c>
      <c r="CA1260" t="s">
        <v>1439</v>
      </c>
      <c r="CB1260" t="s">
        <v>227</v>
      </c>
      <c r="CC1260" t="s">
        <v>1440</v>
      </c>
      <c r="CD1260">
        <v>398000</v>
      </c>
      <c r="CE1260">
        <v>23</v>
      </c>
      <c r="CF1260" t="s">
        <v>635</v>
      </c>
      <c r="CG1260">
        <v>5718073</v>
      </c>
      <c r="CH1260">
        <v>3.9999999105930328E-2</v>
      </c>
      <c r="CI1260">
        <v>228800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 t="s">
        <v>88</v>
      </c>
      <c r="CT1260" t="s">
        <v>142</v>
      </c>
      <c r="CU1260" t="s">
        <v>1442</v>
      </c>
    </row>
    <row r="1261" spans="1:99">
      <c r="A1261" t="s">
        <v>3047</v>
      </c>
      <c r="B1261" t="s">
        <v>34</v>
      </c>
      <c r="C1261" t="s">
        <v>3031</v>
      </c>
      <c r="D1261" t="s">
        <v>3032</v>
      </c>
      <c r="E1261" t="s">
        <v>3033</v>
      </c>
      <c r="F1261" t="s">
        <v>1526</v>
      </c>
      <c r="G1261" t="s">
        <v>1479</v>
      </c>
      <c r="H1261" t="s">
        <v>2194</v>
      </c>
      <c r="I1261" t="s">
        <v>240</v>
      </c>
      <c r="J1261" t="s">
        <v>46</v>
      </c>
      <c r="K1261" t="s">
        <v>29</v>
      </c>
      <c r="L1261" t="s">
        <v>30</v>
      </c>
      <c r="M1261">
        <v>218</v>
      </c>
      <c r="N1261" t="s">
        <v>32</v>
      </c>
      <c r="O1261" t="s">
        <v>32</v>
      </c>
      <c r="Q1261" t="s">
        <v>32</v>
      </c>
      <c r="S1261" t="s">
        <v>32</v>
      </c>
      <c r="U1261" t="s">
        <v>32</v>
      </c>
      <c r="V1261" t="s">
        <v>32</v>
      </c>
      <c r="W1261" t="s">
        <v>32</v>
      </c>
      <c r="X1261" t="s">
        <v>32</v>
      </c>
      <c r="Y1261" t="s">
        <v>32</v>
      </c>
      <c r="AA1261" t="s">
        <v>88</v>
      </c>
      <c r="AB1261" t="s">
        <v>32</v>
      </c>
      <c r="AE1261" t="s">
        <v>32</v>
      </c>
      <c r="AH1261" t="s">
        <v>32</v>
      </c>
      <c r="AK1261" t="s">
        <v>32</v>
      </c>
      <c r="AN1261" t="s">
        <v>32</v>
      </c>
      <c r="AO1261" t="s">
        <v>32</v>
      </c>
      <c r="AR1261">
        <v>0</v>
      </c>
      <c r="AU1261" t="s">
        <v>32</v>
      </c>
      <c r="AV1261">
        <v>2223339</v>
      </c>
      <c r="AW1261" t="s">
        <v>32</v>
      </c>
      <c r="AX1261" t="s">
        <v>32</v>
      </c>
      <c r="AY1261" t="s">
        <v>185</v>
      </c>
      <c r="AZ1261">
        <v>30</v>
      </c>
      <c r="BA1261">
        <v>3160713</v>
      </c>
      <c r="BB1261">
        <v>0.15999999642372131</v>
      </c>
      <c r="BC1261">
        <v>505800</v>
      </c>
      <c r="BD1261" t="s">
        <v>31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505800</v>
      </c>
      <c r="BK1261" t="s">
        <v>25</v>
      </c>
      <c r="BL1261" t="s">
        <v>1010</v>
      </c>
      <c r="BM1261">
        <v>30</v>
      </c>
      <c r="BN1261">
        <v>3160713</v>
      </c>
      <c r="BO1261">
        <v>3.9999999105930328E-2</v>
      </c>
      <c r="BP1261">
        <v>126500</v>
      </c>
      <c r="BQ1261">
        <v>0</v>
      </c>
      <c r="BS1261">
        <v>0</v>
      </c>
      <c r="BU1261">
        <v>0</v>
      </c>
      <c r="BV1261" t="s">
        <v>25</v>
      </c>
      <c r="BW1261" t="s">
        <v>189</v>
      </c>
      <c r="BX1261">
        <v>30</v>
      </c>
      <c r="BY1261">
        <v>3160713</v>
      </c>
      <c r="BZ1261">
        <v>6.9600000977516174E-2</v>
      </c>
      <c r="CA1261" t="s">
        <v>1439</v>
      </c>
      <c r="CB1261" t="s">
        <v>227</v>
      </c>
      <c r="CC1261" t="s">
        <v>1440</v>
      </c>
      <c r="CD1261">
        <v>220000</v>
      </c>
      <c r="CE1261">
        <v>30</v>
      </c>
      <c r="CF1261" t="s">
        <v>635</v>
      </c>
      <c r="CG1261">
        <v>3160713</v>
      </c>
      <c r="CH1261">
        <v>3.9999999105930328E-2</v>
      </c>
      <c r="CI1261">
        <v>126500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 t="s">
        <v>88</v>
      </c>
      <c r="CT1261" t="s">
        <v>142</v>
      </c>
      <c r="CU1261" t="s">
        <v>1442</v>
      </c>
    </row>
    <row r="1262" spans="1:99">
      <c r="A1262" t="s">
        <v>3047</v>
      </c>
      <c r="B1262" t="s">
        <v>34</v>
      </c>
      <c r="C1262" t="s">
        <v>3034</v>
      </c>
      <c r="D1262" t="s">
        <v>3035</v>
      </c>
      <c r="E1262" t="s">
        <v>2890</v>
      </c>
      <c r="F1262" t="s">
        <v>3036</v>
      </c>
      <c r="G1262" t="s">
        <v>1608</v>
      </c>
      <c r="H1262" t="s">
        <v>1558</v>
      </c>
      <c r="I1262" t="s">
        <v>240</v>
      </c>
      <c r="J1262" t="s">
        <v>46</v>
      </c>
      <c r="K1262" t="s">
        <v>29</v>
      </c>
      <c r="L1262" t="s">
        <v>30</v>
      </c>
      <c r="M1262">
        <v>0</v>
      </c>
      <c r="N1262" t="s">
        <v>32</v>
      </c>
      <c r="O1262" t="s">
        <v>32</v>
      </c>
      <c r="Q1262" t="s">
        <v>32</v>
      </c>
      <c r="S1262" t="s">
        <v>32</v>
      </c>
      <c r="U1262" t="s">
        <v>32</v>
      </c>
      <c r="V1262" t="s">
        <v>32</v>
      </c>
      <c r="W1262" t="s">
        <v>32</v>
      </c>
      <c r="X1262" t="s">
        <v>32</v>
      </c>
      <c r="Y1262" t="s">
        <v>32</v>
      </c>
      <c r="AA1262" t="s">
        <v>32</v>
      </c>
      <c r="AB1262" t="s">
        <v>32</v>
      </c>
      <c r="AE1262" t="s">
        <v>32</v>
      </c>
      <c r="AH1262" t="s">
        <v>32</v>
      </c>
      <c r="AK1262" t="s">
        <v>128</v>
      </c>
      <c r="AL1262">
        <v>46054</v>
      </c>
      <c r="AM1262">
        <v>46081</v>
      </c>
      <c r="AN1262" t="s">
        <v>32</v>
      </c>
      <c r="AO1262" t="s">
        <v>32</v>
      </c>
      <c r="AR1262">
        <v>0</v>
      </c>
      <c r="AU1262" t="s">
        <v>32</v>
      </c>
      <c r="AV1262">
        <v>2418000</v>
      </c>
      <c r="AW1262" t="s">
        <v>32</v>
      </c>
      <c r="AX1262" t="s">
        <v>32</v>
      </c>
      <c r="AY1262" t="s">
        <v>185</v>
      </c>
      <c r="AZ1262">
        <v>30</v>
      </c>
      <c r="BA1262">
        <v>2418000</v>
      </c>
      <c r="BB1262">
        <v>0.15999999642372131</v>
      </c>
      <c r="BC1262">
        <v>386900</v>
      </c>
      <c r="BD1262" t="s">
        <v>31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386900</v>
      </c>
      <c r="BK1262" t="s">
        <v>25</v>
      </c>
      <c r="BL1262" t="s">
        <v>1071</v>
      </c>
      <c r="BM1262">
        <v>30</v>
      </c>
      <c r="BN1262">
        <v>2418000</v>
      </c>
      <c r="BO1262">
        <v>3.9999999105930328E-2</v>
      </c>
      <c r="BP1262">
        <v>96800</v>
      </c>
      <c r="BQ1262">
        <v>0</v>
      </c>
      <c r="BS1262">
        <v>0</v>
      </c>
      <c r="BU1262">
        <v>0</v>
      </c>
      <c r="BV1262" t="s">
        <v>25</v>
      </c>
      <c r="BW1262" t="s">
        <v>189</v>
      </c>
      <c r="BX1262">
        <v>30</v>
      </c>
      <c r="BY1262">
        <v>2418000</v>
      </c>
      <c r="BZ1262">
        <v>0</v>
      </c>
      <c r="CA1262" t="s">
        <v>1592</v>
      </c>
      <c r="CB1262" t="s">
        <v>227</v>
      </c>
      <c r="CC1262" t="s">
        <v>1593</v>
      </c>
      <c r="CD1262">
        <v>0</v>
      </c>
      <c r="CE1262">
        <v>30</v>
      </c>
      <c r="CF1262" t="s">
        <v>635</v>
      </c>
      <c r="CG1262">
        <v>2418000</v>
      </c>
      <c r="CH1262">
        <v>3.9999999105930328E-2</v>
      </c>
      <c r="CI1262">
        <v>96800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 t="s">
        <v>88</v>
      </c>
      <c r="CT1262" t="s">
        <v>142</v>
      </c>
      <c r="CU1262" t="s">
        <v>1442</v>
      </c>
    </row>
    <row r="1263" spans="1:99">
      <c r="A1263" t="s">
        <v>3047</v>
      </c>
      <c r="B1263" t="s">
        <v>34</v>
      </c>
      <c r="C1263" t="s">
        <v>3037</v>
      </c>
      <c r="D1263" t="s">
        <v>3038</v>
      </c>
      <c r="E1263" t="s">
        <v>1601</v>
      </c>
      <c r="F1263" t="s">
        <v>1566</v>
      </c>
      <c r="G1263" t="s">
        <v>1489</v>
      </c>
      <c r="H1263" t="s">
        <v>1543</v>
      </c>
      <c r="I1263" t="s">
        <v>240</v>
      </c>
      <c r="J1263" t="s">
        <v>46</v>
      </c>
      <c r="K1263" t="s">
        <v>29</v>
      </c>
      <c r="L1263" t="s">
        <v>30</v>
      </c>
      <c r="M1263">
        <v>67</v>
      </c>
      <c r="N1263" t="s">
        <v>32</v>
      </c>
      <c r="O1263" t="s">
        <v>32</v>
      </c>
      <c r="Q1263" t="s">
        <v>32</v>
      </c>
      <c r="S1263" t="s">
        <v>40</v>
      </c>
      <c r="T1263">
        <v>46060</v>
      </c>
      <c r="U1263" t="s">
        <v>32</v>
      </c>
      <c r="V1263" t="s">
        <v>32</v>
      </c>
      <c r="W1263" t="s">
        <v>32</v>
      </c>
      <c r="X1263" t="s">
        <v>32</v>
      </c>
      <c r="Y1263" t="s">
        <v>32</v>
      </c>
      <c r="AA1263" t="s">
        <v>88</v>
      </c>
      <c r="AB1263" t="s">
        <v>32</v>
      </c>
      <c r="AE1263" t="s">
        <v>32</v>
      </c>
      <c r="AH1263" t="s">
        <v>32</v>
      </c>
      <c r="AK1263" t="s">
        <v>32</v>
      </c>
      <c r="AN1263" t="s">
        <v>32</v>
      </c>
      <c r="AO1263" t="s">
        <v>32</v>
      </c>
      <c r="AR1263">
        <v>0</v>
      </c>
      <c r="AU1263" t="s">
        <v>32</v>
      </c>
      <c r="AV1263">
        <v>2970185</v>
      </c>
      <c r="AW1263" t="s">
        <v>32</v>
      </c>
      <c r="AX1263" t="s">
        <v>32</v>
      </c>
      <c r="AY1263" t="s">
        <v>185</v>
      </c>
      <c r="AZ1263">
        <v>7</v>
      </c>
      <c r="BA1263">
        <v>2189385</v>
      </c>
      <c r="BB1263">
        <v>0.15999999642372131</v>
      </c>
      <c r="BC1263">
        <v>350400</v>
      </c>
      <c r="BD1263" t="s">
        <v>31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350400</v>
      </c>
      <c r="BK1263" t="s">
        <v>25</v>
      </c>
      <c r="BL1263" t="s">
        <v>1064</v>
      </c>
      <c r="BM1263">
        <v>7</v>
      </c>
      <c r="BN1263">
        <v>2189385</v>
      </c>
      <c r="BO1263">
        <v>0.125</v>
      </c>
      <c r="BP1263">
        <v>273700</v>
      </c>
      <c r="BQ1263">
        <v>0</v>
      </c>
      <c r="BS1263">
        <v>0</v>
      </c>
      <c r="BU1263">
        <v>0</v>
      </c>
      <c r="BV1263" t="s">
        <v>25</v>
      </c>
      <c r="BW1263" t="s">
        <v>189</v>
      </c>
      <c r="BX1263">
        <v>7</v>
      </c>
      <c r="BY1263">
        <v>2189385</v>
      </c>
      <c r="BZ1263">
        <v>6.9600000977516174E-2</v>
      </c>
      <c r="CA1263" t="s">
        <v>1439</v>
      </c>
      <c r="CB1263" t="s">
        <v>227</v>
      </c>
      <c r="CC1263" t="s">
        <v>1440</v>
      </c>
      <c r="CD1263">
        <v>152400</v>
      </c>
      <c r="CE1263">
        <v>7</v>
      </c>
      <c r="CF1263" t="s">
        <v>635</v>
      </c>
      <c r="CG1263">
        <v>3329190</v>
      </c>
      <c r="CH1263">
        <v>3.9999999105930328E-2</v>
      </c>
      <c r="CI1263">
        <v>133200</v>
      </c>
      <c r="CJ1263">
        <v>3329190</v>
      </c>
      <c r="CK1263">
        <v>1.9999999552965164E-2</v>
      </c>
      <c r="CL1263">
        <v>66600</v>
      </c>
      <c r="CM1263">
        <v>2.9999999329447746E-2</v>
      </c>
      <c r="CN1263">
        <v>99900</v>
      </c>
      <c r="CO1263">
        <v>0</v>
      </c>
      <c r="CP1263">
        <v>0</v>
      </c>
      <c r="CQ1263">
        <v>0</v>
      </c>
      <c r="CR1263">
        <v>0</v>
      </c>
      <c r="CS1263" t="s">
        <v>32</v>
      </c>
      <c r="CT1263" t="s">
        <v>142</v>
      </c>
      <c r="CU1263" t="s">
        <v>1442</v>
      </c>
    </row>
    <row r="1264" spans="1:99">
      <c r="A1264" t="s">
        <v>3047</v>
      </c>
      <c r="B1264" t="s">
        <v>34</v>
      </c>
      <c r="C1264" t="s">
        <v>3039</v>
      </c>
      <c r="D1264" t="s">
        <v>3040</v>
      </c>
      <c r="E1264" t="s">
        <v>3041</v>
      </c>
      <c r="F1264" t="s">
        <v>1526</v>
      </c>
      <c r="G1264" t="s">
        <v>1532</v>
      </c>
      <c r="H1264" t="s">
        <v>2251</v>
      </c>
      <c r="I1264" t="s">
        <v>99</v>
      </c>
      <c r="J1264" t="s">
        <v>226</v>
      </c>
      <c r="K1264" t="s">
        <v>29</v>
      </c>
      <c r="L1264" t="s">
        <v>30</v>
      </c>
      <c r="M1264">
        <v>188</v>
      </c>
      <c r="N1264" t="s">
        <v>32</v>
      </c>
      <c r="O1264" t="s">
        <v>32</v>
      </c>
      <c r="Q1264" t="s">
        <v>32</v>
      </c>
      <c r="S1264" t="s">
        <v>32</v>
      </c>
      <c r="U1264" t="s">
        <v>32</v>
      </c>
      <c r="V1264" t="s">
        <v>32</v>
      </c>
      <c r="W1264" t="s">
        <v>32</v>
      </c>
      <c r="X1264" t="s">
        <v>32</v>
      </c>
      <c r="Y1264" t="s">
        <v>32</v>
      </c>
      <c r="AA1264" t="s">
        <v>88</v>
      </c>
      <c r="AB1264" t="s">
        <v>32</v>
      </c>
      <c r="AE1264" t="s">
        <v>32</v>
      </c>
      <c r="AH1264" t="s">
        <v>32</v>
      </c>
      <c r="AK1264" t="s">
        <v>32</v>
      </c>
      <c r="AN1264" t="s">
        <v>32</v>
      </c>
      <c r="AO1264" t="s">
        <v>32</v>
      </c>
      <c r="AR1264">
        <v>0</v>
      </c>
      <c r="AU1264" t="s">
        <v>32</v>
      </c>
      <c r="AV1264">
        <v>2223339</v>
      </c>
      <c r="AW1264" t="s">
        <v>32</v>
      </c>
      <c r="AX1264" t="s">
        <v>32</v>
      </c>
      <c r="AY1264" t="s">
        <v>185</v>
      </c>
      <c r="AZ1264">
        <v>30</v>
      </c>
      <c r="BA1264">
        <v>2515144</v>
      </c>
      <c r="BB1264">
        <v>0.15999999642372131</v>
      </c>
      <c r="BC1264">
        <v>402500</v>
      </c>
      <c r="BD1264" t="s">
        <v>31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402500</v>
      </c>
      <c r="BK1264" t="s">
        <v>25</v>
      </c>
      <c r="BL1264" t="s">
        <v>1010</v>
      </c>
      <c r="BM1264">
        <v>30</v>
      </c>
      <c r="BN1264">
        <v>2515144</v>
      </c>
      <c r="BO1264">
        <v>3.9999999105930328E-2</v>
      </c>
      <c r="BP1264">
        <v>100700</v>
      </c>
      <c r="BQ1264">
        <v>0</v>
      </c>
      <c r="BS1264">
        <v>0</v>
      </c>
      <c r="BU1264">
        <v>0</v>
      </c>
      <c r="BV1264" t="s">
        <v>25</v>
      </c>
      <c r="BW1264" t="s">
        <v>189</v>
      </c>
      <c r="BX1264">
        <v>30</v>
      </c>
      <c r="BY1264">
        <v>2515144</v>
      </c>
      <c r="BZ1264">
        <v>6.9600000977516174E-2</v>
      </c>
      <c r="CA1264" t="s">
        <v>1439</v>
      </c>
      <c r="CB1264" t="s">
        <v>389</v>
      </c>
      <c r="CC1264" t="s">
        <v>1440</v>
      </c>
      <c r="CD1264">
        <v>175100</v>
      </c>
      <c r="CE1264">
        <v>30</v>
      </c>
      <c r="CF1264" t="s">
        <v>749</v>
      </c>
      <c r="CG1264">
        <v>2515144</v>
      </c>
      <c r="CH1264">
        <v>3.9999999105930328E-2</v>
      </c>
      <c r="CI1264">
        <v>100700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 t="s">
        <v>88</v>
      </c>
      <c r="CT1264" t="s">
        <v>142</v>
      </c>
      <c r="CU1264" t="s">
        <v>1442</v>
      </c>
    </row>
    <row r="1265" spans="1:99">
      <c r="A1265" t="s">
        <v>3047</v>
      </c>
      <c r="B1265" t="s">
        <v>34</v>
      </c>
      <c r="C1265" t="s">
        <v>3042</v>
      </c>
      <c r="D1265" t="s">
        <v>3043</v>
      </c>
      <c r="E1265" t="s">
        <v>1482</v>
      </c>
      <c r="F1265" t="s">
        <v>2903</v>
      </c>
      <c r="G1265" t="s">
        <v>2095</v>
      </c>
      <c r="H1265" t="s">
        <v>2511</v>
      </c>
      <c r="I1265" t="s">
        <v>99</v>
      </c>
      <c r="J1265" t="s">
        <v>226</v>
      </c>
      <c r="K1265" t="s">
        <v>29</v>
      </c>
      <c r="L1265" t="s">
        <v>30</v>
      </c>
      <c r="M1265">
        <v>220</v>
      </c>
      <c r="N1265" t="s">
        <v>32</v>
      </c>
      <c r="O1265" t="s">
        <v>32</v>
      </c>
      <c r="Q1265" t="s">
        <v>32</v>
      </c>
      <c r="S1265" t="s">
        <v>32</v>
      </c>
      <c r="U1265" t="s">
        <v>32</v>
      </c>
      <c r="V1265" t="s">
        <v>32</v>
      </c>
      <c r="W1265" t="s">
        <v>32</v>
      </c>
      <c r="X1265" t="s">
        <v>32</v>
      </c>
      <c r="Y1265" t="s">
        <v>32</v>
      </c>
      <c r="AA1265" t="s">
        <v>88</v>
      </c>
      <c r="AB1265" t="s">
        <v>32</v>
      </c>
      <c r="AE1265" t="s">
        <v>32</v>
      </c>
      <c r="AH1265" t="s">
        <v>32</v>
      </c>
      <c r="AK1265" t="s">
        <v>32</v>
      </c>
      <c r="AN1265" t="s">
        <v>32</v>
      </c>
      <c r="AO1265" t="s">
        <v>32</v>
      </c>
      <c r="AR1265">
        <v>0</v>
      </c>
      <c r="AU1265" t="s">
        <v>32</v>
      </c>
      <c r="AV1265">
        <v>2286374</v>
      </c>
      <c r="AW1265" t="s">
        <v>32</v>
      </c>
      <c r="AX1265" t="s">
        <v>32</v>
      </c>
      <c r="AY1265" t="s">
        <v>185</v>
      </c>
      <c r="AZ1265">
        <v>30</v>
      </c>
      <c r="BA1265">
        <v>2920092</v>
      </c>
      <c r="BB1265">
        <v>0.15999999642372131</v>
      </c>
      <c r="BC1265">
        <v>467300</v>
      </c>
      <c r="BD1265" t="s">
        <v>31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467300</v>
      </c>
      <c r="BK1265" t="s">
        <v>25</v>
      </c>
      <c r="BL1265" t="s">
        <v>1071</v>
      </c>
      <c r="BM1265">
        <v>30</v>
      </c>
      <c r="BN1265">
        <v>2920092</v>
      </c>
      <c r="BO1265">
        <v>3.9999999105930328E-2</v>
      </c>
      <c r="BP1265">
        <v>116900</v>
      </c>
      <c r="BQ1265">
        <v>0</v>
      </c>
      <c r="BS1265">
        <v>0</v>
      </c>
      <c r="BU1265">
        <v>0</v>
      </c>
      <c r="BV1265" t="s">
        <v>25</v>
      </c>
      <c r="BW1265" t="s">
        <v>189</v>
      </c>
      <c r="BX1265">
        <v>30</v>
      </c>
      <c r="BY1265">
        <v>2920092</v>
      </c>
      <c r="BZ1265">
        <v>2.4360001087188721E-2</v>
      </c>
      <c r="CA1265" t="s">
        <v>1772</v>
      </c>
      <c r="CB1265" t="s">
        <v>389</v>
      </c>
      <c r="CC1265" t="s">
        <v>1773</v>
      </c>
      <c r="CD1265">
        <v>71200</v>
      </c>
      <c r="CE1265">
        <v>30</v>
      </c>
      <c r="CF1265" t="s">
        <v>749</v>
      </c>
      <c r="CG1265">
        <v>2920092</v>
      </c>
      <c r="CH1265">
        <v>3.9999999105930328E-2</v>
      </c>
      <c r="CI1265">
        <v>116900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 t="s">
        <v>88</v>
      </c>
      <c r="CT1265" t="s">
        <v>142</v>
      </c>
      <c r="CU1265" t="s">
        <v>1442</v>
      </c>
    </row>
    <row r="1266" spans="1:99">
      <c r="A1266" t="s">
        <v>3047</v>
      </c>
      <c r="B1266" t="s">
        <v>34</v>
      </c>
      <c r="C1266" t="s">
        <v>3044</v>
      </c>
      <c r="D1266" t="s">
        <v>3045</v>
      </c>
      <c r="E1266" t="s">
        <v>2887</v>
      </c>
      <c r="F1266" t="s">
        <v>1692</v>
      </c>
      <c r="G1266" t="s">
        <v>3046</v>
      </c>
      <c r="H1266" t="s">
        <v>2332</v>
      </c>
      <c r="I1266" t="s">
        <v>240</v>
      </c>
      <c r="J1266" t="s">
        <v>46</v>
      </c>
      <c r="K1266" t="s">
        <v>29</v>
      </c>
      <c r="L1266" t="s">
        <v>30</v>
      </c>
      <c r="M1266">
        <v>217</v>
      </c>
      <c r="N1266" t="s">
        <v>32</v>
      </c>
      <c r="O1266" t="s">
        <v>32</v>
      </c>
      <c r="Q1266" t="s">
        <v>32</v>
      </c>
      <c r="S1266" t="s">
        <v>32</v>
      </c>
      <c r="U1266" t="s">
        <v>32</v>
      </c>
      <c r="V1266" t="s">
        <v>32</v>
      </c>
      <c r="W1266" t="s">
        <v>32</v>
      </c>
      <c r="X1266" t="s">
        <v>32</v>
      </c>
      <c r="Y1266" t="s">
        <v>32</v>
      </c>
      <c r="AA1266" t="s">
        <v>88</v>
      </c>
      <c r="AB1266" t="s">
        <v>32</v>
      </c>
      <c r="AE1266" t="s">
        <v>32</v>
      </c>
      <c r="AH1266" t="s">
        <v>32</v>
      </c>
      <c r="AK1266" t="s">
        <v>32</v>
      </c>
      <c r="AN1266" t="s">
        <v>32</v>
      </c>
      <c r="AO1266" t="s">
        <v>32</v>
      </c>
      <c r="AR1266">
        <v>0</v>
      </c>
      <c r="AU1266" t="s">
        <v>32</v>
      </c>
      <c r="AV1266">
        <v>2223339</v>
      </c>
      <c r="AW1266" t="s">
        <v>32</v>
      </c>
      <c r="AX1266" t="s">
        <v>32</v>
      </c>
      <c r="AY1266" t="s">
        <v>185</v>
      </c>
      <c r="AZ1266">
        <v>30</v>
      </c>
      <c r="BA1266">
        <v>2996237</v>
      </c>
      <c r="BB1266">
        <v>0.15999999642372131</v>
      </c>
      <c r="BC1266">
        <v>479400</v>
      </c>
      <c r="BD1266" t="s">
        <v>31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479400</v>
      </c>
      <c r="BK1266" t="s">
        <v>25</v>
      </c>
      <c r="BL1266" t="s">
        <v>1010</v>
      </c>
      <c r="BM1266">
        <v>30</v>
      </c>
      <c r="BN1266">
        <v>2996237</v>
      </c>
      <c r="BO1266">
        <v>3.9999999105930328E-2</v>
      </c>
      <c r="BP1266">
        <v>119900</v>
      </c>
      <c r="BQ1266">
        <v>0</v>
      </c>
      <c r="BS1266">
        <v>0</v>
      </c>
      <c r="BU1266">
        <v>0</v>
      </c>
      <c r="BV1266" t="s">
        <v>25</v>
      </c>
      <c r="BW1266" t="s">
        <v>189</v>
      </c>
      <c r="BX1266">
        <v>30</v>
      </c>
      <c r="BY1266">
        <v>2996237</v>
      </c>
      <c r="BZ1266">
        <v>6.9600000977516174E-2</v>
      </c>
      <c r="CA1266" t="s">
        <v>1439</v>
      </c>
      <c r="CB1266" t="s">
        <v>227</v>
      </c>
      <c r="CC1266" t="s">
        <v>1440</v>
      </c>
      <c r="CD1266">
        <v>208600</v>
      </c>
      <c r="CE1266">
        <v>30</v>
      </c>
      <c r="CF1266" t="s">
        <v>635</v>
      </c>
      <c r="CG1266">
        <v>2996237</v>
      </c>
      <c r="CH1266">
        <v>3.9999999105930328E-2</v>
      </c>
      <c r="CI1266">
        <v>119900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 t="s">
        <v>88</v>
      </c>
      <c r="CT1266" t="s">
        <v>142</v>
      </c>
      <c r="CU1266" t="s">
        <v>1442</v>
      </c>
    </row>
    <row r="1267" spans="1:99">
      <c r="A1267" t="s">
        <v>3047</v>
      </c>
      <c r="B1267" t="s">
        <v>34</v>
      </c>
      <c r="C1267" t="s">
        <v>3069</v>
      </c>
      <c r="D1267" t="s">
        <v>3070</v>
      </c>
      <c r="E1267" t="s">
        <v>2754</v>
      </c>
      <c r="F1267" t="s">
        <v>3071</v>
      </c>
      <c r="G1267" t="s">
        <v>455</v>
      </c>
      <c r="H1267" t="s">
        <v>1558</v>
      </c>
      <c r="I1267" t="s">
        <v>240</v>
      </c>
      <c r="J1267" t="s">
        <v>46</v>
      </c>
      <c r="K1267" t="s">
        <v>680</v>
      </c>
      <c r="L1267" t="s">
        <v>30</v>
      </c>
      <c r="M1267">
        <v>0</v>
      </c>
      <c r="N1267" t="s">
        <v>32</v>
      </c>
      <c r="O1267" t="s">
        <v>32</v>
      </c>
      <c r="Q1267" t="s">
        <v>32</v>
      </c>
      <c r="S1267" t="s">
        <v>32</v>
      </c>
      <c r="U1267" t="s">
        <v>32</v>
      </c>
      <c r="V1267" t="s">
        <v>32</v>
      </c>
      <c r="W1267" t="s">
        <v>32</v>
      </c>
      <c r="X1267" t="s">
        <v>32</v>
      </c>
      <c r="Y1267" t="s">
        <v>32</v>
      </c>
      <c r="AA1267" t="s">
        <v>32</v>
      </c>
      <c r="AB1267" t="s">
        <v>32</v>
      </c>
      <c r="AE1267" t="s">
        <v>32</v>
      </c>
      <c r="AH1267" t="s">
        <v>32</v>
      </c>
      <c r="AK1267" t="s">
        <v>32</v>
      </c>
      <c r="AN1267" t="s">
        <v>32</v>
      </c>
      <c r="AO1267" t="s">
        <v>32</v>
      </c>
      <c r="AR1267">
        <v>0</v>
      </c>
      <c r="AU1267" t="s">
        <v>32</v>
      </c>
      <c r="AV1267">
        <v>0</v>
      </c>
      <c r="AW1267" t="s">
        <v>32</v>
      </c>
      <c r="AX1267" t="s">
        <v>1558</v>
      </c>
      <c r="AY1267" t="s">
        <v>25</v>
      </c>
      <c r="AZ1267">
        <v>0</v>
      </c>
      <c r="BA1267">
        <v>0</v>
      </c>
      <c r="BB1267">
        <v>0</v>
      </c>
      <c r="BC1267">
        <v>0</v>
      </c>
      <c r="BD1267" t="s">
        <v>31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 t="s">
        <v>25</v>
      </c>
      <c r="BL1267" t="s">
        <v>1071</v>
      </c>
      <c r="BM1267">
        <v>30</v>
      </c>
      <c r="BN1267">
        <v>0</v>
      </c>
      <c r="BO1267">
        <v>0</v>
      </c>
      <c r="BP1267">
        <v>0</v>
      </c>
      <c r="BQ1267">
        <v>99000</v>
      </c>
      <c r="BS1267">
        <v>0</v>
      </c>
      <c r="BU1267">
        <v>0</v>
      </c>
      <c r="BV1267" t="s">
        <v>25</v>
      </c>
      <c r="BW1267" t="s">
        <v>25</v>
      </c>
      <c r="BX1267">
        <v>0</v>
      </c>
      <c r="BY1267">
        <v>0</v>
      </c>
      <c r="BZ1267">
        <v>0</v>
      </c>
      <c r="CA1267" t="s">
        <v>25</v>
      </c>
      <c r="CB1267" t="s">
        <v>227</v>
      </c>
      <c r="CC1267" t="s">
        <v>3072</v>
      </c>
      <c r="CD1267">
        <v>0</v>
      </c>
      <c r="CE1267">
        <v>0</v>
      </c>
      <c r="CF1267" t="s">
        <v>25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 t="s">
        <v>32</v>
      </c>
      <c r="CT1267" t="s">
        <v>34</v>
      </c>
      <c r="CU1267">
        <v>79425463</v>
      </c>
    </row>
    <row r="1268" spans="1:99">
      <c r="A1268" s="16" t="s">
        <v>3047</v>
      </c>
      <c r="B1268" s="16" t="s">
        <v>34</v>
      </c>
      <c r="C1268" s="16" t="s">
        <v>1493</v>
      </c>
      <c r="D1268" s="16" t="s">
        <v>1494</v>
      </c>
      <c r="E1268" s="16" t="s">
        <v>1495</v>
      </c>
      <c r="F1268" s="16" t="s">
        <v>1496</v>
      </c>
      <c r="G1268" s="16" t="s">
        <v>1497</v>
      </c>
      <c r="H1268" s="16" t="s">
        <v>1498</v>
      </c>
      <c r="I1268" s="16" t="s">
        <v>240</v>
      </c>
      <c r="J1268" s="16" t="s">
        <v>46</v>
      </c>
      <c r="K1268" s="16" t="s">
        <v>29</v>
      </c>
      <c r="L1268" s="16" t="s">
        <v>30</v>
      </c>
      <c r="M1268" s="16">
        <v>0</v>
      </c>
      <c r="N1268" s="16" t="s">
        <v>32</v>
      </c>
      <c r="O1268" s="16" t="s">
        <v>32</v>
      </c>
      <c r="P1268" s="16"/>
      <c r="Q1268" s="16" t="s">
        <v>32</v>
      </c>
      <c r="R1268" s="16"/>
      <c r="S1268" s="16" t="s">
        <v>32</v>
      </c>
      <c r="T1268" s="16"/>
      <c r="U1268" s="16" t="s">
        <v>32</v>
      </c>
      <c r="V1268" s="16" t="s">
        <v>32</v>
      </c>
      <c r="W1268" s="16" t="s">
        <v>32</v>
      </c>
      <c r="X1268" s="16" t="s">
        <v>32</v>
      </c>
      <c r="Y1268" s="16" t="s">
        <v>32</v>
      </c>
      <c r="Z1268" s="16"/>
      <c r="AA1268" s="16" t="s">
        <v>32</v>
      </c>
      <c r="AB1268" s="16" t="s">
        <v>32</v>
      </c>
      <c r="AC1268" s="16"/>
      <c r="AD1268" s="16"/>
      <c r="AE1268" s="16" t="s">
        <v>32</v>
      </c>
      <c r="AF1268" s="16"/>
      <c r="AG1268" s="16"/>
      <c r="AH1268" s="16" t="s">
        <v>32</v>
      </c>
      <c r="AI1268" s="16"/>
      <c r="AJ1268" s="16"/>
      <c r="AK1268" s="16" t="s">
        <v>128</v>
      </c>
      <c r="AL1268" s="16">
        <v>46054</v>
      </c>
      <c r="AM1268" s="16">
        <v>46054</v>
      </c>
      <c r="AN1268" s="16" t="s">
        <v>32</v>
      </c>
      <c r="AO1268" s="16" t="s">
        <v>32</v>
      </c>
      <c r="AP1268" s="16"/>
      <c r="AQ1268" s="16"/>
      <c r="AR1268" s="16">
        <v>0</v>
      </c>
      <c r="AS1268" s="16"/>
      <c r="AT1268" s="16"/>
      <c r="AU1268" s="16" t="s">
        <v>92</v>
      </c>
      <c r="AV1268" s="16">
        <v>1750905</v>
      </c>
      <c r="AW1268" s="16" t="s">
        <v>32</v>
      </c>
      <c r="AX1268" s="16" t="s">
        <v>32</v>
      </c>
      <c r="AY1268" s="16" t="s">
        <v>317</v>
      </c>
      <c r="AZ1268" s="16">
        <v>1</v>
      </c>
      <c r="BA1268" s="16">
        <v>58364</v>
      </c>
      <c r="BB1268" s="16">
        <v>0.15999999642372131</v>
      </c>
      <c r="BC1268" s="16">
        <v>9400</v>
      </c>
      <c r="BD1268" s="16" t="s">
        <v>31</v>
      </c>
      <c r="BE1268" s="16">
        <v>0</v>
      </c>
      <c r="BF1268" s="16">
        <v>0</v>
      </c>
      <c r="BG1268" s="16">
        <v>0</v>
      </c>
      <c r="BH1268" s="16">
        <v>0</v>
      </c>
      <c r="BI1268" s="16">
        <v>0</v>
      </c>
      <c r="BJ1268" s="16">
        <v>9400</v>
      </c>
      <c r="BK1268" s="16" t="s">
        <v>25</v>
      </c>
      <c r="BL1268" s="16" t="s">
        <v>1064</v>
      </c>
      <c r="BM1268" s="16">
        <v>1</v>
      </c>
      <c r="BN1268" s="16">
        <v>58364</v>
      </c>
      <c r="BO1268" s="16">
        <v>3.9999999105930328E-2</v>
      </c>
      <c r="BP1268" s="16">
        <v>2400</v>
      </c>
      <c r="BQ1268" s="16">
        <v>0</v>
      </c>
      <c r="BR1268" s="16"/>
      <c r="BS1268" s="16">
        <v>0</v>
      </c>
      <c r="BT1268" s="16"/>
      <c r="BU1268" s="16">
        <v>0</v>
      </c>
      <c r="BV1268" s="16" t="s">
        <v>25</v>
      </c>
      <c r="BW1268" s="16" t="s">
        <v>189</v>
      </c>
      <c r="BX1268" s="16">
        <v>1</v>
      </c>
      <c r="BY1268" s="16">
        <v>58364</v>
      </c>
      <c r="BZ1268" s="16">
        <v>0</v>
      </c>
      <c r="CA1268" s="16" t="s">
        <v>1439</v>
      </c>
      <c r="CB1268" s="16" t="s">
        <v>227</v>
      </c>
      <c r="CC1268" s="16" t="s">
        <v>1440</v>
      </c>
      <c r="CD1268" s="16">
        <v>0</v>
      </c>
      <c r="CE1268" s="16">
        <v>1</v>
      </c>
      <c r="CF1268" s="16" t="s">
        <v>635</v>
      </c>
      <c r="CG1268" s="16">
        <v>58364</v>
      </c>
      <c r="CH1268" s="16">
        <v>3.9999999105930328E-2</v>
      </c>
      <c r="CI1268" s="16">
        <v>2400</v>
      </c>
      <c r="CJ1268" s="16">
        <v>0</v>
      </c>
      <c r="CK1268" s="16">
        <v>0</v>
      </c>
      <c r="CL1268" s="16">
        <v>0</v>
      </c>
      <c r="CM1268" s="16">
        <v>0</v>
      </c>
      <c r="CN1268" s="16">
        <v>0</v>
      </c>
      <c r="CO1268" s="16">
        <v>0</v>
      </c>
      <c r="CP1268" s="16">
        <v>0</v>
      </c>
      <c r="CQ1268" s="16">
        <v>0</v>
      </c>
      <c r="CR1268" s="16">
        <v>0</v>
      </c>
      <c r="CS1268" s="16" t="s">
        <v>88</v>
      </c>
      <c r="CT1268" s="16" t="s">
        <v>142</v>
      </c>
      <c r="CU1268" s="16" t="s">
        <v>1442</v>
      </c>
    </row>
    <row r="1269" spans="1:99">
      <c r="A1269" s="16" t="s">
        <v>3047</v>
      </c>
      <c r="B1269" s="16" t="s">
        <v>34</v>
      </c>
      <c r="C1269" s="16" t="s">
        <v>1493</v>
      </c>
      <c r="D1269" s="16" t="s">
        <v>1494</v>
      </c>
      <c r="E1269" s="16" t="s">
        <v>1495</v>
      </c>
      <c r="F1269" s="16" t="s">
        <v>1496</v>
      </c>
      <c r="G1269" s="16" t="s">
        <v>1497</v>
      </c>
      <c r="H1269" s="16" t="s">
        <v>1498</v>
      </c>
      <c r="I1269" s="16" t="s">
        <v>240</v>
      </c>
      <c r="J1269" s="16" t="s">
        <v>46</v>
      </c>
      <c r="K1269" s="16" t="s">
        <v>29</v>
      </c>
      <c r="L1269" s="16" t="s">
        <v>30</v>
      </c>
      <c r="M1269" s="16">
        <v>0</v>
      </c>
      <c r="N1269" s="16" t="s">
        <v>32</v>
      </c>
      <c r="O1269" s="16" t="s">
        <v>32</v>
      </c>
      <c r="P1269" s="16"/>
      <c r="Q1269" s="16" t="s">
        <v>32</v>
      </c>
      <c r="R1269" s="16"/>
      <c r="S1269" s="16" t="s">
        <v>32</v>
      </c>
      <c r="T1269" s="16"/>
      <c r="U1269" s="16" t="s">
        <v>32</v>
      </c>
      <c r="V1269" s="16" t="s">
        <v>32</v>
      </c>
      <c r="W1269" s="16" t="s">
        <v>32</v>
      </c>
      <c r="X1269" s="16" t="s">
        <v>32</v>
      </c>
      <c r="Y1269" s="16" t="s">
        <v>32</v>
      </c>
      <c r="Z1269" s="16"/>
      <c r="AA1269" s="16" t="s">
        <v>32</v>
      </c>
      <c r="AB1269" s="16" t="s">
        <v>32</v>
      </c>
      <c r="AC1269" s="16"/>
      <c r="AD1269" s="16"/>
      <c r="AE1269" s="16" t="s">
        <v>1492</v>
      </c>
      <c r="AF1269" s="16">
        <v>46062</v>
      </c>
      <c r="AG1269" s="16">
        <v>46063</v>
      </c>
      <c r="AH1269" s="16" t="s">
        <v>32</v>
      </c>
      <c r="AI1269" s="16"/>
      <c r="AJ1269" s="16"/>
      <c r="AK1269" s="16" t="s">
        <v>32</v>
      </c>
      <c r="AL1269" s="16"/>
      <c r="AM1269" s="16"/>
      <c r="AN1269" s="16" t="s">
        <v>32</v>
      </c>
      <c r="AO1269" s="16" t="s">
        <v>32</v>
      </c>
      <c r="AP1269" s="16"/>
      <c r="AQ1269" s="16"/>
      <c r="AR1269" s="16">
        <v>0</v>
      </c>
      <c r="AS1269" s="16"/>
      <c r="AT1269" s="16"/>
      <c r="AU1269" s="16" t="s">
        <v>92</v>
      </c>
      <c r="AV1269" s="16">
        <v>1750905</v>
      </c>
      <c r="AW1269" s="16" t="s">
        <v>32</v>
      </c>
      <c r="AX1269" s="16" t="s">
        <v>32</v>
      </c>
      <c r="AY1269" s="16" t="s">
        <v>317</v>
      </c>
      <c r="AZ1269" s="16">
        <v>2</v>
      </c>
      <c r="BA1269" s="16">
        <v>205820</v>
      </c>
      <c r="BB1269" s="16">
        <v>0.15999999642372131</v>
      </c>
      <c r="BC1269" s="16">
        <v>33000</v>
      </c>
      <c r="BD1269" s="16" t="s">
        <v>31</v>
      </c>
      <c r="BE1269" s="16">
        <v>0</v>
      </c>
      <c r="BF1269" s="16">
        <v>0</v>
      </c>
      <c r="BG1269" s="16">
        <v>0</v>
      </c>
      <c r="BH1269" s="16">
        <v>0</v>
      </c>
      <c r="BI1269" s="16">
        <v>0</v>
      </c>
      <c r="BJ1269" s="16">
        <v>33000</v>
      </c>
      <c r="BK1269" s="16" t="s">
        <v>25</v>
      </c>
      <c r="BL1269" s="16" t="s">
        <v>1064</v>
      </c>
      <c r="BM1269" s="16">
        <v>2</v>
      </c>
      <c r="BN1269" s="16">
        <v>205820</v>
      </c>
      <c r="BO1269" s="16">
        <v>3.9999999105930328E-2</v>
      </c>
      <c r="BP1269" s="16">
        <v>8300</v>
      </c>
      <c r="BQ1269" s="16">
        <v>0</v>
      </c>
      <c r="BR1269" s="16"/>
      <c r="BS1269" s="16">
        <v>0</v>
      </c>
      <c r="BT1269" s="16"/>
      <c r="BU1269" s="16">
        <v>0</v>
      </c>
      <c r="BV1269" s="16" t="s">
        <v>25</v>
      </c>
      <c r="BW1269" s="16" t="s">
        <v>189</v>
      </c>
      <c r="BX1269" s="16">
        <v>2</v>
      </c>
      <c r="BY1269" s="16">
        <v>205820</v>
      </c>
      <c r="BZ1269" s="16">
        <v>0</v>
      </c>
      <c r="CA1269" s="16" t="s">
        <v>1439</v>
      </c>
      <c r="CB1269" s="16" t="s">
        <v>227</v>
      </c>
      <c r="CC1269" s="16" t="s">
        <v>1440</v>
      </c>
      <c r="CD1269" s="16">
        <v>0</v>
      </c>
      <c r="CE1269" s="16">
        <v>2</v>
      </c>
      <c r="CF1269" s="16" t="s">
        <v>635</v>
      </c>
      <c r="CG1269" s="16">
        <v>0</v>
      </c>
      <c r="CH1269" s="16">
        <v>0</v>
      </c>
      <c r="CI1269" s="16">
        <v>0</v>
      </c>
      <c r="CJ1269" s="16">
        <v>0</v>
      </c>
      <c r="CK1269" s="16">
        <v>0</v>
      </c>
      <c r="CL1269" s="16">
        <v>0</v>
      </c>
      <c r="CM1269" s="16">
        <v>0</v>
      </c>
      <c r="CN1269" s="16">
        <v>0</v>
      </c>
      <c r="CO1269" s="16">
        <v>0</v>
      </c>
      <c r="CP1269" s="16">
        <v>0</v>
      </c>
      <c r="CQ1269" s="16">
        <v>0</v>
      </c>
      <c r="CR1269" s="16">
        <v>0</v>
      </c>
      <c r="CS1269" s="16" t="s">
        <v>88</v>
      </c>
      <c r="CT1269" s="16" t="s">
        <v>142</v>
      </c>
      <c r="CU1269" s="16" t="s">
        <v>1442</v>
      </c>
    </row>
    <row r="1270" spans="1:99">
      <c r="A1270" s="16" t="s">
        <v>3047</v>
      </c>
      <c r="B1270" s="16" t="s">
        <v>34</v>
      </c>
      <c r="C1270" s="16" t="s">
        <v>1493</v>
      </c>
      <c r="D1270" s="16" t="s">
        <v>1494</v>
      </c>
      <c r="E1270" s="16" t="s">
        <v>1495</v>
      </c>
      <c r="F1270" s="16" t="s">
        <v>1496</v>
      </c>
      <c r="G1270" s="16" t="s">
        <v>1497</v>
      </c>
      <c r="H1270" s="16" t="s">
        <v>1498</v>
      </c>
      <c r="I1270" s="16" t="s">
        <v>240</v>
      </c>
      <c r="J1270" s="16" t="s">
        <v>46</v>
      </c>
      <c r="K1270" s="16" t="s">
        <v>29</v>
      </c>
      <c r="L1270" s="16" t="s">
        <v>30</v>
      </c>
      <c r="M1270" s="16">
        <v>0</v>
      </c>
      <c r="N1270" s="16" t="s">
        <v>32</v>
      </c>
      <c r="O1270" s="16" t="s">
        <v>32</v>
      </c>
      <c r="P1270" s="16"/>
      <c r="Q1270" s="16" t="s">
        <v>32</v>
      </c>
      <c r="R1270" s="16"/>
      <c r="S1270" s="16" t="s">
        <v>32</v>
      </c>
      <c r="T1270" s="16"/>
      <c r="U1270" s="16" t="s">
        <v>32</v>
      </c>
      <c r="V1270" s="16" t="s">
        <v>32</v>
      </c>
      <c r="W1270" s="16" t="s">
        <v>32</v>
      </c>
      <c r="X1270" s="16" t="s">
        <v>32</v>
      </c>
      <c r="Y1270" s="16" t="s">
        <v>32</v>
      </c>
      <c r="Z1270" s="16"/>
      <c r="AA1270" s="16" t="s">
        <v>32</v>
      </c>
      <c r="AB1270" s="16" t="s">
        <v>37</v>
      </c>
      <c r="AC1270" s="16">
        <v>46069</v>
      </c>
      <c r="AD1270" s="16">
        <v>46070</v>
      </c>
      <c r="AE1270" s="16" t="s">
        <v>32</v>
      </c>
      <c r="AF1270" s="16"/>
      <c r="AG1270" s="16"/>
      <c r="AH1270" s="16" t="s">
        <v>32</v>
      </c>
      <c r="AI1270" s="16"/>
      <c r="AJ1270" s="16"/>
      <c r="AK1270" s="16" t="s">
        <v>32</v>
      </c>
      <c r="AL1270" s="16"/>
      <c r="AM1270" s="16"/>
      <c r="AN1270" s="16" t="s">
        <v>32</v>
      </c>
      <c r="AO1270" s="16" t="s">
        <v>32</v>
      </c>
      <c r="AP1270" s="16"/>
      <c r="AQ1270" s="16"/>
      <c r="AR1270" s="16">
        <v>0</v>
      </c>
      <c r="AS1270" s="16"/>
      <c r="AT1270" s="16"/>
      <c r="AU1270" s="16" t="s">
        <v>92</v>
      </c>
      <c r="AV1270" s="16">
        <v>1750905</v>
      </c>
      <c r="AW1270" s="16" t="s">
        <v>32</v>
      </c>
      <c r="AX1270" s="16" t="s">
        <v>32</v>
      </c>
      <c r="AY1270" s="16" t="s">
        <v>317</v>
      </c>
      <c r="AZ1270" s="16">
        <v>2</v>
      </c>
      <c r="BA1270" s="16">
        <v>116727</v>
      </c>
      <c r="BB1270" s="16">
        <v>0.15999999642372131</v>
      </c>
      <c r="BC1270" s="16">
        <v>18700</v>
      </c>
      <c r="BD1270" s="16" t="s">
        <v>31</v>
      </c>
      <c r="BE1270" s="16">
        <v>0</v>
      </c>
      <c r="BF1270" s="16">
        <v>0</v>
      </c>
      <c r="BG1270" s="16">
        <v>0</v>
      </c>
      <c r="BH1270" s="16">
        <v>0</v>
      </c>
      <c r="BI1270" s="16">
        <v>0</v>
      </c>
      <c r="BJ1270" s="16">
        <v>18700</v>
      </c>
      <c r="BK1270" s="16" t="s">
        <v>25</v>
      </c>
      <c r="BL1270" s="16" t="s">
        <v>1064</v>
      </c>
      <c r="BM1270" s="16">
        <v>2</v>
      </c>
      <c r="BN1270" s="16">
        <v>116727</v>
      </c>
      <c r="BO1270" s="16">
        <v>0</v>
      </c>
      <c r="BP1270" s="16">
        <v>0</v>
      </c>
      <c r="BQ1270" s="16">
        <v>0</v>
      </c>
      <c r="BR1270" s="16"/>
      <c r="BS1270" s="16">
        <v>0</v>
      </c>
      <c r="BT1270" s="16"/>
      <c r="BU1270" s="16">
        <v>0</v>
      </c>
      <c r="BV1270" s="16" t="s">
        <v>25</v>
      </c>
      <c r="BW1270" s="16" t="s">
        <v>189</v>
      </c>
      <c r="BX1270" s="16">
        <v>2</v>
      </c>
      <c r="BY1270" s="16">
        <v>116727</v>
      </c>
      <c r="BZ1270" s="16">
        <v>0</v>
      </c>
      <c r="CA1270" s="16" t="s">
        <v>1439</v>
      </c>
      <c r="CB1270" s="16" t="s">
        <v>227</v>
      </c>
      <c r="CC1270" s="16" t="s">
        <v>1440</v>
      </c>
      <c r="CD1270" s="16">
        <v>0</v>
      </c>
      <c r="CE1270" s="16">
        <v>2</v>
      </c>
      <c r="CF1270" s="16" t="s">
        <v>635</v>
      </c>
      <c r="CG1270" s="16">
        <v>0</v>
      </c>
      <c r="CH1270" s="16">
        <v>0</v>
      </c>
      <c r="CI1270" s="16">
        <v>0</v>
      </c>
      <c r="CJ1270" s="16">
        <v>0</v>
      </c>
      <c r="CK1270" s="16">
        <v>0</v>
      </c>
      <c r="CL1270" s="16">
        <v>0</v>
      </c>
      <c r="CM1270" s="16">
        <v>0</v>
      </c>
      <c r="CN1270" s="16">
        <v>0</v>
      </c>
      <c r="CO1270" s="16">
        <v>0</v>
      </c>
      <c r="CP1270" s="16">
        <v>0</v>
      </c>
      <c r="CQ1270" s="16">
        <v>0</v>
      </c>
      <c r="CR1270" s="16">
        <v>0</v>
      </c>
      <c r="CS1270" s="16" t="s">
        <v>88</v>
      </c>
      <c r="CT1270" s="16" t="s">
        <v>142</v>
      </c>
      <c r="CU1270" s="16" t="s">
        <v>1442</v>
      </c>
    </row>
    <row r="1271" spans="1:99">
      <c r="A1271" s="16" t="s">
        <v>3047</v>
      </c>
      <c r="B1271" s="16" t="s">
        <v>34</v>
      </c>
      <c r="C1271" s="16" t="s">
        <v>1493</v>
      </c>
      <c r="D1271" s="16" t="s">
        <v>1494</v>
      </c>
      <c r="E1271" s="16" t="s">
        <v>1495</v>
      </c>
      <c r="F1271" s="16" t="s">
        <v>1496</v>
      </c>
      <c r="G1271" s="16" t="s">
        <v>1497</v>
      </c>
      <c r="H1271" s="16" t="s">
        <v>1498</v>
      </c>
      <c r="I1271" s="16" t="s">
        <v>240</v>
      </c>
      <c r="J1271" s="16" t="s">
        <v>46</v>
      </c>
      <c r="K1271" s="16" t="s">
        <v>29</v>
      </c>
      <c r="L1271" s="16" t="s">
        <v>30</v>
      </c>
      <c r="M1271" s="16">
        <v>124</v>
      </c>
      <c r="N1271" s="16" t="s">
        <v>32</v>
      </c>
      <c r="O1271" s="16" t="s">
        <v>32</v>
      </c>
      <c r="P1271" s="16"/>
      <c r="Q1271" s="16" t="s">
        <v>32</v>
      </c>
      <c r="R1271" s="16"/>
      <c r="S1271" s="16" t="s">
        <v>40</v>
      </c>
      <c r="T1271" s="16">
        <v>46074</v>
      </c>
      <c r="U1271" s="16" t="s">
        <v>32</v>
      </c>
      <c r="V1271" s="16" t="s">
        <v>32</v>
      </c>
      <c r="W1271" s="16" t="s">
        <v>32</v>
      </c>
      <c r="X1271" s="16" t="s">
        <v>32</v>
      </c>
      <c r="Y1271" s="16" t="s">
        <v>32</v>
      </c>
      <c r="Z1271" s="16"/>
      <c r="AA1271" s="16" t="s">
        <v>88</v>
      </c>
      <c r="AB1271" s="16" t="s">
        <v>32</v>
      </c>
      <c r="AC1271" s="16"/>
      <c r="AD1271" s="16"/>
      <c r="AE1271" s="16" t="s">
        <v>32</v>
      </c>
      <c r="AF1271" s="16"/>
      <c r="AG1271" s="16"/>
      <c r="AH1271" s="16" t="s">
        <v>32</v>
      </c>
      <c r="AI1271" s="16"/>
      <c r="AJ1271" s="16"/>
      <c r="AK1271" s="16" t="s">
        <v>32</v>
      </c>
      <c r="AL1271" s="16"/>
      <c r="AM1271" s="16"/>
      <c r="AN1271" s="16" t="s">
        <v>32</v>
      </c>
      <c r="AO1271" s="16" t="s">
        <v>32</v>
      </c>
      <c r="AP1271" s="16"/>
      <c r="AQ1271" s="16"/>
      <c r="AR1271" s="16">
        <v>0</v>
      </c>
      <c r="AS1271" s="16"/>
      <c r="AT1271" s="16"/>
      <c r="AU1271" s="16" t="s">
        <v>92</v>
      </c>
      <c r="AV1271" s="16">
        <v>1750905</v>
      </c>
      <c r="AW1271" s="16" t="s">
        <v>32</v>
      </c>
      <c r="AX1271" s="16" t="s">
        <v>32</v>
      </c>
      <c r="AY1271" s="16" t="s">
        <v>317</v>
      </c>
      <c r="AZ1271" s="16">
        <v>16</v>
      </c>
      <c r="BA1271" s="16">
        <v>1600632</v>
      </c>
      <c r="BB1271" s="16">
        <v>0.15999999642372131</v>
      </c>
      <c r="BC1271" s="16">
        <v>256200</v>
      </c>
      <c r="BD1271" s="16" t="s">
        <v>31</v>
      </c>
      <c r="BE1271" s="16">
        <v>0</v>
      </c>
      <c r="BF1271" s="16">
        <v>0</v>
      </c>
      <c r="BG1271" s="16">
        <v>0</v>
      </c>
      <c r="BH1271" s="16">
        <v>0</v>
      </c>
      <c r="BI1271" s="16">
        <v>0</v>
      </c>
      <c r="BJ1271" s="16">
        <v>256200</v>
      </c>
      <c r="BK1271" s="16" t="s">
        <v>25</v>
      </c>
      <c r="BL1271" s="16" t="s">
        <v>1064</v>
      </c>
      <c r="BM1271" s="16">
        <v>16</v>
      </c>
      <c r="BN1271" s="16">
        <v>1600632</v>
      </c>
      <c r="BO1271" s="16">
        <v>3.9999999105930328E-2</v>
      </c>
      <c r="BP1271" s="16">
        <v>64100</v>
      </c>
      <c r="BQ1271" s="16">
        <v>0</v>
      </c>
      <c r="BR1271" s="16"/>
      <c r="BS1271" s="16">
        <v>0</v>
      </c>
      <c r="BT1271" s="16"/>
      <c r="BU1271" s="16">
        <v>0</v>
      </c>
      <c r="BV1271" s="16" t="s">
        <v>25</v>
      </c>
      <c r="BW1271" s="16" t="s">
        <v>189</v>
      </c>
      <c r="BX1271" s="16">
        <v>16</v>
      </c>
      <c r="BY1271" s="16">
        <v>1600632</v>
      </c>
      <c r="BZ1271" s="16">
        <v>6.9600000977516174E-2</v>
      </c>
      <c r="CA1271" s="16" t="s">
        <v>1439</v>
      </c>
      <c r="CB1271" s="16" t="s">
        <v>227</v>
      </c>
      <c r="CC1271" s="16" t="s">
        <v>1440</v>
      </c>
      <c r="CD1271" s="16">
        <v>111500</v>
      </c>
      <c r="CE1271" s="16">
        <v>16</v>
      </c>
      <c r="CF1271" s="16" t="s">
        <v>635</v>
      </c>
      <c r="CG1271" s="16">
        <v>2098116</v>
      </c>
      <c r="CH1271" s="16">
        <v>3.9999999105930328E-2</v>
      </c>
      <c r="CI1271" s="16">
        <v>84000</v>
      </c>
      <c r="CJ1271" s="16">
        <v>0</v>
      </c>
      <c r="CK1271" s="16">
        <v>0</v>
      </c>
      <c r="CL1271" s="16">
        <v>0</v>
      </c>
      <c r="CM1271" s="16">
        <v>0</v>
      </c>
      <c r="CN1271" s="16">
        <v>0</v>
      </c>
      <c r="CO1271" s="16">
        <v>0</v>
      </c>
      <c r="CP1271" s="16">
        <v>0</v>
      </c>
      <c r="CQ1271" s="16">
        <v>0</v>
      </c>
      <c r="CR1271" s="16">
        <v>0</v>
      </c>
      <c r="CS1271" s="16" t="s">
        <v>88</v>
      </c>
      <c r="CT1271" s="16" t="s">
        <v>142</v>
      </c>
      <c r="CU1271" s="16" t="s">
        <v>1442</v>
      </c>
    </row>
    <row r="1272" spans="1:99">
      <c r="A1272" s="16" t="s">
        <v>3047</v>
      </c>
      <c r="B1272" s="16" t="s">
        <v>34</v>
      </c>
      <c r="C1272" s="16" t="s">
        <v>1699</v>
      </c>
      <c r="D1272" s="16" t="s">
        <v>1700</v>
      </c>
      <c r="E1272" s="16" t="s">
        <v>1701</v>
      </c>
      <c r="F1272" s="16" t="s">
        <v>1620</v>
      </c>
      <c r="G1272" s="16" t="s">
        <v>1649</v>
      </c>
      <c r="H1272" s="16" t="s">
        <v>1702</v>
      </c>
      <c r="I1272" s="16" t="s">
        <v>240</v>
      </c>
      <c r="J1272" s="16" t="s">
        <v>46</v>
      </c>
      <c r="K1272" s="16" t="s">
        <v>29</v>
      </c>
      <c r="L1272" s="16" t="s">
        <v>30</v>
      </c>
      <c r="M1272" s="16">
        <v>0</v>
      </c>
      <c r="N1272" s="16" t="s">
        <v>32</v>
      </c>
      <c r="O1272" s="16" t="s">
        <v>32</v>
      </c>
      <c r="P1272" s="16"/>
      <c r="Q1272" s="16" t="s">
        <v>32</v>
      </c>
      <c r="R1272" s="16"/>
      <c r="S1272" s="16" t="s">
        <v>32</v>
      </c>
      <c r="T1272" s="16"/>
      <c r="U1272" s="16" t="s">
        <v>32</v>
      </c>
      <c r="V1272" s="16" t="s">
        <v>32</v>
      </c>
      <c r="W1272" s="16" t="s">
        <v>32</v>
      </c>
      <c r="X1272" s="16" t="s">
        <v>32</v>
      </c>
      <c r="Y1272" s="16" t="s">
        <v>32</v>
      </c>
      <c r="Z1272" s="16"/>
      <c r="AA1272" s="16" t="s">
        <v>32</v>
      </c>
      <c r="AB1272" s="16" t="s">
        <v>37</v>
      </c>
      <c r="AC1272" s="16">
        <v>46069</v>
      </c>
      <c r="AD1272" s="16">
        <v>46070</v>
      </c>
      <c r="AE1272" s="16" t="s">
        <v>32</v>
      </c>
      <c r="AF1272" s="16"/>
      <c r="AG1272" s="16"/>
      <c r="AH1272" s="16" t="s">
        <v>32</v>
      </c>
      <c r="AI1272" s="16"/>
      <c r="AJ1272" s="16"/>
      <c r="AK1272" s="16" t="s">
        <v>32</v>
      </c>
      <c r="AL1272" s="16"/>
      <c r="AM1272" s="16"/>
      <c r="AN1272" s="16" t="s">
        <v>32</v>
      </c>
      <c r="AO1272" s="16" t="s">
        <v>32</v>
      </c>
      <c r="AP1272" s="16"/>
      <c r="AQ1272" s="16"/>
      <c r="AR1272" s="16">
        <v>0</v>
      </c>
      <c r="AS1272" s="16"/>
      <c r="AT1272" s="16"/>
      <c r="AU1272" s="16" t="s">
        <v>92</v>
      </c>
      <c r="AV1272" s="16">
        <v>2223339</v>
      </c>
      <c r="AW1272" s="16" t="s">
        <v>32</v>
      </c>
      <c r="AX1272" s="16" t="s">
        <v>32</v>
      </c>
      <c r="AY1272" s="16" t="s">
        <v>185</v>
      </c>
      <c r="AZ1272" s="16">
        <v>2</v>
      </c>
      <c r="BA1272" s="16">
        <v>148223</v>
      </c>
      <c r="BB1272" s="16">
        <v>0.15999999642372131</v>
      </c>
      <c r="BC1272" s="16">
        <v>23800</v>
      </c>
      <c r="BD1272" s="16" t="s">
        <v>31</v>
      </c>
      <c r="BE1272" s="16">
        <v>0</v>
      </c>
      <c r="BF1272" s="16">
        <v>0</v>
      </c>
      <c r="BG1272" s="16">
        <v>0</v>
      </c>
      <c r="BH1272" s="16">
        <v>0</v>
      </c>
      <c r="BI1272" s="16">
        <v>0</v>
      </c>
      <c r="BJ1272" s="16">
        <v>23800</v>
      </c>
      <c r="BK1272" s="16" t="s">
        <v>25</v>
      </c>
      <c r="BL1272" s="16" t="s">
        <v>870</v>
      </c>
      <c r="BM1272" s="16">
        <v>2</v>
      </c>
      <c r="BN1272" s="16">
        <v>148223</v>
      </c>
      <c r="BO1272" s="16">
        <v>0</v>
      </c>
      <c r="BP1272" s="16">
        <v>0</v>
      </c>
      <c r="BQ1272" s="16">
        <v>0</v>
      </c>
      <c r="BR1272" s="16"/>
      <c r="BS1272" s="16">
        <v>0</v>
      </c>
      <c r="BT1272" s="16"/>
      <c r="BU1272" s="16">
        <v>0</v>
      </c>
      <c r="BV1272" s="16" t="s">
        <v>25</v>
      </c>
      <c r="BW1272" s="16" t="s">
        <v>189</v>
      </c>
      <c r="BX1272" s="16">
        <v>2</v>
      </c>
      <c r="BY1272" s="16">
        <v>148223</v>
      </c>
      <c r="BZ1272" s="16">
        <v>0</v>
      </c>
      <c r="CA1272" s="16" t="s">
        <v>1439</v>
      </c>
      <c r="CB1272" s="16" t="s">
        <v>227</v>
      </c>
      <c r="CC1272" s="16" t="s">
        <v>1440</v>
      </c>
      <c r="CD1272" s="16">
        <v>0</v>
      </c>
      <c r="CE1272" s="16">
        <v>2</v>
      </c>
      <c r="CF1272" s="16" t="s">
        <v>635</v>
      </c>
      <c r="CG1272" s="16">
        <v>0</v>
      </c>
      <c r="CH1272" s="16">
        <v>0</v>
      </c>
      <c r="CI1272" s="16">
        <v>0</v>
      </c>
      <c r="CJ1272" s="16">
        <v>0</v>
      </c>
      <c r="CK1272" s="16">
        <v>0</v>
      </c>
      <c r="CL1272" s="16">
        <v>0</v>
      </c>
      <c r="CM1272" s="16">
        <v>0</v>
      </c>
      <c r="CN1272" s="16">
        <v>0</v>
      </c>
      <c r="CO1272" s="16">
        <v>0</v>
      </c>
      <c r="CP1272" s="16">
        <v>0</v>
      </c>
      <c r="CQ1272" s="16">
        <v>0</v>
      </c>
      <c r="CR1272" s="16">
        <v>0</v>
      </c>
      <c r="CS1272" s="16" t="s">
        <v>88</v>
      </c>
      <c r="CT1272" s="16" t="s">
        <v>142</v>
      </c>
      <c r="CU1272" s="16" t="s">
        <v>1442</v>
      </c>
    </row>
    <row r="1273" spans="1:99">
      <c r="A1273" s="16" t="s">
        <v>3047</v>
      </c>
      <c r="B1273" s="16" t="s">
        <v>34</v>
      </c>
      <c r="C1273" s="16" t="s">
        <v>1699</v>
      </c>
      <c r="D1273" s="16" t="s">
        <v>1700</v>
      </c>
      <c r="E1273" s="16" t="s">
        <v>1701</v>
      </c>
      <c r="F1273" s="16" t="s">
        <v>1620</v>
      </c>
      <c r="G1273" s="16" t="s">
        <v>1649</v>
      </c>
      <c r="H1273" s="16" t="s">
        <v>1702</v>
      </c>
      <c r="I1273" s="16" t="s">
        <v>240</v>
      </c>
      <c r="J1273" s="16" t="s">
        <v>46</v>
      </c>
      <c r="K1273" s="16" t="s">
        <v>29</v>
      </c>
      <c r="L1273" s="16" t="s">
        <v>30</v>
      </c>
      <c r="M1273" s="16">
        <v>157</v>
      </c>
      <c r="N1273" s="16" t="s">
        <v>32</v>
      </c>
      <c r="O1273" s="16" t="s">
        <v>32</v>
      </c>
      <c r="P1273" s="16"/>
      <c r="Q1273" s="16" t="s">
        <v>32</v>
      </c>
      <c r="R1273" s="16"/>
      <c r="S1273" s="16" t="s">
        <v>40</v>
      </c>
      <c r="T1273" s="16">
        <v>46074</v>
      </c>
      <c r="U1273" s="16" t="s">
        <v>32</v>
      </c>
      <c r="V1273" s="16" t="s">
        <v>32</v>
      </c>
      <c r="W1273" s="16" t="s">
        <v>32</v>
      </c>
      <c r="X1273" s="16" t="s">
        <v>32</v>
      </c>
      <c r="Y1273" s="16" t="s">
        <v>32</v>
      </c>
      <c r="Z1273" s="16"/>
      <c r="AA1273" s="16" t="s">
        <v>88</v>
      </c>
      <c r="AB1273" s="16" t="s">
        <v>32</v>
      </c>
      <c r="AC1273" s="16"/>
      <c r="AD1273" s="16"/>
      <c r="AE1273" s="16" t="s">
        <v>32</v>
      </c>
      <c r="AF1273" s="16"/>
      <c r="AG1273" s="16"/>
      <c r="AH1273" s="16" t="s">
        <v>32</v>
      </c>
      <c r="AI1273" s="16"/>
      <c r="AJ1273" s="16"/>
      <c r="AK1273" s="16" t="s">
        <v>32</v>
      </c>
      <c r="AL1273" s="16"/>
      <c r="AM1273" s="16"/>
      <c r="AN1273" s="16" t="s">
        <v>32</v>
      </c>
      <c r="AO1273" s="16" t="s">
        <v>32</v>
      </c>
      <c r="AP1273" s="16"/>
      <c r="AQ1273" s="16"/>
      <c r="AR1273" s="16">
        <v>0</v>
      </c>
      <c r="AS1273" s="16"/>
      <c r="AT1273" s="16"/>
      <c r="AU1273" s="16" t="s">
        <v>92</v>
      </c>
      <c r="AV1273" s="16">
        <v>2223339</v>
      </c>
      <c r="AW1273" s="16" t="s">
        <v>32</v>
      </c>
      <c r="AX1273" s="16" t="s">
        <v>32</v>
      </c>
      <c r="AY1273" s="16" t="s">
        <v>185</v>
      </c>
      <c r="AZ1273" s="16">
        <v>19</v>
      </c>
      <c r="BA1273" s="16">
        <v>2820641</v>
      </c>
      <c r="BB1273" s="16">
        <v>0.15999999642372131</v>
      </c>
      <c r="BC1273" s="16">
        <v>451400</v>
      </c>
      <c r="BD1273" s="16" t="s">
        <v>31</v>
      </c>
      <c r="BE1273" s="16">
        <v>0</v>
      </c>
      <c r="BF1273" s="16">
        <v>0</v>
      </c>
      <c r="BG1273" s="16">
        <v>0</v>
      </c>
      <c r="BH1273" s="16">
        <v>0</v>
      </c>
      <c r="BI1273" s="16">
        <v>0</v>
      </c>
      <c r="BJ1273" s="16">
        <v>451400</v>
      </c>
      <c r="BK1273" s="16" t="s">
        <v>25</v>
      </c>
      <c r="BL1273" s="16" t="s">
        <v>870</v>
      </c>
      <c r="BM1273" s="16">
        <v>19</v>
      </c>
      <c r="BN1273" s="16">
        <v>2820641</v>
      </c>
      <c r="BO1273" s="16">
        <v>3.9999999105930328E-2</v>
      </c>
      <c r="BP1273" s="16">
        <v>112900</v>
      </c>
      <c r="BQ1273" s="16">
        <v>0</v>
      </c>
      <c r="BR1273" s="16"/>
      <c r="BS1273" s="16">
        <v>0</v>
      </c>
      <c r="BT1273" s="16"/>
      <c r="BU1273" s="16">
        <v>0</v>
      </c>
      <c r="BV1273" s="16" t="s">
        <v>25</v>
      </c>
      <c r="BW1273" s="16" t="s">
        <v>189</v>
      </c>
      <c r="BX1273" s="16">
        <v>19</v>
      </c>
      <c r="BY1273" s="16">
        <v>2820641</v>
      </c>
      <c r="BZ1273" s="16">
        <v>6.9600000977516174E-2</v>
      </c>
      <c r="CA1273" s="16" t="s">
        <v>1439</v>
      </c>
      <c r="CB1273" s="16" t="s">
        <v>227</v>
      </c>
      <c r="CC1273" s="16" t="s">
        <v>1440</v>
      </c>
      <c r="CD1273" s="16">
        <v>196400</v>
      </c>
      <c r="CE1273" s="16">
        <v>19</v>
      </c>
      <c r="CF1273" s="16" t="s">
        <v>635</v>
      </c>
      <c r="CG1273" s="16">
        <v>3254353</v>
      </c>
      <c r="CH1273" s="16">
        <v>3.9999999105930328E-2</v>
      </c>
      <c r="CI1273" s="16">
        <v>130200</v>
      </c>
      <c r="CJ1273" s="16">
        <v>0</v>
      </c>
      <c r="CK1273" s="16">
        <v>0</v>
      </c>
      <c r="CL1273" s="16">
        <v>0</v>
      </c>
      <c r="CM1273" s="16">
        <v>0</v>
      </c>
      <c r="CN1273" s="16">
        <v>0</v>
      </c>
      <c r="CO1273" s="16">
        <v>0</v>
      </c>
      <c r="CP1273" s="16">
        <v>0</v>
      </c>
      <c r="CQ1273" s="16">
        <v>0</v>
      </c>
      <c r="CR1273" s="16">
        <v>0</v>
      </c>
      <c r="CS1273" s="16" t="s">
        <v>88</v>
      </c>
      <c r="CT1273" s="16" t="s">
        <v>142</v>
      </c>
      <c r="CU1273" s="16" t="s">
        <v>1442</v>
      </c>
    </row>
    <row r="1274" spans="1:99">
      <c r="A1274" s="16" t="s">
        <v>3047</v>
      </c>
      <c r="B1274" s="16" t="s">
        <v>34</v>
      </c>
      <c r="C1274" s="16" t="s">
        <v>1787</v>
      </c>
      <c r="D1274" s="16" t="s">
        <v>1788</v>
      </c>
      <c r="E1274" s="16" t="s">
        <v>756</v>
      </c>
      <c r="F1274" s="16" t="s">
        <v>1789</v>
      </c>
      <c r="G1274" s="16" t="s">
        <v>1790</v>
      </c>
      <c r="H1274" s="16" t="s">
        <v>1558</v>
      </c>
      <c r="I1274" s="16" t="s">
        <v>240</v>
      </c>
      <c r="J1274" s="16" t="s">
        <v>46</v>
      </c>
      <c r="K1274" s="16" t="s">
        <v>29</v>
      </c>
      <c r="L1274" s="16" t="s">
        <v>30</v>
      </c>
      <c r="M1274" s="16">
        <v>161</v>
      </c>
      <c r="N1274" s="16" t="s">
        <v>32</v>
      </c>
      <c r="O1274" s="16" t="s">
        <v>32</v>
      </c>
      <c r="P1274" s="16"/>
      <c r="Q1274" s="16" t="s">
        <v>32</v>
      </c>
      <c r="R1274" s="16"/>
      <c r="S1274" s="16" t="s">
        <v>40</v>
      </c>
      <c r="T1274" s="16">
        <v>46074</v>
      </c>
      <c r="U1274" s="16" t="s">
        <v>32</v>
      </c>
      <c r="V1274" s="16" t="s">
        <v>32</v>
      </c>
      <c r="W1274" s="16" t="s">
        <v>32</v>
      </c>
      <c r="X1274" s="16" t="s">
        <v>32</v>
      </c>
      <c r="Y1274" s="16" t="s">
        <v>32</v>
      </c>
      <c r="Z1274" s="16"/>
      <c r="AA1274" s="16" t="s">
        <v>88</v>
      </c>
      <c r="AB1274" s="16" t="s">
        <v>32</v>
      </c>
      <c r="AC1274" s="16"/>
      <c r="AD1274" s="16"/>
      <c r="AE1274" s="16" t="s">
        <v>32</v>
      </c>
      <c r="AF1274" s="16"/>
      <c r="AG1274" s="16"/>
      <c r="AH1274" s="16" t="s">
        <v>32</v>
      </c>
      <c r="AI1274" s="16"/>
      <c r="AJ1274" s="16"/>
      <c r="AK1274" s="16" t="s">
        <v>32</v>
      </c>
      <c r="AL1274" s="16"/>
      <c r="AM1274" s="16"/>
      <c r="AN1274" s="16" t="s">
        <v>32</v>
      </c>
      <c r="AO1274" s="16" t="s">
        <v>32</v>
      </c>
      <c r="AP1274" s="16"/>
      <c r="AQ1274" s="16"/>
      <c r="AR1274" s="16">
        <v>0</v>
      </c>
      <c r="AS1274" s="16"/>
      <c r="AT1274" s="16"/>
      <c r="AU1274" s="16" t="s">
        <v>92</v>
      </c>
      <c r="AV1274" s="16">
        <v>2223339</v>
      </c>
      <c r="AW1274" s="16" t="s">
        <v>32</v>
      </c>
      <c r="AX1274" s="16" t="s">
        <v>32</v>
      </c>
      <c r="AY1274" s="16" t="s">
        <v>317</v>
      </c>
      <c r="AZ1274" s="16">
        <v>21</v>
      </c>
      <c r="BA1274" s="16">
        <v>2630642</v>
      </c>
      <c r="BB1274" s="16">
        <v>0.15999999642372131</v>
      </c>
      <c r="BC1274" s="16">
        <v>421000</v>
      </c>
      <c r="BD1274" s="16" t="s">
        <v>31</v>
      </c>
      <c r="BE1274" s="16">
        <v>0</v>
      </c>
      <c r="BF1274" s="16">
        <v>0</v>
      </c>
      <c r="BG1274" s="16">
        <v>0</v>
      </c>
      <c r="BH1274" s="16">
        <v>0</v>
      </c>
      <c r="BI1274" s="16">
        <v>0</v>
      </c>
      <c r="BJ1274" s="16">
        <v>421000</v>
      </c>
      <c r="BK1274" s="16" t="s">
        <v>25</v>
      </c>
      <c r="BL1274" t="s">
        <v>1000</v>
      </c>
      <c r="BM1274" s="16">
        <v>21</v>
      </c>
      <c r="BN1274" s="16">
        <v>2630642</v>
      </c>
      <c r="BO1274" s="16">
        <v>3.9999999105930328E-2</v>
      </c>
      <c r="BP1274" s="16">
        <v>105300</v>
      </c>
      <c r="BQ1274" s="16">
        <v>0</v>
      </c>
      <c r="BR1274" s="16"/>
      <c r="BS1274" s="16">
        <v>0</v>
      </c>
      <c r="BT1274" s="16"/>
      <c r="BU1274" s="16">
        <v>0</v>
      </c>
      <c r="BV1274" s="16" t="s">
        <v>25</v>
      </c>
      <c r="BW1274" s="16" t="s">
        <v>189</v>
      </c>
      <c r="BX1274" s="16">
        <v>21</v>
      </c>
      <c r="BY1274" s="16">
        <v>2630642</v>
      </c>
      <c r="BZ1274" s="16">
        <v>6.9600000977516174E-2</v>
      </c>
      <c r="CA1274" s="16" t="s">
        <v>1439</v>
      </c>
      <c r="CB1274" s="16" t="s">
        <v>227</v>
      </c>
      <c r="CC1274" s="16" t="s">
        <v>1440</v>
      </c>
      <c r="CD1274" s="16">
        <v>183100</v>
      </c>
      <c r="CE1274" s="16">
        <v>21</v>
      </c>
      <c r="CF1274" s="16" t="s">
        <v>635</v>
      </c>
      <c r="CG1274" s="16">
        <v>2476588</v>
      </c>
      <c r="CH1274" s="16">
        <v>3.9999999105930328E-2</v>
      </c>
      <c r="CI1274" s="16">
        <v>99100</v>
      </c>
      <c r="CJ1274" s="16">
        <v>0</v>
      </c>
      <c r="CK1274" s="16">
        <v>0</v>
      </c>
      <c r="CL1274" s="16">
        <v>0</v>
      </c>
      <c r="CM1274" s="16">
        <v>0</v>
      </c>
      <c r="CN1274" s="16">
        <v>0</v>
      </c>
      <c r="CO1274" s="16">
        <v>0</v>
      </c>
      <c r="CP1274" s="16">
        <v>0</v>
      </c>
      <c r="CQ1274" s="16">
        <v>0</v>
      </c>
      <c r="CR1274" s="16">
        <v>0</v>
      </c>
      <c r="CS1274" s="16" t="s">
        <v>88</v>
      </c>
      <c r="CT1274" s="16" t="s">
        <v>142</v>
      </c>
      <c r="CU1274" s="16" t="s">
        <v>1442</v>
      </c>
    </row>
    <row r="1275" spans="1:99">
      <c r="A1275" s="16" t="s">
        <v>3047</v>
      </c>
      <c r="B1275" s="16" t="s">
        <v>34</v>
      </c>
      <c r="C1275" s="16" t="s">
        <v>1862</v>
      </c>
      <c r="D1275" s="16" t="s">
        <v>1863</v>
      </c>
      <c r="E1275" s="16" t="s">
        <v>1857</v>
      </c>
      <c r="F1275" s="16" t="s">
        <v>1864</v>
      </c>
      <c r="G1275" s="16" t="s">
        <v>1598</v>
      </c>
      <c r="H1275" s="16" t="s">
        <v>1558</v>
      </c>
      <c r="I1275" s="16" t="s">
        <v>240</v>
      </c>
      <c r="J1275" s="16" t="s">
        <v>46</v>
      </c>
      <c r="K1275" s="16" t="s">
        <v>29</v>
      </c>
      <c r="L1275" s="16" t="s">
        <v>30</v>
      </c>
      <c r="M1275" s="16">
        <v>175</v>
      </c>
      <c r="N1275" s="16" t="s">
        <v>32</v>
      </c>
      <c r="O1275" s="16" t="s">
        <v>32</v>
      </c>
      <c r="P1275" s="16"/>
      <c r="Q1275" s="16" t="s">
        <v>32</v>
      </c>
      <c r="R1275" s="16"/>
      <c r="S1275" s="16" t="s">
        <v>40</v>
      </c>
      <c r="T1275" s="16">
        <v>46074</v>
      </c>
      <c r="U1275" s="16" t="s">
        <v>32</v>
      </c>
      <c r="V1275" s="16" t="s">
        <v>32</v>
      </c>
      <c r="W1275" s="16" t="s">
        <v>32</v>
      </c>
      <c r="X1275" s="16" t="s">
        <v>32</v>
      </c>
      <c r="Y1275" s="16" t="s">
        <v>32</v>
      </c>
      <c r="Z1275" s="16"/>
      <c r="AA1275" s="16" t="s">
        <v>88</v>
      </c>
      <c r="AB1275" s="16" t="s">
        <v>32</v>
      </c>
      <c r="AC1275" s="16"/>
      <c r="AD1275" s="16"/>
      <c r="AE1275" s="16" t="s">
        <v>32</v>
      </c>
      <c r="AF1275" s="16"/>
      <c r="AG1275" s="16"/>
      <c r="AH1275" s="16" t="s">
        <v>32</v>
      </c>
      <c r="AI1275" s="16"/>
      <c r="AJ1275" s="16"/>
      <c r="AK1275" s="16" t="s">
        <v>32</v>
      </c>
      <c r="AL1275" s="16"/>
      <c r="AM1275" s="16"/>
      <c r="AN1275" s="16" t="s">
        <v>32</v>
      </c>
      <c r="AO1275" s="16" t="s">
        <v>32</v>
      </c>
      <c r="AP1275" s="16"/>
      <c r="AQ1275" s="16"/>
      <c r="AR1275" s="16">
        <v>0</v>
      </c>
      <c r="AS1275" s="16"/>
      <c r="AT1275" s="16"/>
      <c r="AU1275" s="16" t="s">
        <v>92</v>
      </c>
      <c r="AV1275" s="16">
        <v>1785595</v>
      </c>
      <c r="AW1275" s="16" t="s">
        <v>32</v>
      </c>
      <c r="AX1275" s="16" t="s">
        <v>32</v>
      </c>
      <c r="AY1275" s="16" t="s">
        <v>356</v>
      </c>
      <c r="AZ1275" s="16">
        <v>21</v>
      </c>
      <c r="BA1275" s="16">
        <v>2201696</v>
      </c>
      <c r="BB1275" s="16">
        <v>0.15999999642372131</v>
      </c>
      <c r="BC1275" s="16">
        <v>352300</v>
      </c>
      <c r="BD1275" s="16" t="s">
        <v>31</v>
      </c>
      <c r="BE1275" s="16">
        <v>0</v>
      </c>
      <c r="BF1275" s="16">
        <v>0</v>
      </c>
      <c r="BG1275" s="16">
        <v>0</v>
      </c>
      <c r="BH1275" s="16">
        <v>0</v>
      </c>
      <c r="BI1275" s="16">
        <v>0</v>
      </c>
      <c r="BJ1275" s="16">
        <v>352300</v>
      </c>
      <c r="BK1275" s="16" t="s">
        <v>25</v>
      </c>
      <c r="BL1275" s="16" t="s">
        <v>1010</v>
      </c>
      <c r="BM1275" s="16">
        <v>21</v>
      </c>
      <c r="BN1275" s="16">
        <v>2201696</v>
      </c>
      <c r="BO1275" s="16">
        <v>3.9999999105930328E-2</v>
      </c>
      <c r="BP1275" s="16">
        <v>88100</v>
      </c>
      <c r="BQ1275" s="16">
        <v>0</v>
      </c>
      <c r="BR1275" s="16"/>
      <c r="BS1275" s="16">
        <v>0</v>
      </c>
      <c r="BT1275" s="16"/>
      <c r="BU1275" s="16">
        <v>0</v>
      </c>
      <c r="BV1275" s="16" t="s">
        <v>25</v>
      </c>
      <c r="BW1275" s="16" t="s">
        <v>189</v>
      </c>
      <c r="BX1275" s="16">
        <v>21</v>
      </c>
      <c r="BY1275" s="16">
        <v>2201696</v>
      </c>
      <c r="BZ1275" s="16">
        <v>6.9600000977516174E-2</v>
      </c>
      <c r="CA1275" s="16" t="s">
        <v>1439</v>
      </c>
      <c r="CB1275" s="16" t="s">
        <v>227</v>
      </c>
      <c r="CC1275" s="16" t="s">
        <v>1440</v>
      </c>
      <c r="CD1275" s="16">
        <v>153300</v>
      </c>
      <c r="CE1275" s="16">
        <v>21</v>
      </c>
      <c r="CF1275" s="16" t="s">
        <v>635</v>
      </c>
      <c r="CG1275" s="16">
        <v>2518713</v>
      </c>
      <c r="CH1275" s="16">
        <v>3.9999999105930328E-2</v>
      </c>
      <c r="CI1275" s="16">
        <v>100800</v>
      </c>
      <c r="CJ1275" s="16">
        <v>0</v>
      </c>
      <c r="CK1275" s="16">
        <v>0</v>
      </c>
      <c r="CL1275" s="16">
        <v>0</v>
      </c>
      <c r="CM1275" s="16">
        <v>0</v>
      </c>
      <c r="CN1275" s="16">
        <v>0</v>
      </c>
      <c r="CO1275" s="16">
        <v>0</v>
      </c>
      <c r="CP1275" s="16">
        <v>0</v>
      </c>
      <c r="CQ1275" s="16">
        <v>0</v>
      </c>
      <c r="CR1275" s="16">
        <v>0</v>
      </c>
      <c r="CS1275" s="16" t="s">
        <v>88</v>
      </c>
      <c r="CT1275" s="16" t="s">
        <v>142</v>
      </c>
      <c r="CU1275" s="16" t="s">
        <v>1442</v>
      </c>
    </row>
    <row r="1276" spans="1:99">
      <c r="A1276" s="16" t="s">
        <v>3047</v>
      </c>
      <c r="B1276" s="16" t="s">
        <v>34</v>
      </c>
      <c r="C1276" s="16" t="s">
        <v>2006</v>
      </c>
      <c r="D1276" s="16" t="s">
        <v>2007</v>
      </c>
      <c r="E1276" s="16" t="s">
        <v>1629</v>
      </c>
      <c r="F1276" s="16" t="s">
        <v>914</v>
      </c>
      <c r="G1276" s="16" t="s">
        <v>2008</v>
      </c>
      <c r="H1276" s="16" t="s">
        <v>1490</v>
      </c>
      <c r="I1276" s="16" t="s">
        <v>240</v>
      </c>
      <c r="J1276" s="16" t="s">
        <v>46</v>
      </c>
      <c r="K1276" s="16" t="s">
        <v>29</v>
      </c>
      <c r="L1276" s="16" t="s">
        <v>30</v>
      </c>
      <c r="M1276" s="16">
        <v>0</v>
      </c>
      <c r="N1276" s="16" t="s">
        <v>32</v>
      </c>
      <c r="O1276" s="16" t="s">
        <v>32</v>
      </c>
      <c r="P1276" s="16"/>
      <c r="Q1276" s="16" t="s">
        <v>32</v>
      </c>
      <c r="R1276" s="16"/>
      <c r="S1276" s="16" t="s">
        <v>32</v>
      </c>
      <c r="T1276" s="16"/>
      <c r="U1276" s="16" t="s">
        <v>32</v>
      </c>
      <c r="V1276" s="16" t="s">
        <v>32</v>
      </c>
      <c r="W1276" s="16" t="s">
        <v>32</v>
      </c>
      <c r="X1276" s="16" t="s">
        <v>32</v>
      </c>
      <c r="Y1276" s="16" t="s">
        <v>32</v>
      </c>
      <c r="Z1276" s="16"/>
      <c r="AA1276" s="16" t="s">
        <v>32</v>
      </c>
      <c r="AB1276" s="16" t="s">
        <v>37</v>
      </c>
      <c r="AC1276" s="16">
        <v>46058</v>
      </c>
      <c r="AD1276" s="16">
        <v>46058</v>
      </c>
      <c r="AE1276" s="16" t="s">
        <v>32</v>
      </c>
      <c r="AF1276" s="16"/>
      <c r="AG1276" s="16"/>
      <c r="AH1276" s="16" t="s">
        <v>32</v>
      </c>
      <c r="AI1276" s="16"/>
      <c r="AJ1276" s="16"/>
      <c r="AK1276" s="16" t="s">
        <v>32</v>
      </c>
      <c r="AL1276" s="16"/>
      <c r="AM1276" s="16"/>
      <c r="AN1276" s="16" t="s">
        <v>32</v>
      </c>
      <c r="AO1276" s="16" t="s">
        <v>32</v>
      </c>
      <c r="AP1276" s="16"/>
      <c r="AQ1276" s="16"/>
      <c r="AR1276" s="16">
        <v>0</v>
      </c>
      <c r="AS1276" s="16"/>
      <c r="AT1276" s="16"/>
      <c r="AU1276" s="16" t="s">
        <v>92</v>
      </c>
      <c r="AV1276" s="16">
        <v>1785595</v>
      </c>
      <c r="AW1276" s="16" t="s">
        <v>32</v>
      </c>
      <c r="AX1276" s="16" t="s">
        <v>32</v>
      </c>
      <c r="AY1276" s="16" t="s">
        <v>356</v>
      </c>
      <c r="AZ1276" s="16">
        <v>1</v>
      </c>
      <c r="BA1276" s="16">
        <v>59520</v>
      </c>
      <c r="BB1276" s="16">
        <v>0.15999999642372131</v>
      </c>
      <c r="BC1276" s="16">
        <v>9600</v>
      </c>
      <c r="BD1276" s="16" t="s">
        <v>31</v>
      </c>
      <c r="BE1276" s="16">
        <v>0</v>
      </c>
      <c r="BF1276" s="16">
        <v>0</v>
      </c>
      <c r="BG1276" s="16">
        <v>0</v>
      </c>
      <c r="BH1276" s="16">
        <v>0</v>
      </c>
      <c r="BI1276" s="16">
        <v>0</v>
      </c>
      <c r="BJ1276" s="16">
        <v>9600</v>
      </c>
      <c r="BK1276" s="16" t="s">
        <v>25</v>
      </c>
      <c r="BL1276" s="16" t="s">
        <v>870</v>
      </c>
      <c r="BM1276" s="16">
        <v>1</v>
      </c>
      <c r="BN1276" s="16">
        <v>59520</v>
      </c>
      <c r="BO1276" s="16">
        <v>0</v>
      </c>
      <c r="BP1276" s="16">
        <v>0</v>
      </c>
      <c r="BQ1276" s="16">
        <v>0</v>
      </c>
      <c r="BR1276" s="16"/>
      <c r="BS1276" s="16">
        <v>0</v>
      </c>
      <c r="BT1276" s="16"/>
      <c r="BU1276" s="16">
        <v>0</v>
      </c>
      <c r="BV1276" s="16" t="s">
        <v>25</v>
      </c>
      <c r="BW1276" s="16" t="s">
        <v>189</v>
      </c>
      <c r="BX1276" s="16">
        <v>1</v>
      </c>
      <c r="BY1276" s="16">
        <v>59520</v>
      </c>
      <c r="BZ1276" s="16">
        <v>0</v>
      </c>
      <c r="CA1276" s="16" t="s">
        <v>1439</v>
      </c>
      <c r="CB1276" s="16" t="s">
        <v>227</v>
      </c>
      <c r="CC1276" s="16" t="s">
        <v>1440</v>
      </c>
      <c r="CD1276" s="16">
        <v>0</v>
      </c>
      <c r="CE1276" s="16">
        <v>1</v>
      </c>
      <c r="CF1276" s="16" t="s">
        <v>635</v>
      </c>
      <c r="CG1276" s="16">
        <v>0</v>
      </c>
      <c r="CH1276" s="16">
        <v>0</v>
      </c>
      <c r="CI1276" s="16">
        <v>0</v>
      </c>
      <c r="CJ1276" s="16">
        <v>0</v>
      </c>
      <c r="CK1276" s="16">
        <v>0</v>
      </c>
      <c r="CL1276" s="16">
        <v>0</v>
      </c>
      <c r="CM1276" s="16">
        <v>0</v>
      </c>
      <c r="CN1276" s="16">
        <v>0</v>
      </c>
      <c r="CO1276" s="16">
        <v>0</v>
      </c>
      <c r="CP1276" s="16">
        <v>0</v>
      </c>
      <c r="CQ1276" s="16">
        <v>0</v>
      </c>
      <c r="CR1276" s="16">
        <v>0</v>
      </c>
      <c r="CS1276" s="16" t="s">
        <v>88</v>
      </c>
      <c r="CT1276" s="16" t="s">
        <v>142</v>
      </c>
      <c r="CU1276" s="16" t="s">
        <v>1442</v>
      </c>
    </row>
    <row r="1277" spans="1:99">
      <c r="A1277" s="16" t="s">
        <v>3047</v>
      </c>
      <c r="B1277" s="16" t="s">
        <v>34</v>
      </c>
      <c r="C1277" s="16" t="s">
        <v>2006</v>
      </c>
      <c r="D1277" s="16" t="s">
        <v>2007</v>
      </c>
      <c r="E1277" s="16" t="s">
        <v>1629</v>
      </c>
      <c r="F1277" s="16" t="s">
        <v>914</v>
      </c>
      <c r="G1277" s="16" t="s">
        <v>2008</v>
      </c>
      <c r="H1277" s="16" t="s">
        <v>1490</v>
      </c>
      <c r="I1277" s="16" t="s">
        <v>240</v>
      </c>
      <c r="J1277" s="16" t="s">
        <v>46</v>
      </c>
      <c r="K1277" s="16" t="s">
        <v>29</v>
      </c>
      <c r="L1277" s="16" t="s">
        <v>30</v>
      </c>
      <c r="M1277" s="16">
        <v>0</v>
      </c>
      <c r="N1277" s="16" t="s">
        <v>32</v>
      </c>
      <c r="O1277" s="16" t="s">
        <v>32</v>
      </c>
      <c r="P1277" s="16"/>
      <c r="Q1277" s="16" t="s">
        <v>32</v>
      </c>
      <c r="R1277" s="16"/>
      <c r="S1277" s="16" t="s">
        <v>32</v>
      </c>
      <c r="T1277" s="16"/>
      <c r="U1277" s="16" t="s">
        <v>32</v>
      </c>
      <c r="V1277" s="16" t="s">
        <v>32</v>
      </c>
      <c r="W1277" s="16" t="s">
        <v>32</v>
      </c>
      <c r="X1277" s="16" t="s">
        <v>32</v>
      </c>
      <c r="Y1277" s="16" t="s">
        <v>32</v>
      </c>
      <c r="Z1277" s="16"/>
      <c r="AA1277" s="16" t="s">
        <v>32</v>
      </c>
      <c r="AB1277" s="16" t="s">
        <v>37</v>
      </c>
      <c r="AC1277" s="16">
        <v>46069</v>
      </c>
      <c r="AD1277" s="16">
        <v>46070</v>
      </c>
      <c r="AE1277" s="16" t="s">
        <v>32</v>
      </c>
      <c r="AF1277" s="16"/>
      <c r="AG1277" s="16"/>
      <c r="AH1277" s="16" t="s">
        <v>32</v>
      </c>
      <c r="AI1277" s="16"/>
      <c r="AJ1277" s="16"/>
      <c r="AK1277" s="16" t="s">
        <v>32</v>
      </c>
      <c r="AL1277" s="16"/>
      <c r="AM1277" s="16"/>
      <c r="AN1277" s="16" t="s">
        <v>32</v>
      </c>
      <c r="AO1277" s="16" t="s">
        <v>32</v>
      </c>
      <c r="AP1277" s="16"/>
      <c r="AQ1277" s="16"/>
      <c r="AR1277" s="16">
        <v>0</v>
      </c>
      <c r="AS1277" s="16"/>
      <c r="AT1277" s="16"/>
      <c r="AU1277" s="16" t="s">
        <v>92</v>
      </c>
      <c r="AV1277" s="16">
        <v>1785595</v>
      </c>
      <c r="AW1277" s="16" t="s">
        <v>32</v>
      </c>
      <c r="AX1277" s="16" t="s">
        <v>32</v>
      </c>
      <c r="AY1277" s="16" t="s">
        <v>356</v>
      </c>
      <c r="AZ1277" s="16">
        <v>2</v>
      </c>
      <c r="BA1277" s="16">
        <v>119040</v>
      </c>
      <c r="BB1277" s="16">
        <v>0.15999999642372131</v>
      </c>
      <c r="BC1277" s="16">
        <v>19100</v>
      </c>
      <c r="BD1277" s="16" t="s">
        <v>31</v>
      </c>
      <c r="BE1277" s="16">
        <v>0</v>
      </c>
      <c r="BF1277" s="16">
        <v>0</v>
      </c>
      <c r="BG1277" s="16">
        <v>0</v>
      </c>
      <c r="BH1277" s="16">
        <v>0</v>
      </c>
      <c r="BI1277" s="16">
        <v>0</v>
      </c>
      <c r="BJ1277" s="16">
        <v>19100</v>
      </c>
      <c r="BK1277" s="16" t="s">
        <v>25</v>
      </c>
      <c r="BL1277" s="16" t="s">
        <v>870</v>
      </c>
      <c r="BM1277" s="16">
        <v>2</v>
      </c>
      <c r="BN1277" s="16">
        <v>119040</v>
      </c>
      <c r="BO1277" s="16">
        <v>0</v>
      </c>
      <c r="BP1277" s="16">
        <v>0</v>
      </c>
      <c r="BQ1277" s="16">
        <v>0</v>
      </c>
      <c r="BR1277" s="16"/>
      <c r="BS1277" s="16">
        <v>0</v>
      </c>
      <c r="BT1277" s="16"/>
      <c r="BU1277" s="16">
        <v>0</v>
      </c>
      <c r="BV1277" s="16" t="s">
        <v>25</v>
      </c>
      <c r="BW1277" s="16" t="s">
        <v>189</v>
      </c>
      <c r="BX1277" s="16">
        <v>2</v>
      </c>
      <c r="BY1277" s="16">
        <v>119040</v>
      </c>
      <c r="BZ1277" s="16">
        <v>0</v>
      </c>
      <c r="CA1277" s="16" t="s">
        <v>1439</v>
      </c>
      <c r="CB1277" s="16" t="s">
        <v>227</v>
      </c>
      <c r="CC1277" s="16" t="s">
        <v>1440</v>
      </c>
      <c r="CD1277" s="16">
        <v>0</v>
      </c>
      <c r="CE1277" s="16">
        <v>2</v>
      </c>
      <c r="CF1277" s="16" t="s">
        <v>635</v>
      </c>
      <c r="CG1277" s="16">
        <v>0</v>
      </c>
      <c r="CH1277" s="16">
        <v>0</v>
      </c>
      <c r="CI1277" s="16">
        <v>0</v>
      </c>
      <c r="CJ1277" s="16">
        <v>0</v>
      </c>
      <c r="CK1277" s="16">
        <v>0</v>
      </c>
      <c r="CL1277" s="16">
        <v>0</v>
      </c>
      <c r="CM1277" s="16">
        <v>0</v>
      </c>
      <c r="CN1277" s="16">
        <v>0</v>
      </c>
      <c r="CO1277" s="16">
        <v>0</v>
      </c>
      <c r="CP1277" s="16">
        <v>0</v>
      </c>
      <c r="CQ1277" s="16">
        <v>0</v>
      </c>
      <c r="CR1277" s="16">
        <v>0</v>
      </c>
      <c r="CS1277" s="16" t="s">
        <v>88</v>
      </c>
      <c r="CT1277" s="16" t="s">
        <v>142</v>
      </c>
      <c r="CU1277" s="16" t="s">
        <v>1442</v>
      </c>
    </row>
    <row r="1278" spans="1:99">
      <c r="A1278" s="16" t="s">
        <v>3047</v>
      </c>
      <c r="B1278" s="16" t="s">
        <v>34</v>
      </c>
      <c r="C1278" s="16" t="s">
        <v>2006</v>
      </c>
      <c r="D1278" s="16" t="s">
        <v>2007</v>
      </c>
      <c r="E1278" s="16" t="s">
        <v>1629</v>
      </c>
      <c r="F1278" s="16" t="s">
        <v>914</v>
      </c>
      <c r="G1278" s="16" t="s">
        <v>2008</v>
      </c>
      <c r="H1278" s="16" t="s">
        <v>1490</v>
      </c>
      <c r="I1278" s="16" t="s">
        <v>240</v>
      </c>
      <c r="J1278" s="16" t="s">
        <v>46</v>
      </c>
      <c r="K1278" s="16" t="s">
        <v>29</v>
      </c>
      <c r="L1278" s="16" t="s">
        <v>30</v>
      </c>
      <c r="M1278" s="16">
        <v>0</v>
      </c>
      <c r="N1278" s="16" t="s">
        <v>32</v>
      </c>
      <c r="O1278" s="16" t="s">
        <v>32</v>
      </c>
      <c r="P1278" s="16"/>
      <c r="Q1278" s="16" t="s">
        <v>32</v>
      </c>
      <c r="R1278" s="16"/>
      <c r="S1278" s="16" t="s">
        <v>32</v>
      </c>
      <c r="T1278" s="16"/>
      <c r="U1278" s="16" t="s">
        <v>32</v>
      </c>
      <c r="V1278" s="16" t="s">
        <v>32</v>
      </c>
      <c r="W1278" s="16" t="s">
        <v>32</v>
      </c>
      <c r="X1278" s="16" t="s">
        <v>32</v>
      </c>
      <c r="Y1278" s="16" t="s">
        <v>32</v>
      </c>
      <c r="Z1278" s="16"/>
      <c r="AA1278" s="16" t="s">
        <v>32</v>
      </c>
      <c r="AB1278" s="16" t="s">
        <v>37</v>
      </c>
      <c r="AC1278" s="16">
        <v>46070</v>
      </c>
      <c r="AD1278" s="16">
        <v>46070</v>
      </c>
      <c r="AE1278" s="16" t="s">
        <v>32</v>
      </c>
      <c r="AF1278" s="16"/>
      <c r="AG1278" s="16"/>
      <c r="AH1278" s="16" t="s">
        <v>32</v>
      </c>
      <c r="AI1278" s="16"/>
      <c r="AJ1278" s="16"/>
      <c r="AK1278" s="16" t="s">
        <v>32</v>
      </c>
      <c r="AL1278" s="16"/>
      <c r="AM1278" s="16"/>
      <c r="AN1278" s="16" t="s">
        <v>32</v>
      </c>
      <c r="AO1278" s="16" t="s">
        <v>32</v>
      </c>
      <c r="AP1278" s="16"/>
      <c r="AQ1278" s="16"/>
      <c r="AR1278" s="16">
        <v>0</v>
      </c>
      <c r="AS1278" s="16"/>
      <c r="AT1278" s="16"/>
      <c r="AU1278" s="16" t="s">
        <v>92</v>
      </c>
      <c r="AV1278" s="16">
        <v>1785595</v>
      </c>
      <c r="AW1278" s="16" t="s">
        <v>32</v>
      </c>
      <c r="AX1278" s="16" t="s">
        <v>32</v>
      </c>
      <c r="AY1278" s="16" t="s">
        <v>356</v>
      </c>
      <c r="AZ1278" s="16">
        <v>1</v>
      </c>
      <c r="BA1278" s="16">
        <v>59520</v>
      </c>
      <c r="BB1278" s="16">
        <v>0.15999999642372131</v>
      </c>
      <c r="BC1278" s="16">
        <v>9600</v>
      </c>
      <c r="BD1278" s="16" t="s">
        <v>31</v>
      </c>
      <c r="BE1278" s="16">
        <v>0</v>
      </c>
      <c r="BF1278" s="16">
        <v>0</v>
      </c>
      <c r="BG1278" s="16">
        <v>0</v>
      </c>
      <c r="BH1278" s="16">
        <v>0</v>
      </c>
      <c r="BI1278" s="16">
        <v>0</v>
      </c>
      <c r="BJ1278" s="16">
        <v>9600</v>
      </c>
      <c r="BK1278" s="16" t="s">
        <v>25</v>
      </c>
      <c r="BL1278" s="16" t="s">
        <v>870</v>
      </c>
      <c r="BM1278" s="16">
        <v>1</v>
      </c>
      <c r="BN1278" s="16">
        <v>59520</v>
      </c>
      <c r="BO1278" s="16">
        <v>0</v>
      </c>
      <c r="BP1278" s="16">
        <v>0</v>
      </c>
      <c r="BQ1278" s="16">
        <v>0</v>
      </c>
      <c r="BR1278" s="16"/>
      <c r="BS1278" s="16">
        <v>0</v>
      </c>
      <c r="BT1278" s="16"/>
      <c r="BU1278" s="16">
        <v>0</v>
      </c>
      <c r="BV1278" s="16" t="s">
        <v>25</v>
      </c>
      <c r="BW1278" s="16" t="s">
        <v>189</v>
      </c>
      <c r="BX1278" s="16">
        <v>1</v>
      </c>
      <c r="BY1278" s="16">
        <v>59520</v>
      </c>
      <c r="BZ1278" s="16">
        <v>0</v>
      </c>
      <c r="CA1278" s="16" t="s">
        <v>1439</v>
      </c>
      <c r="CB1278" s="16" t="s">
        <v>227</v>
      </c>
      <c r="CC1278" s="16" t="s">
        <v>1440</v>
      </c>
      <c r="CD1278" s="16">
        <v>0</v>
      </c>
      <c r="CE1278" s="16">
        <v>1</v>
      </c>
      <c r="CF1278" s="16" t="s">
        <v>635</v>
      </c>
      <c r="CG1278" s="16">
        <v>0</v>
      </c>
      <c r="CH1278" s="16">
        <v>0</v>
      </c>
      <c r="CI1278" s="16">
        <v>0</v>
      </c>
      <c r="CJ1278" s="16">
        <v>0</v>
      </c>
      <c r="CK1278" s="16">
        <v>0</v>
      </c>
      <c r="CL1278" s="16">
        <v>0</v>
      </c>
      <c r="CM1278" s="16">
        <v>0</v>
      </c>
      <c r="CN1278" s="16">
        <v>0</v>
      </c>
      <c r="CO1278" s="16">
        <v>0</v>
      </c>
      <c r="CP1278" s="16">
        <v>0</v>
      </c>
      <c r="CQ1278" s="16">
        <v>0</v>
      </c>
      <c r="CR1278" s="16">
        <v>0</v>
      </c>
      <c r="CS1278" s="16" t="s">
        <v>88</v>
      </c>
      <c r="CT1278" s="16" t="s">
        <v>142</v>
      </c>
      <c r="CU1278" s="16" t="s">
        <v>1442</v>
      </c>
    </row>
    <row r="1279" spans="1:99">
      <c r="A1279" s="16" t="s">
        <v>3047</v>
      </c>
      <c r="B1279" s="16" t="s">
        <v>34</v>
      </c>
      <c r="C1279" s="16" t="s">
        <v>2006</v>
      </c>
      <c r="D1279" s="16" t="s">
        <v>2007</v>
      </c>
      <c r="E1279" s="16" t="s">
        <v>1629</v>
      </c>
      <c r="F1279" s="16" t="s">
        <v>914</v>
      </c>
      <c r="G1279" s="16" t="s">
        <v>2008</v>
      </c>
      <c r="H1279" s="16" t="s">
        <v>1490</v>
      </c>
      <c r="I1279" s="16" t="s">
        <v>240</v>
      </c>
      <c r="J1279" s="16" t="s">
        <v>46</v>
      </c>
      <c r="K1279" s="16" t="s">
        <v>29</v>
      </c>
      <c r="L1279" s="16" t="s">
        <v>30</v>
      </c>
      <c r="M1279" s="16">
        <v>135</v>
      </c>
      <c r="N1279" s="16" t="s">
        <v>32</v>
      </c>
      <c r="O1279" s="16" t="s">
        <v>32</v>
      </c>
      <c r="P1279" s="16"/>
      <c r="Q1279" s="16" t="s">
        <v>32</v>
      </c>
      <c r="R1279" s="16"/>
      <c r="S1279" s="16" t="s">
        <v>40</v>
      </c>
      <c r="T1279" s="16">
        <v>46074</v>
      </c>
      <c r="U1279" s="16" t="s">
        <v>32</v>
      </c>
      <c r="V1279" s="16" t="s">
        <v>32</v>
      </c>
      <c r="W1279" s="16" t="s">
        <v>32</v>
      </c>
      <c r="X1279" s="16" t="s">
        <v>32</v>
      </c>
      <c r="Y1279" s="16" t="s">
        <v>32</v>
      </c>
      <c r="Z1279" s="16"/>
      <c r="AA1279" s="16" t="s">
        <v>88</v>
      </c>
      <c r="AB1279" s="16" t="s">
        <v>32</v>
      </c>
      <c r="AC1279" s="16"/>
      <c r="AD1279" s="16"/>
      <c r="AE1279" s="16" t="s">
        <v>32</v>
      </c>
      <c r="AF1279" s="16"/>
      <c r="AG1279" s="16"/>
      <c r="AH1279" s="16" t="s">
        <v>32</v>
      </c>
      <c r="AI1279" s="16"/>
      <c r="AJ1279" s="16"/>
      <c r="AK1279" s="16" t="s">
        <v>32</v>
      </c>
      <c r="AL1279" s="16"/>
      <c r="AM1279" s="16"/>
      <c r="AN1279" s="16" t="s">
        <v>32</v>
      </c>
      <c r="AO1279" s="16" t="s">
        <v>32</v>
      </c>
      <c r="AP1279" s="16"/>
      <c r="AQ1279" s="16"/>
      <c r="AR1279" s="16">
        <v>0</v>
      </c>
      <c r="AS1279" s="16"/>
      <c r="AT1279" s="16"/>
      <c r="AU1279" s="16" t="s">
        <v>92</v>
      </c>
      <c r="AV1279" s="16">
        <v>1785595</v>
      </c>
      <c r="AW1279" s="16" t="s">
        <v>32</v>
      </c>
      <c r="AX1279" s="16" t="s">
        <v>32</v>
      </c>
      <c r="AY1279" s="16" t="s">
        <v>356</v>
      </c>
      <c r="AZ1279" s="16">
        <v>17</v>
      </c>
      <c r="BA1279" s="16">
        <v>1783261</v>
      </c>
      <c r="BB1279" s="16">
        <v>0.15999999642372131</v>
      </c>
      <c r="BC1279" s="16">
        <v>285400</v>
      </c>
      <c r="BD1279" s="16" t="s">
        <v>31</v>
      </c>
      <c r="BE1279" s="16">
        <v>0</v>
      </c>
      <c r="BF1279" s="16">
        <v>0</v>
      </c>
      <c r="BG1279" s="16">
        <v>0</v>
      </c>
      <c r="BH1279" s="16">
        <v>0</v>
      </c>
      <c r="BI1279" s="16">
        <v>0</v>
      </c>
      <c r="BJ1279" s="16">
        <v>285400</v>
      </c>
      <c r="BK1279" s="16" t="s">
        <v>25</v>
      </c>
      <c r="BL1279" s="16" t="s">
        <v>870</v>
      </c>
      <c r="BM1279" s="16">
        <v>17</v>
      </c>
      <c r="BN1279" s="16">
        <v>1783261</v>
      </c>
      <c r="BO1279" s="16">
        <v>3.9999999105930328E-2</v>
      </c>
      <c r="BP1279" s="16">
        <v>71400</v>
      </c>
      <c r="BQ1279" s="16">
        <v>0</v>
      </c>
      <c r="BR1279" s="16"/>
      <c r="BS1279" s="16">
        <v>0</v>
      </c>
      <c r="BT1279" s="16"/>
      <c r="BU1279" s="16">
        <v>0</v>
      </c>
      <c r="BV1279" s="16" t="s">
        <v>25</v>
      </c>
      <c r="BW1279" s="16" t="s">
        <v>189</v>
      </c>
      <c r="BX1279" s="16">
        <v>17</v>
      </c>
      <c r="BY1279" s="16">
        <v>1783261</v>
      </c>
      <c r="BZ1279" s="16">
        <v>6.9600000977516174E-2</v>
      </c>
      <c r="CA1279" s="16" t="s">
        <v>1439</v>
      </c>
      <c r="CB1279" s="16" t="s">
        <v>227</v>
      </c>
      <c r="CC1279" s="16" t="s">
        <v>1440</v>
      </c>
      <c r="CD1279" s="16">
        <v>124200</v>
      </c>
      <c r="CE1279" s="16">
        <v>17</v>
      </c>
      <c r="CF1279" s="16" t="s">
        <v>635</v>
      </c>
      <c r="CG1279" s="16">
        <v>2119658</v>
      </c>
      <c r="CH1279" s="16">
        <v>3.9999999105930328E-2</v>
      </c>
      <c r="CI1279" s="16">
        <v>84800</v>
      </c>
      <c r="CJ1279" s="16">
        <v>0</v>
      </c>
      <c r="CK1279" s="16">
        <v>0</v>
      </c>
      <c r="CL1279" s="16">
        <v>0</v>
      </c>
      <c r="CM1279" s="16">
        <v>0</v>
      </c>
      <c r="CN1279" s="16">
        <v>0</v>
      </c>
      <c r="CO1279" s="16">
        <v>0</v>
      </c>
      <c r="CP1279" s="16">
        <v>0</v>
      </c>
      <c r="CQ1279" s="16">
        <v>0</v>
      </c>
      <c r="CR1279" s="16">
        <v>0</v>
      </c>
      <c r="CS1279" s="16" t="s">
        <v>88</v>
      </c>
      <c r="CT1279" s="16" t="s">
        <v>142</v>
      </c>
      <c r="CU1279" s="16" t="s">
        <v>1442</v>
      </c>
    </row>
    <row r="1280" spans="1:99">
      <c r="A1280" s="16" t="s">
        <v>3047</v>
      </c>
      <c r="B1280" s="16" t="s">
        <v>34</v>
      </c>
      <c r="C1280" s="16" t="s">
        <v>2320</v>
      </c>
      <c r="D1280" s="16" t="s">
        <v>2321</v>
      </c>
      <c r="E1280" s="16" t="s">
        <v>2322</v>
      </c>
      <c r="F1280" s="16" t="s">
        <v>2323</v>
      </c>
      <c r="G1280" s="16" t="s">
        <v>1479</v>
      </c>
      <c r="H1280" s="16" t="s">
        <v>1613</v>
      </c>
      <c r="I1280" s="16" t="s">
        <v>240</v>
      </c>
      <c r="J1280" s="16" t="s">
        <v>46</v>
      </c>
      <c r="K1280" s="16" t="s">
        <v>29</v>
      </c>
      <c r="L1280" s="16" t="s">
        <v>30</v>
      </c>
      <c r="M1280" s="16">
        <v>175</v>
      </c>
      <c r="N1280" s="16" t="s">
        <v>32</v>
      </c>
      <c r="O1280" s="16" t="s">
        <v>32</v>
      </c>
      <c r="P1280" s="16"/>
      <c r="Q1280" s="16" t="s">
        <v>32</v>
      </c>
      <c r="R1280" s="16"/>
      <c r="S1280" s="16" t="s">
        <v>40</v>
      </c>
      <c r="T1280" s="16">
        <v>46074</v>
      </c>
      <c r="U1280" s="16" t="s">
        <v>32</v>
      </c>
      <c r="V1280" s="16" t="s">
        <v>32</v>
      </c>
      <c r="W1280" s="16" t="s">
        <v>32</v>
      </c>
      <c r="X1280" s="16" t="s">
        <v>32</v>
      </c>
      <c r="Y1280" s="16" t="s">
        <v>32</v>
      </c>
      <c r="Z1280" s="16"/>
      <c r="AA1280" s="16" t="s">
        <v>88</v>
      </c>
      <c r="AB1280" s="16" t="s">
        <v>32</v>
      </c>
      <c r="AC1280" s="16"/>
      <c r="AD1280" s="16"/>
      <c r="AE1280" s="16" t="s">
        <v>32</v>
      </c>
      <c r="AF1280" s="16"/>
      <c r="AG1280" s="16"/>
      <c r="AH1280" s="16" t="s">
        <v>32</v>
      </c>
      <c r="AI1280" s="16"/>
      <c r="AJ1280" s="16"/>
      <c r="AK1280" s="16" t="s">
        <v>32</v>
      </c>
      <c r="AL1280" s="16"/>
      <c r="AM1280" s="16"/>
      <c r="AN1280" s="16" t="s">
        <v>32</v>
      </c>
      <c r="AO1280" s="16" t="s">
        <v>32</v>
      </c>
      <c r="AP1280" s="16"/>
      <c r="AQ1280" s="16"/>
      <c r="AR1280" s="16">
        <v>0</v>
      </c>
      <c r="AS1280" s="16"/>
      <c r="AT1280" s="16"/>
      <c r="AU1280" s="16" t="s">
        <v>92</v>
      </c>
      <c r="AV1280" s="16">
        <v>2223339</v>
      </c>
      <c r="AW1280" s="16" t="s">
        <v>32</v>
      </c>
      <c r="AX1280" s="16" t="s">
        <v>32</v>
      </c>
      <c r="AY1280" s="16" t="s">
        <v>185</v>
      </c>
      <c r="AZ1280" s="16">
        <v>21</v>
      </c>
      <c r="BA1280" s="16">
        <v>2928875</v>
      </c>
      <c r="BB1280" s="16">
        <v>0.15999999642372131</v>
      </c>
      <c r="BC1280" s="16">
        <v>468700</v>
      </c>
      <c r="BD1280" s="16" t="s">
        <v>31</v>
      </c>
      <c r="BE1280" s="16">
        <v>0</v>
      </c>
      <c r="BF1280" s="16">
        <v>0</v>
      </c>
      <c r="BG1280" s="16">
        <v>0</v>
      </c>
      <c r="BH1280" s="16">
        <v>0</v>
      </c>
      <c r="BI1280" s="16">
        <v>0</v>
      </c>
      <c r="BJ1280" s="16">
        <v>468700</v>
      </c>
      <c r="BK1280" s="16" t="s">
        <v>25</v>
      </c>
      <c r="BL1280" s="16" t="s">
        <v>885</v>
      </c>
      <c r="BM1280" s="16">
        <v>21</v>
      </c>
      <c r="BN1280" s="16">
        <v>2928875</v>
      </c>
      <c r="BO1280" s="16">
        <v>3.9999999105930328E-2</v>
      </c>
      <c r="BP1280" s="16">
        <v>117200</v>
      </c>
      <c r="BQ1280" s="16">
        <v>0</v>
      </c>
      <c r="BR1280" s="16"/>
      <c r="BS1280" s="16">
        <v>0</v>
      </c>
      <c r="BT1280" s="16"/>
      <c r="BU1280" s="16">
        <v>0</v>
      </c>
      <c r="BV1280" s="16" t="s">
        <v>25</v>
      </c>
      <c r="BW1280" s="16" t="s">
        <v>189</v>
      </c>
      <c r="BX1280" s="16">
        <v>21</v>
      </c>
      <c r="BY1280" s="16">
        <v>2928875</v>
      </c>
      <c r="BZ1280" s="16">
        <v>6.9600000977516174E-2</v>
      </c>
      <c r="CA1280" s="16" t="s">
        <v>1439</v>
      </c>
      <c r="CB1280" s="16" t="s">
        <v>227</v>
      </c>
      <c r="CC1280" s="16" t="s">
        <v>1440</v>
      </c>
      <c r="CD1280" s="16">
        <v>203900</v>
      </c>
      <c r="CE1280" s="16">
        <v>21</v>
      </c>
      <c r="CF1280" s="16" t="s">
        <v>635</v>
      </c>
      <c r="CG1280" s="16">
        <v>3350717</v>
      </c>
      <c r="CH1280" s="16">
        <v>3.9999999105930328E-2</v>
      </c>
      <c r="CI1280" s="16">
        <v>134100</v>
      </c>
      <c r="CJ1280" s="16">
        <v>0</v>
      </c>
      <c r="CK1280" s="16">
        <v>0</v>
      </c>
      <c r="CL1280" s="16">
        <v>0</v>
      </c>
      <c r="CM1280" s="16">
        <v>0</v>
      </c>
      <c r="CN1280" s="16">
        <v>0</v>
      </c>
      <c r="CO1280" s="16">
        <v>0</v>
      </c>
      <c r="CP1280" s="16">
        <v>0</v>
      </c>
      <c r="CQ1280" s="16">
        <v>0</v>
      </c>
      <c r="CR1280" s="16">
        <v>0</v>
      </c>
      <c r="CS1280" s="16" t="s">
        <v>88</v>
      </c>
      <c r="CT1280" s="16" t="s">
        <v>142</v>
      </c>
      <c r="CU1280" s="16" t="s">
        <v>1442</v>
      </c>
    </row>
    <row r="1281" spans="1:99">
      <c r="A1281" s="16" t="s">
        <v>3047</v>
      </c>
      <c r="B1281" s="16" t="s">
        <v>34</v>
      </c>
      <c r="C1281" s="16" t="s">
        <v>2378</v>
      </c>
      <c r="D1281" s="16" t="s">
        <v>2379</v>
      </c>
      <c r="E1281" s="16" t="s">
        <v>1648</v>
      </c>
      <c r="F1281" s="16" t="s">
        <v>2380</v>
      </c>
      <c r="G1281" s="16" t="s">
        <v>1513</v>
      </c>
      <c r="H1281" s="16" t="s">
        <v>1474</v>
      </c>
      <c r="I1281" s="16" t="s">
        <v>240</v>
      </c>
      <c r="J1281" s="16" t="s">
        <v>46</v>
      </c>
      <c r="K1281" s="16" t="s">
        <v>29</v>
      </c>
      <c r="L1281" s="16" t="s">
        <v>30</v>
      </c>
      <c r="M1281" s="16">
        <v>170</v>
      </c>
      <c r="N1281" s="16" t="s">
        <v>32</v>
      </c>
      <c r="O1281" s="16" t="s">
        <v>32</v>
      </c>
      <c r="P1281" s="16"/>
      <c r="Q1281" s="16" t="s">
        <v>32</v>
      </c>
      <c r="R1281" s="16"/>
      <c r="S1281" s="16" t="s">
        <v>40</v>
      </c>
      <c r="T1281" s="16">
        <v>46074</v>
      </c>
      <c r="U1281" s="16" t="s">
        <v>32</v>
      </c>
      <c r="V1281" s="16" t="s">
        <v>32</v>
      </c>
      <c r="W1281" s="16" t="s">
        <v>32</v>
      </c>
      <c r="X1281" s="16" t="s">
        <v>32</v>
      </c>
      <c r="Y1281" s="16" t="s">
        <v>32</v>
      </c>
      <c r="Z1281" s="16"/>
      <c r="AA1281" s="16" t="s">
        <v>88</v>
      </c>
      <c r="AB1281" s="16" t="s">
        <v>32</v>
      </c>
      <c r="AC1281" s="16"/>
      <c r="AD1281" s="16"/>
      <c r="AE1281" s="16" t="s">
        <v>32</v>
      </c>
      <c r="AF1281" s="16"/>
      <c r="AG1281" s="16"/>
      <c r="AH1281" s="16" t="s">
        <v>32</v>
      </c>
      <c r="AI1281" s="16"/>
      <c r="AJ1281" s="16"/>
      <c r="AK1281" s="16" t="s">
        <v>32</v>
      </c>
      <c r="AL1281" s="16"/>
      <c r="AM1281" s="16"/>
      <c r="AN1281" s="16" t="s">
        <v>32</v>
      </c>
      <c r="AO1281" s="16" t="s">
        <v>32</v>
      </c>
      <c r="AP1281" s="16"/>
      <c r="AQ1281" s="16"/>
      <c r="AR1281" s="16">
        <v>0</v>
      </c>
      <c r="AS1281" s="16"/>
      <c r="AT1281" s="16"/>
      <c r="AU1281" s="16" t="s">
        <v>92</v>
      </c>
      <c r="AV1281" s="16">
        <v>1750905</v>
      </c>
      <c r="AW1281" s="16" t="s">
        <v>32</v>
      </c>
      <c r="AX1281" s="16" t="s">
        <v>32</v>
      </c>
      <c r="AY1281" s="16" t="s">
        <v>317</v>
      </c>
      <c r="AZ1281" s="16">
        <v>21</v>
      </c>
      <c r="BA1281" s="16">
        <v>2024511</v>
      </c>
      <c r="BB1281" s="16">
        <v>0.15999999642372131</v>
      </c>
      <c r="BC1281" s="16">
        <v>324000</v>
      </c>
      <c r="BD1281" s="16" t="s">
        <v>31</v>
      </c>
      <c r="BE1281" s="16">
        <v>0</v>
      </c>
      <c r="BF1281" s="16">
        <v>0</v>
      </c>
      <c r="BG1281" s="16">
        <v>0</v>
      </c>
      <c r="BH1281" s="16">
        <v>0</v>
      </c>
      <c r="BI1281" s="16">
        <v>0</v>
      </c>
      <c r="BJ1281" s="16">
        <v>324000</v>
      </c>
      <c r="BK1281" s="16" t="s">
        <v>25</v>
      </c>
      <c r="BL1281" s="16" t="s">
        <v>1071</v>
      </c>
      <c r="BM1281" s="16">
        <v>21</v>
      </c>
      <c r="BN1281" s="16">
        <v>2024511</v>
      </c>
      <c r="BO1281" s="16">
        <v>3.9999999105930328E-2</v>
      </c>
      <c r="BP1281" s="16">
        <v>81000</v>
      </c>
      <c r="BQ1281" s="16">
        <v>0</v>
      </c>
      <c r="BR1281" s="16"/>
      <c r="BS1281" s="16">
        <v>0</v>
      </c>
      <c r="BT1281" s="16"/>
      <c r="BU1281" s="16">
        <v>0</v>
      </c>
      <c r="BV1281" s="16" t="s">
        <v>25</v>
      </c>
      <c r="BW1281" s="16" t="s">
        <v>189</v>
      </c>
      <c r="BX1281" s="16">
        <v>21</v>
      </c>
      <c r="BY1281" s="16">
        <v>2024511</v>
      </c>
      <c r="BZ1281" s="16">
        <v>6.9600000977516174E-2</v>
      </c>
      <c r="CA1281" s="16" t="s">
        <v>1439</v>
      </c>
      <c r="CB1281" s="16" t="s">
        <v>227</v>
      </c>
      <c r="CC1281" s="16" t="s">
        <v>1440</v>
      </c>
      <c r="CD1281" s="16">
        <v>141000</v>
      </c>
      <c r="CE1281" s="16">
        <v>21</v>
      </c>
      <c r="CF1281" s="16" t="s">
        <v>635</v>
      </c>
      <c r="CG1281" s="16">
        <v>2472296</v>
      </c>
      <c r="CH1281" s="16">
        <v>3.9999999105930328E-2</v>
      </c>
      <c r="CI1281" s="16">
        <v>98900</v>
      </c>
      <c r="CJ1281" s="16">
        <v>0</v>
      </c>
      <c r="CK1281" s="16">
        <v>0</v>
      </c>
      <c r="CL1281" s="16">
        <v>0</v>
      </c>
      <c r="CM1281" s="16">
        <v>0</v>
      </c>
      <c r="CN1281" s="16">
        <v>0</v>
      </c>
      <c r="CO1281" s="16">
        <v>0</v>
      </c>
      <c r="CP1281" s="16">
        <v>0</v>
      </c>
      <c r="CQ1281" s="16">
        <v>0</v>
      </c>
      <c r="CR1281" s="16">
        <v>0</v>
      </c>
      <c r="CS1281" s="16" t="s">
        <v>88</v>
      </c>
      <c r="CT1281" s="16" t="s">
        <v>142</v>
      </c>
      <c r="CU1281" s="16" t="s">
        <v>1442</v>
      </c>
    </row>
    <row r="1282" spans="1:99">
      <c r="A1282" s="16" t="s">
        <v>3047</v>
      </c>
      <c r="B1282" s="16" t="s">
        <v>34</v>
      </c>
      <c r="C1282" s="16" t="s">
        <v>2415</v>
      </c>
      <c r="D1282" s="16" t="s">
        <v>2416</v>
      </c>
      <c r="E1282" s="16" t="s">
        <v>2125</v>
      </c>
      <c r="F1282" s="16" t="s">
        <v>2417</v>
      </c>
      <c r="G1282" s="16" t="s">
        <v>1489</v>
      </c>
      <c r="H1282" s="16" t="s">
        <v>1513</v>
      </c>
      <c r="I1282" s="16" t="s">
        <v>240</v>
      </c>
      <c r="J1282" s="16" t="s">
        <v>46</v>
      </c>
      <c r="K1282" s="16" t="s">
        <v>29</v>
      </c>
      <c r="L1282" s="16" t="s">
        <v>30</v>
      </c>
      <c r="M1282" s="16">
        <v>171</v>
      </c>
      <c r="N1282" s="16" t="s">
        <v>32</v>
      </c>
      <c r="O1282" s="16" t="s">
        <v>32</v>
      </c>
      <c r="P1282" s="16"/>
      <c r="Q1282" s="16" t="s">
        <v>32</v>
      </c>
      <c r="R1282" s="16"/>
      <c r="S1282" s="16" t="s">
        <v>40</v>
      </c>
      <c r="T1282" s="16">
        <v>46074</v>
      </c>
      <c r="U1282" s="16" t="s">
        <v>32</v>
      </c>
      <c r="V1282" s="16" t="s">
        <v>32</v>
      </c>
      <c r="W1282" s="16" t="s">
        <v>32</v>
      </c>
      <c r="X1282" s="16" t="s">
        <v>32</v>
      </c>
      <c r="Y1282" s="16" t="s">
        <v>32</v>
      </c>
      <c r="Z1282" s="16"/>
      <c r="AA1282" s="16" t="s">
        <v>88</v>
      </c>
      <c r="AB1282" s="16" t="s">
        <v>32</v>
      </c>
      <c r="AC1282" s="16"/>
      <c r="AD1282" s="16"/>
      <c r="AE1282" s="16" t="s">
        <v>32</v>
      </c>
      <c r="AF1282" s="16"/>
      <c r="AG1282" s="16"/>
      <c r="AH1282" s="16" t="s">
        <v>32</v>
      </c>
      <c r="AI1282" s="16"/>
      <c r="AJ1282" s="16"/>
      <c r="AK1282" s="16" t="s">
        <v>32</v>
      </c>
      <c r="AL1282" s="16"/>
      <c r="AM1282" s="16"/>
      <c r="AN1282" s="16" t="s">
        <v>32</v>
      </c>
      <c r="AO1282" s="16" t="s">
        <v>32</v>
      </c>
      <c r="AP1282" s="16"/>
      <c r="AQ1282" s="16"/>
      <c r="AR1282" s="16">
        <v>0</v>
      </c>
      <c r="AS1282" s="16"/>
      <c r="AT1282" s="16"/>
      <c r="AU1282" s="16" t="s">
        <v>92</v>
      </c>
      <c r="AV1282" s="16">
        <v>2665550</v>
      </c>
      <c r="AW1282" s="16" t="s">
        <v>32</v>
      </c>
      <c r="AX1282" s="16" t="s">
        <v>32</v>
      </c>
      <c r="AY1282" s="16" t="s">
        <v>317</v>
      </c>
      <c r="AZ1282" s="16">
        <v>21</v>
      </c>
      <c r="BA1282" s="16">
        <v>3338580</v>
      </c>
      <c r="BB1282" s="16">
        <v>0.15999999642372131</v>
      </c>
      <c r="BC1282" s="16">
        <v>534200</v>
      </c>
      <c r="BD1282" s="16" t="s">
        <v>31</v>
      </c>
      <c r="BE1282" s="16">
        <v>0</v>
      </c>
      <c r="BF1282" s="16">
        <v>0</v>
      </c>
      <c r="BG1282" s="16">
        <v>0</v>
      </c>
      <c r="BH1282" s="16">
        <v>0</v>
      </c>
      <c r="BI1282" s="16">
        <v>0</v>
      </c>
      <c r="BJ1282" s="16">
        <v>534200</v>
      </c>
      <c r="BK1282" s="16" t="s">
        <v>25</v>
      </c>
      <c r="BL1282" s="16" t="s">
        <v>1010</v>
      </c>
      <c r="BM1282" s="16">
        <v>21</v>
      </c>
      <c r="BN1282" s="16">
        <v>3338580</v>
      </c>
      <c r="BO1282" s="16">
        <v>3.9999999105930328E-2</v>
      </c>
      <c r="BP1282" s="16">
        <v>133600</v>
      </c>
      <c r="BQ1282" s="16">
        <v>0</v>
      </c>
      <c r="BR1282" s="16"/>
      <c r="BS1282" s="16">
        <v>0</v>
      </c>
      <c r="BT1282" s="16"/>
      <c r="BU1282" s="16">
        <v>0</v>
      </c>
      <c r="BV1282" s="16" t="s">
        <v>25</v>
      </c>
      <c r="BW1282" s="16" t="s">
        <v>189</v>
      </c>
      <c r="BX1282" s="16">
        <v>21</v>
      </c>
      <c r="BY1282" s="16">
        <v>3338580</v>
      </c>
      <c r="BZ1282" s="16">
        <v>6.9600000977516174E-2</v>
      </c>
      <c r="CA1282" s="16" t="s">
        <v>1439</v>
      </c>
      <c r="CB1282" s="16" t="s">
        <v>227</v>
      </c>
      <c r="CC1282" s="16" t="s">
        <v>1440</v>
      </c>
      <c r="CD1282" s="16">
        <v>232400</v>
      </c>
      <c r="CE1282" s="16">
        <v>21</v>
      </c>
      <c r="CF1282" s="16" t="s">
        <v>635</v>
      </c>
      <c r="CG1282" s="16">
        <v>3978792</v>
      </c>
      <c r="CH1282" s="16">
        <v>3.9999999105930328E-2</v>
      </c>
      <c r="CI1282" s="16">
        <v>159200</v>
      </c>
      <c r="CJ1282" s="16">
        <v>0</v>
      </c>
      <c r="CK1282" s="16">
        <v>0</v>
      </c>
      <c r="CL1282" s="16">
        <v>0</v>
      </c>
      <c r="CM1282" s="16">
        <v>0</v>
      </c>
      <c r="CN1282" s="16">
        <v>0</v>
      </c>
      <c r="CO1282" s="16">
        <v>0</v>
      </c>
      <c r="CP1282" s="16">
        <v>0</v>
      </c>
      <c r="CQ1282" s="16">
        <v>0</v>
      </c>
      <c r="CR1282" s="16">
        <v>0</v>
      </c>
      <c r="CS1282" s="16" t="s">
        <v>88</v>
      </c>
      <c r="CT1282" s="16" t="s">
        <v>142</v>
      </c>
      <c r="CU1282" s="16" t="s">
        <v>1442</v>
      </c>
    </row>
    <row r="1283" spans="1:99">
      <c r="A1283" s="16" t="s">
        <v>3047</v>
      </c>
      <c r="B1283" s="16" t="s">
        <v>34</v>
      </c>
      <c r="C1283" s="16" t="s">
        <v>2453</v>
      </c>
      <c r="D1283" s="16" t="s">
        <v>2454</v>
      </c>
      <c r="E1283" s="16" t="s">
        <v>2455</v>
      </c>
      <c r="F1283" s="16" t="s">
        <v>1629</v>
      </c>
      <c r="G1283" s="16" t="s">
        <v>1479</v>
      </c>
      <c r="H1283" s="16" t="s">
        <v>1850</v>
      </c>
      <c r="I1283" s="16" t="s">
        <v>240</v>
      </c>
      <c r="J1283" s="16" t="s">
        <v>46</v>
      </c>
      <c r="K1283" s="16" t="s">
        <v>29</v>
      </c>
      <c r="L1283" s="16" t="s">
        <v>30</v>
      </c>
      <c r="M1283" s="16">
        <v>176</v>
      </c>
      <c r="N1283" s="16" t="s">
        <v>32</v>
      </c>
      <c r="O1283" s="16" t="s">
        <v>32</v>
      </c>
      <c r="P1283" s="16"/>
      <c r="Q1283" s="16" t="s">
        <v>32</v>
      </c>
      <c r="R1283" s="16"/>
      <c r="S1283" s="16" t="s">
        <v>40</v>
      </c>
      <c r="T1283" s="16">
        <v>46074</v>
      </c>
      <c r="U1283" s="16" t="s">
        <v>32</v>
      </c>
      <c r="V1283" s="16" t="s">
        <v>32</v>
      </c>
      <c r="W1283" s="16" t="s">
        <v>32</v>
      </c>
      <c r="X1283" s="16" t="s">
        <v>32</v>
      </c>
      <c r="Y1283" s="16" t="s">
        <v>32</v>
      </c>
      <c r="Z1283" s="16"/>
      <c r="AA1283" s="16" t="s">
        <v>88</v>
      </c>
      <c r="AB1283" s="16" t="s">
        <v>32</v>
      </c>
      <c r="AC1283" s="16"/>
      <c r="AD1283" s="16"/>
      <c r="AE1283" s="16" t="s">
        <v>32</v>
      </c>
      <c r="AF1283" s="16"/>
      <c r="AG1283" s="16"/>
      <c r="AH1283" s="16" t="s">
        <v>32</v>
      </c>
      <c r="AI1283" s="16"/>
      <c r="AJ1283" s="16"/>
      <c r="AK1283" s="16" t="s">
        <v>32</v>
      </c>
      <c r="AL1283" s="16"/>
      <c r="AM1283" s="16"/>
      <c r="AN1283" s="16" t="s">
        <v>32</v>
      </c>
      <c r="AO1283" s="16" t="s">
        <v>32</v>
      </c>
      <c r="AP1283" s="16"/>
      <c r="AQ1283" s="16"/>
      <c r="AR1283" s="16">
        <v>0</v>
      </c>
      <c r="AS1283" s="16"/>
      <c r="AT1283" s="16"/>
      <c r="AU1283" s="16" t="s">
        <v>92</v>
      </c>
      <c r="AV1283" s="16">
        <v>2223339</v>
      </c>
      <c r="AW1283" s="16" t="s">
        <v>32</v>
      </c>
      <c r="AX1283" s="16" t="s">
        <v>32</v>
      </c>
      <c r="AY1283" s="16" t="s">
        <v>356</v>
      </c>
      <c r="AZ1283" s="16">
        <v>21</v>
      </c>
      <c r="BA1283" s="16">
        <v>3385101</v>
      </c>
      <c r="BB1283" s="16">
        <v>0.15999999642372131</v>
      </c>
      <c r="BC1283" s="16">
        <v>541700</v>
      </c>
      <c r="BD1283" s="16" t="s">
        <v>31</v>
      </c>
      <c r="BE1283" s="16">
        <v>0</v>
      </c>
      <c r="BF1283" s="16">
        <v>0</v>
      </c>
      <c r="BG1283" s="16">
        <v>0</v>
      </c>
      <c r="BH1283" s="16">
        <v>0</v>
      </c>
      <c r="BI1283" s="16">
        <v>0</v>
      </c>
      <c r="BJ1283" s="16">
        <v>541700</v>
      </c>
      <c r="BK1283" s="16" t="s">
        <v>25</v>
      </c>
      <c r="BL1283" s="16" t="s">
        <v>1010</v>
      </c>
      <c r="BM1283" s="16">
        <v>21</v>
      </c>
      <c r="BN1283" s="16">
        <v>3385101</v>
      </c>
      <c r="BO1283" s="16">
        <v>3.9999999105930328E-2</v>
      </c>
      <c r="BP1283" s="16">
        <v>135500</v>
      </c>
      <c r="BQ1283" s="16">
        <v>0</v>
      </c>
      <c r="BR1283" s="16"/>
      <c r="BS1283" s="16">
        <v>0</v>
      </c>
      <c r="BT1283" s="16"/>
      <c r="BU1283" s="16">
        <v>0</v>
      </c>
      <c r="BV1283" s="16" t="s">
        <v>25</v>
      </c>
      <c r="BW1283" s="16" t="s">
        <v>189</v>
      </c>
      <c r="BX1283" s="16">
        <v>21</v>
      </c>
      <c r="BY1283" s="16">
        <v>3385101</v>
      </c>
      <c r="BZ1283" s="16">
        <v>6.9600000977516174E-2</v>
      </c>
      <c r="CA1283" s="16" t="s">
        <v>1439</v>
      </c>
      <c r="CB1283" s="16" t="s">
        <v>227</v>
      </c>
      <c r="CC1283" s="16" t="s">
        <v>1440</v>
      </c>
      <c r="CD1283" s="16">
        <v>235700</v>
      </c>
      <c r="CE1283" s="16">
        <v>21</v>
      </c>
      <c r="CF1283" s="16" t="s">
        <v>635</v>
      </c>
      <c r="CG1283" s="16">
        <v>4505951</v>
      </c>
      <c r="CH1283" s="16">
        <v>3.9999999105930328E-2</v>
      </c>
      <c r="CI1283" s="16">
        <v>180300</v>
      </c>
      <c r="CJ1283" s="16">
        <v>0</v>
      </c>
      <c r="CK1283" s="16">
        <v>0</v>
      </c>
      <c r="CL1283" s="16">
        <v>0</v>
      </c>
      <c r="CM1283" s="16">
        <v>0</v>
      </c>
      <c r="CN1283" s="16">
        <v>0</v>
      </c>
      <c r="CO1283" s="16">
        <v>0</v>
      </c>
      <c r="CP1283" s="16">
        <v>0</v>
      </c>
      <c r="CQ1283" s="16">
        <v>0</v>
      </c>
      <c r="CR1283" s="16">
        <v>0</v>
      </c>
      <c r="CS1283" s="16" t="s">
        <v>88</v>
      </c>
      <c r="CT1283" s="16" t="s">
        <v>142</v>
      </c>
      <c r="CU1283" s="16" t="s">
        <v>1442</v>
      </c>
    </row>
    <row r="1284" spans="1:99">
      <c r="A1284" s="16" t="s">
        <v>3047</v>
      </c>
      <c r="B1284" s="16" t="s">
        <v>34</v>
      </c>
      <c r="C1284" s="16" t="s">
        <v>2696</v>
      </c>
      <c r="D1284" s="16" t="s">
        <v>2697</v>
      </c>
      <c r="E1284" s="16" t="s">
        <v>2698</v>
      </c>
      <c r="F1284" s="16" t="s">
        <v>1555</v>
      </c>
      <c r="G1284" s="16" t="s">
        <v>1478</v>
      </c>
      <c r="H1284" s="16" t="s">
        <v>1436</v>
      </c>
      <c r="I1284" s="16" t="s">
        <v>240</v>
      </c>
      <c r="J1284" s="16" t="s">
        <v>46</v>
      </c>
      <c r="K1284" s="16" t="s">
        <v>29</v>
      </c>
      <c r="L1284" s="16" t="s">
        <v>30</v>
      </c>
      <c r="M1284" s="16">
        <v>178</v>
      </c>
      <c r="N1284" s="16" t="s">
        <v>32</v>
      </c>
      <c r="O1284" s="16" t="s">
        <v>32</v>
      </c>
      <c r="P1284" s="16"/>
      <c r="Q1284" s="16" t="s">
        <v>32</v>
      </c>
      <c r="R1284" s="16"/>
      <c r="S1284" s="16" t="s">
        <v>40</v>
      </c>
      <c r="T1284" s="16">
        <v>46074</v>
      </c>
      <c r="U1284" s="16" t="s">
        <v>32</v>
      </c>
      <c r="V1284" s="16" t="s">
        <v>32</v>
      </c>
      <c r="W1284" s="16" t="s">
        <v>32</v>
      </c>
      <c r="X1284" s="16" t="s">
        <v>32</v>
      </c>
      <c r="Y1284" s="16" t="s">
        <v>32</v>
      </c>
      <c r="Z1284" s="16"/>
      <c r="AA1284" s="16" t="s">
        <v>88</v>
      </c>
      <c r="AB1284" s="16" t="s">
        <v>32</v>
      </c>
      <c r="AC1284" s="16"/>
      <c r="AD1284" s="16"/>
      <c r="AE1284" s="16" t="s">
        <v>32</v>
      </c>
      <c r="AF1284" s="16"/>
      <c r="AG1284" s="16"/>
      <c r="AH1284" s="16" t="s">
        <v>32</v>
      </c>
      <c r="AI1284" s="16"/>
      <c r="AJ1284" s="16"/>
      <c r="AK1284" s="16" t="s">
        <v>32</v>
      </c>
      <c r="AL1284" s="16"/>
      <c r="AM1284" s="16"/>
      <c r="AN1284" s="16" t="s">
        <v>32</v>
      </c>
      <c r="AO1284" s="16" t="s">
        <v>32</v>
      </c>
      <c r="AP1284" s="16"/>
      <c r="AQ1284" s="16"/>
      <c r="AR1284" s="16">
        <v>0</v>
      </c>
      <c r="AS1284" s="16"/>
      <c r="AT1284" s="16"/>
      <c r="AU1284" s="16" t="s">
        <v>92</v>
      </c>
      <c r="AV1284" s="16">
        <v>2223339</v>
      </c>
      <c r="AW1284" s="16" t="s">
        <v>32</v>
      </c>
      <c r="AX1284" s="16" t="s">
        <v>32</v>
      </c>
      <c r="AY1284" s="16" t="s">
        <v>356</v>
      </c>
      <c r="AZ1284" s="16">
        <v>21</v>
      </c>
      <c r="BA1284" s="16">
        <v>3162326</v>
      </c>
      <c r="BB1284" s="16">
        <v>0.15999999642372131</v>
      </c>
      <c r="BC1284" s="16">
        <v>506000</v>
      </c>
      <c r="BD1284" s="16" t="s">
        <v>31</v>
      </c>
      <c r="BE1284" s="16">
        <v>0</v>
      </c>
      <c r="BF1284" s="16">
        <v>0</v>
      </c>
      <c r="BG1284" s="16">
        <v>0</v>
      </c>
      <c r="BH1284" s="16">
        <v>0</v>
      </c>
      <c r="BI1284" s="16">
        <v>0</v>
      </c>
      <c r="BJ1284" s="16">
        <v>506000</v>
      </c>
      <c r="BK1284" s="16" t="s">
        <v>25</v>
      </c>
      <c r="BL1284" s="16" t="s">
        <v>1064</v>
      </c>
      <c r="BM1284" s="16">
        <v>21</v>
      </c>
      <c r="BN1284" s="16">
        <v>3162326</v>
      </c>
      <c r="BO1284" s="16">
        <v>3.9999999105930328E-2</v>
      </c>
      <c r="BP1284" s="16">
        <v>126500</v>
      </c>
      <c r="BQ1284" s="16">
        <v>0</v>
      </c>
      <c r="BR1284" s="16"/>
      <c r="BS1284" s="16">
        <v>0</v>
      </c>
      <c r="BT1284" s="16"/>
      <c r="BU1284" s="16">
        <v>0</v>
      </c>
      <c r="BV1284" s="16" t="s">
        <v>25</v>
      </c>
      <c r="BW1284" s="16" t="s">
        <v>189</v>
      </c>
      <c r="BX1284" s="16">
        <v>21</v>
      </c>
      <c r="BY1284" s="16">
        <v>3162326</v>
      </c>
      <c r="BZ1284" s="16">
        <v>6.9600000977516174E-2</v>
      </c>
      <c r="CA1284" s="16" t="s">
        <v>1439</v>
      </c>
      <c r="CB1284" s="16" t="s">
        <v>227</v>
      </c>
      <c r="CC1284" s="16" t="s">
        <v>1440</v>
      </c>
      <c r="CD1284" s="16">
        <v>220100</v>
      </c>
      <c r="CE1284" s="16">
        <v>21</v>
      </c>
      <c r="CF1284" s="16" t="s">
        <v>635</v>
      </c>
      <c r="CG1284" s="16">
        <v>3713291</v>
      </c>
      <c r="CH1284" s="16">
        <v>3.9999999105930328E-2</v>
      </c>
      <c r="CI1284" s="16">
        <v>148600</v>
      </c>
      <c r="CJ1284" s="16">
        <v>0</v>
      </c>
      <c r="CK1284" s="16">
        <v>0</v>
      </c>
      <c r="CL1284" s="16">
        <v>0</v>
      </c>
      <c r="CM1284" s="16">
        <v>0</v>
      </c>
      <c r="CN1284" s="16">
        <v>0</v>
      </c>
      <c r="CO1284" s="16">
        <v>0</v>
      </c>
      <c r="CP1284" s="16">
        <v>0</v>
      </c>
      <c r="CQ1284" s="16">
        <v>0</v>
      </c>
      <c r="CR1284" s="16">
        <v>0</v>
      </c>
      <c r="CS1284" s="16" t="s">
        <v>88</v>
      </c>
      <c r="CT1284" s="16" t="s">
        <v>142</v>
      </c>
      <c r="CU1284" s="16" t="s">
        <v>1442</v>
      </c>
    </row>
    <row r="1285" spans="1:99">
      <c r="A1285" s="16" t="s">
        <v>3047</v>
      </c>
      <c r="B1285" s="16" t="s">
        <v>34</v>
      </c>
      <c r="C1285" s="16" t="s">
        <v>2718</v>
      </c>
      <c r="D1285" s="16" t="s">
        <v>2719</v>
      </c>
      <c r="E1285" s="16" t="s">
        <v>2720</v>
      </c>
      <c r="F1285" s="16" t="s">
        <v>1639</v>
      </c>
      <c r="G1285" s="16" t="s">
        <v>2070</v>
      </c>
      <c r="H1285" s="16" t="s">
        <v>2721</v>
      </c>
      <c r="I1285" s="16" t="s">
        <v>240</v>
      </c>
      <c r="J1285" s="16" t="s">
        <v>46</v>
      </c>
      <c r="K1285" s="16" t="s">
        <v>29</v>
      </c>
      <c r="L1285" s="16" t="s">
        <v>30</v>
      </c>
      <c r="M1285" s="16">
        <v>0</v>
      </c>
      <c r="N1285" s="16" t="s">
        <v>32</v>
      </c>
      <c r="O1285" s="16" t="s">
        <v>32</v>
      </c>
      <c r="P1285" s="16"/>
      <c r="Q1285" s="16" t="s">
        <v>32</v>
      </c>
      <c r="R1285" s="16"/>
      <c r="S1285" s="16" t="s">
        <v>32</v>
      </c>
      <c r="T1285" s="16"/>
      <c r="U1285" s="16" t="s">
        <v>32</v>
      </c>
      <c r="V1285" s="16" t="s">
        <v>32</v>
      </c>
      <c r="W1285" s="16" t="s">
        <v>32</v>
      </c>
      <c r="X1285" s="16" t="s">
        <v>32</v>
      </c>
      <c r="Y1285" s="16" t="s">
        <v>32</v>
      </c>
      <c r="Z1285" s="16"/>
      <c r="AA1285" s="16" t="s">
        <v>32</v>
      </c>
      <c r="AB1285" s="16" t="s">
        <v>37</v>
      </c>
      <c r="AC1285" s="16">
        <v>46054</v>
      </c>
      <c r="AD1285" s="16">
        <v>46054</v>
      </c>
      <c r="AE1285" s="16" t="s">
        <v>32</v>
      </c>
      <c r="AF1285" s="16"/>
      <c r="AG1285" s="16"/>
      <c r="AH1285" s="16" t="s">
        <v>32</v>
      </c>
      <c r="AI1285" s="16"/>
      <c r="AJ1285" s="16"/>
      <c r="AK1285" s="16" t="s">
        <v>32</v>
      </c>
      <c r="AL1285" s="16"/>
      <c r="AM1285" s="16"/>
      <c r="AN1285" s="16" t="s">
        <v>32</v>
      </c>
      <c r="AO1285" s="16" t="s">
        <v>32</v>
      </c>
      <c r="AP1285" s="16"/>
      <c r="AQ1285" s="16"/>
      <c r="AR1285" s="16">
        <v>0</v>
      </c>
      <c r="AS1285" s="16"/>
      <c r="AT1285" s="16"/>
      <c r="AU1285" s="16" t="s">
        <v>92</v>
      </c>
      <c r="AV1285" s="16">
        <v>2223339</v>
      </c>
      <c r="AW1285" s="16" t="s">
        <v>32</v>
      </c>
      <c r="AX1285" s="16" t="s">
        <v>32</v>
      </c>
      <c r="AY1285" s="16" t="s">
        <v>317</v>
      </c>
      <c r="AZ1285" s="16">
        <v>1</v>
      </c>
      <c r="BA1285" s="16">
        <v>74112</v>
      </c>
      <c r="BB1285" s="16">
        <v>0.15999999642372131</v>
      </c>
      <c r="BC1285" s="16">
        <v>11900</v>
      </c>
      <c r="BD1285" s="16" t="s">
        <v>31</v>
      </c>
      <c r="BE1285" s="16">
        <v>0</v>
      </c>
      <c r="BF1285" s="16">
        <v>0</v>
      </c>
      <c r="BG1285" s="16">
        <v>0</v>
      </c>
      <c r="BH1285" s="16">
        <v>0</v>
      </c>
      <c r="BI1285" s="16">
        <v>0</v>
      </c>
      <c r="BJ1285" s="16">
        <v>11900</v>
      </c>
      <c r="BK1285" s="16" t="s">
        <v>25</v>
      </c>
      <c r="BL1285" s="16" t="s">
        <v>1010</v>
      </c>
      <c r="BM1285" s="16">
        <v>1</v>
      </c>
      <c r="BN1285" s="16">
        <v>74112</v>
      </c>
      <c r="BO1285" s="16">
        <v>0</v>
      </c>
      <c r="BP1285" s="16">
        <v>0</v>
      </c>
      <c r="BQ1285" s="16">
        <v>0</v>
      </c>
      <c r="BR1285" s="16"/>
      <c r="BS1285" s="16">
        <v>0</v>
      </c>
      <c r="BT1285" s="16"/>
      <c r="BU1285" s="16">
        <v>0</v>
      </c>
      <c r="BV1285" s="16" t="s">
        <v>25</v>
      </c>
      <c r="BW1285" s="16" t="s">
        <v>189</v>
      </c>
      <c r="BX1285" s="16">
        <v>1</v>
      </c>
      <c r="BY1285" s="16">
        <v>74112</v>
      </c>
      <c r="BZ1285" s="16">
        <v>0</v>
      </c>
      <c r="CA1285" s="16" t="s">
        <v>1439</v>
      </c>
      <c r="CB1285" s="16" t="s">
        <v>227</v>
      </c>
      <c r="CC1285" s="16" t="s">
        <v>1440</v>
      </c>
      <c r="CD1285" s="16">
        <v>0</v>
      </c>
      <c r="CE1285" s="16">
        <v>1</v>
      </c>
      <c r="CF1285" s="16" t="s">
        <v>635</v>
      </c>
      <c r="CG1285" s="16">
        <v>0</v>
      </c>
      <c r="CH1285" s="16">
        <v>0</v>
      </c>
      <c r="CI1285" s="16">
        <v>0</v>
      </c>
      <c r="CJ1285" s="16">
        <v>0</v>
      </c>
      <c r="CK1285" s="16">
        <v>0</v>
      </c>
      <c r="CL1285" s="16">
        <v>0</v>
      </c>
      <c r="CM1285" s="16">
        <v>0</v>
      </c>
      <c r="CN1285" s="16">
        <v>0</v>
      </c>
      <c r="CO1285" s="16">
        <v>0</v>
      </c>
      <c r="CP1285" s="16">
        <v>0</v>
      </c>
      <c r="CQ1285" s="16">
        <v>0</v>
      </c>
      <c r="CR1285" s="16">
        <v>0</v>
      </c>
      <c r="CS1285" s="16" t="s">
        <v>88</v>
      </c>
      <c r="CT1285" s="16" t="s">
        <v>142</v>
      </c>
      <c r="CU1285" s="16" t="s">
        <v>1442</v>
      </c>
    </row>
    <row r="1286" spans="1:99">
      <c r="A1286" s="16" t="s">
        <v>3047</v>
      </c>
      <c r="B1286" s="16" t="s">
        <v>34</v>
      </c>
      <c r="C1286" s="16" t="s">
        <v>2718</v>
      </c>
      <c r="D1286" s="16" t="s">
        <v>2719</v>
      </c>
      <c r="E1286" s="16" t="s">
        <v>2720</v>
      </c>
      <c r="F1286" s="16" t="s">
        <v>1639</v>
      </c>
      <c r="G1286" s="16" t="s">
        <v>2070</v>
      </c>
      <c r="H1286" s="16" t="s">
        <v>2721</v>
      </c>
      <c r="I1286" s="16" t="s">
        <v>240</v>
      </c>
      <c r="J1286" s="16" t="s">
        <v>46</v>
      </c>
      <c r="K1286" s="16" t="s">
        <v>29</v>
      </c>
      <c r="L1286" s="16" t="s">
        <v>30</v>
      </c>
      <c r="M1286" s="16">
        <v>0</v>
      </c>
      <c r="N1286" s="16" t="s">
        <v>32</v>
      </c>
      <c r="O1286" s="16" t="s">
        <v>32</v>
      </c>
      <c r="P1286" s="16"/>
      <c r="Q1286" s="16" t="s">
        <v>32</v>
      </c>
      <c r="R1286" s="16"/>
      <c r="S1286" s="16" t="s">
        <v>32</v>
      </c>
      <c r="T1286" s="16"/>
      <c r="U1286" s="16" t="s">
        <v>32</v>
      </c>
      <c r="V1286" s="16" t="s">
        <v>32</v>
      </c>
      <c r="W1286" s="16" t="s">
        <v>32</v>
      </c>
      <c r="X1286" s="16" t="s">
        <v>32</v>
      </c>
      <c r="Y1286" s="16" t="s">
        <v>32</v>
      </c>
      <c r="Z1286" s="16"/>
      <c r="AA1286" s="16" t="s">
        <v>32</v>
      </c>
      <c r="AB1286" s="16" t="s">
        <v>37</v>
      </c>
      <c r="AC1286" s="16">
        <v>46069</v>
      </c>
      <c r="AD1286" s="16">
        <v>46074</v>
      </c>
      <c r="AE1286" s="16" t="s">
        <v>32</v>
      </c>
      <c r="AF1286" s="16"/>
      <c r="AG1286" s="16"/>
      <c r="AH1286" s="16" t="s">
        <v>32</v>
      </c>
      <c r="AI1286" s="16"/>
      <c r="AJ1286" s="16"/>
      <c r="AK1286" s="16" t="s">
        <v>32</v>
      </c>
      <c r="AL1286" s="16"/>
      <c r="AM1286" s="16"/>
      <c r="AN1286" s="16" t="s">
        <v>32</v>
      </c>
      <c r="AO1286" s="16" t="s">
        <v>32</v>
      </c>
      <c r="AP1286" s="16"/>
      <c r="AQ1286" s="16"/>
      <c r="AR1286" s="16">
        <v>0</v>
      </c>
      <c r="AS1286" s="16"/>
      <c r="AT1286" s="16"/>
      <c r="AU1286" s="16" t="s">
        <v>92</v>
      </c>
      <c r="AV1286" s="16">
        <v>2223339</v>
      </c>
      <c r="AW1286" s="16" t="s">
        <v>32</v>
      </c>
      <c r="AX1286" s="16" t="s">
        <v>32</v>
      </c>
      <c r="AY1286" s="16" t="s">
        <v>317</v>
      </c>
      <c r="AZ1286" s="16">
        <v>6</v>
      </c>
      <c r="BA1286" s="16">
        <v>444668</v>
      </c>
      <c r="BB1286" s="16">
        <v>0.15999999642372131</v>
      </c>
      <c r="BC1286" s="16">
        <v>71200</v>
      </c>
      <c r="BD1286" s="16" t="s">
        <v>31</v>
      </c>
      <c r="BE1286" s="16">
        <v>0</v>
      </c>
      <c r="BF1286" s="16">
        <v>0</v>
      </c>
      <c r="BG1286" s="16">
        <v>0</v>
      </c>
      <c r="BH1286" s="16">
        <v>0</v>
      </c>
      <c r="BI1286" s="16">
        <v>0</v>
      </c>
      <c r="BJ1286" s="16">
        <v>71200</v>
      </c>
      <c r="BK1286" s="16" t="s">
        <v>25</v>
      </c>
      <c r="BL1286" s="16" t="s">
        <v>1010</v>
      </c>
      <c r="BM1286" s="16">
        <v>6</v>
      </c>
      <c r="BN1286" s="16">
        <v>444668</v>
      </c>
      <c r="BO1286" s="16">
        <v>0</v>
      </c>
      <c r="BP1286" s="16">
        <v>0</v>
      </c>
      <c r="BQ1286" s="16">
        <v>0</v>
      </c>
      <c r="BR1286" s="16"/>
      <c r="BS1286" s="16">
        <v>0</v>
      </c>
      <c r="BT1286" s="16"/>
      <c r="BU1286" s="16">
        <v>0</v>
      </c>
      <c r="BV1286" s="16" t="s">
        <v>25</v>
      </c>
      <c r="BW1286" s="16" t="s">
        <v>189</v>
      </c>
      <c r="BX1286" s="16">
        <v>6</v>
      </c>
      <c r="BY1286" s="16">
        <v>444668</v>
      </c>
      <c r="BZ1286" s="16">
        <v>0</v>
      </c>
      <c r="CA1286" s="16" t="s">
        <v>1439</v>
      </c>
      <c r="CB1286" s="16" t="s">
        <v>227</v>
      </c>
      <c r="CC1286" s="16" t="s">
        <v>1440</v>
      </c>
      <c r="CD1286" s="16">
        <v>0</v>
      </c>
      <c r="CE1286" s="16">
        <v>6</v>
      </c>
      <c r="CF1286" s="16" t="s">
        <v>635</v>
      </c>
      <c r="CG1286" s="16">
        <v>0</v>
      </c>
      <c r="CH1286" s="16">
        <v>0</v>
      </c>
      <c r="CI1286" s="16">
        <v>0</v>
      </c>
      <c r="CJ1286" s="16">
        <v>0</v>
      </c>
      <c r="CK1286" s="16">
        <v>0</v>
      </c>
      <c r="CL1286" s="16">
        <v>0</v>
      </c>
      <c r="CM1286" s="16">
        <v>0</v>
      </c>
      <c r="CN1286" s="16">
        <v>0</v>
      </c>
      <c r="CO1286" s="16">
        <v>0</v>
      </c>
      <c r="CP1286" s="16">
        <v>0</v>
      </c>
      <c r="CQ1286" s="16">
        <v>0</v>
      </c>
      <c r="CR1286" s="16">
        <v>0</v>
      </c>
      <c r="CS1286" s="16" t="s">
        <v>88</v>
      </c>
      <c r="CT1286" s="16" t="s">
        <v>142</v>
      </c>
      <c r="CU1286" s="16" t="s">
        <v>1442</v>
      </c>
    </row>
    <row r="1287" spans="1:99">
      <c r="A1287" s="16" t="s">
        <v>3047</v>
      </c>
      <c r="B1287" s="16" t="s">
        <v>34</v>
      </c>
      <c r="C1287" s="16" t="s">
        <v>2718</v>
      </c>
      <c r="D1287" s="16" t="s">
        <v>2719</v>
      </c>
      <c r="E1287" s="16" t="s">
        <v>2720</v>
      </c>
      <c r="F1287" s="16" t="s">
        <v>1639</v>
      </c>
      <c r="G1287" s="16" t="s">
        <v>2070</v>
      </c>
      <c r="H1287" s="16" t="s">
        <v>2721</v>
      </c>
      <c r="I1287" s="16" t="s">
        <v>240</v>
      </c>
      <c r="J1287" s="16" t="s">
        <v>46</v>
      </c>
      <c r="K1287" s="16" t="s">
        <v>29</v>
      </c>
      <c r="L1287" s="16" t="s">
        <v>30</v>
      </c>
      <c r="M1287" s="16">
        <v>122</v>
      </c>
      <c r="N1287" s="16" t="s">
        <v>32</v>
      </c>
      <c r="O1287" s="16" t="s">
        <v>32</v>
      </c>
      <c r="P1287" s="16"/>
      <c r="Q1287" s="16" t="s">
        <v>32</v>
      </c>
      <c r="R1287" s="16"/>
      <c r="S1287" s="16" t="s">
        <v>40</v>
      </c>
      <c r="T1287" s="16">
        <v>46074</v>
      </c>
      <c r="U1287" s="16" t="s">
        <v>32</v>
      </c>
      <c r="V1287" s="16" t="s">
        <v>32</v>
      </c>
      <c r="W1287" s="16" t="s">
        <v>32</v>
      </c>
      <c r="X1287" s="16" t="s">
        <v>32</v>
      </c>
      <c r="Y1287" s="16" t="s">
        <v>32</v>
      </c>
      <c r="Z1287" s="16"/>
      <c r="AA1287" s="16" t="s">
        <v>88</v>
      </c>
      <c r="AB1287" s="16" t="s">
        <v>32</v>
      </c>
      <c r="AC1287" s="16"/>
      <c r="AD1287" s="16"/>
      <c r="AE1287" s="16" t="s">
        <v>32</v>
      </c>
      <c r="AF1287" s="16"/>
      <c r="AG1287" s="16"/>
      <c r="AH1287" s="16" t="s">
        <v>32</v>
      </c>
      <c r="AI1287" s="16"/>
      <c r="AJ1287" s="16"/>
      <c r="AK1287" s="16" t="s">
        <v>32</v>
      </c>
      <c r="AL1287" s="16"/>
      <c r="AM1287" s="16"/>
      <c r="AN1287" s="16" t="s">
        <v>32</v>
      </c>
      <c r="AO1287" s="16" t="s">
        <v>32</v>
      </c>
      <c r="AP1287" s="16"/>
      <c r="AQ1287" s="16"/>
      <c r="AR1287" s="16">
        <v>0</v>
      </c>
      <c r="AS1287" s="16"/>
      <c r="AT1287" s="16"/>
      <c r="AU1287" s="16" t="s">
        <v>92</v>
      </c>
      <c r="AV1287" s="16">
        <v>2223339</v>
      </c>
      <c r="AW1287" s="16" t="s">
        <v>32</v>
      </c>
      <c r="AX1287" s="16" t="s">
        <v>32</v>
      </c>
      <c r="AY1287" s="16" t="s">
        <v>317</v>
      </c>
      <c r="AZ1287" s="16">
        <v>14</v>
      </c>
      <c r="BA1287" s="16">
        <v>2191197</v>
      </c>
      <c r="BB1287" s="16">
        <v>0.15999999642372131</v>
      </c>
      <c r="BC1287" s="16">
        <v>350600</v>
      </c>
      <c r="BD1287" s="16" t="s">
        <v>31</v>
      </c>
      <c r="BE1287" s="16">
        <v>0</v>
      </c>
      <c r="BF1287" s="16">
        <v>0</v>
      </c>
      <c r="BG1287" s="16">
        <v>0</v>
      </c>
      <c r="BH1287" s="16">
        <v>0</v>
      </c>
      <c r="BI1287" s="16">
        <v>0</v>
      </c>
      <c r="BJ1287" s="16">
        <v>350600</v>
      </c>
      <c r="BK1287" s="16" t="s">
        <v>25</v>
      </c>
      <c r="BL1287" s="16" t="s">
        <v>1010</v>
      </c>
      <c r="BM1287" s="16">
        <v>14</v>
      </c>
      <c r="BN1287" s="16">
        <v>2191197</v>
      </c>
      <c r="BO1287" s="16">
        <v>3.9999999105930328E-2</v>
      </c>
      <c r="BP1287" s="16">
        <v>87700</v>
      </c>
      <c r="BQ1287" s="16">
        <v>0</v>
      </c>
      <c r="BR1287" s="16"/>
      <c r="BS1287" s="16">
        <v>0</v>
      </c>
      <c r="BT1287" s="16"/>
      <c r="BU1287" s="16">
        <v>0</v>
      </c>
      <c r="BV1287" s="16" t="s">
        <v>25</v>
      </c>
      <c r="BW1287" s="16" t="s">
        <v>189</v>
      </c>
      <c r="BX1287" s="16">
        <v>14</v>
      </c>
      <c r="BY1287" s="16">
        <v>2191197</v>
      </c>
      <c r="BZ1287" s="16">
        <v>6.9600000977516174E-2</v>
      </c>
      <c r="CA1287" s="16" t="s">
        <v>1439</v>
      </c>
      <c r="CB1287" s="16" t="s">
        <v>227</v>
      </c>
      <c r="CC1287" s="16" t="s">
        <v>1440</v>
      </c>
      <c r="CD1287" s="16">
        <v>152600</v>
      </c>
      <c r="CE1287" s="16">
        <v>14</v>
      </c>
      <c r="CF1287" s="16" t="s">
        <v>635</v>
      </c>
      <c r="CG1287" s="16">
        <v>2685692</v>
      </c>
      <c r="CH1287" s="16">
        <v>3.9999999105930328E-2</v>
      </c>
      <c r="CI1287" s="16">
        <v>107500</v>
      </c>
      <c r="CJ1287" s="16">
        <v>0</v>
      </c>
      <c r="CK1287" s="16">
        <v>0</v>
      </c>
      <c r="CL1287" s="16">
        <v>0</v>
      </c>
      <c r="CM1287" s="16">
        <v>0</v>
      </c>
      <c r="CN1287" s="16">
        <v>0</v>
      </c>
      <c r="CO1287" s="16">
        <v>0</v>
      </c>
      <c r="CP1287" s="16">
        <v>0</v>
      </c>
      <c r="CQ1287" s="16">
        <v>0</v>
      </c>
      <c r="CR1287" s="16">
        <v>0</v>
      </c>
      <c r="CS1287" s="16" t="s">
        <v>88</v>
      </c>
      <c r="CT1287" s="16" t="s">
        <v>142</v>
      </c>
      <c r="CU1287" s="16" t="s">
        <v>1442</v>
      </c>
    </row>
    <row r="1288" spans="1:99">
      <c r="A1288" s="16" t="s">
        <v>3047</v>
      </c>
      <c r="B1288" s="16" t="s">
        <v>34</v>
      </c>
      <c r="C1288" s="16" t="s">
        <v>2872</v>
      </c>
      <c r="D1288" s="16" t="s">
        <v>2873</v>
      </c>
      <c r="E1288" s="16" t="s">
        <v>1145</v>
      </c>
      <c r="F1288" s="16" t="s">
        <v>1506</v>
      </c>
      <c r="G1288" s="16" t="s">
        <v>2874</v>
      </c>
      <c r="H1288" s="16" t="s">
        <v>2856</v>
      </c>
      <c r="I1288" s="16" t="s">
        <v>240</v>
      </c>
      <c r="J1288" s="16" t="s">
        <v>46</v>
      </c>
      <c r="K1288" s="16" t="s">
        <v>29</v>
      </c>
      <c r="L1288" s="16" t="s">
        <v>30</v>
      </c>
      <c r="M1288" s="16">
        <v>0</v>
      </c>
      <c r="N1288" s="16" t="s">
        <v>32</v>
      </c>
      <c r="O1288" s="16" t="s">
        <v>32</v>
      </c>
      <c r="P1288" s="16"/>
      <c r="Q1288" s="16" t="s">
        <v>32</v>
      </c>
      <c r="R1288" s="16"/>
      <c r="S1288" s="16" t="s">
        <v>32</v>
      </c>
      <c r="T1288" s="16"/>
      <c r="U1288" s="16" t="s">
        <v>32</v>
      </c>
      <c r="V1288" s="16" t="s">
        <v>32</v>
      </c>
      <c r="W1288" s="16" t="s">
        <v>32</v>
      </c>
      <c r="X1288" s="16" t="s">
        <v>32</v>
      </c>
      <c r="Y1288" s="16" t="s">
        <v>32</v>
      </c>
      <c r="Z1288" s="16"/>
      <c r="AA1288" s="16" t="s">
        <v>32</v>
      </c>
      <c r="AB1288" s="16" t="s">
        <v>37</v>
      </c>
      <c r="AC1288" s="16">
        <v>46057</v>
      </c>
      <c r="AD1288" s="16">
        <v>46058</v>
      </c>
      <c r="AE1288" s="16" t="s">
        <v>32</v>
      </c>
      <c r="AF1288" s="16"/>
      <c r="AG1288" s="16"/>
      <c r="AH1288" s="16" t="s">
        <v>32</v>
      </c>
      <c r="AI1288" s="16"/>
      <c r="AJ1288" s="16"/>
      <c r="AK1288" s="16" t="s">
        <v>32</v>
      </c>
      <c r="AL1288" s="16"/>
      <c r="AM1288" s="16"/>
      <c r="AN1288" s="16" t="s">
        <v>32</v>
      </c>
      <c r="AO1288" s="16" t="s">
        <v>32</v>
      </c>
      <c r="AP1288" s="16"/>
      <c r="AQ1288" s="16"/>
      <c r="AR1288" s="16">
        <v>0</v>
      </c>
      <c r="AS1288" s="16"/>
      <c r="AT1288" s="16"/>
      <c r="AU1288" s="16" t="s">
        <v>92</v>
      </c>
      <c r="AV1288" s="16">
        <v>2223339</v>
      </c>
      <c r="AW1288" s="16" t="s">
        <v>32</v>
      </c>
      <c r="AX1288" s="16" t="s">
        <v>32</v>
      </c>
      <c r="AY1288" s="16" t="s">
        <v>137</v>
      </c>
      <c r="AZ1288" s="16">
        <v>2</v>
      </c>
      <c r="BA1288" s="16">
        <v>148223</v>
      </c>
      <c r="BB1288" s="16">
        <v>0.15999999642372131</v>
      </c>
      <c r="BC1288" s="16">
        <v>23800</v>
      </c>
      <c r="BD1288" s="16" t="s">
        <v>31</v>
      </c>
      <c r="BE1288" s="16">
        <v>0</v>
      </c>
      <c r="BF1288" s="16">
        <v>0</v>
      </c>
      <c r="BG1288" s="16">
        <v>0</v>
      </c>
      <c r="BH1288" s="16">
        <v>0</v>
      </c>
      <c r="BI1288" s="16">
        <v>0</v>
      </c>
      <c r="BJ1288" s="16">
        <v>23800</v>
      </c>
      <c r="BK1288" s="16" t="s">
        <v>25</v>
      </c>
      <c r="BL1288" s="16" t="s">
        <v>885</v>
      </c>
      <c r="BM1288" s="16">
        <v>2</v>
      </c>
      <c r="BN1288" s="16">
        <v>148223</v>
      </c>
      <c r="BO1288" s="16">
        <v>0</v>
      </c>
      <c r="BP1288" s="16">
        <v>0</v>
      </c>
      <c r="BQ1288" s="16">
        <v>0</v>
      </c>
      <c r="BR1288" s="16"/>
      <c r="BS1288" s="16">
        <v>0</v>
      </c>
      <c r="BT1288" s="16"/>
      <c r="BU1288" s="16">
        <v>0</v>
      </c>
      <c r="BV1288" s="16" t="s">
        <v>25</v>
      </c>
      <c r="BW1288" s="16" t="s">
        <v>189</v>
      </c>
      <c r="BX1288" s="16">
        <v>2</v>
      </c>
      <c r="BY1288" s="16">
        <v>148223</v>
      </c>
      <c r="BZ1288" s="16">
        <v>0</v>
      </c>
      <c r="CA1288" s="16" t="s">
        <v>1439</v>
      </c>
      <c r="CB1288" s="16" t="s">
        <v>227</v>
      </c>
      <c r="CC1288" s="16" t="s">
        <v>1440</v>
      </c>
      <c r="CD1288" s="16">
        <v>0</v>
      </c>
      <c r="CE1288" s="16">
        <v>2</v>
      </c>
      <c r="CF1288" s="16" t="s">
        <v>635</v>
      </c>
      <c r="CG1288" s="16">
        <v>0</v>
      </c>
      <c r="CH1288" s="16">
        <v>0</v>
      </c>
      <c r="CI1288" s="16">
        <v>0</v>
      </c>
      <c r="CJ1288" s="16">
        <v>0</v>
      </c>
      <c r="CK1288" s="16">
        <v>0</v>
      </c>
      <c r="CL1288" s="16">
        <v>0</v>
      </c>
      <c r="CM1288" s="16">
        <v>0</v>
      </c>
      <c r="CN1288" s="16">
        <v>0</v>
      </c>
      <c r="CO1288" s="16">
        <v>0</v>
      </c>
      <c r="CP1288" s="16">
        <v>0</v>
      </c>
      <c r="CQ1288" s="16">
        <v>0</v>
      </c>
      <c r="CR1288" s="16">
        <v>0</v>
      </c>
      <c r="CS1288" s="16" t="s">
        <v>88</v>
      </c>
      <c r="CT1288" s="16" t="s">
        <v>142</v>
      </c>
      <c r="CU1288" s="16" t="s">
        <v>1442</v>
      </c>
    </row>
    <row r="1289" spans="1:99">
      <c r="A1289" s="16" t="s">
        <v>3047</v>
      </c>
      <c r="B1289" s="16" t="s">
        <v>34</v>
      </c>
      <c r="C1289" s="16" t="s">
        <v>2872</v>
      </c>
      <c r="D1289" s="16" t="s">
        <v>2873</v>
      </c>
      <c r="E1289" s="16" t="s">
        <v>1145</v>
      </c>
      <c r="F1289" s="16" t="s">
        <v>1506</v>
      </c>
      <c r="G1289" s="16" t="s">
        <v>2874</v>
      </c>
      <c r="H1289" s="16" t="s">
        <v>2856</v>
      </c>
      <c r="I1289" s="16" t="s">
        <v>240</v>
      </c>
      <c r="J1289" s="16" t="s">
        <v>46</v>
      </c>
      <c r="K1289" s="16" t="s">
        <v>29</v>
      </c>
      <c r="L1289" s="16" t="s">
        <v>30</v>
      </c>
      <c r="M1289" s="16">
        <v>159</v>
      </c>
      <c r="N1289" s="16" t="s">
        <v>32</v>
      </c>
      <c r="O1289" s="16" t="s">
        <v>32</v>
      </c>
      <c r="P1289" s="16"/>
      <c r="Q1289" s="16" t="s">
        <v>32</v>
      </c>
      <c r="R1289" s="16"/>
      <c r="S1289" s="16" t="s">
        <v>40</v>
      </c>
      <c r="T1289" s="16">
        <v>46074</v>
      </c>
      <c r="U1289" s="16" t="s">
        <v>32</v>
      </c>
      <c r="V1289" s="16" t="s">
        <v>32</v>
      </c>
      <c r="W1289" s="16" t="s">
        <v>32</v>
      </c>
      <c r="X1289" s="16" t="s">
        <v>32</v>
      </c>
      <c r="Y1289" s="16" t="s">
        <v>32</v>
      </c>
      <c r="Z1289" s="16"/>
      <c r="AA1289" s="16" t="s">
        <v>88</v>
      </c>
      <c r="AB1289" s="16" t="s">
        <v>32</v>
      </c>
      <c r="AC1289" s="16"/>
      <c r="AD1289" s="16"/>
      <c r="AE1289" s="16" t="s">
        <v>32</v>
      </c>
      <c r="AF1289" s="16"/>
      <c r="AG1289" s="16"/>
      <c r="AH1289" s="16" t="s">
        <v>32</v>
      </c>
      <c r="AI1289" s="16"/>
      <c r="AJ1289" s="16"/>
      <c r="AK1289" s="16" t="s">
        <v>32</v>
      </c>
      <c r="AL1289" s="16"/>
      <c r="AM1289" s="16"/>
      <c r="AN1289" s="16" t="s">
        <v>32</v>
      </c>
      <c r="AO1289" s="16" t="s">
        <v>32</v>
      </c>
      <c r="AP1289" s="16"/>
      <c r="AQ1289" s="16"/>
      <c r="AR1289" s="16">
        <v>0</v>
      </c>
      <c r="AS1289" s="16"/>
      <c r="AT1289" s="16"/>
      <c r="AU1289" s="16" t="s">
        <v>92</v>
      </c>
      <c r="AV1289" s="16">
        <v>2223339</v>
      </c>
      <c r="AW1289" s="16" t="s">
        <v>32</v>
      </c>
      <c r="AX1289" s="16" t="s">
        <v>32</v>
      </c>
      <c r="AY1289" s="16" t="s">
        <v>137</v>
      </c>
      <c r="AZ1289" s="16">
        <v>19</v>
      </c>
      <c r="BA1289" s="16">
        <v>2616953</v>
      </c>
      <c r="BB1289" s="16">
        <v>0.15999999642372131</v>
      </c>
      <c r="BC1289" s="16">
        <v>418800</v>
      </c>
      <c r="BD1289" s="16" t="s">
        <v>31</v>
      </c>
      <c r="BE1289" s="16">
        <v>0</v>
      </c>
      <c r="BF1289" s="16">
        <v>0</v>
      </c>
      <c r="BG1289" s="16">
        <v>0</v>
      </c>
      <c r="BH1289" s="16">
        <v>0</v>
      </c>
      <c r="BI1289" s="16">
        <v>0</v>
      </c>
      <c r="BJ1289" s="16">
        <v>418800</v>
      </c>
      <c r="BK1289" s="16" t="s">
        <v>25</v>
      </c>
      <c r="BL1289" s="16" t="s">
        <v>885</v>
      </c>
      <c r="BM1289" s="16">
        <v>19</v>
      </c>
      <c r="BN1289" s="16">
        <v>2616953</v>
      </c>
      <c r="BO1289" s="16">
        <v>3.9999999105930328E-2</v>
      </c>
      <c r="BP1289" s="16">
        <v>104700</v>
      </c>
      <c r="BQ1289" s="16">
        <v>0</v>
      </c>
      <c r="BR1289" s="16"/>
      <c r="BS1289" s="16">
        <v>0</v>
      </c>
      <c r="BT1289" s="16"/>
      <c r="BU1289" s="16">
        <v>0</v>
      </c>
      <c r="BV1289" s="16" t="s">
        <v>25</v>
      </c>
      <c r="BW1289" s="16" t="s">
        <v>189</v>
      </c>
      <c r="BX1289" s="16">
        <v>19</v>
      </c>
      <c r="BY1289" s="16">
        <v>2616953</v>
      </c>
      <c r="BZ1289" s="16">
        <v>6.9600000977516174E-2</v>
      </c>
      <c r="CA1289" s="16" t="s">
        <v>1439</v>
      </c>
      <c r="CB1289" s="16" t="s">
        <v>227</v>
      </c>
      <c r="CC1289" s="16" t="s">
        <v>1440</v>
      </c>
      <c r="CD1289" s="16">
        <v>182200</v>
      </c>
      <c r="CE1289" s="16">
        <v>19</v>
      </c>
      <c r="CF1289" s="16" t="s">
        <v>635</v>
      </c>
      <c r="CG1289" s="16">
        <v>2813686</v>
      </c>
      <c r="CH1289" s="16">
        <v>3.9999999105930328E-2</v>
      </c>
      <c r="CI1289" s="16">
        <v>112600</v>
      </c>
      <c r="CJ1289" s="16">
        <v>0</v>
      </c>
      <c r="CK1289" s="16">
        <v>0</v>
      </c>
      <c r="CL1289" s="16">
        <v>0</v>
      </c>
      <c r="CM1289" s="16">
        <v>0</v>
      </c>
      <c r="CN1289" s="16">
        <v>0</v>
      </c>
      <c r="CO1289" s="16">
        <v>0</v>
      </c>
      <c r="CP1289" s="16">
        <v>0</v>
      </c>
      <c r="CQ1289" s="16">
        <v>0</v>
      </c>
      <c r="CR1289" s="16">
        <v>0</v>
      </c>
      <c r="CS1289" s="16" t="s">
        <v>88</v>
      </c>
      <c r="CT1289" s="16" t="s">
        <v>142</v>
      </c>
      <c r="CU1289" s="16" t="s">
        <v>1442</v>
      </c>
    </row>
    <row r="1290" spans="1:99">
      <c r="A1290" s="16" t="s">
        <v>3047</v>
      </c>
      <c r="B1290" s="16" t="s">
        <v>34</v>
      </c>
      <c r="C1290" s="16" t="s">
        <v>2900</v>
      </c>
      <c r="D1290" s="16" t="s">
        <v>2901</v>
      </c>
      <c r="E1290" s="16" t="s">
        <v>2902</v>
      </c>
      <c r="F1290" s="16" t="s">
        <v>2903</v>
      </c>
      <c r="G1290" s="16" t="s">
        <v>2070</v>
      </c>
      <c r="H1290" s="16" t="s">
        <v>1468</v>
      </c>
      <c r="I1290" s="16" t="s">
        <v>240</v>
      </c>
      <c r="J1290" s="16" t="s">
        <v>46</v>
      </c>
      <c r="K1290" s="16" t="s">
        <v>29</v>
      </c>
      <c r="L1290" s="16" t="s">
        <v>30</v>
      </c>
      <c r="M1290" s="16">
        <v>175</v>
      </c>
      <c r="N1290" s="16" t="s">
        <v>32</v>
      </c>
      <c r="O1290" s="16" t="s">
        <v>32</v>
      </c>
      <c r="P1290" s="16"/>
      <c r="Q1290" s="16" t="s">
        <v>32</v>
      </c>
      <c r="R1290" s="16"/>
      <c r="S1290" s="16" t="s">
        <v>40</v>
      </c>
      <c r="T1290" s="16">
        <v>46074</v>
      </c>
      <c r="U1290" s="16" t="s">
        <v>32</v>
      </c>
      <c r="V1290" s="16" t="s">
        <v>32</v>
      </c>
      <c r="W1290" s="16" t="s">
        <v>32</v>
      </c>
      <c r="X1290" s="16" t="s">
        <v>32</v>
      </c>
      <c r="Y1290" s="16" t="s">
        <v>32</v>
      </c>
      <c r="Z1290" s="16"/>
      <c r="AA1290" s="16" t="s">
        <v>88</v>
      </c>
      <c r="AB1290" s="16" t="s">
        <v>32</v>
      </c>
      <c r="AC1290" s="16"/>
      <c r="AD1290" s="16"/>
      <c r="AE1290" s="16" t="s">
        <v>32</v>
      </c>
      <c r="AF1290" s="16"/>
      <c r="AG1290" s="16"/>
      <c r="AH1290" s="16" t="s">
        <v>32</v>
      </c>
      <c r="AI1290" s="16"/>
      <c r="AJ1290" s="16"/>
      <c r="AK1290" s="16" t="s">
        <v>32</v>
      </c>
      <c r="AL1290" s="16"/>
      <c r="AM1290" s="16"/>
      <c r="AN1290" s="16" t="s">
        <v>32</v>
      </c>
      <c r="AO1290" s="16" t="s">
        <v>32</v>
      </c>
      <c r="AP1290" s="16"/>
      <c r="AQ1290" s="16"/>
      <c r="AR1290" s="16">
        <v>0</v>
      </c>
      <c r="AS1290" s="16"/>
      <c r="AT1290" s="16"/>
      <c r="AU1290" s="16" t="s">
        <v>92</v>
      </c>
      <c r="AV1290" s="16">
        <v>2223339</v>
      </c>
      <c r="AW1290" s="16" t="s">
        <v>32</v>
      </c>
      <c r="AX1290" s="16" t="s">
        <v>32</v>
      </c>
      <c r="AY1290" s="16" t="s">
        <v>317</v>
      </c>
      <c r="AZ1290" s="16">
        <v>21</v>
      </c>
      <c r="BA1290" s="16">
        <v>3062549</v>
      </c>
      <c r="BB1290" s="16">
        <v>0.15999999642372131</v>
      </c>
      <c r="BC1290" s="16">
        <v>490100</v>
      </c>
      <c r="BD1290" s="16" t="s">
        <v>31</v>
      </c>
      <c r="BE1290" s="16">
        <v>0</v>
      </c>
      <c r="BF1290" s="16">
        <v>0</v>
      </c>
      <c r="BG1290" s="16">
        <v>0</v>
      </c>
      <c r="BH1290" s="16">
        <v>0</v>
      </c>
      <c r="BI1290" s="16">
        <v>0</v>
      </c>
      <c r="BJ1290" s="16">
        <v>490100</v>
      </c>
      <c r="BK1290" s="16" t="s">
        <v>25</v>
      </c>
      <c r="BL1290" s="16" t="s">
        <v>1071</v>
      </c>
      <c r="BM1290" s="16">
        <v>21</v>
      </c>
      <c r="BN1290" s="16">
        <v>3062549</v>
      </c>
      <c r="BO1290" s="16">
        <v>3.9999999105930328E-2</v>
      </c>
      <c r="BP1290" s="16">
        <v>122600</v>
      </c>
      <c r="BQ1290" s="16">
        <v>0</v>
      </c>
      <c r="BR1290" s="16"/>
      <c r="BS1290" s="16">
        <v>0</v>
      </c>
      <c r="BT1290" s="16"/>
      <c r="BU1290" s="16">
        <v>0</v>
      </c>
      <c r="BV1290" s="16" t="s">
        <v>25</v>
      </c>
      <c r="BW1290" s="16" t="s">
        <v>189</v>
      </c>
      <c r="BX1290" s="16">
        <v>21</v>
      </c>
      <c r="BY1290" s="16">
        <v>3062549</v>
      </c>
      <c r="BZ1290" s="16">
        <v>6.9600000977516174E-2</v>
      </c>
      <c r="CA1290" s="16" t="s">
        <v>1439</v>
      </c>
      <c r="CB1290" s="16" t="s">
        <v>227</v>
      </c>
      <c r="CC1290" s="16" t="s">
        <v>1440</v>
      </c>
      <c r="CD1290" s="16">
        <v>213200</v>
      </c>
      <c r="CE1290" s="16">
        <v>21</v>
      </c>
      <c r="CF1290" s="16" t="s">
        <v>635</v>
      </c>
      <c r="CG1290" s="16">
        <v>3711045</v>
      </c>
      <c r="CH1290" s="16">
        <v>3.9999999105930328E-2</v>
      </c>
      <c r="CI1290" s="16">
        <v>148500</v>
      </c>
      <c r="CJ1290" s="16">
        <v>0</v>
      </c>
      <c r="CK1290" s="16">
        <v>0</v>
      </c>
      <c r="CL1290" s="16">
        <v>0</v>
      </c>
      <c r="CM1290" s="16">
        <v>0</v>
      </c>
      <c r="CN1290" s="16">
        <v>0</v>
      </c>
      <c r="CO1290" s="16">
        <v>0</v>
      </c>
      <c r="CP1290" s="16">
        <v>0</v>
      </c>
      <c r="CQ1290" s="16">
        <v>0</v>
      </c>
      <c r="CR1290" s="16">
        <v>0</v>
      </c>
      <c r="CS1290" s="16" t="s">
        <v>88</v>
      </c>
      <c r="CT1290" s="16" t="s">
        <v>142</v>
      </c>
      <c r="CU1290" s="16" t="s">
        <v>1442</v>
      </c>
    </row>
    <row r="1291" spans="1:99">
      <c r="A1291" s="16" t="s">
        <v>3047</v>
      </c>
      <c r="B1291" s="16" t="s">
        <v>34</v>
      </c>
      <c r="C1291" s="16" t="s">
        <v>2915</v>
      </c>
      <c r="D1291" s="16" t="s">
        <v>2916</v>
      </c>
      <c r="E1291" s="16" t="s">
        <v>2917</v>
      </c>
      <c r="F1291" s="16" t="s">
        <v>1487</v>
      </c>
      <c r="G1291" s="16" t="s">
        <v>2918</v>
      </c>
      <c r="H1291" s="16" t="s">
        <v>1503</v>
      </c>
      <c r="I1291" s="16" t="s">
        <v>240</v>
      </c>
      <c r="J1291" s="16" t="s">
        <v>46</v>
      </c>
      <c r="K1291" s="16" t="s">
        <v>29</v>
      </c>
      <c r="L1291" s="16" t="s">
        <v>30</v>
      </c>
      <c r="M1291" s="16">
        <v>0</v>
      </c>
      <c r="N1291" s="16" t="s">
        <v>32</v>
      </c>
      <c r="O1291" s="16" t="s">
        <v>32</v>
      </c>
      <c r="P1291" s="16"/>
      <c r="Q1291" s="16" t="s">
        <v>32</v>
      </c>
      <c r="R1291" s="16"/>
      <c r="S1291" s="16" t="s">
        <v>32</v>
      </c>
      <c r="T1291" s="16"/>
      <c r="U1291" s="16" t="s">
        <v>32</v>
      </c>
      <c r="V1291" s="16" t="s">
        <v>32</v>
      </c>
      <c r="W1291" s="16" t="s">
        <v>32</v>
      </c>
      <c r="X1291" s="16" t="s">
        <v>32</v>
      </c>
      <c r="Y1291" s="16" t="s">
        <v>32</v>
      </c>
      <c r="Z1291" s="16"/>
      <c r="AA1291" s="16" t="s">
        <v>32</v>
      </c>
      <c r="AB1291" s="16" t="s">
        <v>32</v>
      </c>
      <c r="AC1291" s="16"/>
      <c r="AD1291" s="16"/>
      <c r="AE1291" s="16" t="s">
        <v>32</v>
      </c>
      <c r="AF1291" s="16"/>
      <c r="AG1291" s="16"/>
      <c r="AH1291" s="16" t="s">
        <v>32</v>
      </c>
      <c r="AI1291" s="16"/>
      <c r="AJ1291" s="16"/>
      <c r="AK1291" s="16" t="s">
        <v>32</v>
      </c>
      <c r="AL1291" s="16"/>
      <c r="AM1291" s="16"/>
      <c r="AN1291" s="16" t="s">
        <v>32</v>
      </c>
      <c r="AO1291" s="16" t="s">
        <v>32</v>
      </c>
      <c r="AP1291" s="16"/>
      <c r="AQ1291" s="16"/>
      <c r="AR1291" s="16">
        <v>3</v>
      </c>
      <c r="AS1291" s="16">
        <v>46054</v>
      </c>
      <c r="AT1291" s="16">
        <v>46056</v>
      </c>
      <c r="AU1291" s="16" t="s">
        <v>92</v>
      </c>
      <c r="AV1291" s="16">
        <v>1785595</v>
      </c>
      <c r="AW1291" s="16" t="s">
        <v>32</v>
      </c>
      <c r="AX1291" s="16" t="s">
        <v>32</v>
      </c>
      <c r="AY1291" s="16" t="s">
        <v>317</v>
      </c>
      <c r="AZ1291" s="16">
        <v>3</v>
      </c>
      <c r="BA1291" s="16">
        <v>258303</v>
      </c>
      <c r="BB1291" s="16">
        <v>0.15999999642372131</v>
      </c>
      <c r="BC1291" s="16">
        <v>41400</v>
      </c>
      <c r="BD1291" s="16" t="s">
        <v>31</v>
      </c>
      <c r="BE1291" s="16">
        <v>0</v>
      </c>
      <c r="BF1291" s="16">
        <v>0</v>
      </c>
      <c r="BG1291" s="16">
        <v>0</v>
      </c>
      <c r="BH1291" s="16">
        <v>0</v>
      </c>
      <c r="BI1291" s="16">
        <v>0</v>
      </c>
      <c r="BJ1291" s="16">
        <v>41400</v>
      </c>
      <c r="BK1291" s="16" t="s">
        <v>25</v>
      </c>
      <c r="BL1291" s="16" t="s">
        <v>885</v>
      </c>
      <c r="BM1291" s="16">
        <v>3</v>
      </c>
      <c r="BN1291" s="16">
        <v>258303</v>
      </c>
      <c r="BO1291" s="16">
        <v>3.9999999105930328E-2</v>
      </c>
      <c r="BP1291" s="16">
        <v>10400</v>
      </c>
      <c r="BQ1291" s="16">
        <v>0</v>
      </c>
      <c r="BR1291" s="16"/>
      <c r="BS1291" s="16">
        <v>0</v>
      </c>
      <c r="BT1291" s="16"/>
      <c r="BU1291" s="16">
        <v>0</v>
      </c>
      <c r="BV1291" s="16" t="s">
        <v>25</v>
      </c>
      <c r="BW1291" s="16" t="s">
        <v>189</v>
      </c>
      <c r="BX1291" s="16">
        <v>3</v>
      </c>
      <c r="BY1291" s="16">
        <v>258303</v>
      </c>
      <c r="BZ1291" s="16">
        <v>0</v>
      </c>
      <c r="CA1291" s="16" t="s">
        <v>1439</v>
      </c>
      <c r="CB1291" s="16" t="s">
        <v>227</v>
      </c>
      <c r="CC1291" s="16" t="s">
        <v>1440</v>
      </c>
      <c r="CD1291" s="16">
        <v>0</v>
      </c>
      <c r="CE1291" s="16">
        <v>3</v>
      </c>
      <c r="CF1291" s="16" t="s">
        <v>635</v>
      </c>
      <c r="CG1291" s="16">
        <v>0</v>
      </c>
      <c r="CH1291" s="16">
        <v>0</v>
      </c>
      <c r="CI1291" s="16">
        <v>0</v>
      </c>
      <c r="CJ1291" s="16">
        <v>0</v>
      </c>
      <c r="CK1291" s="16">
        <v>0</v>
      </c>
      <c r="CL1291" s="16">
        <v>0</v>
      </c>
      <c r="CM1291" s="16">
        <v>0</v>
      </c>
      <c r="CN1291" s="16">
        <v>0</v>
      </c>
      <c r="CO1291" s="16">
        <v>0</v>
      </c>
      <c r="CP1291" s="16">
        <v>0</v>
      </c>
      <c r="CQ1291" s="16">
        <v>0</v>
      </c>
      <c r="CR1291" s="16">
        <v>0</v>
      </c>
      <c r="CS1291" s="16" t="s">
        <v>88</v>
      </c>
      <c r="CT1291" s="16" t="s">
        <v>142</v>
      </c>
      <c r="CU1291" s="16" t="s">
        <v>1442</v>
      </c>
    </row>
    <row r="1292" spans="1:99">
      <c r="A1292" s="16" t="s">
        <v>3047</v>
      </c>
      <c r="B1292" s="16" t="s">
        <v>34</v>
      </c>
      <c r="C1292" s="16" t="s">
        <v>2915</v>
      </c>
      <c r="D1292" s="16" t="s">
        <v>2916</v>
      </c>
      <c r="E1292" s="16" t="s">
        <v>2917</v>
      </c>
      <c r="F1292" s="16" t="s">
        <v>1487</v>
      </c>
      <c r="G1292" s="16" t="s">
        <v>2918</v>
      </c>
      <c r="H1292" s="16" t="s">
        <v>1503</v>
      </c>
      <c r="I1292" s="16" t="s">
        <v>240</v>
      </c>
      <c r="J1292" s="16" t="s">
        <v>46</v>
      </c>
      <c r="K1292" s="16" t="s">
        <v>29</v>
      </c>
      <c r="L1292" s="16" t="s">
        <v>30</v>
      </c>
      <c r="M1292" s="16">
        <v>148</v>
      </c>
      <c r="N1292" s="16" t="s">
        <v>32</v>
      </c>
      <c r="O1292" s="16" t="s">
        <v>32</v>
      </c>
      <c r="P1292" s="16"/>
      <c r="Q1292" s="16" t="s">
        <v>32</v>
      </c>
      <c r="R1292" s="16"/>
      <c r="S1292" s="16" t="s">
        <v>40</v>
      </c>
      <c r="T1292" s="16">
        <v>46074</v>
      </c>
      <c r="U1292" s="16" t="s">
        <v>32</v>
      </c>
      <c r="V1292" s="16" t="s">
        <v>32</v>
      </c>
      <c r="W1292" s="16" t="s">
        <v>32</v>
      </c>
      <c r="X1292" s="16" t="s">
        <v>32</v>
      </c>
      <c r="Y1292" s="16" t="s">
        <v>32</v>
      </c>
      <c r="Z1292" s="16"/>
      <c r="AA1292" s="16" t="s">
        <v>88</v>
      </c>
      <c r="AB1292" s="16" t="s">
        <v>32</v>
      </c>
      <c r="AC1292" s="16"/>
      <c r="AD1292" s="16"/>
      <c r="AE1292" s="16" t="s">
        <v>32</v>
      </c>
      <c r="AF1292" s="16"/>
      <c r="AG1292" s="16"/>
      <c r="AH1292" s="16" t="s">
        <v>32</v>
      </c>
      <c r="AI1292" s="16"/>
      <c r="AJ1292" s="16"/>
      <c r="AK1292" s="16" t="s">
        <v>32</v>
      </c>
      <c r="AL1292" s="16"/>
      <c r="AM1292" s="16"/>
      <c r="AN1292" s="16" t="s">
        <v>32</v>
      </c>
      <c r="AO1292" s="16" t="s">
        <v>32</v>
      </c>
      <c r="AP1292" s="16"/>
      <c r="AQ1292" s="16"/>
      <c r="AR1292" s="16">
        <v>0</v>
      </c>
      <c r="AS1292" s="16"/>
      <c r="AT1292" s="16"/>
      <c r="AU1292" s="16" t="s">
        <v>92</v>
      </c>
      <c r="AV1292" s="16">
        <v>1785595</v>
      </c>
      <c r="AW1292" s="16" t="s">
        <v>32</v>
      </c>
      <c r="AX1292" s="16" t="s">
        <v>32</v>
      </c>
      <c r="AY1292" s="16" t="s">
        <v>317</v>
      </c>
      <c r="AZ1292" s="16">
        <v>18</v>
      </c>
      <c r="BA1292" s="16">
        <v>1862162</v>
      </c>
      <c r="BB1292" s="16">
        <v>0.15999999642372131</v>
      </c>
      <c r="BC1292" s="16">
        <v>298000</v>
      </c>
      <c r="BD1292" s="16" t="s">
        <v>31</v>
      </c>
      <c r="BE1292" s="16">
        <v>0</v>
      </c>
      <c r="BF1292" s="16">
        <v>0</v>
      </c>
      <c r="BG1292" s="16">
        <v>0</v>
      </c>
      <c r="BH1292" s="16">
        <v>0</v>
      </c>
      <c r="BI1292" s="16">
        <v>0</v>
      </c>
      <c r="BJ1292" s="16">
        <v>298000</v>
      </c>
      <c r="BK1292" s="16" t="s">
        <v>25</v>
      </c>
      <c r="BL1292" s="16" t="s">
        <v>885</v>
      </c>
      <c r="BM1292" s="16">
        <v>18</v>
      </c>
      <c r="BN1292" s="16">
        <v>1862162</v>
      </c>
      <c r="BO1292" s="16">
        <v>3.9999999105930328E-2</v>
      </c>
      <c r="BP1292" s="16">
        <v>74500</v>
      </c>
      <c r="BQ1292" s="16">
        <v>0</v>
      </c>
      <c r="BR1292" s="16"/>
      <c r="BS1292" s="16">
        <v>0</v>
      </c>
      <c r="BT1292" s="16"/>
      <c r="BU1292" s="16">
        <v>0</v>
      </c>
      <c r="BV1292" s="16" t="s">
        <v>25</v>
      </c>
      <c r="BW1292" s="16" t="s">
        <v>189</v>
      </c>
      <c r="BX1292" s="16">
        <v>18</v>
      </c>
      <c r="BY1292" s="16">
        <v>1862162</v>
      </c>
      <c r="BZ1292" s="16">
        <v>6.9600000977516174E-2</v>
      </c>
      <c r="CA1292" s="16" t="s">
        <v>1439</v>
      </c>
      <c r="CB1292" s="16" t="s">
        <v>227</v>
      </c>
      <c r="CC1292" s="16" t="s">
        <v>1440</v>
      </c>
      <c r="CD1292" s="16">
        <v>129700</v>
      </c>
      <c r="CE1292" s="16">
        <v>18</v>
      </c>
      <c r="CF1292" s="16" t="s">
        <v>635</v>
      </c>
      <c r="CG1292" s="16">
        <v>2278942</v>
      </c>
      <c r="CH1292" s="16">
        <v>3.9999999105930328E-2</v>
      </c>
      <c r="CI1292" s="16">
        <v>91200</v>
      </c>
      <c r="CJ1292" s="16">
        <v>0</v>
      </c>
      <c r="CK1292" s="16">
        <v>0</v>
      </c>
      <c r="CL1292" s="16">
        <v>0</v>
      </c>
      <c r="CM1292" s="16">
        <v>0</v>
      </c>
      <c r="CN1292" s="16">
        <v>0</v>
      </c>
      <c r="CO1292" s="16">
        <v>0</v>
      </c>
      <c r="CP1292" s="16">
        <v>0</v>
      </c>
      <c r="CQ1292" s="16">
        <v>0</v>
      </c>
      <c r="CR1292" s="16">
        <v>0</v>
      </c>
      <c r="CS1292" s="16" t="s">
        <v>88</v>
      </c>
      <c r="CT1292" s="16" t="s">
        <v>142</v>
      </c>
      <c r="CU1292" s="16" t="s">
        <v>1442</v>
      </c>
    </row>
  </sheetData>
  <autoFilter ref="A1:CV1292" xr:uid="{555C2246-A251-4AAD-8193-F4DFEEFD89D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A75A-C6EC-4162-87D8-B5A898DA96DC}">
  <dimension ref="A2:H3057"/>
  <sheetViews>
    <sheetView topLeftCell="A19" zoomScaleNormal="100" workbookViewId="0">
      <selection activeCell="H4" sqref="H4:I58"/>
    </sheetView>
  </sheetViews>
  <sheetFormatPr defaultColWidth="11.42578125" defaultRowHeight="15"/>
  <cols>
    <col min="1" max="1" width="17.28515625" customWidth="1"/>
    <col min="2" max="2" width="41.5703125" customWidth="1"/>
    <col min="3" max="3" width="50.140625" bestFit="1" customWidth="1"/>
    <col min="4" max="5" width="11.5703125" style="3" bestFit="1" customWidth="1"/>
    <col min="6" max="6" width="14" style="3" bestFit="1" customWidth="1"/>
    <col min="7" max="7" width="9" style="3" bestFit="1" customWidth="1"/>
    <col min="8" max="8" width="10.5703125" style="3" bestFit="1" customWidth="1"/>
  </cols>
  <sheetData>
    <row r="2" spans="1:8">
      <c r="A2" s="20" t="s">
        <v>3073</v>
      </c>
      <c r="B2" s="20"/>
      <c r="C2" s="20"/>
      <c r="D2" s="20"/>
      <c r="E2" s="20"/>
      <c r="F2" s="20"/>
      <c r="G2" s="20"/>
      <c r="H2" s="20"/>
    </row>
    <row r="3" spans="1:8">
      <c r="A3" t="s">
        <v>3074</v>
      </c>
      <c r="D3" s="4" t="s">
        <v>1344</v>
      </c>
      <c r="E3" s="4"/>
      <c r="F3" s="4"/>
      <c r="G3"/>
      <c r="H3"/>
    </row>
    <row r="4" spans="1:8">
      <c r="A4" t="s">
        <v>1346</v>
      </c>
      <c r="B4" t="s">
        <v>1347</v>
      </c>
      <c r="C4" t="s">
        <v>1394</v>
      </c>
      <c r="D4" s="4" t="s">
        <v>1431</v>
      </c>
      <c r="E4" s="4" t="s">
        <v>3047</v>
      </c>
      <c r="F4" s="4" t="s">
        <v>3075</v>
      </c>
      <c r="G4"/>
      <c r="H4"/>
    </row>
    <row r="5" spans="1:8">
      <c r="A5" t="s">
        <v>1485</v>
      </c>
      <c r="B5" t="s">
        <v>1486</v>
      </c>
      <c r="C5" t="s">
        <v>317</v>
      </c>
      <c r="D5" s="4">
        <v>487000</v>
      </c>
      <c r="E5" s="4">
        <v>487000</v>
      </c>
      <c r="F5" s="4">
        <v>974000</v>
      </c>
      <c r="G5"/>
      <c r="H5" s="3">
        <f>+D5-E5</f>
        <v>0</v>
      </c>
    </row>
    <row r="6" spans="1:8">
      <c r="A6" t="s">
        <v>1553</v>
      </c>
      <c r="B6" t="s">
        <v>1554</v>
      </c>
      <c r="C6" t="s">
        <v>317</v>
      </c>
      <c r="D6" s="4">
        <v>505200</v>
      </c>
      <c r="E6" s="4">
        <v>505200</v>
      </c>
      <c r="F6" s="4">
        <v>1010400</v>
      </c>
      <c r="G6"/>
      <c r="H6" s="3">
        <f t="shared" ref="H6:H69" si="0">+D6-E6</f>
        <v>0</v>
      </c>
    </row>
    <row r="7" spans="1:8">
      <c r="A7" t="s">
        <v>1567</v>
      </c>
      <c r="B7" t="s">
        <v>1568</v>
      </c>
      <c r="C7" t="s">
        <v>393</v>
      </c>
      <c r="D7" s="4">
        <v>1302000</v>
      </c>
      <c r="E7" s="4">
        <v>1302000</v>
      </c>
      <c r="F7" s="4">
        <v>2604000</v>
      </c>
      <c r="G7"/>
      <c r="H7" s="3">
        <f t="shared" si="0"/>
        <v>0</v>
      </c>
    </row>
    <row r="8" spans="1:8">
      <c r="A8" t="s">
        <v>1580</v>
      </c>
      <c r="B8" t="s">
        <v>1581</v>
      </c>
      <c r="C8" t="s">
        <v>356</v>
      </c>
      <c r="D8" s="4">
        <v>1426300</v>
      </c>
      <c r="E8" s="4">
        <v>1426300</v>
      </c>
      <c r="F8" s="4">
        <v>2852600</v>
      </c>
      <c r="G8"/>
      <c r="H8" s="3">
        <f t="shared" si="0"/>
        <v>0</v>
      </c>
    </row>
    <row r="9" spans="1:8">
      <c r="A9" t="s">
        <v>1585</v>
      </c>
      <c r="B9" t="s">
        <v>1586</v>
      </c>
      <c r="C9" t="s">
        <v>356</v>
      </c>
      <c r="D9" s="4">
        <v>611700</v>
      </c>
      <c r="E9" s="4">
        <v>611700</v>
      </c>
      <c r="F9" s="4">
        <v>1223400</v>
      </c>
      <c r="G9"/>
      <c r="H9" s="3">
        <f t="shared" si="0"/>
        <v>0</v>
      </c>
    </row>
    <row r="10" spans="1:8">
      <c r="A10" t="s">
        <v>1594</v>
      </c>
      <c r="B10" t="s">
        <v>1595</v>
      </c>
      <c r="C10" t="s">
        <v>317</v>
      </c>
      <c r="D10" s="4">
        <v>1944300</v>
      </c>
      <c r="E10" s="4">
        <v>1944300</v>
      </c>
      <c r="F10" s="4">
        <v>3888600</v>
      </c>
      <c r="G10"/>
      <c r="H10" s="3">
        <f t="shared" si="0"/>
        <v>0</v>
      </c>
    </row>
    <row r="11" spans="1:8">
      <c r="A11" t="s">
        <v>1599</v>
      </c>
      <c r="B11" t="s">
        <v>1600</v>
      </c>
      <c r="C11" t="s">
        <v>356</v>
      </c>
      <c r="D11" s="4">
        <v>585700</v>
      </c>
      <c r="E11" s="4">
        <v>585700</v>
      </c>
      <c r="F11" s="4">
        <v>1171400</v>
      </c>
      <c r="G11"/>
      <c r="H11" s="3">
        <f t="shared" si="0"/>
        <v>0</v>
      </c>
    </row>
    <row r="12" spans="1:8">
      <c r="A12" t="s">
        <v>1604</v>
      </c>
      <c r="B12" t="s">
        <v>1605</v>
      </c>
      <c r="C12" t="s">
        <v>317</v>
      </c>
      <c r="D12" s="4">
        <v>908300</v>
      </c>
      <c r="E12" s="4">
        <v>908300</v>
      </c>
      <c r="F12" s="4">
        <v>1816600</v>
      </c>
      <c r="G12"/>
      <c r="H12" s="3">
        <f t="shared" si="0"/>
        <v>0</v>
      </c>
    </row>
    <row r="13" spans="1:8">
      <c r="A13" t="s">
        <v>1609</v>
      </c>
      <c r="B13" t="s">
        <v>1610</v>
      </c>
      <c r="C13" t="s">
        <v>317</v>
      </c>
      <c r="D13" s="4">
        <v>767700</v>
      </c>
      <c r="E13" s="4">
        <v>767700</v>
      </c>
      <c r="F13" s="4">
        <v>1535400</v>
      </c>
      <c r="G13"/>
      <c r="H13" s="3">
        <f t="shared" si="0"/>
        <v>0</v>
      </c>
    </row>
    <row r="14" spans="1:8">
      <c r="A14" t="s">
        <v>1614</v>
      </c>
      <c r="B14" t="s">
        <v>1615</v>
      </c>
      <c r="C14" t="s">
        <v>317</v>
      </c>
      <c r="D14" s="4">
        <v>833600</v>
      </c>
      <c r="E14" s="4">
        <v>833600</v>
      </c>
      <c r="F14" s="4">
        <v>1667200</v>
      </c>
      <c r="G14"/>
      <c r="H14" s="3">
        <f t="shared" si="0"/>
        <v>0</v>
      </c>
    </row>
    <row r="15" spans="1:8">
      <c r="A15" t="s">
        <v>1622</v>
      </c>
      <c r="B15" t="s">
        <v>1623</v>
      </c>
      <c r="C15" t="s">
        <v>317</v>
      </c>
      <c r="D15" s="4">
        <v>508800</v>
      </c>
      <c r="E15" s="4">
        <v>508800</v>
      </c>
      <c r="F15" s="4">
        <v>1017600</v>
      </c>
      <c r="G15"/>
      <c r="H15" s="3">
        <f t="shared" si="0"/>
        <v>0</v>
      </c>
    </row>
    <row r="16" spans="1:8">
      <c r="A16" t="s">
        <v>1632</v>
      </c>
      <c r="B16" t="s">
        <v>1633</v>
      </c>
      <c r="C16" t="s">
        <v>317</v>
      </c>
      <c r="D16" s="4">
        <v>1980700</v>
      </c>
      <c r="E16" s="4">
        <v>2178700</v>
      </c>
      <c r="F16" s="4">
        <v>4159400</v>
      </c>
      <c r="G16"/>
      <c r="H16" s="3">
        <f t="shared" si="0"/>
        <v>-198000</v>
      </c>
    </row>
    <row r="17" spans="1:8">
      <c r="A17" t="s">
        <v>1645</v>
      </c>
      <c r="B17" t="s">
        <v>1646</v>
      </c>
      <c r="C17" t="s">
        <v>317</v>
      </c>
      <c r="D17" s="4">
        <v>1980700</v>
      </c>
      <c r="E17" s="4">
        <v>1980700</v>
      </c>
      <c r="F17" s="4">
        <v>3961400</v>
      </c>
      <c r="G17"/>
      <c r="H17" s="3">
        <f t="shared" si="0"/>
        <v>0</v>
      </c>
    </row>
    <row r="18" spans="1:8">
      <c r="A18" t="s">
        <v>1663</v>
      </c>
      <c r="B18" t="s">
        <v>1664</v>
      </c>
      <c r="C18" t="s">
        <v>317</v>
      </c>
      <c r="D18" s="4">
        <v>644000</v>
      </c>
      <c r="E18" s="4">
        <v>644000</v>
      </c>
      <c r="F18" s="4">
        <v>1288000</v>
      </c>
      <c r="G18"/>
      <c r="H18" s="3">
        <f t="shared" si="0"/>
        <v>0</v>
      </c>
    </row>
    <row r="19" spans="1:8">
      <c r="A19" t="s">
        <v>1667</v>
      </c>
      <c r="B19" t="s">
        <v>1668</v>
      </c>
      <c r="C19" t="s">
        <v>137</v>
      </c>
      <c r="D19" s="4">
        <v>1656100</v>
      </c>
      <c r="E19" s="4">
        <v>1656100</v>
      </c>
      <c r="F19" s="4">
        <v>3312200</v>
      </c>
      <c r="G19"/>
      <c r="H19" s="3">
        <f t="shared" si="0"/>
        <v>0</v>
      </c>
    </row>
    <row r="20" spans="1:8">
      <c r="A20" t="s">
        <v>1671</v>
      </c>
      <c r="B20" t="s">
        <v>1672</v>
      </c>
      <c r="C20" t="s">
        <v>137</v>
      </c>
      <c r="D20" s="4">
        <v>1498200</v>
      </c>
      <c r="E20" s="4">
        <v>1498200</v>
      </c>
      <c r="F20" s="4">
        <v>2996400</v>
      </c>
      <c r="G20"/>
      <c r="H20" s="3">
        <f t="shared" si="0"/>
        <v>0</v>
      </c>
    </row>
    <row r="21" spans="1:8">
      <c r="A21" t="s">
        <v>1675</v>
      </c>
      <c r="B21" t="s">
        <v>1676</v>
      </c>
      <c r="C21" t="s">
        <v>356</v>
      </c>
      <c r="D21" s="4">
        <v>613300</v>
      </c>
      <c r="E21" s="4">
        <v>613300</v>
      </c>
      <c r="F21" s="4">
        <v>1226600</v>
      </c>
      <c r="G21"/>
      <c r="H21" s="3">
        <f t="shared" si="0"/>
        <v>0</v>
      </c>
    </row>
    <row r="22" spans="1:8">
      <c r="A22" t="s">
        <v>1681</v>
      </c>
      <c r="B22" t="s">
        <v>1682</v>
      </c>
      <c r="C22" t="s">
        <v>356</v>
      </c>
      <c r="D22" s="4">
        <v>280200</v>
      </c>
      <c r="E22" s="4">
        <v>280200</v>
      </c>
      <c r="F22" s="4">
        <v>560400</v>
      </c>
      <c r="G22"/>
      <c r="H22" s="3">
        <f t="shared" si="0"/>
        <v>0</v>
      </c>
    </row>
    <row r="23" spans="1:8">
      <c r="A23" t="s">
        <v>1714</v>
      </c>
      <c r="B23" t="s">
        <v>1715</v>
      </c>
      <c r="C23" t="s">
        <v>137</v>
      </c>
      <c r="D23" s="4">
        <v>1091200</v>
      </c>
      <c r="E23" s="4">
        <v>1091200</v>
      </c>
      <c r="F23" s="4">
        <v>2182400</v>
      </c>
      <c r="G23"/>
      <c r="H23" s="3">
        <f t="shared" si="0"/>
        <v>0</v>
      </c>
    </row>
    <row r="24" spans="1:8">
      <c r="A24" t="s">
        <v>1717</v>
      </c>
      <c r="B24" t="s">
        <v>1718</v>
      </c>
      <c r="C24" t="s">
        <v>317</v>
      </c>
      <c r="D24" s="4">
        <v>457600</v>
      </c>
      <c r="E24" s="4">
        <v>457600</v>
      </c>
      <c r="F24" s="4">
        <v>915200</v>
      </c>
      <c r="G24"/>
      <c r="H24" s="3">
        <f t="shared" si="0"/>
        <v>0</v>
      </c>
    </row>
    <row r="25" spans="1:8">
      <c r="A25" t="s">
        <v>1744</v>
      </c>
      <c r="B25" t="s">
        <v>1745</v>
      </c>
      <c r="C25" t="s">
        <v>185</v>
      </c>
      <c r="D25" s="4">
        <v>355200</v>
      </c>
      <c r="E25" s="4">
        <v>355200</v>
      </c>
      <c r="F25" s="4">
        <v>710400</v>
      </c>
      <c r="G25"/>
      <c r="H25" s="3">
        <f t="shared" si="0"/>
        <v>0</v>
      </c>
    </row>
    <row r="26" spans="1:8">
      <c r="A26" t="s">
        <v>1746</v>
      </c>
      <c r="B26" t="s">
        <v>1747</v>
      </c>
      <c r="C26" t="s">
        <v>317</v>
      </c>
      <c r="D26" s="4">
        <v>994700</v>
      </c>
      <c r="E26" s="4">
        <v>994700</v>
      </c>
      <c r="F26" s="4">
        <v>1989400</v>
      </c>
      <c r="G26"/>
      <c r="H26" s="3">
        <f t="shared" si="0"/>
        <v>0</v>
      </c>
    </row>
    <row r="27" spans="1:8">
      <c r="A27" t="s">
        <v>1751</v>
      </c>
      <c r="B27" t="s">
        <v>1752</v>
      </c>
      <c r="C27" t="s">
        <v>185</v>
      </c>
      <c r="D27" s="4">
        <v>579400</v>
      </c>
      <c r="E27" s="4">
        <v>582500</v>
      </c>
      <c r="F27" s="4">
        <v>1161900</v>
      </c>
      <c r="G27"/>
      <c r="H27" s="3">
        <f t="shared" si="0"/>
        <v>-3100</v>
      </c>
    </row>
    <row r="28" spans="1:8">
      <c r="A28" t="s">
        <v>1767</v>
      </c>
      <c r="B28" t="s">
        <v>1768</v>
      </c>
      <c r="C28" t="s">
        <v>356</v>
      </c>
      <c r="D28" s="4">
        <v>302300</v>
      </c>
      <c r="E28" s="4">
        <v>305000</v>
      </c>
      <c r="F28" s="4">
        <v>607300</v>
      </c>
      <c r="G28"/>
      <c r="H28" s="3">
        <f t="shared" si="0"/>
        <v>-2700</v>
      </c>
    </row>
    <row r="29" spans="1:8">
      <c r="A29" t="s">
        <v>1804</v>
      </c>
      <c r="B29" t="s">
        <v>1805</v>
      </c>
      <c r="C29" t="s">
        <v>185</v>
      </c>
      <c r="D29" s="4">
        <v>908300</v>
      </c>
      <c r="E29" s="4">
        <v>908300</v>
      </c>
      <c r="F29" s="4">
        <v>1816600</v>
      </c>
      <c r="G29"/>
      <c r="H29" s="3">
        <f t="shared" si="0"/>
        <v>0</v>
      </c>
    </row>
    <row r="30" spans="1:8">
      <c r="A30" t="s">
        <v>1865</v>
      </c>
      <c r="B30" t="s">
        <v>1866</v>
      </c>
      <c r="C30" t="s">
        <v>317</v>
      </c>
      <c r="D30" s="4">
        <v>476000</v>
      </c>
      <c r="E30" s="4">
        <v>476000</v>
      </c>
      <c r="F30" s="4">
        <v>952000</v>
      </c>
      <c r="G30"/>
      <c r="H30" s="3">
        <f t="shared" si="0"/>
        <v>0</v>
      </c>
    </row>
    <row r="31" spans="1:8">
      <c r="A31" t="s">
        <v>1884</v>
      </c>
      <c r="B31" t="s">
        <v>1885</v>
      </c>
      <c r="C31" t="s">
        <v>317</v>
      </c>
      <c r="D31" s="4">
        <v>767000</v>
      </c>
      <c r="E31" s="4">
        <v>767000</v>
      </c>
      <c r="F31" s="4">
        <v>1534000</v>
      </c>
      <c r="G31"/>
      <c r="H31" s="3">
        <f t="shared" si="0"/>
        <v>0</v>
      </c>
    </row>
    <row r="32" spans="1:8">
      <c r="A32" t="s">
        <v>1939</v>
      </c>
      <c r="B32" t="s">
        <v>1940</v>
      </c>
      <c r="C32" t="s">
        <v>317</v>
      </c>
      <c r="D32" s="4">
        <v>1449300</v>
      </c>
      <c r="E32" s="4">
        <v>1449300</v>
      </c>
      <c r="F32" s="4">
        <v>2898600</v>
      </c>
      <c r="G32"/>
      <c r="H32" s="3">
        <f t="shared" si="0"/>
        <v>0</v>
      </c>
    </row>
    <row r="33" spans="1:8">
      <c r="A33" t="s">
        <v>1954</v>
      </c>
      <c r="B33" t="s">
        <v>1955</v>
      </c>
      <c r="C33" t="s">
        <v>317</v>
      </c>
      <c r="D33" s="4">
        <v>1021700</v>
      </c>
      <c r="E33" s="4">
        <v>1021700</v>
      </c>
      <c r="F33" s="4">
        <v>2043400</v>
      </c>
      <c r="G33"/>
      <c r="H33" s="3">
        <f t="shared" si="0"/>
        <v>0</v>
      </c>
    </row>
    <row r="34" spans="1:8">
      <c r="A34" t="s">
        <v>1958</v>
      </c>
      <c r="B34" t="s">
        <v>1959</v>
      </c>
      <c r="C34" t="s">
        <v>185</v>
      </c>
      <c r="D34" s="4">
        <v>664400</v>
      </c>
      <c r="E34" s="4">
        <v>664400</v>
      </c>
      <c r="F34" s="4">
        <v>1328800</v>
      </c>
      <c r="G34"/>
      <c r="H34" s="3">
        <f t="shared" si="0"/>
        <v>0</v>
      </c>
    </row>
    <row r="35" spans="1:8">
      <c r="A35" t="s">
        <v>1966</v>
      </c>
      <c r="B35" t="s">
        <v>1967</v>
      </c>
      <c r="C35" t="s">
        <v>185</v>
      </c>
      <c r="D35" s="4">
        <v>537700</v>
      </c>
      <c r="E35" s="4">
        <v>537700</v>
      </c>
      <c r="F35" s="4">
        <v>1075400</v>
      </c>
      <c r="G35"/>
      <c r="H35" s="3">
        <f t="shared" si="0"/>
        <v>0</v>
      </c>
    </row>
    <row r="36" spans="1:8">
      <c r="A36" t="s">
        <v>1985</v>
      </c>
      <c r="B36" t="s">
        <v>1986</v>
      </c>
      <c r="C36" t="s">
        <v>317</v>
      </c>
      <c r="D36" s="4">
        <v>919700</v>
      </c>
      <c r="E36" s="4">
        <v>919700</v>
      </c>
      <c r="F36" s="4">
        <v>1839400</v>
      </c>
      <c r="G36"/>
      <c r="H36" s="3">
        <f t="shared" si="0"/>
        <v>0</v>
      </c>
    </row>
    <row r="37" spans="1:8">
      <c r="A37" t="s">
        <v>1995</v>
      </c>
      <c r="B37" t="s">
        <v>1996</v>
      </c>
      <c r="C37" t="s">
        <v>317</v>
      </c>
      <c r="D37" s="4">
        <v>664400</v>
      </c>
      <c r="E37" s="4">
        <v>664400</v>
      </c>
      <c r="F37" s="4">
        <v>1328800</v>
      </c>
      <c r="G37"/>
      <c r="H37" s="3">
        <f t="shared" si="0"/>
        <v>0</v>
      </c>
    </row>
    <row r="38" spans="1:8">
      <c r="A38" t="s">
        <v>2027</v>
      </c>
      <c r="B38" t="s">
        <v>2028</v>
      </c>
      <c r="C38" t="s">
        <v>185</v>
      </c>
      <c r="D38" s="4">
        <v>1021700</v>
      </c>
      <c r="E38" s="4">
        <v>1015400</v>
      </c>
      <c r="F38" s="4">
        <v>2037100</v>
      </c>
      <c r="G38"/>
      <c r="H38" s="3">
        <f t="shared" si="0"/>
        <v>6300</v>
      </c>
    </row>
    <row r="39" spans="1:8">
      <c r="A39" t="s">
        <v>2075</v>
      </c>
      <c r="B39" t="s">
        <v>2076</v>
      </c>
      <c r="C39" t="s">
        <v>185</v>
      </c>
      <c r="D39" s="4">
        <v>1021700</v>
      </c>
      <c r="E39" s="4">
        <v>1021700</v>
      </c>
      <c r="F39" s="4">
        <v>2043400</v>
      </c>
      <c r="G39"/>
      <c r="H39" s="3">
        <f t="shared" si="0"/>
        <v>0</v>
      </c>
    </row>
    <row r="40" spans="1:8">
      <c r="A40" t="s">
        <v>2084</v>
      </c>
      <c r="B40" t="s">
        <v>2085</v>
      </c>
      <c r="C40" t="s">
        <v>317</v>
      </c>
      <c r="D40" s="4">
        <v>1021600</v>
      </c>
      <c r="E40" s="4">
        <v>1021600</v>
      </c>
      <c r="F40" s="4">
        <v>2043200</v>
      </c>
      <c r="G40"/>
      <c r="H40" s="3">
        <f t="shared" si="0"/>
        <v>0</v>
      </c>
    </row>
    <row r="41" spans="1:8">
      <c r="A41" t="s">
        <v>2106</v>
      </c>
      <c r="B41" t="s">
        <v>2107</v>
      </c>
      <c r="C41" t="s">
        <v>317</v>
      </c>
      <c r="D41" s="4">
        <v>1457100</v>
      </c>
      <c r="E41" s="4">
        <v>1467700</v>
      </c>
      <c r="F41" s="4">
        <v>2924800</v>
      </c>
      <c r="G41"/>
      <c r="H41" s="3">
        <f t="shared" si="0"/>
        <v>-10600</v>
      </c>
    </row>
    <row r="42" spans="1:8">
      <c r="A42" t="s">
        <v>2160</v>
      </c>
      <c r="B42" t="s">
        <v>2161</v>
      </c>
      <c r="C42" t="s">
        <v>317</v>
      </c>
      <c r="D42" s="4">
        <v>392500</v>
      </c>
      <c r="E42" s="4">
        <v>392500</v>
      </c>
      <c r="F42" s="4">
        <v>785000</v>
      </c>
      <c r="G42"/>
      <c r="H42" s="3">
        <f t="shared" si="0"/>
        <v>0</v>
      </c>
    </row>
    <row r="43" spans="1:8">
      <c r="A43" t="s">
        <v>2206</v>
      </c>
      <c r="B43" t="s">
        <v>2207</v>
      </c>
      <c r="C43" t="s">
        <v>137</v>
      </c>
      <c r="D43" s="4">
        <v>343500</v>
      </c>
      <c r="E43" s="4"/>
      <c r="F43" s="4">
        <v>343500</v>
      </c>
      <c r="G43"/>
      <c r="H43" s="3">
        <f t="shared" si="0"/>
        <v>343500</v>
      </c>
    </row>
    <row r="44" spans="1:8">
      <c r="A44" t="s">
        <v>2206</v>
      </c>
      <c r="B44" t="s">
        <v>3060</v>
      </c>
      <c r="C44" t="s">
        <v>137</v>
      </c>
      <c r="D44" s="4"/>
      <c r="E44" s="4">
        <v>343500</v>
      </c>
      <c r="F44" s="4">
        <v>343500</v>
      </c>
      <c r="G44"/>
      <c r="H44" s="3">
        <f t="shared" si="0"/>
        <v>-343500</v>
      </c>
    </row>
    <row r="45" spans="1:8">
      <c r="A45" t="s">
        <v>2227</v>
      </c>
      <c r="B45" t="s">
        <v>2228</v>
      </c>
      <c r="C45" t="s">
        <v>317</v>
      </c>
      <c r="D45" s="4">
        <v>334700</v>
      </c>
      <c r="E45" s="4">
        <v>334700</v>
      </c>
      <c r="F45" s="4">
        <v>669400</v>
      </c>
      <c r="G45"/>
      <c r="H45" s="3">
        <f t="shared" si="0"/>
        <v>0</v>
      </c>
    </row>
    <row r="46" spans="1:8">
      <c r="A46" t="s">
        <v>2276</v>
      </c>
      <c r="B46" t="s">
        <v>2277</v>
      </c>
      <c r="C46" t="s">
        <v>185</v>
      </c>
      <c r="D46" s="4">
        <v>1904400</v>
      </c>
      <c r="E46" s="4">
        <v>1904400</v>
      </c>
      <c r="F46" s="4">
        <v>3808800</v>
      </c>
      <c r="G46"/>
      <c r="H46" s="3">
        <f t="shared" si="0"/>
        <v>0</v>
      </c>
    </row>
    <row r="47" spans="1:8">
      <c r="A47" t="s">
        <v>2295</v>
      </c>
      <c r="B47" t="s">
        <v>2296</v>
      </c>
      <c r="C47" t="s">
        <v>356</v>
      </c>
      <c r="D47" s="4">
        <v>833600</v>
      </c>
      <c r="E47" s="4">
        <v>833600</v>
      </c>
      <c r="F47" s="4">
        <v>1667200</v>
      </c>
      <c r="G47"/>
      <c r="H47" s="3">
        <f t="shared" si="0"/>
        <v>0</v>
      </c>
    </row>
    <row r="48" spans="1:8">
      <c r="A48" t="s">
        <v>2336</v>
      </c>
      <c r="B48" t="s">
        <v>2337</v>
      </c>
      <c r="C48" t="s">
        <v>317</v>
      </c>
      <c r="D48" s="4">
        <v>1021600</v>
      </c>
      <c r="E48" s="4">
        <v>1021600</v>
      </c>
      <c r="F48" s="4">
        <v>2043200</v>
      </c>
      <c r="G48"/>
      <c r="H48" s="3">
        <f t="shared" si="0"/>
        <v>0</v>
      </c>
    </row>
    <row r="49" spans="1:8">
      <c r="A49" t="s">
        <v>2348</v>
      </c>
      <c r="B49" t="s">
        <v>2349</v>
      </c>
      <c r="C49" t="s">
        <v>185</v>
      </c>
      <c r="D49" s="4">
        <v>4519800</v>
      </c>
      <c r="E49" s="4">
        <v>4519800</v>
      </c>
      <c r="F49" s="4">
        <v>9039600</v>
      </c>
      <c r="G49"/>
      <c r="H49" s="3">
        <f t="shared" si="0"/>
        <v>0</v>
      </c>
    </row>
    <row r="50" spans="1:8">
      <c r="A50" t="s">
        <v>2352</v>
      </c>
      <c r="B50" t="s">
        <v>2353</v>
      </c>
      <c r="C50" t="s">
        <v>317</v>
      </c>
      <c r="D50" s="4">
        <v>1739500</v>
      </c>
      <c r="E50" s="4">
        <v>1739500</v>
      </c>
      <c r="F50" s="4">
        <v>3479000</v>
      </c>
      <c r="G50"/>
      <c r="H50" s="3">
        <f t="shared" si="0"/>
        <v>0</v>
      </c>
    </row>
    <row r="51" spans="1:8">
      <c r="A51" t="s">
        <v>2393</v>
      </c>
      <c r="B51" t="s">
        <v>2394</v>
      </c>
      <c r="C51" t="s">
        <v>185</v>
      </c>
      <c r="D51" s="4">
        <v>748700</v>
      </c>
      <c r="E51" s="4">
        <v>748700</v>
      </c>
      <c r="F51" s="4">
        <v>1497400</v>
      </c>
      <c r="G51"/>
      <c r="H51" s="3">
        <f t="shared" si="0"/>
        <v>0</v>
      </c>
    </row>
    <row r="52" spans="1:8">
      <c r="A52" t="s">
        <v>2477</v>
      </c>
      <c r="B52" t="s">
        <v>2478</v>
      </c>
      <c r="C52" t="s">
        <v>317</v>
      </c>
      <c r="D52" s="4">
        <v>444700</v>
      </c>
      <c r="E52" s="4">
        <v>444700</v>
      </c>
      <c r="F52" s="4">
        <v>889400</v>
      </c>
      <c r="G52"/>
      <c r="H52" s="3">
        <f t="shared" si="0"/>
        <v>0</v>
      </c>
    </row>
    <row r="53" spans="1:8">
      <c r="A53" t="s">
        <v>2480</v>
      </c>
      <c r="B53" t="s">
        <v>2481</v>
      </c>
      <c r="C53" t="s">
        <v>185</v>
      </c>
      <c r="D53" s="4">
        <v>1385900</v>
      </c>
      <c r="E53" s="4">
        <v>1385900</v>
      </c>
      <c r="F53" s="4">
        <v>2771800</v>
      </c>
      <c r="G53"/>
      <c r="H53" s="3">
        <f t="shared" si="0"/>
        <v>0</v>
      </c>
    </row>
    <row r="54" spans="1:8">
      <c r="A54" t="s">
        <v>2487</v>
      </c>
      <c r="B54" t="s">
        <v>2488</v>
      </c>
      <c r="C54" t="s">
        <v>185</v>
      </c>
      <c r="D54" s="4">
        <v>1814400</v>
      </c>
      <c r="E54" s="4">
        <v>1814400</v>
      </c>
      <c r="F54" s="4">
        <v>3628800</v>
      </c>
      <c r="G54"/>
      <c r="H54" s="3">
        <f t="shared" si="0"/>
        <v>0</v>
      </c>
    </row>
    <row r="55" spans="1:8">
      <c r="A55" t="s">
        <v>2508</v>
      </c>
      <c r="B55" t="s">
        <v>2509</v>
      </c>
      <c r="C55" t="s">
        <v>185</v>
      </c>
      <c r="D55" s="4">
        <v>1309100</v>
      </c>
      <c r="E55" s="4">
        <v>1290500</v>
      </c>
      <c r="F55" s="4">
        <v>2599600</v>
      </c>
      <c r="G55"/>
      <c r="H55" s="3">
        <f t="shared" si="0"/>
        <v>18600</v>
      </c>
    </row>
    <row r="56" spans="1:8">
      <c r="A56" t="s">
        <v>2513</v>
      </c>
      <c r="B56" t="s">
        <v>2514</v>
      </c>
      <c r="C56" t="s">
        <v>185</v>
      </c>
      <c r="D56" s="4">
        <v>471400</v>
      </c>
      <c r="E56" s="4">
        <v>471400</v>
      </c>
      <c r="F56" s="4">
        <v>942800</v>
      </c>
      <c r="G56"/>
      <c r="H56" s="3">
        <f t="shared" si="0"/>
        <v>0</v>
      </c>
    </row>
    <row r="57" spans="1:8">
      <c r="A57" t="s">
        <v>2515</v>
      </c>
      <c r="B57" t="s">
        <v>2516</v>
      </c>
      <c r="C57" t="s">
        <v>317</v>
      </c>
      <c r="D57" s="4">
        <v>510800</v>
      </c>
      <c r="E57" s="4">
        <v>510800</v>
      </c>
      <c r="F57" s="4">
        <v>1021600</v>
      </c>
      <c r="G57"/>
      <c r="H57" s="3">
        <f t="shared" si="0"/>
        <v>0</v>
      </c>
    </row>
    <row r="58" spans="1:8">
      <c r="A58" t="s">
        <v>2527</v>
      </c>
      <c r="B58" t="s">
        <v>2528</v>
      </c>
      <c r="C58" t="s">
        <v>185</v>
      </c>
      <c r="D58" s="4">
        <v>232600</v>
      </c>
      <c r="E58" s="4">
        <v>232600</v>
      </c>
      <c r="F58" s="4">
        <v>465200</v>
      </c>
      <c r="G58"/>
      <c r="H58" s="3">
        <f t="shared" si="0"/>
        <v>0</v>
      </c>
    </row>
    <row r="59" spans="1:8">
      <c r="A59" t="s">
        <v>2536</v>
      </c>
      <c r="B59" t="s">
        <v>2537</v>
      </c>
      <c r="C59" t="s">
        <v>185</v>
      </c>
      <c r="D59" s="4">
        <v>908300</v>
      </c>
      <c r="E59" s="4">
        <v>908300</v>
      </c>
      <c r="F59" s="4">
        <v>1816600</v>
      </c>
      <c r="G59"/>
      <c r="H59" s="3">
        <f t="shared" si="0"/>
        <v>0</v>
      </c>
    </row>
    <row r="60" spans="1:8">
      <c r="A60" t="s">
        <v>2550</v>
      </c>
      <c r="B60" t="s">
        <v>2551</v>
      </c>
      <c r="C60" t="s">
        <v>317</v>
      </c>
      <c r="D60" s="4">
        <v>280200</v>
      </c>
      <c r="E60" s="4">
        <v>280200</v>
      </c>
      <c r="F60" s="4">
        <v>560400</v>
      </c>
      <c r="G60"/>
      <c r="H60" s="3">
        <f t="shared" si="0"/>
        <v>0</v>
      </c>
    </row>
    <row r="61" spans="1:8">
      <c r="A61" t="s">
        <v>2555</v>
      </c>
      <c r="B61" t="s">
        <v>2556</v>
      </c>
      <c r="C61" t="s">
        <v>185</v>
      </c>
      <c r="D61" s="4">
        <v>908300</v>
      </c>
      <c r="E61" s="4">
        <v>908300</v>
      </c>
      <c r="F61" s="4">
        <v>1816600</v>
      </c>
      <c r="G61"/>
      <c r="H61" s="3">
        <f t="shared" si="0"/>
        <v>0</v>
      </c>
    </row>
    <row r="62" spans="1:8">
      <c r="A62" t="s">
        <v>2562</v>
      </c>
      <c r="B62" t="s">
        <v>2563</v>
      </c>
      <c r="C62" t="s">
        <v>185</v>
      </c>
      <c r="D62" s="4">
        <v>2870200</v>
      </c>
      <c r="E62" s="4">
        <v>2870200</v>
      </c>
      <c r="F62" s="4">
        <v>5740400</v>
      </c>
      <c r="G62"/>
      <c r="H62" s="3">
        <f t="shared" si="0"/>
        <v>0</v>
      </c>
    </row>
    <row r="63" spans="1:8">
      <c r="A63" t="s">
        <v>2566</v>
      </c>
      <c r="B63" t="s">
        <v>2567</v>
      </c>
      <c r="C63" t="s">
        <v>137</v>
      </c>
      <c r="D63" s="4">
        <v>1498200</v>
      </c>
      <c r="E63" s="4">
        <v>1498200</v>
      </c>
      <c r="F63" s="4">
        <v>2996400</v>
      </c>
      <c r="G63"/>
      <c r="H63" s="3">
        <f t="shared" si="0"/>
        <v>0</v>
      </c>
    </row>
    <row r="64" spans="1:8">
      <c r="A64" t="s">
        <v>2570</v>
      </c>
      <c r="B64" t="s">
        <v>2571</v>
      </c>
      <c r="C64" t="s">
        <v>185</v>
      </c>
      <c r="D64" s="4">
        <v>327900</v>
      </c>
      <c r="E64" s="4">
        <v>327900</v>
      </c>
      <c r="F64" s="4">
        <v>655800</v>
      </c>
      <c r="G64"/>
      <c r="H64" s="3">
        <f t="shared" si="0"/>
        <v>0</v>
      </c>
    </row>
    <row r="65" spans="1:8">
      <c r="A65" t="s">
        <v>2574</v>
      </c>
      <c r="B65" t="s">
        <v>2575</v>
      </c>
      <c r="C65" t="s">
        <v>317</v>
      </c>
      <c r="D65" s="4">
        <v>353500</v>
      </c>
      <c r="E65" s="4">
        <v>353500</v>
      </c>
      <c r="F65" s="4">
        <v>707000</v>
      </c>
      <c r="G65"/>
      <c r="H65" s="3">
        <f t="shared" si="0"/>
        <v>0</v>
      </c>
    </row>
    <row r="66" spans="1:8">
      <c r="A66" t="s">
        <v>2578</v>
      </c>
      <c r="B66" t="s">
        <v>2579</v>
      </c>
      <c r="C66" t="s">
        <v>185</v>
      </c>
      <c r="D66" s="4">
        <v>1021600</v>
      </c>
      <c r="E66" s="4">
        <v>1021600</v>
      </c>
      <c r="F66" s="4">
        <v>2043200</v>
      </c>
      <c r="G66"/>
      <c r="H66" s="3">
        <f t="shared" si="0"/>
        <v>0</v>
      </c>
    </row>
    <row r="67" spans="1:8">
      <c r="A67" t="s">
        <v>2582</v>
      </c>
      <c r="B67" t="s">
        <v>2583</v>
      </c>
      <c r="C67" t="s">
        <v>356</v>
      </c>
      <c r="D67" s="4">
        <v>1457000</v>
      </c>
      <c r="E67" s="4">
        <v>1457000</v>
      </c>
      <c r="F67" s="4">
        <v>2914000</v>
      </c>
      <c r="G67"/>
      <c r="H67" s="3">
        <f t="shared" si="0"/>
        <v>0</v>
      </c>
    </row>
    <row r="68" spans="1:8">
      <c r="A68" t="s">
        <v>2586</v>
      </c>
      <c r="B68" t="s">
        <v>2587</v>
      </c>
      <c r="C68" t="s">
        <v>185</v>
      </c>
      <c r="D68" s="4">
        <v>1385700</v>
      </c>
      <c r="E68" s="4">
        <v>1385700</v>
      </c>
      <c r="F68" s="4">
        <v>2771400</v>
      </c>
      <c r="G68"/>
      <c r="H68" s="3">
        <f t="shared" si="0"/>
        <v>0</v>
      </c>
    </row>
    <row r="69" spans="1:8">
      <c r="A69" t="s">
        <v>2602</v>
      </c>
      <c r="B69" t="s">
        <v>2603</v>
      </c>
      <c r="C69" t="s">
        <v>317</v>
      </c>
      <c r="D69" s="4">
        <v>411300</v>
      </c>
      <c r="E69" s="4">
        <v>411300</v>
      </c>
      <c r="F69" s="4">
        <v>822600</v>
      </c>
      <c r="G69"/>
      <c r="H69" s="3">
        <f t="shared" si="0"/>
        <v>0</v>
      </c>
    </row>
    <row r="70" spans="1:8">
      <c r="A70" t="s">
        <v>2605</v>
      </c>
      <c r="B70" t="s">
        <v>2606</v>
      </c>
      <c r="C70" t="s">
        <v>356</v>
      </c>
      <c r="D70" s="4">
        <v>833600</v>
      </c>
      <c r="E70" s="4">
        <v>833600</v>
      </c>
      <c r="F70" s="4">
        <v>1667200</v>
      </c>
      <c r="G70"/>
      <c r="H70" s="3">
        <f t="shared" ref="H70:H133" si="1">+D70-E70</f>
        <v>0</v>
      </c>
    </row>
    <row r="71" spans="1:8">
      <c r="A71" t="s">
        <v>2609</v>
      </c>
      <c r="B71" t="s">
        <v>2610</v>
      </c>
      <c r="C71" t="s">
        <v>3076</v>
      </c>
      <c r="D71" s="4">
        <v>0</v>
      </c>
      <c r="E71" s="4"/>
      <c r="F71" s="4">
        <v>0</v>
      </c>
      <c r="G71"/>
      <c r="H71" s="3">
        <f t="shared" si="1"/>
        <v>0</v>
      </c>
    </row>
    <row r="72" spans="1:8">
      <c r="A72" t="s">
        <v>2609</v>
      </c>
      <c r="B72" t="s">
        <v>2610</v>
      </c>
      <c r="C72" t="s">
        <v>25</v>
      </c>
      <c r="D72" s="4"/>
      <c r="E72" s="4">
        <v>0</v>
      </c>
      <c r="F72" s="4">
        <v>0</v>
      </c>
      <c r="G72"/>
      <c r="H72" s="3">
        <f t="shared" si="1"/>
        <v>0</v>
      </c>
    </row>
    <row r="73" spans="1:8">
      <c r="A73" t="s">
        <v>2619</v>
      </c>
      <c r="B73" t="s">
        <v>2620</v>
      </c>
      <c r="C73" t="s">
        <v>185</v>
      </c>
      <c r="D73" s="4">
        <v>338000</v>
      </c>
      <c r="E73" s="4">
        <v>338000</v>
      </c>
      <c r="F73" s="4">
        <v>676000</v>
      </c>
      <c r="G73"/>
      <c r="H73" s="3">
        <f t="shared" si="1"/>
        <v>0</v>
      </c>
    </row>
    <row r="74" spans="1:8">
      <c r="A74" t="s">
        <v>2624</v>
      </c>
      <c r="B74" t="s">
        <v>2625</v>
      </c>
      <c r="C74" t="s">
        <v>356</v>
      </c>
      <c r="D74" s="4">
        <v>291200</v>
      </c>
      <c r="E74" s="4">
        <v>291200</v>
      </c>
      <c r="F74" s="4">
        <v>582400</v>
      </c>
      <c r="G74"/>
      <c r="H74" s="3">
        <f t="shared" si="1"/>
        <v>0</v>
      </c>
    </row>
    <row r="75" spans="1:8">
      <c r="A75" t="s">
        <v>2672</v>
      </c>
      <c r="B75" t="s">
        <v>2673</v>
      </c>
      <c r="C75" t="s">
        <v>185</v>
      </c>
      <c r="D75" s="4">
        <v>589800</v>
      </c>
      <c r="E75" s="4">
        <v>580200</v>
      </c>
      <c r="F75" s="4">
        <v>1170000</v>
      </c>
      <c r="G75"/>
      <c r="H75" s="3">
        <f t="shared" si="1"/>
        <v>9600</v>
      </c>
    </row>
    <row r="76" spans="1:8">
      <c r="A76" t="s">
        <v>2679</v>
      </c>
      <c r="B76" t="s">
        <v>2680</v>
      </c>
      <c r="C76" t="s">
        <v>185</v>
      </c>
      <c r="D76" s="4">
        <v>1904400</v>
      </c>
      <c r="E76" s="4">
        <v>1904400</v>
      </c>
      <c r="F76" s="4">
        <v>3808800</v>
      </c>
      <c r="G76"/>
      <c r="H76" s="3">
        <f t="shared" si="1"/>
        <v>0</v>
      </c>
    </row>
    <row r="77" spans="1:8">
      <c r="A77" t="s">
        <v>2692</v>
      </c>
      <c r="B77" t="s">
        <v>2693</v>
      </c>
      <c r="C77" t="s">
        <v>185</v>
      </c>
      <c r="D77" s="4">
        <v>716400</v>
      </c>
      <c r="E77" s="4">
        <v>716400</v>
      </c>
      <c r="F77" s="4">
        <v>1432800</v>
      </c>
      <c r="G77"/>
      <c r="H77" s="3">
        <f t="shared" si="1"/>
        <v>0</v>
      </c>
    </row>
    <row r="78" spans="1:8">
      <c r="A78" t="s">
        <v>2730</v>
      </c>
      <c r="B78" t="s">
        <v>2731</v>
      </c>
      <c r="C78" t="s">
        <v>185</v>
      </c>
      <c r="D78" s="4">
        <v>2940800</v>
      </c>
      <c r="E78" s="4">
        <v>2940800</v>
      </c>
      <c r="F78" s="4">
        <v>5881600</v>
      </c>
      <c r="G78"/>
      <c r="H78" s="3">
        <f t="shared" si="1"/>
        <v>0</v>
      </c>
    </row>
    <row r="79" spans="1:8">
      <c r="A79" t="s">
        <v>2736</v>
      </c>
      <c r="B79" t="s">
        <v>2737</v>
      </c>
      <c r="C79" t="s">
        <v>185</v>
      </c>
      <c r="D79" s="4">
        <v>1980800</v>
      </c>
      <c r="E79" s="4">
        <v>1980800</v>
      </c>
      <c r="F79" s="4">
        <v>3961600</v>
      </c>
      <c r="G79"/>
      <c r="H79" s="3">
        <f t="shared" si="1"/>
        <v>0</v>
      </c>
    </row>
    <row r="80" spans="1:8">
      <c r="A80" t="s">
        <v>2752</v>
      </c>
      <c r="B80" t="s">
        <v>2753</v>
      </c>
      <c r="C80" t="s">
        <v>356</v>
      </c>
      <c r="D80" s="4">
        <v>1565000</v>
      </c>
      <c r="E80" s="4">
        <v>1565000</v>
      </c>
      <c r="F80" s="4">
        <v>3130000</v>
      </c>
      <c r="G80"/>
      <c r="H80" s="3">
        <f t="shared" si="1"/>
        <v>0</v>
      </c>
    </row>
    <row r="81" spans="1:8">
      <c r="A81" t="s">
        <v>2772</v>
      </c>
      <c r="B81" t="s">
        <v>2773</v>
      </c>
      <c r="C81" t="s">
        <v>317</v>
      </c>
      <c r="D81" s="4">
        <v>2447200</v>
      </c>
      <c r="E81" s="4">
        <v>2447200</v>
      </c>
      <c r="F81" s="4">
        <v>4894400</v>
      </c>
      <c r="G81"/>
      <c r="H81" s="3">
        <f t="shared" si="1"/>
        <v>0</v>
      </c>
    </row>
    <row r="82" spans="1:8">
      <c r="A82" t="s">
        <v>2795</v>
      </c>
      <c r="B82" t="s">
        <v>2796</v>
      </c>
      <c r="C82" t="s">
        <v>137</v>
      </c>
      <c r="D82" s="4">
        <v>517800</v>
      </c>
      <c r="E82" s="4">
        <v>517800</v>
      </c>
      <c r="F82" s="4">
        <v>1035600</v>
      </c>
      <c r="G82"/>
      <c r="H82" s="3">
        <f t="shared" si="1"/>
        <v>0</v>
      </c>
    </row>
    <row r="83" spans="1:8">
      <c r="A83" t="s">
        <v>2801</v>
      </c>
      <c r="B83" t="s">
        <v>2802</v>
      </c>
      <c r="C83" t="s">
        <v>185</v>
      </c>
      <c r="D83" s="4">
        <v>1021600</v>
      </c>
      <c r="E83" s="4">
        <v>1021600</v>
      </c>
      <c r="F83" s="4">
        <v>2043200</v>
      </c>
      <c r="G83"/>
      <c r="H83" s="3">
        <f t="shared" si="1"/>
        <v>0</v>
      </c>
    </row>
    <row r="84" spans="1:8">
      <c r="A84" t="s">
        <v>2803</v>
      </c>
      <c r="B84" t="s">
        <v>2804</v>
      </c>
      <c r="C84" t="s">
        <v>185</v>
      </c>
      <c r="D84" s="4">
        <v>1422700</v>
      </c>
      <c r="E84" s="4">
        <v>1422700</v>
      </c>
      <c r="F84" s="4">
        <v>2845400</v>
      </c>
      <c r="G84"/>
      <c r="H84" s="3">
        <f t="shared" si="1"/>
        <v>0</v>
      </c>
    </row>
    <row r="85" spans="1:8">
      <c r="A85" t="s">
        <v>2805</v>
      </c>
      <c r="B85" t="s">
        <v>2806</v>
      </c>
      <c r="C85" t="s">
        <v>185</v>
      </c>
      <c r="D85" s="4">
        <v>2870200</v>
      </c>
      <c r="E85" s="4">
        <v>2870200</v>
      </c>
      <c r="F85" s="4">
        <v>5740400</v>
      </c>
      <c r="G85"/>
      <c r="H85" s="3">
        <f t="shared" si="1"/>
        <v>0</v>
      </c>
    </row>
    <row r="86" spans="1:8">
      <c r="A86" t="s">
        <v>2808</v>
      </c>
      <c r="B86" t="s">
        <v>2809</v>
      </c>
      <c r="C86" t="s">
        <v>185</v>
      </c>
      <c r="D86" s="4">
        <v>2940800</v>
      </c>
      <c r="E86" s="4">
        <v>2940800</v>
      </c>
      <c r="F86" s="4">
        <v>5881600</v>
      </c>
      <c r="G86"/>
      <c r="H86" s="3">
        <f t="shared" si="1"/>
        <v>0</v>
      </c>
    </row>
    <row r="87" spans="1:8">
      <c r="A87" t="s">
        <v>2824</v>
      </c>
      <c r="B87" t="s">
        <v>2825</v>
      </c>
      <c r="C87" t="s">
        <v>317</v>
      </c>
      <c r="D87" s="4">
        <v>2736300</v>
      </c>
      <c r="E87" s="4">
        <v>2733500</v>
      </c>
      <c r="F87" s="4">
        <v>5469800</v>
      </c>
      <c r="G87"/>
      <c r="H87" s="3">
        <f t="shared" si="1"/>
        <v>2800</v>
      </c>
    </row>
    <row r="88" spans="1:8">
      <c r="A88" t="s">
        <v>2827</v>
      </c>
      <c r="B88" t="s">
        <v>2828</v>
      </c>
      <c r="C88" t="s">
        <v>356</v>
      </c>
      <c r="D88" s="4">
        <v>447100</v>
      </c>
      <c r="E88" s="4">
        <v>447100</v>
      </c>
      <c r="F88" s="4">
        <v>894200</v>
      </c>
      <c r="G88"/>
      <c r="H88" s="3">
        <f t="shared" si="1"/>
        <v>0</v>
      </c>
    </row>
    <row r="89" spans="1:8">
      <c r="A89" t="s">
        <v>2832</v>
      </c>
      <c r="B89" t="s">
        <v>2833</v>
      </c>
      <c r="C89" t="s">
        <v>185</v>
      </c>
      <c r="D89" s="4">
        <v>335900</v>
      </c>
      <c r="E89" s="4">
        <v>335900</v>
      </c>
      <c r="F89" s="4">
        <v>671800</v>
      </c>
      <c r="G89"/>
      <c r="H89" s="3">
        <f t="shared" si="1"/>
        <v>0</v>
      </c>
    </row>
    <row r="90" spans="1:8">
      <c r="A90" t="s">
        <v>2836</v>
      </c>
      <c r="B90" t="s">
        <v>2837</v>
      </c>
      <c r="C90" t="s">
        <v>393</v>
      </c>
      <c r="D90" s="4">
        <v>5003300</v>
      </c>
      <c r="E90" s="4">
        <v>5003300</v>
      </c>
      <c r="F90" s="4">
        <v>10006600</v>
      </c>
      <c r="G90"/>
      <c r="H90" s="3">
        <f t="shared" si="1"/>
        <v>0</v>
      </c>
    </row>
    <row r="91" spans="1:8">
      <c r="A91" t="s">
        <v>2875</v>
      </c>
      <c r="B91" t="s">
        <v>2876</v>
      </c>
      <c r="C91" t="s">
        <v>137</v>
      </c>
      <c r="D91" s="4">
        <v>2803100</v>
      </c>
      <c r="E91" s="4">
        <v>2803100</v>
      </c>
      <c r="F91" s="4">
        <v>5606200</v>
      </c>
      <c r="G91"/>
      <c r="H91" s="3">
        <f t="shared" si="1"/>
        <v>0</v>
      </c>
    </row>
    <row r="92" spans="1:8">
      <c r="A92" t="s">
        <v>2883</v>
      </c>
      <c r="B92" t="s">
        <v>2884</v>
      </c>
      <c r="C92" t="s">
        <v>185</v>
      </c>
      <c r="D92" s="4">
        <v>643900</v>
      </c>
      <c r="E92" s="4">
        <v>643900</v>
      </c>
      <c r="F92" s="4">
        <v>1287800</v>
      </c>
      <c r="G92"/>
      <c r="H92" s="3">
        <f t="shared" si="1"/>
        <v>0</v>
      </c>
    </row>
    <row r="93" spans="1:8">
      <c r="A93" t="s">
        <v>2885</v>
      </c>
      <c r="B93" t="s">
        <v>2886</v>
      </c>
      <c r="C93" t="s">
        <v>317</v>
      </c>
      <c r="D93" s="4">
        <v>833600</v>
      </c>
      <c r="E93" s="4">
        <v>833600</v>
      </c>
      <c r="F93" s="4">
        <v>1667200</v>
      </c>
      <c r="G93"/>
      <c r="H93" s="3">
        <f t="shared" si="1"/>
        <v>0</v>
      </c>
    </row>
    <row r="94" spans="1:8">
      <c r="A94" t="s">
        <v>2888</v>
      </c>
      <c r="B94" t="s">
        <v>2889</v>
      </c>
      <c r="C94" t="s">
        <v>317</v>
      </c>
      <c r="D94" s="4">
        <v>664900</v>
      </c>
      <c r="E94" s="4">
        <v>664900</v>
      </c>
      <c r="F94" s="4">
        <v>1329800</v>
      </c>
      <c r="G94"/>
      <c r="H94" s="3">
        <f t="shared" si="1"/>
        <v>0</v>
      </c>
    </row>
    <row r="95" spans="1:8">
      <c r="A95" t="s">
        <v>2945</v>
      </c>
      <c r="B95" t="s">
        <v>2946</v>
      </c>
      <c r="C95" t="s">
        <v>185</v>
      </c>
      <c r="D95" s="4">
        <v>289600</v>
      </c>
      <c r="E95" s="4">
        <v>289600</v>
      </c>
      <c r="F95" s="4">
        <v>579200</v>
      </c>
      <c r="G95"/>
      <c r="H95" s="3">
        <f t="shared" si="1"/>
        <v>0</v>
      </c>
    </row>
    <row r="96" spans="1:8">
      <c r="A96" t="s">
        <v>2952</v>
      </c>
      <c r="B96" t="s">
        <v>2953</v>
      </c>
      <c r="C96" t="s">
        <v>185</v>
      </c>
      <c r="D96" s="4">
        <v>2870200</v>
      </c>
      <c r="E96" s="4">
        <v>2870200</v>
      </c>
      <c r="F96" s="4">
        <v>5740400</v>
      </c>
      <c r="G96"/>
      <c r="H96" s="3">
        <f t="shared" si="1"/>
        <v>0</v>
      </c>
    </row>
    <row r="97" spans="1:8">
      <c r="A97" t="s">
        <v>2954</v>
      </c>
      <c r="B97" t="s">
        <v>2955</v>
      </c>
      <c r="C97" t="s">
        <v>317</v>
      </c>
      <c r="D97" s="4">
        <v>583500</v>
      </c>
      <c r="E97" s="4">
        <v>583500</v>
      </c>
      <c r="F97" s="4">
        <v>1167000</v>
      </c>
      <c r="G97"/>
      <c r="H97" s="3">
        <f t="shared" si="1"/>
        <v>0</v>
      </c>
    </row>
    <row r="98" spans="1:8">
      <c r="A98" t="s">
        <v>2962</v>
      </c>
      <c r="B98" t="s">
        <v>2963</v>
      </c>
      <c r="C98" t="s">
        <v>317</v>
      </c>
      <c r="D98" s="4">
        <v>1432000</v>
      </c>
      <c r="E98" s="4">
        <v>1432000</v>
      </c>
      <c r="F98" s="4">
        <v>2864000</v>
      </c>
      <c r="G98"/>
      <c r="H98" s="3">
        <f t="shared" si="1"/>
        <v>0</v>
      </c>
    </row>
    <row r="99" spans="1:8">
      <c r="A99" t="s">
        <v>2977</v>
      </c>
      <c r="B99" t="s">
        <v>2978</v>
      </c>
      <c r="C99" t="s">
        <v>317</v>
      </c>
      <c r="D99" s="4">
        <v>784400</v>
      </c>
      <c r="E99" s="4">
        <v>784400</v>
      </c>
      <c r="F99" s="4">
        <v>1568800</v>
      </c>
      <c r="G99"/>
      <c r="H99" s="3">
        <f t="shared" si="1"/>
        <v>0</v>
      </c>
    </row>
    <row r="100" spans="1:8">
      <c r="A100" t="s">
        <v>2984</v>
      </c>
      <c r="B100" t="s">
        <v>2985</v>
      </c>
      <c r="C100" t="s">
        <v>185</v>
      </c>
      <c r="D100" s="4">
        <v>1302800</v>
      </c>
      <c r="E100" s="4">
        <v>1736900</v>
      </c>
      <c r="F100" s="4">
        <v>3039700</v>
      </c>
      <c r="G100"/>
      <c r="H100" s="3">
        <f t="shared" si="1"/>
        <v>-434100</v>
      </c>
    </row>
    <row r="101" spans="1:8">
      <c r="A101" t="s">
        <v>2991</v>
      </c>
      <c r="B101" t="s">
        <v>2992</v>
      </c>
      <c r="C101" t="s">
        <v>185</v>
      </c>
      <c r="D101" s="4">
        <v>1433300</v>
      </c>
      <c r="E101" s="4">
        <v>1421500</v>
      </c>
      <c r="F101" s="4">
        <v>2854800</v>
      </c>
      <c r="G101"/>
      <c r="H101" s="3">
        <f t="shared" si="1"/>
        <v>11800</v>
      </c>
    </row>
    <row r="102" spans="1:8">
      <c r="A102" t="s">
        <v>2997</v>
      </c>
      <c r="B102" t="s">
        <v>2998</v>
      </c>
      <c r="C102" t="s">
        <v>185</v>
      </c>
      <c r="D102" s="4">
        <v>1989900</v>
      </c>
      <c r="E102" s="4">
        <v>1989900</v>
      </c>
      <c r="F102" s="4">
        <v>3979800</v>
      </c>
      <c r="G102"/>
      <c r="H102" s="3">
        <f t="shared" si="1"/>
        <v>0</v>
      </c>
    </row>
    <row r="103" spans="1:8">
      <c r="A103" t="s">
        <v>3000</v>
      </c>
      <c r="B103" t="s">
        <v>3001</v>
      </c>
      <c r="C103" t="s">
        <v>185</v>
      </c>
      <c r="D103" s="4">
        <v>2870200</v>
      </c>
      <c r="E103" s="4">
        <v>2870200</v>
      </c>
      <c r="F103" s="4">
        <v>5740400</v>
      </c>
      <c r="G103"/>
      <c r="H103" s="3">
        <f t="shared" si="1"/>
        <v>0</v>
      </c>
    </row>
    <row r="104" spans="1:8">
      <c r="A104" t="s">
        <v>3010</v>
      </c>
      <c r="B104" t="s">
        <v>3011</v>
      </c>
      <c r="C104" t="s">
        <v>185</v>
      </c>
      <c r="D104" s="4">
        <v>1980700</v>
      </c>
      <c r="E104" s="4">
        <v>1980700</v>
      </c>
      <c r="F104" s="4">
        <v>3961400</v>
      </c>
      <c r="G104"/>
      <c r="H104" s="3">
        <f t="shared" si="1"/>
        <v>0</v>
      </c>
    </row>
    <row r="105" spans="1:8">
      <c r="A105" t="s">
        <v>3016</v>
      </c>
      <c r="B105" t="s">
        <v>3017</v>
      </c>
      <c r="C105" t="s">
        <v>185</v>
      </c>
      <c r="D105" s="4">
        <v>986800</v>
      </c>
      <c r="E105" s="4">
        <v>986800</v>
      </c>
      <c r="F105" s="4">
        <v>1973600</v>
      </c>
      <c r="G105"/>
      <c r="H105" s="3">
        <f t="shared" si="1"/>
        <v>0</v>
      </c>
    </row>
    <row r="106" spans="1:8">
      <c r="A106" t="s">
        <v>3026</v>
      </c>
      <c r="B106" t="s">
        <v>3027</v>
      </c>
      <c r="C106" t="s">
        <v>356</v>
      </c>
      <c r="D106" s="4">
        <v>2870200</v>
      </c>
      <c r="E106" s="4">
        <v>2870200</v>
      </c>
      <c r="F106" s="4">
        <v>5740400</v>
      </c>
      <c r="G106"/>
      <c r="H106" s="3">
        <f t="shared" si="1"/>
        <v>0</v>
      </c>
    </row>
    <row r="107" spans="1:8">
      <c r="A107" t="s">
        <v>3039</v>
      </c>
      <c r="B107" t="s">
        <v>3040</v>
      </c>
      <c r="C107" t="s">
        <v>185</v>
      </c>
      <c r="D107" s="4">
        <v>402500</v>
      </c>
      <c r="E107" s="4">
        <v>402500</v>
      </c>
      <c r="F107" s="4">
        <v>805000</v>
      </c>
      <c r="G107"/>
      <c r="H107" s="3">
        <f t="shared" si="1"/>
        <v>0</v>
      </c>
    </row>
    <row r="108" spans="1:8">
      <c r="A108" t="s">
        <v>1504</v>
      </c>
      <c r="B108" t="s">
        <v>1505</v>
      </c>
      <c r="C108" t="s">
        <v>317</v>
      </c>
      <c r="D108" s="4">
        <v>416500</v>
      </c>
      <c r="E108" s="4">
        <v>416500</v>
      </c>
      <c r="F108" s="4">
        <v>833000</v>
      </c>
      <c r="G108"/>
      <c r="H108" s="3">
        <f t="shared" si="1"/>
        <v>0</v>
      </c>
    </row>
    <row r="109" spans="1:8">
      <c r="A109" t="s">
        <v>1655</v>
      </c>
      <c r="B109" t="s">
        <v>1656</v>
      </c>
      <c r="C109" t="s">
        <v>393</v>
      </c>
      <c r="D109" s="4">
        <v>1204900</v>
      </c>
      <c r="E109" s="4">
        <v>1204900</v>
      </c>
      <c r="F109" s="4">
        <v>2409800</v>
      </c>
      <c r="G109"/>
      <c r="H109" s="3">
        <f t="shared" si="1"/>
        <v>0</v>
      </c>
    </row>
    <row r="110" spans="1:8">
      <c r="A110" t="s">
        <v>2113</v>
      </c>
      <c r="B110" t="s">
        <v>2114</v>
      </c>
      <c r="C110" t="s">
        <v>317</v>
      </c>
      <c r="D110" s="4">
        <v>337100</v>
      </c>
      <c r="E110" s="4">
        <v>337100</v>
      </c>
      <c r="F110" s="4">
        <v>674200</v>
      </c>
      <c r="G110"/>
      <c r="H110" s="3">
        <f t="shared" si="1"/>
        <v>0</v>
      </c>
    </row>
    <row r="111" spans="1:8">
      <c r="A111" t="s">
        <v>2145</v>
      </c>
      <c r="B111" t="s">
        <v>2146</v>
      </c>
      <c r="C111" t="s">
        <v>317</v>
      </c>
      <c r="D111" s="4">
        <v>63900</v>
      </c>
      <c r="E111" s="4">
        <v>63900</v>
      </c>
      <c r="F111" s="4">
        <v>127800</v>
      </c>
      <c r="G111"/>
      <c r="H111" s="3">
        <f t="shared" si="1"/>
        <v>0</v>
      </c>
    </row>
    <row r="112" spans="1:8">
      <c r="A112" t="s">
        <v>2149</v>
      </c>
      <c r="B112" t="s">
        <v>2150</v>
      </c>
      <c r="C112" t="s">
        <v>317</v>
      </c>
      <c r="D112" s="4">
        <v>370800</v>
      </c>
      <c r="E112" s="4">
        <v>370800</v>
      </c>
      <c r="F112" s="4">
        <v>741600</v>
      </c>
      <c r="G112"/>
      <c r="H112" s="3">
        <f t="shared" si="1"/>
        <v>0</v>
      </c>
    </row>
    <row r="113" spans="1:8">
      <c r="A113" t="s">
        <v>2156</v>
      </c>
      <c r="B113" t="s">
        <v>2157</v>
      </c>
      <c r="C113" t="s">
        <v>317</v>
      </c>
      <c r="D113" s="4">
        <v>318500</v>
      </c>
      <c r="E113" s="4">
        <v>318500</v>
      </c>
      <c r="F113" s="4">
        <v>637000</v>
      </c>
      <c r="G113"/>
      <c r="H113" s="3">
        <f t="shared" si="1"/>
        <v>0</v>
      </c>
    </row>
    <row r="114" spans="1:8">
      <c r="A114" t="s">
        <v>2265</v>
      </c>
      <c r="B114" t="s">
        <v>2266</v>
      </c>
      <c r="C114" t="s">
        <v>317</v>
      </c>
      <c r="D114" s="4">
        <v>448600</v>
      </c>
      <c r="E114" s="4">
        <v>448600</v>
      </c>
      <c r="F114" s="4">
        <v>897200</v>
      </c>
      <c r="G114"/>
      <c r="H114" s="3">
        <f t="shared" si="1"/>
        <v>0</v>
      </c>
    </row>
    <row r="115" spans="1:8">
      <c r="A115" t="s">
        <v>2390</v>
      </c>
      <c r="B115" t="s">
        <v>2391</v>
      </c>
      <c r="C115" t="s">
        <v>185</v>
      </c>
      <c r="D115" s="4">
        <v>354200</v>
      </c>
      <c r="E115" s="4">
        <v>354200</v>
      </c>
      <c r="F115" s="4">
        <v>708400</v>
      </c>
      <c r="G115"/>
      <c r="H115" s="3">
        <f t="shared" si="1"/>
        <v>0</v>
      </c>
    </row>
    <row r="116" spans="1:8">
      <c r="A116" t="s">
        <v>2431</v>
      </c>
      <c r="B116" t="s">
        <v>2432</v>
      </c>
      <c r="C116" t="s">
        <v>317</v>
      </c>
      <c r="D116" s="4">
        <v>352800</v>
      </c>
      <c r="E116" s="4">
        <v>352800</v>
      </c>
      <c r="F116" s="4">
        <v>705600</v>
      </c>
      <c r="G116"/>
      <c r="H116" s="3">
        <f t="shared" si="1"/>
        <v>0</v>
      </c>
    </row>
    <row r="117" spans="1:8">
      <c r="A117" t="s">
        <v>2484</v>
      </c>
      <c r="B117" t="s">
        <v>2485</v>
      </c>
      <c r="C117" t="s">
        <v>137</v>
      </c>
      <c r="D117" s="4">
        <v>532500</v>
      </c>
      <c r="E117" s="4">
        <v>532500</v>
      </c>
      <c r="F117" s="4">
        <v>1065000</v>
      </c>
      <c r="G117"/>
      <c r="H117" s="3">
        <f t="shared" si="1"/>
        <v>0</v>
      </c>
    </row>
    <row r="118" spans="1:8">
      <c r="A118" t="s">
        <v>2714</v>
      </c>
      <c r="B118" t="s">
        <v>2715</v>
      </c>
      <c r="C118" t="s">
        <v>137</v>
      </c>
      <c r="D118" s="4">
        <v>392500</v>
      </c>
      <c r="E118" s="4">
        <v>392500</v>
      </c>
      <c r="F118" s="4">
        <v>785000</v>
      </c>
      <c r="G118"/>
      <c r="H118" s="3">
        <f t="shared" si="1"/>
        <v>0</v>
      </c>
    </row>
    <row r="119" spans="1:8">
      <c r="A119" t="s">
        <v>2812</v>
      </c>
      <c r="B119" t="s">
        <v>2813</v>
      </c>
      <c r="C119" t="s">
        <v>185</v>
      </c>
      <c r="D119" s="4">
        <v>601800</v>
      </c>
      <c r="E119" s="4">
        <v>601800</v>
      </c>
      <c r="F119" s="4">
        <v>1203600</v>
      </c>
      <c r="G119"/>
      <c r="H119" s="3">
        <f t="shared" si="1"/>
        <v>0</v>
      </c>
    </row>
    <row r="120" spans="1:8">
      <c r="A120" t="s">
        <v>1509</v>
      </c>
      <c r="B120" t="s">
        <v>1510</v>
      </c>
      <c r="C120" t="s">
        <v>317</v>
      </c>
      <c r="D120" s="4">
        <v>329600</v>
      </c>
      <c r="E120" s="4">
        <v>329600</v>
      </c>
      <c r="F120" s="4">
        <v>659200</v>
      </c>
      <c r="G120"/>
      <c r="H120" s="3">
        <f t="shared" si="1"/>
        <v>0</v>
      </c>
    </row>
    <row r="121" spans="1:8">
      <c r="A121" t="s">
        <v>2152</v>
      </c>
      <c r="B121" t="s">
        <v>2153</v>
      </c>
      <c r="C121" t="s">
        <v>185</v>
      </c>
      <c r="D121" s="4">
        <v>327200</v>
      </c>
      <c r="E121" s="4">
        <v>327200</v>
      </c>
      <c r="F121" s="4">
        <v>654400</v>
      </c>
      <c r="G121"/>
      <c r="H121" s="3">
        <f t="shared" si="1"/>
        <v>0</v>
      </c>
    </row>
    <row r="122" spans="1:8">
      <c r="A122" t="s">
        <v>2191</v>
      </c>
      <c r="B122" t="s">
        <v>2192</v>
      </c>
      <c r="C122" t="s">
        <v>317</v>
      </c>
      <c r="D122" s="4">
        <v>329700</v>
      </c>
      <c r="E122" s="4">
        <v>329700</v>
      </c>
      <c r="F122" s="4">
        <v>659400</v>
      </c>
      <c r="G122"/>
      <c r="H122" s="3">
        <f t="shared" si="1"/>
        <v>0</v>
      </c>
    </row>
    <row r="123" spans="1:8">
      <c r="A123" t="s">
        <v>2195</v>
      </c>
      <c r="B123" t="s">
        <v>2196</v>
      </c>
      <c r="C123" t="s">
        <v>356</v>
      </c>
      <c r="D123" s="4">
        <v>378300</v>
      </c>
      <c r="E123" s="4">
        <v>378300</v>
      </c>
      <c r="F123" s="4">
        <v>756600</v>
      </c>
      <c r="G123"/>
      <c r="H123" s="3">
        <f t="shared" si="1"/>
        <v>0</v>
      </c>
    </row>
    <row r="124" spans="1:8">
      <c r="A124" t="s">
        <v>2203</v>
      </c>
      <c r="B124" t="s">
        <v>2204</v>
      </c>
      <c r="C124" t="s">
        <v>317</v>
      </c>
      <c r="D124" s="4">
        <v>331200</v>
      </c>
      <c r="E124" s="4">
        <v>331200</v>
      </c>
      <c r="F124" s="4">
        <v>662400</v>
      </c>
      <c r="G124"/>
      <c r="H124" s="3">
        <f t="shared" si="1"/>
        <v>0</v>
      </c>
    </row>
    <row r="125" spans="1:8">
      <c r="A125" t="s">
        <v>2213</v>
      </c>
      <c r="B125" t="s">
        <v>2214</v>
      </c>
      <c r="C125" t="s">
        <v>317</v>
      </c>
      <c r="D125" s="4">
        <v>331200</v>
      </c>
      <c r="E125" s="4">
        <v>331200</v>
      </c>
      <c r="F125" s="4">
        <v>662400</v>
      </c>
      <c r="G125"/>
      <c r="H125" s="3">
        <f t="shared" si="1"/>
        <v>0</v>
      </c>
    </row>
    <row r="126" spans="1:8">
      <c r="A126" t="s">
        <v>2224</v>
      </c>
      <c r="B126" t="s">
        <v>2225</v>
      </c>
      <c r="C126" t="s">
        <v>317</v>
      </c>
      <c r="D126" s="4">
        <v>371100</v>
      </c>
      <c r="E126" s="4">
        <v>371100</v>
      </c>
      <c r="F126" s="4">
        <v>742200</v>
      </c>
      <c r="G126"/>
      <c r="H126" s="3">
        <f t="shared" si="1"/>
        <v>0</v>
      </c>
    </row>
    <row r="127" spans="1:8">
      <c r="A127" t="s">
        <v>2272</v>
      </c>
      <c r="B127" t="s">
        <v>2273</v>
      </c>
      <c r="C127" t="s">
        <v>317</v>
      </c>
      <c r="D127" s="4">
        <v>349100</v>
      </c>
      <c r="E127" s="4">
        <v>349100</v>
      </c>
      <c r="F127" s="4">
        <v>698200</v>
      </c>
      <c r="G127"/>
      <c r="H127" s="3">
        <f t="shared" si="1"/>
        <v>0</v>
      </c>
    </row>
    <row r="128" spans="1:8">
      <c r="A128" t="s">
        <v>2279</v>
      </c>
      <c r="B128" t="s">
        <v>2280</v>
      </c>
      <c r="C128" t="s">
        <v>317</v>
      </c>
      <c r="D128" s="4">
        <v>618600</v>
      </c>
      <c r="E128" s="4">
        <v>618600</v>
      </c>
      <c r="F128" s="4">
        <v>1237200</v>
      </c>
      <c r="G128"/>
      <c r="H128" s="3">
        <f t="shared" si="1"/>
        <v>0</v>
      </c>
    </row>
    <row r="129" spans="1:8">
      <c r="A129" t="s">
        <v>2422</v>
      </c>
      <c r="B129" t="s">
        <v>2423</v>
      </c>
      <c r="C129" t="s">
        <v>185</v>
      </c>
      <c r="D129" s="4">
        <v>420700</v>
      </c>
      <c r="E129" s="4">
        <v>420700</v>
      </c>
      <c r="F129" s="4">
        <v>841400</v>
      </c>
      <c r="G129"/>
      <c r="H129" s="3">
        <f t="shared" si="1"/>
        <v>0</v>
      </c>
    </row>
    <row r="130" spans="1:8">
      <c r="A130" t="s">
        <v>2434</v>
      </c>
      <c r="B130" t="s">
        <v>2435</v>
      </c>
      <c r="C130" t="s">
        <v>317</v>
      </c>
      <c r="D130" s="4">
        <v>479400</v>
      </c>
      <c r="E130" s="4">
        <v>479400</v>
      </c>
      <c r="F130" s="4">
        <v>958800</v>
      </c>
      <c r="G130"/>
      <c r="H130" s="3">
        <f t="shared" si="1"/>
        <v>0</v>
      </c>
    </row>
    <row r="131" spans="1:8">
      <c r="A131" t="s">
        <v>2462</v>
      </c>
      <c r="B131" t="s">
        <v>2463</v>
      </c>
      <c r="C131" t="s">
        <v>185</v>
      </c>
      <c r="D131" s="4">
        <v>412000</v>
      </c>
      <c r="E131" s="4">
        <v>412000</v>
      </c>
      <c r="F131" s="4">
        <v>824000</v>
      </c>
      <c r="G131"/>
      <c r="H131" s="3">
        <f t="shared" si="1"/>
        <v>0</v>
      </c>
    </row>
    <row r="132" spans="1:8">
      <c r="A132" t="s">
        <v>2473</v>
      </c>
      <c r="B132" t="s">
        <v>2474</v>
      </c>
      <c r="C132" t="s">
        <v>356</v>
      </c>
      <c r="D132" s="4">
        <v>424500</v>
      </c>
      <c r="E132" s="4">
        <v>424500</v>
      </c>
      <c r="F132" s="4">
        <v>849000</v>
      </c>
      <c r="G132"/>
      <c r="H132" s="3">
        <f t="shared" si="1"/>
        <v>0</v>
      </c>
    </row>
    <row r="133" spans="1:8">
      <c r="A133" t="s">
        <v>2747</v>
      </c>
      <c r="B133" t="s">
        <v>2748</v>
      </c>
      <c r="C133" t="s">
        <v>356</v>
      </c>
      <c r="D133" s="4">
        <v>865400</v>
      </c>
      <c r="E133" s="4">
        <v>865400</v>
      </c>
      <c r="F133" s="4">
        <v>1730800</v>
      </c>
      <c r="G133"/>
      <c r="H133" s="3">
        <f t="shared" si="1"/>
        <v>0</v>
      </c>
    </row>
    <row r="134" spans="1:8">
      <c r="A134" t="s">
        <v>2820</v>
      </c>
      <c r="B134" t="s">
        <v>2821</v>
      </c>
      <c r="C134" t="s">
        <v>356</v>
      </c>
      <c r="D134" s="4">
        <v>738300</v>
      </c>
      <c r="E134" s="4">
        <v>738300</v>
      </c>
      <c r="F134" s="4">
        <v>1476600</v>
      </c>
      <c r="G134"/>
      <c r="H134" s="3">
        <f t="shared" ref="H134:H197" si="2">+D134-E134</f>
        <v>0</v>
      </c>
    </row>
    <row r="135" spans="1:8">
      <c r="A135" t="s">
        <v>2877</v>
      </c>
      <c r="B135" t="s">
        <v>2878</v>
      </c>
      <c r="C135" t="s">
        <v>137</v>
      </c>
      <c r="D135" s="4">
        <v>443500</v>
      </c>
      <c r="E135" s="4">
        <v>443500</v>
      </c>
      <c r="F135" s="4">
        <v>887000</v>
      </c>
      <c r="G135"/>
      <c r="H135" s="3">
        <f t="shared" si="2"/>
        <v>0</v>
      </c>
    </row>
    <row r="136" spans="1:8">
      <c r="A136" t="s">
        <v>1533</v>
      </c>
      <c r="B136" t="s">
        <v>1534</v>
      </c>
      <c r="C136" t="s">
        <v>356</v>
      </c>
      <c r="D136" s="4">
        <v>325700</v>
      </c>
      <c r="E136" s="4">
        <v>325700</v>
      </c>
      <c r="F136" s="4">
        <v>651400</v>
      </c>
      <c r="G136"/>
      <c r="H136" s="3">
        <f t="shared" si="2"/>
        <v>0</v>
      </c>
    </row>
    <row r="137" spans="1:8">
      <c r="A137" t="s">
        <v>1538</v>
      </c>
      <c r="B137" t="s">
        <v>1539</v>
      </c>
      <c r="C137" t="s">
        <v>356</v>
      </c>
      <c r="D137" s="4">
        <v>335200</v>
      </c>
      <c r="E137" s="4">
        <v>335200</v>
      </c>
      <c r="F137" s="4">
        <v>670400</v>
      </c>
      <c r="G137"/>
      <c r="H137" s="3">
        <f t="shared" si="2"/>
        <v>0</v>
      </c>
    </row>
    <row r="138" spans="1:8">
      <c r="A138" t="s">
        <v>1559</v>
      </c>
      <c r="B138" t="s">
        <v>1560</v>
      </c>
      <c r="C138" t="s">
        <v>356</v>
      </c>
      <c r="D138" s="4">
        <v>278800</v>
      </c>
      <c r="E138" s="4">
        <v>278800</v>
      </c>
      <c r="F138" s="4">
        <v>557600</v>
      </c>
      <c r="G138"/>
      <c r="H138" s="3">
        <f t="shared" si="2"/>
        <v>0</v>
      </c>
    </row>
    <row r="139" spans="1:8">
      <c r="A139" t="s">
        <v>1641</v>
      </c>
      <c r="B139" t="s">
        <v>1642</v>
      </c>
      <c r="C139" t="s">
        <v>356</v>
      </c>
      <c r="D139" s="4">
        <v>908300</v>
      </c>
      <c r="E139" s="4">
        <v>908300</v>
      </c>
      <c r="F139" s="4">
        <v>1816600</v>
      </c>
      <c r="G139"/>
      <c r="H139" s="3">
        <f t="shared" si="2"/>
        <v>0</v>
      </c>
    </row>
    <row r="140" spans="1:8">
      <c r="A140" t="s">
        <v>1820</v>
      </c>
      <c r="B140" t="s">
        <v>1821</v>
      </c>
      <c r="C140" t="s">
        <v>185</v>
      </c>
      <c r="D140" s="4">
        <v>579300</v>
      </c>
      <c r="E140" s="4">
        <v>579300</v>
      </c>
      <c r="F140" s="4">
        <v>1158600</v>
      </c>
      <c r="G140"/>
      <c r="H140" s="3">
        <f t="shared" si="2"/>
        <v>0</v>
      </c>
    </row>
    <row r="141" spans="1:8">
      <c r="A141" t="s">
        <v>1831</v>
      </c>
      <c r="B141" t="s">
        <v>1832</v>
      </c>
      <c r="C141" t="s">
        <v>317</v>
      </c>
      <c r="D141" s="4">
        <v>606300</v>
      </c>
      <c r="E141" s="4">
        <v>606300</v>
      </c>
      <c r="F141" s="4">
        <v>1212600</v>
      </c>
      <c r="G141"/>
      <c r="H141" s="3">
        <f t="shared" si="2"/>
        <v>0</v>
      </c>
    </row>
    <row r="142" spans="1:8">
      <c r="A142" t="s">
        <v>1934</v>
      </c>
      <c r="B142" t="s">
        <v>1935</v>
      </c>
      <c r="C142" t="s">
        <v>317</v>
      </c>
      <c r="D142" s="4">
        <v>517800</v>
      </c>
      <c r="E142" s="4">
        <v>517800</v>
      </c>
      <c r="F142" s="4">
        <v>1035600</v>
      </c>
      <c r="G142"/>
      <c r="H142" s="3">
        <f t="shared" si="2"/>
        <v>0</v>
      </c>
    </row>
    <row r="143" spans="1:8">
      <c r="A143" t="s">
        <v>2173</v>
      </c>
      <c r="B143" t="s">
        <v>2174</v>
      </c>
      <c r="C143" t="s">
        <v>317</v>
      </c>
      <c r="D143" s="4">
        <v>392500</v>
      </c>
      <c r="E143" s="4"/>
      <c r="F143" s="4">
        <v>392500</v>
      </c>
      <c r="G143"/>
      <c r="H143" s="3">
        <f t="shared" si="2"/>
        <v>392500</v>
      </c>
    </row>
    <row r="144" spans="1:8">
      <c r="A144" t="s">
        <v>2173</v>
      </c>
      <c r="B144" t="s">
        <v>3058</v>
      </c>
      <c r="C144" t="s">
        <v>317</v>
      </c>
      <c r="D144" s="4"/>
      <c r="E144" s="4">
        <v>392500</v>
      </c>
      <c r="F144" s="4">
        <v>392500</v>
      </c>
      <c r="G144"/>
      <c r="H144" s="3">
        <f t="shared" si="2"/>
        <v>-392500</v>
      </c>
    </row>
    <row r="145" spans="1:8">
      <c r="A145" t="s">
        <v>2184</v>
      </c>
      <c r="B145" t="s">
        <v>2185</v>
      </c>
      <c r="C145" t="s">
        <v>317</v>
      </c>
      <c r="D145" s="4">
        <v>330500</v>
      </c>
      <c r="E145" s="4">
        <v>330500</v>
      </c>
      <c r="F145" s="4">
        <v>661000</v>
      </c>
      <c r="G145"/>
      <c r="H145" s="3">
        <f t="shared" si="2"/>
        <v>0</v>
      </c>
    </row>
    <row r="146" spans="1:8">
      <c r="A146" t="s">
        <v>2360</v>
      </c>
      <c r="B146" t="s">
        <v>2361</v>
      </c>
      <c r="C146" t="s">
        <v>317</v>
      </c>
      <c r="D146" s="4">
        <v>347100</v>
      </c>
      <c r="E146" s="4">
        <v>347100</v>
      </c>
      <c r="F146" s="4">
        <v>694200</v>
      </c>
      <c r="G146"/>
      <c r="H146" s="3">
        <f t="shared" si="2"/>
        <v>0</v>
      </c>
    </row>
    <row r="147" spans="1:8">
      <c r="A147" t="s">
        <v>2371</v>
      </c>
      <c r="B147" t="s">
        <v>2372</v>
      </c>
      <c r="C147" t="s">
        <v>317</v>
      </c>
      <c r="D147" s="4">
        <v>343900</v>
      </c>
      <c r="E147" s="4">
        <v>343900</v>
      </c>
      <c r="F147" s="4">
        <v>687800</v>
      </c>
      <c r="G147"/>
      <c r="H147" s="3">
        <f t="shared" si="2"/>
        <v>0</v>
      </c>
    </row>
    <row r="148" spans="1:8">
      <c r="A148" t="s">
        <v>2376</v>
      </c>
      <c r="B148" t="s">
        <v>2377</v>
      </c>
      <c r="C148" t="s">
        <v>317</v>
      </c>
      <c r="D148" s="4">
        <v>313200</v>
      </c>
      <c r="E148" s="4">
        <v>313200</v>
      </c>
      <c r="F148" s="4">
        <v>626400</v>
      </c>
      <c r="G148"/>
      <c r="H148" s="3">
        <f t="shared" si="2"/>
        <v>0</v>
      </c>
    </row>
    <row r="149" spans="1:8">
      <c r="A149" t="s">
        <v>2384</v>
      </c>
      <c r="B149" t="s">
        <v>2385</v>
      </c>
      <c r="C149" t="s">
        <v>317</v>
      </c>
      <c r="D149" s="4">
        <v>335400</v>
      </c>
      <c r="E149" s="4">
        <v>335400</v>
      </c>
      <c r="F149" s="4">
        <v>670800</v>
      </c>
      <c r="G149"/>
      <c r="H149" s="3">
        <f t="shared" si="2"/>
        <v>0</v>
      </c>
    </row>
    <row r="150" spans="1:8">
      <c r="A150" t="s">
        <v>2388</v>
      </c>
      <c r="B150" t="s">
        <v>2389</v>
      </c>
      <c r="C150" t="s">
        <v>317</v>
      </c>
      <c r="D150" s="4">
        <v>345500</v>
      </c>
      <c r="E150" s="4">
        <v>345500</v>
      </c>
      <c r="F150" s="4">
        <v>691000</v>
      </c>
      <c r="G150"/>
      <c r="H150" s="3">
        <f t="shared" si="2"/>
        <v>0</v>
      </c>
    </row>
    <row r="151" spans="1:8">
      <c r="A151" t="s">
        <v>2401</v>
      </c>
      <c r="B151" t="s">
        <v>2402</v>
      </c>
      <c r="C151" t="s">
        <v>356</v>
      </c>
      <c r="D151" s="4">
        <v>326300</v>
      </c>
      <c r="E151" s="4">
        <v>326300</v>
      </c>
      <c r="F151" s="4">
        <v>652600</v>
      </c>
      <c r="G151"/>
      <c r="H151" s="3">
        <f t="shared" si="2"/>
        <v>0</v>
      </c>
    </row>
    <row r="152" spans="1:8">
      <c r="A152" t="s">
        <v>2466</v>
      </c>
      <c r="B152" t="s">
        <v>2467</v>
      </c>
      <c r="C152" t="s">
        <v>356</v>
      </c>
      <c r="D152" s="4">
        <v>430100</v>
      </c>
      <c r="E152" s="4">
        <v>430100</v>
      </c>
      <c r="F152" s="4">
        <v>860200</v>
      </c>
      <c r="G152"/>
      <c r="H152" s="3">
        <f t="shared" si="2"/>
        <v>0</v>
      </c>
    </row>
    <row r="153" spans="1:8">
      <c r="A153" t="s">
        <v>2542</v>
      </c>
      <c r="B153" t="s">
        <v>2543</v>
      </c>
      <c r="C153" t="s">
        <v>317</v>
      </c>
      <c r="D153" s="4">
        <v>337800</v>
      </c>
      <c r="E153" s="4">
        <v>337800</v>
      </c>
      <c r="F153" s="4">
        <v>675600</v>
      </c>
      <c r="G153"/>
      <c r="H153" s="3">
        <f t="shared" si="2"/>
        <v>0</v>
      </c>
    </row>
    <row r="154" spans="1:8">
      <c r="A154" t="s">
        <v>2589</v>
      </c>
      <c r="B154" t="s">
        <v>2590</v>
      </c>
      <c r="C154" t="s">
        <v>317</v>
      </c>
      <c r="D154" s="4">
        <v>363000</v>
      </c>
      <c r="E154" s="4">
        <v>363000</v>
      </c>
      <c r="F154" s="4">
        <v>726000</v>
      </c>
      <c r="G154"/>
      <c r="H154" s="3">
        <f t="shared" si="2"/>
        <v>0</v>
      </c>
    </row>
    <row r="155" spans="1:8">
      <c r="A155" t="s">
        <v>2912</v>
      </c>
      <c r="B155" t="s">
        <v>2913</v>
      </c>
      <c r="C155" t="s">
        <v>317</v>
      </c>
      <c r="D155" s="4">
        <v>501800</v>
      </c>
      <c r="E155" s="4">
        <v>501800</v>
      </c>
      <c r="F155" s="4">
        <v>1003600</v>
      </c>
      <c r="G155"/>
      <c r="H155" s="3">
        <f t="shared" si="2"/>
        <v>0</v>
      </c>
    </row>
    <row r="156" spans="1:8">
      <c r="A156" t="s">
        <v>3012</v>
      </c>
      <c r="B156" t="s">
        <v>3013</v>
      </c>
      <c r="C156" t="s">
        <v>185</v>
      </c>
      <c r="D156" s="4">
        <v>898600</v>
      </c>
      <c r="E156" s="4">
        <v>898600</v>
      </c>
      <c r="F156" s="4">
        <v>1797200</v>
      </c>
      <c r="G156"/>
      <c r="H156" s="3">
        <f t="shared" si="2"/>
        <v>0</v>
      </c>
    </row>
    <row r="157" spans="1:8">
      <c r="A157" t="s">
        <v>1564</v>
      </c>
      <c r="B157" t="s">
        <v>1565</v>
      </c>
      <c r="C157" t="s">
        <v>317</v>
      </c>
      <c r="D157" s="4">
        <v>392500</v>
      </c>
      <c r="E157" s="4">
        <v>392500</v>
      </c>
      <c r="F157" s="4">
        <v>785000</v>
      </c>
      <c r="G157"/>
      <c r="H157" s="3">
        <f t="shared" si="2"/>
        <v>0</v>
      </c>
    </row>
    <row r="158" spans="1:8">
      <c r="A158" t="s">
        <v>1946</v>
      </c>
      <c r="B158" t="s">
        <v>1947</v>
      </c>
      <c r="C158" t="s">
        <v>317</v>
      </c>
      <c r="D158" s="4">
        <v>426700</v>
      </c>
      <c r="E158" s="4">
        <v>426700</v>
      </c>
      <c r="F158" s="4">
        <v>853400</v>
      </c>
      <c r="G158"/>
      <c r="H158" s="3">
        <f t="shared" si="2"/>
        <v>0</v>
      </c>
    </row>
    <row r="159" spans="1:8">
      <c r="A159" t="s">
        <v>2166</v>
      </c>
      <c r="B159" t="s">
        <v>2167</v>
      </c>
      <c r="C159" t="s">
        <v>317</v>
      </c>
      <c r="D159" s="4">
        <v>328100</v>
      </c>
      <c r="E159" s="4">
        <v>328100</v>
      </c>
      <c r="F159" s="4">
        <v>656200</v>
      </c>
      <c r="G159"/>
      <c r="H159" s="3">
        <f t="shared" si="2"/>
        <v>0</v>
      </c>
    </row>
    <row r="160" spans="1:8">
      <c r="A160" t="s">
        <v>2216</v>
      </c>
      <c r="B160" t="s">
        <v>2217</v>
      </c>
      <c r="C160" t="s">
        <v>137</v>
      </c>
      <c r="D160" s="4">
        <v>415000</v>
      </c>
      <c r="E160" s="4">
        <v>415000</v>
      </c>
      <c r="F160" s="4">
        <v>830000</v>
      </c>
      <c r="G160"/>
      <c r="H160" s="3">
        <f t="shared" si="2"/>
        <v>0</v>
      </c>
    </row>
    <row r="161" spans="1:8">
      <c r="A161" t="s">
        <v>2327</v>
      </c>
      <c r="B161" t="s">
        <v>2328</v>
      </c>
      <c r="C161" t="s">
        <v>356</v>
      </c>
      <c r="D161" s="4">
        <v>458100</v>
      </c>
      <c r="E161" s="4">
        <v>458100</v>
      </c>
      <c r="F161" s="4">
        <v>916200</v>
      </c>
      <c r="G161"/>
      <c r="H161" s="3">
        <f t="shared" si="2"/>
        <v>0</v>
      </c>
    </row>
    <row r="162" spans="1:8">
      <c r="A162" t="s">
        <v>3069</v>
      </c>
      <c r="B162" t="s">
        <v>3070</v>
      </c>
      <c r="C162" t="s">
        <v>25</v>
      </c>
      <c r="D162" s="4"/>
      <c r="E162" s="4">
        <v>0</v>
      </c>
      <c r="F162" s="4">
        <v>0</v>
      </c>
      <c r="G162"/>
      <c r="H162" s="3">
        <f t="shared" si="2"/>
        <v>0</v>
      </c>
    </row>
    <row r="163" spans="1:8">
      <c r="A163" t="s">
        <v>1475</v>
      </c>
      <c r="B163" t="s">
        <v>1476</v>
      </c>
      <c r="C163" t="s">
        <v>317</v>
      </c>
      <c r="D163" s="4">
        <v>334500</v>
      </c>
      <c r="E163" s="4">
        <v>334500</v>
      </c>
      <c r="F163" s="4">
        <v>669000</v>
      </c>
      <c r="G163"/>
      <c r="H163" s="3">
        <f t="shared" si="2"/>
        <v>0</v>
      </c>
    </row>
    <row r="164" spans="1:8">
      <c r="A164" t="s">
        <v>1520</v>
      </c>
      <c r="B164" t="s">
        <v>1521</v>
      </c>
      <c r="C164" t="s">
        <v>317</v>
      </c>
      <c r="D164" s="4">
        <v>337800</v>
      </c>
      <c r="E164" s="4">
        <v>337800</v>
      </c>
      <c r="F164" s="4">
        <v>675600</v>
      </c>
      <c r="G164"/>
      <c r="H164" s="3">
        <f t="shared" si="2"/>
        <v>0</v>
      </c>
    </row>
    <row r="165" spans="1:8">
      <c r="A165" t="s">
        <v>1524</v>
      </c>
      <c r="B165" t="s">
        <v>1525</v>
      </c>
      <c r="C165" t="s">
        <v>317</v>
      </c>
      <c r="D165" s="4">
        <v>384100</v>
      </c>
      <c r="E165" s="4">
        <v>384100</v>
      </c>
      <c r="F165" s="4">
        <v>768200</v>
      </c>
      <c r="G165"/>
      <c r="H165" s="3">
        <f t="shared" si="2"/>
        <v>0</v>
      </c>
    </row>
    <row r="166" spans="1:8">
      <c r="A166" t="s">
        <v>1528</v>
      </c>
      <c r="B166" t="s">
        <v>1529</v>
      </c>
      <c r="C166" t="s">
        <v>317</v>
      </c>
      <c r="D166" s="4">
        <v>331200</v>
      </c>
      <c r="E166" s="4">
        <v>331200</v>
      </c>
      <c r="F166" s="4">
        <v>662400</v>
      </c>
      <c r="G166"/>
      <c r="H166" s="3">
        <f t="shared" si="2"/>
        <v>0</v>
      </c>
    </row>
    <row r="167" spans="1:8">
      <c r="A167" t="s">
        <v>1544</v>
      </c>
      <c r="B167" t="s">
        <v>1545</v>
      </c>
      <c r="C167" t="s">
        <v>185</v>
      </c>
      <c r="D167" s="4">
        <v>336000</v>
      </c>
      <c r="E167" s="4">
        <v>336000</v>
      </c>
      <c r="F167" s="4">
        <v>672000</v>
      </c>
      <c r="G167"/>
      <c r="H167" s="3">
        <f t="shared" si="2"/>
        <v>0</v>
      </c>
    </row>
    <row r="168" spans="1:8">
      <c r="A168" t="s">
        <v>1549</v>
      </c>
      <c r="B168" t="s">
        <v>1550</v>
      </c>
      <c r="C168" t="s">
        <v>317</v>
      </c>
      <c r="D168" s="4">
        <v>330100</v>
      </c>
      <c r="E168" s="4">
        <v>330100</v>
      </c>
      <c r="F168" s="4">
        <v>660200</v>
      </c>
      <c r="G168"/>
      <c r="H168" s="3">
        <f t="shared" si="2"/>
        <v>0</v>
      </c>
    </row>
    <row r="169" spans="1:8">
      <c r="A169" t="s">
        <v>1774</v>
      </c>
      <c r="B169" t="s">
        <v>1775</v>
      </c>
      <c r="C169" t="s">
        <v>317</v>
      </c>
      <c r="D169" s="4">
        <v>365700</v>
      </c>
      <c r="E169" s="4">
        <v>365700</v>
      </c>
      <c r="F169" s="4">
        <v>731400</v>
      </c>
      <c r="G169"/>
      <c r="H169" s="3">
        <f t="shared" si="2"/>
        <v>0</v>
      </c>
    </row>
    <row r="170" spans="1:8">
      <c r="A170" t="s">
        <v>1841</v>
      </c>
      <c r="B170" t="s">
        <v>1842</v>
      </c>
      <c r="C170" t="s">
        <v>185</v>
      </c>
      <c r="D170" s="4">
        <v>413400</v>
      </c>
      <c r="E170" s="4">
        <v>413400</v>
      </c>
      <c r="F170" s="4">
        <v>826800</v>
      </c>
      <c r="G170"/>
      <c r="H170" s="3">
        <f t="shared" si="2"/>
        <v>0</v>
      </c>
    </row>
    <row r="171" spans="1:8">
      <c r="A171" t="s">
        <v>1846</v>
      </c>
      <c r="B171" t="s">
        <v>1847</v>
      </c>
      <c r="C171" t="s">
        <v>356</v>
      </c>
      <c r="D171" s="4">
        <v>546700</v>
      </c>
      <c r="E171" s="4">
        <v>546700</v>
      </c>
      <c r="F171" s="4">
        <v>1093400</v>
      </c>
      <c r="G171"/>
      <c r="H171" s="3">
        <f t="shared" si="2"/>
        <v>0</v>
      </c>
    </row>
    <row r="172" spans="1:8">
      <c r="A172" t="s">
        <v>1889</v>
      </c>
      <c r="B172" t="s">
        <v>1890</v>
      </c>
      <c r="C172" t="s">
        <v>356</v>
      </c>
      <c r="D172" s="4">
        <v>664400</v>
      </c>
      <c r="E172" s="4">
        <v>664400</v>
      </c>
      <c r="F172" s="4">
        <v>1328800</v>
      </c>
      <c r="G172"/>
      <c r="H172" s="3">
        <f t="shared" si="2"/>
        <v>0</v>
      </c>
    </row>
    <row r="173" spans="1:8">
      <c r="A173" t="s">
        <v>1898</v>
      </c>
      <c r="B173" t="s">
        <v>1899</v>
      </c>
      <c r="C173" t="s">
        <v>137</v>
      </c>
      <c r="D173" s="4">
        <v>592400</v>
      </c>
      <c r="E173" s="4">
        <v>592400</v>
      </c>
      <c r="F173" s="4">
        <v>1184800</v>
      </c>
      <c r="G173"/>
      <c r="H173" s="3">
        <f t="shared" si="2"/>
        <v>0</v>
      </c>
    </row>
    <row r="174" spans="1:8">
      <c r="A174" t="s">
        <v>2003</v>
      </c>
      <c r="B174" t="s">
        <v>2004</v>
      </c>
      <c r="C174" t="s">
        <v>317</v>
      </c>
      <c r="D174" s="4">
        <v>488500</v>
      </c>
      <c r="E174" s="4">
        <v>488500</v>
      </c>
      <c r="F174" s="4">
        <v>977000</v>
      </c>
      <c r="G174"/>
      <c r="H174" s="3">
        <f t="shared" si="2"/>
        <v>0</v>
      </c>
    </row>
    <row r="175" spans="1:8">
      <c r="A175" t="s">
        <v>2200</v>
      </c>
      <c r="B175" t="s">
        <v>2201</v>
      </c>
      <c r="C175" t="s">
        <v>185</v>
      </c>
      <c r="D175" s="4">
        <v>344800</v>
      </c>
      <c r="E175" s="4">
        <v>344800</v>
      </c>
      <c r="F175" s="4">
        <v>689600</v>
      </c>
      <c r="G175"/>
      <c r="H175" s="3">
        <f t="shared" si="2"/>
        <v>0</v>
      </c>
    </row>
    <row r="176" spans="1:8">
      <c r="A176" t="s">
        <v>2231</v>
      </c>
      <c r="B176" t="s">
        <v>2232</v>
      </c>
      <c r="C176" t="s">
        <v>317</v>
      </c>
      <c r="D176" s="4">
        <v>339200</v>
      </c>
      <c r="E176" s="4">
        <v>339200</v>
      </c>
      <c r="F176" s="4">
        <v>678400</v>
      </c>
      <c r="G176"/>
      <c r="H176" s="3">
        <f t="shared" si="2"/>
        <v>0</v>
      </c>
    </row>
    <row r="177" spans="1:8">
      <c r="A177" t="s">
        <v>2300</v>
      </c>
      <c r="B177" t="s">
        <v>2301</v>
      </c>
      <c r="C177" t="s">
        <v>356</v>
      </c>
      <c r="D177" s="4">
        <v>507800</v>
      </c>
      <c r="E177" s="4">
        <v>507800</v>
      </c>
      <c r="F177" s="4">
        <v>1015600</v>
      </c>
      <c r="G177"/>
      <c r="H177" s="3">
        <f t="shared" si="2"/>
        <v>0</v>
      </c>
    </row>
    <row r="178" spans="1:8">
      <c r="A178" t="s">
        <v>2317</v>
      </c>
      <c r="B178" t="s">
        <v>2318</v>
      </c>
      <c r="C178" t="s">
        <v>185</v>
      </c>
      <c r="D178" s="4">
        <v>239900</v>
      </c>
      <c r="E178" s="4"/>
      <c r="F178" s="4">
        <v>239900</v>
      </c>
      <c r="G178"/>
      <c r="H178" s="3">
        <f t="shared" si="2"/>
        <v>239900</v>
      </c>
    </row>
    <row r="179" spans="1:8">
      <c r="A179" t="s">
        <v>2317</v>
      </c>
      <c r="B179" t="s">
        <v>2318</v>
      </c>
      <c r="C179" t="s">
        <v>25</v>
      </c>
      <c r="D179" s="4"/>
      <c r="E179" s="4">
        <v>0</v>
      </c>
      <c r="F179" s="4">
        <v>0</v>
      </c>
      <c r="G179"/>
      <c r="H179" s="3">
        <f t="shared" si="2"/>
        <v>0</v>
      </c>
    </row>
    <row r="180" spans="1:8">
      <c r="A180" t="s">
        <v>2324</v>
      </c>
      <c r="B180" t="s">
        <v>2325</v>
      </c>
      <c r="C180" t="s">
        <v>185</v>
      </c>
      <c r="D180" s="4">
        <v>663000</v>
      </c>
      <c r="E180" s="4">
        <v>663000</v>
      </c>
      <c r="F180" s="4">
        <v>1326000</v>
      </c>
      <c r="G180"/>
      <c r="H180" s="3">
        <f t="shared" si="2"/>
        <v>0</v>
      </c>
    </row>
    <row r="181" spans="1:8">
      <c r="A181" t="s">
        <v>2330</v>
      </c>
      <c r="B181" t="s">
        <v>2331</v>
      </c>
      <c r="C181" t="s">
        <v>185</v>
      </c>
      <c r="D181" s="4">
        <v>456200</v>
      </c>
      <c r="E181" s="4">
        <v>456200</v>
      </c>
      <c r="F181" s="4">
        <v>912400</v>
      </c>
      <c r="G181"/>
      <c r="H181" s="3">
        <f t="shared" si="2"/>
        <v>0</v>
      </c>
    </row>
    <row r="182" spans="1:8">
      <c r="A182" t="s">
        <v>2357</v>
      </c>
      <c r="B182" t="s">
        <v>2358</v>
      </c>
      <c r="C182" t="s">
        <v>317</v>
      </c>
      <c r="D182" s="4">
        <v>322500</v>
      </c>
      <c r="E182" s="4">
        <v>322500</v>
      </c>
      <c r="F182" s="4">
        <v>645000</v>
      </c>
      <c r="G182"/>
      <c r="H182" s="3">
        <f t="shared" si="2"/>
        <v>0</v>
      </c>
    </row>
    <row r="183" spans="1:8">
      <c r="A183" t="s">
        <v>2365</v>
      </c>
      <c r="B183" t="s">
        <v>2366</v>
      </c>
      <c r="C183" t="s">
        <v>317</v>
      </c>
      <c r="D183" s="4">
        <v>410500</v>
      </c>
      <c r="E183" s="4">
        <v>410500</v>
      </c>
      <c r="F183" s="4">
        <v>821000</v>
      </c>
      <c r="G183"/>
      <c r="H183" s="3">
        <f t="shared" si="2"/>
        <v>0</v>
      </c>
    </row>
    <row r="184" spans="1:8">
      <c r="A184" t="s">
        <v>2367</v>
      </c>
      <c r="B184" t="s">
        <v>2368</v>
      </c>
      <c r="C184" t="s">
        <v>317</v>
      </c>
      <c r="D184" s="4">
        <v>328800</v>
      </c>
      <c r="E184" s="4">
        <v>328800</v>
      </c>
      <c r="F184" s="4">
        <v>657600</v>
      </c>
      <c r="G184"/>
      <c r="H184" s="3">
        <f t="shared" si="2"/>
        <v>0</v>
      </c>
    </row>
    <row r="185" spans="1:8">
      <c r="A185" t="s">
        <v>2444</v>
      </c>
      <c r="B185" t="s">
        <v>2445</v>
      </c>
      <c r="C185" t="s">
        <v>317</v>
      </c>
      <c r="D185" s="4">
        <v>331200</v>
      </c>
      <c r="E185" s="4">
        <v>331200</v>
      </c>
      <c r="F185" s="4">
        <v>662400</v>
      </c>
      <c r="G185"/>
      <c r="H185" s="3">
        <f t="shared" si="2"/>
        <v>0</v>
      </c>
    </row>
    <row r="186" spans="1:8">
      <c r="A186" t="s">
        <v>2451</v>
      </c>
      <c r="B186" t="s">
        <v>2452</v>
      </c>
      <c r="C186" t="s">
        <v>317</v>
      </c>
      <c r="D186" s="4">
        <v>334600</v>
      </c>
      <c r="E186" s="4">
        <v>334600</v>
      </c>
      <c r="F186" s="4">
        <v>669200</v>
      </c>
      <c r="G186"/>
      <c r="H186" s="3">
        <f t="shared" si="2"/>
        <v>0</v>
      </c>
    </row>
    <row r="187" spans="1:8">
      <c r="A187" t="s">
        <v>2453</v>
      </c>
      <c r="B187" t="s">
        <v>2454</v>
      </c>
      <c r="C187" t="s">
        <v>356</v>
      </c>
      <c r="D187" s="4">
        <v>541700</v>
      </c>
      <c r="E187" s="4">
        <v>541700</v>
      </c>
      <c r="F187" s="4">
        <v>1083400</v>
      </c>
      <c r="G187"/>
      <c r="H187" s="3">
        <f t="shared" si="2"/>
        <v>0</v>
      </c>
    </row>
    <row r="188" spans="1:8">
      <c r="A188" t="s">
        <v>2643</v>
      </c>
      <c r="B188" t="s">
        <v>2644</v>
      </c>
      <c r="C188" t="s">
        <v>185</v>
      </c>
      <c r="D188" s="4">
        <v>596300</v>
      </c>
      <c r="E188" s="4">
        <v>596300</v>
      </c>
      <c r="F188" s="4">
        <v>1192600</v>
      </c>
      <c r="G188"/>
      <c r="H188" s="3">
        <f t="shared" si="2"/>
        <v>0</v>
      </c>
    </row>
    <row r="189" spans="1:8">
      <c r="A189" t="s">
        <v>2663</v>
      </c>
      <c r="B189" t="s">
        <v>2664</v>
      </c>
      <c r="C189" t="s">
        <v>185</v>
      </c>
      <c r="D189" s="4">
        <v>865500</v>
      </c>
      <c r="E189" s="4">
        <v>865500</v>
      </c>
      <c r="F189" s="4">
        <v>1731000</v>
      </c>
      <c r="G189"/>
      <c r="H189" s="3">
        <f t="shared" si="2"/>
        <v>0</v>
      </c>
    </row>
    <row r="190" spans="1:8">
      <c r="A190" t="s">
        <v>2705</v>
      </c>
      <c r="B190" t="s">
        <v>2706</v>
      </c>
      <c r="C190" t="s">
        <v>317</v>
      </c>
      <c r="D190" s="4">
        <v>717500</v>
      </c>
      <c r="E190" s="4">
        <v>717500</v>
      </c>
      <c r="F190" s="4">
        <v>1435000</v>
      </c>
      <c r="G190"/>
      <c r="H190" s="3">
        <f t="shared" si="2"/>
        <v>0</v>
      </c>
    </row>
    <row r="191" spans="1:8">
      <c r="A191" t="s">
        <v>2739</v>
      </c>
      <c r="B191" t="s">
        <v>2740</v>
      </c>
      <c r="C191" t="s">
        <v>137</v>
      </c>
      <c r="D191" s="4">
        <v>416200</v>
      </c>
      <c r="E191" s="4">
        <v>416200</v>
      </c>
      <c r="F191" s="4">
        <v>832400</v>
      </c>
      <c r="G191"/>
      <c r="H191" s="3">
        <f t="shared" si="2"/>
        <v>0</v>
      </c>
    </row>
    <row r="192" spans="1:8">
      <c r="A192" t="s">
        <v>2749</v>
      </c>
      <c r="B192" t="s">
        <v>2750</v>
      </c>
      <c r="C192" t="s">
        <v>317</v>
      </c>
      <c r="D192" s="4">
        <v>362500</v>
      </c>
      <c r="E192" s="4">
        <v>362500</v>
      </c>
      <c r="F192" s="4">
        <v>725000</v>
      </c>
      <c r="G192"/>
      <c r="H192" s="3">
        <f t="shared" si="2"/>
        <v>0</v>
      </c>
    </row>
    <row r="193" spans="1:8">
      <c r="A193" t="s">
        <v>2763</v>
      </c>
      <c r="B193" t="s">
        <v>2764</v>
      </c>
      <c r="C193" t="s">
        <v>137</v>
      </c>
      <c r="D193" s="4">
        <v>432400</v>
      </c>
      <c r="E193" s="4">
        <v>432400</v>
      </c>
      <c r="F193" s="4">
        <v>864800</v>
      </c>
      <c r="G193"/>
      <c r="H193" s="3">
        <f t="shared" si="2"/>
        <v>0</v>
      </c>
    </row>
    <row r="194" spans="1:8">
      <c r="A194" t="s">
        <v>2775</v>
      </c>
      <c r="B194" t="s">
        <v>2776</v>
      </c>
      <c r="C194" t="s">
        <v>356</v>
      </c>
      <c r="D194" s="4">
        <v>328900</v>
      </c>
      <c r="E194" s="4">
        <v>328900</v>
      </c>
      <c r="F194" s="4">
        <v>657800</v>
      </c>
      <c r="G194"/>
      <c r="H194" s="3">
        <f t="shared" si="2"/>
        <v>0</v>
      </c>
    </row>
    <row r="195" spans="1:8">
      <c r="A195" t="s">
        <v>2893</v>
      </c>
      <c r="B195" t="s">
        <v>2894</v>
      </c>
      <c r="C195" t="s">
        <v>317</v>
      </c>
      <c r="D195" s="4">
        <v>533800</v>
      </c>
      <c r="E195" s="4">
        <v>533800</v>
      </c>
      <c r="F195" s="4">
        <v>1067600</v>
      </c>
      <c r="G195"/>
      <c r="H195" s="3">
        <f t="shared" si="2"/>
        <v>0</v>
      </c>
    </row>
    <row r="196" spans="1:8">
      <c r="A196" t="s">
        <v>2909</v>
      </c>
      <c r="B196" t="s">
        <v>2910</v>
      </c>
      <c r="C196" t="s">
        <v>317</v>
      </c>
      <c r="D196" s="4">
        <v>289400</v>
      </c>
      <c r="E196" s="4">
        <v>289400</v>
      </c>
      <c r="F196" s="4">
        <v>578800</v>
      </c>
      <c r="G196"/>
      <c r="H196" s="3">
        <f t="shared" si="2"/>
        <v>0</v>
      </c>
    </row>
    <row r="197" spans="1:8">
      <c r="A197" t="s">
        <v>3005</v>
      </c>
      <c r="B197" t="s">
        <v>3006</v>
      </c>
      <c r="C197" t="s">
        <v>185</v>
      </c>
      <c r="D197" s="4">
        <v>546700</v>
      </c>
      <c r="E197" s="4">
        <v>546700</v>
      </c>
      <c r="F197" s="4">
        <v>1093400</v>
      </c>
      <c r="G197"/>
      <c r="H197" s="3">
        <f t="shared" si="2"/>
        <v>0</v>
      </c>
    </row>
    <row r="198" spans="1:8">
      <c r="A198" t="s">
        <v>1651</v>
      </c>
      <c r="B198" t="s">
        <v>1652</v>
      </c>
      <c r="C198" t="s">
        <v>137</v>
      </c>
      <c r="D198" s="4">
        <v>833600</v>
      </c>
      <c r="E198" s="4">
        <v>833600</v>
      </c>
      <c r="F198" s="4">
        <v>1667200</v>
      </c>
      <c r="G198"/>
      <c r="H198" s="3">
        <f t="shared" ref="H198:H261" si="3">+D198-E198</f>
        <v>0</v>
      </c>
    </row>
    <row r="199" spans="1:8">
      <c r="A199" t="s">
        <v>1762</v>
      </c>
      <c r="B199" t="s">
        <v>1763</v>
      </c>
      <c r="C199" t="s">
        <v>317</v>
      </c>
      <c r="D199" s="4">
        <v>358000</v>
      </c>
      <c r="E199" s="4"/>
      <c r="F199" s="4">
        <v>358000</v>
      </c>
      <c r="G199"/>
      <c r="H199" s="3">
        <f t="shared" si="3"/>
        <v>358000</v>
      </c>
    </row>
    <row r="200" spans="1:8">
      <c r="A200" t="s">
        <v>1762</v>
      </c>
      <c r="B200" t="s">
        <v>3050</v>
      </c>
      <c r="C200" t="s">
        <v>317</v>
      </c>
      <c r="D200" s="4"/>
      <c r="E200" s="4">
        <v>358000</v>
      </c>
      <c r="F200" s="4">
        <v>358000</v>
      </c>
      <c r="G200"/>
      <c r="H200" s="3">
        <f t="shared" si="3"/>
        <v>-358000</v>
      </c>
    </row>
    <row r="201" spans="1:8">
      <c r="A201" t="s">
        <v>1855</v>
      </c>
      <c r="B201" t="s">
        <v>1856</v>
      </c>
      <c r="C201" t="s">
        <v>317</v>
      </c>
      <c r="D201" s="4">
        <v>364600</v>
      </c>
      <c r="E201" s="4">
        <v>364600</v>
      </c>
      <c r="F201" s="4">
        <v>729200</v>
      </c>
      <c r="G201"/>
      <c r="H201" s="3">
        <f t="shared" si="3"/>
        <v>0</v>
      </c>
    </row>
    <row r="202" spans="1:8">
      <c r="A202" t="s">
        <v>1860</v>
      </c>
      <c r="B202" t="s">
        <v>1861</v>
      </c>
      <c r="C202" t="s">
        <v>356</v>
      </c>
      <c r="D202" s="4">
        <v>377600</v>
      </c>
      <c r="E202" s="4">
        <v>377600</v>
      </c>
      <c r="F202" s="4">
        <v>755200</v>
      </c>
      <c r="G202"/>
      <c r="H202" s="3">
        <f t="shared" si="3"/>
        <v>0</v>
      </c>
    </row>
    <row r="203" spans="1:8">
      <c r="A203" t="s">
        <v>1877</v>
      </c>
      <c r="B203" t="s">
        <v>1878</v>
      </c>
      <c r="C203" t="s">
        <v>317</v>
      </c>
      <c r="D203" s="4">
        <v>339200</v>
      </c>
      <c r="E203" s="4">
        <v>339200</v>
      </c>
      <c r="F203" s="4">
        <v>678400</v>
      </c>
      <c r="G203"/>
      <c r="H203" s="3">
        <f t="shared" si="3"/>
        <v>0</v>
      </c>
    </row>
    <row r="204" spans="1:8">
      <c r="A204" t="s">
        <v>2057</v>
      </c>
      <c r="B204" t="s">
        <v>2058</v>
      </c>
      <c r="C204" t="s">
        <v>137</v>
      </c>
      <c r="D204" s="4">
        <v>593400</v>
      </c>
      <c r="E204" s="4">
        <v>593400</v>
      </c>
      <c r="F204" s="4">
        <v>1186800</v>
      </c>
      <c r="G204"/>
      <c r="H204" s="3">
        <f t="shared" si="3"/>
        <v>0</v>
      </c>
    </row>
    <row r="205" spans="1:8">
      <c r="A205" t="s">
        <v>2599</v>
      </c>
      <c r="B205" t="s">
        <v>2600</v>
      </c>
      <c r="C205" t="s">
        <v>356</v>
      </c>
      <c r="D205" s="4">
        <v>337700</v>
      </c>
      <c r="E205" s="4">
        <v>337700</v>
      </c>
      <c r="F205" s="4">
        <v>675400</v>
      </c>
      <c r="G205"/>
      <c r="H205" s="3">
        <f t="shared" si="3"/>
        <v>0</v>
      </c>
    </row>
    <row r="206" spans="1:8">
      <c r="A206" t="s">
        <v>2615</v>
      </c>
      <c r="B206" t="s">
        <v>3065</v>
      </c>
      <c r="C206" t="s">
        <v>317</v>
      </c>
      <c r="D206" s="4"/>
      <c r="E206" s="4">
        <v>488400</v>
      </c>
      <c r="F206" s="4">
        <v>488400</v>
      </c>
      <c r="G206"/>
      <c r="H206" s="3">
        <f t="shared" si="3"/>
        <v>-488400</v>
      </c>
    </row>
    <row r="207" spans="1:8">
      <c r="A207" t="s">
        <v>2615</v>
      </c>
      <c r="B207" t="s">
        <v>2616</v>
      </c>
      <c r="C207" t="s">
        <v>317</v>
      </c>
      <c r="D207" s="4">
        <v>488400</v>
      </c>
      <c r="E207" s="4"/>
      <c r="F207" s="4">
        <v>488400</v>
      </c>
      <c r="G207"/>
      <c r="H207" s="3">
        <f t="shared" si="3"/>
        <v>488400</v>
      </c>
    </row>
    <row r="208" spans="1:8">
      <c r="A208" t="s">
        <v>2659</v>
      </c>
      <c r="B208" t="s">
        <v>2660</v>
      </c>
      <c r="C208" t="s">
        <v>317</v>
      </c>
      <c r="D208" s="4">
        <v>619200</v>
      </c>
      <c r="E208" s="4">
        <v>619200</v>
      </c>
      <c r="F208" s="4">
        <v>1238400</v>
      </c>
      <c r="G208"/>
      <c r="H208" s="3">
        <f t="shared" si="3"/>
        <v>0</v>
      </c>
    </row>
    <row r="209" spans="1:8">
      <c r="A209" t="s">
        <v>2711</v>
      </c>
      <c r="B209" t="s">
        <v>2712</v>
      </c>
      <c r="C209" t="s">
        <v>317</v>
      </c>
      <c r="D209" s="4">
        <v>355400</v>
      </c>
      <c r="E209" s="4">
        <v>355400</v>
      </c>
      <c r="F209" s="4">
        <v>710800</v>
      </c>
      <c r="G209"/>
      <c r="H209" s="3">
        <f t="shared" si="3"/>
        <v>0</v>
      </c>
    </row>
    <row r="210" spans="1:8">
      <c r="A210" t="s">
        <v>2790</v>
      </c>
      <c r="B210" t="s">
        <v>2791</v>
      </c>
      <c r="C210" t="s">
        <v>185</v>
      </c>
      <c r="D210" s="4">
        <v>159400</v>
      </c>
      <c r="E210" s="4">
        <v>159400</v>
      </c>
      <c r="F210" s="4">
        <v>318800</v>
      </c>
      <c r="G210"/>
      <c r="H210" s="3">
        <f t="shared" si="3"/>
        <v>0</v>
      </c>
    </row>
    <row r="211" spans="1:8">
      <c r="A211" t="s">
        <v>3037</v>
      </c>
      <c r="B211" t="s">
        <v>3038</v>
      </c>
      <c r="C211" t="s">
        <v>185</v>
      </c>
      <c r="D211" s="4">
        <v>350400</v>
      </c>
      <c r="E211" s="4">
        <v>350400</v>
      </c>
      <c r="F211" s="4">
        <v>700800</v>
      </c>
      <c r="G211"/>
      <c r="H211" s="3">
        <f t="shared" si="3"/>
        <v>0</v>
      </c>
    </row>
    <row r="212" spans="1:8">
      <c r="A212" t="s">
        <v>1514</v>
      </c>
      <c r="B212" t="s">
        <v>1515</v>
      </c>
      <c r="C212" t="s">
        <v>356</v>
      </c>
      <c r="D212" s="4">
        <v>134200</v>
      </c>
      <c r="E212" s="4">
        <v>134200</v>
      </c>
      <c r="F212" s="4">
        <v>268400</v>
      </c>
      <c r="G212"/>
      <c r="H212" s="3">
        <f t="shared" si="3"/>
        <v>0</v>
      </c>
    </row>
    <row r="213" spans="1:8">
      <c r="A213" t="s">
        <v>1636</v>
      </c>
      <c r="B213" t="s">
        <v>1637</v>
      </c>
      <c r="C213" t="s">
        <v>317</v>
      </c>
      <c r="D213" s="4">
        <v>465800</v>
      </c>
      <c r="E213" s="4">
        <v>465800</v>
      </c>
      <c r="F213" s="4">
        <v>931600</v>
      </c>
      <c r="G213"/>
      <c r="H213" s="3">
        <f t="shared" si="3"/>
        <v>0</v>
      </c>
    </row>
    <row r="214" spans="1:8">
      <c r="A214" t="s">
        <v>1720</v>
      </c>
      <c r="B214" t="s">
        <v>1721</v>
      </c>
      <c r="C214" t="s">
        <v>185</v>
      </c>
      <c r="D214" s="4">
        <v>321300</v>
      </c>
      <c r="E214" s="4">
        <v>321300</v>
      </c>
      <c r="F214" s="4">
        <v>642600</v>
      </c>
      <c r="G214"/>
      <c r="H214" s="3">
        <f t="shared" si="3"/>
        <v>0</v>
      </c>
    </row>
    <row r="215" spans="1:8">
      <c r="A215" t="s">
        <v>1791</v>
      </c>
      <c r="B215" t="s">
        <v>1792</v>
      </c>
      <c r="C215" t="s">
        <v>137</v>
      </c>
      <c r="D215" s="4">
        <v>437600</v>
      </c>
      <c r="E215" s="4">
        <v>437600</v>
      </c>
      <c r="F215" s="4">
        <v>875200</v>
      </c>
      <c r="G215"/>
      <c r="H215" s="3">
        <f t="shared" si="3"/>
        <v>0</v>
      </c>
    </row>
    <row r="216" spans="1:8">
      <c r="A216" t="s">
        <v>1810</v>
      </c>
      <c r="B216" t="s">
        <v>1811</v>
      </c>
      <c r="C216" t="s">
        <v>356</v>
      </c>
      <c r="D216" s="4">
        <v>440000</v>
      </c>
      <c r="E216" s="4">
        <v>440000</v>
      </c>
      <c r="F216" s="4">
        <v>880000</v>
      </c>
      <c r="G216"/>
      <c r="H216" s="3">
        <f t="shared" si="3"/>
        <v>0</v>
      </c>
    </row>
    <row r="217" spans="1:8">
      <c r="A217" t="s">
        <v>1874</v>
      </c>
      <c r="B217" t="s">
        <v>1875</v>
      </c>
      <c r="C217" t="s">
        <v>185</v>
      </c>
      <c r="D217" s="4">
        <v>738300</v>
      </c>
      <c r="E217" s="4">
        <v>738300</v>
      </c>
      <c r="F217" s="4">
        <v>1476600</v>
      </c>
      <c r="G217"/>
      <c r="H217" s="3">
        <f t="shared" si="3"/>
        <v>0</v>
      </c>
    </row>
    <row r="218" spans="1:8">
      <c r="A218" t="s">
        <v>1902</v>
      </c>
      <c r="B218" t="s">
        <v>1903</v>
      </c>
      <c r="C218" t="s">
        <v>356</v>
      </c>
      <c r="D218" s="4">
        <v>317700</v>
      </c>
      <c r="E218" s="4">
        <v>317700</v>
      </c>
      <c r="F218" s="4">
        <v>635400</v>
      </c>
      <c r="G218"/>
      <c r="H218" s="3">
        <f t="shared" si="3"/>
        <v>0</v>
      </c>
    </row>
    <row r="219" spans="1:8">
      <c r="A219" t="s">
        <v>1907</v>
      </c>
      <c r="B219" t="s">
        <v>1908</v>
      </c>
      <c r="C219" t="s">
        <v>317</v>
      </c>
      <c r="D219" s="4">
        <v>694600</v>
      </c>
      <c r="E219" s="4">
        <v>694600</v>
      </c>
      <c r="F219" s="4">
        <v>1389200</v>
      </c>
      <c r="G219"/>
      <c r="H219" s="3">
        <f t="shared" si="3"/>
        <v>0</v>
      </c>
    </row>
    <row r="220" spans="1:8">
      <c r="A220" t="s">
        <v>1911</v>
      </c>
      <c r="B220" t="s">
        <v>1912</v>
      </c>
      <c r="C220" t="s">
        <v>356</v>
      </c>
      <c r="D220" s="4">
        <v>385900</v>
      </c>
      <c r="E220" s="4">
        <v>385900</v>
      </c>
      <c r="F220" s="4">
        <v>771800</v>
      </c>
      <c r="G220"/>
      <c r="H220" s="3">
        <f t="shared" si="3"/>
        <v>0</v>
      </c>
    </row>
    <row r="221" spans="1:8">
      <c r="A221" t="s">
        <v>1974</v>
      </c>
      <c r="B221" t="s">
        <v>1975</v>
      </c>
      <c r="C221" t="s">
        <v>317</v>
      </c>
      <c r="D221" s="4">
        <v>537700</v>
      </c>
      <c r="E221" s="4">
        <v>537700</v>
      </c>
      <c r="F221" s="4">
        <v>1075400</v>
      </c>
      <c r="G221"/>
      <c r="H221" s="3">
        <f t="shared" si="3"/>
        <v>0</v>
      </c>
    </row>
    <row r="222" spans="1:8">
      <c r="A222" t="s">
        <v>2009</v>
      </c>
      <c r="B222" t="s">
        <v>2010</v>
      </c>
      <c r="C222" t="s">
        <v>356</v>
      </c>
      <c r="D222" s="4">
        <v>353600</v>
      </c>
      <c r="E222" s="4"/>
      <c r="F222" s="4">
        <v>353600</v>
      </c>
      <c r="G222"/>
      <c r="H222" s="3">
        <f t="shared" si="3"/>
        <v>353600</v>
      </c>
    </row>
    <row r="223" spans="1:8">
      <c r="A223" t="s">
        <v>2009</v>
      </c>
      <c r="B223" t="s">
        <v>3053</v>
      </c>
      <c r="C223" t="s">
        <v>356</v>
      </c>
      <c r="D223" s="4"/>
      <c r="E223" s="4">
        <v>353600</v>
      </c>
      <c r="F223" s="4">
        <v>353600</v>
      </c>
      <c r="G223"/>
      <c r="H223" s="3">
        <f t="shared" si="3"/>
        <v>-353600</v>
      </c>
    </row>
    <row r="224" spans="1:8">
      <c r="A224" t="s">
        <v>2097</v>
      </c>
      <c r="B224" t="s">
        <v>2098</v>
      </c>
      <c r="C224" t="s">
        <v>356</v>
      </c>
      <c r="D224" s="4">
        <v>254700</v>
      </c>
      <c r="E224" s="4">
        <v>254700</v>
      </c>
      <c r="F224" s="4">
        <v>509400</v>
      </c>
      <c r="G224"/>
      <c r="H224" s="3">
        <f t="shared" si="3"/>
        <v>0</v>
      </c>
    </row>
    <row r="225" spans="1:8">
      <c r="A225" t="s">
        <v>2111</v>
      </c>
      <c r="B225" t="s">
        <v>2112</v>
      </c>
      <c r="C225" t="s">
        <v>317</v>
      </c>
      <c r="D225" s="4">
        <v>718900</v>
      </c>
      <c r="E225" s="4">
        <v>718900</v>
      </c>
      <c r="F225" s="4">
        <v>1437800</v>
      </c>
      <c r="G225"/>
      <c r="H225" s="3">
        <f t="shared" si="3"/>
        <v>0</v>
      </c>
    </row>
    <row r="226" spans="1:8">
      <c r="A226" t="s">
        <v>2122</v>
      </c>
      <c r="B226" t="s">
        <v>2123</v>
      </c>
      <c r="C226" t="s">
        <v>317</v>
      </c>
      <c r="D226" s="4">
        <v>376600</v>
      </c>
      <c r="E226" s="4">
        <v>376600</v>
      </c>
      <c r="F226" s="4">
        <v>753200</v>
      </c>
      <c r="G226"/>
      <c r="H226" s="3">
        <f t="shared" si="3"/>
        <v>0</v>
      </c>
    </row>
    <row r="227" spans="1:8">
      <c r="A227" t="s">
        <v>2137</v>
      </c>
      <c r="B227" t="s">
        <v>2138</v>
      </c>
      <c r="C227" t="s">
        <v>317</v>
      </c>
      <c r="D227" s="4">
        <v>588800</v>
      </c>
      <c r="E227" s="4">
        <v>588800</v>
      </c>
      <c r="F227" s="4">
        <v>1177600</v>
      </c>
      <c r="G227"/>
      <c r="H227" s="3">
        <f t="shared" si="3"/>
        <v>0</v>
      </c>
    </row>
    <row r="228" spans="1:8">
      <c r="A228" t="s">
        <v>2180</v>
      </c>
      <c r="B228" t="s">
        <v>2181</v>
      </c>
      <c r="C228" t="s">
        <v>317</v>
      </c>
      <c r="D228" s="4">
        <v>118300</v>
      </c>
      <c r="E228" s="4">
        <v>118300</v>
      </c>
      <c r="F228" s="4">
        <v>236600</v>
      </c>
      <c r="G228"/>
      <c r="H228" s="3">
        <f t="shared" si="3"/>
        <v>0</v>
      </c>
    </row>
    <row r="229" spans="1:8">
      <c r="A229" t="s">
        <v>2285</v>
      </c>
      <c r="B229" t="s">
        <v>2286</v>
      </c>
      <c r="C229" t="s">
        <v>317</v>
      </c>
      <c r="D229" s="4">
        <v>318400</v>
      </c>
      <c r="E229" s="4">
        <v>318400</v>
      </c>
      <c r="F229" s="4">
        <v>636800</v>
      </c>
      <c r="G229"/>
      <c r="H229" s="3">
        <f t="shared" si="3"/>
        <v>0</v>
      </c>
    </row>
    <row r="230" spans="1:8">
      <c r="A230" t="s">
        <v>2314</v>
      </c>
      <c r="B230" t="s">
        <v>2315</v>
      </c>
      <c r="C230" t="s">
        <v>317</v>
      </c>
      <c r="D230" s="4">
        <v>283800</v>
      </c>
      <c r="E230" s="4">
        <v>283800</v>
      </c>
      <c r="F230" s="4">
        <v>567600</v>
      </c>
      <c r="G230"/>
      <c r="H230" s="3">
        <f t="shared" si="3"/>
        <v>0</v>
      </c>
    </row>
    <row r="231" spans="1:8">
      <c r="A231" t="s">
        <v>2397</v>
      </c>
      <c r="B231" t="s">
        <v>2398</v>
      </c>
      <c r="C231" t="s">
        <v>356</v>
      </c>
      <c r="D231" s="4">
        <v>643900</v>
      </c>
      <c r="E231" s="4">
        <v>643900</v>
      </c>
      <c r="F231" s="4">
        <v>1287800</v>
      </c>
      <c r="G231"/>
      <c r="H231" s="3">
        <f t="shared" si="3"/>
        <v>0</v>
      </c>
    </row>
    <row r="232" spans="1:8">
      <c r="A232" t="s">
        <v>2408</v>
      </c>
      <c r="B232" t="s">
        <v>2409</v>
      </c>
      <c r="C232" t="s">
        <v>137</v>
      </c>
      <c r="D232" s="4">
        <v>403200</v>
      </c>
      <c r="E232" s="4">
        <v>403200</v>
      </c>
      <c r="F232" s="4">
        <v>806400</v>
      </c>
      <c r="H232" s="3">
        <f t="shared" si="3"/>
        <v>0</v>
      </c>
    </row>
    <row r="233" spans="1:8">
      <c r="A233" t="s">
        <v>2438</v>
      </c>
      <c r="B233" t="s">
        <v>2439</v>
      </c>
      <c r="C233" t="s">
        <v>185</v>
      </c>
      <c r="D233" s="4">
        <v>348400</v>
      </c>
      <c r="E233" s="4">
        <v>348400</v>
      </c>
      <c r="F233" s="4">
        <v>696800</v>
      </c>
      <c r="H233" s="3">
        <f t="shared" si="3"/>
        <v>0</v>
      </c>
    </row>
    <row r="234" spans="1:8">
      <c r="A234" t="s">
        <v>2522</v>
      </c>
      <c r="B234" t="s">
        <v>2523</v>
      </c>
      <c r="C234" t="s">
        <v>356</v>
      </c>
      <c r="D234" s="4">
        <v>362300</v>
      </c>
      <c r="E234" s="4">
        <v>362300</v>
      </c>
      <c r="F234" s="4">
        <v>724600</v>
      </c>
      <c r="H234" s="3">
        <f t="shared" si="3"/>
        <v>0</v>
      </c>
    </row>
    <row r="235" spans="1:8">
      <c r="A235" t="s">
        <v>2559</v>
      </c>
      <c r="B235" t="s">
        <v>2560</v>
      </c>
      <c r="C235" t="s">
        <v>356</v>
      </c>
      <c r="D235" s="4">
        <v>280200</v>
      </c>
      <c r="E235" s="4">
        <v>280200</v>
      </c>
      <c r="F235" s="4">
        <v>560400</v>
      </c>
      <c r="H235" s="3">
        <f t="shared" si="3"/>
        <v>0</v>
      </c>
    </row>
    <row r="236" spans="1:8">
      <c r="A236" t="s">
        <v>2627</v>
      </c>
      <c r="B236" t="s">
        <v>2628</v>
      </c>
      <c r="C236" t="s">
        <v>356</v>
      </c>
      <c r="D236" s="4">
        <v>440000</v>
      </c>
      <c r="E236" s="4">
        <v>440000</v>
      </c>
      <c r="F236" s="4">
        <v>880000</v>
      </c>
      <c r="H236" s="3">
        <f t="shared" si="3"/>
        <v>0</v>
      </c>
    </row>
    <row r="237" spans="1:8">
      <c r="A237" t="s">
        <v>2631</v>
      </c>
      <c r="B237" t="s">
        <v>2632</v>
      </c>
      <c r="C237" t="s">
        <v>317</v>
      </c>
      <c r="D237" s="4">
        <v>521800</v>
      </c>
      <c r="E237" s="4">
        <v>521800</v>
      </c>
      <c r="F237" s="4">
        <v>1043600</v>
      </c>
      <c r="H237" s="3">
        <f t="shared" si="3"/>
        <v>0</v>
      </c>
    </row>
    <row r="238" spans="1:8">
      <c r="A238" t="s">
        <v>2652</v>
      </c>
      <c r="B238" t="s">
        <v>2653</v>
      </c>
      <c r="C238" t="s">
        <v>317</v>
      </c>
      <c r="D238" s="4">
        <v>280200</v>
      </c>
      <c r="E238" s="4">
        <v>280200</v>
      </c>
      <c r="F238" s="4">
        <v>560400</v>
      </c>
      <c r="H238" s="3">
        <f t="shared" si="3"/>
        <v>0</v>
      </c>
    </row>
    <row r="239" spans="1:8">
      <c r="A239" t="s">
        <v>2667</v>
      </c>
      <c r="B239" t="s">
        <v>2668</v>
      </c>
      <c r="C239" t="s">
        <v>185</v>
      </c>
      <c r="D239" s="4">
        <v>1462500</v>
      </c>
      <c r="E239" s="4">
        <v>1462500</v>
      </c>
      <c r="F239" s="4">
        <v>2925000</v>
      </c>
      <c r="H239" s="3">
        <f t="shared" si="3"/>
        <v>0</v>
      </c>
    </row>
    <row r="240" spans="1:8">
      <c r="A240" t="s">
        <v>2699</v>
      </c>
      <c r="B240" t="s">
        <v>2700</v>
      </c>
      <c r="C240" t="s">
        <v>356</v>
      </c>
      <c r="D240" s="4">
        <v>617700</v>
      </c>
      <c r="E240" s="4">
        <v>617700</v>
      </c>
      <c r="F240" s="4">
        <v>1235400</v>
      </c>
      <c r="H240" s="3">
        <f t="shared" si="3"/>
        <v>0</v>
      </c>
    </row>
    <row r="241" spans="1:8">
      <c r="A241" t="s">
        <v>2722</v>
      </c>
      <c r="B241" t="s">
        <v>2723</v>
      </c>
      <c r="C241" t="s">
        <v>317</v>
      </c>
      <c r="D241" s="4">
        <v>506000</v>
      </c>
      <c r="E241" s="4">
        <v>506000</v>
      </c>
      <c r="F241" s="4">
        <v>1012000</v>
      </c>
      <c r="H241" s="3">
        <f t="shared" si="3"/>
        <v>0</v>
      </c>
    </row>
    <row r="242" spans="1:8">
      <c r="A242" t="s">
        <v>2766</v>
      </c>
      <c r="B242" t="s">
        <v>2767</v>
      </c>
      <c r="C242" t="s">
        <v>185</v>
      </c>
      <c r="D242" s="4">
        <v>633000</v>
      </c>
      <c r="E242" s="4">
        <v>633000</v>
      </c>
      <c r="F242" s="4">
        <v>1266000</v>
      </c>
      <c r="H242" s="3">
        <f t="shared" si="3"/>
        <v>0</v>
      </c>
    </row>
    <row r="243" spans="1:8">
      <c r="A243" t="s">
        <v>2816</v>
      </c>
      <c r="B243" t="s">
        <v>2817</v>
      </c>
      <c r="C243" t="s">
        <v>185</v>
      </c>
      <c r="D243" s="4">
        <v>568100</v>
      </c>
      <c r="E243" s="4">
        <v>568100</v>
      </c>
      <c r="F243" s="4">
        <v>1136200</v>
      </c>
      <c r="H243" s="3">
        <f t="shared" si="3"/>
        <v>0</v>
      </c>
    </row>
    <row r="244" spans="1:8">
      <c r="A244" t="s">
        <v>2839</v>
      </c>
      <c r="B244" t="s">
        <v>2840</v>
      </c>
      <c r="C244" t="s">
        <v>317</v>
      </c>
      <c r="D244" s="4">
        <v>381300</v>
      </c>
      <c r="E244" s="4">
        <v>381300</v>
      </c>
      <c r="F244" s="4">
        <v>762600</v>
      </c>
      <c r="H244" s="3">
        <f t="shared" si="3"/>
        <v>0</v>
      </c>
    </row>
    <row r="245" spans="1:8">
      <c r="A245" t="s">
        <v>2848</v>
      </c>
      <c r="B245" t="s">
        <v>2849</v>
      </c>
      <c r="C245" t="s">
        <v>356</v>
      </c>
      <c r="D245" s="4">
        <v>345300</v>
      </c>
      <c r="E245" s="4">
        <v>345300</v>
      </c>
      <c r="F245" s="4">
        <v>690600</v>
      </c>
      <c r="H245" s="3">
        <f t="shared" si="3"/>
        <v>0</v>
      </c>
    </row>
    <row r="246" spans="1:8">
      <c r="A246" t="s">
        <v>2851</v>
      </c>
      <c r="B246" t="s">
        <v>2852</v>
      </c>
      <c r="C246" t="s">
        <v>356</v>
      </c>
      <c r="D246" s="4">
        <v>426200</v>
      </c>
      <c r="E246" s="4">
        <v>426200</v>
      </c>
      <c r="F246" s="4">
        <v>852400</v>
      </c>
      <c r="H246" s="3">
        <f t="shared" si="3"/>
        <v>0</v>
      </c>
    </row>
    <row r="247" spans="1:8">
      <c r="A247" t="s">
        <v>2861</v>
      </c>
      <c r="B247" t="s">
        <v>2862</v>
      </c>
      <c r="C247" t="s">
        <v>356</v>
      </c>
      <c r="D247" s="4">
        <v>569900</v>
      </c>
      <c r="E247" s="4">
        <v>569900</v>
      </c>
      <c r="F247" s="4">
        <v>1139800</v>
      </c>
      <c r="H247" s="3">
        <f t="shared" si="3"/>
        <v>0</v>
      </c>
    </row>
    <row r="248" spans="1:8">
      <c r="A248" t="s">
        <v>2904</v>
      </c>
      <c r="B248" t="s">
        <v>2905</v>
      </c>
      <c r="C248" t="s">
        <v>317</v>
      </c>
      <c r="D248" s="4">
        <v>416900</v>
      </c>
      <c r="E248" s="4">
        <v>416900</v>
      </c>
      <c r="F248" s="4">
        <v>833800</v>
      </c>
      <c r="H248" s="3">
        <f t="shared" si="3"/>
        <v>0</v>
      </c>
    </row>
    <row r="249" spans="1:8">
      <c r="A249" t="s">
        <v>2922</v>
      </c>
      <c r="B249" t="s">
        <v>2923</v>
      </c>
      <c r="C249" t="s">
        <v>356</v>
      </c>
      <c r="D249" s="4">
        <v>419900</v>
      </c>
      <c r="E249" s="4">
        <v>419900</v>
      </c>
      <c r="F249" s="4">
        <v>839800</v>
      </c>
      <c r="H249" s="3">
        <f t="shared" si="3"/>
        <v>0</v>
      </c>
    </row>
    <row r="250" spans="1:8">
      <c r="A250" t="s">
        <v>2931</v>
      </c>
      <c r="B250" t="s">
        <v>2932</v>
      </c>
      <c r="C250" t="s">
        <v>356</v>
      </c>
      <c r="D250" s="4">
        <v>429800</v>
      </c>
      <c r="E250" s="4">
        <v>429800</v>
      </c>
      <c r="F250" s="4">
        <v>859600</v>
      </c>
      <c r="H250" s="3">
        <f t="shared" si="3"/>
        <v>0</v>
      </c>
    </row>
    <row r="251" spans="1:8">
      <c r="A251" t="s">
        <v>2950</v>
      </c>
      <c r="B251" t="s">
        <v>2951</v>
      </c>
      <c r="C251" t="s">
        <v>185</v>
      </c>
      <c r="D251" s="4">
        <v>432600</v>
      </c>
      <c r="E251" s="4">
        <v>432600</v>
      </c>
      <c r="F251" s="4">
        <v>865200</v>
      </c>
      <c r="H251" s="3">
        <f t="shared" si="3"/>
        <v>0</v>
      </c>
    </row>
    <row r="252" spans="1:8">
      <c r="A252" t="s">
        <v>2965</v>
      </c>
      <c r="B252" t="s">
        <v>2966</v>
      </c>
      <c r="C252" t="s">
        <v>317</v>
      </c>
      <c r="D252" s="4">
        <v>1021800</v>
      </c>
      <c r="E252" s="4">
        <v>1021800</v>
      </c>
      <c r="F252" s="4">
        <v>2043600</v>
      </c>
      <c r="H252" s="3">
        <f t="shared" si="3"/>
        <v>0</v>
      </c>
    </row>
    <row r="253" spans="1:8">
      <c r="A253" t="s">
        <v>3034</v>
      </c>
      <c r="B253" t="s">
        <v>3035</v>
      </c>
      <c r="C253" t="s">
        <v>185</v>
      </c>
      <c r="D253" s="4">
        <v>386900</v>
      </c>
      <c r="E253" s="4">
        <v>386900</v>
      </c>
      <c r="F253" s="4">
        <v>773800</v>
      </c>
      <c r="H253" s="3">
        <f t="shared" si="3"/>
        <v>0</v>
      </c>
    </row>
    <row r="254" spans="1:8">
      <c r="A254" t="s">
        <v>3042</v>
      </c>
      <c r="B254" t="s">
        <v>3043</v>
      </c>
      <c r="C254" t="s">
        <v>185</v>
      </c>
      <c r="D254" s="4">
        <v>467300</v>
      </c>
      <c r="E254" s="4">
        <v>467300</v>
      </c>
      <c r="F254" s="4">
        <v>934600</v>
      </c>
      <c r="H254" s="3">
        <f t="shared" si="3"/>
        <v>0</v>
      </c>
    </row>
    <row r="255" spans="1:8">
      <c r="A255" t="s">
        <v>1499</v>
      </c>
      <c r="B255" t="s">
        <v>1500</v>
      </c>
      <c r="C255" t="s">
        <v>317</v>
      </c>
      <c r="D255" s="4">
        <v>157000</v>
      </c>
      <c r="E255" s="4">
        <v>157000</v>
      </c>
      <c r="F255" s="4">
        <v>314000</v>
      </c>
      <c r="H255" s="3">
        <f t="shared" si="3"/>
        <v>0</v>
      </c>
    </row>
    <row r="256" spans="1:8">
      <c r="A256" t="s">
        <v>1588</v>
      </c>
      <c r="B256" t="s">
        <v>1589</v>
      </c>
      <c r="C256" t="s">
        <v>356</v>
      </c>
      <c r="D256" s="4">
        <v>457600</v>
      </c>
      <c r="E256" s="4">
        <v>457600</v>
      </c>
      <c r="F256" s="4">
        <v>915200</v>
      </c>
      <c r="H256" s="3">
        <f t="shared" si="3"/>
        <v>0</v>
      </c>
    </row>
    <row r="257" spans="1:8">
      <c r="A257" t="s">
        <v>1703</v>
      </c>
      <c r="B257" t="s">
        <v>1704</v>
      </c>
      <c r="C257" t="s">
        <v>356</v>
      </c>
      <c r="D257" s="4">
        <v>363700</v>
      </c>
      <c r="E257" s="4">
        <v>363700</v>
      </c>
      <c r="F257" s="4">
        <v>727400</v>
      </c>
      <c r="H257" s="3">
        <f t="shared" si="3"/>
        <v>0</v>
      </c>
    </row>
    <row r="258" spans="1:8">
      <c r="A258" t="s">
        <v>1782</v>
      </c>
      <c r="B258" t="s">
        <v>1783</v>
      </c>
      <c r="C258" t="s">
        <v>356</v>
      </c>
      <c r="D258" s="4">
        <v>198800</v>
      </c>
      <c r="E258" s="4">
        <v>198800</v>
      </c>
      <c r="F258" s="4">
        <v>397600</v>
      </c>
      <c r="H258" s="3">
        <f t="shared" si="3"/>
        <v>0</v>
      </c>
    </row>
    <row r="259" spans="1:8">
      <c r="A259" t="s">
        <v>1870</v>
      </c>
      <c r="B259" t="s">
        <v>1871</v>
      </c>
      <c r="C259" t="s">
        <v>185</v>
      </c>
      <c r="D259" s="4">
        <v>379000</v>
      </c>
      <c r="E259" s="4">
        <v>379000</v>
      </c>
      <c r="F259" s="4">
        <v>758000</v>
      </c>
      <c r="H259" s="3">
        <f t="shared" si="3"/>
        <v>0</v>
      </c>
    </row>
    <row r="260" spans="1:8">
      <c r="A260" t="s">
        <v>1969</v>
      </c>
      <c r="B260" t="s">
        <v>1970</v>
      </c>
      <c r="C260" t="s">
        <v>317</v>
      </c>
      <c r="D260" s="4">
        <v>292900</v>
      </c>
      <c r="E260" s="4">
        <v>292900</v>
      </c>
      <c r="F260" s="4">
        <v>585800</v>
      </c>
      <c r="H260" s="3">
        <f t="shared" si="3"/>
        <v>0</v>
      </c>
    </row>
    <row r="261" spans="1:8">
      <c r="A261" t="s">
        <v>2017</v>
      </c>
      <c r="B261" t="s">
        <v>2018</v>
      </c>
      <c r="C261" t="s">
        <v>185</v>
      </c>
      <c r="D261" s="4">
        <v>97200</v>
      </c>
      <c r="E261" s="4">
        <v>97200</v>
      </c>
      <c r="F261" s="4">
        <v>194400</v>
      </c>
      <c r="H261" s="3">
        <f t="shared" si="3"/>
        <v>0</v>
      </c>
    </row>
    <row r="262" spans="1:8">
      <c r="A262" t="s">
        <v>2062</v>
      </c>
      <c r="B262" t="s">
        <v>2063</v>
      </c>
      <c r="C262" t="s">
        <v>317</v>
      </c>
      <c r="D262" s="4">
        <v>674500</v>
      </c>
      <c r="E262" s="4">
        <v>674500</v>
      </c>
      <c r="F262" s="4">
        <v>1349000</v>
      </c>
      <c r="H262" s="3">
        <f t="shared" ref="H262:H325" si="4">+D262-E262</f>
        <v>0</v>
      </c>
    </row>
    <row r="263" spans="1:8">
      <c r="A263" t="s">
        <v>2071</v>
      </c>
      <c r="B263" t="s">
        <v>2072</v>
      </c>
      <c r="C263" t="s">
        <v>317</v>
      </c>
      <c r="D263" s="4">
        <v>249400</v>
      </c>
      <c r="E263" s="4">
        <v>249400</v>
      </c>
      <c r="F263" s="4">
        <v>498800</v>
      </c>
      <c r="H263" s="3">
        <f t="shared" si="4"/>
        <v>0</v>
      </c>
    </row>
    <row r="264" spans="1:8">
      <c r="A264" t="s">
        <v>2092</v>
      </c>
      <c r="B264" t="s">
        <v>2093</v>
      </c>
      <c r="C264" t="s">
        <v>317</v>
      </c>
      <c r="D264" s="4">
        <v>503900</v>
      </c>
      <c r="E264" s="4">
        <v>503900</v>
      </c>
      <c r="F264" s="4">
        <v>1007800</v>
      </c>
      <c r="H264" s="3">
        <f t="shared" si="4"/>
        <v>0</v>
      </c>
    </row>
    <row r="265" spans="1:8">
      <c r="A265" t="s">
        <v>2140</v>
      </c>
      <c r="B265" t="s">
        <v>2141</v>
      </c>
      <c r="C265" t="s">
        <v>317</v>
      </c>
      <c r="D265" s="4">
        <v>627100</v>
      </c>
      <c r="E265" s="4">
        <v>627100</v>
      </c>
      <c r="F265" s="4">
        <v>1254200</v>
      </c>
      <c r="H265" s="3">
        <f t="shared" si="4"/>
        <v>0</v>
      </c>
    </row>
    <row r="266" spans="1:8">
      <c r="A266" t="s">
        <v>2238</v>
      </c>
      <c r="B266" t="s">
        <v>2239</v>
      </c>
      <c r="C266" t="s">
        <v>317</v>
      </c>
      <c r="D266" s="4">
        <v>641900</v>
      </c>
      <c r="E266" s="4">
        <v>641900</v>
      </c>
      <c r="F266" s="4">
        <v>1283800</v>
      </c>
      <c r="H266" s="3">
        <f t="shared" si="4"/>
        <v>0</v>
      </c>
    </row>
    <row r="267" spans="1:8">
      <c r="A267" t="s">
        <v>2333</v>
      </c>
      <c r="B267" t="s">
        <v>2334</v>
      </c>
      <c r="C267" t="s">
        <v>356</v>
      </c>
      <c r="D267" s="4">
        <v>770700</v>
      </c>
      <c r="E267" s="4">
        <v>770700</v>
      </c>
      <c r="F267" s="4">
        <v>1541400</v>
      </c>
      <c r="H267" s="3">
        <f t="shared" si="4"/>
        <v>0</v>
      </c>
    </row>
    <row r="268" spans="1:8">
      <c r="A268" t="s">
        <v>2404</v>
      </c>
      <c r="B268" t="s">
        <v>2405</v>
      </c>
      <c r="C268" t="s">
        <v>185</v>
      </c>
      <c r="D268" s="4">
        <v>377200</v>
      </c>
      <c r="E268" s="4">
        <v>377200</v>
      </c>
      <c r="F268" s="4">
        <v>754400</v>
      </c>
      <c r="H268" s="3">
        <f t="shared" si="4"/>
        <v>0</v>
      </c>
    </row>
    <row r="269" spans="1:8">
      <c r="A269" t="s">
        <v>2406</v>
      </c>
      <c r="B269" t="s">
        <v>2407</v>
      </c>
      <c r="C269" t="s">
        <v>185</v>
      </c>
      <c r="D269" s="4">
        <v>649300</v>
      </c>
      <c r="E269" s="4">
        <v>649300</v>
      </c>
      <c r="F269" s="4">
        <v>1298600</v>
      </c>
      <c r="H269" s="3">
        <f t="shared" si="4"/>
        <v>0</v>
      </c>
    </row>
    <row r="270" spans="1:8">
      <c r="A270" t="s">
        <v>2429</v>
      </c>
      <c r="B270" t="s">
        <v>2430</v>
      </c>
      <c r="C270" t="s">
        <v>3076</v>
      </c>
      <c r="D270" s="4">
        <v>0</v>
      </c>
      <c r="E270" s="4"/>
      <c r="F270" s="4">
        <v>0</v>
      </c>
      <c r="H270" s="3">
        <f t="shared" si="4"/>
        <v>0</v>
      </c>
    </row>
    <row r="271" spans="1:8">
      <c r="A271" t="s">
        <v>2429</v>
      </c>
      <c r="B271" t="s">
        <v>2430</v>
      </c>
      <c r="C271" t="s">
        <v>25</v>
      </c>
      <c r="D271" s="4"/>
      <c r="E271" s="4">
        <v>0</v>
      </c>
      <c r="F271" s="4">
        <v>0</v>
      </c>
      <c r="H271" s="3">
        <f t="shared" si="4"/>
        <v>0</v>
      </c>
    </row>
    <row r="272" spans="1:8">
      <c r="A272" t="s">
        <v>2456</v>
      </c>
      <c r="B272" t="s">
        <v>2457</v>
      </c>
      <c r="C272" t="s">
        <v>356</v>
      </c>
      <c r="D272" s="4">
        <v>431100</v>
      </c>
      <c r="E272" s="4">
        <v>431100</v>
      </c>
      <c r="F272" s="4">
        <v>862200</v>
      </c>
      <c r="H272" s="3">
        <f t="shared" si="4"/>
        <v>0</v>
      </c>
    </row>
    <row r="273" spans="1:8">
      <c r="A273" t="s">
        <v>2469</v>
      </c>
      <c r="B273" t="s">
        <v>2470</v>
      </c>
      <c r="C273" t="s">
        <v>185</v>
      </c>
      <c r="D273" s="4">
        <v>420700</v>
      </c>
      <c r="E273" s="4">
        <v>420700</v>
      </c>
      <c r="F273" s="4">
        <v>841400</v>
      </c>
      <c r="H273" s="3">
        <f t="shared" si="4"/>
        <v>0</v>
      </c>
    </row>
    <row r="274" spans="1:8">
      <c r="A274" t="s">
        <v>2492</v>
      </c>
      <c r="B274" t="s">
        <v>2493</v>
      </c>
      <c r="C274" t="s">
        <v>185</v>
      </c>
      <c r="D274" s="4">
        <v>417300</v>
      </c>
      <c r="E274" s="4">
        <v>417300</v>
      </c>
      <c r="F274" s="4">
        <v>834600</v>
      </c>
      <c r="H274" s="3">
        <f t="shared" si="4"/>
        <v>0</v>
      </c>
    </row>
    <row r="275" spans="1:8">
      <c r="A275" t="s">
        <v>2519</v>
      </c>
      <c r="B275" t="s">
        <v>2520</v>
      </c>
      <c r="C275" t="s">
        <v>317</v>
      </c>
      <c r="D275" s="4">
        <v>608800</v>
      </c>
      <c r="E275" s="4">
        <v>608800</v>
      </c>
      <c r="F275" s="4">
        <v>1217600</v>
      </c>
      <c r="H275" s="3">
        <f t="shared" si="4"/>
        <v>0</v>
      </c>
    </row>
    <row r="276" spans="1:8">
      <c r="A276" t="s">
        <v>2533</v>
      </c>
      <c r="B276" t="s">
        <v>2534</v>
      </c>
      <c r="C276" t="s">
        <v>317</v>
      </c>
      <c r="D276" s="4">
        <v>445800</v>
      </c>
      <c r="E276" s="4">
        <v>445800</v>
      </c>
      <c r="F276" s="4">
        <v>891600</v>
      </c>
      <c r="H276" s="3">
        <f t="shared" si="4"/>
        <v>0</v>
      </c>
    </row>
    <row r="277" spans="1:8">
      <c r="A277" t="s">
        <v>2545</v>
      </c>
      <c r="B277" t="s">
        <v>2546</v>
      </c>
      <c r="C277" t="s">
        <v>317</v>
      </c>
      <c r="D277" s="4">
        <v>627600</v>
      </c>
      <c r="E277" s="4">
        <v>627600</v>
      </c>
      <c r="F277" s="4">
        <v>1255200</v>
      </c>
      <c r="H277" s="3">
        <f t="shared" si="4"/>
        <v>0</v>
      </c>
    </row>
    <row r="278" spans="1:8">
      <c r="A278" t="s">
        <v>2669</v>
      </c>
      <c r="B278" t="s">
        <v>2670</v>
      </c>
      <c r="C278" t="s">
        <v>317</v>
      </c>
      <c r="D278" s="4">
        <v>510200</v>
      </c>
      <c r="E278" s="4">
        <v>510200</v>
      </c>
      <c r="F278" s="4">
        <v>1020400</v>
      </c>
      <c r="H278" s="3">
        <f t="shared" si="4"/>
        <v>0</v>
      </c>
    </row>
    <row r="279" spans="1:8">
      <c r="A279" t="s">
        <v>2676</v>
      </c>
      <c r="B279" t="s">
        <v>2677</v>
      </c>
      <c r="C279" t="s">
        <v>356</v>
      </c>
      <c r="D279" s="4">
        <v>621200</v>
      </c>
      <c r="E279" s="4">
        <v>621200</v>
      </c>
      <c r="F279" s="4">
        <v>1242400</v>
      </c>
      <c r="H279" s="3">
        <f t="shared" si="4"/>
        <v>0</v>
      </c>
    </row>
    <row r="280" spans="1:8">
      <c r="A280" t="s">
        <v>2685</v>
      </c>
      <c r="B280" t="s">
        <v>2686</v>
      </c>
      <c r="C280" t="s">
        <v>317</v>
      </c>
      <c r="D280" s="4">
        <v>620400</v>
      </c>
      <c r="E280" s="4">
        <v>620400</v>
      </c>
      <c r="F280" s="4">
        <v>1240800</v>
      </c>
      <c r="H280" s="3">
        <f t="shared" si="4"/>
        <v>0</v>
      </c>
    </row>
    <row r="281" spans="1:8">
      <c r="A281" t="s">
        <v>2733</v>
      </c>
      <c r="B281" t="s">
        <v>2734</v>
      </c>
      <c r="C281" t="s">
        <v>185</v>
      </c>
      <c r="D281" s="4">
        <v>226400</v>
      </c>
      <c r="E281" s="4">
        <v>226400</v>
      </c>
      <c r="F281" s="4">
        <v>452800</v>
      </c>
      <c r="H281" s="3">
        <f t="shared" si="4"/>
        <v>0</v>
      </c>
    </row>
    <row r="282" spans="1:8">
      <c r="A282" t="s">
        <v>2857</v>
      </c>
      <c r="B282" t="s">
        <v>2858</v>
      </c>
      <c r="C282" t="s">
        <v>317</v>
      </c>
      <c r="D282" s="4">
        <v>580900</v>
      </c>
      <c r="E282" s="4">
        <v>580900</v>
      </c>
      <c r="F282" s="4">
        <v>1161800</v>
      </c>
      <c r="H282" s="3">
        <f t="shared" si="4"/>
        <v>0</v>
      </c>
    </row>
    <row r="283" spans="1:8">
      <c r="A283" t="s">
        <v>2867</v>
      </c>
      <c r="B283" t="s">
        <v>2868</v>
      </c>
      <c r="C283" t="s">
        <v>317</v>
      </c>
      <c r="D283" s="4">
        <v>660700</v>
      </c>
      <c r="E283" s="4">
        <v>660700</v>
      </c>
      <c r="F283" s="4">
        <v>1321400</v>
      </c>
      <c r="H283" s="3">
        <f t="shared" si="4"/>
        <v>0</v>
      </c>
    </row>
    <row r="284" spans="1:8">
      <c r="A284" t="s">
        <v>2900</v>
      </c>
      <c r="B284" t="s">
        <v>2901</v>
      </c>
      <c r="C284" t="s">
        <v>317</v>
      </c>
      <c r="D284" s="4">
        <v>490100</v>
      </c>
      <c r="E284" s="4">
        <v>490100</v>
      </c>
      <c r="F284" s="4">
        <v>980200</v>
      </c>
      <c r="H284" s="3">
        <f t="shared" si="4"/>
        <v>0</v>
      </c>
    </row>
    <row r="285" spans="1:8">
      <c r="A285" t="s">
        <v>2919</v>
      </c>
      <c r="B285" t="s">
        <v>2920</v>
      </c>
      <c r="C285" t="s">
        <v>317</v>
      </c>
      <c r="D285" s="4">
        <v>436800</v>
      </c>
      <c r="E285" s="4">
        <v>436800</v>
      </c>
      <c r="F285" s="4">
        <v>873600</v>
      </c>
      <c r="H285" s="3">
        <f t="shared" si="4"/>
        <v>0</v>
      </c>
    </row>
    <row r="286" spans="1:8">
      <c r="A286" t="s">
        <v>2933</v>
      </c>
      <c r="B286" t="s">
        <v>2934</v>
      </c>
      <c r="C286" t="s">
        <v>356</v>
      </c>
      <c r="D286" s="4">
        <v>480500</v>
      </c>
      <c r="E286" s="4">
        <v>480500</v>
      </c>
      <c r="F286" s="4">
        <v>961000</v>
      </c>
      <c r="H286" s="3">
        <f t="shared" si="4"/>
        <v>0</v>
      </c>
    </row>
    <row r="287" spans="1:8">
      <c r="A287" t="s">
        <v>2974</v>
      </c>
      <c r="B287" t="s">
        <v>2975</v>
      </c>
      <c r="C287" t="s">
        <v>185</v>
      </c>
      <c r="D287" s="4">
        <v>200300</v>
      </c>
      <c r="E287" s="4">
        <v>200300</v>
      </c>
      <c r="F287" s="4">
        <v>400600</v>
      </c>
      <c r="H287" s="3">
        <f t="shared" si="4"/>
        <v>0</v>
      </c>
    </row>
    <row r="288" spans="1:8">
      <c r="A288" t="s">
        <v>2980</v>
      </c>
      <c r="B288" t="s">
        <v>2981</v>
      </c>
      <c r="C288" t="s">
        <v>317</v>
      </c>
      <c r="D288" s="4">
        <v>382700</v>
      </c>
      <c r="E288" s="4">
        <v>382700</v>
      </c>
      <c r="F288" s="4">
        <v>765400</v>
      </c>
      <c r="H288" s="3">
        <f t="shared" si="4"/>
        <v>0</v>
      </c>
    </row>
    <row r="289" spans="1:8">
      <c r="A289" t="s">
        <v>2995</v>
      </c>
      <c r="B289" t="s">
        <v>2996</v>
      </c>
      <c r="C289" t="s">
        <v>356</v>
      </c>
      <c r="D289" s="4">
        <v>597500</v>
      </c>
      <c r="E289" s="4"/>
      <c r="F289" s="4">
        <v>597500</v>
      </c>
      <c r="H289" s="3">
        <f t="shared" si="4"/>
        <v>597500</v>
      </c>
    </row>
    <row r="290" spans="1:8">
      <c r="A290" t="s">
        <v>2995</v>
      </c>
      <c r="B290" t="s">
        <v>3068</v>
      </c>
      <c r="C290" t="s">
        <v>356</v>
      </c>
      <c r="D290" s="4"/>
      <c r="E290" s="4">
        <v>597500</v>
      </c>
      <c r="F290" s="4">
        <v>597500</v>
      </c>
      <c r="H290" s="3">
        <f t="shared" si="4"/>
        <v>-597500</v>
      </c>
    </row>
    <row r="291" spans="1:8">
      <c r="A291" t="s">
        <v>3031</v>
      </c>
      <c r="B291" t="s">
        <v>3032</v>
      </c>
      <c r="C291" t="s">
        <v>185</v>
      </c>
      <c r="D291" s="4">
        <v>505800</v>
      </c>
      <c r="E291" s="4">
        <v>505800</v>
      </c>
      <c r="F291" s="4">
        <v>1011600</v>
      </c>
      <c r="H291" s="3">
        <f t="shared" si="4"/>
        <v>0</v>
      </c>
    </row>
    <row r="292" spans="1:8">
      <c r="A292" t="s">
        <v>1447</v>
      </c>
      <c r="B292" t="s">
        <v>1448</v>
      </c>
      <c r="C292" t="s">
        <v>317</v>
      </c>
      <c r="D292" s="4">
        <v>355600</v>
      </c>
      <c r="E292" s="4">
        <v>355600</v>
      </c>
      <c r="F292" s="4">
        <v>711200</v>
      </c>
      <c r="H292" s="3">
        <f t="shared" si="4"/>
        <v>0</v>
      </c>
    </row>
    <row r="293" spans="1:8">
      <c r="A293" t="s">
        <v>1452</v>
      </c>
      <c r="B293" t="s">
        <v>1453</v>
      </c>
      <c r="C293" t="s">
        <v>317</v>
      </c>
      <c r="D293" s="4">
        <v>422900</v>
      </c>
      <c r="E293" s="4">
        <v>422900</v>
      </c>
      <c r="F293" s="4">
        <v>845800</v>
      </c>
      <c r="H293" s="3">
        <f t="shared" si="4"/>
        <v>0</v>
      </c>
    </row>
    <row r="294" spans="1:8">
      <c r="A294" t="s">
        <v>1463</v>
      </c>
      <c r="B294" t="s">
        <v>1464</v>
      </c>
      <c r="C294" t="s">
        <v>317</v>
      </c>
      <c r="D294" s="4">
        <v>331400</v>
      </c>
      <c r="E294" s="4">
        <v>331400</v>
      </c>
      <c r="F294" s="4">
        <v>662800</v>
      </c>
      <c r="H294" s="3">
        <f t="shared" si="4"/>
        <v>0</v>
      </c>
    </row>
    <row r="295" spans="1:8">
      <c r="A295" t="s">
        <v>1493</v>
      </c>
      <c r="B295" t="s">
        <v>1494</v>
      </c>
      <c r="C295" t="s">
        <v>317</v>
      </c>
      <c r="D295" s="4">
        <v>317300</v>
      </c>
      <c r="E295" s="4">
        <v>317300</v>
      </c>
      <c r="F295" s="4">
        <v>634600</v>
      </c>
      <c r="H295" s="3">
        <f t="shared" si="4"/>
        <v>0</v>
      </c>
    </row>
    <row r="296" spans="1:8">
      <c r="A296" t="s">
        <v>1699</v>
      </c>
      <c r="B296" t="s">
        <v>1700</v>
      </c>
      <c r="C296" t="s">
        <v>185</v>
      </c>
      <c r="D296" s="4">
        <v>475200</v>
      </c>
      <c r="E296" s="4">
        <v>475200</v>
      </c>
      <c r="F296" s="4">
        <v>950400</v>
      </c>
      <c r="H296" s="3">
        <f t="shared" si="4"/>
        <v>0</v>
      </c>
    </row>
    <row r="297" spans="1:8">
      <c r="A297" t="s">
        <v>1731</v>
      </c>
      <c r="B297" t="s">
        <v>1732</v>
      </c>
      <c r="C297" t="s">
        <v>185</v>
      </c>
      <c r="D297" s="4">
        <v>833600</v>
      </c>
      <c r="E297" s="4">
        <v>833600</v>
      </c>
      <c r="F297" s="4">
        <v>1667200</v>
      </c>
      <c r="H297" s="3">
        <f t="shared" si="4"/>
        <v>0</v>
      </c>
    </row>
    <row r="298" spans="1:8">
      <c r="A298" t="s">
        <v>1758</v>
      </c>
      <c r="B298" t="s">
        <v>1759</v>
      </c>
      <c r="C298" t="s">
        <v>317</v>
      </c>
      <c r="D298" s="4">
        <v>83600</v>
      </c>
      <c r="E298" s="4">
        <v>83600</v>
      </c>
      <c r="F298" s="4">
        <v>167200</v>
      </c>
      <c r="H298" s="3">
        <f t="shared" si="4"/>
        <v>0</v>
      </c>
    </row>
    <row r="299" spans="1:8">
      <c r="A299" t="s">
        <v>1929</v>
      </c>
      <c r="B299" t="s">
        <v>1930</v>
      </c>
      <c r="C299" t="s">
        <v>185</v>
      </c>
      <c r="D299" s="4">
        <v>502500</v>
      </c>
      <c r="E299" s="4">
        <v>502500</v>
      </c>
      <c r="F299" s="4">
        <v>1005000</v>
      </c>
      <c r="H299" s="3">
        <f t="shared" si="4"/>
        <v>0</v>
      </c>
    </row>
    <row r="300" spans="1:8">
      <c r="A300" t="s">
        <v>1979</v>
      </c>
      <c r="B300" t="s">
        <v>1980</v>
      </c>
      <c r="C300" t="s">
        <v>317</v>
      </c>
      <c r="D300" s="4">
        <v>379000</v>
      </c>
      <c r="E300" s="4">
        <v>379000</v>
      </c>
      <c r="F300" s="4">
        <v>758000</v>
      </c>
      <c r="H300" s="3">
        <f t="shared" si="4"/>
        <v>0</v>
      </c>
    </row>
    <row r="301" spans="1:8">
      <c r="A301" t="s">
        <v>2013</v>
      </c>
      <c r="B301" t="s">
        <v>2014</v>
      </c>
      <c r="C301" t="s">
        <v>185</v>
      </c>
      <c r="D301" s="4">
        <v>169100</v>
      </c>
      <c r="E301" s="4">
        <v>169100</v>
      </c>
      <c r="F301" s="4">
        <v>338200</v>
      </c>
      <c r="H301" s="3">
        <f t="shared" si="4"/>
        <v>0</v>
      </c>
    </row>
    <row r="302" spans="1:8">
      <c r="A302" t="s">
        <v>2022</v>
      </c>
      <c r="B302" t="s">
        <v>2023</v>
      </c>
      <c r="C302" t="s">
        <v>185</v>
      </c>
      <c r="D302" s="4">
        <v>185800</v>
      </c>
      <c r="E302" s="4">
        <v>185800</v>
      </c>
      <c r="F302" s="4">
        <v>371600</v>
      </c>
      <c r="H302" s="3">
        <f t="shared" si="4"/>
        <v>0</v>
      </c>
    </row>
    <row r="303" spans="1:8">
      <c r="A303" t="s">
        <v>2043</v>
      </c>
      <c r="B303" t="s">
        <v>2044</v>
      </c>
      <c r="C303" t="s">
        <v>317</v>
      </c>
      <c r="D303" s="4">
        <v>553400</v>
      </c>
      <c r="E303" s="4">
        <v>553400</v>
      </c>
      <c r="F303" s="4">
        <v>1106800</v>
      </c>
      <c r="H303" s="3">
        <f t="shared" si="4"/>
        <v>0</v>
      </c>
    </row>
    <row r="304" spans="1:8">
      <c r="A304" t="s">
        <v>2054</v>
      </c>
      <c r="B304" t="s">
        <v>2055</v>
      </c>
      <c r="C304" t="s">
        <v>317</v>
      </c>
      <c r="D304" s="4">
        <v>131200</v>
      </c>
      <c r="E304" s="4"/>
      <c r="F304" s="4">
        <v>131200</v>
      </c>
      <c r="H304" s="3">
        <f t="shared" si="4"/>
        <v>131200</v>
      </c>
    </row>
    <row r="305" spans="1:8">
      <c r="A305" t="s">
        <v>2054</v>
      </c>
      <c r="B305" t="s">
        <v>2055</v>
      </c>
      <c r="C305" t="s">
        <v>356</v>
      </c>
      <c r="D305" s="4">
        <v>227700</v>
      </c>
      <c r="E305" s="4"/>
      <c r="F305" s="4">
        <v>227700</v>
      </c>
      <c r="H305" s="3">
        <f t="shared" si="4"/>
        <v>227700</v>
      </c>
    </row>
    <row r="306" spans="1:8">
      <c r="A306" t="s">
        <v>2054</v>
      </c>
      <c r="B306" t="s">
        <v>3055</v>
      </c>
      <c r="C306" t="s">
        <v>356</v>
      </c>
      <c r="D306" s="4"/>
      <c r="E306" s="4">
        <v>357200</v>
      </c>
      <c r="F306" s="4">
        <v>357200</v>
      </c>
      <c r="H306" s="3">
        <f t="shared" si="4"/>
        <v>-357200</v>
      </c>
    </row>
    <row r="307" spans="1:8">
      <c r="A307" t="s">
        <v>2128</v>
      </c>
      <c r="B307" t="s">
        <v>2129</v>
      </c>
      <c r="C307" t="s">
        <v>317</v>
      </c>
      <c r="D307" s="4">
        <v>954800</v>
      </c>
      <c r="E307" s="4">
        <v>954800</v>
      </c>
      <c r="F307" s="4">
        <v>1909600</v>
      </c>
      <c r="H307" s="3">
        <f t="shared" si="4"/>
        <v>0</v>
      </c>
    </row>
    <row r="308" spans="1:8">
      <c r="A308" t="s">
        <v>2163</v>
      </c>
      <c r="B308" t="s">
        <v>2164</v>
      </c>
      <c r="C308" t="s">
        <v>317</v>
      </c>
      <c r="D308" s="4">
        <v>447600</v>
      </c>
      <c r="E308" s="4">
        <v>447600</v>
      </c>
      <c r="F308" s="4">
        <v>895200</v>
      </c>
      <c r="H308" s="3">
        <f t="shared" si="4"/>
        <v>0</v>
      </c>
    </row>
    <row r="309" spans="1:8">
      <c r="A309" t="s">
        <v>2169</v>
      </c>
      <c r="B309" t="s">
        <v>2170</v>
      </c>
      <c r="C309" t="s">
        <v>356</v>
      </c>
      <c r="D309" s="4">
        <v>337800</v>
      </c>
      <c r="E309" s="4">
        <v>337800</v>
      </c>
      <c r="F309" s="4">
        <v>675600</v>
      </c>
      <c r="H309" s="3">
        <f t="shared" si="4"/>
        <v>0</v>
      </c>
    </row>
    <row r="310" spans="1:8">
      <c r="A310" t="s">
        <v>2187</v>
      </c>
      <c r="B310" t="s">
        <v>2188</v>
      </c>
      <c r="C310" t="s">
        <v>317</v>
      </c>
      <c r="D310" s="4">
        <v>148600</v>
      </c>
      <c r="E310" s="4">
        <v>148600</v>
      </c>
      <c r="F310" s="4">
        <v>297200</v>
      </c>
      <c r="H310" s="3">
        <f t="shared" si="4"/>
        <v>0</v>
      </c>
    </row>
    <row r="311" spans="1:8">
      <c r="A311" t="s">
        <v>2269</v>
      </c>
      <c r="B311" t="s">
        <v>2270</v>
      </c>
      <c r="C311" t="s">
        <v>317</v>
      </c>
      <c r="D311" s="4">
        <v>337800</v>
      </c>
      <c r="E311" s="4">
        <v>337800</v>
      </c>
      <c r="F311" s="4">
        <v>675600</v>
      </c>
      <c r="H311" s="3">
        <f t="shared" si="4"/>
        <v>0</v>
      </c>
    </row>
    <row r="312" spans="1:8">
      <c r="A312" t="s">
        <v>2288</v>
      </c>
      <c r="B312" t="s">
        <v>2289</v>
      </c>
      <c r="C312" t="s">
        <v>317</v>
      </c>
      <c r="D312" s="4">
        <v>354300</v>
      </c>
      <c r="E312" s="4">
        <v>354300</v>
      </c>
      <c r="F312" s="4">
        <v>708600</v>
      </c>
      <c r="H312" s="3">
        <f t="shared" si="4"/>
        <v>0</v>
      </c>
    </row>
    <row r="313" spans="1:8">
      <c r="A313" t="s">
        <v>2298</v>
      </c>
      <c r="B313" t="s">
        <v>2299</v>
      </c>
      <c r="C313" t="s">
        <v>185</v>
      </c>
      <c r="D313" s="4">
        <v>265700</v>
      </c>
      <c r="E313" s="4">
        <v>265700</v>
      </c>
      <c r="F313" s="4">
        <v>531400</v>
      </c>
      <c r="H313" s="3">
        <f t="shared" si="4"/>
        <v>0</v>
      </c>
    </row>
    <row r="314" spans="1:8">
      <c r="A314" t="s">
        <v>2303</v>
      </c>
      <c r="B314" t="s">
        <v>2304</v>
      </c>
      <c r="C314" t="s">
        <v>317</v>
      </c>
      <c r="D314" s="4">
        <v>367400</v>
      </c>
      <c r="E314" s="4">
        <v>367400</v>
      </c>
      <c r="F314" s="4">
        <v>734800</v>
      </c>
      <c r="H314" s="3">
        <f t="shared" si="4"/>
        <v>0</v>
      </c>
    </row>
    <row r="315" spans="1:8">
      <c r="A315" t="s">
        <v>2320</v>
      </c>
      <c r="B315" t="s">
        <v>2321</v>
      </c>
      <c r="C315" t="s">
        <v>185</v>
      </c>
      <c r="D315" s="4">
        <v>468700</v>
      </c>
      <c r="E315" s="4">
        <v>468700</v>
      </c>
      <c r="F315" s="4">
        <v>937400</v>
      </c>
      <c r="H315" s="3">
        <f t="shared" si="4"/>
        <v>0</v>
      </c>
    </row>
    <row r="316" spans="1:8">
      <c r="A316" t="s">
        <v>2378</v>
      </c>
      <c r="B316" t="s">
        <v>2379</v>
      </c>
      <c r="C316" t="s">
        <v>317</v>
      </c>
      <c r="D316" s="4">
        <v>324000</v>
      </c>
      <c r="E316" s="4">
        <v>324000</v>
      </c>
      <c r="F316" s="4">
        <v>648000</v>
      </c>
      <c r="H316" s="3">
        <f t="shared" si="4"/>
        <v>0</v>
      </c>
    </row>
    <row r="317" spans="1:8">
      <c r="A317" t="s">
        <v>2415</v>
      </c>
      <c r="B317" t="s">
        <v>2416</v>
      </c>
      <c r="C317" t="s">
        <v>317</v>
      </c>
      <c r="D317" s="4">
        <v>534200</v>
      </c>
      <c r="E317" s="4">
        <v>534200</v>
      </c>
      <c r="F317" s="4">
        <v>1068400</v>
      </c>
      <c r="H317" s="3">
        <f t="shared" si="4"/>
        <v>0</v>
      </c>
    </row>
    <row r="318" spans="1:8">
      <c r="A318" t="s">
        <v>2441</v>
      </c>
      <c r="B318" t="s">
        <v>2442</v>
      </c>
      <c r="C318" t="s">
        <v>137</v>
      </c>
      <c r="D318" s="4">
        <v>337800</v>
      </c>
      <c r="E318" s="4">
        <v>337800</v>
      </c>
      <c r="F318" s="4">
        <v>675600</v>
      </c>
      <c r="H318" s="3">
        <f t="shared" si="4"/>
        <v>0</v>
      </c>
    </row>
    <row r="319" spans="1:8">
      <c r="A319" t="s">
        <v>2458</v>
      </c>
      <c r="B319" t="s">
        <v>2459</v>
      </c>
      <c r="C319" t="s">
        <v>317</v>
      </c>
      <c r="D319" s="4">
        <v>245400</v>
      </c>
      <c r="E319" s="4">
        <v>245400</v>
      </c>
      <c r="F319" s="4">
        <v>490800</v>
      </c>
      <c r="H319" s="3">
        <f t="shared" si="4"/>
        <v>0</v>
      </c>
    </row>
    <row r="320" spans="1:8">
      <c r="A320" t="s">
        <v>2594</v>
      </c>
      <c r="B320" t="s">
        <v>2595</v>
      </c>
      <c r="C320" t="s">
        <v>317</v>
      </c>
      <c r="D320" s="4">
        <v>472300</v>
      </c>
      <c r="E320" s="4">
        <v>472300</v>
      </c>
      <c r="F320" s="4">
        <v>944600</v>
      </c>
      <c r="H320" s="3">
        <f t="shared" si="4"/>
        <v>0</v>
      </c>
    </row>
    <row r="321" spans="1:8">
      <c r="A321" t="s">
        <v>2636</v>
      </c>
      <c r="B321" t="s">
        <v>2637</v>
      </c>
      <c r="C321" t="s">
        <v>317</v>
      </c>
      <c r="D321" s="4">
        <v>388600</v>
      </c>
      <c r="E321" s="4">
        <v>388600</v>
      </c>
      <c r="F321" s="4">
        <v>777200</v>
      </c>
      <c r="H321" s="3">
        <f t="shared" si="4"/>
        <v>0</v>
      </c>
    </row>
    <row r="322" spans="1:8">
      <c r="A322" t="s">
        <v>2674</v>
      </c>
      <c r="B322" t="s">
        <v>2675</v>
      </c>
      <c r="C322" t="s">
        <v>356</v>
      </c>
      <c r="D322" s="4">
        <v>87300</v>
      </c>
      <c r="E322" s="4">
        <v>87300</v>
      </c>
      <c r="F322" s="4">
        <v>174600</v>
      </c>
      <c r="H322" s="3">
        <f t="shared" si="4"/>
        <v>0</v>
      </c>
    </row>
    <row r="323" spans="1:8">
      <c r="A323" t="s">
        <v>2682</v>
      </c>
      <c r="B323" t="s">
        <v>2683</v>
      </c>
      <c r="C323" t="s">
        <v>185</v>
      </c>
      <c r="D323" s="4">
        <v>522400</v>
      </c>
      <c r="E323" s="4">
        <v>522400</v>
      </c>
      <c r="F323" s="4">
        <v>1044800</v>
      </c>
      <c r="H323" s="3">
        <f t="shared" si="4"/>
        <v>0</v>
      </c>
    </row>
    <row r="324" spans="1:8">
      <c r="A324" t="s">
        <v>2696</v>
      </c>
      <c r="B324" t="s">
        <v>2697</v>
      </c>
      <c r="C324" t="s">
        <v>356</v>
      </c>
      <c r="D324" s="4">
        <v>506000</v>
      </c>
      <c r="E324" s="4">
        <v>506000</v>
      </c>
      <c r="F324" s="4">
        <v>1012000</v>
      </c>
      <c r="H324" s="3">
        <f t="shared" si="4"/>
        <v>0</v>
      </c>
    </row>
    <row r="325" spans="1:8">
      <c r="A325" t="s">
        <v>2707</v>
      </c>
      <c r="B325" t="s">
        <v>2708</v>
      </c>
      <c r="C325" t="s">
        <v>356</v>
      </c>
      <c r="D325" s="4">
        <v>693000</v>
      </c>
      <c r="E325" s="4">
        <v>693000</v>
      </c>
      <c r="F325" s="4">
        <v>1386000</v>
      </c>
      <c r="H325" s="3">
        <f t="shared" si="4"/>
        <v>0</v>
      </c>
    </row>
    <row r="326" spans="1:8">
      <c r="A326" t="s">
        <v>2718</v>
      </c>
      <c r="B326" t="s">
        <v>2719</v>
      </c>
      <c r="C326" t="s">
        <v>317</v>
      </c>
      <c r="D326" s="4">
        <v>433700</v>
      </c>
      <c r="E326" s="4">
        <v>433700</v>
      </c>
      <c r="F326" s="4">
        <v>867400</v>
      </c>
      <c r="H326" s="3">
        <f t="shared" ref="H326:H389" si="5">+D326-E326</f>
        <v>0</v>
      </c>
    </row>
    <row r="327" spans="1:8">
      <c r="A327" t="s">
        <v>2778</v>
      </c>
      <c r="B327" t="s">
        <v>2779</v>
      </c>
      <c r="C327" t="s">
        <v>185</v>
      </c>
      <c r="D327" s="4">
        <v>489800</v>
      </c>
      <c r="E327" s="4">
        <v>489800</v>
      </c>
      <c r="F327" s="4">
        <v>979600</v>
      </c>
      <c r="H327" s="3">
        <f t="shared" si="5"/>
        <v>0</v>
      </c>
    </row>
    <row r="328" spans="1:8">
      <c r="A328" t="s">
        <v>2834</v>
      </c>
      <c r="B328" t="s">
        <v>2835</v>
      </c>
      <c r="C328" t="s">
        <v>317</v>
      </c>
      <c r="D328" s="4">
        <v>665400</v>
      </c>
      <c r="E328" s="4">
        <v>665400</v>
      </c>
      <c r="F328" s="4">
        <v>1330800</v>
      </c>
      <c r="H328" s="3">
        <f t="shared" si="5"/>
        <v>0</v>
      </c>
    </row>
    <row r="329" spans="1:8">
      <c r="A329" t="s">
        <v>2863</v>
      </c>
      <c r="B329" t="s">
        <v>2864</v>
      </c>
      <c r="C329" t="s">
        <v>317</v>
      </c>
      <c r="D329" s="4">
        <v>474900</v>
      </c>
      <c r="E329" s="4">
        <v>474900</v>
      </c>
      <c r="F329" s="4">
        <v>949800</v>
      </c>
      <c r="H329" s="3">
        <f t="shared" si="5"/>
        <v>0</v>
      </c>
    </row>
    <row r="330" spans="1:8">
      <c r="A330" t="s">
        <v>2915</v>
      </c>
      <c r="B330" t="s">
        <v>2916</v>
      </c>
      <c r="C330" t="s">
        <v>317</v>
      </c>
      <c r="D330" s="4">
        <v>339400</v>
      </c>
      <c r="E330" s="4">
        <v>339400</v>
      </c>
      <c r="F330" s="4">
        <v>678800</v>
      </c>
      <c r="H330" s="3">
        <f t="shared" si="5"/>
        <v>0</v>
      </c>
    </row>
    <row r="331" spans="1:8">
      <c r="A331" t="s">
        <v>2925</v>
      </c>
      <c r="B331" t="s">
        <v>2926</v>
      </c>
      <c r="C331" t="s">
        <v>356</v>
      </c>
      <c r="D331" s="4">
        <v>183400</v>
      </c>
      <c r="E331" s="4">
        <v>183400</v>
      </c>
      <c r="F331" s="4">
        <v>366800</v>
      </c>
      <c r="H331" s="3">
        <f t="shared" si="5"/>
        <v>0</v>
      </c>
    </row>
    <row r="332" spans="1:8">
      <c r="A332" t="s">
        <v>2936</v>
      </c>
      <c r="B332" t="s">
        <v>2937</v>
      </c>
      <c r="C332" t="s">
        <v>185</v>
      </c>
      <c r="D332" s="4">
        <v>694000</v>
      </c>
      <c r="E332" s="4">
        <v>694000</v>
      </c>
      <c r="F332" s="4">
        <v>1388000</v>
      </c>
      <c r="H332" s="3">
        <f t="shared" si="5"/>
        <v>0</v>
      </c>
    </row>
    <row r="333" spans="1:8">
      <c r="A333" t="s">
        <v>2947</v>
      </c>
      <c r="B333" t="s">
        <v>2948</v>
      </c>
      <c r="C333" t="s">
        <v>185</v>
      </c>
      <c r="D333" s="4">
        <v>434200</v>
      </c>
      <c r="E333" s="4">
        <v>434200</v>
      </c>
      <c r="F333" s="4">
        <v>868400</v>
      </c>
      <c r="H333" s="3">
        <f t="shared" si="5"/>
        <v>0</v>
      </c>
    </row>
    <row r="334" spans="1:8">
      <c r="A334" t="s">
        <v>2967</v>
      </c>
      <c r="B334" t="s">
        <v>2968</v>
      </c>
      <c r="C334" t="s">
        <v>185</v>
      </c>
      <c r="D334" s="4">
        <v>452200</v>
      </c>
      <c r="E334" s="4">
        <v>452200</v>
      </c>
      <c r="F334" s="4">
        <v>904400</v>
      </c>
      <c r="H334" s="3">
        <f t="shared" si="5"/>
        <v>0</v>
      </c>
    </row>
    <row r="335" spans="1:8">
      <c r="A335" t="s">
        <v>2982</v>
      </c>
      <c r="B335" t="s">
        <v>2983</v>
      </c>
      <c r="C335" t="s">
        <v>185</v>
      </c>
      <c r="D335" s="4">
        <v>674400</v>
      </c>
      <c r="E335" s="4">
        <v>674400</v>
      </c>
      <c r="F335" s="4">
        <v>1348800</v>
      </c>
      <c r="H335" s="3">
        <f t="shared" si="5"/>
        <v>0</v>
      </c>
    </row>
    <row r="336" spans="1:8">
      <c r="A336" t="s">
        <v>3020</v>
      </c>
      <c r="B336" t="s">
        <v>3021</v>
      </c>
      <c r="C336" t="s">
        <v>185</v>
      </c>
      <c r="D336" s="4">
        <v>574400</v>
      </c>
      <c r="E336" s="4">
        <v>574400</v>
      </c>
      <c r="F336" s="4">
        <v>1148800</v>
      </c>
      <c r="H336" s="3">
        <f t="shared" si="5"/>
        <v>0</v>
      </c>
    </row>
    <row r="337" spans="1:8">
      <c r="A337" t="s">
        <v>3023</v>
      </c>
      <c r="B337" t="s">
        <v>3024</v>
      </c>
      <c r="C337" t="s">
        <v>356</v>
      </c>
      <c r="D337" s="4">
        <v>281200</v>
      </c>
      <c r="E337" s="4">
        <v>281200</v>
      </c>
      <c r="F337" s="4">
        <v>562400</v>
      </c>
      <c r="H337" s="3">
        <f t="shared" si="5"/>
        <v>0</v>
      </c>
    </row>
    <row r="338" spans="1:8">
      <c r="A338" t="s">
        <v>3028</v>
      </c>
      <c r="B338" t="s">
        <v>3029</v>
      </c>
      <c r="C338" t="s">
        <v>185</v>
      </c>
      <c r="D338" s="4">
        <v>1268200</v>
      </c>
      <c r="E338" s="4">
        <v>1268200</v>
      </c>
      <c r="F338" s="4">
        <v>2536400</v>
      </c>
      <c r="H338" s="3">
        <f t="shared" si="5"/>
        <v>0</v>
      </c>
    </row>
    <row r="339" spans="1:8">
      <c r="A339" t="s">
        <v>3044</v>
      </c>
      <c r="B339" t="s">
        <v>3045</v>
      </c>
      <c r="C339" t="s">
        <v>185</v>
      </c>
      <c r="D339" s="4">
        <v>479400</v>
      </c>
      <c r="E339" s="4">
        <v>479400</v>
      </c>
      <c r="F339" s="4">
        <v>958800</v>
      </c>
      <c r="H339" s="3">
        <f t="shared" si="5"/>
        <v>0</v>
      </c>
    </row>
    <row r="340" spans="1:8">
      <c r="A340" t="s">
        <v>1660</v>
      </c>
      <c r="B340" t="s">
        <v>1661</v>
      </c>
      <c r="C340" t="s">
        <v>356</v>
      </c>
      <c r="D340" s="4">
        <v>541000</v>
      </c>
      <c r="E340" s="4">
        <v>541000</v>
      </c>
      <c r="F340" s="4">
        <v>1082000</v>
      </c>
      <c r="H340" s="3">
        <f t="shared" si="5"/>
        <v>0</v>
      </c>
    </row>
    <row r="341" spans="1:8">
      <c r="A341" t="s">
        <v>1686</v>
      </c>
      <c r="B341" t="s">
        <v>1687</v>
      </c>
      <c r="C341" t="s">
        <v>137</v>
      </c>
      <c r="D341" s="4">
        <v>475400</v>
      </c>
      <c r="E341" s="4">
        <v>475400</v>
      </c>
      <c r="F341" s="4">
        <v>950800</v>
      </c>
      <c r="H341" s="3">
        <f t="shared" si="5"/>
        <v>0</v>
      </c>
    </row>
    <row r="342" spans="1:8">
      <c r="A342" t="s">
        <v>1851</v>
      </c>
      <c r="B342" t="s">
        <v>1852</v>
      </c>
      <c r="C342" t="s">
        <v>317</v>
      </c>
      <c r="D342" s="4">
        <v>471400</v>
      </c>
      <c r="E342" s="4">
        <v>471400</v>
      </c>
      <c r="F342" s="4">
        <v>942800</v>
      </c>
      <c r="H342" s="3">
        <f t="shared" si="5"/>
        <v>0</v>
      </c>
    </row>
    <row r="343" spans="1:8">
      <c r="A343" t="s">
        <v>1862</v>
      </c>
      <c r="B343" t="s">
        <v>1863</v>
      </c>
      <c r="C343" t="s">
        <v>356</v>
      </c>
      <c r="D343" s="4">
        <v>352300</v>
      </c>
      <c r="E343" s="4">
        <v>352300</v>
      </c>
      <c r="F343" s="4">
        <v>704600</v>
      </c>
      <c r="H343" s="3">
        <f t="shared" si="5"/>
        <v>0</v>
      </c>
    </row>
    <row r="344" spans="1:8">
      <c r="A344" t="s">
        <v>1962</v>
      </c>
      <c r="B344" t="s">
        <v>1963</v>
      </c>
      <c r="C344" t="s">
        <v>393</v>
      </c>
      <c r="D344" s="4">
        <v>482500</v>
      </c>
      <c r="E344" s="4">
        <v>482500</v>
      </c>
      <c r="F344" s="4">
        <v>965000</v>
      </c>
      <c r="H344" s="3">
        <f t="shared" si="5"/>
        <v>0</v>
      </c>
    </row>
    <row r="345" spans="1:8">
      <c r="A345" t="s">
        <v>2000</v>
      </c>
      <c r="B345" t="s">
        <v>2001</v>
      </c>
      <c r="C345" t="s">
        <v>137</v>
      </c>
      <c r="D345" s="4">
        <v>274000</v>
      </c>
      <c r="E345" s="4">
        <v>274000</v>
      </c>
      <c r="F345" s="4">
        <v>548000</v>
      </c>
      <c r="H345" s="3">
        <f t="shared" si="5"/>
        <v>0</v>
      </c>
    </row>
    <row r="346" spans="1:8">
      <c r="A346" t="s">
        <v>2006</v>
      </c>
      <c r="B346" t="s">
        <v>2007</v>
      </c>
      <c r="C346" t="s">
        <v>356</v>
      </c>
      <c r="D346" s="4">
        <v>323700</v>
      </c>
      <c r="E346" s="4">
        <v>323700</v>
      </c>
      <c r="F346" s="4">
        <v>647400</v>
      </c>
      <c r="H346" s="3">
        <f t="shared" si="5"/>
        <v>0</v>
      </c>
    </row>
    <row r="347" spans="1:8">
      <c r="A347" t="s">
        <v>2067</v>
      </c>
      <c r="B347" t="s">
        <v>2068</v>
      </c>
      <c r="C347" t="s">
        <v>356</v>
      </c>
      <c r="D347" s="4">
        <v>509800</v>
      </c>
      <c r="E347" s="4">
        <v>509800</v>
      </c>
      <c r="F347" s="4">
        <v>1019600</v>
      </c>
      <c r="H347" s="3">
        <f t="shared" si="5"/>
        <v>0</v>
      </c>
    </row>
    <row r="348" spans="1:8">
      <c r="A348" t="s">
        <v>2291</v>
      </c>
      <c r="B348" t="s">
        <v>2292</v>
      </c>
      <c r="C348" t="s">
        <v>317</v>
      </c>
      <c r="D348" s="4">
        <v>136400</v>
      </c>
      <c r="E348" s="4">
        <v>136400</v>
      </c>
      <c r="F348" s="4">
        <v>272800</v>
      </c>
      <c r="H348" s="3">
        <f t="shared" si="5"/>
        <v>0</v>
      </c>
    </row>
    <row r="349" spans="1:8">
      <c r="A349" t="s">
        <v>2307</v>
      </c>
      <c r="B349" t="s">
        <v>2308</v>
      </c>
      <c r="C349" t="s">
        <v>137</v>
      </c>
      <c r="D349" s="4">
        <v>164100</v>
      </c>
      <c r="E349" s="4">
        <v>164100</v>
      </c>
      <c r="F349" s="4">
        <v>328200</v>
      </c>
      <c r="H349" s="3">
        <f t="shared" si="5"/>
        <v>0</v>
      </c>
    </row>
    <row r="350" spans="1:8">
      <c r="A350" t="s">
        <v>2782</v>
      </c>
      <c r="B350" t="s">
        <v>2783</v>
      </c>
      <c r="C350" t="s">
        <v>185</v>
      </c>
      <c r="D350" s="4">
        <v>301900</v>
      </c>
      <c r="E350" s="4">
        <v>301900</v>
      </c>
      <c r="F350" s="4">
        <v>603800</v>
      </c>
      <c r="H350" s="3">
        <f t="shared" si="5"/>
        <v>0</v>
      </c>
    </row>
    <row r="351" spans="1:8">
      <c r="A351" t="s">
        <v>2958</v>
      </c>
      <c r="B351" t="s">
        <v>2959</v>
      </c>
      <c r="C351" t="s">
        <v>317</v>
      </c>
      <c r="D351" s="4">
        <v>505800</v>
      </c>
      <c r="E351" s="4">
        <v>505800</v>
      </c>
      <c r="F351" s="4">
        <v>1011600</v>
      </c>
      <c r="H351" s="3">
        <f t="shared" si="5"/>
        <v>0</v>
      </c>
    </row>
    <row r="352" spans="1:8">
      <c r="A352" t="s">
        <v>2970</v>
      </c>
      <c r="B352" t="s">
        <v>2971</v>
      </c>
      <c r="C352" t="s">
        <v>137</v>
      </c>
      <c r="D352" s="4">
        <v>470600</v>
      </c>
      <c r="E352" s="4">
        <v>470600</v>
      </c>
      <c r="F352" s="4">
        <v>941200</v>
      </c>
      <c r="H352" s="3">
        <f t="shared" si="5"/>
        <v>0</v>
      </c>
    </row>
    <row r="353" spans="1:8">
      <c r="A353" t="s">
        <v>2047</v>
      </c>
      <c r="B353" t="s">
        <v>2048</v>
      </c>
      <c r="C353" t="s">
        <v>317</v>
      </c>
      <c r="D353" s="4">
        <v>457800</v>
      </c>
      <c r="E353" s="4">
        <v>457800</v>
      </c>
      <c r="F353" s="4">
        <v>915600</v>
      </c>
      <c r="H353" s="3">
        <f t="shared" si="5"/>
        <v>0</v>
      </c>
    </row>
    <row r="354" spans="1:8">
      <c r="A354" t="s">
        <v>2050</v>
      </c>
      <c r="B354" t="s">
        <v>2051</v>
      </c>
      <c r="C354" t="s">
        <v>317</v>
      </c>
      <c r="D354" s="4">
        <v>524300</v>
      </c>
      <c r="E354" s="4">
        <v>524300</v>
      </c>
      <c r="F354" s="4">
        <v>1048600</v>
      </c>
      <c r="H354" s="3">
        <f t="shared" si="5"/>
        <v>0</v>
      </c>
    </row>
    <row r="355" spans="1:8">
      <c r="A355" t="s">
        <v>2344</v>
      </c>
      <c r="B355" t="s">
        <v>2345</v>
      </c>
      <c r="C355" t="s">
        <v>317</v>
      </c>
      <c r="D355" s="4">
        <v>117800</v>
      </c>
      <c r="E355" s="4">
        <v>117800</v>
      </c>
      <c r="F355" s="4">
        <v>235600</v>
      </c>
      <c r="H355" s="3">
        <f t="shared" si="5"/>
        <v>0</v>
      </c>
    </row>
    <row r="356" spans="1:8">
      <c r="A356" t="s">
        <v>2647</v>
      </c>
      <c r="B356" t="s">
        <v>2648</v>
      </c>
      <c r="C356" t="s">
        <v>356</v>
      </c>
      <c r="D356" s="4">
        <v>568000</v>
      </c>
      <c r="E356" s="4">
        <v>568000</v>
      </c>
      <c r="F356" s="4">
        <v>1136000</v>
      </c>
      <c r="H356" s="3">
        <f t="shared" si="5"/>
        <v>0</v>
      </c>
    </row>
    <row r="357" spans="1:8">
      <c r="A357" t="s">
        <v>2649</v>
      </c>
      <c r="B357" t="s">
        <v>2650</v>
      </c>
      <c r="C357" t="s">
        <v>317</v>
      </c>
      <c r="D357" s="4">
        <v>511300</v>
      </c>
      <c r="E357" s="4">
        <v>511300</v>
      </c>
      <c r="F357" s="4">
        <v>1022600</v>
      </c>
      <c r="H357" s="3">
        <f t="shared" si="5"/>
        <v>0</v>
      </c>
    </row>
    <row r="358" spans="1:8">
      <c r="A358" t="s">
        <v>2688</v>
      </c>
      <c r="B358" t="s">
        <v>2689</v>
      </c>
      <c r="C358" t="s">
        <v>356</v>
      </c>
      <c r="D358" s="4">
        <v>253300</v>
      </c>
      <c r="E358" s="4">
        <v>253300</v>
      </c>
      <c r="F358" s="4">
        <v>506600</v>
      </c>
      <c r="H358" s="3">
        <f t="shared" si="5"/>
        <v>0</v>
      </c>
    </row>
    <row r="359" spans="1:8">
      <c r="A359" t="s">
        <v>2703</v>
      </c>
      <c r="B359" t="s">
        <v>2704</v>
      </c>
      <c r="C359" t="s">
        <v>356</v>
      </c>
      <c r="D359" s="4">
        <v>427300</v>
      </c>
      <c r="E359" s="4">
        <v>427300</v>
      </c>
      <c r="F359" s="4">
        <v>854600</v>
      </c>
      <c r="H359" s="3">
        <f t="shared" si="5"/>
        <v>0</v>
      </c>
    </row>
    <row r="360" spans="1:8">
      <c r="A360" t="s">
        <v>2793</v>
      </c>
      <c r="B360" t="s">
        <v>2794</v>
      </c>
      <c r="C360" t="s">
        <v>317</v>
      </c>
      <c r="D360" s="4">
        <v>545200</v>
      </c>
      <c r="E360" s="4">
        <v>545200</v>
      </c>
      <c r="F360" s="4">
        <v>1090400</v>
      </c>
      <c r="H360" s="3">
        <f t="shared" si="5"/>
        <v>0</v>
      </c>
    </row>
    <row r="361" spans="1:8">
      <c r="A361" t="s">
        <v>2797</v>
      </c>
      <c r="B361" t="s">
        <v>2798</v>
      </c>
      <c r="C361" t="s">
        <v>3076</v>
      </c>
      <c r="D361" s="4">
        <v>0</v>
      </c>
      <c r="E361" s="4"/>
      <c r="F361" s="4">
        <v>0</v>
      </c>
      <c r="H361" s="3">
        <f t="shared" si="5"/>
        <v>0</v>
      </c>
    </row>
    <row r="362" spans="1:8">
      <c r="A362" t="s">
        <v>2797</v>
      </c>
      <c r="B362" t="s">
        <v>2798</v>
      </c>
      <c r="C362" t="s">
        <v>25</v>
      </c>
      <c r="D362" s="4"/>
      <c r="E362" s="4">
        <v>0</v>
      </c>
      <c r="F362" s="4">
        <v>0</v>
      </c>
      <c r="H362" s="3">
        <f t="shared" si="5"/>
        <v>0</v>
      </c>
    </row>
    <row r="363" spans="1:8">
      <c r="A363" t="s">
        <v>1432</v>
      </c>
      <c r="B363" t="s">
        <v>1433</v>
      </c>
      <c r="C363" t="s">
        <v>317</v>
      </c>
      <c r="D363" s="4">
        <v>325300</v>
      </c>
      <c r="E363" s="4">
        <v>325300</v>
      </c>
      <c r="F363" s="4">
        <v>650600</v>
      </c>
      <c r="H363" s="3">
        <f t="shared" si="5"/>
        <v>0</v>
      </c>
    </row>
    <row r="364" spans="1:8">
      <c r="A364" t="s">
        <v>1457</v>
      </c>
      <c r="B364" t="s">
        <v>1458</v>
      </c>
      <c r="C364" t="s">
        <v>317</v>
      </c>
      <c r="D364" s="4">
        <v>341300</v>
      </c>
      <c r="E364" s="4">
        <v>341300</v>
      </c>
      <c r="F364" s="4">
        <v>682600</v>
      </c>
      <c r="H364" s="3">
        <f t="shared" si="5"/>
        <v>0</v>
      </c>
    </row>
    <row r="365" spans="1:8">
      <c r="A365" t="s">
        <v>1618</v>
      </c>
      <c r="B365" t="s">
        <v>1619</v>
      </c>
      <c r="C365" t="s">
        <v>317</v>
      </c>
      <c r="D365" s="4">
        <v>329100</v>
      </c>
      <c r="E365" s="4">
        <v>329100</v>
      </c>
      <c r="F365" s="4">
        <v>658200</v>
      </c>
      <c r="H365" s="3">
        <f t="shared" si="5"/>
        <v>0</v>
      </c>
    </row>
    <row r="366" spans="1:8">
      <c r="A366" t="s">
        <v>1690</v>
      </c>
      <c r="B366" t="s">
        <v>1691</v>
      </c>
      <c r="C366" t="s">
        <v>317</v>
      </c>
      <c r="D366" s="4">
        <v>315700</v>
      </c>
      <c r="E366" s="4">
        <v>315700</v>
      </c>
      <c r="F366" s="4">
        <v>631400</v>
      </c>
      <c r="H366" s="3">
        <f t="shared" si="5"/>
        <v>0</v>
      </c>
    </row>
    <row r="367" spans="1:8">
      <c r="A367" t="s">
        <v>1726</v>
      </c>
      <c r="B367" t="s">
        <v>1727</v>
      </c>
      <c r="C367" t="s">
        <v>137</v>
      </c>
      <c r="D367" s="4">
        <v>782700</v>
      </c>
      <c r="E367" s="4">
        <v>782700</v>
      </c>
      <c r="F367" s="4">
        <v>1565400</v>
      </c>
      <c r="H367" s="3">
        <f t="shared" si="5"/>
        <v>0</v>
      </c>
    </row>
    <row r="368" spans="1:8">
      <c r="A368" t="s">
        <v>1778</v>
      </c>
      <c r="B368" t="s">
        <v>1779</v>
      </c>
      <c r="C368" t="s">
        <v>317</v>
      </c>
      <c r="D368" s="4">
        <v>321800</v>
      </c>
      <c r="E368" s="4">
        <v>321800</v>
      </c>
      <c r="F368" s="4">
        <v>643600</v>
      </c>
      <c r="H368" s="3">
        <f t="shared" si="5"/>
        <v>0</v>
      </c>
    </row>
    <row r="369" spans="1:8">
      <c r="A369" t="s">
        <v>1787</v>
      </c>
      <c r="B369" t="s">
        <v>1788</v>
      </c>
      <c r="C369" t="s">
        <v>317</v>
      </c>
      <c r="D369" s="4">
        <v>421000</v>
      </c>
      <c r="E369" s="4">
        <v>421000</v>
      </c>
      <c r="F369" s="4">
        <v>842000</v>
      </c>
      <c r="H369" s="3">
        <f t="shared" si="5"/>
        <v>0</v>
      </c>
    </row>
    <row r="370" spans="1:8">
      <c r="A370" t="s">
        <v>1794</v>
      </c>
      <c r="B370" t="s">
        <v>1795</v>
      </c>
      <c r="C370" t="s">
        <v>356</v>
      </c>
      <c r="D370" s="4">
        <v>365900</v>
      </c>
      <c r="E370" s="4"/>
      <c r="F370" s="4">
        <v>365900</v>
      </c>
      <c r="H370" s="3">
        <f t="shared" si="5"/>
        <v>365900</v>
      </c>
    </row>
    <row r="371" spans="1:8">
      <c r="A371" t="s">
        <v>1794</v>
      </c>
      <c r="B371" t="s">
        <v>3051</v>
      </c>
      <c r="C371" t="s">
        <v>356</v>
      </c>
      <c r="D371" s="4"/>
      <c r="E371" s="4">
        <v>365900</v>
      </c>
      <c r="F371" s="4">
        <v>365900</v>
      </c>
      <c r="H371" s="3">
        <f t="shared" si="5"/>
        <v>-365900</v>
      </c>
    </row>
    <row r="372" spans="1:8">
      <c r="A372" t="s">
        <v>1815</v>
      </c>
      <c r="B372" t="s">
        <v>1816</v>
      </c>
      <c r="C372" t="s">
        <v>317</v>
      </c>
      <c r="D372" s="4">
        <v>354500</v>
      </c>
      <c r="E372" s="4">
        <v>354500</v>
      </c>
      <c r="F372" s="4">
        <v>709000</v>
      </c>
      <c r="H372" s="3">
        <f t="shared" si="5"/>
        <v>0</v>
      </c>
    </row>
    <row r="373" spans="1:8">
      <c r="A373" t="s">
        <v>1825</v>
      </c>
      <c r="B373" t="s">
        <v>1826</v>
      </c>
      <c r="C373" t="s">
        <v>317</v>
      </c>
      <c r="D373" s="4">
        <v>476500</v>
      </c>
      <c r="E373" s="4">
        <v>476500</v>
      </c>
      <c r="F373" s="4">
        <v>953000</v>
      </c>
      <c r="H373" s="3">
        <f t="shared" si="5"/>
        <v>0</v>
      </c>
    </row>
    <row r="374" spans="1:8">
      <c r="A374" t="s">
        <v>1880</v>
      </c>
      <c r="B374" t="s">
        <v>1881</v>
      </c>
      <c r="C374" t="s">
        <v>317</v>
      </c>
      <c r="D374" s="4">
        <v>324600</v>
      </c>
      <c r="E374" s="4">
        <v>324600</v>
      </c>
      <c r="F374" s="4">
        <v>649200</v>
      </c>
      <c r="H374" s="3">
        <f t="shared" si="5"/>
        <v>0</v>
      </c>
    </row>
    <row r="375" spans="1:8">
      <c r="A375" t="s">
        <v>1921</v>
      </c>
      <c r="B375" t="s">
        <v>1922</v>
      </c>
      <c r="C375" t="s">
        <v>317</v>
      </c>
      <c r="D375" s="4">
        <v>407200</v>
      </c>
      <c r="E375" s="4">
        <v>407200</v>
      </c>
      <c r="F375" s="4">
        <v>814400</v>
      </c>
      <c r="H375" s="3">
        <f t="shared" si="5"/>
        <v>0</v>
      </c>
    </row>
    <row r="376" spans="1:8">
      <c r="A376" t="s">
        <v>1926</v>
      </c>
      <c r="B376" t="s">
        <v>1927</v>
      </c>
      <c r="C376" t="s">
        <v>317</v>
      </c>
      <c r="D376" s="4">
        <v>427100</v>
      </c>
      <c r="E376" s="4">
        <v>427100</v>
      </c>
      <c r="F376" s="4">
        <v>854200</v>
      </c>
      <c r="H376" s="3">
        <f t="shared" si="5"/>
        <v>0</v>
      </c>
    </row>
    <row r="377" spans="1:8">
      <c r="A377" t="s">
        <v>2100</v>
      </c>
      <c r="B377" t="s">
        <v>2101</v>
      </c>
      <c r="C377" t="s">
        <v>356</v>
      </c>
      <c r="D377" s="4">
        <v>329400</v>
      </c>
      <c r="E377" s="4">
        <v>329400</v>
      </c>
      <c r="F377" s="4">
        <v>658800</v>
      </c>
      <c r="H377" s="3">
        <f t="shared" si="5"/>
        <v>0</v>
      </c>
    </row>
    <row r="378" spans="1:8">
      <c r="A378" t="s">
        <v>2103</v>
      </c>
      <c r="B378" t="s">
        <v>2104</v>
      </c>
      <c r="C378" t="s">
        <v>356</v>
      </c>
      <c r="D378" s="4">
        <v>449800</v>
      </c>
      <c r="E378" s="4">
        <v>449800</v>
      </c>
      <c r="F378" s="4">
        <v>899600</v>
      </c>
      <c r="H378" s="3">
        <f t="shared" si="5"/>
        <v>0</v>
      </c>
    </row>
    <row r="379" spans="1:8">
      <c r="A379" t="s">
        <v>2133</v>
      </c>
      <c r="B379" t="s">
        <v>2134</v>
      </c>
      <c r="C379" t="s">
        <v>356</v>
      </c>
      <c r="D379" s="4">
        <v>664400</v>
      </c>
      <c r="E379" s="4">
        <v>664400</v>
      </c>
      <c r="F379" s="4">
        <v>1328800</v>
      </c>
      <c r="H379" s="3">
        <f t="shared" si="5"/>
        <v>0</v>
      </c>
    </row>
    <row r="380" spans="1:8">
      <c r="A380" t="s">
        <v>2209</v>
      </c>
      <c r="B380" t="s">
        <v>2210</v>
      </c>
      <c r="C380" t="s">
        <v>317</v>
      </c>
      <c r="D380" s="4">
        <v>323400</v>
      </c>
      <c r="E380" s="4"/>
      <c r="F380" s="4">
        <v>323400</v>
      </c>
      <c r="H380" s="3">
        <f t="shared" si="5"/>
        <v>323400</v>
      </c>
    </row>
    <row r="381" spans="1:8">
      <c r="A381" t="s">
        <v>2209</v>
      </c>
      <c r="B381" t="s">
        <v>3062</v>
      </c>
      <c r="C381" t="s">
        <v>317</v>
      </c>
      <c r="D381" s="4"/>
      <c r="E381" s="4">
        <v>323400</v>
      </c>
      <c r="F381" s="4">
        <v>323400</v>
      </c>
      <c r="H381" s="3">
        <f t="shared" si="5"/>
        <v>-323400</v>
      </c>
    </row>
    <row r="382" spans="1:8">
      <c r="A382" t="s">
        <v>2235</v>
      </c>
      <c r="B382" t="s">
        <v>2236</v>
      </c>
      <c r="C382" t="s">
        <v>317</v>
      </c>
      <c r="D382" s="4">
        <v>89400</v>
      </c>
      <c r="E382" s="4">
        <v>89400</v>
      </c>
      <c r="F382" s="4">
        <v>178800</v>
      </c>
      <c r="H382" s="3">
        <f t="shared" si="5"/>
        <v>0</v>
      </c>
    </row>
    <row r="383" spans="1:8">
      <c r="A383" t="s">
        <v>2244</v>
      </c>
      <c r="B383" t="s">
        <v>2245</v>
      </c>
      <c r="C383" t="s">
        <v>356</v>
      </c>
      <c r="D383" s="4">
        <v>324000</v>
      </c>
      <c r="E383" s="4"/>
      <c r="F383" s="4">
        <v>324000</v>
      </c>
      <c r="H383" s="3">
        <f t="shared" si="5"/>
        <v>324000</v>
      </c>
    </row>
    <row r="384" spans="1:8">
      <c r="A384" t="s">
        <v>2244</v>
      </c>
      <c r="B384" t="s">
        <v>3063</v>
      </c>
      <c r="C384" t="s">
        <v>356</v>
      </c>
      <c r="D384" s="4"/>
      <c r="E384" s="4">
        <v>324000</v>
      </c>
      <c r="F384" s="4">
        <v>324000</v>
      </c>
      <c r="H384" s="3">
        <f t="shared" si="5"/>
        <v>-324000</v>
      </c>
    </row>
    <row r="385" spans="1:8">
      <c r="A385" t="s">
        <v>2248</v>
      </c>
      <c r="B385" t="s">
        <v>2249</v>
      </c>
      <c r="C385" t="s">
        <v>317</v>
      </c>
      <c r="D385" s="4">
        <v>329800</v>
      </c>
      <c r="E385" s="4">
        <v>329800</v>
      </c>
      <c r="F385" s="4">
        <v>659600</v>
      </c>
      <c r="H385" s="3">
        <f t="shared" si="5"/>
        <v>0</v>
      </c>
    </row>
    <row r="386" spans="1:8">
      <c r="A386" t="s">
        <v>2252</v>
      </c>
      <c r="B386" t="s">
        <v>2253</v>
      </c>
      <c r="C386" t="s">
        <v>317</v>
      </c>
      <c r="D386" s="4">
        <v>329800</v>
      </c>
      <c r="E386" s="4">
        <v>329800</v>
      </c>
      <c r="F386" s="4">
        <v>659600</v>
      </c>
      <c r="H386" s="3">
        <f t="shared" si="5"/>
        <v>0</v>
      </c>
    </row>
    <row r="387" spans="1:8">
      <c r="A387" t="s">
        <v>2256</v>
      </c>
      <c r="B387" t="s">
        <v>2257</v>
      </c>
      <c r="C387" t="s">
        <v>317</v>
      </c>
      <c r="D387" s="4">
        <v>315500</v>
      </c>
      <c r="E387" s="4">
        <v>315500</v>
      </c>
      <c r="F387" s="4">
        <v>631000</v>
      </c>
      <c r="H387" s="3">
        <f t="shared" si="5"/>
        <v>0</v>
      </c>
    </row>
    <row r="388" spans="1:8">
      <c r="A388" t="s">
        <v>2261</v>
      </c>
      <c r="B388" t="s">
        <v>2262</v>
      </c>
      <c r="C388" t="s">
        <v>317</v>
      </c>
      <c r="D388" s="4">
        <v>325000</v>
      </c>
      <c r="E388" s="4">
        <v>325000</v>
      </c>
      <c r="F388" s="4">
        <v>650000</v>
      </c>
      <c r="H388" s="3">
        <f t="shared" si="5"/>
        <v>0</v>
      </c>
    </row>
    <row r="389" spans="1:8">
      <c r="A389" t="s">
        <v>2282</v>
      </c>
      <c r="B389" t="s">
        <v>2283</v>
      </c>
      <c r="C389" t="s">
        <v>317</v>
      </c>
      <c r="D389" s="4">
        <v>325000</v>
      </c>
      <c r="E389" s="4">
        <v>325000</v>
      </c>
      <c r="F389" s="4">
        <v>650000</v>
      </c>
      <c r="H389" s="3">
        <f t="shared" si="5"/>
        <v>0</v>
      </c>
    </row>
    <row r="390" spans="1:8">
      <c r="A390" t="s">
        <v>2362</v>
      </c>
      <c r="B390" t="s">
        <v>2363</v>
      </c>
      <c r="C390" t="s">
        <v>317</v>
      </c>
      <c r="D390" s="4">
        <v>325600</v>
      </c>
      <c r="E390" s="4">
        <v>325600</v>
      </c>
      <c r="F390" s="4">
        <v>651200</v>
      </c>
      <c r="H390" s="3">
        <f t="shared" ref="H390:H453" si="6">+D390-E390</f>
        <v>0</v>
      </c>
    </row>
    <row r="391" spans="1:8">
      <c r="A391" t="s">
        <v>2411</v>
      </c>
      <c r="B391" t="s">
        <v>2412</v>
      </c>
      <c r="C391" t="s">
        <v>356</v>
      </c>
      <c r="D391" s="4">
        <v>442400</v>
      </c>
      <c r="E391" s="4">
        <v>442400</v>
      </c>
      <c r="F391" s="4">
        <v>884800</v>
      </c>
      <c r="H391" s="3">
        <f t="shared" si="6"/>
        <v>0</v>
      </c>
    </row>
    <row r="392" spans="1:8">
      <c r="A392" t="s">
        <v>2418</v>
      </c>
      <c r="B392" t="s">
        <v>2419</v>
      </c>
      <c r="C392" t="s">
        <v>317</v>
      </c>
      <c r="D392" s="4">
        <v>1019900</v>
      </c>
      <c r="E392" s="4">
        <v>1019900</v>
      </c>
      <c r="F392" s="4">
        <v>2039800</v>
      </c>
      <c r="H392" s="3">
        <f t="shared" si="6"/>
        <v>0</v>
      </c>
    </row>
    <row r="393" spans="1:8">
      <c r="A393" t="s">
        <v>2425</v>
      </c>
      <c r="B393" t="s">
        <v>2426</v>
      </c>
      <c r="C393" t="s">
        <v>3076</v>
      </c>
      <c r="D393" s="4">
        <v>0</v>
      </c>
      <c r="E393" s="4"/>
      <c r="F393" s="4">
        <v>0</v>
      </c>
      <c r="H393" s="3">
        <f t="shared" si="6"/>
        <v>0</v>
      </c>
    </row>
    <row r="394" spans="1:8">
      <c r="A394" t="s">
        <v>2425</v>
      </c>
      <c r="B394" t="s">
        <v>2426</v>
      </c>
      <c r="C394" t="s">
        <v>25</v>
      </c>
      <c r="D394" s="4"/>
      <c r="E394" s="4">
        <v>0</v>
      </c>
      <c r="F394" s="4">
        <v>0</v>
      </c>
      <c r="H394" s="3">
        <f t="shared" si="6"/>
        <v>0</v>
      </c>
    </row>
    <row r="395" spans="1:8">
      <c r="A395" t="s">
        <v>2504</v>
      </c>
      <c r="B395" t="s">
        <v>2505</v>
      </c>
      <c r="C395" t="s">
        <v>356</v>
      </c>
      <c r="D395" s="4">
        <v>475800</v>
      </c>
      <c r="E395" s="4">
        <v>475800</v>
      </c>
      <c r="F395" s="4">
        <v>951600</v>
      </c>
      <c r="H395" s="3">
        <f t="shared" si="6"/>
        <v>0</v>
      </c>
    </row>
    <row r="396" spans="1:8">
      <c r="A396" t="s">
        <v>2524</v>
      </c>
      <c r="B396" t="s">
        <v>2525</v>
      </c>
      <c r="C396" t="s">
        <v>185</v>
      </c>
      <c r="D396" s="4">
        <v>358200</v>
      </c>
      <c r="E396" s="4">
        <v>358200</v>
      </c>
      <c r="F396" s="4">
        <v>716400</v>
      </c>
      <c r="H396" s="3">
        <f t="shared" si="6"/>
        <v>0</v>
      </c>
    </row>
    <row r="397" spans="1:8">
      <c r="A397" t="s">
        <v>2656</v>
      </c>
      <c r="B397" t="s">
        <v>2657</v>
      </c>
      <c r="C397" t="s">
        <v>317</v>
      </c>
      <c r="D397" s="4">
        <v>908300</v>
      </c>
      <c r="E397" s="4">
        <v>908300</v>
      </c>
      <c r="F397" s="4">
        <v>1816600</v>
      </c>
      <c r="H397" s="3">
        <f t="shared" si="6"/>
        <v>0</v>
      </c>
    </row>
    <row r="398" spans="1:8">
      <c r="A398" t="s">
        <v>2726</v>
      </c>
      <c r="B398" t="s">
        <v>2727</v>
      </c>
      <c r="C398" t="s">
        <v>185</v>
      </c>
      <c r="D398" s="4">
        <v>434000</v>
      </c>
      <c r="E398" s="4">
        <v>434000</v>
      </c>
      <c r="F398" s="4">
        <v>868000</v>
      </c>
      <c r="H398" s="3">
        <f t="shared" si="6"/>
        <v>0</v>
      </c>
    </row>
    <row r="399" spans="1:8">
      <c r="A399" t="s">
        <v>2755</v>
      </c>
      <c r="B399" t="s">
        <v>2756</v>
      </c>
      <c r="C399" t="s">
        <v>317</v>
      </c>
      <c r="D399" s="4">
        <v>407300</v>
      </c>
      <c r="E399" s="4">
        <v>407300</v>
      </c>
      <c r="F399" s="4">
        <v>814600</v>
      </c>
      <c r="H399" s="3">
        <f t="shared" si="6"/>
        <v>0</v>
      </c>
    </row>
    <row r="400" spans="1:8">
      <c r="A400" t="s">
        <v>2760</v>
      </c>
      <c r="B400" t="s">
        <v>2761</v>
      </c>
      <c r="C400" t="s">
        <v>317</v>
      </c>
      <c r="D400" s="4">
        <v>400600</v>
      </c>
      <c r="E400" s="4">
        <v>400600</v>
      </c>
      <c r="F400" s="4">
        <v>801200</v>
      </c>
      <c r="H400" s="3">
        <f t="shared" si="6"/>
        <v>0</v>
      </c>
    </row>
    <row r="401" spans="1:8">
      <c r="A401" t="s">
        <v>2769</v>
      </c>
      <c r="B401" t="s">
        <v>2770</v>
      </c>
      <c r="C401" t="s">
        <v>185</v>
      </c>
      <c r="D401" s="4">
        <v>407200</v>
      </c>
      <c r="E401" s="4">
        <v>407200</v>
      </c>
      <c r="F401" s="4">
        <v>814400</v>
      </c>
      <c r="H401" s="3">
        <f t="shared" si="6"/>
        <v>0</v>
      </c>
    </row>
    <row r="402" spans="1:8">
      <c r="A402" t="s">
        <v>2785</v>
      </c>
      <c r="B402" t="s">
        <v>2786</v>
      </c>
      <c r="C402" t="s">
        <v>185</v>
      </c>
      <c r="D402" s="4">
        <v>492200</v>
      </c>
      <c r="E402" s="4">
        <v>492200</v>
      </c>
      <c r="F402" s="4">
        <v>984400</v>
      </c>
      <c r="H402" s="3">
        <f t="shared" si="6"/>
        <v>0</v>
      </c>
    </row>
    <row r="403" spans="1:8">
      <c r="A403" t="s">
        <v>2810</v>
      </c>
      <c r="B403" t="s">
        <v>2811</v>
      </c>
      <c r="C403" t="s">
        <v>185</v>
      </c>
      <c r="D403" s="4">
        <v>1222300</v>
      </c>
      <c r="E403" s="4">
        <v>1222300</v>
      </c>
      <c r="F403" s="4">
        <v>2444600</v>
      </c>
      <c r="H403" s="3">
        <f t="shared" si="6"/>
        <v>0</v>
      </c>
    </row>
    <row r="404" spans="1:8">
      <c r="A404" t="s">
        <v>2845</v>
      </c>
      <c r="B404" t="s">
        <v>2846</v>
      </c>
      <c r="C404" t="s">
        <v>137</v>
      </c>
      <c r="D404" s="4">
        <v>145700</v>
      </c>
      <c r="E404" s="4">
        <v>145700</v>
      </c>
      <c r="F404" s="4">
        <v>291400</v>
      </c>
      <c r="H404" s="3">
        <f t="shared" si="6"/>
        <v>0</v>
      </c>
    </row>
    <row r="405" spans="1:8">
      <c r="A405" t="s">
        <v>2853</v>
      </c>
      <c r="B405" t="s">
        <v>2854</v>
      </c>
      <c r="C405" t="s">
        <v>137</v>
      </c>
      <c r="D405" s="4">
        <v>585600</v>
      </c>
      <c r="E405" s="4">
        <v>585600</v>
      </c>
      <c r="F405" s="4">
        <v>1171200</v>
      </c>
      <c r="H405" s="3">
        <f t="shared" si="6"/>
        <v>0</v>
      </c>
    </row>
    <row r="406" spans="1:8">
      <c r="A406" t="s">
        <v>2872</v>
      </c>
      <c r="B406" t="s">
        <v>2873</v>
      </c>
      <c r="C406" t="s">
        <v>137</v>
      </c>
      <c r="D406" s="4">
        <v>442600</v>
      </c>
      <c r="E406" s="4">
        <v>442600</v>
      </c>
      <c r="F406" s="4">
        <v>885200</v>
      </c>
      <c r="H406" s="3">
        <f t="shared" si="6"/>
        <v>0</v>
      </c>
    </row>
    <row r="407" spans="1:8">
      <c r="A407" t="s">
        <v>2896</v>
      </c>
      <c r="B407" t="s">
        <v>2897</v>
      </c>
      <c r="C407" t="s">
        <v>317</v>
      </c>
      <c r="D407" s="4">
        <v>548500</v>
      </c>
      <c r="E407" s="4">
        <v>548500</v>
      </c>
      <c r="F407" s="4">
        <v>1097000</v>
      </c>
      <c r="H407" s="3">
        <f t="shared" si="6"/>
        <v>0</v>
      </c>
    </row>
    <row r="408" spans="1:8">
      <c r="A408" t="s">
        <v>2928</v>
      </c>
      <c r="B408" t="s">
        <v>2929</v>
      </c>
      <c r="C408" t="s">
        <v>137</v>
      </c>
      <c r="D408" s="4">
        <v>92500</v>
      </c>
      <c r="E408" s="4">
        <v>92500</v>
      </c>
      <c r="F408" s="4">
        <v>185000</v>
      </c>
      <c r="H408" s="3">
        <f t="shared" si="6"/>
        <v>0</v>
      </c>
    </row>
    <row r="409" spans="1:8">
      <c r="A409" t="s">
        <v>2938</v>
      </c>
      <c r="B409" t="s">
        <v>2939</v>
      </c>
      <c r="C409" t="s">
        <v>317</v>
      </c>
      <c r="D409" s="4">
        <v>409500</v>
      </c>
      <c r="E409" s="4">
        <v>409500</v>
      </c>
      <c r="F409" s="4">
        <v>819000</v>
      </c>
      <c r="H409" s="3">
        <f t="shared" si="6"/>
        <v>0</v>
      </c>
    </row>
    <row r="410" spans="1:8">
      <c r="A410" t="s">
        <v>2943</v>
      </c>
      <c r="B410" t="s">
        <v>2944</v>
      </c>
      <c r="C410" t="s">
        <v>356</v>
      </c>
      <c r="D410" s="4">
        <v>104700</v>
      </c>
      <c r="E410" s="4">
        <v>104700</v>
      </c>
      <c r="F410" s="4">
        <v>209400</v>
      </c>
      <c r="H410" s="3">
        <f t="shared" si="6"/>
        <v>0</v>
      </c>
    </row>
    <row r="411" spans="1:8">
      <c r="A411" t="s">
        <v>1443</v>
      </c>
      <c r="B411" t="s">
        <v>1444</v>
      </c>
      <c r="C411" t="s">
        <v>317</v>
      </c>
      <c r="D411" s="4">
        <v>37400</v>
      </c>
      <c r="E411" s="4">
        <v>37400</v>
      </c>
      <c r="F411" s="4">
        <v>74800</v>
      </c>
      <c r="H411" s="3">
        <f t="shared" si="6"/>
        <v>0</v>
      </c>
    </row>
    <row r="412" spans="1:8">
      <c r="A412" t="s">
        <v>1469</v>
      </c>
      <c r="B412" t="s">
        <v>1470</v>
      </c>
      <c r="C412" t="s">
        <v>317</v>
      </c>
      <c r="D412" s="4">
        <v>373600</v>
      </c>
      <c r="E412" s="4">
        <v>373600</v>
      </c>
      <c r="F412" s="4">
        <v>747200</v>
      </c>
      <c r="H412" s="3">
        <f t="shared" si="6"/>
        <v>0</v>
      </c>
    </row>
    <row r="413" spans="1:8">
      <c r="A413" t="s">
        <v>1480</v>
      </c>
      <c r="B413" t="s">
        <v>1481</v>
      </c>
      <c r="C413" t="s">
        <v>185</v>
      </c>
      <c r="D413" s="4">
        <v>28600</v>
      </c>
      <c r="E413" s="4">
        <v>28600</v>
      </c>
      <c r="F413" s="4">
        <v>57200</v>
      </c>
      <c r="H413" s="3">
        <f t="shared" si="6"/>
        <v>0</v>
      </c>
    </row>
    <row r="414" spans="1:8">
      <c r="A414" t="s">
        <v>1573</v>
      </c>
      <c r="B414" t="s">
        <v>1574</v>
      </c>
      <c r="C414" t="s">
        <v>356</v>
      </c>
      <c r="D414" s="4">
        <v>147700</v>
      </c>
      <c r="E414" s="4">
        <v>147700</v>
      </c>
      <c r="F414" s="4">
        <v>295400</v>
      </c>
      <c r="H414" s="3">
        <f t="shared" si="6"/>
        <v>0</v>
      </c>
    </row>
    <row r="415" spans="1:8">
      <c r="A415" t="s">
        <v>1576</v>
      </c>
      <c r="B415" t="s">
        <v>1577</v>
      </c>
      <c r="C415" t="s">
        <v>185</v>
      </c>
      <c r="D415" s="4">
        <v>127100</v>
      </c>
      <c r="E415" s="4">
        <v>127100</v>
      </c>
      <c r="F415" s="4">
        <v>254200</v>
      </c>
      <c r="H415" s="3">
        <f t="shared" si="6"/>
        <v>0</v>
      </c>
    </row>
    <row r="416" spans="1:8">
      <c r="A416" t="s">
        <v>1626</v>
      </c>
      <c r="B416" t="s">
        <v>1627</v>
      </c>
      <c r="C416" t="s">
        <v>356</v>
      </c>
      <c r="D416" s="4">
        <v>47500</v>
      </c>
      <c r="E416" s="4">
        <v>47500</v>
      </c>
      <c r="F416" s="4">
        <v>95000</v>
      </c>
      <c r="H416" s="3">
        <f t="shared" si="6"/>
        <v>0</v>
      </c>
    </row>
    <row r="417" spans="1:8">
      <c r="A417" t="s">
        <v>1695</v>
      </c>
      <c r="B417" t="s">
        <v>1696</v>
      </c>
      <c r="C417" t="s">
        <v>356</v>
      </c>
      <c r="D417" s="4">
        <v>158200</v>
      </c>
      <c r="E417" s="4">
        <v>158200</v>
      </c>
      <c r="F417" s="4">
        <v>316400</v>
      </c>
      <c r="H417" s="3">
        <f t="shared" si="6"/>
        <v>0</v>
      </c>
    </row>
    <row r="418" spans="1:8">
      <c r="A418" t="s">
        <v>1707</v>
      </c>
      <c r="B418" t="s">
        <v>1708</v>
      </c>
      <c r="C418" t="s">
        <v>317</v>
      </c>
      <c r="D418" s="4">
        <v>282800</v>
      </c>
      <c r="E418" s="4">
        <v>282800</v>
      </c>
      <c r="F418" s="4">
        <v>565600</v>
      </c>
      <c r="H418" s="3">
        <f t="shared" si="6"/>
        <v>0</v>
      </c>
    </row>
    <row r="419" spans="1:8">
      <c r="A419" t="s">
        <v>1710</v>
      </c>
      <c r="B419" t="s">
        <v>1711</v>
      </c>
      <c r="C419" t="s">
        <v>185</v>
      </c>
      <c r="D419" s="4">
        <v>576800</v>
      </c>
      <c r="E419" s="4">
        <v>576800</v>
      </c>
      <c r="F419" s="4">
        <v>1153600</v>
      </c>
      <c r="H419" s="3">
        <f t="shared" si="6"/>
        <v>0</v>
      </c>
    </row>
    <row r="420" spans="1:8">
      <c r="A420" t="s">
        <v>1735</v>
      </c>
      <c r="B420" t="s">
        <v>1736</v>
      </c>
      <c r="C420" t="s">
        <v>317</v>
      </c>
      <c r="D420" s="4">
        <v>46700</v>
      </c>
      <c r="E420" s="4"/>
      <c r="F420" s="4">
        <v>46700</v>
      </c>
      <c r="H420" s="3">
        <f t="shared" si="6"/>
        <v>46700</v>
      </c>
    </row>
    <row r="421" spans="1:8">
      <c r="A421" t="s">
        <v>1735</v>
      </c>
      <c r="B421" t="s">
        <v>3048</v>
      </c>
      <c r="C421" t="s">
        <v>317</v>
      </c>
      <c r="D421" s="4"/>
      <c r="E421" s="4">
        <v>59400</v>
      </c>
      <c r="F421" s="4">
        <v>59400</v>
      </c>
      <c r="H421" s="3">
        <f t="shared" si="6"/>
        <v>-59400</v>
      </c>
    </row>
    <row r="422" spans="1:8">
      <c r="A422" t="s">
        <v>1739</v>
      </c>
      <c r="B422" t="s">
        <v>1740</v>
      </c>
      <c r="C422" t="s">
        <v>393</v>
      </c>
      <c r="D422" s="4">
        <v>454200</v>
      </c>
      <c r="E422" s="4">
        <v>454200</v>
      </c>
      <c r="F422" s="4">
        <v>908400</v>
      </c>
      <c r="H422" s="3">
        <f t="shared" si="6"/>
        <v>0</v>
      </c>
    </row>
    <row r="423" spans="1:8">
      <c r="A423" t="s">
        <v>1754</v>
      </c>
      <c r="B423" t="s">
        <v>1755</v>
      </c>
      <c r="C423" t="s">
        <v>317</v>
      </c>
      <c r="D423" s="4">
        <v>247600</v>
      </c>
      <c r="E423" s="4">
        <v>247600</v>
      </c>
      <c r="F423" s="4">
        <v>495200</v>
      </c>
      <c r="H423" s="3">
        <f t="shared" si="6"/>
        <v>0</v>
      </c>
    </row>
    <row r="424" spans="1:8">
      <c r="A424" t="s">
        <v>1799</v>
      </c>
      <c r="B424" t="s">
        <v>1800</v>
      </c>
      <c r="C424" t="s">
        <v>317</v>
      </c>
      <c r="D424" s="4">
        <v>41800</v>
      </c>
      <c r="E424" s="4">
        <v>41800</v>
      </c>
      <c r="F424" s="4">
        <v>83600</v>
      </c>
      <c r="H424" s="3">
        <f t="shared" si="6"/>
        <v>0</v>
      </c>
    </row>
    <row r="425" spans="1:8">
      <c r="A425" t="s">
        <v>1807</v>
      </c>
      <c r="B425" t="s">
        <v>1808</v>
      </c>
      <c r="C425" t="s">
        <v>356</v>
      </c>
      <c r="D425" s="4">
        <v>378400</v>
      </c>
      <c r="E425" s="4">
        <v>378400</v>
      </c>
      <c r="F425" s="4">
        <v>756800</v>
      </c>
      <c r="H425" s="3">
        <f t="shared" si="6"/>
        <v>0</v>
      </c>
    </row>
    <row r="426" spans="1:8">
      <c r="A426" t="s">
        <v>1828</v>
      </c>
      <c r="B426" t="s">
        <v>1829</v>
      </c>
      <c r="C426" t="s">
        <v>317</v>
      </c>
      <c r="D426" s="4">
        <v>131700</v>
      </c>
      <c r="E426" s="4">
        <v>131700</v>
      </c>
      <c r="F426" s="4">
        <v>263400</v>
      </c>
      <c r="H426" s="3">
        <f t="shared" si="6"/>
        <v>0</v>
      </c>
    </row>
    <row r="427" spans="1:8">
      <c r="A427" t="s">
        <v>1835</v>
      </c>
      <c r="B427" t="s">
        <v>1836</v>
      </c>
      <c r="C427" t="s">
        <v>356</v>
      </c>
      <c r="D427" s="4">
        <v>344300</v>
      </c>
      <c r="E427" s="4">
        <v>344300</v>
      </c>
      <c r="F427" s="4">
        <v>688600</v>
      </c>
      <c r="H427" s="3">
        <f t="shared" si="6"/>
        <v>0</v>
      </c>
    </row>
    <row r="428" spans="1:8">
      <c r="A428" t="s">
        <v>1838</v>
      </c>
      <c r="B428" t="s">
        <v>1839</v>
      </c>
      <c r="C428" t="s">
        <v>317</v>
      </c>
      <c r="D428" s="4">
        <v>338900</v>
      </c>
      <c r="E428" s="4">
        <v>338900</v>
      </c>
      <c r="F428" s="4">
        <v>677800</v>
      </c>
      <c r="H428" s="3">
        <f t="shared" si="6"/>
        <v>0</v>
      </c>
    </row>
    <row r="429" spans="1:8">
      <c r="A429" t="s">
        <v>1894</v>
      </c>
      <c r="B429" t="s">
        <v>1895</v>
      </c>
      <c r="C429" t="s">
        <v>185</v>
      </c>
      <c r="D429" s="4">
        <v>413200</v>
      </c>
      <c r="E429" s="4">
        <v>413200</v>
      </c>
      <c r="F429" s="4">
        <v>826400</v>
      </c>
      <c r="H429" s="3">
        <f t="shared" si="6"/>
        <v>0</v>
      </c>
    </row>
    <row r="430" spans="1:8">
      <c r="A430" t="s">
        <v>1917</v>
      </c>
      <c r="B430" t="s">
        <v>1918</v>
      </c>
      <c r="C430" t="s">
        <v>356</v>
      </c>
      <c r="D430" s="4">
        <v>466000</v>
      </c>
      <c r="E430" s="4">
        <v>466000</v>
      </c>
      <c r="F430" s="4">
        <v>932000</v>
      </c>
      <c r="H430" s="3">
        <f t="shared" si="6"/>
        <v>0</v>
      </c>
    </row>
    <row r="431" spans="1:8">
      <c r="A431" t="s">
        <v>1944</v>
      </c>
      <c r="B431" t="s">
        <v>1945</v>
      </c>
      <c r="C431" t="s">
        <v>356</v>
      </c>
      <c r="D431" s="4">
        <v>338900</v>
      </c>
      <c r="E431" s="4">
        <v>338900</v>
      </c>
      <c r="F431" s="4">
        <v>677800</v>
      </c>
      <c r="H431" s="3">
        <f t="shared" si="6"/>
        <v>0</v>
      </c>
    </row>
    <row r="432" spans="1:8">
      <c r="A432" t="s">
        <v>1950</v>
      </c>
      <c r="B432" t="s">
        <v>1951</v>
      </c>
      <c r="C432" t="s">
        <v>356</v>
      </c>
      <c r="D432" s="4">
        <v>158200</v>
      </c>
      <c r="E432" s="4">
        <v>158200</v>
      </c>
      <c r="F432" s="4">
        <v>316400</v>
      </c>
      <c r="H432" s="3">
        <f t="shared" si="6"/>
        <v>0</v>
      </c>
    </row>
    <row r="433" spans="1:8">
      <c r="A433" t="s">
        <v>1982</v>
      </c>
      <c r="B433" t="s">
        <v>1983</v>
      </c>
      <c r="C433" t="s">
        <v>137</v>
      </c>
      <c r="D433" s="4">
        <v>497200</v>
      </c>
      <c r="E433" s="4">
        <v>497200</v>
      </c>
      <c r="F433" s="4">
        <v>994400</v>
      </c>
      <c r="H433" s="3">
        <f t="shared" si="6"/>
        <v>0</v>
      </c>
    </row>
    <row r="434" spans="1:8">
      <c r="A434" t="s">
        <v>1989</v>
      </c>
      <c r="B434" t="s">
        <v>1990</v>
      </c>
      <c r="C434" t="s">
        <v>317</v>
      </c>
      <c r="D434" s="4">
        <v>390400</v>
      </c>
      <c r="E434" s="4">
        <v>390400</v>
      </c>
      <c r="F434" s="4">
        <v>780800</v>
      </c>
      <c r="H434" s="3">
        <f t="shared" si="6"/>
        <v>0</v>
      </c>
    </row>
    <row r="435" spans="1:8">
      <c r="A435" t="s">
        <v>1992</v>
      </c>
      <c r="B435" t="s">
        <v>1993</v>
      </c>
      <c r="C435" t="s">
        <v>317</v>
      </c>
      <c r="D435" s="4">
        <v>38100</v>
      </c>
      <c r="E435" s="4">
        <v>38100</v>
      </c>
      <c r="F435" s="4">
        <v>76200</v>
      </c>
      <c r="H435" s="3">
        <f t="shared" si="6"/>
        <v>0</v>
      </c>
    </row>
    <row r="436" spans="1:8">
      <c r="A436" t="s">
        <v>1997</v>
      </c>
      <c r="B436" t="s">
        <v>1998</v>
      </c>
      <c r="C436" t="s">
        <v>317</v>
      </c>
      <c r="D436" s="4">
        <v>302300</v>
      </c>
      <c r="E436" s="4">
        <v>302300</v>
      </c>
      <c r="F436" s="4">
        <v>604600</v>
      </c>
      <c r="H436" s="3">
        <f t="shared" si="6"/>
        <v>0</v>
      </c>
    </row>
    <row r="437" spans="1:8">
      <c r="A437" t="s">
        <v>2032</v>
      </c>
      <c r="B437" t="s">
        <v>2033</v>
      </c>
      <c r="C437" t="s">
        <v>317</v>
      </c>
      <c r="D437" s="4">
        <v>356700</v>
      </c>
      <c r="E437" s="4">
        <v>356700</v>
      </c>
      <c r="F437" s="4">
        <v>713400</v>
      </c>
      <c r="H437" s="3">
        <f t="shared" si="6"/>
        <v>0</v>
      </c>
    </row>
    <row r="438" spans="1:8">
      <c r="A438" t="s">
        <v>2038</v>
      </c>
      <c r="B438" t="s">
        <v>2039</v>
      </c>
      <c r="C438" t="s">
        <v>317</v>
      </c>
      <c r="D438" s="4">
        <v>313800</v>
      </c>
      <c r="E438" s="4">
        <v>313800</v>
      </c>
      <c r="F438" s="4">
        <v>627600</v>
      </c>
      <c r="H438" s="3">
        <f t="shared" si="6"/>
        <v>0</v>
      </c>
    </row>
    <row r="439" spans="1:8">
      <c r="A439" t="s">
        <v>2059</v>
      </c>
      <c r="B439" t="s">
        <v>2060</v>
      </c>
      <c r="C439" t="s">
        <v>137</v>
      </c>
      <c r="D439" s="4">
        <v>411900</v>
      </c>
      <c r="E439" s="4"/>
      <c r="F439" s="4">
        <v>411900</v>
      </c>
      <c r="H439" s="3">
        <f t="shared" si="6"/>
        <v>411900</v>
      </c>
    </row>
    <row r="440" spans="1:8">
      <c r="A440" t="s">
        <v>2059</v>
      </c>
      <c r="B440" t="s">
        <v>3056</v>
      </c>
      <c r="C440" t="s">
        <v>137</v>
      </c>
      <c r="D440" s="4"/>
      <c r="E440" s="4">
        <v>411900</v>
      </c>
      <c r="F440" s="4">
        <v>411900</v>
      </c>
      <c r="H440" s="3">
        <f t="shared" si="6"/>
        <v>-411900</v>
      </c>
    </row>
    <row r="441" spans="1:8">
      <c r="A441" t="s">
        <v>2078</v>
      </c>
      <c r="B441" t="s">
        <v>2079</v>
      </c>
      <c r="C441" t="s">
        <v>317</v>
      </c>
      <c r="D441" s="4">
        <v>112800</v>
      </c>
      <c r="E441" s="4">
        <v>112800</v>
      </c>
      <c r="F441" s="4">
        <v>225600</v>
      </c>
      <c r="H441" s="3">
        <f t="shared" si="6"/>
        <v>0</v>
      </c>
    </row>
    <row r="442" spans="1:8">
      <c r="A442" t="s">
        <v>2088</v>
      </c>
      <c r="B442" t="s">
        <v>2089</v>
      </c>
      <c r="C442" t="s">
        <v>356</v>
      </c>
      <c r="D442" s="4">
        <v>552200</v>
      </c>
      <c r="E442" s="4">
        <v>552200</v>
      </c>
      <c r="F442" s="4">
        <v>1104400</v>
      </c>
      <c r="H442" s="3">
        <f t="shared" si="6"/>
        <v>0</v>
      </c>
    </row>
    <row r="443" spans="1:8">
      <c r="A443" t="s">
        <v>2119</v>
      </c>
      <c r="B443" t="s">
        <v>2120</v>
      </c>
      <c r="C443" t="s">
        <v>317</v>
      </c>
      <c r="D443" s="4">
        <v>344900</v>
      </c>
      <c r="E443" s="4">
        <v>344900</v>
      </c>
      <c r="F443" s="4">
        <v>689800</v>
      </c>
      <c r="H443" s="3">
        <f t="shared" si="6"/>
        <v>0</v>
      </c>
    </row>
    <row r="444" spans="1:8">
      <c r="A444" t="s">
        <v>2177</v>
      </c>
      <c r="B444" t="s">
        <v>2178</v>
      </c>
      <c r="C444" t="s">
        <v>317</v>
      </c>
      <c r="D444" s="4">
        <v>303800</v>
      </c>
      <c r="E444" s="4">
        <v>303800</v>
      </c>
      <c r="F444" s="4">
        <v>607600</v>
      </c>
      <c r="H444" s="3">
        <f t="shared" si="6"/>
        <v>0</v>
      </c>
    </row>
    <row r="445" spans="1:8">
      <c r="A445" t="s">
        <v>2220</v>
      </c>
      <c r="B445" t="s">
        <v>2221</v>
      </c>
      <c r="C445" t="s">
        <v>317</v>
      </c>
      <c r="D445" s="4">
        <v>221400</v>
      </c>
      <c r="E445" s="4">
        <v>221400</v>
      </c>
      <c r="F445" s="4">
        <v>442800</v>
      </c>
      <c r="H445" s="3">
        <f t="shared" si="6"/>
        <v>0</v>
      </c>
    </row>
    <row r="446" spans="1:8">
      <c r="A446" t="s">
        <v>2240</v>
      </c>
      <c r="B446" t="s">
        <v>2241</v>
      </c>
      <c r="C446" t="s">
        <v>185</v>
      </c>
      <c r="D446" s="4">
        <v>219900</v>
      </c>
      <c r="E446" s="4">
        <v>219900</v>
      </c>
      <c r="F446" s="4">
        <v>439800</v>
      </c>
      <c r="H446" s="3">
        <f t="shared" si="6"/>
        <v>0</v>
      </c>
    </row>
    <row r="447" spans="1:8">
      <c r="A447" t="s">
        <v>2311</v>
      </c>
      <c r="B447" t="s">
        <v>2312</v>
      </c>
      <c r="C447" t="s">
        <v>185</v>
      </c>
      <c r="D447" s="4">
        <v>90900</v>
      </c>
      <c r="E447" s="4">
        <v>90900</v>
      </c>
      <c r="F447" s="4">
        <v>181800</v>
      </c>
      <c r="H447" s="3">
        <f t="shared" si="6"/>
        <v>0</v>
      </c>
    </row>
    <row r="448" spans="1:8">
      <c r="A448" t="s">
        <v>2342</v>
      </c>
      <c r="B448" t="s">
        <v>2343</v>
      </c>
      <c r="C448" t="s">
        <v>317</v>
      </c>
      <c r="D448" s="4">
        <v>38100</v>
      </c>
      <c r="E448" s="4">
        <v>38100</v>
      </c>
      <c r="F448" s="4">
        <v>76200</v>
      </c>
      <c r="H448" s="3">
        <f t="shared" si="6"/>
        <v>0</v>
      </c>
    </row>
    <row r="449" spans="1:8">
      <c r="A449" t="s">
        <v>2381</v>
      </c>
      <c r="B449" t="s">
        <v>2382</v>
      </c>
      <c r="C449" t="s">
        <v>356</v>
      </c>
      <c r="D449" s="4">
        <v>357000</v>
      </c>
      <c r="E449" s="4">
        <v>357000</v>
      </c>
      <c r="F449" s="4">
        <v>714000</v>
      </c>
      <c r="H449" s="3">
        <f t="shared" si="6"/>
        <v>0</v>
      </c>
    </row>
    <row r="450" spans="1:8">
      <c r="A450" t="s">
        <v>2446</v>
      </c>
      <c r="B450" t="s">
        <v>2447</v>
      </c>
      <c r="C450" t="s">
        <v>185</v>
      </c>
      <c r="D450" s="4"/>
      <c r="E450" s="4">
        <v>78200</v>
      </c>
      <c r="F450" s="4">
        <v>78200</v>
      </c>
      <c r="H450" s="3">
        <f t="shared" si="6"/>
        <v>-78200</v>
      </c>
    </row>
    <row r="451" spans="1:8">
      <c r="A451" t="s">
        <v>2446</v>
      </c>
      <c r="B451" t="s">
        <v>2447</v>
      </c>
      <c r="C451" t="s">
        <v>317</v>
      </c>
      <c r="D451" s="4">
        <v>78200</v>
      </c>
      <c r="E451" s="4"/>
      <c r="F451" s="4">
        <v>78200</v>
      </c>
      <c r="H451" s="3">
        <f t="shared" si="6"/>
        <v>78200</v>
      </c>
    </row>
    <row r="452" spans="1:8">
      <c r="A452" t="s">
        <v>2496</v>
      </c>
      <c r="B452" t="s">
        <v>2497</v>
      </c>
      <c r="C452" t="s">
        <v>356</v>
      </c>
      <c r="D452" s="4">
        <v>345200</v>
      </c>
      <c r="E452" s="4">
        <v>345200</v>
      </c>
      <c r="F452" s="4">
        <v>690400</v>
      </c>
      <c r="H452" s="3">
        <f t="shared" si="6"/>
        <v>0</v>
      </c>
    </row>
    <row r="453" spans="1:8">
      <c r="A453" t="s">
        <v>2500</v>
      </c>
      <c r="B453" t="s">
        <v>2501</v>
      </c>
      <c r="C453" t="s">
        <v>356</v>
      </c>
      <c r="D453" s="4">
        <v>510200</v>
      </c>
      <c r="E453" s="4">
        <v>510200</v>
      </c>
      <c r="F453" s="4">
        <v>1020400</v>
      </c>
      <c r="H453" s="3">
        <f t="shared" si="6"/>
        <v>0</v>
      </c>
    </row>
    <row r="454" spans="1:8">
      <c r="A454" t="s">
        <v>2502</v>
      </c>
      <c r="B454" t="s">
        <v>2503</v>
      </c>
      <c r="C454" t="s">
        <v>317</v>
      </c>
      <c r="D454" s="4">
        <v>112800</v>
      </c>
      <c r="E454" s="4">
        <v>112800</v>
      </c>
      <c r="F454" s="4">
        <v>225600</v>
      </c>
      <c r="H454" s="3">
        <f t="shared" ref="H454:H462" si="7">+D454-E454</f>
        <v>0</v>
      </c>
    </row>
    <row r="455" spans="1:8">
      <c r="A455" t="s">
        <v>2530</v>
      </c>
      <c r="B455" t="s">
        <v>2531</v>
      </c>
      <c r="C455" t="s">
        <v>356</v>
      </c>
      <c r="D455" s="4">
        <v>356100</v>
      </c>
      <c r="E455" s="4">
        <v>356100</v>
      </c>
      <c r="F455" s="4">
        <v>712200</v>
      </c>
      <c r="H455" s="3">
        <f t="shared" si="7"/>
        <v>0</v>
      </c>
    </row>
    <row r="456" spans="1:8">
      <c r="A456" t="s">
        <v>2597</v>
      </c>
      <c r="B456" t="s">
        <v>2598</v>
      </c>
      <c r="C456" t="s">
        <v>317</v>
      </c>
      <c r="D456" s="4">
        <v>41800</v>
      </c>
      <c r="E456" s="4">
        <v>41800</v>
      </c>
      <c r="F456" s="4">
        <v>83600</v>
      </c>
      <c r="H456" s="3">
        <f t="shared" si="7"/>
        <v>0</v>
      </c>
    </row>
    <row r="457" spans="1:8">
      <c r="A457" t="s">
        <v>2639</v>
      </c>
      <c r="B457" t="s">
        <v>2640</v>
      </c>
      <c r="C457" t="s">
        <v>356</v>
      </c>
      <c r="D457" s="4">
        <v>112800</v>
      </c>
      <c r="E457" s="4">
        <v>112800</v>
      </c>
      <c r="F457" s="4">
        <v>225600</v>
      </c>
      <c r="H457" s="3">
        <f t="shared" si="7"/>
        <v>0</v>
      </c>
    </row>
    <row r="458" spans="1:8">
      <c r="A458" t="s">
        <v>2742</v>
      </c>
      <c r="B458" t="s">
        <v>2743</v>
      </c>
      <c r="C458" t="s">
        <v>137</v>
      </c>
      <c r="D458" s="4">
        <v>112800</v>
      </c>
      <c r="E458" s="4">
        <v>112800</v>
      </c>
      <c r="F458" s="4">
        <v>225600</v>
      </c>
      <c r="H458" s="3">
        <f t="shared" si="7"/>
        <v>0</v>
      </c>
    </row>
    <row r="459" spans="1:8">
      <c r="A459" t="s">
        <v>2829</v>
      </c>
      <c r="B459" t="s">
        <v>2830</v>
      </c>
      <c r="C459" t="s">
        <v>317</v>
      </c>
      <c r="D459" s="4">
        <v>112800</v>
      </c>
      <c r="E459" s="4">
        <v>112800</v>
      </c>
      <c r="F459" s="4">
        <v>225600</v>
      </c>
      <c r="H459" s="3">
        <f t="shared" si="7"/>
        <v>0</v>
      </c>
    </row>
    <row r="460" spans="1:8">
      <c r="A460" t="s">
        <v>2841</v>
      </c>
      <c r="B460" t="s">
        <v>2842</v>
      </c>
      <c r="C460" t="s">
        <v>356</v>
      </c>
      <c r="D460" s="4">
        <v>716900</v>
      </c>
      <c r="E460" s="4">
        <v>716900</v>
      </c>
      <c r="F460" s="4">
        <v>1433800</v>
      </c>
      <c r="H460" s="3">
        <f t="shared" si="7"/>
        <v>0</v>
      </c>
    </row>
    <row r="461" spans="1:8">
      <c r="A461" t="s">
        <v>2880</v>
      </c>
      <c r="B461" t="s">
        <v>2881</v>
      </c>
      <c r="C461" t="s">
        <v>356</v>
      </c>
      <c r="D461" s="4">
        <v>503600</v>
      </c>
      <c r="E461" s="4">
        <v>503600</v>
      </c>
      <c r="F461" s="4">
        <v>1007200</v>
      </c>
      <c r="H461" s="3">
        <f t="shared" si="7"/>
        <v>0</v>
      </c>
    </row>
    <row r="462" spans="1:8">
      <c r="A462" t="s">
        <v>2988</v>
      </c>
      <c r="B462" t="s">
        <v>2989</v>
      </c>
      <c r="C462" t="s">
        <v>185</v>
      </c>
      <c r="D462" s="4">
        <v>916800</v>
      </c>
      <c r="E462" s="4">
        <v>916800</v>
      </c>
      <c r="F462" s="4">
        <v>1833600</v>
      </c>
      <c r="H462" s="3">
        <f t="shared" si="7"/>
        <v>0</v>
      </c>
    </row>
    <row r="463" spans="1:8">
      <c r="A463" t="s">
        <v>3075</v>
      </c>
      <c r="D463" s="4">
        <v>258920200</v>
      </c>
      <c r="E463" s="4">
        <v>259290700</v>
      </c>
      <c r="F463" s="4">
        <v>518210900</v>
      </c>
    </row>
    <row r="464" spans="1:8" hidden="1">
      <c r="D464" s="4"/>
      <c r="E464" s="4"/>
      <c r="F464" s="4"/>
    </row>
    <row r="465" spans="4:6" hidden="1">
      <c r="D465" s="4"/>
      <c r="E465" s="4"/>
      <c r="F465" s="4"/>
    </row>
    <row r="466" spans="4:6" hidden="1">
      <c r="D466" s="4"/>
      <c r="E466" s="4"/>
      <c r="F466" s="4"/>
    </row>
    <row r="467" spans="4:6" hidden="1">
      <c r="D467" s="4"/>
      <c r="E467" s="4"/>
      <c r="F467" s="4"/>
    </row>
    <row r="468" spans="4:6" hidden="1">
      <c r="D468" s="4"/>
      <c r="E468" s="4"/>
      <c r="F468" s="4"/>
    </row>
    <row r="469" spans="4:6" hidden="1">
      <c r="D469" s="4"/>
      <c r="E469" s="4"/>
      <c r="F469" s="4"/>
    </row>
    <row r="470" spans="4:6" hidden="1">
      <c r="D470" s="4"/>
      <c r="E470" s="4"/>
      <c r="F470" s="4"/>
    </row>
    <row r="471" spans="4:6" hidden="1">
      <c r="D471" s="4"/>
      <c r="E471" s="4"/>
      <c r="F471" s="4"/>
    </row>
    <row r="472" spans="4:6" hidden="1">
      <c r="D472" s="4"/>
      <c r="E472" s="4"/>
      <c r="F472" s="4"/>
    </row>
    <row r="473" spans="4:6" hidden="1">
      <c r="D473" s="4"/>
      <c r="E473" s="4"/>
      <c r="F473" s="4"/>
    </row>
    <row r="474" spans="4:6" hidden="1">
      <c r="D474" s="4"/>
      <c r="E474" s="4"/>
      <c r="F474" s="4"/>
    </row>
    <row r="475" spans="4:6" hidden="1">
      <c r="D475" s="4"/>
      <c r="E475" s="4"/>
      <c r="F475" s="4"/>
    </row>
    <row r="476" spans="4:6" hidden="1">
      <c r="D476" s="4"/>
      <c r="E476" s="4"/>
      <c r="F476" s="4"/>
    </row>
    <row r="477" spans="4:6" hidden="1">
      <c r="D477" s="4"/>
      <c r="E477" s="4"/>
      <c r="F477" s="4"/>
    </row>
    <row r="478" spans="4:6" hidden="1">
      <c r="D478" s="4"/>
      <c r="E478" s="4"/>
      <c r="F478" s="4"/>
    </row>
    <row r="479" spans="4:6" hidden="1">
      <c r="D479" s="4"/>
      <c r="E479" s="4"/>
      <c r="F479" s="4"/>
    </row>
    <row r="480" spans="4:6" hidden="1">
      <c r="D480" s="4"/>
      <c r="E480" s="4"/>
      <c r="F480" s="4"/>
    </row>
    <row r="481" spans="4:6" hidden="1">
      <c r="D481" s="4"/>
      <c r="E481" s="4"/>
      <c r="F481" s="4"/>
    </row>
    <row r="482" spans="4:6" hidden="1">
      <c r="D482" s="4"/>
      <c r="E482" s="4"/>
      <c r="F482" s="4"/>
    </row>
    <row r="483" spans="4:6" hidden="1">
      <c r="D483" s="4"/>
      <c r="E483" s="4"/>
      <c r="F483" s="4"/>
    </row>
    <row r="484" spans="4:6" hidden="1">
      <c r="D484" s="4"/>
      <c r="E484" s="4"/>
      <c r="F484" s="4"/>
    </row>
    <row r="485" spans="4:6" hidden="1">
      <c r="D485" s="4"/>
      <c r="E485" s="4"/>
      <c r="F485" s="4"/>
    </row>
    <row r="486" spans="4:6" hidden="1">
      <c r="D486" s="4"/>
      <c r="E486" s="4"/>
      <c r="F486" s="4"/>
    </row>
    <row r="487" spans="4:6" hidden="1">
      <c r="D487" s="4"/>
      <c r="E487" s="4"/>
      <c r="F487" s="4"/>
    </row>
    <row r="488" spans="4:6" hidden="1">
      <c r="D488" s="4"/>
      <c r="E488" s="4"/>
      <c r="F488" s="4"/>
    </row>
    <row r="489" spans="4:6" hidden="1">
      <c r="D489" s="4"/>
      <c r="E489" s="4"/>
      <c r="F489" s="4"/>
    </row>
    <row r="490" spans="4:6" hidden="1">
      <c r="D490" s="4"/>
      <c r="E490" s="4"/>
      <c r="F490" s="4"/>
    </row>
    <row r="491" spans="4:6" hidden="1">
      <c r="D491" s="4"/>
      <c r="E491" s="4"/>
      <c r="F491" s="4"/>
    </row>
    <row r="492" spans="4:6" hidden="1">
      <c r="D492" s="4"/>
      <c r="E492" s="4"/>
      <c r="F492" s="4"/>
    </row>
    <row r="493" spans="4:6" hidden="1">
      <c r="D493" s="4"/>
      <c r="E493" s="4"/>
      <c r="F493" s="4"/>
    </row>
    <row r="494" spans="4:6" hidden="1">
      <c r="D494" s="4"/>
      <c r="E494" s="4"/>
      <c r="F494" s="4"/>
    </row>
    <row r="495" spans="4:6" hidden="1">
      <c r="D495" s="4"/>
      <c r="E495" s="4"/>
      <c r="F495" s="4"/>
    </row>
    <row r="496" spans="4:6" hidden="1">
      <c r="D496" s="4"/>
      <c r="E496" s="4"/>
      <c r="F496" s="4"/>
    </row>
    <row r="497" spans="4:6" hidden="1">
      <c r="D497" s="4"/>
      <c r="E497" s="4"/>
      <c r="F497" s="4"/>
    </row>
    <row r="498" spans="4:6" hidden="1">
      <c r="D498" s="4"/>
      <c r="E498" s="4"/>
      <c r="F498" s="4"/>
    </row>
    <row r="499" spans="4:6" hidden="1">
      <c r="D499" s="4"/>
      <c r="E499" s="4"/>
      <c r="F499" s="4"/>
    </row>
    <row r="500" spans="4:6" hidden="1">
      <c r="D500" s="4"/>
      <c r="E500" s="4"/>
      <c r="F500" s="4"/>
    </row>
    <row r="501" spans="4:6" hidden="1">
      <c r="D501" s="4"/>
      <c r="E501" s="4"/>
      <c r="F501" s="4"/>
    </row>
    <row r="502" spans="4:6" hidden="1">
      <c r="D502" s="4"/>
      <c r="E502" s="4"/>
      <c r="F502" s="4"/>
    </row>
    <row r="503" spans="4:6" hidden="1">
      <c r="D503" s="4"/>
      <c r="E503" s="4"/>
      <c r="F503" s="4"/>
    </row>
    <row r="504" spans="4:6" hidden="1">
      <c r="D504" s="4"/>
      <c r="E504" s="4"/>
      <c r="F504" s="4"/>
    </row>
    <row r="505" spans="4:6" hidden="1">
      <c r="D505" s="4"/>
      <c r="E505" s="4"/>
      <c r="F505" s="4"/>
    </row>
    <row r="506" spans="4:6" hidden="1">
      <c r="D506" s="4"/>
      <c r="E506" s="4"/>
      <c r="F506" s="4"/>
    </row>
    <row r="507" spans="4:6" hidden="1">
      <c r="D507" s="4"/>
      <c r="E507" s="4"/>
      <c r="F507" s="4"/>
    </row>
    <row r="508" spans="4:6" hidden="1">
      <c r="D508" s="4"/>
      <c r="E508" s="4"/>
      <c r="F508" s="4"/>
    </row>
    <row r="509" spans="4:6" hidden="1">
      <c r="D509" s="4"/>
      <c r="E509" s="4"/>
      <c r="F509" s="4"/>
    </row>
    <row r="510" spans="4:6" hidden="1">
      <c r="D510" s="4"/>
      <c r="E510" s="4"/>
      <c r="F510" s="4"/>
    </row>
    <row r="511" spans="4:6" hidden="1">
      <c r="D511" s="4"/>
      <c r="E511" s="4"/>
      <c r="F511" s="4"/>
    </row>
    <row r="512" spans="4:6" hidden="1">
      <c r="D512" s="4"/>
      <c r="E512" s="4"/>
      <c r="F512" s="4"/>
    </row>
    <row r="513" spans="4:6" hidden="1">
      <c r="D513" s="4"/>
      <c r="E513" s="4"/>
      <c r="F513" s="4"/>
    </row>
    <row r="514" spans="4:6" hidden="1">
      <c r="D514" s="4"/>
      <c r="E514" s="4"/>
      <c r="F514" s="4"/>
    </row>
    <row r="515" spans="4:6" hidden="1">
      <c r="D515" s="4"/>
      <c r="E515" s="4"/>
      <c r="F515" s="4"/>
    </row>
    <row r="516" spans="4:6" hidden="1">
      <c r="D516" s="4"/>
      <c r="E516" s="4"/>
      <c r="F516" s="4"/>
    </row>
    <row r="517" spans="4:6" hidden="1">
      <c r="D517" s="4"/>
      <c r="E517" s="4"/>
      <c r="F517" s="4"/>
    </row>
    <row r="518" spans="4:6" hidden="1">
      <c r="D518" s="4"/>
      <c r="E518" s="4"/>
      <c r="F518" s="4"/>
    </row>
    <row r="519" spans="4:6" hidden="1">
      <c r="D519" s="4"/>
      <c r="E519" s="4"/>
      <c r="F519" s="4"/>
    </row>
    <row r="520" spans="4:6" hidden="1">
      <c r="D520" s="4"/>
      <c r="E520" s="4"/>
      <c r="F520" s="4"/>
    </row>
    <row r="521" spans="4:6" hidden="1">
      <c r="D521" s="4"/>
      <c r="E521" s="4"/>
      <c r="F521" s="4"/>
    </row>
    <row r="522" spans="4:6" hidden="1">
      <c r="D522" s="4"/>
      <c r="E522" s="4"/>
      <c r="F522" s="4"/>
    </row>
    <row r="523" spans="4:6" hidden="1">
      <c r="D523" s="4"/>
      <c r="E523" s="4"/>
      <c r="F523" s="4"/>
    </row>
    <row r="524" spans="4:6" hidden="1">
      <c r="D524" s="4"/>
      <c r="E524" s="4"/>
      <c r="F524" s="4"/>
    </row>
    <row r="525" spans="4:6" hidden="1">
      <c r="D525" s="4"/>
      <c r="E525" s="4"/>
      <c r="F525" s="4"/>
    </row>
    <row r="526" spans="4:6" hidden="1">
      <c r="D526" s="4"/>
      <c r="E526" s="4"/>
      <c r="F526" s="4"/>
    </row>
    <row r="527" spans="4:6" hidden="1">
      <c r="D527" s="4"/>
      <c r="E527" s="4"/>
      <c r="F527" s="4"/>
    </row>
    <row r="528" spans="4:6" hidden="1">
      <c r="D528" s="4"/>
      <c r="E528" s="4"/>
      <c r="F528" s="4"/>
    </row>
    <row r="529" spans="1:8" hidden="1">
      <c r="D529" s="4"/>
      <c r="E529" s="4"/>
      <c r="F529" s="4"/>
    </row>
    <row r="530" spans="1:8" hidden="1">
      <c r="D530" s="4"/>
      <c r="E530" s="4"/>
      <c r="F530" s="4"/>
    </row>
    <row r="531" spans="1:8">
      <c r="D531" s="4"/>
      <c r="E531" s="4"/>
      <c r="F531" s="4"/>
    </row>
    <row r="532" spans="1:8">
      <c r="D532" s="4"/>
      <c r="E532" s="4"/>
      <c r="F532" s="4"/>
    </row>
    <row r="533" spans="1:8">
      <c r="D533" s="4"/>
      <c r="E533" s="4"/>
      <c r="F533" s="4"/>
    </row>
    <row r="534" spans="1:8">
      <c r="D534" s="4"/>
      <c r="E534" s="4"/>
      <c r="F534" s="4"/>
    </row>
    <row r="535" spans="1:8">
      <c r="A535" s="20" t="s">
        <v>3077</v>
      </c>
      <c r="B535" s="20"/>
      <c r="C535" s="20"/>
      <c r="D535" s="20"/>
      <c r="E535" s="20"/>
      <c r="F535" s="20"/>
      <c r="G535" s="20"/>
      <c r="H535" s="20"/>
    </row>
    <row r="536" spans="1:8">
      <c r="A536" t="s">
        <v>3078</v>
      </c>
      <c r="D536" s="4" t="s">
        <v>1344</v>
      </c>
      <c r="E536" s="4"/>
      <c r="F536" s="4"/>
      <c r="G536"/>
    </row>
    <row r="537" spans="1:8">
      <c r="A537" t="s">
        <v>1346</v>
      </c>
      <c r="B537" t="s">
        <v>1347</v>
      </c>
      <c r="C537" t="s">
        <v>3079</v>
      </c>
      <c r="D537" s="4" t="s">
        <v>1431</v>
      </c>
      <c r="E537" s="4" t="s">
        <v>3047</v>
      </c>
      <c r="F537" s="4" t="s">
        <v>3075</v>
      </c>
      <c r="G537"/>
    </row>
    <row r="538" spans="1:8">
      <c r="A538" t="s">
        <v>1485</v>
      </c>
      <c r="B538" t="s">
        <v>1486</v>
      </c>
      <c r="C538" t="s">
        <v>1491</v>
      </c>
      <c r="D538" s="4">
        <v>119400</v>
      </c>
      <c r="E538" s="4">
        <v>119400</v>
      </c>
      <c r="F538" s="4">
        <v>238800</v>
      </c>
      <c r="G538"/>
      <c r="H538" s="3">
        <f>+D538-E538</f>
        <v>0</v>
      </c>
    </row>
    <row r="539" spans="1:8">
      <c r="A539" t="s">
        <v>1553</v>
      </c>
      <c r="B539" t="s">
        <v>1554</v>
      </c>
      <c r="C539" t="s">
        <v>1064</v>
      </c>
      <c r="D539" s="4">
        <v>126300</v>
      </c>
      <c r="E539" s="4">
        <v>126300</v>
      </c>
      <c r="F539" s="4">
        <v>252600</v>
      </c>
      <c r="G539"/>
      <c r="H539" s="3">
        <f t="shared" ref="H539:H602" si="8">+D539-E539</f>
        <v>0</v>
      </c>
    </row>
    <row r="540" spans="1:8">
      <c r="A540" t="s">
        <v>1567</v>
      </c>
      <c r="B540" t="s">
        <v>1568</v>
      </c>
      <c r="C540" t="s">
        <v>1071</v>
      </c>
      <c r="D540" s="4">
        <v>306400</v>
      </c>
      <c r="E540" s="4">
        <v>306400</v>
      </c>
      <c r="F540" s="4">
        <v>612800</v>
      </c>
      <c r="G540"/>
      <c r="H540" s="3">
        <f t="shared" si="8"/>
        <v>0</v>
      </c>
    </row>
    <row r="541" spans="1:8">
      <c r="A541" t="s">
        <v>1580</v>
      </c>
      <c r="B541" t="s">
        <v>1581</v>
      </c>
      <c r="C541" t="s">
        <v>870</v>
      </c>
      <c r="D541" s="4">
        <v>335600</v>
      </c>
      <c r="E541" s="4">
        <v>335600</v>
      </c>
      <c r="F541" s="4">
        <v>671200</v>
      </c>
      <c r="G541"/>
      <c r="H541" s="3">
        <f t="shared" si="8"/>
        <v>0</v>
      </c>
    </row>
    <row r="542" spans="1:8">
      <c r="A542" t="s">
        <v>1585</v>
      </c>
      <c r="B542" t="s">
        <v>1586</v>
      </c>
      <c r="C542" t="s">
        <v>885</v>
      </c>
      <c r="D542" s="4">
        <v>153000</v>
      </c>
      <c r="E542" s="4">
        <v>153000</v>
      </c>
      <c r="F542" s="4">
        <v>306000</v>
      </c>
      <c r="G542"/>
      <c r="H542" s="3">
        <f t="shared" si="8"/>
        <v>0</v>
      </c>
    </row>
    <row r="543" spans="1:8">
      <c r="A543" t="s">
        <v>1594</v>
      </c>
      <c r="B543" t="s">
        <v>1595</v>
      </c>
      <c r="C543" t="s">
        <v>635</v>
      </c>
      <c r="D543" s="4">
        <v>457500</v>
      </c>
      <c r="E543" s="4">
        <v>457500</v>
      </c>
      <c r="F543" s="4">
        <v>915000</v>
      </c>
      <c r="G543"/>
      <c r="H543" s="3">
        <f t="shared" si="8"/>
        <v>0</v>
      </c>
    </row>
    <row r="544" spans="1:8">
      <c r="A544" t="s">
        <v>1599</v>
      </c>
      <c r="B544" t="s">
        <v>1600</v>
      </c>
      <c r="C544" t="s">
        <v>1071</v>
      </c>
      <c r="D544" s="4">
        <v>146500</v>
      </c>
      <c r="E544" s="4">
        <v>146500</v>
      </c>
      <c r="F544" s="4">
        <v>293000</v>
      </c>
      <c r="G544"/>
      <c r="H544" s="3">
        <f t="shared" si="8"/>
        <v>0</v>
      </c>
    </row>
    <row r="545" spans="1:8">
      <c r="A545" t="s">
        <v>1604</v>
      </c>
      <c r="B545" t="s">
        <v>1605</v>
      </c>
      <c r="C545" t="s">
        <v>635</v>
      </c>
      <c r="D545" s="4">
        <v>227100</v>
      </c>
      <c r="E545" s="4">
        <v>227100</v>
      </c>
      <c r="F545" s="4">
        <v>454200</v>
      </c>
      <c r="G545"/>
      <c r="H545" s="3">
        <f t="shared" si="8"/>
        <v>0</v>
      </c>
    </row>
    <row r="546" spans="1:8">
      <c r="A546" t="s">
        <v>1609</v>
      </c>
      <c r="B546" t="s">
        <v>1610</v>
      </c>
      <c r="C546" t="s">
        <v>635</v>
      </c>
      <c r="D546" s="4">
        <v>192000</v>
      </c>
      <c r="E546" s="4">
        <v>192000</v>
      </c>
      <c r="F546" s="4">
        <v>384000</v>
      </c>
      <c r="G546"/>
      <c r="H546" s="3">
        <f t="shared" si="8"/>
        <v>0</v>
      </c>
    </row>
    <row r="547" spans="1:8">
      <c r="A547" t="s">
        <v>1614</v>
      </c>
      <c r="B547" t="s">
        <v>1615</v>
      </c>
      <c r="C547" t="s">
        <v>1071</v>
      </c>
      <c r="D547" s="4">
        <v>208400</v>
      </c>
      <c r="E547" s="4">
        <v>208400</v>
      </c>
      <c r="F547" s="4">
        <v>416800</v>
      </c>
      <c r="G547"/>
      <c r="H547" s="3">
        <f t="shared" si="8"/>
        <v>0</v>
      </c>
    </row>
    <row r="548" spans="1:8">
      <c r="A548" t="s">
        <v>1622</v>
      </c>
      <c r="B548" t="s">
        <v>1623</v>
      </c>
      <c r="C548" t="s">
        <v>1010</v>
      </c>
      <c r="D548" s="4">
        <v>127200</v>
      </c>
      <c r="E548" s="4">
        <v>127200</v>
      </c>
      <c r="F548" s="4">
        <v>254400</v>
      </c>
      <c r="G548"/>
      <c r="H548" s="3">
        <f t="shared" si="8"/>
        <v>0</v>
      </c>
    </row>
    <row r="549" spans="1:8">
      <c r="A549" t="s">
        <v>1632</v>
      </c>
      <c r="B549" t="s">
        <v>1633</v>
      </c>
      <c r="C549" t="s">
        <v>870</v>
      </c>
      <c r="D549" s="4">
        <v>466100</v>
      </c>
      <c r="E549" s="4">
        <v>512700</v>
      </c>
      <c r="F549" s="4">
        <v>978800</v>
      </c>
      <c r="G549"/>
      <c r="H549" s="3">
        <f t="shared" si="8"/>
        <v>-46600</v>
      </c>
    </row>
    <row r="550" spans="1:8">
      <c r="A550" t="s">
        <v>1645</v>
      </c>
      <c r="B550" t="s">
        <v>1646</v>
      </c>
      <c r="C550" t="s">
        <v>635</v>
      </c>
      <c r="D550" s="4">
        <v>1456400</v>
      </c>
      <c r="E550" s="4">
        <v>1456400</v>
      </c>
      <c r="F550" s="4">
        <v>2912800</v>
      </c>
      <c r="G550"/>
      <c r="H550" s="3">
        <f t="shared" si="8"/>
        <v>0</v>
      </c>
    </row>
    <row r="551" spans="1:8">
      <c r="A551" t="s">
        <v>1663</v>
      </c>
      <c r="B551" t="s">
        <v>1664</v>
      </c>
      <c r="C551" t="s">
        <v>1071</v>
      </c>
      <c r="D551" s="4">
        <v>161100</v>
      </c>
      <c r="E551" s="4">
        <v>161100</v>
      </c>
      <c r="F551" s="4">
        <v>322200</v>
      </c>
      <c r="G551"/>
      <c r="H551" s="3">
        <f t="shared" si="8"/>
        <v>0</v>
      </c>
    </row>
    <row r="552" spans="1:8">
      <c r="A552" t="s">
        <v>1667</v>
      </c>
      <c r="B552" t="s">
        <v>1668</v>
      </c>
      <c r="C552" t="s">
        <v>635</v>
      </c>
      <c r="D552" s="4">
        <v>389700</v>
      </c>
      <c r="E552" s="4">
        <v>389700</v>
      </c>
      <c r="F552" s="4">
        <v>779400</v>
      </c>
      <c r="G552"/>
      <c r="H552" s="3">
        <f t="shared" si="8"/>
        <v>0</v>
      </c>
    </row>
    <row r="553" spans="1:8">
      <c r="A553" t="s">
        <v>1671</v>
      </c>
      <c r="B553" t="s">
        <v>1672</v>
      </c>
      <c r="C553" t="s">
        <v>635</v>
      </c>
      <c r="D553" s="4">
        <v>352500</v>
      </c>
      <c r="E553" s="4">
        <v>352500</v>
      </c>
      <c r="F553" s="4">
        <v>705000</v>
      </c>
      <c r="G553"/>
      <c r="H553" s="3">
        <f t="shared" si="8"/>
        <v>0</v>
      </c>
    </row>
    <row r="554" spans="1:8">
      <c r="A554" t="s">
        <v>1675</v>
      </c>
      <c r="B554" t="s">
        <v>1676</v>
      </c>
      <c r="C554" t="s">
        <v>1064</v>
      </c>
      <c r="D554" s="4">
        <v>153400</v>
      </c>
      <c r="E554" s="4">
        <v>153400</v>
      </c>
      <c r="F554" s="4">
        <v>306800</v>
      </c>
      <c r="G554"/>
      <c r="H554" s="3">
        <f t="shared" si="8"/>
        <v>0</v>
      </c>
    </row>
    <row r="555" spans="1:8">
      <c r="A555" t="s">
        <v>1681</v>
      </c>
      <c r="B555" t="s">
        <v>1682</v>
      </c>
      <c r="C555" t="s">
        <v>1071</v>
      </c>
      <c r="D555" s="4">
        <v>70100</v>
      </c>
      <c r="E555" s="4">
        <v>70100</v>
      </c>
      <c r="F555" s="4">
        <v>140200</v>
      </c>
      <c r="G555"/>
      <c r="H555" s="3">
        <f t="shared" si="8"/>
        <v>0</v>
      </c>
    </row>
    <row r="556" spans="1:8">
      <c r="A556" t="s">
        <v>1714</v>
      </c>
      <c r="B556" t="s">
        <v>1715</v>
      </c>
      <c r="C556" t="s">
        <v>1071</v>
      </c>
      <c r="D556" s="4">
        <v>272800</v>
      </c>
      <c r="E556" s="4">
        <v>272800</v>
      </c>
      <c r="F556" s="4">
        <v>545600</v>
      </c>
      <c r="G556"/>
      <c r="H556" s="3">
        <f t="shared" si="8"/>
        <v>0</v>
      </c>
    </row>
    <row r="557" spans="1:8">
      <c r="A557" t="s">
        <v>1717</v>
      </c>
      <c r="B557" t="s">
        <v>1718</v>
      </c>
      <c r="C557" t="s">
        <v>1064</v>
      </c>
      <c r="D557" s="4">
        <v>114400</v>
      </c>
      <c r="E557" s="4">
        <v>114400</v>
      </c>
      <c r="F557" s="4">
        <v>228800</v>
      </c>
      <c r="G557"/>
      <c r="H557" s="3">
        <f t="shared" si="8"/>
        <v>0</v>
      </c>
    </row>
    <row r="558" spans="1:8">
      <c r="A558" t="s">
        <v>1744</v>
      </c>
      <c r="B558" t="s">
        <v>1745</v>
      </c>
      <c r="C558" t="s">
        <v>1071</v>
      </c>
      <c r="D558" s="4">
        <v>88800</v>
      </c>
      <c r="E558" s="4">
        <v>88800</v>
      </c>
      <c r="F558" s="4">
        <v>177600</v>
      </c>
      <c r="G558"/>
      <c r="H558" s="3">
        <f t="shared" si="8"/>
        <v>0</v>
      </c>
    </row>
    <row r="559" spans="1:8">
      <c r="A559" t="s">
        <v>1746</v>
      </c>
      <c r="B559" t="s">
        <v>1747</v>
      </c>
      <c r="C559" t="s">
        <v>635</v>
      </c>
      <c r="D559" s="4">
        <v>248700</v>
      </c>
      <c r="E559" s="4">
        <v>248700</v>
      </c>
      <c r="F559" s="4">
        <v>497400</v>
      </c>
      <c r="G559"/>
      <c r="H559" s="3">
        <f t="shared" si="8"/>
        <v>0</v>
      </c>
    </row>
    <row r="560" spans="1:8">
      <c r="A560" t="s">
        <v>1751</v>
      </c>
      <c r="B560" t="s">
        <v>1752</v>
      </c>
      <c r="C560" t="s">
        <v>1071</v>
      </c>
      <c r="D560" s="4">
        <v>145000</v>
      </c>
      <c r="E560" s="4">
        <v>145700</v>
      </c>
      <c r="F560" s="4">
        <v>290700</v>
      </c>
      <c r="G560"/>
      <c r="H560" s="3">
        <f t="shared" si="8"/>
        <v>-700</v>
      </c>
    </row>
    <row r="561" spans="1:8">
      <c r="A561" t="s">
        <v>1767</v>
      </c>
      <c r="B561" t="s">
        <v>1768</v>
      </c>
      <c r="C561" t="s">
        <v>885</v>
      </c>
      <c r="D561" s="4">
        <v>75600</v>
      </c>
      <c r="E561" s="4">
        <v>76300</v>
      </c>
      <c r="F561" s="4">
        <v>151900</v>
      </c>
      <c r="G561"/>
      <c r="H561" s="3">
        <f t="shared" si="8"/>
        <v>-700</v>
      </c>
    </row>
    <row r="562" spans="1:8">
      <c r="A562" t="s">
        <v>1804</v>
      </c>
      <c r="B562" t="s">
        <v>1805</v>
      </c>
      <c r="C562" t="s">
        <v>1010</v>
      </c>
      <c r="D562" s="4">
        <v>227100</v>
      </c>
      <c r="E562" s="4">
        <v>227100</v>
      </c>
      <c r="F562" s="4">
        <v>454200</v>
      </c>
      <c r="G562"/>
      <c r="H562" s="3">
        <f t="shared" si="8"/>
        <v>0</v>
      </c>
    </row>
    <row r="563" spans="1:8">
      <c r="A563" t="s">
        <v>1865</v>
      </c>
      <c r="B563" t="s">
        <v>1866</v>
      </c>
      <c r="C563" t="s">
        <v>1010</v>
      </c>
      <c r="D563" s="4">
        <v>119100</v>
      </c>
      <c r="E563" s="4">
        <v>119100</v>
      </c>
      <c r="F563" s="4">
        <v>238200</v>
      </c>
      <c r="G563"/>
      <c r="H563" s="3">
        <f t="shared" si="8"/>
        <v>0</v>
      </c>
    </row>
    <row r="564" spans="1:8">
      <c r="A564" t="s">
        <v>1884</v>
      </c>
      <c r="B564" t="s">
        <v>1885</v>
      </c>
      <c r="C564" t="s">
        <v>1071</v>
      </c>
      <c r="D564" s="4">
        <v>191800</v>
      </c>
      <c r="E564" s="4">
        <v>191800</v>
      </c>
      <c r="F564" s="4">
        <v>383600</v>
      </c>
      <c r="G564"/>
      <c r="H564" s="3">
        <f t="shared" si="8"/>
        <v>0</v>
      </c>
    </row>
    <row r="565" spans="1:8">
      <c r="A565" t="s">
        <v>1939</v>
      </c>
      <c r="B565" t="s">
        <v>1940</v>
      </c>
      <c r="C565" t="s">
        <v>1071</v>
      </c>
      <c r="D565" s="4">
        <v>341000</v>
      </c>
      <c r="E565" s="4">
        <v>341000</v>
      </c>
      <c r="F565" s="4">
        <v>682000</v>
      </c>
      <c r="G565"/>
      <c r="H565" s="3">
        <f t="shared" si="8"/>
        <v>0</v>
      </c>
    </row>
    <row r="566" spans="1:8">
      <c r="A566" t="s">
        <v>1954</v>
      </c>
      <c r="B566" t="s">
        <v>1955</v>
      </c>
      <c r="C566" t="s">
        <v>1010</v>
      </c>
      <c r="D566" s="4">
        <v>255500</v>
      </c>
      <c r="E566" s="4">
        <v>255500</v>
      </c>
      <c r="F566" s="4">
        <v>511000</v>
      </c>
      <c r="G566"/>
      <c r="H566" s="3">
        <f t="shared" si="8"/>
        <v>0</v>
      </c>
    </row>
    <row r="567" spans="1:8">
      <c r="A567" t="s">
        <v>1958</v>
      </c>
      <c r="B567" t="s">
        <v>1959</v>
      </c>
      <c r="C567" t="s">
        <v>1071</v>
      </c>
      <c r="D567" s="4">
        <v>166100</v>
      </c>
      <c r="E567" s="4">
        <v>166100</v>
      </c>
      <c r="F567" s="4">
        <v>332200</v>
      </c>
      <c r="G567"/>
      <c r="H567" s="3">
        <f t="shared" si="8"/>
        <v>0</v>
      </c>
    </row>
    <row r="568" spans="1:8">
      <c r="A568" t="s">
        <v>1966</v>
      </c>
      <c r="B568" t="s">
        <v>1967</v>
      </c>
      <c r="C568" t="s">
        <v>1071</v>
      </c>
      <c r="D568" s="4">
        <v>134500</v>
      </c>
      <c r="E568" s="4">
        <v>134500</v>
      </c>
      <c r="F568" s="4">
        <v>269000</v>
      </c>
      <c r="G568"/>
      <c r="H568" s="3">
        <f t="shared" si="8"/>
        <v>0</v>
      </c>
    </row>
    <row r="569" spans="1:8">
      <c r="A569" t="s">
        <v>1985</v>
      </c>
      <c r="B569" t="s">
        <v>1986</v>
      </c>
      <c r="C569" t="s">
        <v>1010</v>
      </c>
      <c r="D569" s="4">
        <v>230000</v>
      </c>
      <c r="E569" s="4">
        <v>230000</v>
      </c>
      <c r="F569" s="4">
        <v>460000</v>
      </c>
      <c r="G569"/>
      <c r="H569" s="3">
        <f t="shared" si="8"/>
        <v>0</v>
      </c>
    </row>
    <row r="570" spans="1:8">
      <c r="A570" t="s">
        <v>1995</v>
      </c>
      <c r="B570" t="s">
        <v>1996</v>
      </c>
      <c r="C570" t="s">
        <v>1071</v>
      </c>
      <c r="D570" s="4">
        <v>166200</v>
      </c>
      <c r="E570" s="4">
        <v>166200</v>
      </c>
      <c r="F570" s="4">
        <v>332400</v>
      </c>
      <c r="G570"/>
      <c r="H570" s="3">
        <f t="shared" si="8"/>
        <v>0</v>
      </c>
    </row>
    <row r="571" spans="1:8">
      <c r="A571" t="s">
        <v>2027</v>
      </c>
      <c r="B571" t="s">
        <v>2028</v>
      </c>
      <c r="C571" t="s">
        <v>885</v>
      </c>
      <c r="D571" s="4">
        <v>255500</v>
      </c>
      <c r="E571" s="4">
        <v>254000</v>
      </c>
      <c r="F571" s="4">
        <v>509500</v>
      </c>
      <c r="G571"/>
      <c r="H571" s="3">
        <f t="shared" si="8"/>
        <v>1500</v>
      </c>
    </row>
    <row r="572" spans="1:8">
      <c r="A572" t="s">
        <v>2075</v>
      </c>
      <c r="B572" t="s">
        <v>2076</v>
      </c>
      <c r="C572" t="s">
        <v>1043</v>
      </c>
      <c r="D572" s="4">
        <v>255500</v>
      </c>
      <c r="E572" s="4">
        <v>255500</v>
      </c>
      <c r="F572" s="4">
        <v>511000</v>
      </c>
      <c r="G572"/>
      <c r="H572" s="3">
        <f t="shared" si="8"/>
        <v>0</v>
      </c>
    </row>
    <row r="573" spans="1:8">
      <c r="A573" t="s">
        <v>2084</v>
      </c>
      <c r="B573" t="s">
        <v>2085</v>
      </c>
      <c r="C573" t="s">
        <v>1010</v>
      </c>
      <c r="D573" s="4">
        <v>255400</v>
      </c>
      <c r="E573" s="4">
        <v>255400</v>
      </c>
      <c r="F573" s="4">
        <v>510800</v>
      </c>
      <c r="G573"/>
      <c r="H573" s="3">
        <f t="shared" si="8"/>
        <v>0</v>
      </c>
    </row>
    <row r="574" spans="1:8">
      <c r="A574" t="s">
        <v>2106</v>
      </c>
      <c r="B574" t="s">
        <v>2107</v>
      </c>
      <c r="C574" t="s">
        <v>1071</v>
      </c>
      <c r="D574" s="4">
        <v>342900</v>
      </c>
      <c r="E574" s="4">
        <v>345400</v>
      </c>
      <c r="F574" s="4">
        <v>688300</v>
      </c>
      <c r="G574"/>
      <c r="H574" s="3">
        <f t="shared" si="8"/>
        <v>-2500</v>
      </c>
    </row>
    <row r="575" spans="1:8">
      <c r="A575" t="s">
        <v>2160</v>
      </c>
      <c r="B575" t="s">
        <v>2161</v>
      </c>
      <c r="C575" t="s">
        <v>1010</v>
      </c>
      <c r="D575" s="4">
        <v>98200</v>
      </c>
      <c r="E575" s="4">
        <v>98200</v>
      </c>
      <c r="F575" s="4">
        <v>196400</v>
      </c>
      <c r="G575"/>
      <c r="H575" s="3">
        <f t="shared" si="8"/>
        <v>0</v>
      </c>
    </row>
    <row r="576" spans="1:8">
      <c r="A576" t="s">
        <v>2206</v>
      </c>
      <c r="B576" t="s">
        <v>2207</v>
      </c>
      <c r="C576" t="s">
        <v>1010</v>
      </c>
      <c r="D576" s="4">
        <v>83500</v>
      </c>
      <c r="E576" s="4"/>
      <c r="F576" s="4">
        <v>83500</v>
      </c>
      <c r="G576"/>
      <c r="H576" s="3">
        <f t="shared" si="8"/>
        <v>83500</v>
      </c>
    </row>
    <row r="577" spans="1:8">
      <c r="A577" t="s">
        <v>2206</v>
      </c>
      <c r="B577" t="s">
        <v>3060</v>
      </c>
      <c r="C577" t="s">
        <v>1010</v>
      </c>
      <c r="D577" s="4"/>
      <c r="E577" s="4">
        <v>83500</v>
      </c>
      <c r="F577" s="4">
        <v>83500</v>
      </c>
      <c r="G577"/>
      <c r="H577" s="3">
        <f t="shared" si="8"/>
        <v>-83500</v>
      </c>
    </row>
    <row r="578" spans="1:8">
      <c r="A578" t="s">
        <v>2227</v>
      </c>
      <c r="B578" t="s">
        <v>2228</v>
      </c>
      <c r="C578" t="s">
        <v>1010</v>
      </c>
      <c r="D578" s="4">
        <v>81300</v>
      </c>
      <c r="E578" s="4">
        <v>81300</v>
      </c>
      <c r="F578" s="4">
        <v>162600</v>
      </c>
      <c r="G578"/>
      <c r="H578" s="3">
        <f t="shared" si="8"/>
        <v>0</v>
      </c>
    </row>
    <row r="579" spans="1:8">
      <c r="A579" t="s">
        <v>2276</v>
      </c>
      <c r="B579" t="s">
        <v>2277</v>
      </c>
      <c r="C579" t="s">
        <v>885</v>
      </c>
      <c r="D579" s="4">
        <v>448100</v>
      </c>
      <c r="E579" s="4">
        <v>448100</v>
      </c>
      <c r="F579" s="4">
        <v>896200</v>
      </c>
      <c r="G579"/>
      <c r="H579" s="3">
        <f t="shared" si="8"/>
        <v>0</v>
      </c>
    </row>
    <row r="580" spans="1:8">
      <c r="A580" t="s">
        <v>2295</v>
      </c>
      <c r="B580" t="s">
        <v>2296</v>
      </c>
      <c r="C580" t="s">
        <v>1064</v>
      </c>
      <c r="D580" s="4">
        <v>208400</v>
      </c>
      <c r="E580" s="4">
        <v>208400</v>
      </c>
      <c r="F580" s="4">
        <v>416800</v>
      </c>
      <c r="G580"/>
      <c r="H580" s="3">
        <f t="shared" si="8"/>
        <v>0</v>
      </c>
    </row>
    <row r="581" spans="1:8">
      <c r="A581" t="s">
        <v>2336</v>
      </c>
      <c r="B581" t="s">
        <v>2337</v>
      </c>
      <c r="C581" t="s">
        <v>1071</v>
      </c>
      <c r="D581" s="4">
        <v>255400</v>
      </c>
      <c r="E581" s="4">
        <v>255400</v>
      </c>
      <c r="F581" s="4">
        <v>510800</v>
      </c>
      <c r="G581"/>
      <c r="H581" s="3">
        <f t="shared" si="8"/>
        <v>0</v>
      </c>
    </row>
    <row r="582" spans="1:8">
      <c r="A582" t="s">
        <v>2348</v>
      </c>
      <c r="B582" t="s">
        <v>2349</v>
      </c>
      <c r="C582" t="s">
        <v>1071</v>
      </c>
      <c r="D582" s="4">
        <v>3323300</v>
      </c>
      <c r="E582" s="4">
        <v>3323300</v>
      </c>
      <c r="F582" s="4">
        <v>6646600</v>
      </c>
      <c r="G582"/>
      <c r="H582" s="3">
        <f t="shared" si="8"/>
        <v>0</v>
      </c>
    </row>
    <row r="583" spans="1:8">
      <c r="A583" t="s">
        <v>2352</v>
      </c>
      <c r="B583" t="s">
        <v>2353</v>
      </c>
      <c r="C583" t="s">
        <v>1071</v>
      </c>
      <c r="D583" s="4">
        <v>409300</v>
      </c>
      <c r="E583" s="4">
        <v>409300</v>
      </c>
      <c r="F583" s="4">
        <v>818600</v>
      </c>
      <c r="G583"/>
      <c r="H583" s="3">
        <f t="shared" si="8"/>
        <v>0</v>
      </c>
    </row>
    <row r="584" spans="1:8">
      <c r="A584" t="s">
        <v>2393</v>
      </c>
      <c r="B584" t="s">
        <v>2394</v>
      </c>
      <c r="C584" t="s">
        <v>1071</v>
      </c>
      <c r="D584" s="4">
        <v>187300</v>
      </c>
      <c r="E584" s="4">
        <v>187300</v>
      </c>
      <c r="F584" s="4">
        <v>374600</v>
      </c>
      <c r="G584"/>
      <c r="H584" s="3">
        <f t="shared" si="8"/>
        <v>0</v>
      </c>
    </row>
    <row r="585" spans="1:8">
      <c r="A585" t="s">
        <v>2477</v>
      </c>
      <c r="B585" t="s">
        <v>2478</v>
      </c>
      <c r="C585" t="s">
        <v>1071</v>
      </c>
      <c r="D585" s="4">
        <v>111200</v>
      </c>
      <c r="E585" s="4">
        <v>111200</v>
      </c>
      <c r="F585" s="4">
        <v>222400</v>
      </c>
      <c r="G585"/>
      <c r="H585" s="3">
        <f t="shared" si="8"/>
        <v>0</v>
      </c>
    </row>
    <row r="586" spans="1:8">
      <c r="A586" t="s">
        <v>2480</v>
      </c>
      <c r="B586" t="s">
        <v>2481</v>
      </c>
      <c r="C586" t="s">
        <v>1071</v>
      </c>
      <c r="D586" s="4">
        <v>326100</v>
      </c>
      <c r="E586" s="4">
        <v>326100</v>
      </c>
      <c r="F586" s="4">
        <v>652200</v>
      </c>
      <c r="G586"/>
      <c r="H586" s="3">
        <f t="shared" si="8"/>
        <v>0</v>
      </c>
    </row>
    <row r="587" spans="1:8">
      <c r="A587" t="s">
        <v>2487</v>
      </c>
      <c r="B587" t="s">
        <v>2488</v>
      </c>
      <c r="C587" t="s">
        <v>1064</v>
      </c>
      <c r="D587" s="4">
        <v>426900</v>
      </c>
      <c r="E587" s="4">
        <v>426900</v>
      </c>
      <c r="F587" s="4">
        <v>853800</v>
      </c>
      <c r="G587"/>
      <c r="H587" s="3">
        <f t="shared" si="8"/>
        <v>0</v>
      </c>
    </row>
    <row r="588" spans="1:8">
      <c r="A588" t="s">
        <v>2508</v>
      </c>
      <c r="B588" t="s">
        <v>2509</v>
      </c>
      <c r="C588" t="s">
        <v>635</v>
      </c>
      <c r="D588" s="4">
        <v>308100</v>
      </c>
      <c r="E588" s="4">
        <v>303700</v>
      </c>
      <c r="F588" s="4">
        <v>611800</v>
      </c>
      <c r="G588"/>
      <c r="H588" s="3">
        <f t="shared" si="8"/>
        <v>4400</v>
      </c>
    </row>
    <row r="589" spans="1:8">
      <c r="A589" t="s">
        <v>2513</v>
      </c>
      <c r="B589" t="s">
        <v>2514</v>
      </c>
      <c r="C589" t="s">
        <v>1064</v>
      </c>
      <c r="D589" s="4"/>
      <c r="E589" s="4">
        <v>117900</v>
      </c>
      <c r="F589" s="4">
        <v>117900</v>
      </c>
      <c r="G589"/>
      <c r="H589" s="3">
        <f t="shared" si="8"/>
        <v>-117900</v>
      </c>
    </row>
    <row r="590" spans="1:8">
      <c r="A590" t="s">
        <v>2513</v>
      </c>
      <c r="B590" t="s">
        <v>2514</v>
      </c>
      <c r="C590" t="s">
        <v>833</v>
      </c>
      <c r="D590" s="4">
        <v>117900</v>
      </c>
      <c r="E590" s="4"/>
      <c r="F590" s="4">
        <v>117900</v>
      </c>
      <c r="G590"/>
      <c r="H590" s="3">
        <f t="shared" si="8"/>
        <v>117900</v>
      </c>
    </row>
    <row r="591" spans="1:8">
      <c r="A591" t="s">
        <v>2515</v>
      </c>
      <c r="B591" t="s">
        <v>2516</v>
      </c>
      <c r="C591" t="s">
        <v>1064</v>
      </c>
      <c r="D591" s="4">
        <v>127700</v>
      </c>
      <c r="E591" s="4">
        <v>127700</v>
      </c>
      <c r="F591" s="4">
        <v>255400</v>
      </c>
      <c r="G591"/>
      <c r="H591" s="3">
        <f t="shared" si="8"/>
        <v>0</v>
      </c>
    </row>
    <row r="592" spans="1:8">
      <c r="A592" t="s">
        <v>2527</v>
      </c>
      <c r="B592" t="s">
        <v>2528</v>
      </c>
      <c r="C592" t="s">
        <v>1071</v>
      </c>
      <c r="D592" s="4">
        <v>181700</v>
      </c>
      <c r="E592" s="4">
        <v>181700</v>
      </c>
      <c r="F592" s="4">
        <v>363400</v>
      </c>
      <c r="G592"/>
      <c r="H592" s="3">
        <f t="shared" si="8"/>
        <v>0</v>
      </c>
    </row>
    <row r="593" spans="1:8">
      <c r="A593" t="s">
        <v>2536</v>
      </c>
      <c r="B593" t="s">
        <v>2537</v>
      </c>
      <c r="C593" t="s">
        <v>1071</v>
      </c>
      <c r="D593" s="4">
        <v>227100</v>
      </c>
      <c r="E593" s="4">
        <v>227100</v>
      </c>
      <c r="F593" s="4">
        <v>454200</v>
      </c>
      <c r="G593"/>
      <c r="H593" s="3">
        <f t="shared" si="8"/>
        <v>0</v>
      </c>
    </row>
    <row r="594" spans="1:8">
      <c r="A594" t="s">
        <v>2550</v>
      </c>
      <c r="B594" t="s">
        <v>2551</v>
      </c>
      <c r="C594" t="s">
        <v>635</v>
      </c>
      <c r="D594" s="4">
        <v>70100</v>
      </c>
      <c r="E594" s="4">
        <v>70100</v>
      </c>
      <c r="F594" s="4">
        <v>140200</v>
      </c>
      <c r="G594"/>
      <c r="H594" s="3">
        <f t="shared" si="8"/>
        <v>0</v>
      </c>
    </row>
    <row r="595" spans="1:8">
      <c r="A595" t="s">
        <v>2555</v>
      </c>
      <c r="B595" t="s">
        <v>2556</v>
      </c>
      <c r="C595" t="s">
        <v>635</v>
      </c>
      <c r="D595" s="4">
        <v>227100</v>
      </c>
      <c r="E595" s="4">
        <v>227100</v>
      </c>
      <c r="F595" s="4">
        <v>454200</v>
      </c>
      <c r="G595"/>
      <c r="H595" s="3">
        <f t="shared" si="8"/>
        <v>0</v>
      </c>
    </row>
    <row r="596" spans="1:8">
      <c r="A596" t="s">
        <v>2562</v>
      </c>
      <c r="B596" t="s">
        <v>2563</v>
      </c>
      <c r="C596" t="s">
        <v>870</v>
      </c>
      <c r="D596" s="4">
        <v>2110300</v>
      </c>
      <c r="E596" s="4">
        <v>2110300</v>
      </c>
      <c r="F596" s="4">
        <v>4220600</v>
      </c>
      <c r="G596"/>
      <c r="H596" s="3">
        <f t="shared" si="8"/>
        <v>0</v>
      </c>
    </row>
    <row r="597" spans="1:8">
      <c r="A597" t="s">
        <v>2566</v>
      </c>
      <c r="B597" t="s">
        <v>2567</v>
      </c>
      <c r="C597" t="s">
        <v>635</v>
      </c>
      <c r="D597" s="4">
        <v>352600</v>
      </c>
      <c r="E597" s="4">
        <v>352600</v>
      </c>
      <c r="F597" s="4">
        <v>705200</v>
      </c>
      <c r="G597"/>
      <c r="H597" s="3">
        <f t="shared" si="8"/>
        <v>0</v>
      </c>
    </row>
    <row r="598" spans="1:8">
      <c r="A598" t="s">
        <v>2570</v>
      </c>
      <c r="B598" t="s">
        <v>2571</v>
      </c>
      <c r="C598" t="s">
        <v>635</v>
      </c>
      <c r="D598" s="4">
        <v>82000</v>
      </c>
      <c r="E598" s="4">
        <v>82000</v>
      </c>
      <c r="F598" s="4">
        <v>164000</v>
      </c>
      <c r="G598"/>
      <c r="H598" s="3">
        <f t="shared" si="8"/>
        <v>0</v>
      </c>
    </row>
    <row r="599" spans="1:8">
      <c r="A599" t="s">
        <v>2574</v>
      </c>
      <c r="B599" t="s">
        <v>2575</v>
      </c>
      <c r="C599" t="s">
        <v>1071</v>
      </c>
      <c r="D599" s="4">
        <v>88400</v>
      </c>
      <c r="E599" s="4">
        <v>88400</v>
      </c>
      <c r="F599" s="4">
        <v>176800</v>
      </c>
      <c r="G599"/>
      <c r="H599" s="3">
        <f t="shared" si="8"/>
        <v>0</v>
      </c>
    </row>
    <row r="600" spans="1:8">
      <c r="A600" t="s">
        <v>2578</v>
      </c>
      <c r="B600" t="s">
        <v>2579</v>
      </c>
      <c r="C600" t="s">
        <v>635</v>
      </c>
      <c r="D600" s="4">
        <v>255400</v>
      </c>
      <c r="E600" s="4">
        <v>255400</v>
      </c>
      <c r="F600" s="4">
        <v>510800</v>
      </c>
      <c r="G600"/>
      <c r="H600" s="3">
        <f t="shared" si="8"/>
        <v>0</v>
      </c>
    </row>
    <row r="601" spans="1:8">
      <c r="A601" t="s">
        <v>2582</v>
      </c>
      <c r="B601" t="s">
        <v>2583</v>
      </c>
      <c r="C601" t="s">
        <v>635</v>
      </c>
      <c r="D601" s="4">
        <v>342800</v>
      </c>
      <c r="E601" s="4">
        <v>342800</v>
      </c>
      <c r="F601" s="4">
        <v>685600</v>
      </c>
      <c r="G601"/>
      <c r="H601" s="3">
        <f t="shared" si="8"/>
        <v>0</v>
      </c>
    </row>
    <row r="602" spans="1:8">
      <c r="A602" t="s">
        <v>2586</v>
      </c>
      <c r="B602" t="s">
        <v>2587</v>
      </c>
      <c r="C602" t="s">
        <v>1010</v>
      </c>
      <c r="D602" s="4">
        <v>326100</v>
      </c>
      <c r="E602" s="4">
        <v>326100</v>
      </c>
      <c r="F602" s="4">
        <v>652200</v>
      </c>
      <c r="G602"/>
      <c r="H602" s="3">
        <f t="shared" si="8"/>
        <v>0</v>
      </c>
    </row>
    <row r="603" spans="1:8">
      <c r="A603" t="s">
        <v>2602</v>
      </c>
      <c r="B603" t="s">
        <v>2603</v>
      </c>
      <c r="C603" t="s">
        <v>1010</v>
      </c>
      <c r="D603" s="4">
        <v>102900</v>
      </c>
      <c r="E603" s="4">
        <v>102900</v>
      </c>
      <c r="F603" s="4">
        <v>205800</v>
      </c>
      <c r="G603"/>
      <c r="H603" s="3">
        <f t="shared" ref="H603:H666" si="9">+D603-E603</f>
        <v>0</v>
      </c>
    </row>
    <row r="604" spans="1:8">
      <c r="A604" t="s">
        <v>2605</v>
      </c>
      <c r="B604" t="s">
        <v>2606</v>
      </c>
      <c r="C604" t="s">
        <v>870</v>
      </c>
      <c r="D604" s="4">
        <v>208400</v>
      </c>
      <c r="E604" s="4">
        <v>208400</v>
      </c>
      <c r="F604" s="4">
        <v>416800</v>
      </c>
      <c r="G604"/>
      <c r="H604" s="3">
        <f t="shared" si="9"/>
        <v>0</v>
      </c>
    </row>
    <row r="605" spans="1:8">
      <c r="A605" t="s">
        <v>2609</v>
      </c>
      <c r="B605" t="s">
        <v>2610</v>
      </c>
      <c r="C605" t="s">
        <v>1071</v>
      </c>
      <c r="D605" s="4">
        <v>231700</v>
      </c>
      <c r="E605" s="4">
        <v>231700</v>
      </c>
      <c r="F605" s="4">
        <v>463400</v>
      </c>
      <c r="G605"/>
      <c r="H605" s="3">
        <f t="shared" si="9"/>
        <v>0</v>
      </c>
    </row>
    <row r="606" spans="1:8">
      <c r="A606" t="s">
        <v>2619</v>
      </c>
      <c r="B606" t="s">
        <v>2620</v>
      </c>
      <c r="C606" t="s">
        <v>885</v>
      </c>
      <c r="D606" s="4">
        <v>84500</v>
      </c>
      <c r="E606" s="4">
        <v>84500</v>
      </c>
      <c r="F606" s="4">
        <v>169000</v>
      </c>
      <c r="G606"/>
      <c r="H606" s="3">
        <f t="shared" si="9"/>
        <v>0</v>
      </c>
    </row>
    <row r="607" spans="1:8">
      <c r="A607" t="s">
        <v>2624</v>
      </c>
      <c r="B607" t="s">
        <v>2625</v>
      </c>
      <c r="C607" t="s">
        <v>1010</v>
      </c>
      <c r="D607" s="4">
        <v>72800</v>
      </c>
      <c r="E607" s="4">
        <v>72800</v>
      </c>
      <c r="F607" s="4">
        <v>145600</v>
      </c>
      <c r="G607"/>
      <c r="H607" s="3">
        <f t="shared" si="9"/>
        <v>0</v>
      </c>
    </row>
    <row r="608" spans="1:8">
      <c r="A608" t="s">
        <v>2672</v>
      </c>
      <c r="B608" t="s">
        <v>2673</v>
      </c>
      <c r="C608" t="s">
        <v>1071</v>
      </c>
      <c r="D608" s="4">
        <v>147500</v>
      </c>
      <c r="E608" s="4">
        <v>145100</v>
      </c>
      <c r="F608" s="4">
        <v>292600</v>
      </c>
      <c r="G608"/>
      <c r="H608" s="3">
        <f t="shared" si="9"/>
        <v>2400</v>
      </c>
    </row>
    <row r="609" spans="1:8">
      <c r="A609" t="s">
        <v>2679</v>
      </c>
      <c r="B609" t="s">
        <v>2680</v>
      </c>
      <c r="C609" t="s">
        <v>1071</v>
      </c>
      <c r="D609" s="4">
        <v>448100</v>
      </c>
      <c r="E609" s="4">
        <v>448100</v>
      </c>
      <c r="F609" s="4">
        <v>896200</v>
      </c>
      <c r="G609"/>
      <c r="H609" s="3">
        <f t="shared" si="9"/>
        <v>0</v>
      </c>
    </row>
    <row r="610" spans="1:8">
      <c r="A610" t="s">
        <v>2692</v>
      </c>
      <c r="B610" t="s">
        <v>2693</v>
      </c>
      <c r="C610" t="s">
        <v>1064</v>
      </c>
      <c r="D610" s="4">
        <v>179100</v>
      </c>
      <c r="E610" s="4">
        <v>179100</v>
      </c>
      <c r="F610" s="4">
        <v>358200</v>
      </c>
      <c r="G610"/>
      <c r="H610" s="3">
        <f t="shared" si="9"/>
        <v>0</v>
      </c>
    </row>
    <row r="611" spans="1:8">
      <c r="A611" t="s">
        <v>2730</v>
      </c>
      <c r="B611" t="s">
        <v>2731</v>
      </c>
      <c r="C611" t="s">
        <v>1071</v>
      </c>
      <c r="D611" s="4">
        <v>2162300</v>
      </c>
      <c r="E611" s="4">
        <v>2162300</v>
      </c>
      <c r="F611" s="4">
        <v>4324600</v>
      </c>
      <c r="G611"/>
      <c r="H611" s="3">
        <f t="shared" si="9"/>
        <v>0</v>
      </c>
    </row>
    <row r="612" spans="1:8">
      <c r="A612" t="s">
        <v>2736</v>
      </c>
      <c r="B612" t="s">
        <v>2737</v>
      </c>
      <c r="C612" t="s">
        <v>1071</v>
      </c>
      <c r="D612" s="4">
        <v>466100</v>
      </c>
      <c r="E612" s="4">
        <v>466100</v>
      </c>
      <c r="F612" s="4">
        <v>932200</v>
      </c>
      <c r="G612"/>
      <c r="H612" s="3">
        <f t="shared" si="9"/>
        <v>0</v>
      </c>
    </row>
    <row r="613" spans="1:8">
      <c r="A613" t="s">
        <v>2752</v>
      </c>
      <c r="B613" t="s">
        <v>2753</v>
      </c>
      <c r="C613" t="s">
        <v>1071</v>
      </c>
      <c r="D613" s="4">
        <v>368300</v>
      </c>
      <c r="E613" s="4">
        <v>368300</v>
      </c>
      <c r="F613" s="4">
        <v>736600</v>
      </c>
      <c r="G613"/>
      <c r="H613" s="3">
        <f t="shared" si="9"/>
        <v>0</v>
      </c>
    </row>
    <row r="614" spans="1:8">
      <c r="A614" t="s">
        <v>2772</v>
      </c>
      <c r="B614" t="s">
        <v>2773</v>
      </c>
      <c r="C614" t="s">
        <v>1064</v>
      </c>
      <c r="D614" s="4">
        <v>1799400</v>
      </c>
      <c r="E614" s="4">
        <v>1799400</v>
      </c>
      <c r="F614" s="4">
        <v>3598800</v>
      </c>
      <c r="G614"/>
      <c r="H614" s="3">
        <f t="shared" si="9"/>
        <v>0</v>
      </c>
    </row>
    <row r="615" spans="1:8">
      <c r="A615" t="s">
        <v>2795</v>
      </c>
      <c r="B615" t="s">
        <v>2796</v>
      </c>
      <c r="C615" t="s">
        <v>635</v>
      </c>
      <c r="D615" s="4">
        <v>129600</v>
      </c>
      <c r="E615" s="4">
        <v>129600</v>
      </c>
      <c r="F615" s="4">
        <v>259200</v>
      </c>
      <c r="G615"/>
      <c r="H615" s="3">
        <f t="shared" si="9"/>
        <v>0</v>
      </c>
    </row>
    <row r="616" spans="1:8">
      <c r="A616" t="s">
        <v>2801</v>
      </c>
      <c r="B616" t="s">
        <v>2802</v>
      </c>
      <c r="C616" t="s">
        <v>635</v>
      </c>
      <c r="D616" s="4">
        <v>255400</v>
      </c>
      <c r="E616" s="4">
        <v>255400</v>
      </c>
      <c r="F616" s="4">
        <v>510800</v>
      </c>
      <c r="G616"/>
      <c r="H616" s="3">
        <f t="shared" si="9"/>
        <v>0</v>
      </c>
    </row>
    <row r="617" spans="1:8">
      <c r="A617" t="s">
        <v>2803</v>
      </c>
      <c r="B617" t="s">
        <v>2804</v>
      </c>
      <c r="C617" t="s">
        <v>1071</v>
      </c>
      <c r="D617" s="4">
        <v>334800</v>
      </c>
      <c r="E617" s="4">
        <v>334800</v>
      </c>
      <c r="F617" s="4">
        <v>669600</v>
      </c>
      <c r="G617"/>
      <c r="H617" s="3">
        <f t="shared" si="9"/>
        <v>0</v>
      </c>
    </row>
    <row r="618" spans="1:8">
      <c r="A618" t="s">
        <v>2805</v>
      </c>
      <c r="B618" t="s">
        <v>2806</v>
      </c>
      <c r="C618" t="s">
        <v>1071</v>
      </c>
      <c r="D618" s="4">
        <v>2110300</v>
      </c>
      <c r="E618" s="4">
        <v>2110300</v>
      </c>
      <c r="F618" s="4">
        <v>4220600</v>
      </c>
      <c r="G618"/>
      <c r="H618" s="3">
        <f t="shared" si="9"/>
        <v>0</v>
      </c>
    </row>
    <row r="619" spans="1:8">
      <c r="A619" t="s">
        <v>2808</v>
      </c>
      <c r="B619" t="s">
        <v>2809</v>
      </c>
      <c r="C619" t="s">
        <v>1071</v>
      </c>
      <c r="D619" s="4">
        <v>2162300</v>
      </c>
      <c r="E619" s="4">
        <v>2162300</v>
      </c>
      <c r="F619" s="4">
        <v>4324600</v>
      </c>
      <c r="G619"/>
      <c r="H619" s="3">
        <f t="shared" si="9"/>
        <v>0</v>
      </c>
    </row>
    <row r="620" spans="1:8">
      <c r="A620" t="s">
        <v>2824</v>
      </c>
      <c r="B620" t="s">
        <v>2825</v>
      </c>
      <c r="C620" t="s">
        <v>1071</v>
      </c>
      <c r="D620" s="4">
        <v>2011700</v>
      </c>
      <c r="E620" s="4">
        <v>2009600</v>
      </c>
      <c r="F620" s="4">
        <v>4021300</v>
      </c>
      <c r="G620"/>
      <c r="H620" s="3">
        <f t="shared" si="9"/>
        <v>2100</v>
      </c>
    </row>
    <row r="621" spans="1:8">
      <c r="A621" t="s">
        <v>2827</v>
      </c>
      <c r="B621" t="s">
        <v>2828</v>
      </c>
      <c r="C621" t="s">
        <v>1064</v>
      </c>
      <c r="D621" s="4">
        <v>108800</v>
      </c>
      <c r="E621" s="4">
        <v>108800</v>
      </c>
      <c r="F621" s="4">
        <v>217600</v>
      </c>
      <c r="G621"/>
      <c r="H621" s="3">
        <f t="shared" si="9"/>
        <v>0</v>
      </c>
    </row>
    <row r="622" spans="1:8">
      <c r="A622" t="s">
        <v>2832</v>
      </c>
      <c r="B622" t="s">
        <v>2833</v>
      </c>
      <c r="C622" t="s">
        <v>1071</v>
      </c>
      <c r="D622" s="4">
        <v>84000</v>
      </c>
      <c r="E622" s="4">
        <v>84000</v>
      </c>
      <c r="F622" s="4">
        <v>168000</v>
      </c>
      <c r="G622"/>
      <c r="H622" s="3">
        <f t="shared" si="9"/>
        <v>0</v>
      </c>
    </row>
    <row r="623" spans="1:8">
      <c r="A623" t="s">
        <v>2836</v>
      </c>
      <c r="B623" t="s">
        <v>2837</v>
      </c>
      <c r="C623" t="s">
        <v>187</v>
      </c>
      <c r="D623" s="4">
        <v>3636000</v>
      </c>
      <c r="E623" s="4">
        <v>3636000</v>
      </c>
      <c r="F623" s="4">
        <v>7272000</v>
      </c>
      <c r="G623"/>
      <c r="H623" s="3">
        <f t="shared" si="9"/>
        <v>0</v>
      </c>
    </row>
    <row r="624" spans="1:8">
      <c r="A624" t="s">
        <v>2875</v>
      </c>
      <c r="B624" t="s">
        <v>2876</v>
      </c>
      <c r="C624" t="s">
        <v>1071</v>
      </c>
      <c r="D624" s="4">
        <v>2061000</v>
      </c>
      <c r="E624" s="4">
        <v>2061000</v>
      </c>
      <c r="F624" s="4">
        <v>4122000</v>
      </c>
      <c r="G624"/>
      <c r="H624" s="3">
        <f t="shared" si="9"/>
        <v>0</v>
      </c>
    </row>
    <row r="625" spans="1:8">
      <c r="A625" t="s">
        <v>2883</v>
      </c>
      <c r="B625" t="s">
        <v>2884</v>
      </c>
      <c r="C625" t="s">
        <v>635</v>
      </c>
      <c r="D625" s="4">
        <v>161000</v>
      </c>
      <c r="E625" s="4">
        <v>161000</v>
      </c>
      <c r="F625" s="4">
        <v>322000</v>
      </c>
      <c r="G625"/>
      <c r="H625" s="3">
        <f t="shared" si="9"/>
        <v>0</v>
      </c>
    </row>
    <row r="626" spans="1:8">
      <c r="A626" t="s">
        <v>2885</v>
      </c>
      <c r="B626" t="s">
        <v>2886</v>
      </c>
      <c r="C626" t="s">
        <v>1071</v>
      </c>
      <c r="D626" s="4">
        <v>208400</v>
      </c>
      <c r="E626" s="4">
        <v>208400</v>
      </c>
      <c r="F626" s="4">
        <v>416800</v>
      </c>
      <c r="G626"/>
      <c r="H626" s="3">
        <f t="shared" si="9"/>
        <v>0</v>
      </c>
    </row>
    <row r="627" spans="1:8">
      <c r="A627" t="s">
        <v>2888</v>
      </c>
      <c r="B627" t="s">
        <v>2889</v>
      </c>
      <c r="C627" t="s">
        <v>1010</v>
      </c>
      <c r="D627" s="4">
        <v>163400</v>
      </c>
      <c r="E627" s="4">
        <v>163400</v>
      </c>
      <c r="F627" s="4">
        <v>326800</v>
      </c>
      <c r="G627"/>
      <c r="H627" s="3">
        <f t="shared" si="9"/>
        <v>0</v>
      </c>
    </row>
    <row r="628" spans="1:8">
      <c r="A628" t="s">
        <v>2945</v>
      </c>
      <c r="B628" t="s">
        <v>2946</v>
      </c>
      <c r="C628" t="s">
        <v>1071</v>
      </c>
      <c r="D628" s="4">
        <v>72400</v>
      </c>
      <c r="E628" s="4">
        <v>72400</v>
      </c>
      <c r="F628" s="4">
        <v>144800</v>
      </c>
      <c r="G628"/>
      <c r="H628" s="3">
        <f t="shared" si="9"/>
        <v>0</v>
      </c>
    </row>
    <row r="629" spans="1:8">
      <c r="A629" t="s">
        <v>2952</v>
      </c>
      <c r="B629" t="s">
        <v>2953</v>
      </c>
      <c r="C629" t="s">
        <v>1071</v>
      </c>
      <c r="D629" s="4">
        <v>2110300</v>
      </c>
      <c r="E629" s="4">
        <v>2110300</v>
      </c>
      <c r="F629" s="4">
        <v>4220600</v>
      </c>
      <c r="G629"/>
      <c r="H629" s="3">
        <f t="shared" si="9"/>
        <v>0</v>
      </c>
    </row>
    <row r="630" spans="1:8">
      <c r="A630" t="s">
        <v>2954</v>
      </c>
      <c r="B630" t="s">
        <v>2955</v>
      </c>
      <c r="C630" t="s">
        <v>1010</v>
      </c>
      <c r="D630" s="4">
        <v>145900</v>
      </c>
      <c r="E630" s="4">
        <v>145900</v>
      </c>
      <c r="F630" s="4">
        <v>291800</v>
      </c>
      <c r="G630"/>
      <c r="H630" s="3">
        <f t="shared" si="9"/>
        <v>0</v>
      </c>
    </row>
    <row r="631" spans="1:8">
      <c r="A631" t="s">
        <v>2962</v>
      </c>
      <c r="B631" t="s">
        <v>2963</v>
      </c>
      <c r="C631" t="s">
        <v>1010</v>
      </c>
      <c r="D631" s="4">
        <v>336900</v>
      </c>
      <c r="E631" s="4">
        <v>336900</v>
      </c>
      <c r="F631" s="4">
        <v>673800</v>
      </c>
      <c r="G631"/>
      <c r="H631" s="3">
        <f t="shared" si="9"/>
        <v>0</v>
      </c>
    </row>
    <row r="632" spans="1:8">
      <c r="A632" t="s">
        <v>2977</v>
      </c>
      <c r="B632" t="s">
        <v>2978</v>
      </c>
      <c r="C632" t="s">
        <v>1064</v>
      </c>
      <c r="D632" s="4">
        <v>196100</v>
      </c>
      <c r="E632" s="4">
        <v>196100</v>
      </c>
      <c r="F632" s="4">
        <v>392200</v>
      </c>
      <c r="G632"/>
      <c r="H632" s="3">
        <f t="shared" si="9"/>
        <v>0</v>
      </c>
    </row>
    <row r="633" spans="1:8">
      <c r="A633" t="s">
        <v>2984</v>
      </c>
      <c r="B633" t="s">
        <v>2985</v>
      </c>
      <c r="C633" t="s">
        <v>1010</v>
      </c>
      <c r="D633" s="4">
        <v>306500</v>
      </c>
      <c r="E633" s="4">
        <v>408700</v>
      </c>
      <c r="F633" s="4">
        <v>715200</v>
      </c>
      <c r="G633"/>
      <c r="H633" s="3">
        <f t="shared" si="9"/>
        <v>-102200</v>
      </c>
    </row>
    <row r="634" spans="1:8">
      <c r="A634" t="s">
        <v>2991</v>
      </c>
      <c r="B634" t="s">
        <v>2992</v>
      </c>
      <c r="C634" t="s">
        <v>1071</v>
      </c>
      <c r="D634" s="4">
        <v>337200</v>
      </c>
      <c r="E634" s="4">
        <v>334500</v>
      </c>
      <c r="F634" s="4">
        <v>671700</v>
      </c>
      <c r="G634"/>
      <c r="H634" s="3">
        <f t="shared" si="9"/>
        <v>2700</v>
      </c>
    </row>
    <row r="635" spans="1:8">
      <c r="A635" t="s">
        <v>2997</v>
      </c>
      <c r="B635" t="s">
        <v>2998</v>
      </c>
      <c r="C635" t="s">
        <v>1010</v>
      </c>
      <c r="D635" s="4">
        <v>1463100</v>
      </c>
      <c r="E635" s="4">
        <v>1463100</v>
      </c>
      <c r="F635" s="4">
        <v>2926200</v>
      </c>
      <c r="G635"/>
      <c r="H635" s="3">
        <f t="shared" si="9"/>
        <v>0</v>
      </c>
    </row>
    <row r="636" spans="1:8">
      <c r="A636" t="s">
        <v>3000</v>
      </c>
      <c r="B636" t="s">
        <v>3001</v>
      </c>
      <c r="C636" t="s">
        <v>187</v>
      </c>
      <c r="D636" s="4">
        <v>675300</v>
      </c>
      <c r="E636" s="4">
        <v>675300</v>
      </c>
      <c r="F636" s="4">
        <v>1350600</v>
      </c>
      <c r="G636"/>
      <c r="H636" s="3">
        <f t="shared" si="9"/>
        <v>0</v>
      </c>
    </row>
    <row r="637" spans="1:8">
      <c r="A637" t="s">
        <v>3010</v>
      </c>
      <c r="B637" t="s">
        <v>3011</v>
      </c>
      <c r="C637" t="s">
        <v>635</v>
      </c>
      <c r="D637" s="4">
        <v>466100</v>
      </c>
      <c r="E637" s="4">
        <v>466100</v>
      </c>
      <c r="F637" s="4">
        <v>932200</v>
      </c>
      <c r="G637"/>
      <c r="H637" s="3">
        <f t="shared" si="9"/>
        <v>0</v>
      </c>
    </row>
    <row r="638" spans="1:8">
      <c r="A638" t="s">
        <v>3016</v>
      </c>
      <c r="B638" t="s">
        <v>3017</v>
      </c>
      <c r="C638" t="s">
        <v>1010</v>
      </c>
      <c r="D638" s="4">
        <v>246800</v>
      </c>
      <c r="E638" s="4">
        <v>246800</v>
      </c>
      <c r="F638" s="4">
        <v>493600</v>
      </c>
      <c r="G638"/>
      <c r="H638" s="3">
        <f t="shared" si="9"/>
        <v>0</v>
      </c>
    </row>
    <row r="639" spans="1:8">
      <c r="A639" t="s">
        <v>3026</v>
      </c>
      <c r="B639" t="s">
        <v>3027</v>
      </c>
      <c r="C639" t="s">
        <v>1071</v>
      </c>
      <c r="D639" s="4">
        <v>2110300</v>
      </c>
      <c r="E639" s="4">
        <v>2110300</v>
      </c>
      <c r="F639" s="4">
        <v>4220600</v>
      </c>
      <c r="G639"/>
      <c r="H639" s="3">
        <f t="shared" si="9"/>
        <v>0</v>
      </c>
    </row>
    <row r="640" spans="1:8">
      <c r="A640" t="s">
        <v>3039</v>
      </c>
      <c r="B640" t="s">
        <v>3040</v>
      </c>
      <c r="C640" t="s">
        <v>1010</v>
      </c>
      <c r="D640" s="4">
        <v>100700</v>
      </c>
      <c r="E640" s="4">
        <v>100700</v>
      </c>
      <c r="F640" s="4">
        <v>201400</v>
      </c>
      <c r="G640"/>
      <c r="H640" s="3">
        <f t="shared" si="9"/>
        <v>0</v>
      </c>
    </row>
    <row r="641" spans="1:8">
      <c r="A641" t="s">
        <v>1504</v>
      </c>
      <c r="B641" t="s">
        <v>1505</v>
      </c>
      <c r="C641" t="s">
        <v>1064</v>
      </c>
      <c r="D641" s="4">
        <v>104200</v>
      </c>
      <c r="E641" s="4">
        <v>104200</v>
      </c>
      <c r="F641" s="4">
        <v>208400</v>
      </c>
      <c r="G641"/>
      <c r="H641" s="3">
        <f t="shared" si="9"/>
        <v>0</v>
      </c>
    </row>
    <row r="642" spans="1:8">
      <c r="A642" t="s">
        <v>1655</v>
      </c>
      <c r="B642" t="s">
        <v>1656</v>
      </c>
      <c r="C642" t="s">
        <v>1071</v>
      </c>
      <c r="D642" s="4">
        <v>283500</v>
      </c>
      <c r="E642" s="4">
        <v>283500</v>
      </c>
      <c r="F642" s="4">
        <v>567000</v>
      </c>
      <c r="G642"/>
      <c r="H642" s="3">
        <f t="shared" si="9"/>
        <v>0</v>
      </c>
    </row>
    <row r="643" spans="1:8">
      <c r="A643" t="s">
        <v>2113</v>
      </c>
      <c r="B643" t="s">
        <v>2114</v>
      </c>
      <c r="C643" t="s">
        <v>1010</v>
      </c>
      <c r="D643" s="4">
        <v>77400</v>
      </c>
      <c r="E643" s="4">
        <v>77400</v>
      </c>
      <c r="F643" s="4">
        <v>154800</v>
      </c>
      <c r="G643"/>
      <c r="H643" s="3">
        <f t="shared" si="9"/>
        <v>0</v>
      </c>
    </row>
    <row r="644" spans="1:8">
      <c r="A644" t="s">
        <v>2145</v>
      </c>
      <c r="B644" t="s">
        <v>2146</v>
      </c>
      <c r="C644" t="s">
        <v>885</v>
      </c>
      <c r="D644" s="4">
        <v>16000</v>
      </c>
      <c r="E644" s="4">
        <v>16000</v>
      </c>
      <c r="F644" s="4">
        <v>32000</v>
      </c>
      <c r="G644"/>
      <c r="H644" s="3">
        <f t="shared" si="9"/>
        <v>0</v>
      </c>
    </row>
    <row r="645" spans="1:8">
      <c r="A645" t="s">
        <v>2149</v>
      </c>
      <c r="B645" t="s">
        <v>2150</v>
      </c>
      <c r="C645" t="s">
        <v>1010</v>
      </c>
      <c r="D645" s="4">
        <v>92800</v>
      </c>
      <c r="E645" s="4">
        <v>92800</v>
      </c>
      <c r="F645" s="4">
        <v>185600</v>
      </c>
      <c r="G645"/>
      <c r="H645" s="3">
        <f t="shared" si="9"/>
        <v>0</v>
      </c>
    </row>
    <row r="646" spans="1:8">
      <c r="A646" t="s">
        <v>2156</v>
      </c>
      <c r="B646" t="s">
        <v>2157</v>
      </c>
      <c r="C646" t="s">
        <v>1491</v>
      </c>
      <c r="D646" s="4">
        <v>79700</v>
      </c>
      <c r="E646" s="4">
        <v>79700</v>
      </c>
      <c r="F646" s="4">
        <v>159400</v>
      </c>
      <c r="G646"/>
      <c r="H646" s="3">
        <f t="shared" si="9"/>
        <v>0</v>
      </c>
    </row>
    <row r="647" spans="1:8">
      <c r="A647" t="s">
        <v>2265</v>
      </c>
      <c r="B647" t="s">
        <v>2266</v>
      </c>
      <c r="C647" t="s">
        <v>748</v>
      </c>
      <c r="D647" s="4">
        <v>112200</v>
      </c>
      <c r="E647" s="4">
        <v>112200</v>
      </c>
      <c r="F647" s="4">
        <v>224400</v>
      </c>
      <c r="G647"/>
      <c r="H647" s="3">
        <f t="shared" si="9"/>
        <v>0</v>
      </c>
    </row>
    <row r="648" spans="1:8">
      <c r="A648" t="s">
        <v>2390</v>
      </c>
      <c r="B648" t="s">
        <v>2391</v>
      </c>
      <c r="C648" t="s">
        <v>1064</v>
      </c>
      <c r="D648" s="4">
        <v>88600</v>
      </c>
      <c r="E648" s="4">
        <v>88600</v>
      </c>
      <c r="F648" s="4">
        <v>177200</v>
      </c>
      <c r="G648"/>
      <c r="H648" s="3">
        <f t="shared" si="9"/>
        <v>0</v>
      </c>
    </row>
    <row r="649" spans="1:8">
      <c r="A649" t="s">
        <v>2431</v>
      </c>
      <c r="B649" t="s">
        <v>2432</v>
      </c>
      <c r="C649" t="s">
        <v>635</v>
      </c>
      <c r="D649" s="4">
        <v>88200</v>
      </c>
      <c r="E649" s="4">
        <v>88200</v>
      </c>
      <c r="F649" s="4">
        <v>176400</v>
      </c>
      <c r="G649"/>
      <c r="H649" s="3">
        <f t="shared" si="9"/>
        <v>0</v>
      </c>
    </row>
    <row r="650" spans="1:8">
      <c r="A650" t="s">
        <v>2484</v>
      </c>
      <c r="B650" t="s">
        <v>2485</v>
      </c>
      <c r="C650" t="s">
        <v>1071</v>
      </c>
      <c r="D650" s="4">
        <v>133200</v>
      </c>
      <c r="E650" s="4">
        <v>133200</v>
      </c>
      <c r="F650" s="4">
        <v>266400</v>
      </c>
      <c r="G650"/>
      <c r="H650" s="3">
        <f t="shared" si="9"/>
        <v>0</v>
      </c>
    </row>
    <row r="651" spans="1:8">
      <c r="A651" t="s">
        <v>2714</v>
      </c>
      <c r="B651" t="s">
        <v>2715</v>
      </c>
      <c r="C651" t="s">
        <v>870</v>
      </c>
      <c r="D651" s="4">
        <v>98200</v>
      </c>
      <c r="E651" s="4">
        <v>98200</v>
      </c>
      <c r="F651" s="4">
        <v>196400</v>
      </c>
      <c r="G651"/>
      <c r="H651" s="3">
        <f t="shared" si="9"/>
        <v>0</v>
      </c>
    </row>
    <row r="652" spans="1:8">
      <c r="A652" t="s">
        <v>2812</v>
      </c>
      <c r="B652" t="s">
        <v>2813</v>
      </c>
      <c r="C652" t="s">
        <v>1064</v>
      </c>
      <c r="D652" s="4">
        <v>150500</v>
      </c>
      <c r="E652" s="4">
        <v>150500</v>
      </c>
      <c r="F652" s="4">
        <v>301000</v>
      </c>
      <c r="G652"/>
      <c r="H652" s="3">
        <f t="shared" si="9"/>
        <v>0</v>
      </c>
    </row>
    <row r="653" spans="1:8">
      <c r="A653" t="s">
        <v>1509</v>
      </c>
      <c r="B653" t="s">
        <v>1510</v>
      </c>
      <c r="C653" t="s">
        <v>1010</v>
      </c>
      <c r="D653" s="4">
        <v>82400</v>
      </c>
      <c r="E653" s="4">
        <v>82400</v>
      </c>
      <c r="F653" s="4">
        <v>164800</v>
      </c>
      <c r="G653"/>
      <c r="H653" s="3">
        <f t="shared" si="9"/>
        <v>0</v>
      </c>
    </row>
    <row r="654" spans="1:8">
      <c r="A654" t="s">
        <v>2152</v>
      </c>
      <c r="B654" t="s">
        <v>2153</v>
      </c>
      <c r="C654" t="s">
        <v>1071</v>
      </c>
      <c r="D654" s="4">
        <v>79600</v>
      </c>
      <c r="E654" s="4">
        <v>79600</v>
      </c>
      <c r="F654" s="4">
        <v>159200</v>
      </c>
      <c r="G654"/>
      <c r="H654" s="3">
        <f t="shared" si="9"/>
        <v>0</v>
      </c>
    </row>
    <row r="655" spans="1:8">
      <c r="A655" t="s">
        <v>2191</v>
      </c>
      <c r="B655" t="s">
        <v>2192</v>
      </c>
      <c r="C655" t="s">
        <v>1010</v>
      </c>
      <c r="D655" s="4">
        <v>80100</v>
      </c>
      <c r="E655" s="4">
        <v>80100</v>
      </c>
      <c r="F655" s="4">
        <v>160200</v>
      </c>
      <c r="G655"/>
      <c r="H655" s="3">
        <f t="shared" si="9"/>
        <v>0</v>
      </c>
    </row>
    <row r="656" spans="1:8">
      <c r="A656" t="s">
        <v>2195</v>
      </c>
      <c r="B656" t="s">
        <v>2196</v>
      </c>
      <c r="C656" t="s">
        <v>1010</v>
      </c>
      <c r="D656" s="4">
        <v>94600</v>
      </c>
      <c r="E656" s="4">
        <v>94600</v>
      </c>
      <c r="F656" s="4">
        <v>189200</v>
      </c>
      <c r="G656"/>
      <c r="H656" s="3">
        <f t="shared" si="9"/>
        <v>0</v>
      </c>
    </row>
    <row r="657" spans="1:8">
      <c r="A657" t="s">
        <v>2203</v>
      </c>
      <c r="B657" t="s">
        <v>2204</v>
      </c>
      <c r="C657" t="s">
        <v>748</v>
      </c>
      <c r="D657" s="4">
        <v>82900</v>
      </c>
      <c r="E657" s="4">
        <v>82900</v>
      </c>
      <c r="F657" s="4">
        <v>165800</v>
      </c>
      <c r="G657"/>
      <c r="H657" s="3">
        <f t="shared" si="9"/>
        <v>0</v>
      </c>
    </row>
    <row r="658" spans="1:8">
      <c r="A658" t="s">
        <v>2213</v>
      </c>
      <c r="B658" t="s">
        <v>2214</v>
      </c>
      <c r="C658" t="s">
        <v>1010</v>
      </c>
      <c r="D658" s="4">
        <v>82800</v>
      </c>
      <c r="E658" s="4">
        <v>82800</v>
      </c>
      <c r="F658" s="4">
        <v>165600</v>
      </c>
      <c r="G658"/>
      <c r="H658" s="3">
        <f t="shared" si="9"/>
        <v>0</v>
      </c>
    </row>
    <row r="659" spans="1:8">
      <c r="A659" t="s">
        <v>2224</v>
      </c>
      <c r="B659" t="s">
        <v>2225</v>
      </c>
      <c r="C659" t="s">
        <v>1010</v>
      </c>
      <c r="D659" s="4">
        <v>92800</v>
      </c>
      <c r="E659" s="4">
        <v>92800</v>
      </c>
      <c r="F659" s="4">
        <v>185600</v>
      </c>
      <c r="G659"/>
      <c r="H659" s="3">
        <f t="shared" si="9"/>
        <v>0</v>
      </c>
    </row>
    <row r="660" spans="1:8">
      <c r="A660" t="s">
        <v>2272</v>
      </c>
      <c r="B660" t="s">
        <v>2273</v>
      </c>
      <c r="C660" t="s">
        <v>1064</v>
      </c>
      <c r="D660" s="4">
        <v>87300</v>
      </c>
      <c r="E660" s="4">
        <v>87300</v>
      </c>
      <c r="F660" s="4">
        <v>174600</v>
      </c>
      <c r="G660"/>
      <c r="H660" s="3">
        <f t="shared" si="9"/>
        <v>0</v>
      </c>
    </row>
    <row r="661" spans="1:8">
      <c r="A661" t="s">
        <v>2279</v>
      </c>
      <c r="B661" t="s">
        <v>2280</v>
      </c>
      <c r="C661" t="s">
        <v>1071</v>
      </c>
      <c r="D661" s="4">
        <v>154700</v>
      </c>
      <c r="E661" s="4">
        <v>154700</v>
      </c>
      <c r="F661" s="4">
        <v>309400</v>
      </c>
      <c r="G661"/>
      <c r="H661" s="3">
        <f t="shared" si="9"/>
        <v>0</v>
      </c>
    </row>
    <row r="662" spans="1:8">
      <c r="A662" t="s">
        <v>2422</v>
      </c>
      <c r="B662" t="s">
        <v>2423</v>
      </c>
      <c r="C662" t="s">
        <v>885</v>
      </c>
      <c r="D662" s="4">
        <v>105300</v>
      </c>
      <c r="E662" s="4">
        <v>105300</v>
      </c>
      <c r="F662" s="4">
        <v>210600</v>
      </c>
      <c r="G662"/>
      <c r="H662" s="3">
        <f t="shared" si="9"/>
        <v>0</v>
      </c>
    </row>
    <row r="663" spans="1:8">
      <c r="A663" t="s">
        <v>2434</v>
      </c>
      <c r="B663" t="s">
        <v>2435</v>
      </c>
      <c r="C663" t="s">
        <v>1064</v>
      </c>
      <c r="D663" s="4">
        <v>119900</v>
      </c>
      <c r="E663" s="4">
        <v>119900</v>
      </c>
      <c r="F663" s="4">
        <v>239800</v>
      </c>
      <c r="G663"/>
      <c r="H663" s="3">
        <f t="shared" si="9"/>
        <v>0</v>
      </c>
    </row>
    <row r="664" spans="1:8">
      <c r="A664" t="s">
        <v>2462</v>
      </c>
      <c r="B664" t="s">
        <v>2463</v>
      </c>
      <c r="C664" t="s">
        <v>1064</v>
      </c>
      <c r="D664" s="4">
        <v>100300</v>
      </c>
      <c r="E664" s="4">
        <v>100300</v>
      </c>
      <c r="F664" s="4">
        <v>200600</v>
      </c>
      <c r="G664"/>
      <c r="H664" s="3">
        <f t="shared" si="9"/>
        <v>0</v>
      </c>
    </row>
    <row r="665" spans="1:8">
      <c r="A665" t="s">
        <v>2473</v>
      </c>
      <c r="B665" t="s">
        <v>2474</v>
      </c>
      <c r="C665" t="s">
        <v>748</v>
      </c>
      <c r="D665" s="4">
        <v>106200</v>
      </c>
      <c r="E665" s="4">
        <v>106200</v>
      </c>
      <c r="F665" s="4">
        <v>212400</v>
      </c>
      <c r="G665"/>
      <c r="H665" s="3">
        <f t="shared" si="9"/>
        <v>0</v>
      </c>
    </row>
    <row r="666" spans="1:8">
      <c r="A666" t="s">
        <v>2747</v>
      </c>
      <c r="B666" t="s">
        <v>2748</v>
      </c>
      <c r="C666" t="s">
        <v>1010</v>
      </c>
      <c r="D666" s="4">
        <v>216400</v>
      </c>
      <c r="E666" s="4">
        <v>216400</v>
      </c>
      <c r="F666" s="4">
        <v>432800</v>
      </c>
      <c r="G666"/>
      <c r="H666" s="3">
        <f t="shared" si="9"/>
        <v>0</v>
      </c>
    </row>
    <row r="667" spans="1:8">
      <c r="A667" t="s">
        <v>2820</v>
      </c>
      <c r="B667" t="s">
        <v>2821</v>
      </c>
      <c r="C667" t="s">
        <v>1071</v>
      </c>
      <c r="D667" s="4">
        <v>184600</v>
      </c>
      <c r="E667" s="4">
        <v>184600</v>
      </c>
      <c r="F667" s="4">
        <v>369200</v>
      </c>
      <c r="G667"/>
      <c r="H667" s="3">
        <f t="shared" ref="H667:H730" si="10">+D667-E667</f>
        <v>0</v>
      </c>
    </row>
    <row r="668" spans="1:8">
      <c r="A668" t="s">
        <v>2877</v>
      </c>
      <c r="B668" t="s">
        <v>2878</v>
      </c>
      <c r="C668" t="s">
        <v>635</v>
      </c>
      <c r="D668" s="4">
        <v>110900</v>
      </c>
      <c r="E668" s="4">
        <v>110900</v>
      </c>
      <c r="F668" s="4">
        <v>221800</v>
      </c>
      <c r="G668"/>
      <c r="H668" s="3">
        <f t="shared" si="10"/>
        <v>0</v>
      </c>
    </row>
    <row r="669" spans="1:8">
      <c r="A669" t="s">
        <v>1533</v>
      </c>
      <c r="B669" t="s">
        <v>1534</v>
      </c>
      <c r="C669" t="s">
        <v>1071</v>
      </c>
      <c r="D669" s="4">
        <v>74400</v>
      </c>
      <c r="E669" s="4">
        <v>74400</v>
      </c>
      <c r="F669" s="4">
        <v>148800</v>
      </c>
      <c r="G669"/>
      <c r="H669" s="3">
        <f t="shared" si="10"/>
        <v>0</v>
      </c>
    </row>
    <row r="670" spans="1:8">
      <c r="A670" t="s">
        <v>1538</v>
      </c>
      <c r="B670" t="s">
        <v>1539</v>
      </c>
      <c r="C670" t="s">
        <v>1010</v>
      </c>
      <c r="D670" s="4">
        <v>81500</v>
      </c>
      <c r="E670" s="4">
        <v>81500</v>
      </c>
      <c r="F670" s="4">
        <v>163000</v>
      </c>
      <c r="G670"/>
      <c r="H670" s="3">
        <f t="shared" si="10"/>
        <v>0</v>
      </c>
    </row>
    <row r="671" spans="1:8">
      <c r="A671" t="s">
        <v>1559</v>
      </c>
      <c r="B671" t="s">
        <v>1560</v>
      </c>
      <c r="C671" t="s">
        <v>1071</v>
      </c>
      <c r="D671" s="4">
        <v>67300</v>
      </c>
      <c r="E671" s="4">
        <v>67300</v>
      </c>
      <c r="F671" s="4">
        <v>134600</v>
      </c>
      <c r="G671"/>
      <c r="H671" s="3">
        <f t="shared" si="10"/>
        <v>0</v>
      </c>
    </row>
    <row r="672" spans="1:8">
      <c r="A672" t="s">
        <v>1641</v>
      </c>
      <c r="B672" t="s">
        <v>1642</v>
      </c>
      <c r="C672" t="s">
        <v>635</v>
      </c>
      <c r="D672" s="4">
        <v>227100</v>
      </c>
      <c r="E672" s="4">
        <v>227100</v>
      </c>
      <c r="F672" s="4">
        <v>454200</v>
      </c>
      <c r="G672"/>
      <c r="H672" s="3">
        <f t="shared" si="10"/>
        <v>0</v>
      </c>
    </row>
    <row r="673" spans="1:8">
      <c r="A673" t="s">
        <v>1820</v>
      </c>
      <c r="B673" t="s">
        <v>1821</v>
      </c>
      <c r="C673" t="s">
        <v>1010</v>
      </c>
      <c r="D673" s="4">
        <v>144900</v>
      </c>
      <c r="E673" s="4">
        <v>144900</v>
      </c>
      <c r="F673" s="4">
        <v>289800</v>
      </c>
      <c r="G673"/>
      <c r="H673" s="3">
        <f t="shared" si="10"/>
        <v>0</v>
      </c>
    </row>
    <row r="674" spans="1:8">
      <c r="A674" t="s">
        <v>1831</v>
      </c>
      <c r="B674" t="s">
        <v>1832</v>
      </c>
      <c r="C674" t="s">
        <v>1010</v>
      </c>
      <c r="D674" s="4">
        <v>151600</v>
      </c>
      <c r="E674" s="4">
        <v>151600</v>
      </c>
      <c r="F674" s="4">
        <v>303200</v>
      </c>
      <c r="G674"/>
      <c r="H674" s="3">
        <f t="shared" si="10"/>
        <v>0</v>
      </c>
    </row>
    <row r="675" spans="1:8">
      <c r="A675" t="s">
        <v>1934</v>
      </c>
      <c r="B675" t="s">
        <v>1935</v>
      </c>
      <c r="C675" t="s">
        <v>1010</v>
      </c>
      <c r="D675" s="4">
        <v>129500</v>
      </c>
      <c r="E675" s="4">
        <v>129500</v>
      </c>
      <c r="F675" s="4">
        <v>259000</v>
      </c>
      <c r="G675"/>
      <c r="H675" s="3">
        <f t="shared" si="10"/>
        <v>0</v>
      </c>
    </row>
    <row r="676" spans="1:8">
      <c r="A676" t="s">
        <v>2173</v>
      </c>
      <c r="B676" t="s">
        <v>2174</v>
      </c>
      <c r="C676" t="s">
        <v>1491</v>
      </c>
      <c r="D676" s="4">
        <v>98200</v>
      </c>
      <c r="E676" s="4"/>
      <c r="F676" s="4">
        <v>98200</v>
      </c>
      <c r="G676"/>
      <c r="H676" s="3">
        <f t="shared" si="10"/>
        <v>98200</v>
      </c>
    </row>
    <row r="677" spans="1:8">
      <c r="A677" t="s">
        <v>2173</v>
      </c>
      <c r="B677" t="s">
        <v>3058</v>
      </c>
      <c r="C677" t="s">
        <v>1491</v>
      </c>
      <c r="D677" s="4"/>
      <c r="E677" s="4">
        <v>98200</v>
      </c>
      <c r="F677" s="4">
        <v>98200</v>
      </c>
      <c r="G677"/>
      <c r="H677" s="3">
        <f t="shared" si="10"/>
        <v>-98200</v>
      </c>
    </row>
    <row r="678" spans="1:8">
      <c r="A678" t="s">
        <v>2184</v>
      </c>
      <c r="B678" t="s">
        <v>2185</v>
      </c>
      <c r="C678" t="s">
        <v>1071</v>
      </c>
      <c r="D678" s="4">
        <v>78000</v>
      </c>
      <c r="E678" s="4">
        <v>78000</v>
      </c>
      <c r="F678" s="4">
        <v>156000</v>
      </c>
      <c r="G678"/>
      <c r="H678" s="3">
        <f t="shared" si="10"/>
        <v>0</v>
      </c>
    </row>
    <row r="679" spans="1:8">
      <c r="A679" t="s">
        <v>2360</v>
      </c>
      <c r="B679" t="s">
        <v>2361</v>
      </c>
      <c r="C679" t="s">
        <v>748</v>
      </c>
      <c r="D679" s="4">
        <v>86800</v>
      </c>
      <c r="E679" s="4">
        <v>86800</v>
      </c>
      <c r="F679" s="4">
        <v>173600</v>
      </c>
      <c r="G679"/>
      <c r="H679" s="3">
        <f t="shared" si="10"/>
        <v>0</v>
      </c>
    </row>
    <row r="680" spans="1:8">
      <c r="A680" t="s">
        <v>2371</v>
      </c>
      <c r="B680" t="s">
        <v>2372</v>
      </c>
      <c r="C680" t="s">
        <v>1071</v>
      </c>
      <c r="D680" s="4">
        <v>86000</v>
      </c>
      <c r="E680" s="4">
        <v>86000</v>
      </c>
      <c r="F680" s="4">
        <v>172000</v>
      </c>
      <c r="G680"/>
      <c r="H680" s="3">
        <f t="shared" si="10"/>
        <v>0</v>
      </c>
    </row>
    <row r="681" spans="1:8">
      <c r="A681" t="s">
        <v>2376</v>
      </c>
      <c r="B681" t="s">
        <v>2377</v>
      </c>
      <c r="C681" t="s">
        <v>1071</v>
      </c>
      <c r="D681" s="4">
        <v>76000</v>
      </c>
      <c r="E681" s="4">
        <v>76000</v>
      </c>
      <c r="F681" s="4">
        <v>152000</v>
      </c>
      <c r="G681"/>
      <c r="H681" s="3">
        <f t="shared" si="10"/>
        <v>0</v>
      </c>
    </row>
    <row r="682" spans="1:8">
      <c r="A682" t="s">
        <v>2384</v>
      </c>
      <c r="B682" t="s">
        <v>2385</v>
      </c>
      <c r="C682" t="s">
        <v>1010</v>
      </c>
      <c r="D682" s="4">
        <v>79100</v>
      </c>
      <c r="E682" s="4">
        <v>79100</v>
      </c>
      <c r="F682" s="4">
        <v>158200</v>
      </c>
      <c r="G682"/>
      <c r="H682" s="3">
        <f t="shared" si="10"/>
        <v>0</v>
      </c>
    </row>
    <row r="683" spans="1:8">
      <c r="A683" t="s">
        <v>2388</v>
      </c>
      <c r="B683" t="s">
        <v>2389</v>
      </c>
      <c r="C683" t="s">
        <v>748</v>
      </c>
      <c r="D683" s="4">
        <v>86400</v>
      </c>
      <c r="E683" s="4">
        <v>86400</v>
      </c>
      <c r="F683" s="4">
        <v>172800</v>
      </c>
      <c r="G683"/>
      <c r="H683" s="3">
        <f t="shared" si="10"/>
        <v>0</v>
      </c>
    </row>
    <row r="684" spans="1:8">
      <c r="A684" t="s">
        <v>2401</v>
      </c>
      <c r="B684" t="s">
        <v>2402</v>
      </c>
      <c r="C684" t="s">
        <v>1010</v>
      </c>
      <c r="D684" s="4">
        <v>81600</v>
      </c>
      <c r="E684" s="4">
        <v>81600</v>
      </c>
      <c r="F684" s="4">
        <v>163200</v>
      </c>
      <c r="G684"/>
      <c r="H684" s="3">
        <f t="shared" si="10"/>
        <v>0</v>
      </c>
    </row>
    <row r="685" spans="1:8">
      <c r="A685" t="s">
        <v>2466</v>
      </c>
      <c r="B685" t="s">
        <v>2467</v>
      </c>
      <c r="C685" t="s">
        <v>1064</v>
      </c>
      <c r="D685" s="4">
        <v>107600</v>
      </c>
      <c r="E685" s="4">
        <v>107600</v>
      </c>
      <c r="F685" s="4">
        <v>215200</v>
      </c>
      <c r="G685"/>
      <c r="H685" s="3">
        <f t="shared" si="10"/>
        <v>0</v>
      </c>
    </row>
    <row r="686" spans="1:8">
      <c r="A686" t="s">
        <v>2542</v>
      </c>
      <c r="B686" t="s">
        <v>2543</v>
      </c>
      <c r="C686" t="s">
        <v>1064</v>
      </c>
      <c r="D686" s="4">
        <v>84500</v>
      </c>
      <c r="E686" s="4">
        <v>84500</v>
      </c>
      <c r="F686" s="4">
        <v>169000</v>
      </c>
      <c r="G686"/>
      <c r="H686" s="3">
        <f t="shared" si="10"/>
        <v>0</v>
      </c>
    </row>
    <row r="687" spans="1:8">
      <c r="A687" t="s">
        <v>2589</v>
      </c>
      <c r="B687" t="s">
        <v>2590</v>
      </c>
      <c r="C687" t="s">
        <v>1010</v>
      </c>
      <c r="D687" s="4">
        <v>90800</v>
      </c>
      <c r="E687" s="4">
        <v>90800</v>
      </c>
      <c r="F687" s="4">
        <v>181600</v>
      </c>
      <c r="G687"/>
      <c r="H687" s="3">
        <f t="shared" si="10"/>
        <v>0</v>
      </c>
    </row>
    <row r="688" spans="1:8">
      <c r="A688" t="s">
        <v>2912</v>
      </c>
      <c r="B688" t="s">
        <v>2913</v>
      </c>
      <c r="C688" t="s">
        <v>1071</v>
      </c>
      <c r="D688" s="4">
        <v>125600</v>
      </c>
      <c r="E688" s="4">
        <v>125600</v>
      </c>
      <c r="F688" s="4">
        <v>251200</v>
      </c>
      <c r="G688"/>
      <c r="H688" s="3">
        <f t="shared" si="10"/>
        <v>0</v>
      </c>
    </row>
    <row r="689" spans="1:8">
      <c r="A689" t="s">
        <v>3012</v>
      </c>
      <c r="B689" t="s">
        <v>3013</v>
      </c>
      <c r="C689" t="s">
        <v>1010</v>
      </c>
      <c r="D689" s="4">
        <v>224700</v>
      </c>
      <c r="E689" s="4">
        <v>224700</v>
      </c>
      <c r="F689" s="4">
        <v>449400</v>
      </c>
      <c r="G689"/>
      <c r="H689" s="3">
        <f t="shared" si="10"/>
        <v>0</v>
      </c>
    </row>
    <row r="690" spans="1:8">
      <c r="A690" t="s">
        <v>1564</v>
      </c>
      <c r="B690" t="s">
        <v>1565</v>
      </c>
      <c r="C690" t="s">
        <v>1010</v>
      </c>
      <c r="D690" s="4">
        <v>98200</v>
      </c>
      <c r="E690" s="4">
        <v>98200</v>
      </c>
      <c r="F690" s="4">
        <v>196400</v>
      </c>
      <c r="G690"/>
      <c r="H690" s="3">
        <f t="shared" si="10"/>
        <v>0</v>
      </c>
    </row>
    <row r="691" spans="1:8">
      <c r="A691" t="s">
        <v>1946</v>
      </c>
      <c r="B691" t="s">
        <v>1947</v>
      </c>
      <c r="C691" t="s">
        <v>1010</v>
      </c>
      <c r="D691" s="4">
        <v>106700</v>
      </c>
      <c r="E691" s="4">
        <v>106700</v>
      </c>
      <c r="F691" s="4">
        <v>213400</v>
      </c>
      <c r="G691"/>
      <c r="H691" s="3">
        <f t="shared" si="10"/>
        <v>0</v>
      </c>
    </row>
    <row r="692" spans="1:8">
      <c r="A692" t="s">
        <v>2166</v>
      </c>
      <c r="B692" t="s">
        <v>2167</v>
      </c>
      <c r="C692" t="s">
        <v>1010</v>
      </c>
      <c r="D692" s="4">
        <v>77400</v>
      </c>
      <c r="E692" s="4">
        <v>77400</v>
      </c>
      <c r="F692" s="4">
        <v>154800</v>
      </c>
      <c r="G692"/>
      <c r="H692" s="3">
        <f t="shared" si="10"/>
        <v>0</v>
      </c>
    </row>
    <row r="693" spans="1:8">
      <c r="A693" t="s">
        <v>2216</v>
      </c>
      <c r="B693" t="s">
        <v>2217</v>
      </c>
      <c r="C693" t="s">
        <v>1071</v>
      </c>
      <c r="D693" s="4">
        <v>103800</v>
      </c>
      <c r="E693" s="4">
        <v>103800</v>
      </c>
      <c r="F693" s="4">
        <v>207600</v>
      </c>
      <c r="G693"/>
      <c r="H693" s="3">
        <f t="shared" si="10"/>
        <v>0</v>
      </c>
    </row>
    <row r="694" spans="1:8">
      <c r="A694" t="s">
        <v>2327</v>
      </c>
      <c r="B694" t="s">
        <v>2328</v>
      </c>
      <c r="C694" t="s">
        <v>1010</v>
      </c>
      <c r="D694" s="4">
        <v>114600</v>
      </c>
      <c r="E694" s="4">
        <v>114600</v>
      </c>
      <c r="F694" s="4">
        <v>229200</v>
      </c>
      <c r="G694"/>
      <c r="H694" s="3">
        <f t="shared" si="10"/>
        <v>0</v>
      </c>
    </row>
    <row r="695" spans="1:8">
      <c r="A695" t="s">
        <v>3069</v>
      </c>
      <c r="B695" t="s">
        <v>3070</v>
      </c>
      <c r="C695" t="s">
        <v>1071</v>
      </c>
      <c r="D695" s="4"/>
      <c r="E695" s="4">
        <v>0</v>
      </c>
      <c r="F695" s="4">
        <v>0</v>
      </c>
      <c r="G695"/>
      <c r="H695" s="3">
        <f t="shared" si="10"/>
        <v>0</v>
      </c>
    </row>
    <row r="696" spans="1:8">
      <c r="A696" t="s">
        <v>1475</v>
      </c>
      <c r="B696" t="s">
        <v>1476</v>
      </c>
      <c r="C696" t="s">
        <v>726</v>
      </c>
      <c r="D696" s="4">
        <v>79000</v>
      </c>
      <c r="E696" s="4">
        <v>79000</v>
      </c>
      <c r="F696" s="4">
        <v>158000</v>
      </c>
      <c r="G696"/>
      <c r="H696" s="3">
        <f t="shared" si="10"/>
        <v>0</v>
      </c>
    </row>
    <row r="697" spans="1:8">
      <c r="A697" t="s">
        <v>1520</v>
      </c>
      <c r="B697" t="s">
        <v>1521</v>
      </c>
      <c r="C697" t="s">
        <v>1010</v>
      </c>
      <c r="D697" s="4">
        <v>84500</v>
      </c>
      <c r="E697" s="4">
        <v>84500</v>
      </c>
      <c r="F697" s="4">
        <v>169000</v>
      </c>
      <c r="G697"/>
      <c r="H697" s="3">
        <f t="shared" si="10"/>
        <v>0</v>
      </c>
    </row>
    <row r="698" spans="1:8">
      <c r="A698" t="s">
        <v>1524</v>
      </c>
      <c r="B698" t="s">
        <v>1525</v>
      </c>
      <c r="C698" t="s">
        <v>1010</v>
      </c>
      <c r="D698" s="4">
        <v>96100</v>
      </c>
      <c r="E698" s="4">
        <v>96100</v>
      </c>
      <c r="F698" s="4">
        <v>192200</v>
      </c>
      <c r="G698"/>
      <c r="H698" s="3">
        <f t="shared" si="10"/>
        <v>0</v>
      </c>
    </row>
    <row r="699" spans="1:8">
      <c r="A699" t="s">
        <v>1528</v>
      </c>
      <c r="B699" t="s">
        <v>1529</v>
      </c>
      <c r="C699" t="s">
        <v>1010</v>
      </c>
      <c r="D699" s="4">
        <v>82800</v>
      </c>
      <c r="E699" s="4">
        <v>82800</v>
      </c>
      <c r="F699" s="4">
        <v>165600</v>
      </c>
      <c r="G699"/>
      <c r="H699" s="3">
        <f t="shared" si="10"/>
        <v>0</v>
      </c>
    </row>
    <row r="700" spans="1:8">
      <c r="A700" t="s">
        <v>1544</v>
      </c>
      <c r="B700" t="s">
        <v>1545</v>
      </c>
      <c r="C700" t="s">
        <v>748</v>
      </c>
      <c r="D700" s="4">
        <v>79400</v>
      </c>
      <c r="E700" s="4">
        <v>79400</v>
      </c>
      <c r="F700" s="4">
        <v>158800</v>
      </c>
      <c r="G700"/>
      <c r="H700" s="3">
        <f t="shared" si="10"/>
        <v>0</v>
      </c>
    </row>
    <row r="701" spans="1:8">
      <c r="A701" t="s">
        <v>1549</v>
      </c>
      <c r="B701" t="s">
        <v>1550</v>
      </c>
      <c r="C701" t="s">
        <v>1010</v>
      </c>
      <c r="D701" s="4">
        <v>82600</v>
      </c>
      <c r="E701" s="4">
        <v>82600</v>
      </c>
      <c r="F701" s="4">
        <v>165200</v>
      </c>
      <c r="G701"/>
      <c r="H701" s="3">
        <f t="shared" si="10"/>
        <v>0</v>
      </c>
    </row>
    <row r="702" spans="1:8">
      <c r="A702" t="s">
        <v>1774</v>
      </c>
      <c r="B702" t="s">
        <v>1775</v>
      </c>
      <c r="C702" t="s">
        <v>1071</v>
      </c>
      <c r="D702" s="4">
        <v>91500</v>
      </c>
      <c r="E702" s="4">
        <v>91500</v>
      </c>
      <c r="F702" s="4">
        <v>183000</v>
      </c>
      <c r="G702"/>
      <c r="H702" s="3">
        <f t="shared" si="10"/>
        <v>0</v>
      </c>
    </row>
    <row r="703" spans="1:8">
      <c r="A703" t="s">
        <v>1841</v>
      </c>
      <c r="B703" t="s">
        <v>1842</v>
      </c>
      <c r="C703" t="s">
        <v>1010</v>
      </c>
      <c r="D703" s="4">
        <v>103500</v>
      </c>
      <c r="E703" s="4">
        <v>103500</v>
      </c>
      <c r="F703" s="4">
        <v>207000</v>
      </c>
      <c r="G703"/>
      <c r="H703" s="3">
        <f t="shared" si="10"/>
        <v>0</v>
      </c>
    </row>
    <row r="704" spans="1:8">
      <c r="A704" t="s">
        <v>1846</v>
      </c>
      <c r="B704" t="s">
        <v>1847</v>
      </c>
      <c r="C704" t="s">
        <v>1000</v>
      </c>
      <c r="D704" s="4">
        <v>134000</v>
      </c>
      <c r="E704" s="4">
        <v>134000</v>
      </c>
      <c r="F704" s="4">
        <v>268000</v>
      </c>
      <c r="G704"/>
      <c r="H704" s="3">
        <f t="shared" si="10"/>
        <v>0</v>
      </c>
    </row>
    <row r="705" spans="1:8">
      <c r="A705" t="s">
        <v>1889</v>
      </c>
      <c r="B705" t="s">
        <v>1890</v>
      </c>
      <c r="C705" t="s">
        <v>1010</v>
      </c>
      <c r="D705" s="4">
        <v>166100</v>
      </c>
      <c r="E705" s="4">
        <v>166100</v>
      </c>
      <c r="F705" s="4">
        <v>332200</v>
      </c>
      <c r="G705"/>
      <c r="H705" s="3">
        <f t="shared" si="10"/>
        <v>0</v>
      </c>
    </row>
    <row r="706" spans="1:8">
      <c r="A706" t="s">
        <v>1898</v>
      </c>
      <c r="B706" t="s">
        <v>1899</v>
      </c>
      <c r="C706" t="s">
        <v>1064</v>
      </c>
      <c r="D706" s="4">
        <v>148100</v>
      </c>
      <c r="E706" s="4">
        <v>148100</v>
      </c>
      <c r="F706" s="4">
        <v>296200</v>
      </c>
      <c r="G706"/>
      <c r="H706" s="3">
        <f t="shared" si="10"/>
        <v>0</v>
      </c>
    </row>
    <row r="707" spans="1:8">
      <c r="A707" t="s">
        <v>2003</v>
      </c>
      <c r="B707" t="s">
        <v>2004</v>
      </c>
      <c r="C707" t="s">
        <v>885</v>
      </c>
      <c r="D707" s="4">
        <v>116200</v>
      </c>
      <c r="E707" s="4">
        <v>116200</v>
      </c>
      <c r="F707" s="4">
        <v>232400</v>
      </c>
      <c r="G707"/>
      <c r="H707" s="3">
        <f t="shared" si="10"/>
        <v>0</v>
      </c>
    </row>
    <row r="708" spans="1:8">
      <c r="A708" t="s">
        <v>2200</v>
      </c>
      <c r="B708" t="s">
        <v>2201</v>
      </c>
      <c r="C708" t="s">
        <v>1010</v>
      </c>
      <c r="D708" s="4">
        <v>83900</v>
      </c>
      <c r="E708" s="4">
        <v>83900</v>
      </c>
      <c r="F708" s="4">
        <v>167800</v>
      </c>
      <c r="G708"/>
      <c r="H708" s="3">
        <f t="shared" si="10"/>
        <v>0</v>
      </c>
    </row>
    <row r="709" spans="1:8">
      <c r="A709" t="s">
        <v>2231</v>
      </c>
      <c r="B709" t="s">
        <v>2232</v>
      </c>
      <c r="C709" t="s">
        <v>748</v>
      </c>
      <c r="D709" s="4">
        <v>84800</v>
      </c>
      <c r="E709" s="4">
        <v>84800</v>
      </c>
      <c r="F709" s="4">
        <v>169600</v>
      </c>
      <c r="G709"/>
      <c r="H709" s="3">
        <f t="shared" si="10"/>
        <v>0</v>
      </c>
    </row>
    <row r="710" spans="1:8">
      <c r="A710" t="s">
        <v>2300</v>
      </c>
      <c r="B710" t="s">
        <v>2301</v>
      </c>
      <c r="C710" t="s">
        <v>1064</v>
      </c>
      <c r="D710" s="4">
        <v>127000</v>
      </c>
      <c r="E710" s="4">
        <v>127000</v>
      </c>
      <c r="F710" s="4">
        <v>254000</v>
      </c>
      <c r="G710"/>
      <c r="H710" s="3">
        <f t="shared" si="10"/>
        <v>0</v>
      </c>
    </row>
    <row r="711" spans="1:8">
      <c r="A711" t="s">
        <v>2317</v>
      </c>
      <c r="B711" t="s">
        <v>2318</v>
      </c>
      <c r="C711" t="s">
        <v>1010</v>
      </c>
      <c r="D711" s="4">
        <v>107200</v>
      </c>
      <c r="E711" s="4">
        <v>107200</v>
      </c>
      <c r="F711" s="4">
        <v>214400</v>
      </c>
      <c r="G711"/>
      <c r="H711" s="3">
        <f t="shared" si="10"/>
        <v>0</v>
      </c>
    </row>
    <row r="712" spans="1:8">
      <c r="A712" t="s">
        <v>2324</v>
      </c>
      <c r="B712" t="s">
        <v>2325</v>
      </c>
      <c r="C712" t="s">
        <v>1064</v>
      </c>
      <c r="D712" s="4">
        <v>165800</v>
      </c>
      <c r="E712" s="4">
        <v>165800</v>
      </c>
      <c r="F712" s="4">
        <v>331600</v>
      </c>
      <c r="G712"/>
      <c r="H712" s="3">
        <f t="shared" si="10"/>
        <v>0</v>
      </c>
    </row>
    <row r="713" spans="1:8">
      <c r="A713" t="s">
        <v>2330</v>
      </c>
      <c r="B713" t="s">
        <v>2331</v>
      </c>
      <c r="C713" t="s">
        <v>1064</v>
      </c>
      <c r="D713" s="4">
        <v>114100</v>
      </c>
      <c r="E713" s="4">
        <v>114100</v>
      </c>
      <c r="F713" s="4">
        <v>228200</v>
      </c>
      <c r="G713"/>
      <c r="H713" s="3">
        <f t="shared" si="10"/>
        <v>0</v>
      </c>
    </row>
    <row r="714" spans="1:8">
      <c r="A714" t="s">
        <v>2357</v>
      </c>
      <c r="B714" t="s">
        <v>2358</v>
      </c>
      <c r="C714" t="s">
        <v>748</v>
      </c>
      <c r="D714" s="4">
        <v>76000</v>
      </c>
      <c r="E714" s="4">
        <v>76000</v>
      </c>
      <c r="F714" s="4">
        <v>152000</v>
      </c>
      <c r="G714"/>
      <c r="H714" s="3">
        <f t="shared" si="10"/>
        <v>0</v>
      </c>
    </row>
    <row r="715" spans="1:8">
      <c r="A715" t="s">
        <v>2365</v>
      </c>
      <c r="B715" t="s">
        <v>2366</v>
      </c>
      <c r="C715" t="s">
        <v>1071</v>
      </c>
      <c r="D715" s="4">
        <v>102700</v>
      </c>
      <c r="E715" s="4">
        <v>102700</v>
      </c>
      <c r="F715" s="4">
        <v>205400</v>
      </c>
      <c r="G715"/>
      <c r="H715" s="3">
        <f t="shared" si="10"/>
        <v>0</v>
      </c>
    </row>
    <row r="716" spans="1:8">
      <c r="A716" t="s">
        <v>2367</v>
      </c>
      <c r="B716" t="s">
        <v>2368</v>
      </c>
      <c r="C716" t="s">
        <v>1071</v>
      </c>
      <c r="D716" s="4">
        <v>82200</v>
      </c>
      <c r="E716" s="4">
        <v>82200</v>
      </c>
      <c r="F716" s="4">
        <v>164400</v>
      </c>
      <c r="G716"/>
      <c r="H716" s="3">
        <f t="shared" si="10"/>
        <v>0</v>
      </c>
    </row>
    <row r="717" spans="1:8">
      <c r="A717" t="s">
        <v>2444</v>
      </c>
      <c r="B717" t="s">
        <v>2445</v>
      </c>
      <c r="C717" t="s">
        <v>1010</v>
      </c>
      <c r="D717" s="4">
        <v>82800</v>
      </c>
      <c r="E717" s="4">
        <v>82800</v>
      </c>
      <c r="F717" s="4">
        <v>165600</v>
      </c>
      <c r="G717"/>
      <c r="H717" s="3">
        <f t="shared" si="10"/>
        <v>0</v>
      </c>
    </row>
    <row r="718" spans="1:8">
      <c r="A718" t="s">
        <v>2451</v>
      </c>
      <c r="B718" t="s">
        <v>2452</v>
      </c>
      <c r="C718" t="s">
        <v>748</v>
      </c>
      <c r="D718" s="4">
        <v>81300</v>
      </c>
      <c r="E718" s="4">
        <v>81300</v>
      </c>
      <c r="F718" s="4">
        <v>162600</v>
      </c>
      <c r="G718"/>
      <c r="H718" s="3">
        <f t="shared" si="10"/>
        <v>0</v>
      </c>
    </row>
    <row r="719" spans="1:8">
      <c r="A719" t="s">
        <v>2453</v>
      </c>
      <c r="B719" t="s">
        <v>2454</v>
      </c>
      <c r="C719" t="s">
        <v>1010</v>
      </c>
      <c r="D719" s="4">
        <v>135500</v>
      </c>
      <c r="E719" s="4">
        <v>135500</v>
      </c>
      <c r="F719" s="4">
        <v>271000</v>
      </c>
      <c r="G719"/>
      <c r="H719" s="3">
        <f t="shared" si="10"/>
        <v>0</v>
      </c>
    </row>
    <row r="720" spans="1:8">
      <c r="A720" t="s">
        <v>2643</v>
      </c>
      <c r="B720" t="s">
        <v>2644</v>
      </c>
      <c r="C720" t="s">
        <v>870</v>
      </c>
      <c r="D720" s="4">
        <v>149100</v>
      </c>
      <c r="E720" s="4">
        <v>149100</v>
      </c>
      <c r="F720" s="4">
        <v>298200</v>
      </c>
      <c r="G720"/>
      <c r="H720" s="3">
        <f t="shared" si="10"/>
        <v>0</v>
      </c>
    </row>
    <row r="721" spans="1:8">
      <c r="A721" t="s">
        <v>2663</v>
      </c>
      <c r="B721" t="s">
        <v>2664</v>
      </c>
      <c r="C721" t="s">
        <v>870</v>
      </c>
      <c r="D721" s="4">
        <v>216400</v>
      </c>
      <c r="E721" s="4">
        <v>216400</v>
      </c>
      <c r="F721" s="4">
        <v>432800</v>
      </c>
      <c r="G721"/>
      <c r="H721" s="3">
        <f t="shared" si="10"/>
        <v>0</v>
      </c>
    </row>
    <row r="722" spans="1:8">
      <c r="A722" t="s">
        <v>2705</v>
      </c>
      <c r="B722" t="s">
        <v>2706</v>
      </c>
      <c r="C722" t="s">
        <v>1491</v>
      </c>
      <c r="D722" s="4">
        <v>179400</v>
      </c>
      <c r="E722" s="4">
        <v>179400</v>
      </c>
      <c r="F722" s="4">
        <v>358800</v>
      </c>
      <c r="G722"/>
      <c r="H722" s="3">
        <f t="shared" si="10"/>
        <v>0</v>
      </c>
    </row>
    <row r="723" spans="1:8">
      <c r="A723" t="s">
        <v>2739</v>
      </c>
      <c r="B723" t="s">
        <v>2740</v>
      </c>
      <c r="C723" t="s">
        <v>1010</v>
      </c>
      <c r="D723" s="4">
        <v>104200</v>
      </c>
      <c r="E723" s="4">
        <v>104200</v>
      </c>
      <c r="F723" s="4">
        <v>208400</v>
      </c>
      <c r="G723"/>
      <c r="H723" s="3">
        <f t="shared" si="10"/>
        <v>0</v>
      </c>
    </row>
    <row r="724" spans="1:8">
      <c r="A724" t="s">
        <v>2749</v>
      </c>
      <c r="B724" t="s">
        <v>2750</v>
      </c>
      <c r="C724" t="s">
        <v>885</v>
      </c>
      <c r="D724" s="4">
        <v>90700</v>
      </c>
      <c r="E724" s="4">
        <v>90700</v>
      </c>
      <c r="F724" s="4">
        <v>181400</v>
      </c>
      <c r="G724"/>
      <c r="H724" s="3">
        <f t="shared" si="10"/>
        <v>0</v>
      </c>
    </row>
    <row r="725" spans="1:8">
      <c r="A725" t="s">
        <v>2763</v>
      </c>
      <c r="B725" t="s">
        <v>2764</v>
      </c>
      <c r="C725" t="s">
        <v>1064</v>
      </c>
      <c r="D725" s="4">
        <v>108100</v>
      </c>
      <c r="E725" s="4">
        <v>108100</v>
      </c>
      <c r="F725" s="4">
        <v>216200</v>
      </c>
      <c r="G725"/>
      <c r="H725" s="3">
        <f t="shared" si="10"/>
        <v>0</v>
      </c>
    </row>
    <row r="726" spans="1:8">
      <c r="A726" t="s">
        <v>2775</v>
      </c>
      <c r="B726" t="s">
        <v>2776</v>
      </c>
      <c r="C726" t="s">
        <v>1064</v>
      </c>
      <c r="D726" s="4">
        <v>79900</v>
      </c>
      <c r="E726" s="4">
        <v>79900</v>
      </c>
      <c r="F726" s="4">
        <v>159800</v>
      </c>
      <c r="G726"/>
      <c r="H726" s="3">
        <f t="shared" si="10"/>
        <v>0</v>
      </c>
    </row>
    <row r="727" spans="1:8">
      <c r="A727" t="s">
        <v>2893</v>
      </c>
      <c r="B727" t="s">
        <v>2894</v>
      </c>
      <c r="C727" t="s">
        <v>1064</v>
      </c>
      <c r="D727" s="4">
        <v>133500</v>
      </c>
      <c r="E727" s="4">
        <v>133500</v>
      </c>
      <c r="F727" s="4">
        <v>267000</v>
      </c>
      <c r="G727"/>
      <c r="H727" s="3">
        <f t="shared" si="10"/>
        <v>0</v>
      </c>
    </row>
    <row r="728" spans="1:8">
      <c r="A728" t="s">
        <v>2909</v>
      </c>
      <c r="B728" t="s">
        <v>2910</v>
      </c>
      <c r="C728" t="s">
        <v>1010</v>
      </c>
      <c r="D728" s="4">
        <v>72400</v>
      </c>
      <c r="E728" s="4">
        <v>72400</v>
      </c>
      <c r="F728" s="4">
        <v>144800</v>
      </c>
      <c r="G728"/>
      <c r="H728" s="3">
        <f t="shared" si="10"/>
        <v>0</v>
      </c>
    </row>
    <row r="729" spans="1:8">
      <c r="A729" t="s">
        <v>3005</v>
      </c>
      <c r="B729" t="s">
        <v>3006</v>
      </c>
      <c r="C729" t="s">
        <v>187</v>
      </c>
      <c r="D729" s="4">
        <v>136700</v>
      </c>
      <c r="E729" s="4">
        <v>136700</v>
      </c>
      <c r="F729" s="4">
        <v>273400</v>
      </c>
      <c r="G729"/>
      <c r="H729" s="3">
        <f t="shared" si="10"/>
        <v>0</v>
      </c>
    </row>
    <row r="730" spans="1:8">
      <c r="A730" t="s">
        <v>1651</v>
      </c>
      <c r="B730" t="s">
        <v>1652</v>
      </c>
      <c r="C730" t="s">
        <v>635</v>
      </c>
      <c r="D730" s="4">
        <v>208500</v>
      </c>
      <c r="E730" s="4">
        <v>208500</v>
      </c>
      <c r="F730" s="4">
        <v>417000</v>
      </c>
      <c r="G730"/>
      <c r="H730" s="3">
        <f t="shared" si="10"/>
        <v>0</v>
      </c>
    </row>
    <row r="731" spans="1:8">
      <c r="A731" t="s">
        <v>1762</v>
      </c>
      <c r="B731" t="s">
        <v>1763</v>
      </c>
      <c r="C731" t="s">
        <v>1064</v>
      </c>
      <c r="D731" s="4">
        <v>89500</v>
      </c>
      <c r="E731" s="4"/>
      <c r="F731" s="4">
        <v>89500</v>
      </c>
      <c r="G731"/>
      <c r="H731" s="3">
        <f t="shared" ref="H731:H794" si="11">+D731-E731</f>
        <v>89500</v>
      </c>
    </row>
    <row r="732" spans="1:8">
      <c r="A732" t="s">
        <v>1762</v>
      </c>
      <c r="B732" t="s">
        <v>3050</v>
      </c>
      <c r="C732" t="s">
        <v>1064</v>
      </c>
      <c r="D732" s="4"/>
      <c r="E732" s="4">
        <v>89500</v>
      </c>
      <c r="F732" s="4">
        <v>89500</v>
      </c>
      <c r="G732"/>
      <c r="H732" s="3">
        <f t="shared" si="11"/>
        <v>-89500</v>
      </c>
    </row>
    <row r="733" spans="1:8">
      <c r="A733" t="s">
        <v>1855</v>
      </c>
      <c r="B733" t="s">
        <v>1856</v>
      </c>
      <c r="C733" t="s">
        <v>1010</v>
      </c>
      <c r="D733" s="4">
        <v>91200</v>
      </c>
      <c r="E733" s="4">
        <v>91200</v>
      </c>
      <c r="F733" s="4">
        <v>182400</v>
      </c>
      <c r="G733"/>
      <c r="H733" s="3">
        <f t="shared" si="11"/>
        <v>0</v>
      </c>
    </row>
    <row r="734" spans="1:8">
      <c r="A734" t="s">
        <v>1860</v>
      </c>
      <c r="B734" t="s">
        <v>1861</v>
      </c>
      <c r="C734" t="s">
        <v>1010</v>
      </c>
      <c r="D734" s="4">
        <v>94400</v>
      </c>
      <c r="E734" s="4">
        <v>94400</v>
      </c>
      <c r="F734" s="4">
        <v>188800</v>
      </c>
      <c r="G734"/>
      <c r="H734" s="3">
        <f t="shared" si="11"/>
        <v>0</v>
      </c>
    </row>
    <row r="735" spans="1:8">
      <c r="A735" t="s">
        <v>1877</v>
      </c>
      <c r="B735" t="s">
        <v>1878</v>
      </c>
      <c r="C735" t="s">
        <v>1000</v>
      </c>
      <c r="D735" s="4">
        <v>75500</v>
      </c>
      <c r="E735" s="4">
        <v>75500</v>
      </c>
      <c r="F735" s="4">
        <v>151000</v>
      </c>
      <c r="G735"/>
      <c r="H735" s="3">
        <f t="shared" si="11"/>
        <v>0</v>
      </c>
    </row>
    <row r="736" spans="1:8">
      <c r="A736" t="s">
        <v>2057</v>
      </c>
      <c r="B736" t="s">
        <v>2058</v>
      </c>
      <c r="C736" t="s">
        <v>1064</v>
      </c>
      <c r="D736" s="4">
        <v>141300</v>
      </c>
      <c r="E736" s="4">
        <v>141300</v>
      </c>
      <c r="F736" s="4">
        <v>282600</v>
      </c>
      <c r="G736"/>
      <c r="H736" s="3">
        <f t="shared" si="11"/>
        <v>0</v>
      </c>
    </row>
    <row r="737" spans="1:8">
      <c r="A737" t="s">
        <v>2599</v>
      </c>
      <c r="B737" t="s">
        <v>2600</v>
      </c>
      <c r="C737" t="s">
        <v>1064</v>
      </c>
      <c r="D737" s="4">
        <v>82100</v>
      </c>
      <c r="E737" s="4">
        <v>82100</v>
      </c>
      <c r="F737" s="4">
        <v>164200</v>
      </c>
      <c r="G737"/>
      <c r="H737" s="3">
        <f t="shared" si="11"/>
        <v>0</v>
      </c>
    </row>
    <row r="738" spans="1:8">
      <c r="A738" t="s">
        <v>2615</v>
      </c>
      <c r="B738" t="s">
        <v>3065</v>
      </c>
      <c r="C738" t="s">
        <v>1010</v>
      </c>
      <c r="D738" s="4"/>
      <c r="E738" s="4">
        <v>117300</v>
      </c>
      <c r="F738" s="4">
        <v>117300</v>
      </c>
      <c r="G738"/>
      <c r="H738" s="3">
        <f t="shared" si="11"/>
        <v>-117300</v>
      </c>
    </row>
    <row r="739" spans="1:8">
      <c r="A739" t="s">
        <v>2615</v>
      </c>
      <c r="B739" t="s">
        <v>2616</v>
      </c>
      <c r="C739" t="s">
        <v>1010</v>
      </c>
      <c r="D739" s="4">
        <v>117300</v>
      </c>
      <c r="E739" s="4"/>
      <c r="F739" s="4">
        <v>117300</v>
      </c>
      <c r="G739"/>
      <c r="H739" s="3">
        <f t="shared" si="11"/>
        <v>117300</v>
      </c>
    </row>
    <row r="740" spans="1:8">
      <c r="A740" t="s">
        <v>2659</v>
      </c>
      <c r="B740" t="s">
        <v>2660</v>
      </c>
      <c r="C740" t="s">
        <v>1000</v>
      </c>
      <c r="D740" s="4">
        <v>151000</v>
      </c>
      <c r="E740" s="4">
        <v>151000</v>
      </c>
      <c r="F740" s="4">
        <v>302000</v>
      </c>
      <c r="G740"/>
      <c r="H740" s="3">
        <f t="shared" si="11"/>
        <v>0</v>
      </c>
    </row>
    <row r="741" spans="1:8">
      <c r="A741" t="s">
        <v>2711</v>
      </c>
      <c r="B741" t="s">
        <v>2712</v>
      </c>
      <c r="C741" t="s">
        <v>1000</v>
      </c>
      <c r="D741" s="4">
        <v>88900</v>
      </c>
      <c r="E741" s="4">
        <v>88900</v>
      </c>
      <c r="F741" s="4">
        <v>177800</v>
      </c>
      <c r="G741"/>
      <c r="H741" s="3">
        <f t="shared" si="11"/>
        <v>0</v>
      </c>
    </row>
    <row r="742" spans="1:8">
      <c r="A742" t="s">
        <v>2790</v>
      </c>
      <c r="B742" t="s">
        <v>2791</v>
      </c>
      <c r="C742" t="s">
        <v>1071</v>
      </c>
      <c r="D742" s="4">
        <v>124600</v>
      </c>
      <c r="E742" s="4">
        <v>124600</v>
      </c>
      <c r="F742" s="4">
        <v>249200</v>
      </c>
      <c r="G742"/>
      <c r="H742" s="3">
        <f t="shared" si="11"/>
        <v>0</v>
      </c>
    </row>
    <row r="743" spans="1:8">
      <c r="A743" t="s">
        <v>3037</v>
      </c>
      <c r="B743" t="s">
        <v>3038</v>
      </c>
      <c r="C743" t="s">
        <v>1064</v>
      </c>
      <c r="D743" s="4">
        <v>273700</v>
      </c>
      <c r="E743" s="4">
        <v>273700</v>
      </c>
      <c r="F743" s="4">
        <v>547400</v>
      </c>
      <c r="G743"/>
      <c r="H743" s="3">
        <f t="shared" si="11"/>
        <v>0</v>
      </c>
    </row>
    <row r="744" spans="1:8">
      <c r="A744" t="s">
        <v>1514</v>
      </c>
      <c r="B744" t="s">
        <v>1515</v>
      </c>
      <c r="C744" t="s">
        <v>1064</v>
      </c>
      <c r="D744" s="4">
        <v>28900</v>
      </c>
      <c r="E744" s="4">
        <v>28900</v>
      </c>
      <c r="F744" s="4">
        <v>57800</v>
      </c>
      <c r="G744"/>
      <c r="H744" s="3">
        <f t="shared" si="11"/>
        <v>0</v>
      </c>
    </row>
    <row r="745" spans="1:8">
      <c r="A745" t="s">
        <v>1636</v>
      </c>
      <c r="B745" t="s">
        <v>1637</v>
      </c>
      <c r="C745" t="s">
        <v>885</v>
      </c>
      <c r="D745" s="4">
        <v>116500</v>
      </c>
      <c r="E745" s="4">
        <v>116500</v>
      </c>
      <c r="F745" s="4">
        <v>233000</v>
      </c>
      <c r="G745"/>
      <c r="H745" s="3">
        <f t="shared" si="11"/>
        <v>0</v>
      </c>
    </row>
    <row r="746" spans="1:8">
      <c r="A746" t="s">
        <v>1720</v>
      </c>
      <c r="B746" t="s">
        <v>1721</v>
      </c>
      <c r="C746" t="s">
        <v>357</v>
      </c>
      <c r="D746" s="4">
        <v>80400</v>
      </c>
      <c r="E746" s="4">
        <v>80400</v>
      </c>
      <c r="F746" s="4">
        <v>160800</v>
      </c>
      <c r="G746"/>
      <c r="H746" s="3">
        <f t="shared" si="11"/>
        <v>0</v>
      </c>
    </row>
    <row r="747" spans="1:8">
      <c r="A747" t="s">
        <v>1791</v>
      </c>
      <c r="B747" t="s">
        <v>1792</v>
      </c>
      <c r="C747" t="s">
        <v>1000</v>
      </c>
      <c r="D747" s="4">
        <v>106500</v>
      </c>
      <c r="E747" s="4">
        <v>106500</v>
      </c>
      <c r="F747" s="4">
        <v>213000</v>
      </c>
      <c r="G747"/>
      <c r="H747" s="3">
        <f t="shared" si="11"/>
        <v>0</v>
      </c>
    </row>
    <row r="748" spans="1:8">
      <c r="A748" t="s">
        <v>1810</v>
      </c>
      <c r="B748" t="s">
        <v>1811</v>
      </c>
      <c r="C748" t="s">
        <v>1010</v>
      </c>
      <c r="D748" s="4">
        <v>110000</v>
      </c>
      <c r="E748" s="4">
        <v>110000</v>
      </c>
      <c r="F748" s="4">
        <v>220000</v>
      </c>
      <c r="G748"/>
      <c r="H748" s="3">
        <f t="shared" si="11"/>
        <v>0</v>
      </c>
    </row>
    <row r="749" spans="1:8">
      <c r="A749" t="s">
        <v>1874</v>
      </c>
      <c r="B749" t="s">
        <v>1875</v>
      </c>
      <c r="C749" t="s">
        <v>885</v>
      </c>
      <c r="D749" s="4">
        <v>184600</v>
      </c>
      <c r="E749" s="4">
        <v>184600</v>
      </c>
      <c r="F749" s="4">
        <v>369200</v>
      </c>
      <c r="G749"/>
      <c r="H749" s="3">
        <f t="shared" si="11"/>
        <v>0</v>
      </c>
    </row>
    <row r="750" spans="1:8">
      <c r="A750" t="s">
        <v>1902</v>
      </c>
      <c r="B750" t="s">
        <v>1903</v>
      </c>
      <c r="C750" t="s">
        <v>885</v>
      </c>
      <c r="D750" s="4">
        <v>79500</v>
      </c>
      <c r="E750" s="4">
        <v>79500</v>
      </c>
      <c r="F750" s="4">
        <v>159000</v>
      </c>
      <c r="G750"/>
      <c r="H750" s="3">
        <f t="shared" si="11"/>
        <v>0</v>
      </c>
    </row>
    <row r="751" spans="1:8">
      <c r="A751" t="s">
        <v>1907</v>
      </c>
      <c r="B751" t="s">
        <v>1908</v>
      </c>
      <c r="C751" t="s">
        <v>1491</v>
      </c>
      <c r="D751" s="4">
        <v>173700</v>
      </c>
      <c r="E751" s="4">
        <v>173700</v>
      </c>
      <c r="F751" s="4">
        <v>347400</v>
      </c>
      <c r="G751"/>
      <c r="H751" s="3">
        <f t="shared" si="11"/>
        <v>0</v>
      </c>
    </row>
    <row r="752" spans="1:8">
      <c r="A752" t="s">
        <v>1911</v>
      </c>
      <c r="B752" t="s">
        <v>1912</v>
      </c>
      <c r="C752" t="s">
        <v>1010</v>
      </c>
      <c r="D752" s="4">
        <v>96500</v>
      </c>
      <c r="E752" s="4">
        <v>96500</v>
      </c>
      <c r="F752" s="4">
        <v>193000</v>
      </c>
      <c r="G752"/>
      <c r="H752" s="3">
        <f t="shared" si="11"/>
        <v>0</v>
      </c>
    </row>
    <row r="753" spans="1:8">
      <c r="A753" t="s">
        <v>1974</v>
      </c>
      <c r="B753" t="s">
        <v>1975</v>
      </c>
      <c r="C753" t="s">
        <v>1064</v>
      </c>
      <c r="D753" s="4">
        <v>134500</v>
      </c>
      <c r="E753" s="4">
        <v>134500</v>
      </c>
      <c r="F753" s="4">
        <v>269000</v>
      </c>
      <c r="G753"/>
      <c r="H753" s="3">
        <f t="shared" si="11"/>
        <v>0</v>
      </c>
    </row>
    <row r="754" spans="1:8">
      <c r="A754" t="s">
        <v>2009</v>
      </c>
      <c r="B754" t="s">
        <v>2010</v>
      </c>
      <c r="C754" t="s">
        <v>1064</v>
      </c>
      <c r="D754" s="4">
        <v>86100</v>
      </c>
      <c r="E754" s="4"/>
      <c r="F754" s="4">
        <v>86100</v>
      </c>
      <c r="G754"/>
      <c r="H754" s="3">
        <f t="shared" si="11"/>
        <v>86100</v>
      </c>
    </row>
    <row r="755" spans="1:8">
      <c r="A755" t="s">
        <v>2009</v>
      </c>
      <c r="B755" t="s">
        <v>3053</v>
      </c>
      <c r="C755" t="s">
        <v>1064</v>
      </c>
      <c r="D755" s="4"/>
      <c r="E755" s="4">
        <v>86100</v>
      </c>
      <c r="F755" s="4">
        <v>86100</v>
      </c>
      <c r="G755"/>
      <c r="H755" s="3">
        <f t="shared" si="11"/>
        <v>-86100</v>
      </c>
    </row>
    <row r="756" spans="1:8">
      <c r="A756" t="s">
        <v>2097</v>
      </c>
      <c r="B756" t="s">
        <v>2098</v>
      </c>
      <c r="C756" t="s">
        <v>1071</v>
      </c>
      <c r="D756" s="4">
        <v>63700</v>
      </c>
      <c r="E756" s="4">
        <v>63700</v>
      </c>
      <c r="F756" s="4">
        <v>127400</v>
      </c>
      <c r="G756"/>
      <c r="H756" s="3">
        <f t="shared" si="11"/>
        <v>0</v>
      </c>
    </row>
    <row r="757" spans="1:8">
      <c r="A757" t="s">
        <v>2111</v>
      </c>
      <c r="B757" t="s">
        <v>2112</v>
      </c>
      <c r="C757" t="s">
        <v>870</v>
      </c>
      <c r="D757" s="4">
        <v>179800</v>
      </c>
      <c r="E757" s="4">
        <v>179800</v>
      </c>
      <c r="F757" s="4">
        <v>359600</v>
      </c>
      <c r="G757"/>
      <c r="H757" s="3">
        <f t="shared" si="11"/>
        <v>0</v>
      </c>
    </row>
    <row r="758" spans="1:8">
      <c r="A758" t="s">
        <v>2122</v>
      </c>
      <c r="B758" t="s">
        <v>2123</v>
      </c>
      <c r="C758" t="s">
        <v>1010</v>
      </c>
      <c r="D758" s="4">
        <v>94200</v>
      </c>
      <c r="E758" s="4">
        <v>94200</v>
      </c>
      <c r="F758" s="4">
        <v>188400</v>
      </c>
      <c r="G758"/>
      <c r="H758" s="3">
        <f t="shared" si="11"/>
        <v>0</v>
      </c>
    </row>
    <row r="759" spans="1:8">
      <c r="A759" t="s">
        <v>2137</v>
      </c>
      <c r="B759" t="s">
        <v>2138</v>
      </c>
      <c r="C759" t="s">
        <v>1010</v>
      </c>
      <c r="D759" s="4">
        <v>147200</v>
      </c>
      <c r="E759" s="4">
        <v>147200</v>
      </c>
      <c r="F759" s="4">
        <v>294400</v>
      </c>
      <c r="G759"/>
      <c r="H759" s="3">
        <f t="shared" si="11"/>
        <v>0</v>
      </c>
    </row>
    <row r="760" spans="1:8">
      <c r="A760" t="s">
        <v>2180</v>
      </c>
      <c r="B760" t="s">
        <v>2181</v>
      </c>
      <c r="C760" t="s">
        <v>1064</v>
      </c>
      <c r="D760" s="4">
        <v>22500</v>
      </c>
      <c r="E760" s="4">
        <v>22500</v>
      </c>
      <c r="F760" s="4">
        <v>45000</v>
      </c>
      <c r="G760"/>
      <c r="H760" s="3">
        <f t="shared" si="11"/>
        <v>0</v>
      </c>
    </row>
    <row r="761" spans="1:8">
      <c r="A761" t="s">
        <v>2285</v>
      </c>
      <c r="B761" t="s">
        <v>2286</v>
      </c>
      <c r="C761" t="s">
        <v>885</v>
      </c>
      <c r="D761" s="4">
        <v>79600</v>
      </c>
      <c r="E761" s="4">
        <v>79600</v>
      </c>
      <c r="F761" s="4">
        <v>159200</v>
      </c>
      <c r="G761"/>
      <c r="H761" s="3">
        <f t="shared" si="11"/>
        <v>0</v>
      </c>
    </row>
    <row r="762" spans="1:8">
      <c r="A762" t="s">
        <v>2314</v>
      </c>
      <c r="B762" t="s">
        <v>2315</v>
      </c>
      <c r="C762" t="s">
        <v>1064</v>
      </c>
      <c r="D762" s="4">
        <v>221800</v>
      </c>
      <c r="E762" s="4">
        <v>221800</v>
      </c>
      <c r="F762" s="4">
        <v>443600</v>
      </c>
      <c r="G762"/>
      <c r="H762" s="3">
        <f t="shared" si="11"/>
        <v>0</v>
      </c>
    </row>
    <row r="763" spans="1:8">
      <c r="A763" t="s">
        <v>2397</v>
      </c>
      <c r="B763" t="s">
        <v>2398</v>
      </c>
      <c r="C763" t="s">
        <v>1071</v>
      </c>
      <c r="D763" s="4">
        <v>161000</v>
      </c>
      <c r="E763" s="4">
        <v>161000</v>
      </c>
      <c r="F763" s="4">
        <v>322000</v>
      </c>
      <c r="G763"/>
      <c r="H763" s="3">
        <f t="shared" si="11"/>
        <v>0</v>
      </c>
    </row>
    <row r="764" spans="1:8">
      <c r="A764" t="s">
        <v>2408</v>
      </c>
      <c r="B764" t="s">
        <v>2409</v>
      </c>
      <c r="C764" t="s">
        <v>1064</v>
      </c>
      <c r="D764" s="4">
        <v>100800</v>
      </c>
      <c r="E764" s="4">
        <v>100800</v>
      </c>
      <c r="F764" s="4">
        <v>201600</v>
      </c>
      <c r="G764"/>
      <c r="H764" s="3">
        <f t="shared" si="11"/>
        <v>0</v>
      </c>
    </row>
    <row r="765" spans="1:8">
      <c r="A765" t="s">
        <v>2438</v>
      </c>
      <c r="B765" t="s">
        <v>2439</v>
      </c>
      <c r="C765" t="s">
        <v>1043</v>
      </c>
      <c r="D765" s="4">
        <v>87200</v>
      </c>
      <c r="E765" s="4">
        <v>87200</v>
      </c>
      <c r="F765" s="4">
        <v>174400</v>
      </c>
      <c r="G765"/>
      <c r="H765" s="3">
        <f t="shared" si="11"/>
        <v>0</v>
      </c>
    </row>
    <row r="766" spans="1:8">
      <c r="A766" t="s">
        <v>2522</v>
      </c>
      <c r="B766" t="s">
        <v>2523</v>
      </c>
      <c r="C766" t="s">
        <v>1064</v>
      </c>
      <c r="D766" s="4">
        <v>90700</v>
      </c>
      <c r="E766" s="4">
        <v>90700</v>
      </c>
      <c r="F766" s="4">
        <v>181400</v>
      </c>
      <c r="G766"/>
      <c r="H766" s="3">
        <f t="shared" si="11"/>
        <v>0</v>
      </c>
    </row>
    <row r="767" spans="1:8">
      <c r="A767" t="s">
        <v>2559</v>
      </c>
      <c r="B767" t="s">
        <v>2560</v>
      </c>
      <c r="C767" t="s">
        <v>885</v>
      </c>
      <c r="D767" s="4">
        <v>70100</v>
      </c>
      <c r="E767" s="4">
        <v>70100</v>
      </c>
      <c r="F767" s="4">
        <v>140200</v>
      </c>
      <c r="G767"/>
      <c r="H767" s="3">
        <f t="shared" si="11"/>
        <v>0</v>
      </c>
    </row>
    <row r="768" spans="1:8">
      <c r="A768" t="s">
        <v>2627</v>
      </c>
      <c r="B768" t="s">
        <v>2628</v>
      </c>
      <c r="C768" t="s">
        <v>1064</v>
      </c>
      <c r="D768" s="4">
        <v>110200</v>
      </c>
      <c r="E768" s="4">
        <v>110200</v>
      </c>
      <c r="F768" s="4">
        <v>220400</v>
      </c>
      <c r="G768"/>
      <c r="H768" s="3">
        <f t="shared" si="11"/>
        <v>0</v>
      </c>
    </row>
    <row r="769" spans="1:8">
      <c r="A769" t="s">
        <v>2631</v>
      </c>
      <c r="B769" t="s">
        <v>2632</v>
      </c>
      <c r="C769" t="s">
        <v>1064</v>
      </c>
      <c r="D769" s="4">
        <v>119400</v>
      </c>
      <c r="E769" s="4">
        <v>119400</v>
      </c>
      <c r="F769" s="4">
        <v>238800</v>
      </c>
      <c r="G769"/>
      <c r="H769" s="3">
        <f t="shared" si="11"/>
        <v>0</v>
      </c>
    </row>
    <row r="770" spans="1:8">
      <c r="A770" t="s">
        <v>2652</v>
      </c>
      <c r="B770" t="s">
        <v>2653</v>
      </c>
      <c r="C770" t="s">
        <v>1010</v>
      </c>
      <c r="D770" s="4">
        <v>70100</v>
      </c>
      <c r="E770" s="4">
        <v>70100</v>
      </c>
      <c r="F770" s="4">
        <v>140200</v>
      </c>
      <c r="G770"/>
      <c r="H770" s="3">
        <f t="shared" si="11"/>
        <v>0</v>
      </c>
    </row>
    <row r="771" spans="1:8">
      <c r="A771" t="s">
        <v>2667</v>
      </c>
      <c r="B771" t="s">
        <v>2668</v>
      </c>
      <c r="C771" t="s">
        <v>1071</v>
      </c>
      <c r="D771" s="4">
        <v>344100</v>
      </c>
      <c r="E771" s="4">
        <v>344100</v>
      </c>
      <c r="F771" s="4">
        <v>688200</v>
      </c>
      <c r="G771"/>
      <c r="H771" s="3">
        <f t="shared" si="11"/>
        <v>0</v>
      </c>
    </row>
    <row r="772" spans="1:8">
      <c r="A772" t="s">
        <v>2699</v>
      </c>
      <c r="B772" t="s">
        <v>2700</v>
      </c>
      <c r="C772" t="s">
        <v>1064</v>
      </c>
      <c r="D772" s="4">
        <v>154500</v>
      </c>
      <c r="E772" s="4">
        <v>154500</v>
      </c>
      <c r="F772" s="4">
        <v>309000</v>
      </c>
      <c r="G772"/>
      <c r="H772" s="3">
        <f t="shared" si="11"/>
        <v>0</v>
      </c>
    </row>
    <row r="773" spans="1:8">
      <c r="A773" t="s">
        <v>2722</v>
      </c>
      <c r="B773" t="s">
        <v>2723</v>
      </c>
      <c r="C773" t="s">
        <v>885</v>
      </c>
      <c r="D773" s="4">
        <v>126500</v>
      </c>
      <c r="E773" s="4">
        <v>126500</v>
      </c>
      <c r="F773" s="4">
        <v>253000</v>
      </c>
      <c r="G773"/>
      <c r="H773" s="3">
        <f t="shared" si="11"/>
        <v>0</v>
      </c>
    </row>
    <row r="774" spans="1:8">
      <c r="A774" t="s">
        <v>2766</v>
      </c>
      <c r="B774" t="s">
        <v>2767</v>
      </c>
      <c r="C774" t="s">
        <v>1491</v>
      </c>
      <c r="D774" s="4">
        <v>158300</v>
      </c>
      <c r="E774" s="4">
        <v>158300</v>
      </c>
      <c r="F774" s="4">
        <v>316600</v>
      </c>
      <c r="G774"/>
      <c r="H774" s="3">
        <f t="shared" si="11"/>
        <v>0</v>
      </c>
    </row>
    <row r="775" spans="1:8">
      <c r="A775" t="s">
        <v>2816</v>
      </c>
      <c r="B775" t="s">
        <v>2817</v>
      </c>
      <c r="C775" t="s">
        <v>1010</v>
      </c>
      <c r="D775" s="4">
        <v>142100</v>
      </c>
      <c r="E775" s="4">
        <v>142100</v>
      </c>
      <c r="F775" s="4">
        <v>284200</v>
      </c>
      <c r="G775"/>
      <c r="H775" s="3">
        <f t="shared" si="11"/>
        <v>0</v>
      </c>
    </row>
    <row r="776" spans="1:8">
      <c r="A776" t="s">
        <v>2839</v>
      </c>
      <c r="B776" t="s">
        <v>2840</v>
      </c>
      <c r="C776" t="s">
        <v>870</v>
      </c>
      <c r="D776" s="4">
        <v>95400</v>
      </c>
      <c r="E776" s="4">
        <v>95400</v>
      </c>
      <c r="F776" s="4">
        <v>190800</v>
      </c>
      <c r="G776"/>
      <c r="H776" s="3">
        <f t="shared" si="11"/>
        <v>0</v>
      </c>
    </row>
    <row r="777" spans="1:8">
      <c r="A777" t="s">
        <v>2848</v>
      </c>
      <c r="B777" t="s">
        <v>2849</v>
      </c>
      <c r="C777" t="s">
        <v>885</v>
      </c>
      <c r="D777" s="4">
        <v>86400</v>
      </c>
      <c r="E777" s="4">
        <v>86400</v>
      </c>
      <c r="F777" s="4">
        <v>172800</v>
      </c>
      <c r="G777"/>
      <c r="H777" s="3">
        <f t="shared" si="11"/>
        <v>0</v>
      </c>
    </row>
    <row r="778" spans="1:8">
      <c r="A778" t="s">
        <v>2851</v>
      </c>
      <c r="B778" t="s">
        <v>2852</v>
      </c>
      <c r="C778" t="s">
        <v>885</v>
      </c>
      <c r="D778" s="4">
        <v>106600</v>
      </c>
      <c r="E778" s="4">
        <v>106600</v>
      </c>
      <c r="F778" s="4">
        <v>213200</v>
      </c>
      <c r="G778"/>
      <c r="H778" s="3">
        <f t="shared" si="11"/>
        <v>0</v>
      </c>
    </row>
    <row r="779" spans="1:8">
      <c r="A779" t="s">
        <v>2861</v>
      </c>
      <c r="B779" t="s">
        <v>2862</v>
      </c>
      <c r="C779" t="s">
        <v>635</v>
      </c>
      <c r="D779" s="4">
        <v>142500</v>
      </c>
      <c r="E779" s="4">
        <v>142500</v>
      </c>
      <c r="F779" s="4">
        <v>285000</v>
      </c>
      <c r="G779"/>
      <c r="H779" s="3">
        <f t="shared" si="11"/>
        <v>0</v>
      </c>
    </row>
    <row r="780" spans="1:8">
      <c r="A780" t="s">
        <v>2904</v>
      </c>
      <c r="B780" t="s">
        <v>2905</v>
      </c>
      <c r="C780" t="s">
        <v>1064</v>
      </c>
      <c r="D780" s="4">
        <v>104300</v>
      </c>
      <c r="E780" s="4">
        <v>104300</v>
      </c>
      <c r="F780" s="4">
        <v>208600</v>
      </c>
      <c r="G780"/>
      <c r="H780" s="3">
        <f t="shared" si="11"/>
        <v>0</v>
      </c>
    </row>
    <row r="781" spans="1:8">
      <c r="A781" t="s">
        <v>2922</v>
      </c>
      <c r="B781" t="s">
        <v>2923</v>
      </c>
      <c r="C781" t="s">
        <v>1010</v>
      </c>
      <c r="D781" s="4">
        <v>102000</v>
      </c>
      <c r="E781" s="4">
        <v>102000</v>
      </c>
      <c r="F781" s="4">
        <v>204000</v>
      </c>
      <c r="G781"/>
      <c r="H781" s="3">
        <f t="shared" si="11"/>
        <v>0</v>
      </c>
    </row>
    <row r="782" spans="1:8">
      <c r="A782" t="s">
        <v>2931</v>
      </c>
      <c r="B782" t="s">
        <v>2932</v>
      </c>
      <c r="C782" t="s">
        <v>1000</v>
      </c>
      <c r="D782" s="4">
        <v>107500</v>
      </c>
      <c r="E782" s="4">
        <v>107500</v>
      </c>
      <c r="F782" s="4">
        <v>215000</v>
      </c>
      <c r="G782"/>
      <c r="H782" s="3">
        <f t="shared" si="11"/>
        <v>0</v>
      </c>
    </row>
    <row r="783" spans="1:8">
      <c r="A783" t="s">
        <v>2950</v>
      </c>
      <c r="B783" t="s">
        <v>2951</v>
      </c>
      <c r="C783" t="s">
        <v>1000</v>
      </c>
      <c r="D783" s="4">
        <v>108200</v>
      </c>
      <c r="E783" s="4">
        <v>108200</v>
      </c>
      <c r="F783" s="4">
        <v>216400</v>
      </c>
      <c r="G783"/>
      <c r="H783" s="3">
        <f t="shared" si="11"/>
        <v>0</v>
      </c>
    </row>
    <row r="784" spans="1:8">
      <c r="A784" t="s">
        <v>2965</v>
      </c>
      <c r="B784" t="s">
        <v>2966</v>
      </c>
      <c r="C784" t="s">
        <v>1071</v>
      </c>
      <c r="D784" s="4">
        <v>110700</v>
      </c>
      <c r="E784" s="4">
        <v>110700</v>
      </c>
      <c r="F784" s="4">
        <v>221400</v>
      </c>
      <c r="G784"/>
      <c r="H784" s="3">
        <f t="shared" si="11"/>
        <v>0</v>
      </c>
    </row>
    <row r="785" spans="1:8">
      <c r="A785" t="s">
        <v>3034</v>
      </c>
      <c r="B785" t="s">
        <v>3035</v>
      </c>
      <c r="C785" t="s">
        <v>1071</v>
      </c>
      <c r="D785" s="4">
        <v>96800</v>
      </c>
      <c r="E785" s="4">
        <v>96800</v>
      </c>
      <c r="F785" s="4">
        <v>193600</v>
      </c>
      <c r="G785"/>
      <c r="H785" s="3">
        <f t="shared" si="11"/>
        <v>0</v>
      </c>
    </row>
    <row r="786" spans="1:8">
      <c r="A786" t="s">
        <v>3042</v>
      </c>
      <c r="B786" t="s">
        <v>3043</v>
      </c>
      <c r="C786" t="s">
        <v>1071</v>
      </c>
      <c r="D786" s="4">
        <v>116900</v>
      </c>
      <c r="E786" s="4">
        <v>116900</v>
      </c>
      <c r="F786" s="4">
        <v>233800</v>
      </c>
      <c r="G786"/>
      <c r="H786" s="3">
        <f t="shared" si="11"/>
        <v>0</v>
      </c>
    </row>
    <row r="787" spans="1:8">
      <c r="A787" t="s">
        <v>1499</v>
      </c>
      <c r="B787" t="s">
        <v>1500</v>
      </c>
      <c r="C787" t="s">
        <v>1064</v>
      </c>
      <c r="D787" s="4">
        <v>122600</v>
      </c>
      <c r="E787" s="4">
        <v>122600</v>
      </c>
      <c r="F787" s="4">
        <v>245200</v>
      </c>
      <c r="G787"/>
      <c r="H787" s="3">
        <f t="shared" si="11"/>
        <v>0</v>
      </c>
    </row>
    <row r="788" spans="1:8">
      <c r="A788" t="s">
        <v>1588</v>
      </c>
      <c r="B788" t="s">
        <v>1589</v>
      </c>
      <c r="C788" t="s">
        <v>1071</v>
      </c>
      <c r="D788" s="4">
        <v>114400</v>
      </c>
      <c r="E788" s="4">
        <v>114400</v>
      </c>
      <c r="F788" s="4">
        <v>228800</v>
      </c>
      <c r="G788"/>
      <c r="H788" s="3">
        <f t="shared" si="11"/>
        <v>0</v>
      </c>
    </row>
    <row r="789" spans="1:8">
      <c r="A789" t="s">
        <v>1703</v>
      </c>
      <c r="B789" t="s">
        <v>1704</v>
      </c>
      <c r="C789" t="s">
        <v>1010</v>
      </c>
      <c r="D789" s="4">
        <v>88300</v>
      </c>
      <c r="E789" s="4">
        <v>88300</v>
      </c>
      <c r="F789" s="4">
        <v>176600</v>
      </c>
      <c r="G789"/>
      <c r="H789" s="3">
        <f t="shared" si="11"/>
        <v>0</v>
      </c>
    </row>
    <row r="790" spans="1:8">
      <c r="A790" t="s">
        <v>1782</v>
      </c>
      <c r="B790" t="s">
        <v>1783</v>
      </c>
      <c r="C790" t="s">
        <v>1000</v>
      </c>
      <c r="D790" s="4">
        <v>133000</v>
      </c>
      <c r="E790" s="4">
        <v>148200</v>
      </c>
      <c r="F790" s="4">
        <v>281200</v>
      </c>
      <c r="G790"/>
      <c r="H790" s="3">
        <f t="shared" si="11"/>
        <v>-15200</v>
      </c>
    </row>
    <row r="791" spans="1:8">
      <c r="A791" t="s">
        <v>1870</v>
      </c>
      <c r="B791" t="s">
        <v>1871</v>
      </c>
      <c r="C791" t="s">
        <v>1010</v>
      </c>
      <c r="D791" s="4">
        <v>94800</v>
      </c>
      <c r="E791" s="4">
        <v>94800</v>
      </c>
      <c r="F791" s="4">
        <v>189600</v>
      </c>
      <c r="G791"/>
      <c r="H791" s="3">
        <f t="shared" si="11"/>
        <v>0</v>
      </c>
    </row>
    <row r="792" spans="1:8">
      <c r="A792" t="s">
        <v>1969</v>
      </c>
      <c r="B792" t="s">
        <v>1970</v>
      </c>
      <c r="C792" t="s">
        <v>885</v>
      </c>
      <c r="D792" s="4">
        <v>73300</v>
      </c>
      <c r="E792" s="4">
        <v>73300</v>
      </c>
      <c r="F792" s="4">
        <v>146600</v>
      </c>
      <c r="G792"/>
      <c r="H792" s="3">
        <f t="shared" si="11"/>
        <v>0</v>
      </c>
    </row>
    <row r="793" spans="1:8">
      <c r="A793" t="s">
        <v>2017</v>
      </c>
      <c r="B793" t="s">
        <v>2018</v>
      </c>
      <c r="C793" t="s">
        <v>870</v>
      </c>
      <c r="D793" s="4">
        <v>75900</v>
      </c>
      <c r="E793" s="4">
        <v>75900</v>
      </c>
      <c r="F793" s="4">
        <v>151800</v>
      </c>
      <c r="G793"/>
      <c r="H793" s="3">
        <f t="shared" si="11"/>
        <v>0</v>
      </c>
    </row>
    <row r="794" spans="1:8">
      <c r="A794" t="s">
        <v>2062</v>
      </c>
      <c r="B794" t="s">
        <v>2063</v>
      </c>
      <c r="C794" t="s">
        <v>1071</v>
      </c>
      <c r="D794" s="4">
        <v>168700</v>
      </c>
      <c r="E794" s="4">
        <v>168700</v>
      </c>
      <c r="F794" s="4">
        <v>337400</v>
      </c>
      <c r="G794"/>
      <c r="H794" s="3">
        <f t="shared" si="11"/>
        <v>0</v>
      </c>
    </row>
    <row r="795" spans="1:8">
      <c r="A795" t="s">
        <v>2071</v>
      </c>
      <c r="B795" t="s">
        <v>2072</v>
      </c>
      <c r="C795" t="s">
        <v>1491</v>
      </c>
      <c r="D795" s="4">
        <v>50500</v>
      </c>
      <c r="E795" s="4">
        <v>50500</v>
      </c>
      <c r="F795" s="4">
        <v>101000</v>
      </c>
      <c r="G795"/>
      <c r="H795" s="3">
        <f t="shared" ref="H795:H858" si="12">+D795-E795</f>
        <v>0</v>
      </c>
    </row>
    <row r="796" spans="1:8">
      <c r="A796" t="s">
        <v>2092</v>
      </c>
      <c r="B796" t="s">
        <v>2093</v>
      </c>
      <c r="C796" t="s">
        <v>1010</v>
      </c>
      <c r="D796" s="4">
        <v>126000</v>
      </c>
      <c r="E796" s="4">
        <v>126000</v>
      </c>
      <c r="F796" s="4">
        <v>252000</v>
      </c>
      <c r="G796"/>
      <c r="H796" s="3">
        <f t="shared" si="12"/>
        <v>0</v>
      </c>
    </row>
    <row r="797" spans="1:8">
      <c r="A797" t="s">
        <v>2140</v>
      </c>
      <c r="B797" t="s">
        <v>2141</v>
      </c>
      <c r="C797" t="s">
        <v>1064</v>
      </c>
      <c r="D797" s="4">
        <v>156800</v>
      </c>
      <c r="E797" s="4">
        <v>156800</v>
      </c>
      <c r="F797" s="4">
        <v>313600</v>
      </c>
      <c r="G797"/>
      <c r="H797" s="3">
        <f t="shared" si="12"/>
        <v>0</v>
      </c>
    </row>
    <row r="798" spans="1:8">
      <c r="A798" t="s">
        <v>2238</v>
      </c>
      <c r="B798" t="s">
        <v>2239</v>
      </c>
      <c r="C798" t="s">
        <v>726</v>
      </c>
      <c r="D798" s="4">
        <v>160500</v>
      </c>
      <c r="E798" s="4">
        <v>160500</v>
      </c>
      <c r="F798" s="4">
        <v>321000</v>
      </c>
      <c r="G798"/>
      <c r="H798" s="3">
        <f t="shared" si="12"/>
        <v>0</v>
      </c>
    </row>
    <row r="799" spans="1:8">
      <c r="A799" t="s">
        <v>2333</v>
      </c>
      <c r="B799" t="s">
        <v>2334</v>
      </c>
      <c r="C799" t="s">
        <v>1491</v>
      </c>
      <c r="D799" s="4">
        <v>192700</v>
      </c>
      <c r="E799" s="4">
        <v>192700</v>
      </c>
      <c r="F799" s="4">
        <v>385400</v>
      </c>
      <c r="G799"/>
      <c r="H799" s="3">
        <f t="shared" si="12"/>
        <v>0</v>
      </c>
    </row>
    <row r="800" spans="1:8">
      <c r="A800" t="s">
        <v>2404</v>
      </c>
      <c r="B800" t="s">
        <v>2405</v>
      </c>
      <c r="C800" t="s">
        <v>1010</v>
      </c>
      <c r="D800" s="4">
        <v>94300</v>
      </c>
      <c r="E800" s="4">
        <v>94300</v>
      </c>
      <c r="F800" s="4">
        <v>188600</v>
      </c>
      <c r="G800"/>
      <c r="H800" s="3">
        <f t="shared" si="12"/>
        <v>0</v>
      </c>
    </row>
    <row r="801" spans="1:8">
      <c r="A801" t="s">
        <v>2406</v>
      </c>
      <c r="B801" t="s">
        <v>2407</v>
      </c>
      <c r="C801" t="s">
        <v>1000</v>
      </c>
      <c r="D801" s="4">
        <v>162400</v>
      </c>
      <c r="E801" s="4">
        <v>162400</v>
      </c>
      <c r="F801" s="4">
        <v>324800</v>
      </c>
      <c r="G801"/>
      <c r="H801" s="3">
        <f t="shared" si="12"/>
        <v>0</v>
      </c>
    </row>
    <row r="802" spans="1:8">
      <c r="A802" t="s">
        <v>2429</v>
      </c>
      <c r="B802" t="s">
        <v>2430</v>
      </c>
      <c r="C802" t="s">
        <v>1010</v>
      </c>
      <c r="D802" s="4">
        <v>173100</v>
      </c>
      <c r="E802" s="4">
        <v>173100</v>
      </c>
      <c r="F802" s="4">
        <v>346200</v>
      </c>
      <c r="G802"/>
      <c r="H802" s="3">
        <f t="shared" si="12"/>
        <v>0</v>
      </c>
    </row>
    <row r="803" spans="1:8">
      <c r="A803" t="s">
        <v>2456</v>
      </c>
      <c r="B803" t="s">
        <v>2457</v>
      </c>
      <c r="C803" t="s">
        <v>1010</v>
      </c>
      <c r="D803" s="4">
        <v>107800</v>
      </c>
      <c r="E803" s="4">
        <v>107800</v>
      </c>
      <c r="F803" s="4">
        <v>215600</v>
      </c>
      <c r="G803"/>
      <c r="H803" s="3">
        <f t="shared" si="12"/>
        <v>0</v>
      </c>
    </row>
    <row r="804" spans="1:8">
      <c r="A804" t="s">
        <v>2469</v>
      </c>
      <c r="B804" t="s">
        <v>2470</v>
      </c>
      <c r="C804" t="s">
        <v>885</v>
      </c>
      <c r="D804" s="4">
        <v>105300</v>
      </c>
      <c r="E804" s="4">
        <v>105300</v>
      </c>
      <c r="F804" s="4">
        <v>210600</v>
      </c>
      <c r="G804"/>
      <c r="H804" s="3">
        <f t="shared" si="12"/>
        <v>0</v>
      </c>
    </row>
    <row r="805" spans="1:8">
      <c r="A805" t="s">
        <v>2492</v>
      </c>
      <c r="B805" t="s">
        <v>2493</v>
      </c>
      <c r="C805" t="s">
        <v>1064</v>
      </c>
      <c r="D805" s="4">
        <v>104400</v>
      </c>
      <c r="E805" s="4">
        <v>104400</v>
      </c>
      <c r="F805" s="4">
        <v>208800</v>
      </c>
      <c r="G805"/>
      <c r="H805" s="3">
        <f t="shared" si="12"/>
        <v>0</v>
      </c>
    </row>
    <row r="806" spans="1:8">
      <c r="A806" t="s">
        <v>2519</v>
      </c>
      <c r="B806" t="s">
        <v>2520</v>
      </c>
      <c r="C806" t="s">
        <v>1010</v>
      </c>
      <c r="D806" s="4">
        <v>152200</v>
      </c>
      <c r="E806" s="4">
        <v>152200</v>
      </c>
      <c r="F806" s="4">
        <v>304400</v>
      </c>
      <c r="G806"/>
      <c r="H806" s="3">
        <f t="shared" si="12"/>
        <v>0</v>
      </c>
    </row>
    <row r="807" spans="1:8">
      <c r="A807" t="s">
        <v>2533</v>
      </c>
      <c r="B807" t="s">
        <v>2534</v>
      </c>
      <c r="C807" t="s">
        <v>885</v>
      </c>
      <c r="D807" s="4">
        <v>111600</v>
      </c>
      <c r="E807" s="4">
        <v>111600</v>
      </c>
      <c r="F807" s="4">
        <v>223200</v>
      </c>
      <c r="G807"/>
      <c r="H807" s="3">
        <f t="shared" si="12"/>
        <v>0</v>
      </c>
    </row>
    <row r="808" spans="1:8">
      <c r="A808" t="s">
        <v>2545</v>
      </c>
      <c r="B808" t="s">
        <v>2546</v>
      </c>
      <c r="C808" t="s">
        <v>1010</v>
      </c>
      <c r="D808" s="4">
        <v>156900</v>
      </c>
      <c r="E808" s="4">
        <v>156900</v>
      </c>
      <c r="F808" s="4">
        <v>313800</v>
      </c>
      <c r="G808"/>
      <c r="H808" s="3">
        <f t="shared" si="12"/>
        <v>0</v>
      </c>
    </row>
    <row r="809" spans="1:8">
      <c r="A809" t="s">
        <v>2669</v>
      </c>
      <c r="B809" t="s">
        <v>2670</v>
      </c>
      <c r="C809" t="s">
        <v>1491</v>
      </c>
      <c r="D809" s="4">
        <v>127600</v>
      </c>
      <c r="E809" s="4">
        <v>127600</v>
      </c>
      <c r="F809" s="4">
        <v>255200</v>
      </c>
      <c r="G809"/>
      <c r="H809" s="3">
        <f t="shared" si="12"/>
        <v>0</v>
      </c>
    </row>
    <row r="810" spans="1:8">
      <c r="A810" t="s">
        <v>2676</v>
      </c>
      <c r="B810" t="s">
        <v>2677</v>
      </c>
      <c r="C810" t="s">
        <v>1064</v>
      </c>
      <c r="D810" s="4">
        <v>155300</v>
      </c>
      <c r="E810" s="4">
        <v>155300</v>
      </c>
      <c r="F810" s="4">
        <v>310600</v>
      </c>
      <c r="G810"/>
      <c r="H810" s="3">
        <f t="shared" si="12"/>
        <v>0</v>
      </c>
    </row>
    <row r="811" spans="1:8">
      <c r="A811" t="s">
        <v>2685</v>
      </c>
      <c r="B811" t="s">
        <v>2686</v>
      </c>
      <c r="C811" t="s">
        <v>1071</v>
      </c>
      <c r="D811" s="4">
        <v>155200</v>
      </c>
      <c r="E811" s="4">
        <v>155200</v>
      </c>
      <c r="F811" s="4">
        <v>310400</v>
      </c>
      <c r="G811"/>
      <c r="H811" s="3">
        <f t="shared" si="12"/>
        <v>0</v>
      </c>
    </row>
    <row r="812" spans="1:8">
      <c r="A812" t="s">
        <v>2733</v>
      </c>
      <c r="B812" t="s">
        <v>2734</v>
      </c>
      <c r="C812" t="s">
        <v>1010</v>
      </c>
      <c r="D812" s="4">
        <v>176900</v>
      </c>
      <c r="E812" s="4">
        <v>176900</v>
      </c>
      <c r="F812" s="4">
        <v>353800</v>
      </c>
      <c r="G812"/>
      <c r="H812" s="3">
        <f t="shared" si="12"/>
        <v>0</v>
      </c>
    </row>
    <row r="813" spans="1:8">
      <c r="A813" t="s">
        <v>2857</v>
      </c>
      <c r="B813" t="s">
        <v>2858</v>
      </c>
      <c r="C813" t="s">
        <v>1010</v>
      </c>
      <c r="D813" s="4">
        <v>145300</v>
      </c>
      <c r="E813" s="4">
        <v>145300</v>
      </c>
      <c r="F813" s="4">
        <v>290600</v>
      </c>
      <c r="G813"/>
      <c r="H813" s="3">
        <f t="shared" si="12"/>
        <v>0</v>
      </c>
    </row>
    <row r="814" spans="1:8">
      <c r="A814" t="s">
        <v>2867</v>
      </c>
      <c r="B814" t="s">
        <v>2868</v>
      </c>
      <c r="C814" t="s">
        <v>1010</v>
      </c>
      <c r="D814" s="4">
        <v>165200</v>
      </c>
      <c r="E814" s="4">
        <v>165200</v>
      </c>
      <c r="F814" s="4">
        <v>330400</v>
      </c>
      <c r="G814"/>
      <c r="H814" s="3">
        <f t="shared" si="12"/>
        <v>0</v>
      </c>
    </row>
    <row r="815" spans="1:8">
      <c r="A815" t="s">
        <v>2900</v>
      </c>
      <c r="B815" t="s">
        <v>2901</v>
      </c>
      <c r="C815" t="s">
        <v>1071</v>
      </c>
      <c r="D815" s="4">
        <v>122600</v>
      </c>
      <c r="E815" s="4">
        <v>122600</v>
      </c>
      <c r="F815" s="4">
        <v>245200</v>
      </c>
      <c r="G815"/>
      <c r="H815" s="3">
        <f t="shared" si="12"/>
        <v>0</v>
      </c>
    </row>
    <row r="816" spans="1:8">
      <c r="A816" t="s">
        <v>2919</v>
      </c>
      <c r="B816" t="s">
        <v>2920</v>
      </c>
      <c r="C816" t="s">
        <v>1010</v>
      </c>
      <c r="D816" s="4">
        <v>106900</v>
      </c>
      <c r="E816" s="4">
        <v>106900</v>
      </c>
      <c r="F816" s="4">
        <v>213800</v>
      </c>
      <c r="G816"/>
      <c r="H816" s="3">
        <f t="shared" si="12"/>
        <v>0</v>
      </c>
    </row>
    <row r="817" spans="1:8">
      <c r="A817" t="s">
        <v>2933</v>
      </c>
      <c r="B817" t="s">
        <v>2934</v>
      </c>
      <c r="C817" t="s">
        <v>1064</v>
      </c>
      <c r="D817" s="4">
        <v>114200</v>
      </c>
      <c r="E817" s="4">
        <v>114200</v>
      </c>
      <c r="F817" s="4">
        <v>228400</v>
      </c>
      <c r="G817"/>
      <c r="H817" s="3">
        <f t="shared" si="12"/>
        <v>0</v>
      </c>
    </row>
    <row r="818" spans="1:8">
      <c r="A818" t="s">
        <v>2974</v>
      </c>
      <c r="B818" t="s">
        <v>2975</v>
      </c>
      <c r="C818" t="s">
        <v>1064</v>
      </c>
      <c r="D818" s="4">
        <v>156500</v>
      </c>
      <c r="E818" s="4">
        <v>156500</v>
      </c>
      <c r="F818" s="4">
        <v>313000</v>
      </c>
      <c r="G818"/>
      <c r="H818" s="3">
        <f t="shared" si="12"/>
        <v>0</v>
      </c>
    </row>
    <row r="819" spans="1:8">
      <c r="A819" t="s">
        <v>2980</v>
      </c>
      <c r="B819" t="s">
        <v>2981</v>
      </c>
      <c r="C819" t="s">
        <v>1010</v>
      </c>
      <c r="D819" s="4">
        <v>86200</v>
      </c>
      <c r="E819" s="4">
        <v>86200</v>
      </c>
      <c r="F819" s="4">
        <v>172400</v>
      </c>
      <c r="G819"/>
      <c r="H819" s="3">
        <f t="shared" si="12"/>
        <v>0</v>
      </c>
    </row>
    <row r="820" spans="1:8">
      <c r="A820" t="s">
        <v>2995</v>
      </c>
      <c r="B820" t="s">
        <v>2996</v>
      </c>
      <c r="C820" t="s">
        <v>1010</v>
      </c>
      <c r="D820" s="4">
        <v>143500</v>
      </c>
      <c r="E820" s="4"/>
      <c r="F820" s="4">
        <v>143500</v>
      </c>
      <c r="G820"/>
      <c r="H820" s="3">
        <f t="shared" si="12"/>
        <v>143500</v>
      </c>
    </row>
    <row r="821" spans="1:8">
      <c r="A821" t="s">
        <v>2995</v>
      </c>
      <c r="B821" t="s">
        <v>3068</v>
      </c>
      <c r="C821" t="s">
        <v>1010</v>
      </c>
      <c r="D821" s="4"/>
      <c r="E821" s="4">
        <v>143500</v>
      </c>
      <c r="F821" s="4">
        <v>143500</v>
      </c>
      <c r="G821"/>
      <c r="H821" s="3">
        <f t="shared" si="12"/>
        <v>-143500</v>
      </c>
    </row>
    <row r="822" spans="1:8">
      <c r="A822" t="s">
        <v>3031</v>
      </c>
      <c r="B822" t="s">
        <v>3032</v>
      </c>
      <c r="C822" t="s">
        <v>1010</v>
      </c>
      <c r="D822" s="4">
        <v>126500</v>
      </c>
      <c r="E822" s="4">
        <v>126500</v>
      </c>
      <c r="F822" s="4">
        <v>253000</v>
      </c>
      <c r="G822"/>
      <c r="H822" s="3">
        <f t="shared" si="12"/>
        <v>0</v>
      </c>
    </row>
    <row r="823" spans="1:8">
      <c r="A823" t="s">
        <v>1447</v>
      </c>
      <c r="B823" t="s">
        <v>1448</v>
      </c>
      <c r="C823" t="s">
        <v>1071</v>
      </c>
      <c r="D823" s="4">
        <v>88900</v>
      </c>
      <c r="E823" s="4">
        <v>88900</v>
      </c>
      <c r="F823" s="4">
        <v>177800</v>
      </c>
      <c r="H823" s="3">
        <f t="shared" si="12"/>
        <v>0</v>
      </c>
    </row>
    <row r="824" spans="1:8">
      <c r="A824" t="s">
        <v>1452</v>
      </c>
      <c r="B824" t="s">
        <v>1453</v>
      </c>
      <c r="C824" t="s">
        <v>1010</v>
      </c>
      <c r="D824" s="4">
        <v>105800</v>
      </c>
      <c r="E824" s="4">
        <v>105800</v>
      </c>
      <c r="F824" s="4">
        <v>211600</v>
      </c>
      <c r="H824" s="3">
        <f t="shared" si="12"/>
        <v>0</v>
      </c>
    </row>
    <row r="825" spans="1:8">
      <c r="A825" t="s">
        <v>1463</v>
      </c>
      <c r="B825" t="s">
        <v>1464</v>
      </c>
      <c r="C825" t="s">
        <v>1064</v>
      </c>
      <c r="D825" s="4">
        <v>61900</v>
      </c>
      <c r="E825" s="4">
        <v>61900</v>
      </c>
      <c r="F825" s="4">
        <v>123800</v>
      </c>
      <c r="H825" s="3">
        <f t="shared" si="12"/>
        <v>0</v>
      </c>
    </row>
    <row r="826" spans="1:8">
      <c r="A826" t="s">
        <v>1493</v>
      </c>
      <c r="B826" t="s">
        <v>1494</v>
      </c>
      <c r="C826" t="s">
        <v>1064</v>
      </c>
      <c r="D826" s="4">
        <v>74800</v>
      </c>
      <c r="E826" s="4">
        <v>74800</v>
      </c>
      <c r="F826" s="4">
        <v>149600</v>
      </c>
      <c r="H826" s="3">
        <f t="shared" si="12"/>
        <v>0</v>
      </c>
    </row>
    <row r="827" spans="1:8">
      <c r="A827" t="s">
        <v>1699</v>
      </c>
      <c r="B827" t="s">
        <v>1700</v>
      </c>
      <c r="C827" t="s">
        <v>870</v>
      </c>
      <c r="D827" s="4">
        <v>112900</v>
      </c>
      <c r="E827" s="4">
        <v>112900</v>
      </c>
      <c r="F827" s="4">
        <v>225800</v>
      </c>
      <c r="H827" s="3">
        <f t="shared" si="12"/>
        <v>0</v>
      </c>
    </row>
    <row r="828" spans="1:8">
      <c r="A828" t="s">
        <v>1731</v>
      </c>
      <c r="B828" t="s">
        <v>1732</v>
      </c>
      <c r="C828" t="s">
        <v>1064</v>
      </c>
      <c r="D828" s="4">
        <v>208500</v>
      </c>
      <c r="E828" s="4">
        <v>208500</v>
      </c>
      <c r="F828" s="4">
        <v>417000</v>
      </c>
      <c r="H828" s="3">
        <f t="shared" si="12"/>
        <v>0</v>
      </c>
    </row>
    <row r="829" spans="1:8">
      <c r="A829" t="s">
        <v>1758</v>
      </c>
      <c r="B829" t="s">
        <v>1759</v>
      </c>
      <c r="C829" t="s">
        <v>885</v>
      </c>
      <c r="D829" s="4">
        <v>13900</v>
      </c>
      <c r="E829" s="4">
        <v>13900</v>
      </c>
      <c r="F829" s="4">
        <v>27800</v>
      </c>
      <c r="H829" s="3">
        <f t="shared" si="12"/>
        <v>0</v>
      </c>
    </row>
    <row r="830" spans="1:8">
      <c r="A830" t="s">
        <v>1929</v>
      </c>
      <c r="B830" t="s">
        <v>1930</v>
      </c>
      <c r="C830" t="s">
        <v>1071</v>
      </c>
      <c r="D830" s="4">
        <v>125700</v>
      </c>
      <c r="E830" s="4">
        <v>125700</v>
      </c>
      <c r="F830" s="4">
        <v>251400</v>
      </c>
      <c r="H830" s="3">
        <f t="shared" si="12"/>
        <v>0</v>
      </c>
    </row>
    <row r="831" spans="1:8">
      <c r="A831" t="s">
        <v>1979</v>
      </c>
      <c r="B831" t="s">
        <v>1980</v>
      </c>
      <c r="C831" t="s">
        <v>870</v>
      </c>
      <c r="D831" s="4">
        <v>94800</v>
      </c>
      <c r="E831" s="4">
        <v>94800</v>
      </c>
      <c r="F831" s="4">
        <v>189600</v>
      </c>
      <c r="H831" s="3">
        <f t="shared" si="12"/>
        <v>0</v>
      </c>
    </row>
    <row r="832" spans="1:8">
      <c r="A832" t="s">
        <v>2013</v>
      </c>
      <c r="B832" t="s">
        <v>2014</v>
      </c>
      <c r="C832" t="s">
        <v>1064</v>
      </c>
      <c r="D832" s="4">
        <v>42300</v>
      </c>
      <c r="E832" s="4">
        <v>42300</v>
      </c>
      <c r="F832" s="4">
        <v>84600</v>
      </c>
      <c r="H832" s="3">
        <f t="shared" si="12"/>
        <v>0</v>
      </c>
    </row>
    <row r="833" spans="1:8">
      <c r="A833" t="s">
        <v>2022</v>
      </c>
      <c r="B833" t="s">
        <v>2023</v>
      </c>
      <c r="C833" t="s">
        <v>885</v>
      </c>
      <c r="D833" s="4">
        <v>46600</v>
      </c>
      <c r="E833" s="4">
        <v>46600</v>
      </c>
      <c r="F833" s="4">
        <v>93200</v>
      </c>
      <c r="H833" s="3">
        <f t="shared" si="12"/>
        <v>0</v>
      </c>
    </row>
    <row r="834" spans="1:8">
      <c r="A834" t="s">
        <v>2043</v>
      </c>
      <c r="B834" t="s">
        <v>2044</v>
      </c>
      <c r="C834" t="s">
        <v>635</v>
      </c>
      <c r="D834" s="4">
        <v>138400</v>
      </c>
      <c r="E834" s="4">
        <v>138400</v>
      </c>
      <c r="F834" s="4">
        <v>276800</v>
      </c>
      <c r="H834" s="3">
        <f t="shared" si="12"/>
        <v>0</v>
      </c>
    </row>
    <row r="835" spans="1:8">
      <c r="A835" t="s">
        <v>2054</v>
      </c>
      <c r="B835" t="s">
        <v>2055</v>
      </c>
      <c r="C835" t="s">
        <v>1064</v>
      </c>
      <c r="D835" s="4">
        <v>89800</v>
      </c>
      <c r="E835" s="4"/>
      <c r="F835" s="4">
        <v>89800</v>
      </c>
      <c r="H835" s="3">
        <f t="shared" si="12"/>
        <v>89800</v>
      </c>
    </row>
    <row r="836" spans="1:8">
      <c r="A836" t="s">
        <v>2054</v>
      </c>
      <c r="B836" t="s">
        <v>3055</v>
      </c>
      <c r="C836" t="s">
        <v>1064</v>
      </c>
      <c r="D836" s="4"/>
      <c r="E836" s="4">
        <v>89300</v>
      </c>
      <c r="F836" s="4">
        <v>89300</v>
      </c>
      <c r="H836" s="3">
        <f t="shared" si="12"/>
        <v>-89300</v>
      </c>
    </row>
    <row r="837" spans="1:8">
      <c r="A837" t="s">
        <v>2128</v>
      </c>
      <c r="B837" t="s">
        <v>2129</v>
      </c>
      <c r="C837" t="s">
        <v>1064</v>
      </c>
      <c r="D837" s="4">
        <v>238700</v>
      </c>
      <c r="E837" s="4">
        <v>238700</v>
      </c>
      <c r="F837" s="4">
        <v>477400</v>
      </c>
      <c r="H837" s="3">
        <f t="shared" si="12"/>
        <v>0</v>
      </c>
    </row>
    <row r="838" spans="1:8">
      <c r="A838" t="s">
        <v>2163</v>
      </c>
      <c r="B838" t="s">
        <v>2164</v>
      </c>
      <c r="C838" t="s">
        <v>1010</v>
      </c>
      <c r="D838" s="4">
        <v>112000</v>
      </c>
      <c r="E838" s="4">
        <v>112000</v>
      </c>
      <c r="F838" s="4">
        <v>224000</v>
      </c>
      <c r="H838" s="3">
        <f t="shared" si="12"/>
        <v>0</v>
      </c>
    </row>
    <row r="839" spans="1:8">
      <c r="A839" t="s">
        <v>2169</v>
      </c>
      <c r="B839" t="s">
        <v>2170</v>
      </c>
      <c r="C839" t="s">
        <v>1491</v>
      </c>
      <c r="D839" s="4">
        <v>84500</v>
      </c>
      <c r="E839" s="4">
        <v>84500</v>
      </c>
      <c r="F839" s="4">
        <v>169000</v>
      </c>
      <c r="H839" s="3">
        <f t="shared" si="12"/>
        <v>0</v>
      </c>
    </row>
    <row r="840" spans="1:8">
      <c r="A840" t="s">
        <v>2187</v>
      </c>
      <c r="B840" t="s">
        <v>2188</v>
      </c>
      <c r="C840" t="s">
        <v>1010</v>
      </c>
      <c r="D840" s="4">
        <v>25500</v>
      </c>
      <c r="E840" s="4">
        <v>25500</v>
      </c>
      <c r="F840" s="4">
        <v>51000</v>
      </c>
      <c r="H840" s="3">
        <f t="shared" si="12"/>
        <v>0</v>
      </c>
    </row>
    <row r="841" spans="1:8">
      <c r="A841" t="s">
        <v>2269</v>
      </c>
      <c r="B841" t="s">
        <v>2270</v>
      </c>
      <c r="C841" t="s">
        <v>1064</v>
      </c>
      <c r="D841" s="4">
        <v>84500</v>
      </c>
      <c r="E841" s="4">
        <v>84500</v>
      </c>
      <c r="F841" s="4">
        <v>169000</v>
      </c>
      <c r="H841" s="3">
        <f t="shared" si="12"/>
        <v>0</v>
      </c>
    </row>
    <row r="842" spans="1:8">
      <c r="A842" t="s">
        <v>2288</v>
      </c>
      <c r="B842" t="s">
        <v>2289</v>
      </c>
      <c r="C842" t="s">
        <v>1064</v>
      </c>
      <c r="D842" s="4">
        <v>79300</v>
      </c>
      <c r="E842" s="4">
        <v>79300</v>
      </c>
      <c r="F842" s="4">
        <v>158600</v>
      </c>
      <c r="H842" s="3">
        <f t="shared" si="12"/>
        <v>0</v>
      </c>
    </row>
    <row r="843" spans="1:8">
      <c r="A843" t="s">
        <v>2298</v>
      </c>
      <c r="B843" t="s">
        <v>2299</v>
      </c>
      <c r="C843" t="s">
        <v>1010</v>
      </c>
      <c r="D843" s="4">
        <v>66500</v>
      </c>
      <c r="E843" s="4">
        <v>66500</v>
      </c>
      <c r="F843" s="4">
        <v>133000</v>
      </c>
      <c r="H843" s="3">
        <f t="shared" si="12"/>
        <v>0</v>
      </c>
    </row>
    <row r="844" spans="1:8">
      <c r="A844" t="s">
        <v>2303</v>
      </c>
      <c r="B844" t="s">
        <v>2304</v>
      </c>
      <c r="C844" t="s">
        <v>1064</v>
      </c>
      <c r="D844" s="4">
        <v>84700</v>
      </c>
      <c r="E844" s="4">
        <v>84700</v>
      </c>
      <c r="F844" s="4">
        <v>169400</v>
      </c>
      <c r="H844" s="3">
        <f t="shared" si="12"/>
        <v>0</v>
      </c>
    </row>
    <row r="845" spans="1:8">
      <c r="A845" t="s">
        <v>2320</v>
      </c>
      <c r="B845" t="s">
        <v>2321</v>
      </c>
      <c r="C845" t="s">
        <v>885</v>
      </c>
      <c r="D845" s="4">
        <v>117200</v>
      </c>
      <c r="E845" s="4">
        <v>117200</v>
      </c>
      <c r="F845" s="4">
        <v>234400</v>
      </c>
      <c r="H845" s="3">
        <f t="shared" si="12"/>
        <v>0</v>
      </c>
    </row>
    <row r="846" spans="1:8">
      <c r="A846" t="s">
        <v>2378</v>
      </c>
      <c r="B846" t="s">
        <v>2379</v>
      </c>
      <c r="C846" t="s">
        <v>1071</v>
      </c>
      <c r="D846" s="4">
        <v>81000</v>
      </c>
      <c r="E846" s="4">
        <v>81000</v>
      </c>
      <c r="F846" s="4">
        <v>162000</v>
      </c>
      <c r="H846" s="3">
        <f t="shared" si="12"/>
        <v>0</v>
      </c>
    </row>
    <row r="847" spans="1:8">
      <c r="A847" t="s">
        <v>2415</v>
      </c>
      <c r="B847" t="s">
        <v>2416</v>
      </c>
      <c r="C847" t="s">
        <v>1010</v>
      </c>
      <c r="D847" s="4">
        <v>133600</v>
      </c>
      <c r="E847" s="4">
        <v>133600</v>
      </c>
      <c r="F847" s="4">
        <v>267200</v>
      </c>
      <c r="H847" s="3">
        <f t="shared" si="12"/>
        <v>0</v>
      </c>
    </row>
    <row r="848" spans="1:8">
      <c r="A848" t="s">
        <v>2441</v>
      </c>
      <c r="B848" t="s">
        <v>2442</v>
      </c>
      <c r="C848" t="s">
        <v>1071</v>
      </c>
      <c r="D848" s="4">
        <v>84500</v>
      </c>
      <c r="E848" s="4">
        <v>84500</v>
      </c>
      <c r="F848" s="4">
        <v>169000</v>
      </c>
      <c r="H848" s="3">
        <f t="shared" si="12"/>
        <v>0</v>
      </c>
    </row>
    <row r="849" spans="1:8">
      <c r="A849" t="s">
        <v>2458</v>
      </c>
      <c r="B849" t="s">
        <v>2459</v>
      </c>
      <c r="C849" t="s">
        <v>1064</v>
      </c>
      <c r="D849" s="4">
        <v>49800</v>
      </c>
      <c r="E849" s="4">
        <v>49800</v>
      </c>
      <c r="F849" s="4">
        <v>99600</v>
      </c>
      <c r="H849" s="3">
        <f t="shared" si="12"/>
        <v>0</v>
      </c>
    </row>
    <row r="850" spans="1:8">
      <c r="A850" t="s">
        <v>2594</v>
      </c>
      <c r="B850" t="s">
        <v>2595</v>
      </c>
      <c r="C850" t="s">
        <v>1010</v>
      </c>
      <c r="D850" s="4">
        <v>118100</v>
      </c>
      <c r="E850" s="4">
        <v>118100</v>
      </c>
      <c r="F850" s="4">
        <v>236200</v>
      </c>
      <c r="H850" s="3">
        <f t="shared" si="12"/>
        <v>0</v>
      </c>
    </row>
    <row r="851" spans="1:8">
      <c r="A851" t="s">
        <v>2636</v>
      </c>
      <c r="B851" t="s">
        <v>2637</v>
      </c>
      <c r="C851" t="s">
        <v>1010</v>
      </c>
      <c r="D851" s="4">
        <v>94800</v>
      </c>
      <c r="E851" s="4">
        <v>94800</v>
      </c>
      <c r="F851" s="4">
        <v>189600</v>
      </c>
      <c r="H851" s="3">
        <f t="shared" si="12"/>
        <v>0</v>
      </c>
    </row>
    <row r="852" spans="1:8">
      <c r="A852" t="s">
        <v>2674</v>
      </c>
      <c r="B852" t="s">
        <v>2675</v>
      </c>
      <c r="C852" t="s">
        <v>1010</v>
      </c>
      <c r="D852" s="4">
        <v>13000</v>
      </c>
      <c r="E852" s="4">
        <v>13000</v>
      </c>
      <c r="F852" s="4">
        <v>26000</v>
      </c>
      <c r="H852" s="3">
        <f t="shared" si="12"/>
        <v>0</v>
      </c>
    </row>
    <row r="853" spans="1:8">
      <c r="A853" t="s">
        <v>2682</v>
      </c>
      <c r="B853" t="s">
        <v>2683</v>
      </c>
      <c r="C853" t="s">
        <v>1064</v>
      </c>
      <c r="D853" s="4">
        <v>130600</v>
      </c>
      <c r="E853" s="4">
        <v>130600</v>
      </c>
      <c r="F853" s="4">
        <v>261200</v>
      </c>
      <c r="H853" s="3">
        <f t="shared" si="12"/>
        <v>0</v>
      </c>
    </row>
    <row r="854" spans="1:8">
      <c r="A854" t="s">
        <v>2696</v>
      </c>
      <c r="B854" t="s">
        <v>2697</v>
      </c>
      <c r="C854" t="s">
        <v>1064</v>
      </c>
      <c r="D854" s="4">
        <v>126500</v>
      </c>
      <c r="E854" s="4">
        <v>126500</v>
      </c>
      <c r="F854" s="4">
        <v>253000</v>
      </c>
      <c r="H854" s="3">
        <f t="shared" si="12"/>
        <v>0</v>
      </c>
    </row>
    <row r="855" spans="1:8">
      <c r="A855" t="s">
        <v>2707</v>
      </c>
      <c r="B855" t="s">
        <v>2708</v>
      </c>
      <c r="C855" t="s">
        <v>1064</v>
      </c>
      <c r="D855" s="4">
        <v>173300</v>
      </c>
      <c r="E855" s="4">
        <v>173300</v>
      </c>
      <c r="F855" s="4">
        <v>346600</v>
      </c>
      <c r="H855" s="3">
        <f t="shared" si="12"/>
        <v>0</v>
      </c>
    </row>
    <row r="856" spans="1:8">
      <c r="A856" t="s">
        <v>2718</v>
      </c>
      <c r="B856" t="s">
        <v>2719</v>
      </c>
      <c r="C856" t="s">
        <v>1010</v>
      </c>
      <c r="D856" s="4">
        <v>87700</v>
      </c>
      <c r="E856" s="4">
        <v>87700</v>
      </c>
      <c r="F856" s="4">
        <v>175400</v>
      </c>
      <c r="H856" s="3">
        <f t="shared" si="12"/>
        <v>0</v>
      </c>
    </row>
    <row r="857" spans="1:8">
      <c r="A857" t="s">
        <v>2778</v>
      </c>
      <c r="B857" t="s">
        <v>2779</v>
      </c>
      <c r="C857" t="s">
        <v>1491</v>
      </c>
      <c r="D857" s="4">
        <v>122500</v>
      </c>
      <c r="E857" s="4">
        <v>122500</v>
      </c>
      <c r="F857" s="4">
        <v>245000</v>
      </c>
      <c r="H857" s="3">
        <f t="shared" si="12"/>
        <v>0</v>
      </c>
    </row>
    <row r="858" spans="1:8">
      <c r="A858" t="s">
        <v>2834</v>
      </c>
      <c r="B858" t="s">
        <v>2835</v>
      </c>
      <c r="C858" t="s">
        <v>885</v>
      </c>
      <c r="D858" s="4">
        <v>166400</v>
      </c>
      <c r="E858" s="4">
        <v>166400</v>
      </c>
      <c r="F858" s="4">
        <v>332800</v>
      </c>
      <c r="H858" s="3">
        <f t="shared" si="12"/>
        <v>0</v>
      </c>
    </row>
    <row r="859" spans="1:8">
      <c r="A859" t="s">
        <v>2863</v>
      </c>
      <c r="B859" t="s">
        <v>2864</v>
      </c>
      <c r="C859" t="s">
        <v>1010</v>
      </c>
      <c r="D859" s="4">
        <v>118800</v>
      </c>
      <c r="E859" s="4">
        <v>118800</v>
      </c>
      <c r="F859" s="4">
        <v>237600</v>
      </c>
      <c r="H859" s="3">
        <f t="shared" ref="H859:H922" si="13">+D859-E859</f>
        <v>0</v>
      </c>
    </row>
    <row r="860" spans="1:8">
      <c r="A860" t="s">
        <v>2915</v>
      </c>
      <c r="B860" t="s">
        <v>2916</v>
      </c>
      <c r="C860" t="s">
        <v>885</v>
      </c>
      <c r="D860" s="4">
        <v>84900</v>
      </c>
      <c r="E860" s="4">
        <v>84900</v>
      </c>
      <c r="F860" s="4">
        <v>169800</v>
      </c>
      <c r="H860" s="3">
        <f t="shared" si="13"/>
        <v>0</v>
      </c>
    </row>
    <row r="861" spans="1:8">
      <c r="A861" t="s">
        <v>2925</v>
      </c>
      <c r="B861" t="s">
        <v>2926</v>
      </c>
      <c r="C861" t="s">
        <v>1064</v>
      </c>
      <c r="D861" s="4">
        <v>143300</v>
      </c>
      <c r="E861" s="4">
        <v>143300</v>
      </c>
      <c r="F861" s="4">
        <v>286600</v>
      </c>
      <c r="H861" s="3">
        <f t="shared" si="13"/>
        <v>0</v>
      </c>
    </row>
    <row r="862" spans="1:8">
      <c r="A862" t="s">
        <v>2936</v>
      </c>
      <c r="B862" t="s">
        <v>2937</v>
      </c>
      <c r="C862" t="s">
        <v>1000</v>
      </c>
      <c r="D862" s="4">
        <v>173500</v>
      </c>
      <c r="E862" s="4">
        <v>173500</v>
      </c>
      <c r="F862" s="4">
        <v>347000</v>
      </c>
      <c r="H862" s="3">
        <f t="shared" si="13"/>
        <v>0</v>
      </c>
    </row>
    <row r="863" spans="1:8">
      <c r="A863" t="s">
        <v>2947</v>
      </c>
      <c r="B863" t="s">
        <v>2948</v>
      </c>
      <c r="C863" t="s">
        <v>1071</v>
      </c>
      <c r="D863" s="4">
        <v>108600</v>
      </c>
      <c r="E863" s="4">
        <v>108600</v>
      </c>
      <c r="F863" s="4">
        <v>217200</v>
      </c>
      <c r="H863" s="3">
        <f t="shared" si="13"/>
        <v>0</v>
      </c>
    </row>
    <row r="864" spans="1:8">
      <c r="A864" t="s">
        <v>2967</v>
      </c>
      <c r="B864" t="s">
        <v>2968</v>
      </c>
      <c r="C864" t="s">
        <v>1010</v>
      </c>
      <c r="D864" s="4">
        <v>113100</v>
      </c>
      <c r="E864" s="4">
        <v>113100</v>
      </c>
      <c r="F864" s="4">
        <v>226200</v>
      </c>
      <c r="H864" s="3">
        <f t="shared" si="13"/>
        <v>0</v>
      </c>
    </row>
    <row r="865" spans="1:8">
      <c r="A865" t="s">
        <v>2982</v>
      </c>
      <c r="B865" t="s">
        <v>2983</v>
      </c>
      <c r="C865" t="s">
        <v>1071</v>
      </c>
      <c r="D865" s="4">
        <v>168700</v>
      </c>
      <c r="E865" s="4">
        <v>168700</v>
      </c>
      <c r="F865" s="4">
        <v>337400</v>
      </c>
      <c r="H865" s="3">
        <f t="shared" si="13"/>
        <v>0</v>
      </c>
    </row>
    <row r="866" spans="1:8">
      <c r="A866" t="s">
        <v>3020</v>
      </c>
      <c r="B866" t="s">
        <v>3021</v>
      </c>
      <c r="C866" t="s">
        <v>1064</v>
      </c>
      <c r="D866" s="4">
        <v>143700</v>
      </c>
      <c r="E866" s="4">
        <v>143700</v>
      </c>
      <c r="F866" s="4">
        <v>287400</v>
      </c>
      <c r="H866" s="3">
        <f t="shared" si="13"/>
        <v>0</v>
      </c>
    </row>
    <row r="867" spans="1:8">
      <c r="A867" t="s">
        <v>3023</v>
      </c>
      <c r="B867" t="s">
        <v>3024</v>
      </c>
      <c r="C867" t="s">
        <v>1010</v>
      </c>
      <c r="D867" s="4">
        <v>70300</v>
      </c>
      <c r="E867" s="4">
        <v>70300</v>
      </c>
      <c r="F867" s="4">
        <v>140600</v>
      </c>
      <c r="H867" s="3">
        <f t="shared" si="13"/>
        <v>0</v>
      </c>
    </row>
    <row r="868" spans="1:8">
      <c r="A868" t="s">
        <v>3028</v>
      </c>
      <c r="B868" t="s">
        <v>3029</v>
      </c>
      <c r="C868" t="s">
        <v>635</v>
      </c>
      <c r="D868" s="4">
        <v>298500</v>
      </c>
      <c r="E868" s="4">
        <v>298500</v>
      </c>
      <c r="F868" s="4">
        <v>597000</v>
      </c>
      <c r="H868" s="3">
        <f t="shared" si="13"/>
        <v>0</v>
      </c>
    </row>
    <row r="869" spans="1:8">
      <c r="A869" t="s">
        <v>3044</v>
      </c>
      <c r="B869" t="s">
        <v>3045</v>
      </c>
      <c r="C869" t="s">
        <v>1010</v>
      </c>
      <c r="D869" s="4">
        <v>119900</v>
      </c>
      <c r="E869" s="4">
        <v>119900</v>
      </c>
      <c r="F869" s="4">
        <v>239800</v>
      </c>
      <c r="H869" s="3">
        <f t="shared" si="13"/>
        <v>0</v>
      </c>
    </row>
    <row r="870" spans="1:8">
      <c r="A870" t="s">
        <v>1660</v>
      </c>
      <c r="B870" t="s">
        <v>1661</v>
      </c>
      <c r="C870" t="s">
        <v>1064</v>
      </c>
      <c r="D870" s="4">
        <v>135300</v>
      </c>
      <c r="E870" s="4">
        <v>135300</v>
      </c>
      <c r="F870" s="4">
        <v>270600</v>
      </c>
      <c r="H870" s="3">
        <f t="shared" si="13"/>
        <v>0</v>
      </c>
    </row>
    <row r="871" spans="1:8">
      <c r="A871" t="s">
        <v>1686</v>
      </c>
      <c r="B871" t="s">
        <v>1687</v>
      </c>
      <c r="C871" t="s">
        <v>885</v>
      </c>
      <c r="D871" s="4">
        <v>119000</v>
      </c>
      <c r="E871" s="4">
        <v>119000</v>
      </c>
      <c r="F871" s="4">
        <v>238000</v>
      </c>
      <c r="H871" s="3">
        <f t="shared" si="13"/>
        <v>0</v>
      </c>
    </row>
    <row r="872" spans="1:8">
      <c r="A872" t="s">
        <v>1851</v>
      </c>
      <c r="B872" t="s">
        <v>1852</v>
      </c>
      <c r="C872" t="s">
        <v>1064</v>
      </c>
      <c r="D872" s="4">
        <v>117900</v>
      </c>
      <c r="E872" s="4">
        <v>117900</v>
      </c>
      <c r="F872" s="4">
        <v>235800</v>
      </c>
      <c r="H872" s="3">
        <f t="shared" si="13"/>
        <v>0</v>
      </c>
    </row>
    <row r="873" spans="1:8">
      <c r="A873" t="s">
        <v>1862</v>
      </c>
      <c r="B873" t="s">
        <v>1863</v>
      </c>
      <c r="C873" t="s">
        <v>1010</v>
      </c>
      <c r="D873" s="4">
        <v>88100</v>
      </c>
      <c r="E873" s="4">
        <v>88100</v>
      </c>
      <c r="F873" s="4">
        <v>176200</v>
      </c>
      <c r="H873" s="3">
        <f t="shared" si="13"/>
        <v>0</v>
      </c>
    </row>
    <row r="874" spans="1:8">
      <c r="A874" t="s">
        <v>1962</v>
      </c>
      <c r="B874" t="s">
        <v>1963</v>
      </c>
      <c r="C874" t="s">
        <v>1064</v>
      </c>
      <c r="D874" s="4">
        <v>120700</v>
      </c>
      <c r="E874" s="4">
        <v>120700</v>
      </c>
      <c r="F874" s="4">
        <v>241400</v>
      </c>
      <c r="H874" s="3">
        <f t="shared" si="13"/>
        <v>0</v>
      </c>
    </row>
    <row r="875" spans="1:8">
      <c r="A875" t="s">
        <v>2000</v>
      </c>
      <c r="B875" t="s">
        <v>2001</v>
      </c>
      <c r="C875" t="s">
        <v>1071</v>
      </c>
      <c r="D875" s="4">
        <v>68500</v>
      </c>
      <c r="E875" s="4">
        <v>68500</v>
      </c>
      <c r="F875" s="4">
        <v>137000</v>
      </c>
      <c r="H875" s="3">
        <f t="shared" si="13"/>
        <v>0</v>
      </c>
    </row>
    <row r="876" spans="1:8">
      <c r="A876" t="s">
        <v>2006</v>
      </c>
      <c r="B876" t="s">
        <v>2007</v>
      </c>
      <c r="C876" t="s">
        <v>870</v>
      </c>
      <c r="D876" s="4">
        <v>71400</v>
      </c>
      <c r="E876" s="4">
        <v>71400</v>
      </c>
      <c r="F876" s="4">
        <v>142800</v>
      </c>
      <c r="H876" s="3">
        <f t="shared" si="13"/>
        <v>0</v>
      </c>
    </row>
    <row r="877" spans="1:8">
      <c r="A877" t="s">
        <v>2067</v>
      </c>
      <c r="B877" t="s">
        <v>2068</v>
      </c>
      <c r="C877" t="s">
        <v>1010</v>
      </c>
      <c r="D877" s="4">
        <v>127500</v>
      </c>
      <c r="E877" s="4">
        <v>127500</v>
      </c>
      <c r="F877" s="4">
        <v>255000</v>
      </c>
      <c r="H877" s="3">
        <f t="shared" si="13"/>
        <v>0</v>
      </c>
    </row>
    <row r="878" spans="1:8">
      <c r="A878" t="s">
        <v>2291</v>
      </c>
      <c r="B878" t="s">
        <v>2292</v>
      </c>
      <c r="C878" t="s">
        <v>1064</v>
      </c>
      <c r="D878" s="4">
        <v>106600</v>
      </c>
      <c r="E878" s="4">
        <v>106600</v>
      </c>
      <c r="F878" s="4">
        <v>213200</v>
      </c>
      <c r="H878" s="3">
        <f t="shared" si="13"/>
        <v>0</v>
      </c>
    </row>
    <row r="879" spans="1:8">
      <c r="A879" t="s">
        <v>2307</v>
      </c>
      <c r="B879" t="s">
        <v>2308</v>
      </c>
      <c r="C879" t="s">
        <v>870</v>
      </c>
      <c r="D879" s="4">
        <v>128200</v>
      </c>
      <c r="E879" s="4">
        <v>128200</v>
      </c>
      <c r="F879" s="4">
        <v>256400</v>
      </c>
      <c r="H879" s="3">
        <f t="shared" si="13"/>
        <v>0</v>
      </c>
    </row>
    <row r="880" spans="1:8">
      <c r="A880" t="s">
        <v>2782</v>
      </c>
      <c r="B880" t="s">
        <v>2783</v>
      </c>
      <c r="C880" t="s">
        <v>870</v>
      </c>
      <c r="D880" s="4">
        <v>75500</v>
      </c>
      <c r="E880" s="4">
        <v>75500</v>
      </c>
      <c r="F880" s="4">
        <v>151000</v>
      </c>
      <c r="H880" s="3">
        <f t="shared" si="13"/>
        <v>0</v>
      </c>
    </row>
    <row r="881" spans="1:8">
      <c r="A881" t="s">
        <v>2958</v>
      </c>
      <c r="B881" t="s">
        <v>2959</v>
      </c>
      <c r="C881" t="s">
        <v>1010</v>
      </c>
      <c r="D881" s="4">
        <v>126500</v>
      </c>
      <c r="E881" s="4">
        <v>126500</v>
      </c>
      <c r="F881" s="4">
        <v>253000</v>
      </c>
      <c r="H881" s="3">
        <f t="shared" si="13"/>
        <v>0</v>
      </c>
    </row>
    <row r="882" spans="1:8">
      <c r="A882" t="s">
        <v>2970</v>
      </c>
      <c r="B882" t="s">
        <v>2971</v>
      </c>
      <c r="C882" t="s">
        <v>1064</v>
      </c>
      <c r="D882" s="4">
        <v>117700</v>
      </c>
      <c r="E882" s="4">
        <v>117700</v>
      </c>
      <c r="F882" s="4">
        <v>235400</v>
      </c>
      <c r="H882" s="3">
        <f t="shared" si="13"/>
        <v>0</v>
      </c>
    </row>
    <row r="883" spans="1:8">
      <c r="A883" t="s">
        <v>2047</v>
      </c>
      <c r="B883" t="s">
        <v>2048</v>
      </c>
      <c r="C883" t="s">
        <v>1010</v>
      </c>
      <c r="D883" s="4">
        <v>114500</v>
      </c>
      <c r="E883" s="4">
        <v>114500</v>
      </c>
      <c r="F883" s="4">
        <v>229000</v>
      </c>
      <c r="H883" s="3">
        <f t="shared" si="13"/>
        <v>0</v>
      </c>
    </row>
    <row r="884" spans="1:8">
      <c r="A884" t="s">
        <v>2050</v>
      </c>
      <c r="B884" t="s">
        <v>2051</v>
      </c>
      <c r="C884" t="s">
        <v>1010</v>
      </c>
      <c r="D884" s="4">
        <v>131100</v>
      </c>
      <c r="E884" s="4">
        <v>131100</v>
      </c>
      <c r="F884" s="4">
        <v>262200</v>
      </c>
      <c r="H884" s="3">
        <f t="shared" si="13"/>
        <v>0</v>
      </c>
    </row>
    <row r="885" spans="1:8">
      <c r="A885" t="s">
        <v>2344</v>
      </c>
      <c r="B885" t="s">
        <v>2345</v>
      </c>
      <c r="C885" t="s">
        <v>1064</v>
      </c>
      <c r="D885" s="4">
        <v>29500</v>
      </c>
      <c r="E885" s="4">
        <v>29500</v>
      </c>
      <c r="F885" s="4">
        <v>59000</v>
      </c>
      <c r="H885" s="3">
        <f t="shared" si="13"/>
        <v>0</v>
      </c>
    </row>
    <row r="886" spans="1:8">
      <c r="A886" t="s">
        <v>2647</v>
      </c>
      <c r="B886" t="s">
        <v>2648</v>
      </c>
      <c r="C886" t="s">
        <v>1010</v>
      </c>
      <c r="D886" s="4">
        <v>142000</v>
      </c>
      <c r="E886" s="4">
        <v>142000</v>
      </c>
      <c r="F886" s="4">
        <v>284000</v>
      </c>
      <c r="H886" s="3">
        <f t="shared" si="13"/>
        <v>0</v>
      </c>
    </row>
    <row r="887" spans="1:8">
      <c r="A887" t="s">
        <v>2649</v>
      </c>
      <c r="B887" t="s">
        <v>2650</v>
      </c>
      <c r="C887" t="s">
        <v>1010</v>
      </c>
      <c r="D887" s="4">
        <v>127900</v>
      </c>
      <c r="E887" s="4">
        <v>127900</v>
      </c>
      <c r="F887" s="4">
        <v>255800</v>
      </c>
      <c r="H887" s="3">
        <f t="shared" si="13"/>
        <v>0</v>
      </c>
    </row>
    <row r="888" spans="1:8">
      <c r="A888" t="s">
        <v>2688</v>
      </c>
      <c r="B888" t="s">
        <v>2689</v>
      </c>
      <c r="C888" t="s">
        <v>1000</v>
      </c>
      <c r="D888" s="4">
        <v>63400</v>
      </c>
      <c r="E888" s="4">
        <v>63400</v>
      </c>
      <c r="F888" s="4">
        <v>126800</v>
      </c>
      <c r="H888" s="3">
        <f t="shared" si="13"/>
        <v>0</v>
      </c>
    </row>
    <row r="889" spans="1:8">
      <c r="A889" t="s">
        <v>2703</v>
      </c>
      <c r="B889" t="s">
        <v>2704</v>
      </c>
      <c r="C889" t="s">
        <v>726</v>
      </c>
      <c r="D889" s="4">
        <v>106900</v>
      </c>
      <c r="E889" s="4">
        <v>106900</v>
      </c>
      <c r="F889" s="4">
        <v>213800</v>
      </c>
      <c r="H889" s="3">
        <f t="shared" si="13"/>
        <v>0</v>
      </c>
    </row>
    <row r="890" spans="1:8">
      <c r="A890" t="s">
        <v>2793</v>
      </c>
      <c r="B890" t="s">
        <v>2794</v>
      </c>
      <c r="C890" t="s">
        <v>1010</v>
      </c>
      <c r="D890" s="4">
        <v>133400</v>
      </c>
      <c r="E890" s="4">
        <v>133400</v>
      </c>
      <c r="F890" s="4">
        <v>266800</v>
      </c>
      <c r="H890" s="3">
        <f t="shared" si="13"/>
        <v>0</v>
      </c>
    </row>
    <row r="891" spans="1:8">
      <c r="A891" t="s">
        <v>2797</v>
      </c>
      <c r="B891" t="s">
        <v>2798</v>
      </c>
      <c r="C891" t="s">
        <v>885</v>
      </c>
      <c r="D891" s="4">
        <v>141800</v>
      </c>
      <c r="E891" s="4">
        <v>141800</v>
      </c>
      <c r="F891" s="4">
        <v>283600</v>
      </c>
      <c r="H891" s="3">
        <f t="shared" si="13"/>
        <v>0</v>
      </c>
    </row>
    <row r="892" spans="1:8">
      <c r="A892" t="s">
        <v>1432</v>
      </c>
      <c r="B892" t="s">
        <v>1433</v>
      </c>
      <c r="C892" t="s">
        <v>1010</v>
      </c>
      <c r="D892" s="4">
        <v>81400</v>
      </c>
      <c r="E892" s="4">
        <v>81400</v>
      </c>
      <c r="F892" s="4">
        <v>162800</v>
      </c>
      <c r="H892" s="3">
        <f t="shared" si="13"/>
        <v>0</v>
      </c>
    </row>
    <row r="893" spans="1:8">
      <c r="A893" t="s">
        <v>1457</v>
      </c>
      <c r="B893" t="s">
        <v>1458</v>
      </c>
      <c r="C893" t="s">
        <v>1071</v>
      </c>
      <c r="D893" s="4">
        <v>85400</v>
      </c>
      <c r="E893" s="4">
        <v>85400</v>
      </c>
      <c r="F893" s="4">
        <v>170800</v>
      </c>
      <c r="H893" s="3">
        <f t="shared" si="13"/>
        <v>0</v>
      </c>
    </row>
    <row r="894" spans="1:8">
      <c r="A894" t="s">
        <v>1618</v>
      </c>
      <c r="B894" t="s">
        <v>1619</v>
      </c>
      <c r="C894" t="s">
        <v>1064</v>
      </c>
      <c r="D894" s="4">
        <v>82300</v>
      </c>
      <c r="E894" s="4">
        <v>82300</v>
      </c>
      <c r="F894" s="4">
        <v>164600</v>
      </c>
      <c r="H894" s="3">
        <f t="shared" si="13"/>
        <v>0</v>
      </c>
    </row>
    <row r="895" spans="1:8">
      <c r="A895" t="s">
        <v>1690</v>
      </c>
      <c r="B895" t="s">
        <v>1691</v>
      </c>
      <c r="C895" t="s">
        <v>1071</v>
      </c>
      <c r="D895" s="4">
        <v>55200</v>
      </c>
      <c r="E895" s="4">
        <v>55200</v>
      </c>
      <c r="F895" s="4">
        <v>110400</v>
      </c>
      <c r="H895" s="3">
        <f t="shared" si="13"/>
        <v>0</v>
      </c>
    </row>
    <row r="896" spans="1:8">
      <c r="A896" t="s">
        <v>1726</v>
      </c>
      <c r="B896" t="s">
        <v>1727</v>
      </c>
      <c r="C896" t="s">
        <v>1071</v>
      </c>
      <c r="D896" s="4">
        <v>195700</v>
      </c>
      <c r="E896" s="4">
        <v>195700</v>
      </c>
      <c r="F896" s="4">
        <v>391400</v>
      </c>
      <c r="H896" s="3">
        <f t="shared" si="13"/>
        <v>0</v>
      </c>
    </row>
    <row r="897" spans="1:8">
      <c r="A897" t="s">
        <v>1778</v>
      </c>
      <c r="B897" t="s">
        <v>1779</v>
      </c>
      <c r="C897" t="s">
        <v>1071</v>
      </c>
      <c r="D897" s="4">
        <v>78100</v>
      </c>
      <c r="E897" s="4">
        <v>78100</v>
      </c>
      <c r="F897" s="4">
        <v>156200</v>
      </c>
      <c r="H897" s="3">
        <f t="shared" si="13"/>
        <v>0</v>
      </c>
    </row>
    <row r="898" spans="1:8">
      <c r="A898" t="s">
        <v>1787</v>
      </c>
      <c r="B898" t="s">
        <v>1788</v>
      </c>
      <c r="C898" t="s">
        <v>1000</v>
      </c>
      <c r="D898" s="4">
        <v>105300</v>
      </c>
      <c r="E898" s="4">
        <v>105300</v>
      </c>
      <c r="F898" s="4">
        <v>210600</v>
      </c>
      <c r="H898" s="3">
        <f t="shared" si="13"/>
        <v>0</v>
      </c>
    </row>
    <row r="899" spans="1:8">
      <c r="A899" t="s">
        <v>1794</v>
      </c>
      <c r="B899" t="s">
        <v>1795</v>
      </c>
      <c r="C899" t="s">
        <v>1064</v>
      </c>
      <c r="D899" s="4">
        <v>91500</v>
      </c>
      <c r="E899" s="4"/>
      <c r="F899" s="4">
        <v>91500</v>
      </c>
      <c r="H899" s="3">
        <f t="shared" si="13"/>
        <v>91500</v>
      </c>
    </row>
    <row r="900" spans="1:8">
      <c r="A900" t="s">
        <v>1794</v>
      </c>
      <c r="B900" t="s">
        <v>3051</v>
      </c>
      <c r="C900" t="s">
        <v>1064</v>
      </c>
      <c r="D900" s="4"/>
      <c r="E900" s="4">
        <v>91500</v>
      </c>
      <c r="F900" s="4">
        <v>91500</v>
      </c>
      <c r="H900" s="3">
        <f t="shared" si="13"/>
        <v>-91500</v>
      </c>
    </row>
    <row r="901" spans="1:8">
      <c r="A901" t="s">
        <v>1815</v>
      </c>
      <c r="B901" t="s">
        <v>1816</v>
      </c>
      <c r="C901" t="s">
        <v>1010</v>
      </c>
      <c r="D901" s="4">
        <v>88700</v>
      </c>
      <c r="E901" s="4">
        <v>88700</v>
      </c>
      <c r="F901" s="4">
        <v>177400</v>
      </c>
      <c r="H901" s="3">
        <f t="shared" si="13"/>
        <v>0</v>
      </c>
    </row>
    <row r="902" spans="1:8">
      <c r="A902" t="s">
        <v>1825</v>
      </c>
      <c r="B902" t="s">
        <v>1826</v>
      </c>
      <c r="C902" t="s">
        <v>1071</v>
      </c>
      <c r="D902" s="4">
        <v>119200</v>
      </c>
      <c r="E902" s="4">
        <v>119200</v>
      </c>
      <c r="F902" s="4">
        <v>238400</v>
      </c>
      <c r="H902" s="3">
        <f t="shared" si="13"/>
        <v>0</v>
      </c>
    </row>
    <row r="903" spans="1:8">
      <c r="A903" t="s">
        <v>1880</v>
      </c>
      <c r="B903" t="s">
        <v>1881</v>
      </c>
      <c r="C903" t="s">
        <v>1010</v>
      </c>
      <c r="D903" s="4">
        <v>81200</v>
      </c>
      <c r="E903" s="4">
        <v>81200</v>
      </c>
      <c r="F903" s="4">
        <v>162400</v>
      </c>
      <c r="H903" s="3">
        <f t="shared" si="13"/>
        <v>0</v>
      </c>
    </row>
    <row r="904" spans="1:8">
      <c r="A904" t="s">
        <v>1921</v>
      </c>
      <c r="B904" t="s">
        <v>1922</v>
      </c>
      <c r="C904" t="s">
        <v>1491</v>
      </c>
      <c r="D904" s="4">
        <v>101800</v>
      </c>
      <c r="E904" s="4">
        <v>101800</v>
      </c>
      <c r="F904" s="4">
        <v>203600</v>
      </c>
      <c r="H904" s="3">
        <f t="shared" si="13"/>
        <v>0</v>
      </c>
    </row>
    <row r="905" spans="1:8">
      <c r="A905" t="s">
        <v>1926</v>
      </c>
      <c r="B905" t="s">
        <v>1927</v>
      </c>
      <c r="C905" t="s">
        <v>870</v>
      </c>
      <c r="D905" s="4">
        <v>106800</v>
      </c>
      <c r="E905" s="4">
        <v>106800</v>
      </c>
      <c r="F905" s="4">
        <v>213600</v>
      </c>
      <c r="H905" s="3">
        <f t="shared" si="13"/>
        <v>0</v>
      </c>
    </row>
    <row r="906" spans="1:8">
      <c r="A906" t="s">
        <v>2100</v>
      </c>
      <c r="B906" t="s">
        <v>2101</v>
      </c>
      <c r="C906" t="s">
        <v>1010</v>
      </c>
      <c r="D906" s="4">
        <v>82400</v>
      </c>
      <c r="E906" s="4">
        <v>82400</v>
      </c>
      <c r="F906" s="4">
        <v>164800</v>
      </c>
      <c r="H906" s="3">
        <f t="shared" si="13"/>
        <v>0</v>
      </c>
    </row>
    <row r="907" spans="1:8">
      <c r="A907" t="s">
        <v>2103</v>
      </c>
      <c r="B907" t="s">
        <v>2104</v>
      </c>
      <c r="C907" t="s">
        <v>1071</v>
      </c>
      <c r="D907" s="4">
        <v>112500</v>
      </c>
      <c r="E907" s="4">
        <v>112500</v>
      </c>
      <c r="F907" s="4">
        <v>225000</v>
      </c>
      <c r="H907" s="3">
        <f t="shared" si="13"/>
        <v>0</v>
      </c>
    </row>
    <row r="908" spans="1:8">
      <c r="A908" t="s">
        <v>2133</v>
      </c>
      <c r="B908" t="s">
        <v>2134</v>
      </c>
      <c r="C908" t="s">
        <v>885</v>
      </c>
      <c r="D908" s="4">
        <v>166100</v>
      </c>
      <c r="E908" s="4">
        <v>166100</v>
      </c>
      <c r="F908" s="4">
        <v>332200</v>
      </c>
      <c r="H908" s="3">
        <f t="shared" si="13"/>
        <v>0</v>
      </c>
    </row>
    <row r="909" spans="1:8">
      <c r="A909" t="s">
        <v>2209</v>
      </c>
      <c r="B909" t="s">
        <v>2210</v>
      </c>
      <c r="C909" t="s">
        <v>1071</v>
      </c>
      <c r="D909" s="4">
        <v>80900</v>
      </c>
      <c r="E909" s="4"/>
      <c r="F909" s="4">
        <v>80900</v>
      </c>
      <c r="H909" s="3">
        <f t="shared" si="13"/>
        <v>80900</v>
      </c>
    </row>
    <row r="910" spans="1:8">
      <c r="A910" t="s">
        <v>2209</v>
      </c>
      <c r="B910" t="s">
        <v>3062</v>
      </c>
      <c r="C910" t="s">
        <v>1071</v>
      </c>
      <c r="D910" s="4"/>
      <c r="E910" s="4">
        <v>80900</v>
      </c>
      <c r="F910" s="4">
        <v>80900</v>
      </c>
      <c r="H910" s="3">
        <f t="shared" si="13"/>
        <v>-80900</v>
      </c>
    </row>
    <row r="911" spans="1:8">
      <c r="A911" t="s">
        <v>2235</v>
      </c>
      <c r="B911" t="s">
        <v>2236</v>
      </c>
      <c r="C911" t="s">
        <v>1010</v>
      </c>
      <c r="D911" s="4">
        <v>22400</v>
      </c>
      <c r="E911" s="4">
        <v>22400</v>
      </c>
      <c r="F911" s="4">
        <v>44800</v>
      </c>
      <c r="H911" s="3">
        <f t="shared" si="13"/>
        <v>0</v>
      </c>
    </row>
    <row r="912" spans="1:8">
      <c r="A912" t="s">
        <v>2244</v>
      </c>
      <c r="B912" t="s">
        <v>2245</v>
      </c>
      <c r="C912" t="s">
        <v>870</v>
      </c>
      <c r="D912" s="4">
        <v>81000</v>
      </c>
      <c r="E912" s="4"/>
      <c r="F912" s="4">
        <v>81000</v>
      </c>
      <c r="H912" s="3">
        <f t="shared" si="13"/>
        <v>81000</v>
      </c>
    </row>
    <row r="913" spans="1:8">
      <c r="A913" t="s">
        <v>2244</v>
      </c>
      <c r="B913" t="s">
        <v>3063</v>
      </c>
      <c r="C913" t="s">
        <v>870</v>
      </c>
      <c r="D913" s="4"/>
      <c r="E913" s="4">
        <v>81000</v>
      </c>
      <c r="F913" s="4">
        <v>81000</v>
      </c>
      <c r="H913" s="3">
        <f t="shared" si="13"/>
        <v>-81000</v>
      </c>
    </row>
    <row r="914" spans="1:8">
      <c r="A914" t="s">
        <v>2248</v>
      </c>
      <c r="B914" t="s">
        <v>2249</v>
      </c>
      <c r="C914" t="s">
        <v>1071</v>
      </c>
      <c r="D914" s="4">
        <v>82500</v>
      </c>
      <c r="E914" s="4">
        <v>82500</v>
      </c>
      <c r="F914" s="4">
        <v>165000</v>
      </c>
      <c r="H914" s="3">
        <f t="shared" si="13"/>
        <v>0</v>
      </c>
    </row>
    <row r="915" spans="1:8">
      <c r="A915" t="s">
        <v>2252</v>
      </c>
      <c r="B915" t="s">
        <v>2253</v>
      </c>
      <c r="C915" t="s">
        <v>1071</v>
      </c>
      <c r="D915" s="4">
        <v>82500</v>
      </c>
      <c r="E915" s="4">
        <v>82500</v>
      </c>
      <c r="F915" s="4">
        <v>165000</v>
      </c>
      <c r="H915" s="3">
        <f t="shared" si="13"/>
        <v>0</v>
      </c>
    </row>
    <row r="916" spans="1:8">
      <c r="A916" t="s">
        <v>2256</v>
      </c>
      <c r="B916" t="s">
        <v>2257</v>
      </c>
      <c r="C916" t="s">
        <v>1010</v>
      </c>
      <c r="D916" s="4">
        <v>78900</v>
      </c>
      <c r="E916" s="4">
        <v>78900</v>
      </c>
      <c r="F916" s="4">
        <v>157800</v>
      </c>
      <c r="H916" s="3">
        <f t="shared" si="13"/>
        <v>0</v>
      </c>
    </row>
    <row r="917" spans="1:8">
      <c r="A917" t="s">
        <v>2261</v>
      </c>
      <c r="B917" t="s">
        <v>2262</v>
      </c>
      <c r="C917" t="s">
        <v>1010</v>
      </c>
      <c r="D917" s="4">
        <v>81300</v>
      </c>
      <c r="E917" s="4">
        <v>81300</v>
      </c>
      <c r="F917" s="4">
        <v>162600</v>
      </c>
      <c r="H917" s="3">
        <f t="shared" si="13"/>
        <v>0</v>
      </c>
    </row>
    <row r="918" spans="1:8">
      <c r="A918" t="s">
        <v>2282</v>
      </c>
      <c r="B918" t="s">
        <v>2283</v>
      </c>
      <c r="C918" t="s">
        <v>748</v>
      </c>
      <c r="D918" s="4">
        <v>81300</v>
      </c>
      <c r="E918" s="4">
        <v>81300</v>
      </c>
      <c r="F918" s="4">
        <v>162600</v>
      </c>
      <c r="H918" s="3">
        <f t="shared" si="13"/>
        <v>0</v>
      </c>
    </row>
    <row r="919" spans="1:8">
      <c r="A919" t="s">
        <v>2362</v>
      </c>
      <c r="B919" t="s">
        <v>2363</v>
      </c>
      <c r="C919" t="s">
        <v>748</v>
      </c>
      <c r="D919" s="4">
        <v>81400</v>
      </c>
      <c r="E919" s="4">
        <v>81400</v>
      </c>
      <c r="F919" s="4">
        <v>162800</v>
      </c>
      <c r="H919" s="3">
        <f t="shared" si="13"/>
        <v>0</v>
      </c>
    </row>
    <row r="920" spans="1:8">
      <c r="A920" t="s">
        <v>2411</v>
      </c>
      <c r="B920" t="s">
        <v>2412</v>
      </c>
      <c r="C920" t="s">
        <v>885</v>
      </c>
      <c r="D920" s="4">
        <v>110600</v>
      </c>
      <c r="E920" s="4">
        <v>110600</v>
      </c>
      <c r="F920" s="4">
        <v>221200</v>
      </c>
      <c r="H920" s="3">
        <f t="shared" si="13"/>
        <v>0</v>
      </c>
    </row>
    <row r="921" spans="1:8">
      <c r="A921" t="s">
        <v>2418</v>
      </c>
      <c r="B921" t="s">
        <v>2419</v>
      </c>
      <c r="C921" t="s">
        <v>1010</v>
      </c>
      <c r="D921" s="4">
        <v>255000</v>
      </c>
      <c r="E921" s="4">
        <v>255000</v>
      </c>
      <c r="F921" s="4">
        <v>510000</v>
      </c>
      <c r="H921" s="3">
        <f t="shared" si="13"/>
        <v>0</v>
      </c>
    </row>
    <row r="922" spans="1:8">
      <c r="A922" t="s">
        <v>2425</v>
      </c>
      <c r="B922" t="s">
        <v>2426</v>
      </c>
      <c r="C922" t="s">
        <v>1010</v>
      </c>
      <c r="D922" s="4">
        <v>209000</v>
      </c>
      <c r="E922" s="4">
        <v>209000</v>
      </c>
      <c r="F922" s="4">
        <v>418000</v>
      </c>
      <c r="H922" s="3">
        <f t="shared" si="13"/>
        <v>0</v>
      </c>
    </row>
    <row r="923" spans="1:8">
      <c r="A923" t="s">
        <v>2504</v>
      </c>
      <c r="B923" t="s">
        <v>2505</v>
      </c>
      <c r="C923" t="s">
        <v>1010</v>
      </c>
      <c r="D923" s="4">
        <v>119000</v>
      </c>
      <c r="E923" s="4">
        <v>119000</v>
      </c>
      <c r="F923" s="4">
        <v>238000</v>
      </c>
      <c r="H923" s="3">
        <f t="shared" ref="H923:H986" si="14">+D923-E923</f>
        <v>0</v>
      </c>
    </row>
    <row r="924" spans="1:8">
      <c r="A924" t="s">
        <v>2524</v>
      </c>
      <c r="B924" t="s">
        <v>2525</v>
      </c>
      <c r="C924" t="s">
        <v>1071</v>
      </c>
      <c r="D924" s="4">
        <v>89600</v>
      </c>
      <c r="E924" s="4">
        <v>89600</v>
      </c>
      <c r="F924" s="4">
        <v>179200</v>
      </c>
      <c r="H924" s="3">
        <f t="shared" si="14"/>
        <v>0</v>
      </c>
    </row>
    <row r="925" spans="1:8">
      <c r="A925" t="s">
        <v>2656</v>
      </c>
      <c r="B925" t="s">
        <v>2657</v>
      </c>
      <c r="C925" t="s">
        <v>1071</v>
      </c>
      <c r="D925" s="4">
        <v>227100</v>
      </c>
      <c r="E925" s="4">
        <v>227100</v>
      </c>
      <c r="F925" s="4">
        <v>454200</v>
      </c>
      <c r="H925" s="3">
        <f t="shared" si="14"/>
        <v>0</v>
      </c>
    </row>
    <row r="926" spans="1:8">
      <c r="A926" t="s">
        <v>2726</v>
      </c>
      <c r="B926" t="s">
        <v>2727</v>
      </c>
      <c r="C926" t="s">
        <v>635</v>
      </c>
      <c r="D926" s="4">
        <v>108500</v>
      </c>
      <c r="E926" s="4">
        <v>108500</v>
      </c>
      <c r="F926" s="4">
        <v>217000</v>
      </c>
      <c r="H926" s="3">
        <f t="shared" si="14"/>
        <v>0</v>
      </c>
    </row>
    <row r="927" spans="1:8">
      <c r="A927" t="s">
        <v>2755</v>
      </c>
      <c r="B927" t="s">
        <v>2756</v>
      </c>
      <c r="C927" t="s">
        <v>1010</v>
      </c>
      <c r="D927" s="4">
        <v>101900</v>
      </c>
      <c r="E927" s="4">
        <v>101900</v>
      </c>
      <c r="F927" s="4">
        <v>203800</v>
      </c>
      <c r="H927" s="3">
        <f t="shared" si="14"/>
        <v>0</v>
      </c>
    </row>
    <row r="928" spans="1:8">
      <c r="A928" t="s">
        <v>2760</v>
      </c>
      <c r="B928" t="s">
        <v>2761</v>
      </c>
      <c r="C928" t="s">
        <v>1491</v>
      </c>
      <c r="D928" s="4">
        <v>97400</v>
      </c>
      <c r="E928" s="4">
        <v>97400</v>
      </c>
      <c r="F928" s="4">
        <v>194800</v>
      </c>
      <c r="H928" s="3">
        <f t="shared" si="14"/>
        <v>0</v>
      </c>
    </row>
    <row r="929" spans="1:8">
      <c r="A929" t="s">
        <v>2769</v>
      </c>
      <c r="B929" t="s">
        <v>2770</v>
      </c>
      <c r="C929" t="s">
        <v>1010</v>
      </c>
      <c r="D929" s="4">
        <v>101800</v>
      </c>
      <c r="E929" s="4">
        <v>101800</v>
      </c>
      <c r="F929" s="4">
        <v>203600</v>
      </c>
      <c r="H929" s="3">
        <f t="shared" si="14"/>
        <v>0</v>
      </c>
    </row>
    <row r="930" spans="1:8">
      <c r="A930" t="s">
        <v>2785</v>
      </c>
      <c r="B930" t="s">
        <v>2786</v>
      </c>
      <c r="C930" t="s">
        <v>1071</v>
      </c>
      <c r="D930" s="4">
        <v>123100</v>
      </c>
      <c r="E930" s="4">
        <v>123100</v>
      </c>
      <c r="F930" s="4">
        <v>246200</v>
      </c>
      <c r="H930" s="3">
        <f t="shared" si="14"/>
        <v>0</v>
      </c>
    </row>
    <row r="931" spans="1:8">
      <c r="A931" t="s">
        <v>2810</v>
      </c>
      <c r="B931" t="s">
        <v>2811</v>
      </c>
      <c r="C931" t="s">
        <v>1064</v>
      </c>
      <c r="D931" s="4">
        <v>287600</v>
      </c>
      <c r="E931" s="4">
        <v>287600</v>
      </c>
      <c r="F931" s="4">
        <v>575200</v>
      </c>
      <c r="H931" s="3">
        <f t="shared" si="14"/>
        <v>0</v>
      </c>
    </row>
    <row r="932" spans="1:8">
      <c r="A932" t="s">
        <v>2845</v>
      </c>
      <c r="B932" t="s">
        <v>2846</v>
      </c>
      <c r="C932" t="s">
        <v>1064</v>
      </c>
      <c r="D932" s="4">
        <v>30500</v>
      </c>
      <c r="E932" s="4">
        <v>30500</v>
      </c>
      <c r="F932" s="4">
        <v>61000</v>
      </c>
      <c r="H932" s="3">
        <f t="shared" si="14"/>
        <v>0</v>
      </c>
    </row>
    <row r="933" spans="1:8">
      <c r="A933" t="s">
        <v>2853</v>
      </c>
      <c r="B933" t="s">
        <v>2854</v>
      </c>
      <c r="C933" t="s">
        <v>885</v>
      </c>
      <c r="D933" s="4">
        <v>146400</v>
      </c>
      <c r="E933" s="4">
        <v>146400</v>
      </c>
      <c r="F933" s="4">
        <v>292800</v>
      </c>
      <c r="H933" s="3">
        <f t="shared" si="14"/>
        <v>0</v>
      </c>
    </row>
    <row r="934" spans="1:8">
      <c r="A934" t="s">
        <v>2872</v>
      </c>
      <c r="B934" t="s">
        <v>2873</v>
      </c>
      <c r="C934" t="s">
        <v>885</v>
      </c>
      <c r="D934" s="4">
        <v>104700</v>
      </c>
      <c r="E934" s="4">
        <v>104700</v>
      </c>
      <c r="F934" s="4">
        <v>209400</v>
      </c>
      <c r="H934" s="3">
        <f t="shared" si="14"/>
        <v>0</v>
      </c>
    </row>
    <row r="935" spans="1:8">
      <c r="A935" t="s">
        <v>2896</v>
      </c>
      <c r="B935" t="s">
        <v>2897</v>
      </c>
      <c r="C935" t="s">
        <v>1064</v>
      </c>
      <c r="D935" s="4">
        <v>137200</v>
      </c>
      <c r="E935" s="4">
        <v>137200</v>
      </c>
      <c r="F935" s="4">
        <v>274400</v>
      </c>
      <c r="H935" s="3">
        <f t="shared" si="14"/>
        <v>0</v>
      </c>
    </row>
    <row r="936" spans="1:8">
      <c r="A936" t="s">
        <v>2928</v>
      </c>
      <c r="B936" t="s">
        <v>2929</v>
      </c>
      <c r="C936" t="s">
        <v>1010</v>
      </c>
      <c r="D936" s="4">
        <v>23200</v>
      </c>
      <c r="E936" s="4">
        <v>23200</v>
      </c>
      <c r="F936" s="4">
        <v>46400</v>
      </c>
      <c r="H936" s="3">
        <f t="shared" si="14"/>
        <v>0</v>
      </c>
    </row>
    <row r="937" spans="1:8">
      <c r="A937" t="s">
        <v>2938</v>
      </c>
      <c r="B937" t="s">
        <v>2939</v>
      </c>
      <c r="C937" t="s">
        <v>1000</v>
      </c>
      <c r="D937" s="4">
        <v>102400</v>
      </c>
      <c r="E937" s="4">
        <v>102400</v>
      </c>
      <c r="F937" s="4">
        <v>204800</v>
      </c>
      <c r="H937" s="3">
        <f t="shared" si="14"/>
        <v>0</v>
      </c>
    </row>
    <row r="938" spans="1:8">
      <c r="A938" t="s">
        <v>2943</v>
      </c>
      <c r="B938" t="s">
        <v>2944</v>
      </c>
      <c r="C938" t="s">
        <v>1064</v>
      </c>
      <c r="D938" s="4">
        <v>26200</v>
      </c>
      <c r="E938" s="4">
        <v>26200</v>
      </c>
      <c r="F938" s="4">
        <v>52400</v>
      </c>
      <c r="H938" s="3">
        <f t="shared" si="14"/>
        <v>0</v>
      </c>
    </row>
    <row r="939" spans="1:8">
      <c r="A939" t="s">
        <v>1443</v>
      </c>
      <c r="B939" t="s">
        <v>1444</v>
      </c>
      <c r="C939" t="s">
        <v>187</v>
      </c>
      <c r="D939" s="4">
        <v>9400</v>
      </c>
      <c r="E939" s="4">
        <v>9400</v>
      </c>
      <c r="F939" s="4">
        <v>18800</v>
      </c>
      <c r="H939" s="3">
        <f t="shared" si="14"/>
        <v>0</v>
      </c>
    </row>
    <row r="940" spans="1:8">
      <c r="A940" t="s">
        <v>1469</v>
      </c>
      <c r="B940" t="s">
        <v>1470</v>
      </c>
      <c r="C940" t="s">
        <v>1010</v>
      </c>
      <c r="D940" s="4">
        <v>93400</v>
      </c>
      <c r="E940" s="4">
        <v>93400</v>
      </c>
      <c r="F940" s="4">
        <v>186800</v>
      </c>
      <c r="H940" s="3">
        <f t="shared" si="14"/>
        <v>0</v>
      </c>
    </row>
    <row r="941" spans="1:8">
      <c r="A941" t="s">
        <v>1480</v>
      </c>
      <c r="B941" t="s">
        <v>1481</v>
      </c>
      <c r="C941" t="s">
        <v>902</v>
      </c>
      <c r="D941" s="4">
        <v>7200</v>
      </c>
      <c r="E941" s="4">
        <v>7200</v>
      </c>
      <c r="F941" s="4">
        <v>14400</v>
      </c>
      <c r="H941" s="3">
        <f t="shared" si="14"/>
        <v>0</v>
      </c>
    </row>
    <row r="942" spans="1:8">
      <c r="A942" t="s">
        <v>1573</v>
      </c>
      <c r="B942" t="s">
        <v>1574</v>
      </c>
      <c r="C942" t="s">
        <v>635</v>
      </c>
      <c r="D942" s="4">
        <v>37000</v>
      </c>
      <c r="E942" s="4">
        <v>37000</v>
      </c>
      <c r="F942" s="4">
        <v>74000</v>
      </c>
      <c r="H942" s="3">
        <f t="shared" si="14"/>
        <v>0</v>
      </c>
    </row>
    <row r="943" spans="1:8">
      <c r="A943" t="s">
        <v>1576</v>
      </c>
      <c r="B943" t="s">
        <v>1577</v>
      </c>
      <c r="C943" t="s">
        <v>1010</v>
      </c>
      <c r="D943" s="4">
        <v>31800</v>
      </c>
      <c r="E943" s="4">
        <v>31800</v>
      </c>
      <c r="F943" s="4">
        <v>63600</v>
      </c>
      <c r="H943" s="3">
        <f t="shared" si="14"/>
        <v>0</v>
      </c>
    </row>
    <row r="944" spans="1:8">
      <c r="A944" t="s">
        <v>1626</v>
      </c>
      <c r="B944" t="s">
        <v>1627</v>
      </c>
      <c r="C944" t="s">
        <v>1010</v>
      </c>
      <c r="D944" s="4">
        <v>11900</v>
      </c>
      <c r="E944" s="4">
        <v>11900</v>
      </c>
      <c r="F944" s="4">
        <v>23800</v>
      </c>
      <c r="H944" s="3">
        <f t="shared" si="14"/>
        <v>0</v>
      </c>
    </row>
    <row r="945" spans="1:8">
      <c r="A945" t="s">
        <v>1695</v>
      </c>
      <c r="B945" t="s">
        <v>1696</v>
      </c>
      <c r="C945" t="s">
        <v>1071</v>
      </c>
      <c r="D945" s="4">
        <v>39600</v>
      </c>
      <c r="E945" s="4">
        <v>39600</v>
      </c>
      <c r="F945" s="4">
        <v>79200</v>
      </c>
      <c r="H945" s="3">
        <f t="shared" si="14"/>
        <v>0</v>
      </c>
    </row>
    <row r="946" spans="1:8">
      <c r="A946" t="s">
        <v>1707</v>
      </c>
      <c r="B946" t="s">
        <v>1708</v>
      </c>
      <c r="C946" t="s">
        <v>870</v>
      </c>
      <c r="D946" s="4">
        <v>70700</v>
      </c>
      <c r="E946" s="4">
        <v>70700</v>
      </c>
      <c r="F946" s="4">
        <v>141400</v>
      </c>
      <c r="H946" s="3">
        <f t="shared" si="14"/>
        <v>0</v>
      </c>
    </row>
    <row r="947" spans="1:8">
      <c r="A947" t="s">
        <v>1710</v>
      </c>
      <c r="B947" t="s">
        <v>1711</v>
      </c>
      <c r="C947" t="s">
        <v>635</v>
      </c>
      <c r="D947" s="4">
        <v>144200</v>
      </c>
      <c r="E947" s="4">
        <v>144200</v>
      </c>
      <c r="F947" s="4">
        <v>288400</v>
      </c>
      <c r="H947" s="3">
        <f t="shared" si="14"/>
        <v>0</v>
      </c>
    </row>
    <row r="948" spans="1:8">
      <c r="A948" t="s">
        <v>1735</v>
      </c>
      <c r="B948" t="s">
        <v>1736</v>
      </c>
      <c r="C948" t="s">
        <v>1071</v>
      </c>
      <c r="D948" s="4">
        <v>11700</v>
      </c>
      <c r="E948" s="4"/>
      <c r="F948" s="4">
        <v>11700</v>
      </c>
      <c r="H948" s="3">
        <f t="shared" si="14"/>
        <v>11700</v>
      </c>
    </row>
    <row r="949" spans="1:8">
      <c r="A949" t="s">
        <v>1735</v>
      </c>
      <c r="B949" t="s">
        <v>3048</v>
      </c>
      <c r="C949" t="s">
        <v>1071</v>
      </c>
      <c r="D949" s="4"/>
      <c r="E949" s="4">
        <v>14900</v>
      </c>
      <c r="F949" s="4">
        <v>14900</v>
      </c>
      <c r="H949" s="3">
        <f t="shared" si="14"/>
        <v>-14900</v>
      </c>
    </row>
    <row r="950" spans="1:8">
      <c r="A950" t="s">
        <v>1739</v>
      </c>
      <c r="B950" t="s">
        <v>1740</v>
      </c>
      <c r="C950" t="s">
        <v>885</v>
      </c>
      <c r="D950" s="4">
        <v>113600</v>
      </c>
      <c r="E950" s="4">
        <v>113600</v>
      </c>
      <c r="F950" s="4">
        <v>227200</v>
      </c>
      <c r="H950" s="3">
        <f t="shared" si="14"/>
        <v>0</v>
      </c>
    </row>
    <row r="951" spans="1:8">
      <c r="A951" t="s">
        <v>1754</v>
      </c>
      <c r="B951" t="s">
        <v>1755</v>
      </c>
      <c r="C951" t="s">
        <v>1010</v>
      </c>
      <c r="D951" s="4">
        <v>61900</v>
      </c>
      <c r="E951" s="4">
        <v>61900</v>
      </c>
      <c r="F951" s="4">
        <v>123800</v>
      </c>
      <c r="H951" s="3">
        <f t="shared" si="14"/>
        <v>0</v>
      </c>
    </row>
    <row r="952" spans="1:8">
      <c r="A952" t="s">
        <v>1799</v>
      </c>
      <c r="B952" t="s">
        <v>1800</v>
      </c>
      <c r="C952" t="s">
        <v>1064</v>
      </c>
      <c r="D952" s="4">
        <v>10500</v>
      </c>
      <c r="E952" s="4">
        <v>10500</v>
      </c>
      <c r="F952" s="4">
        <v>21000</v>
      </c>
      <c r="H952" s="3">
        <f t="shared" si="14"/>
        <v>0</v>
      </c>
    </row>
    <row r="953" spans="1:8">
      <c r="A953" t="s">
        <v>1807</v>
      </c>
      <c r="B953" t="s">
        <v>1808</v>
      </c>
      <c r="C953" t="s">
        <v>1010</v>
      </c>
      <c r="D953" s="4">
        <v>94600</v>
      </c>
      <c r="E953" s="4">
        <v>94600</v>
      </c>
      <c r="F953" s="4">
        <v>189200</v>
      </c>
      <c r="H953" s="3">
        <f t="shared" si="14"/>
        <v>0</v>
      </c>
    </row>
    <row r="954" spans="1:8">
      <c r="A954" t="s">
        <v>1828</v>
      </c>
      <c r="B954" t="s">
        <v>1829</v>
      </c>
      <c r="C954" t="s">
        <v>1071</v>
      </c>
      <c r="D954" s="4">
        <v>33000</v>
      </c>
      <c r="E954" s="4">
        <v>33000</v>
      </c>
      <c r="F954" s="4">
        <v>66000</v>
      </c>
      <c r="H954" s="3">
        <f t="shared" si="14"/>
        <v>0</v>
      </c>
    </row>
    <row r="955" spans="1:8">
      <c r="A955" t="s">
        <v>1835</v>
      </c>
      <c r="B955" t="s">
        <v>1836</v>
      </c>
      <c r="C955" t="s">
        <v>1010</v>
      </c>
      <c r="D955" s="4">
        <v>86100</v>
      </c>
      <c r="E955" s="4">
        <v>86100</v>
      </c>
      <c r="F955" s="4">
        <v>172200</v>
      </c>
      <c r="H955" s="3">
        <f t="shared" si="14"/>
        <v>0</v>
      </c>
    </row>
    <row r="956" spans="1:8">
      <c r="A956" t="s">
        <v>1838</v>
      </c>
      <c r="B956" t="s">
        <v>1839</v>
      </c>
      <c r="C956" t="s">
        <v>1010</v>
      </c>
      <c r="D956" s="4">
        <v>84800</v>
      </c>
      <c r="E956" s="4">
        <v>84800</v>
      </c>
      <c r="F956" s="4">
        <v>169600</v>
      </c>
      <c r="H956" s="3">
        <f t="shared" si="14"/>
        <v>0</v>
      </c>
    </row>
    <row r="957" spans="1:8">
      <c r="A957" t="s">
        <v>1894</v>
      </c>
      <c r="B957" t="s">
        <v>1895</v>
      </c>
      <c r="C957" t="s">
        <v>885</v>
      </c>
      <c r="D957" s="4">
        <v>103300</v>
      </c>
      <c r="E957" s="4">
        <v>103300</v>
      </c>
      <c r="F957" s="4">
        <v>206600</v>
      </c>
      <c r="H957" s="3">
        <f t="shared" si="14"/>
        <v>0</v>
      </c>
    </row>
    <row r="958" spans="1:8">
      <c r="A958" t="s">
        <v>1917</v>
      </c>
      <c r="B958" t="s">
        <v>1918</v>
      </c>
      <c r="C958" t="s">
        <v>1064</v>
      </c>
      <c r="D958" s="4">
        <v>116500</v>
      </c>
      <c r="E958" s="4">
        <v>116500</v>
      </c>
      <c r="F958" s="4">
        <v>233000</v>
      </c>
      <c r="H958" s="3">
        <f t="shared" si="14"/>
        <v>0</v>
      </c>
    </row>
    <row r="959" spans="1:8">
      <c r="A959" t="s">
        <v>1944</v>
      </c>
      <c r="B959" t="s">
        <v>1945</v>
      </c>
      <c r="C959" t="s">
        <v>1010</v>
      </c>
      <c r="D959" s="4">
        <v>84800</v>
      </c>
      <c r="E959" s="4">
        <v>84800</v>
      </c>
      <c r="F959" s="4">
        <v>169600</v>
      </c>
      <c r="H959" s="3">
        <f t="shared" si="14"/>
        <v>0</v>
      </c>
    </row>
    <row r="960" spans="1:8">
      <c r="A960" t="s">
        <v>1950</v>
      </c>
      <c r="B960" t="s">
        <v>1951</v>
      </c>
      <c r="C960" t="s">
        <v>1010</v>
      </c>
      <c r="D960" s="4">
        <v>39600</v>
      </c>
      <c r="E960" s="4">
        <v>39600</v>
      </c>
      <c r="F960" s="4">
        <v>79200</v>
      </c>
      <c r="H960" s="3">
        <f t="shared" si="14"/>
        <v>0</v>
      </c>
    </row>
    <row r="961" spans="1:8">
      <c r="A961" t="s">
        <v>1982</v>
      </c>
      <c r="B961" t="s">
        <v>1983</v>
      </c>
      <c r="C961" t="s">
        <v>1064</v>
      </c>
      <c r="D961" s="4">
        <v>124300</v>
      </c>
      <c r="E961" s="4">
        <v>124300</v>
      </c>
      <c r="F961" s="4">
        <v>248600</v>
      </c>
      <c r="H961" s="3">
        <f t="shared" si="14"/>
        <v>0</v>
      </c>
    </row>
    <row r="962" spans="1:8">
      <c r="A962" t="s">
        <v>1989</v>
      </c>
      <c r="B962" t="s">
        <v>1990</v>
      </c>
      <c r="C962" t="s">
        <v>1010</v>
      </c>
      <c r="D962" s="4">
        <v>94700</v>
      </c>
      <c r="E962" s="4">
        <v>94700</v>
      </c>
      <c r="F962" s="4">
        <v>189400</v>
      </c>
      <c r="H962" s="3">
        <f t="shared" si="14"/>
        <v>0</v>
      </c>
    </row>
    <row r="963" spans="1:8">
      <c r="A963" t="s">
        <v>1992</v>
      </c>
      <c r="B963" t="s">
        <v>1993</v>
      </c>
      <c r="C963" t="s">
        <v>1010</v>
      </c>
      <c r="D963" s="4">
        <v>9600</v>
      </c>
      <c r="E963" s="4">
        <v>9600</v>
      </c>
      <c r="F963" s="4">
        <v>19200</v>
      </c>
      <c r="H963" s="3">
        <f t="shared" si="14"/>
        <v>0</v>
      </c>
    </row>
    <row r="964" spans="1:8">
      <c r="A964" t="s">
        <v>1997</v>
      </c>
      <c r="B964" t="s">
        <v>1998</v>
      </c>
      <c r="C964" t="s">
        <v>635</v>
      </c>
      <c r="D964" s="4">
        <v>75600</v>
      </c>
      <c r="E964" s="4">
        <v>75600</v>
      </c>
      <c r="F964" s="4">
        <v>151200</v>
      </c>
      <c r="H964" s="3">
        <f t="shared" si="14"/>
        <v>0</v>
      </c>
    </row>
    <row r="965" spans="1:8">
      <c r="A965" t="s">
        <v>2032</v>
      </c>
      <c r="B965" t="s">
        <v>2033</v>
      </c>
      <c r="C965" t="s">
        <v>1071</v>
      </c>
      <c r="D965" s="4">
        <v>89200</v>
      </c>
      <c r="E965" s="4">
        <v>89200</v>
      </c>
      <c r="F965" s="4">
        <v>178400</v>
      </c>
      <c r="H965" s="3">
        <f t="shared" si="14"/>
        <v>0</v>
      </c>
    </row>
    <row r="966" spans="1:8">
      <c r="A966" t="s">
        <v>2038</v>
      </c>
      <c r="B966" t="s">
        <v>2039</v>
      </c>
      <c r="C966" t="s">
        <v>793</v>
      </c>
      <c r="D966" s="4">
        <v>78500</v>
      </c>
      <c r="E966" s="4">
        <v>78500</v>
      </c>
      <c r="F966" s="4">
        <v>157000</v>
      </c>
      <c r="H966" s="3">
        <f t="shared" si="14"/>
        <v>0</v>
      </c>
    </row>
    <row r="967" spans="1:8">
      <c r="A967" t="s">
        <v>2059</v>
      </c>
      <c r="B967" t="s">
        <v>2060</v>
      </c>
      <c r="C967" t="s">
        <v>1071</v>
      </c>
      <c r="D967" s="4">
        <v>103000</v>
      </c>
      <c r="E967" s="4"/>
      <c r="F967" s="4">
        <v>103000</v>
      </c>
      <c r="H967" s="3">
        <f t="shared" si="14"/>
        <v>103000</v>
      </c>
    </row>
    <row r="968" spans="1:8">
      <c r="A968" t="s">
        <v>2059</v>
      </c>
      <c r="B968" t="s">
        <v>3056</v>
      </c>
      <c r="C968" t="s">
        <v>1071</v>
      </c>
      <c r="D968" s="4"/>
      <c r="E968" s="4">
        <v>103000</v>
      </c>
      <c r="F968" s="4">
        <v>103000</v>
      </c>
      <c r="H968" s="3">
        <f t="shared" si="14"/>
        <v>-103000</v>
      </c>
    </row>
    <row r="969" spans="1:8">
      <c r="A969" t="s">
        <v>2078</v>
      </c>
      <c r="B969" t="s">
        <v>2079</v>
      </c>
      <c r="C969" t="s">
        <v>726</v>
      </c>
      <c r="D969" s="4">
        <v>28200</v>
      </c>
      <c r="E969" s="4">
        <v>28200</v>
      </c>
      <c r="F969" s="4">
        <v>56400</v>
      </c>
      <c r="H969" s="3">
        <f t="shared" si="14"/>
        <v>0</v>
      </c>
    </row>
    <row r="970" spans="1:8">
      <c r="A970" t="s">
        <v>2088</v>
      </c>
      <c r="B970" t="s">
        <v>2089</v>
      </c>
      <c r="C970" t="s">
        <v>1010</v>
      </c>
      <c r="D970" s="4">
        <v>138100</v>
      </c>
      <c r="E970" s="4">
        <v>138100</v>
      </c>
      <c r="F970" s="4">
        <v>276200</v>
      </c>
      <c r="H970" s="3">
        <f t="shared" si="14"/>
        <v>0</v>
      </c>
    </row>
    <row r="971" spans="1:8">
      <c r="A971" t="s">
        <v>2119</v>
      </c>
      <c r="B971" t="s">
        <v>2120</v>
      </c>
      <c r="C971" t="s">
        <v>870</v>
      </c>
      <c r="D971" s="4">
        <v>86300</v>
      </c>
      <c r="E971" s="4">
        <v>86300</v>
      </c>
      <c r="F971" s="4">
        <v>172600</v>
      </c>
      <c r="H971" s="3">
        <f t="shared" si="14"/>
        <v>0</v>
      </c>
    </row>
    <row r="972" spans="1:8">
      <c r="A972" t="s">
        <v>2177</v>
      </c>
      <c r="B972" t="s">
        <v>2178</v>
      </c>
      <c r="C972" t="s">
        <v>726</v>
      </c>
      <c r="D972" s="4">
        <v>76000</v>
      </c>
      <c r="E972" s="4">
        <v>76000</v>
      </c>
      <c r="F972" s="4">
        <v>152000</v>
      </c>
      <c r="H972" s="3">
        <f t="shared" si="14"/>
        <v>0</v>
      </c>
    </row>
    <row r="973" spans="1:8">
      <c r="A973" t="s">
        <v>2220</v>
      </c>
      <c r="B973" t="s">
        <v>2221</v>
      </c>
      <c r="C973" t="s">
        <v>748</v>
      </c>
      <c r="D973" s="4">
        <v>55400</v>
      </c>
      <c r="E973" s="4">
        <v>55400</v>
      </c>
      <c r="F973" s="4">
        <v>110800</v>
      </c>
      <c r="H973" s="3">
        <f t="shared" si="14"/>
        <v>0</v>
      </c>
    </row>
    <row r="974" spans="1:8">
      <c r="A974" t="s">
        <v>2240</v>
      </c>
      <c r="B974" t="s">
        <v>2241</v>
      </c>
      <c r="C974" t="s">
        <v>1071</v>
      </c>
      <c r="D974" s="4">
        <v>52700</v>
      </c>
      <c r="E974" s="4">
        <v>52700</v>
      </c>
      <c r="F974" s="4">
        <v>105400</v>
      </c>
      <c r="H974" s="3">
        <f t="shared" si="14"/>
        <v>0</v>
      </c>
    </row>
    <row r="975" spans="1:8">
      <c r="A975" t="s">
        <v>2311</v>
      </c>
      <c r="B975" t="s">
        <v>2312</v>
      </c>
      <c r="C975" t="s">
        <v>1064</v>
      </c>
      <c r="D975" s="4">
        <v>22800</v>
      </c>
      <c r="E975" s="4">
        <v>22800</v>
      </c>
      <c r="F975" s="4">
        <v>45600</v>
      </c>
      <c r="H975" s="3">
        <f t="shared" si="14"/>
        <v>0</v>
      </c>
    </row>
    <row r="976" spans="1:8">
      <c r="A976" t="s">
        <v>2342</v>
      </c>
      <c r="B976" t="s">
        <v>2343</v>
      </c>
      <c r="C976" t="s">
        <v>1064</v>
      </c>
      <c r="D976" s="4">
        <v>9600</v>
      </c>
      <c r="E976" s="4">
        <v>9600</v>
      </c>
      <c r="F976" s="4">
        <v>19200</v>
      </c>
      <c r="H976" s="3">
        <f t="shared" si="14"/>
        <v>0</v>
      </c>
    </row>
    <row r="977" spans="1:8">
      <c r="A977" t="s">
        <v>2381</v>
      </c>
      <c r="B977" t="s">
        <v>2382</v>
      </c>
      <c r="C977" t="s">
        <v>1064</v>
      </c>
      <c r="D977" s="4">
        <v>89300</v>
      </c>
      <c r="E977" s="4">
        <v>89300</v>
      </c>
      <c r="F977" s="4">
        <v>178600</v>
      </c>
      <c r="H977" s="3">
        <f t="shared" si="14"/>
        <v>0</v>
      </c>
    </row>
    <row r="978" spans="1:8">
      <c r="A978" t="s">
        <v>2446</v>
      </c>
      <c r="B978" t="s">
        <v>2447</v>
      </c>
      <c r="C978" t="s">
        <v>1071</v>
      </c>
      <c r="D978" s="4">
        <v>19600</v>
      </c>
      <c r="E978" s="4">
        <v>19600</v>
      </c>
      <c r="F978" s="4">
        <v>39200</v>
      </c>
      <c r="H978" s="3">
        <f t="shared" si="14"/>
        <v>0</v>
      </c>
    </row>
    <row r="979" spans="1:8">
      <c r="A979" t="s">
        <v>2496</v>
      </c>
      <c r="B979" t="s">
        <v>2497</v>
      </c>
      <c r="C979" t="s">
        <v>1010</v>
      </c>
      <c r="D979" s="4">
        <v>86300</v>
      </c>
      <c r="E979" s="4">
        <v>86300</v>
      </c>
      <c r="F979" s="4">
        <v>172600</v>
      </c>
      <c r="H979" s="3">
        <f t="shared" si="14"/>
        <v>0</v>
      </c>
    </row>
    <row r="980" spans="1:8">
      <c r="A980" t="s">
        <v>2500</v>
      </c>
      <c r="B980" t="s">
        <v>2501</v>
      </c>
      <c r="C980" t="s">
        <v>1064</v>
      </c>
      <c r="D980" s="4">
        <v>127600</v>
      </c>
      <c r="E980" s="4">
        <v>127600</v>
      </c>
      <c r="F980" s="4">
        <v>255200</v>
      </c>
      <c r="H980" s="3">
        <f t="shared" si="14"/>
        <v>0</v>
      </c>
    </row>
    <row r="981" spans="1:8">
      <c r="A981" t="s">
        <v>2502</v>
      </c>
      <c r="B981" t="s">
        <v>2503</v>
      </c>
      <c r="C981" t="s">
        <v>1010</v>
      </c>
      <c r="D981" s="4">
        <v>28200</v>
      </c>
      <c r="E981" s="4">
        <v>28200</v>
      </c>
      <c r="F981" s="4">
        <v>56400</v>
      </c>
      <c r="H981" s="3">
        <f t="shared" si="14"/>
        <v>0</v>
      </c>
    </row>
    <row r="982" spans="1:8">
      <c r="A982" t="s">
        <v>2530</v>
      </c>
      <c r="B982" t="s">
        <v>2531</v>
      </c>
      <c r="C982" t="s">
        <v>1010</v>
      </c>
      <c r="D982" s="4">
        <v>89100</v>
      </c>
      <c r="E982" s="4">
        <v>89100</v>
      </c>
      <c r="F982" s="4">
        <v>178200</v>
      </c>
      <c r="H982" s="3">
        <f t="shared" si="14"/>
        <v>0</v>
      </c>
    </row>
    <row r="983" spans="1:8">
      <c r="A983" t="s">
        <v>2597</v>
      </c>
      <c r="B983" t="s">
        <v>2598</v>
      </c>
      <c r="C983" t="s">
        <v>885</v>
      </c>
      <c r="D983" s="4">
        <v>10500</v>
      </c>
      <c r="E983" s="4">
        <v>10500</v>
      </c>
      <c r="F983" s="4">
        <v>21000</v>
      </c>
      <c r="H983" s="3">
        <f t="shared" si="14"/>
        <v>0</v>
      </c>
    </row>
    <row r="984" spans="1:8">
      <c r="A984" t="s">
        <v>2639</v>
      </c>
      <c r="B984" t="s">
        <v>2640</v>
      </c>
      <c r="C984" t="s">
        <v>1064</v>
      </c>
      <c r="D984" s="4">
        <v>28200</v>
      </c>
      <c r="E984" s="4">
        <v>28200</v>
      </c>
      <c r="F984" s="4">
        <v>56400</v>
      </c>
      <c r="H984" s="3">
        <f t="shared" si="14"/>
        <v>0</v>
      </c>
    </row>
    <row r="985" spans="1:8">
      <c r="A985" t="s">
        <v>2742</v>
      </c>
      <c r="B985" t="s">
        <v>2743</v>
      </c>
      <c r="C985" t="s">
        <v>1010</v>
      </c>
      <c r="D985" s="4">
        <v>28200</v>
      </c>
      <c r="E985" s="4">
        <v>28200</v>
      </c>
      <c r="F985" s="4">
        <v>56400</v>
      </c>
      <c r="H985" s="3">
        <f t="shared" si="14"/>
        <v>0</v>
      </c>
    </row>
    <row r="986" spans="1:8">
      <c r="A986" t="s">
        <v>2829</v>
      </c>
      <c r="B986" t="s">
        <v>2830</v>
      </c>
      <c r="C986" t="s">
        <v>635</v>
      </c>
      <c r="D986" s="4">
        <v>28200</v>
      </c>
      <c r="E986" s="4">
        <v>28200</v>
      </c>
      <c r="F986" s="4">
        <v>56400</v>
      </c>
      <c r="H986" s="3">
        <f t="shared" si="14"/>
        <v>0</v>
      </c>
    </row>
    <row r="987" spans="1:8">
      <c r="A987" t="s">
        <v>2841</v>
      </c>
      <c r="B987" t="s">
        <v>2842</v>
      </c>
      <c r="C987" t="s">
        <v>870</v>
      </c>
      <c r="D987" s="4">
        <v>179300</v>
      </c>
      <c r="E987" s="4">
        <v>179300</v>
      </c>
      <c r="F987" s="4">
        <v>358600</v>
      </c>
      <c r="H987" s="3">
        <f t="shared" ref="H987:H989" si="15">+D987-E987</f>
        <v>0</v>
      </c>
    </row>
    <row r="988" spans="1:8">
      <c r="A988" t="s">
        <v>2880</v>
      </c>
      <c r="B988" t="s">
        <v>2881</v>
      </c>
      <c r="C988" t="s">
        <v>1071</v>
      </c>
      <c r="D988" s="4">
        <v>125900</v>
      </c>
      <c r="E988" s="4">
        <v>125900</v>
      </c>
      <c r="F988" s="4">
        <v>251800</v>
      </c>
      <c r="H988" s="3">
        <f t="shared" si="15"/>
        <v>0</v>
      </c>
    </row>
    <row r="989" spans="1:8">
      <c r="A989" t="s">
        <v>2988</v>
      </c>
      <c r="B989" t="s">
        <v>2989</v>
      </c>
      <c r="C989" t="s">
        <v>1071</v>
      </c>
      <c r="D989" s="4">
        <v>229200</v>
      </c>
      <c r="E989" s="4">
        <v>229200</v>
      </c>
      <c r="F989" s="4">
        <v>458400</v>
      </c>
      <c r="H989" s="3">
        <f t="shared" si="15"/>
        <v>0</v>
      </c>
    </row>
    <row r="990" spans="1:8">
      <c r="A990" t="s">
        <v>3075</v>
      </c>
      <c r="D990" s="4">
        <v>84427000</v>
      </c>
      <c r="E990" s="4">
        <v>84584500</v>
      </c>
      <c r="F990" s="4">
        <v>169011500</v>
      </c>
    </row>
    <row r="991" spans="1:8">
      <c r="D991"/>
      <c r="E991"/>
      <c r="F991"/>
    </row>
    <row r="992" spans="1:8" hidden="1">
      <c r="D992"/>
      <c r="E992"/>
      <c r="F992"/>
    </row>
    <row r="993" spans="4:6" hidden="1">
      <c r="D993"/>
      <c r="E993"/>
      <c r="F993"/>
    </row>
    <row r="994" spans="4:6" hidden="1">
      <c r="D994"/>
      <c r="E994"/>
      <c r="F994"/>
    </row>
    <row r="995" spans="4:6" hidden="1">
      <c r="D995"/>
      <c r="E995"/>
      <c r="F995"/>
    </row>
    <row r="996" spans="4:6" hidden="1">
      <c r="D996"/>
      <c r="E996"/>
      <c r="F996"/>
    </row>
    <row r="997" spans="4:6" hidden="1">
      <c r="D997"/>
      <c r="E997"/>
      <c r="F997"/>
    </row>
    <row r="998" spans="4:6" hidden="1">
      <c r="D998"/>
      <c r="E998"/>
      <c r="F998"/>
    </row>
    <row r="999" spans="4:6" hidden="1">
      <c r="D999"/>
      <c r="E999"/>
      <c r="F999"/>
    </row>
    <row r="1000" spans="4:6" hidden="1">
      <c r="D1000"/>
      <c r="E1000"/>
      <c r="F1000"/>
    </row>
    <row r="1001" spans="4:6" hidden="1">
      <c r="D1001"/>
      <c r="E1001"/>
      <c r="F1001"/>
    </row>
    <row r="1002" spans="4:6" hidden="1">
      <c r="D1002"/>
      <c r="E1002"/>
      <c r="F1002"/>
    </row>
    <row r="1003" spans="4:6" hidden="1">
      <c r="D1003"/>
      <c r="E1003"/>
      <c r="F1003"/>
    </row>
    <row r="1004" spans="4:6" hidden="1">
      <c r="D1004"/>
      <c r="E1004"/>
      <c r="F1004"/>
    </row>
    <row r="1005" spans="4:6" hidden="1">
      <c r="D1005"/>
      <c r="E1005"/>
      <c r="F1005"/>
    </row>
    <row r="1006" spans="4:6" hidden="1">
      <c r="D1006"/>
      <c r="E1006"/>
      <c r="F1006"/>
    </row>
    <row r="1007" spans="4:6" hidden="1">
      <c r="D1007"/>
      <c r="E1007"/>
      <c r="F1007"/>
    </row>
    <row r="1008" spans="4:6" hidden="1">
      <c r="D1008"/>
      <c r="E1008"/>
      <c r="F1008"/>
    </row>
    <row r="1009" spans="4:6" hidden="1">
      <c r="D1009"/>
      <c r="E1009"/>
      <c r="F1009"/>
    </row>
    <row r="1010" spans="4:6" hidden="1">
      <c r="D1010"/>
      <c r="E1010"/>
      <c r="F1010"/>
    </row>
    <row r="1011" spans="4:6" hidden="1">
      <c r="D1011"/>
      <c r="E1011"/>
      <c r="F1011"/>
    </row>
    <row r="1012" spans="4:6">
      <c r="D1012"/>
      <c r="E1012"/>
      <c r="F1012"/>
    </row>
    <row r="1013" spans="4:6">
      <c r="D1013"/>
      <c r="E1013"/>
      <c r="F1013"/>
    </row>
    <row r="1014" spans="4:6">
      <c r="D1014" s="4">
        <f>53300+77533900</f>
        <v>77587200</v>
      </c>
      <c r="E1014" s="4">
        <v>77750800</v>
      </c>
      <c r="F1014" s="4"/>
    </row>
    <row r="1015" spans="4:6" hidden="1">
      <c r="D1015" s="4"/>
      <c r="E1015" s="4"/>
      <c r="F1015" s="4"/>
    </row>
    <row r="1016" spans="4:6" hidden="1">
      <c r="D1016" s="4"/>
      <c r="E1016" s="4"/>
      <c r="F1016" s="4"/>
    </row>
    <row r="1017" spans="4:6" hidden="1">
      <c r="D1017" s="4"/>
      <c r="E1017" s="4"/>
      <c r="F1017" s="4"/>
    </row>
    <row r="1018" spans="4:6" hidden="1">
      <c r="D1018" s="4"/>
      <c r="E1018" s="4"/>
      <c r="F1018" s="4"/>
    </row>
    <row r="1019" spans="4:6" hidden="1">
      <c r="D1019" s="4"/>
      <c r="E1019" s="4"/>
      <c r="F1019" s="4"/>
    </row>
    <row r="1020" spans="4:6" hidden="1">
      <c r="D1020" s="4"/>
      <c r="E1020" s="4"/>
      <c r="F1020" s="4"/>
    </row>
    <row r="1021" spans="4:6" hidden="1">
      <c r="D1021" s="4"/>
      <c r="E1021" s="4"/>
      <c r="F1021" s="4"/>
    </row>
    <row r="1022" spans="4:6" hidden="1">
      <c r="D1022" s="4"/>
      <c r="E1022" s="4"/>
      <c r="F1022" s="4"/>
    </row>
    <row r="1023" spans="4:6" hidden="1">
      <c r="D1023" s="4"/>
      <c r="E1023" s="4"/>
      <c r="F1023" s="4"/>
    </row>
    <row r="1024" spans="4:6" hidden="1">
      <c r="D1024" s="4"/>
      <c r="E1024" s="4"/>
      <c r="F1024" s="4"/>
    </row>
    <row r="1025" spans="1:8" hidden="1">
      <c r="D1025" s="4"/>
      <c r="E1025" s="4"/>
      <c r="F1025" s="4"/>
    </row>
    <row r="1026" spans="1:8" hidden="1">
      <c r="D1026" s="4"/>
      <c r="E1026" s="4"/>
      <c r="F1026" s="4"/>
    </row>
    <row r="1027" spans="1:8" hidden="1">
      <c r="D1027" s="4"/>
      <c r="E1027" s="4"/>
      <c r="F1027" s="4"/>
    </row>
    <row r="1028" spans="1:8" hidden="1">
      <c r="D1028" s="4"/>
      <c r="E1028" s="4"/>
      <c r="F1028" s="4"/>
    </row>
    <row r="1029" spans="1:8" hidden="1">
      <c r="D1029" s="4"/>
      <c r="E1029" s="4"/>
      <c r="F1029" s="4"/>
    </row>
    <row r="1030" spans="1:8" hidden="1">
      <c r="D1030" s="4"/>
      <c r="E1030" s="4"/>
      <c r="F1030" s="4"/>
    </row>
    <row r="1031" spans="1:8" hidden="1">
      <c r="D1031" s="4"/>
      <c r="E1031" s="4"/>
      <c r="F1031" s="4"/>
    </row>
    <row r="1032" spans="1:8" hidden="1">
      <c r="D1032" s="4"/>
      <c r="E1032" s="4"/>
      <c r="F1032" s="4"/>
    </row>
    <row r="1033" spans="1:8" hidden="1">
      <c r="D1033" s="4"/>
      <c r="E1033" s="4"/>
      <c r="F1033" s="4"/>
    </row>
    <row r="1034" spans="1:8" hidden="1">
      <c r="D1034" s="4"/>
      <c r="E1034" s="4"/>
      <c r="F1034" s="4"/>
    </row>
    <row r="1035" spans="1:8" hidden="1">
      <c r="D1035" s="4"/>
      <c r="E1035" s="4"/>
      <c r="F1035" s="4"/>
    </row>
    <row r="1036" spans="1:8" hidden="1">
      <c r="D1036" s="4"/>
      <c r="E1036" s="4"/>
      <c r="F1036" s="4"/>
    </row>
    <row r="1037" spans="1:8" hidden="1">
      <c r="D1037" s="4"/>
      <c r="E1037" s="4"/>
      <c r="F1037" s="4"/>
    </row>
    <row r="1038" spans="1:8" hidden="1">
      <c r="D1038" s="4"/>
      <c r="E1038" s="4"/>
      <c r="F1038" s="4"/>
    </row>
    <row r="1040" spans="1:8">
      <c r="A1040" s="20" t="s">
        <v>3080</v>
      </c>
      <c r="B1040" s="20"/>
      <c r="C1040" s="20"/>
      <c r="D1040" s="20"/>
      <c r="E1040" s="20"/>
      <c r="F1040" s="20"/>
      <c r="G1040" s="20"/>
      <c r="H1040" s="20"/>
    </row>
    <row r="1041" spans="1:8">
      <c r="A1041" t="s">
        <v>3081</v>
      </c>
      <c r="D1041" s="4" t="s">
        <v>1344</v>
      </c>
      <c r="E1041" s="4"/>
      <c r="F1041" s="4"/>
      <c r="G1041"/>
    </row>
    <row r="1042" spans="1:8">
      <c r="A1042" t="s">
        <v>1346</v>
      </c>
      <c r="B1042" t="s">
        <v>1347</v>
      </c>
      <c r="C1042" t="s">
        <v>3082</v>
      </c>
      <c r="D1042" s="4" t="s">
        <v>1431</v>
      </c>
      <c r="E1042" s="4" t="s">
        <v>3047</v>
      </c>
      <c r="F1042" s="4" t="s">
        <v>3075</v>
      </c>
      <c r="G1042"/>
    </row>
    <row r="1043" spans="1:8">
      <c r="A1043" t="s">
        <v>1485</v>
      </c>
      <c r="B1043" t="s">
        <v>1486</v>
      </c>
      <c r="C1043" t="s">
        <v>189</v>
      </c>
      <c r="D1043" s="4">
        <v>202800</v>
      </c>
      <c r="E1043" s="4">
        <v>202800</v>
      </c>
      <c r="F1043" s="4">
        <v>405600</v>
      </c>
      <c r="G1043"/>
      <c r="H1043" s="3">
        <f>+D1043-E1043</f>
        <v>0</v>
      </c>
    </row>
    <row r="1044" spans="1:8">
      <c r="A1044" t="s">
        <v>1553</v>
      </c>
      <c r="B1044" t="s">
        <v>1554</v>
      </c>
      <c r="C1044" t="s">
        <v>189</v>
      </c>
      <c r="D1044" s="4">
        <v>219800</v>
      </c>
      <c r="E1044" s="4">
        <v>219800</v>
      </c>
      <c r="F1044" s="4">
        <v>439600</v>
      </c>
      <c r="G1044"/>
      <c r="H1044" s="3">
        <f t="shared" ref="H1044:H1107" si="16">+D1044-E1044</f>
        <v>0</v>
      </c>
    </row>
    <row r="1045" spans="1:8">
      <c r="A1045" t="s">
        <v>1567</v>
      </c>
      <c r="B1045" t="s">
        <v>1568</v>
      </c>
      <c r="C1045" t="s">
        <v>189</v>
      </c>
      <c r="D1045" s="4">
        <v>408600</v>
      </c>
      <c r="E1045" s="4">
        <v>408600</v>
      </c>
      <c r="F1045" s="4">
        <v>817200</v>
      </c>
      <c r="G1045"/>
      <c r="H1045" s="3">
        <f t="shared" si="16"/>
        <v>0</v>
      </c>
    </row>
    <row r="1046" spans="1:8">
      <c r="A1046" t="s">
        <v>1580</v>
      </c>
      <c r="B1046" t="s">
        <v>1581</v>
      </c>
      <c r="C1046" t="s">
        <v>189</v>
      </c>
      <c r="D1046" s="4">
        <v>546000</v>
      </c>
      <c r="E1046" s="4">
        <v>546000</v>
      </c>
      <c r="F1046" s="4">
        <v>1092000</v>
      </c>
      <c r="G1046"/>
      <c r="H1046" s="3">
        <f t="shared" si="16"/>
        <v>0</v>
      </c>
    </row>
    <row r="1047" spans="1:8">
      <c r="A1047" t="s">
        <v>1585</v>
      </c>
      <c r="B1047" t="s">
        <v>1586</v>
      </c>
      <c r="C1047" t="s">
        <v>189</v>
      </c>
      <c r="D1047" s="4">
        <v>266100</v>
      </c>
      <c r="E1047" s="4">
        <v>266100</v>
      </c>
      <c r="F1047" s="4">
        <v>532200</v>
      </c>
      <c r="G1047"/>
      <c r="H1047" s="3">
        <f t="shared" si="16"/>
        <v>0</v>
      </c>
    </row>
    <row r="1048" spans="1:8">
      <c r="A1048" t="s">
        <v>1594</v>
      </c>
      <c r="B1048" t="s">
        <v>1595</v>
      </c>
      <c r="C1048" t="s">
        <v>189</v>
      </c>
      <c r="D1048" s="4">
        <v>796100</v>
      </c>
      <c r="E1048" s="4">
        <v>796100</v>
      </c>
      <c r="F1048" s="4">
        <v>1592200</v>
      </c>
      <c r="G1048"/>
      <c r="H1048" s="3">
        <f t="shared" si="16"/>
        <v>0</v>
      </c>
    </row>
    <row r="1049" spans="1:8">
      <c r="A1049" t="s">
        <v>1599</v>
      </c>
      <c r="B1049" t="s">
        <v>1600</v>
      </c>
      <c r="C1049" t="s">
        <v>189</v>
      </c>
      <c r="D1049" s="4">
        <v>254800</v>
      </c>
      <c r="E1049" s="4">
        <v>254800</v>
      </c>
      <c r="F1049" s="4">
        <v>509600</v>
      </c>
      <c r="G1049"/>
      <c r="H1049" s="3">
        <f t="shared" si="16"/>
        <v>0</v>
      </c>
    </row>
    <row r="1050" spans="1:8">
      <c r="A1050" t="s">
        <v>1604</v>
      </c>
      <c r="B1050" t="s">
        <v>1605</v>
      </c>
      <c r="C1050" t="s">
        <v>189</v>
      </c>
      <c r="D1050" s="4">
        <v>395100</v>
      </c>
      <c r="E1050" s="4">
        <v>395100</v>
      </c>
      <c r="F1050" s="4">
        <v>790200</v>
      </c>
      <c r="G1050"/>
      <c r="H1050" s="3">
        <f t="shared" si="16"/>
        <v>0</v>
      </c>
    </row>
    <row r="1051" spans="1:8">
      <c r="A1051" t="s">
        <v>1609</v>
      </c>
      <c r="B1051" t="s">
        <v>1610</v>
      </c>
      <c r="C1051" t="s">
        <v>189</v>
      </c>
      <c r="D1051" s="4">
        <v>25100</v>
      </c>
      <c r="E1051" s="4">
        <v>25100</v>
      </c>
      <c r="F1051" s="4">
        <v>50200</v>
      </c>
      <c r="G1051"/>
      <c r="H1051" s="3">
        <f t="shared" si="16"/>
        <v>0</v>
      </c>
    </row>
    <row r="1052" spans="1:8">
      <c r="A1052" t="s">
        <v>1614</v>
      </c>
      <c r="B1052" t="s">
        <v>1615</v>
      </c>
      <c r="C1052" t="s">
        <v>189</v>
      </c>
      <c r="D1052" s="4">
        <v>27200</v>
      </c>
      <c r="E1052" s="4">
        <v>27200</v>
      </c>
      <c r="F1052" s="4">
        <v>54400</v>
      </c>
      <c r="G1052"/>
      <c r="H1052" s="3">
        <f t="shared" si="16"/>
        <v>0</v>
      </c>
    </row>
    <row r="1053" spans="1:8">
      <c r="A1053" t="s">
        <v>1622</v>
      </c>
      <c r="B1053" t="s">
        <v>1623</v>
      </c>
      <c r="C1053" t="s">
        <v>189</v>
      </c>
      <c r="D1053" s="4">
        <v>221300</v>
      </c>
      <c r="E1053" s="4">
        <v>221300</v>
      </c>
      <c r="F1053" s="4">
        <v>442600</v>
      </c>
      <c r="G1053"/>
      <c r="H1053" s="3">
        <f t="shared" si="16"/>
        <v>0</v>
      </c>
    </row>
    <row r="1054" spans="1:8">
      <c r="A1054" t="s">
        <v>1632</v>
      </c>
      <c r="B1054" t="s">
        <v>1633</v>
      </c>
      <c r="C1054" t="s">
        <v>189</v>
      </c>
      <c r="D1054" s="4">
        <v>810900</v>
      </c>
      <c r="E1054" s="4">
        <v>892000</v>
      </c>
      <c r="F1054" s="4">
        <v>1702900</v>
      </c>
      <c r="G1054"/>
      <c r="H1054" s="3">
        <f t="shared" si="16"/>
        <v>-81100</v>
      </c>
    </row>
    <row r="1055" spans="1:8">
      <c r="A1055" t="s">
        <v>1645</v>
      </c>
      <c r="B1055" t="s">
        <v>1646</v>
      </c>
      <c r="C1055" t="s">
        <v>189</v>
      </c>
      <c r="D1055" s="4">
        <v>810900</v>
      </c>
      <c r="E1055" s="4">
        <v>810900</v>
      </c>
      <c r="F1055" s="4">
        <v>1621800</v>
      </c>
      <c r="G1055"/>
      <c r="H1055" s="3">
        <f t="shared" si="16"/>
        <v>0</v>
      </c>
    </row>
    <row r="1056" spans="1:8">
      <c r="A1056" t="s">
        <v>1663</v>
      </c>
      <c r="B1056" t="s">
        <v>1664</v>
      </c>
      <c r="C1056" t="s">
        <v>189</v>
      </c>
      <c r="D1056" s="4">
        <v>270800</v>
      </c>
      <c r="E1056" s="4">
        <v>270800</v>
      </c>
      <c r="F1056" s="4">
        <v>541600</v>
      </c>
      <c r="G1056"/>
      <c r="H1056" s="3">
        <f t="shared" si="16"/>
        <v>0</v>
      </c>
    </row>
    <row r="1057" spans="1:8">
      <c r="A1057" t="s">
        <v>1667</v>
      </c>
      <c r="B1057" t="s">
        <v>1668</v>
      </c>
      <c r="C1057" t="s">
        <v>189</v>
      </c>
      <c r="D1057" s="4">
        <v>678000</v>
      </c>
      <c r="E1057" s="4">
        <v>678000</v>
      </c>
      <c r="F1057" s="4">
        <v>1356000</v>
      </c>
      <c r="G1057"/>
      <c r="H1057" s="3">
        <f t="shared" si="16"/>
        <v>0</v>
      </c>
    </row>
    <row r="1058" spans="1:8">
      <c r="A1058" t="s">
        <v>1671</v>
      </c>
      <c r="B1058" t="s">
        <v>1672</v>
      </c>
      <c r="C1058" t="s">
        <v>189</v>
      </c>
      <c r="D1058" s="4">
        <v>613400</v>
      </c>
      <c r="E1058" s="4">
        <v>613400</v>
      </c>
      <c r="F1058" s="4">
        <v>1226800</v>
      </c>
      <c r="G1058"/>
      <c r="H1058" s="3">
        <f t="shared" si="16"/>
        <v>0</v>
      </c>
    </row>
    <row r="1059" spans="1:8">
      <c r="A1059" t="s">
        <v>1675</v>
      </c>
      <c r="B1059" t="s">
        <v>1676</v>
      </c>
      <c r="C1059" t="s">
        <v>189</v>
      </c>
      <c r="D1059" s="4">
        <v>258300</v>
      </c>
      <c r="E1059" s="4">
        <v>258300</v>
      </c>
      <c r="F1059" s="4">
        <v>516600</v>
      </c>
      <c r="G1059"/>
      <c r="H1059" s="3">
        <f t="shared" si="16"/>
        <v>0</v>
      </c>
    </row>
    <row r="1060" spans="1:8">
      <c r="A1060" t="s">
        <v>1681</v>
      </c>
      <c r="B1060" t="s">
        <v>1682</v>
      </c>
      <c r="C1060" t="s">
        <v>189</v>
      </c>
      <c r="D1060" s="4">
        <v>9200</v>
      </c>
      <c r="E1060" s="4">
        <v>9200</v>
      </c>
      <c r="F1060" s="4">
        <v>18400</v>
      </c>
      <c r="G1060"/>
      <c r="H1060" s="3">
        <f t="shared" si="16"/>
        <v>0</v>
      </c>
    </row>
    <row r="1061" spans="1:8">
      <c r="A1061" t="s">
        <v>1714</v>
      </c>
      <c r="B1061" t="s">
        <v>1715</v>
      </c>
      <c r="C1061" t="s">
        <v>189</v>
      </c>
      <c r="D1061" s="4">
        <v>474700</v>
      </c>
      <c r="E1061" s="4">
        <v>474700</v>
      </c>
      <c r="F1061" s="4">
        <v>949400</v>
      </c>
      <c r="G1061"/>
      <c r="H1061" s="3">
        <f t="shared" si="16"/>
        <v>0</v>
      </c>
    </row>
    <row r="1062" spans="1:8">
      <c r="A1062" t="s">
        <v>1717</v>
      </c>
      <c r="B1062" t="s">
        <v>1718</v>
      </c>
      <c r="C1062" t="s">
        <v>189</v>
      </c>
      <c r="D1062" s="4">
        <v>15000</v>
      </c>
      <c r="E1062" s="4">
        <v>15000</v>
      </c>
      <c r="F1062" s="4">
        <v>30000</v>
      </c>
      <c r="G1062"/>
      <c r="H1062" s="3">
        <f t="shared" si="16"/>
        <v>0</v>
      </c>
    </row>
    <row r="1063" spans="1:8">
      <c r="A1063" t="s">
        <v>1744</v>
      </c>
      <c r="B1063" t="s">
        <v>1745</v>
      </c>
      <c r="C1063" t="s">
        <v>189</v>
      </c>
      <c r="D1063" s="4">
        <v>11600</v>
      </c>
      <c r="E1063" s="4">
        <v>11600</v>
      </c>
      <c r="F1063" s="4">
        <v>23200</v>
      </c>
      <c r="G1063"/>
      <c r="H1063" s="3">
        <f t="shared" si="16"/>
        <v>0</v>
      </c>
    </row>
    <row r="1064" spans="1:8">
      <c r="A1064" t="s">
        <v>1746</v>
      </c>
      <c r="B1064" t="s">
        <v>1747</v>
      </c>
      <c r="C1064" t="s">
        <v>189</v>
      </c>
      <c r="D1064" s="4">
        <v>32500</v>
      </c>
      <c r="E1064" s="4">
        <v>32500</v>
      </c>
      <c r="F1064" s="4">
        <v>65000</v>
      </c>
      <c r="G1064"/>
      <c r="H1064" s="3">
        <f t="shared" si="16"/>
        <v>0</v>
      </c>
    </row>
    <row r="1065" spans="1:8">
      <c r="A1065" t="s">
        <v>1751</v>
      </c>
      <c r="B1065" t="s">
        <v>1752</v>
      </c>
      <c r="C1065" t="s">
        <v>189</v>
      </c>
      <c r="D1065" s="4">
        <v>16700</v>
      </c>
      <c r="E1065" s="4">
        <v>16800</v>
      </c>
      <c r="F1065" s="4">
        <v>33500</v>
      </c>
      <c r="G1065"/>
      <c r="H1065" s="3">
        <f t="shared" si="16"/>
        <v>-100</v>
      </c>
    </row>
    <row r="1066" spans="1:8">
      <c r="A1066" t="s">
        <v>1767</v>
      </c>
      <c r="B1066" t="s">
        <v>1768</v>
      </c>
      <c r="C1066" t="s">
        <v>189</v>
      </c>
      <c r="D1066" s="4">
        <v>38400</v>
      </c>
      <c r="E1066" s="4">
        <v>38400</v>
      </c>
      <c r="F1066" s="4">
        <v>76800</v>
      </c>
      <c r="G1066"/>
      <c r="H1066" s="3">
        <f t="shared" si="16"/>
        <v>0</v>
      </c>
    </row>
    <row r="1067" spans="1:8">
      <c r="A1067" t="s">
        <v>1804</v>
      </c>
      <c r="B1067" t="s">
        <v>1805</v>
      </c>
      <c r="C1067" t="s">
        <v>189</v>
      </c>
      <c r="D1067" s="4">
        <v>395100</v>
      </c>
      <c r="E1067" s="4">
        <v>395100</v>
      </c>
      <c r="F1067" s="4">
        <v>790200</v>
      </c>
      <c r="G1067"/>
      <c r="H1067" s="3">
        <f t="shared" si="16"/>
        <v>0</v>
      </c>
    </row>
    <row r="1068" spans="1:8">
      <c r="A1068" t="s">
        <v>1865</v>
      </c>
      <c r="B1068" t="s">
        <v>1866</v>
      </c>
      <c r="C1068" t="s">
        <v>189</v>
      </c>
      <c r="D1068" s="4">
        <v>202200</v>
      </c>
      <c r="E1068" s="4">
        <v>202200</v>
      </c>
      <c r="F1068" s="4">
        <v>404400</v>
      </c>
      <c r="G1068"/>
      <c r="H1068" s="3">
        <f t="shared" si="16"/>
        <v>0</v>
      </c>
    </row>
    <row r="1069" spans="1:8">
      <c r="A1069" t="s">
        <v>1884</v>
      </c>
      <c r="B1069" t="s">
        <v>1885</v>
      </c>
      <c r="C1069" t="s">
        <v>189</v>
      </c>
      <c r="D1069" s="4">
        <v>268300</v>
      </c>
      <c r="E1069" s="4">
        <v>268300</v>
      </c>
      <c r="F1069" s="4">
        <v>536600</v>
      </c>
      <c r="G1069"/>
      <c r="H1069" s="3">
        <f t="shared" si="16"/>
        <v>0</v>
      </c>
    </row>
    <row r="1070" spans="1:8">
      <c r="A1070" t="s">
        <v>1939</v>
      </c>
      <c r="B1070" t="s">
        <v>1940</v>
      </c>
      <c r="C1070" t="s">
        <v>189</v>
      </c>
      <c r="D1070" s="4">
        <v>44500</v>
      </c>
      <c r="E1070" s="4">
        <v>44500</v>
      </c>
      <c r="F1070" s="4">
        <v>89000</v>
      </c>
      <c r="G1070"/>
      <c r="H1070" s="3">
        <f t="shared" si="16"/>
        <v>0</v>
      </c>
    </row>
    <row r="1071" spans="1:8">
      <c r="A1071" t="s">
        <v>1954</v>
      </c>
      <c r="B1071" t="s">
        <v>1955</v>
      </c>
      <c r="C1071" t="s">
        <v>189</v>
      </c>
      <c r="D1071" s="4">
        <v>429600</v>
      </c>
      <c r="E1071" s="4">
        <v>429600</v>
      </c>
      <c r="F1071" s="4">
        <v>859200</v>
      </c>
      <c r="G1071"/>
      <c r="H1071" s="3">
        <f t="shared" si="16"/>
        <v>0</v>
      </c>
    </row>
    <row r="1072" spans="1:8">
      <c r="A1072" t="s">
        <v>1958</v>
      </c>
      <c r="B1072" t="s">
        <v>1959</v>
      </c>
      <c r="C1072" t="s">
        <v>189</v>
      </c>
      <c r="D1072" s="4">
        <v>289000</v>
      </c>
      <c r="E1072" s="4">
        <v>289000</v>
      </c>
      <c r="F1072" s="4">
        <v>578000</v>
      </c>
      <c r="G1072"/>
      <c r="H1072" s="3">
        <f t="shared" si="16"/>
        <v>0</v>
      </c>
    </row>
    <row r="1073" spans="1:8">
      <c r="A1073" t="s">
        <v>1966</v>
      </c>
      <c r="B1073" t="s">
        <v>1967</v>
      </c>
      <c r="C1073" t="s">
        <v>189</v>
      </c>
      <c r="D1073" s="4">
        <v>233900</v>
      </c>
      <c r="E1073" s="4">
        <v>233900</v>
      </c>
      <c r="F1073" s="4">
        <v>467800</v>
      </c>
      <c r="G1073"/>
      <c r="H1073" s="3">
        <f t="shared" si="16"/>
        <v>0</v>
      </c>
    </row>
    <row r="1074" spans="1:8">
      <c r="A1074" t="s">
        <v>1985</v>
      </c>
      <c r="B1074" t="s">
        <v>1986</v>
      </c>
      <c r="C1074" t="s">
        <v>189</v>
      </c>
      <c r="D1074" s="4">
        <v>30100</v>
      </c>
      <c r="E1074" s="4">
        <v>30100</v>
      </c>
      <c r="F1074" s="4">
        <v>60200</v>
      </c>
      <c r="G1074"/>
      <c r="H1074" s="3">
        <f t="shared" si="16"/>
        <v>0</v>
      </c>
    </row>
    <row r="1075" spans="1:8">
      <c r="A1075" t="s">
        <v>1995</v>
      </c>
      <c r="B1075" t="s">
        <v>1996</v>
      </c>
      <c r="C1075" t="s">
        <v>189</v>
      </c>
      <c r="D1075" s="4">
        <v>269800</v>
      </c>
      <c r="E1075" s="4">
        <v>269800</v>
      </c>
      <c r="F1075" s="4">
        <v>539600</v>
      </c>
      <c r="G1075"/>
      <c r="H1075" s="3">
        <f t="shared" si="16"/>
        <v>0</v>
      </c>
    </row>
    <row r="1076" spans="1:8">
      <c r="A1076" t="s">
        <v>2027</v>
      </c>
      <c r="B1076" t="s">
        <v>2028</v>
      </c>
      <c r="C1076" t="s">
        <v>189</v>
      </c>
      <c r="D1076" s="4">
        <v>355600</v>
      </c>
      <c r="E1076" s="4">
        <v>355600</v>
      </c>
      <c r="F1076" s="4">
        <v>711200</v>
      </c>
      <c r="G1076"/>
      <c r="H1076" s="3">
        <f t="shared" si="16"/>
        <v>0</v>
      </c>
    </row>
    <row r="1077" spans="1:8">
      <c r="A1077" t="s">
        <v>2075</v>
      </c>
      <c r="B1077" t="s">
        <v>2076</v>
      </c>
      <c r="C1077" t="s">
        <v>189</v>
      </c>
      <c r="D1077" s="4">
        <v>325900</v>
      </c>
      <c r="E1077" s="4">
        <v>325900</v>
      </c>
      <c r="F1077" s="4">
        <v>651800</v>
      </c>
      <c r="G1077"/>
      <c r="H1077" s="3">
        <f t="shared" si="16"/>
        <v>0</v>
      </c>
    </row>
    <row r="1078" spans="1:8">
      <c r="A1078" t="s">
        <v>2084</v>
      </c>
      <c r="B1078" t="s">
        <v>2085</v>
      </c>
      <c r="C1078" t="s">
        <v>189</v>
      </c>
      <c r="D1078" s="4">
        <v>444400</v>
      </c>
      <c r="E1078" s="4">
        <v>444400</v>
      </c>
      <c r="F1078" s="4">
        <v>888800</v>
      </c>
      <c r="G1078"/>
      <c r="H1078" s="3">
        <f t="shared" si="16"/>
        <v>0</v>
      </c>
    </row>
    <row r="1079" spans="1:8">
      <c r="A1079" t="s">
        <v>2106</v>
      </c>
      <c r="B1079" t="s">
        <v>2107</v>
      </c>
      <c r="C1079" t="s">
        <v>189</v>
      </c>
      <c r="D1079" s="4">
        <v>35800</v>
      </c>
      <c r="E1079" s="4">
        <v>35800</v>
      </c>
      <c r="F1079" s="4">
        <v>71600</v>
      </c>
      <c r="G1079"/>
      <c r="H1079" s="3">
        <f t="shared" si="16"/>
        <v>0</v>
      </c>
    </row>
    <row r="1080" spans="1:8">
      <c r="A1080" t="s">
        <v>2160</v>
      </c>
      <c r="B1080" t="s">
        <v>2161</v>
      </c>
      <c r="C1080" t="s">
        <v>189</v>
      </c>
      <c r="D1080" s="4">
        <v>170800</v>
      </c>
      <c r="E1080" s="4">
        <v>170800</v>
      </c>
      <c r="F1080" s="4">
        <v>341600</v>
      </c>
      <c r="G1080"/>
      <c r="H1080" s="3">
        <f t="shared" si="16"/>
        <v>0</v>
      </c>
    </row>
    <row r="1081" spans="1:8">
      <c r="A1081" t="s">
        <v>2206</v>
      </c>
      <c r="B1081" t="s">
        <v>2207</v>
      </c>
      <c r="C1081" t="s">
        <v>189</v>
      </c>
      <c r="D1081" s="4">
        <v>145300</v>
      </c>
      <c r="E1081" s="4"/>
      <c r="F1081" s="4">
        <v>145300</v>
      </c>
      <c r="G1081"/>
      <c r="H1081" s="3">
        <f t="shared" si="16"/>
        <v>145300</v>
      </c>
    </row>
    <row r="1082" spans="1:8">
      <c r="B1082" t="s">
        <v>3060</v>
      </c>
      <c r="C1082" t="s">
        <v>189</v>
      </c>
      <c r="D1082" s="4"/>
      <c r="E1082" s="4">
        <v>145300</v>
      </c>
      <c r="F1082" s="4">
        <v>145300</v>
      </c>
      <c r="G1082"/>
      <c r="H1082" s="3">
        <f t="shared" si="16"/>
        <v>-145300</v>
      </c>
    </row>
    <row r="1083" spans="1:8">
      <c r="A1083" t="s">
        <v>2227</v>
      </c>
      <c r="B1083" t="s">
        <v>2228</v>
      </c>
      <c r="C1083" t="s">
        <v>189</v>
      </c>
      <c r="D1083" s="4">
        <v>137300</v>
      </c>
      <c r="E1083" s="4">
        <v>137300</v>
      </c>
      <c r="F1083" s="4">
        <v>274600</v>
      </c>
      <c r="G1083"/>
      <c r="H1083" s="3">
        <f t="shared" si="16"/>
        <v>0</v>
      </c>
    </row>
    <row r="1084" spans="1:8">
      <c r="A1084" t="s">
        <v>2276</v>
      </c>
      <c r="B1084" t="s">
        <v>2277</v>
      </c>
      <c r="C1084" t="s">
        <v>189</v>
      </c>
      <c r="D1084" s="4">
        <v>779600</v>
      </c>
      <c r="E1084" s="4">
        <v>779600</v>
      </c>
      <c r="F1084" s="4">
        <v>1559200</v>
      </c>
      <c r="G1084"/>
      <c r="H1084" s="3">
        <f t="shared" si="16"/>
        <v>0</v>
      </c>
    </row>
    <row r="1085" spans="1:8">
      <c r="A1085" t="s">
        <v>2295</v>
      </c>
      <c r="B1085" t="s">
        <v>2296</v>
      </c>
      <c r="C1085" t="s">
        <v>189</v>
      </c>
      <c r="D1085" s="4">
        <v>362600</v>
      </c>
      <c r="E1085" s="4">
        <v>362600</v>
      </c>
      <c r="F1085" s="4">
        <v>725200</v>
      </c>
      <c r="G1085"/>
      <c r="H1085" s="3">
        <f t="shared" si="16"/>
        <v>0</v>
      </c>
    </row>
    <row r="1086" spans="1:8">
      <c r="A1086" t="s">
        <v>2336</v>
      </c>
      <c r="B1086" t="s">
        <v>2337</v>
      </c>
      <c r="C1086" t="s">
        <v>189</v>
      </c>
      <c r="D1086" s="4">
        <v>444400</v>
      </c>
      <c r="E1086" s="4">
        <v>444400</v>
      </c>
      <c r="F1086" s="4">
        <v>888800</v>
      </c>
      <c r="G1086"/>
      <c r="H1086" s="3">
        <f t="shared" si="16"/>
        <v>0</v>
      </c>
    </row>
    <row r="1087" spans="1:8">
      <c r="A1087" t="s">
        <v>2348</v>
      </c>
      <c r="B1087" t="s">
        <v>2349</v>
      </c>
      <c r="C1087" t="s">
        <v>189</v>
      </c>
      <c r="D1087" s="4">
        <v>1850400</v>
      </c>
      <c r="E1087" s="4">
        <v>1850400</v>
      </c>
      <c r="F1087" s="4">
        <v>3700800</v>
      </c>
      <c r="G1087"/>
      <c r="H1087" s="3">
        <f t="shared" si="16"/>
        <v>0</v>
      </c>
    </row>
    <row r="1088" spans="1:8">
      <c r="A1088" t="s">
        <v>2352</v>
      </c>
      <c r="B1088" t="s">
        <v>2353</v>
      </c>
      <c r="C1088" t="s">
        <v>189</v>
      </c>
      <c r="D1088" s="4">
        <v>712100</v>
      </c>
      <c r="E1088" s="4">
        <v>712100</v>
      </c>
      <c r="F1088" s="4">
        <v>1424200</v>
      </c>
      <c r="G1088"/>
      <c r="H1088" s="3">
        <f t="shared" si="16"/>
        <v>0</v>
      </c>
    </row>
    <row r="1089" spans="1:8">
      <c r="A1089" t="s">
        <v>2393</v>
      </c>
      <c r="B1089" t="s">
        <v>2394</v>
      </c>
      <c r="C1089" t="s">
        <v>189</v>
      </c>
      <c r="D1089" s="4">
        <v>314800</v>
      </c>
      <c r="E1089" s="4">
        <v>314800</v>
      </c>
      <c r="F1089" s="4">
        <v>629600</v>
      </c>
      <c r="G1089"/>
      <c r="H1089" s="3">
        <f t="shared" si="16"/>
        <v>0</v>
      </c>
    </row>
    <row r="1090" spans="1:8">
      <c r="A1090" t="s">
        <v>2477</v>
      </c>
      <c r="B1090" t="s">
        <v>2478</v>
      </c>
      <c r="C1090" t="s">
        <v>189</v>
      </c>
      <c r="D1090" s="4">
        <v>193500</v>
      </c>
      <c r="E1090" s="4">
        <v>193500</v>
      </c>
      <c r="F1090" s="4">
        <v>387000</v>
      </c>
      <c r="G1090"/>
      <c r="H1090" s="3">
        <f t="shared" si="16"/>
        <v>0</v>
      </c>
    </row>
    <row r="1091" spans="1:8">
      <c r="A1091" t="s">
        <v>2480</v>
      </c>
      <c r="B1091" t="s">
        <v>2481</v>
      </c>
      <c r="C1091" t="s">
        <v>189</v>
      </c>
      <c r="D1091" s="4">
        <v>435000</v>
      </c>
      <c r="E1091" s="4">
        <v>435000</v>
      </c>
      <c r="F1091" s="4">
        <v>870000</v>
      </c>
      <c r="G1091"/>
      <c r="H1091" s="3">
        <f t="shared" si="16"/>
        <v>0</v>
      </c>
    </row>
    <row r="1092" spans="1:8">
      <c r="A1092" t="s">
        <v>2487</v>
      </c>
      <c r="B1092" t="s">
        <v>2488</v>
      </c>
      <c r="C1092" t="s">
        <v>189</v>
      </c>
      <c r="D1092" s="4">
        <v>55800</v>
      </c>
      <c r="E1092" s="4">
        <v>55800</v>
      </c>
      <c r="F1092" s="4">
        <v>111600</v>
      </c>
      <c r="G1092"/>
      <c r="H1092" s="3">
        <f t="shared" si="16"/>
        <v>0</v>
      </c>
    </row>
    <row r="1093" spans="1:8">
      <c r="A1093" t="s">
        <v>2508</v>
      </c>
      <c r="B1093" t="s">
        <v>2509</v>
      </c>
      <c r="C1093" t="s">
        <v>189</v>
      </c>
      <c r="D1093" s="4">
        <v>21500</v>
      </c>
      <c r="E1093" s="4">
        <v>21500</v>
      </c>
      <c r="F1093" s="4">
        <v>43000</v>
      </c>
      <c r="G1093"/>
      <c r="H1093" s="3">
        <f t="shared" si="16"/>
        <v>0</v>
      </c>
    </row>
    <row r="1094" spans="1:8">
      <c r="A1094" t="s">
        <v>2513</v>
      </c>
      <c r="B1094" t="s">
        <v>2514</v>
      </c>
      <c r="C1094" t="s">
        <v>189</v>
      </c>
      <c r="D1094" s="4">
        <v>205100</v>
      </c>
      <c r="E1094" s="4">
        <v>205100</v>
      </c>
      <c r="F1094" s="4">
        <v>410200</v>
      </c>
      <c r="G1094"/>
      <c r="H1094" s="3">
        <f t="shared" si="16"/>
        <v>0</v>
      </c>
    </row>
    <row r="1095" spans="1:8">
      <c r="A1095" t="s">
        <v>2515</v>
      </c>
      <c r="B1095" t="s">
        <v>2516</v>
      </c>
      <c r="C1095" t="s">
        <v>189</v>
      </c>
      <c r="D1095" s="4">
        <v>222200</v>
      </c>
      <c r="E1095" s="4">
        <v>222200</v>
      </c>
      <c r="F1095" s="4">
        <v>444400</v>
      </c>
      <c r="G1095"/>
      <c r="H1095" s="3">
        <f t="shared" si="16"/>
        <v>0</v>
      </c>
    </row>
    <row r="1096" spans="1:8">
      <c r="A1096" t="s">
        <v>2527</v>
      </c>
      <c r="B1096" t="s">
        <v>2528</v>
      </c>
      <c r="C1096" t="s">
        <v>189</v>
      </c>
      <c r="D1096" s="4">
        <v>7600</v>
      </c>
      <c r="E1096" s="4">
        <v>7600</v>
      </c>
      <c r="F1096" s="4">
        <v>15200</v>
      </c>
      <c r="G1096"/>
      <c r="H1096" s="3">
        <f t="shared" si="16"/>
        <v>0</v>
      </c>
    </row>
    <row r="1097" spans="1:8">
      <c r="A1097" t="s">
        <v>2536</v>
      </c>
      <c r="B1097" t="s">
        <v>2537</v>
      </c>
      <c r="C1097" t="s">
        <v>189</v>
      </c>
      <c r="D1097" s="4">
        <v>395100</v>
      </c>
      <c r="E1097" s="4">
        <v>395100</v>
      </c>
      <c r="F1097" s="4">
        <v>790200</v>
      </c>
      <c r="G1097"/>
      <c r="H1097" s="3">
        <f t="shared" si="16"/>
        <v>0</v>
      </c>
    </row>
    <row r="1098" spans="1:8">
      <c r="A1098" t="s">
        <v>2550</v>
      </c>
      <c r="B1098" t="s">
        <v>2551</v>
      </c>
      <c r="C1098" t="s">
        <v>189</v>
      </c>
      <c r="D1098" s="4">
        <v>9200</v>
      </c>
      <c r="E1098" s="4">
        <v>9200</v>
      </c>
      <c r="F1098" s="4">
        <v>18400</v>
      </c>
      <c r="G1098"/>
      <c r="H1098" s="3">
        <f t="shared" si="16"/>
        <v>0</v>
      </c>
    </row>
    <row r="1099" spans="1:8">
      <c r="A1099" t="s">
        <v>2555</v>
      </c>
      <c r="B1099" t="s">
        <v>2556</v>
      </c>
      <c r="C1099" t="s">
        <v>189</v>
      </c>
      <c r="D1099" s="4">
        <v>29700</v>
      </c>
      <c r="E1099" s="4">
        <v>29700</v>
      </c>
      <c r="F1099" s="4">
        <v>59400</v>
      </c>
      <c r="G1099"/>
      <c r="H1099" s="3">
        <f t="shared" si="16"/>
        <v>0</v>
      </c>
    </row>
    <row r="1100" spans="1:8">
      <c r="A1100" t="s">
        <v>2562</v>
      </c>
      <c r="B1100" t="s">
        <v>2563</v>
      </c>
      <c r="C1100" t="s">
        <v>189</v>
      </c>
      <c r="D1100" s="4">
        <v>88200</v>
      </c>
      <c r="E1100" s="4">
        <v>88200</v>
      </c>
      <c r="F1100" s="4">
        <v>176400</v>
      </c>
      <c r="G1100"/>
      <c r="H1100" s="3">
        <f t="shared" si="16"/>
        <v>0</v>
      </c>
    </row>
    <row r="1101" spans="1:8">
      <c r="A1101" t="s">
        <v>2566</v>
      </c>
      <c r="B1101" t="s">
        <v>2567</v>
      </c>
      <c r="C1101" t="s">
        <v>189</v>
      </c>
      <c r="D1101" s="4">
        <v>470300</v>
      </c>
      <c r="E1101" s="4">
        <v>470300</v>
      </c>
      <c r="F1101" s="4">
        <v>940600</v>
      </c>
      <c r="G1101"/>
      <c r="H1101" s="3">
        <f t="shared" si="16"/>
        <v>0</v>
      </c>
    </row>
    <row r="1102" spans="1:8">
      <c r="A1102" t="s">
        <v>2570</v>
      </c>
      <c r="B1102" t="s">
        <v>2571</v>
      </c>
      <c r="C1102" t="s">
        <v>189</v>
      </c>
      <c r="D1102" s="4">
        <v>142700</v>
      </c>
      <c r="E1102" s="4">
        <v>142700</v>
      </c>
      <c r="F1102" s="4">
        <v>285400</v>
      </c>
      <c r="G1102"/>
      <c r="H1102" s="3">
        <f t="shared" si="16"/>
        <v>0</v>
      </c>
    </row>
    <row r="1103" spans="1:8">
      <c r="A1103" t="s">
        <v>2574</v>
      </c>
      <c r="B1103" t="s">
        <v>2575</v>
      </c>
      <c r="C1103" t="s">
        <v>189</v>
      </c>
      <c r="D1103" s="4">
        <v>10900</v>
      </c>
      <c r="E1103" s="4">
        <v>10900</v>
      </c>
      <c r="F1103" s="4">
        <v>21800</v>
      </c>
      <c r="G1103"/>
      <c r="H1103" s="3">
        <f t="shared" si="16"/>
        <v>0</v>
      </c>
    </row>
    <row r="1104" spans="1:8">
      <c r="A1104" t="s">
        <v>2578</v>
      </c>
      <c r="B1104" t="s">
        <v>2579</v>
      </c>
      <c r="C1104" t="s">
        <v>189</v>
      </c>
      <c r="D1104" s="4">
        <v>444400</v>
      </c>
      <c r="E1104" s="4">
        <v>444400</v>
      </c>
      <c r="F1104" s="4">
        <v>888800</v>
      </c>
      <c r="G1104"/>
      <c r="H1104" s="3">
        <f t="shared" si="16"/>
        <v>0</v>
      </c>
    </row>
    <row r="1105" spans="1:8">
      <c r="A1105" t="s">
        <v>2582</v>
      </c>
      <c r="B1105" t="s">
        <v>2583</v>
      </c>
      <c r="C1105" t="s">
        <v>189</v>
      </c>
      <c r="D1105" s="4">
        <v>44800</v>
      </c>
      <c r="E1105" s="4">
        <v>44800</v>
      </c>
      <c r="F1105" s="4">
        <v>89600</v>
      </c>
      <c r="G1105"/>
      <c r="H1105" s="3">
        <f t="shared" si="16"/>
        <v>0</v>
      </c>
    </row>
    <row r="1106" spans="1:8">
      <c r="A1106" t="s">
        <v>2586</v>
      </c>
      <c r="B1106" t="s">
        <v>2587</v>
      </c>
      <c r="C1106" t="s">
        <v>189</v>
      </c>
      <c r="D1106" s="4">
        <v>567300</v>
      </c>
      <c r="E1106" s="4">
        <v>567300</v>
      </c>
      <c r="F1106" s="4">
        <v>1134600</v>
      </c>
      <c r="G1106"/>
      <c r="H1106" s="3">
        <f t="shared" si="16"/>
        <v>0</v>
      </c>
    </row>
    <row r="1107" spans="1:8">
      <c r="A1107" t="s">
        <v>2602</v>
      </c>
      <c r="B1107" t="s">
        <v>2603</v>
      </c>
      <c r="C1107" t="s">
        <v>189</v>
      </c>
      <c r="D1107" s="4">
        <v>178900</v>
      </c>
      <c r="E1107" s="4">
        <v>178900</v>
      </c>
      <c r="F1107" s="4">
        <v>357800</v>
      </c>
      <c r="G1107"/>
      <c r="H1107" s="3">
        <f t="shared" si="16"/>
        <v>0</v>
      </c>
    </row>
    <row r="1108" spans="1:8">
      <c r="A1108" t="s">
        <v>2605</v>
      </c>
      <c r="B1108" t="s">
        <v>2606</v>
      </c>
      <c r="C1108" t="s">
        <v>189</v>
      </c>
      <c r="D1108" s="4">
        <v>362600</v>
      </c>
      <c r="E1108" s="4">
        <v>362600</v>
      </c>
      <c r="F1108" s="4">
        <v>725200</v>
      </c>
      <c r="G1108"/>
      <c r="H1108" s="3">
        <f t="shared" ref="H1108:H1171" si="17">+D1108-E1108</f>
        <v>0</v>
      </c>
    </row>
    <row r="1109" spans="1:8">
      <c r="A1109" t="s">
        <v>2609</v>
      </c>
      <c r="B1109" t="s">
        <v>2610</v>
      </c>
      <c r="C1109" t="s">
        <v>189</v>
      </c>
      <c r="D1109" s="4">
        <v>23400</v>
      </c>
      <c r="E1109" s="4">
        <v>23400</v>
      </c>
      <c r="F1109" s="4">
        <v>46800</v>
      </c>
      <c r="G1109"/>
      <c r="H1109" s="3">
        <f t="shared" si="17"/>
        <v>0</v>
      </c>
    </row>
    <row r="1110" spans="1:8">
      <c r="A1110" t="s">
        <v>2619</v>
      </c>
      <c r="B1110" t="s">
        <v>2620</v>
      </c>
      <c r="C1110" t="s">
        <v>189</v>
      </c>
      <c r="D1110" s="4">
        <v>91900</v>
      </c>
      <c r="E1110" s="4">
        <v>91900</v>
      </c>
      <c r="F1110" s="4">
        <v>183800</v>
      </c>
      <c r="G1110"/>
      <c r="H1110" s="3">
        <f t="shared" si="17"/>
        <v>0</v>
      </c>
    </row>
    <row r="1111" spans="1:8">
      <c r="A1111" t="s">
        <v>2624</v>
      </c>
      <c r="B1111" t="s">
        <v>2625</v>
      </c>
      <c r="C1111" t="s">
        <v>189</v>
      </c>
      <c r="D1111" s="4">
        <v>126700</v>
      </c>
      <c r="E1111" s="4">
        <v>126700</v>
      </c>
      <c r="F1111" s="4">
        <v>253400</v>
      </c>
      <c r="G1111"/>
      <c r="H1111" s="3">
        <f t="shared" si="17"/>
        <v>0</v>
      </c>
    </row>
    <row r="1112" spans="1:8">
      <c r="A1112" t="s">
        <v>2672</v>
      </c>
      <c r="B1112" t="s">
        <v>2673</v>
      </c>
      <c r="C1112" t="s">
        <v>189</v>
      </c>
      <c r="D1112" s="4">
        <v>256600</v>
      </c>
      <c r="E1112" s="4">
        <v>252400</v>
      </c>
      <c r="F1112" s="4">
        <v>509000</v>
      </c>
      <c r="G1112"/>
      <c r="H1112" s="3">
        <f t="shared" si="17"/>
        <v>4200</v>
      </c>
    </row>
    <row r="1113" spans="1:8">
      <c r="A1113" t="s">
        <v>2679</v>
      </c>
      <c r="B1113" t="s">
        <v>2680</v>
      </c>
      <c r="C1113" t="s">
        <v>189</v>
      </c>
      <c r="D1113" s="4">
        <v>779600</v>
      </c>
      <c r="E1113" s="4">
        <v>779600</v>
      </c>
      <c r="F1113" s="4">
        <v>1559200</v>
      </c>
      <c r="G1113"/>
      <c r="H1113" s="3">
        <f t="shared" si="17"/>
        <v>0</v>
      </c>
    </row>
    <row r="1114" spans="1:8">
      <c r="A1114" t="s">
        <v>2692</v>
      </c>
      <c r="B1114" t="s">
        <v>2693</v>
      </c>
      <c r="C1114" t="s">
        <v>189</v>
      </c>
      <c r="D1114" s="4">
        <v>238900</v>
      </c>
      <c r="E1114" s="4">
        <v>238900</v>
      </c>
      <c r="F1114" s="4">
        <v>477800</v>
      </c>
      <c r="G1114"/>
      <c r="H1114" s="3">
        <f t="shared" si="17"/>
        <v>0</v>
      </c>
    </row>
    <row r="1115" spans="1:8">
      <c r="A1115" t="s">
        <v>2730</v>
      </c>
      <c r="B1115" t="s">
        <v>2731</v>
      </c>
      <c r="C1115" t="s">
        <v>189</v>
      </c>
      <c r="D1115" s="4">
        <v>1204000</v>
      </c>
      <c r="E1115" s="4">
        <v>1204000</v>
      </c>
      <c r="F1115" s="4">
        <v>2408000</v>
      </c>
      <c r="G1115"/>
      <c r="H1115" s="3">
        <f t="shared" si="17"/>
        <v>0</v>
      </c>
    </row>
    <row r="1116" spans="1:8">
      <c r="A1116" t="s">
        <v>2736</v>
      </c>
      <c r="B1116" t="s">
        <v>2737</v>
      </c>
      <c r="C1116" t="s">
        <v>189</v>
      </c>
      <c r="D1116" s="4">
        <v>621700</v>
      </c>
      <c r="E1116" s="4">
        <v>621700</v>
      </c>
      <c r="F1116" s="4">
        <v>1243400</v>
      </c>
      <c r="G1116"/>
      <c r="H1116" s="3">
        <f t="shared" si="17"/>
        <v>0</v>
      </c>
    </row>
    <row r="1117" spans="1:8">
      <c r="A1117" t="s">
        <v>2752</v>
      </c>
      <c r="B1117" t="s">
        <v>2753</v>
      </c>
      <c r="C1117" t="s">
        <v>189</v>
      </c>
      <c r="D1117" s="4">
        <v>491200</v>
      </c>
      <c r="E1117" s="4">
        <v>491200</v>
      </c>
      <c r="F1117" s="4">
        <v>982400</v>
      </c>
      <c r="G1117"/>
      <c r="H1117" s="3">
        <f t="shared" si="17"/>
        <v>0</v>
      </c>
    </row>
    <row r="1118" spans="1:8">
      <c r="A1118" t="s">
        <v>2772</v>
      </c>
      <c r="B1118" t="s">
        <v>2773</v>
      </c>
      <c r="C1118" t="s">
        <v>189</v>
      </c>
      <c r="D1118" s="4">
        <v>75200</v>
      </c>
      <c r="E1118" s="4">
        <v>75200</v>
      </c>
      <c r="F1118" s="4">
        <v>150400</v>
      </c>
      <c r="G1118"/>
      <c r="H1118" s="3">
        <f t="shared" si="17"/>
        <v>0</v>
      </c>
    </row>
    <row r="1119" spans="1:8">
      <c r="A1119" t="s">
        <v>2795</v>
      </c>
      <c r="B1119" t="s">
        <v>2796</v>
      </c>
      <c r="C1119" t="s">
        <v>189</v>
      </c>
      <c r="D1119" s="4">
        <v>217800</v>
      </c>
      <c r="E1119" s="4">
        <v>217800</v>
      </c>
      <c r="F1119" s="4">
        <v>435600</v>
      </c>
      <c r="G1119"/>
      <c r="H1119" s="3">
        <f t="shared" si="17"/>
        <v>0</v>
      </c>
    </row>
    <row r="1120" spans="1:8">
      <c r="A1120" t="s">
        <v>2801</v>
      </c>
      <c r="B1120" t="s">
        <v>2802</v>
      </c>
      <c r="C1120" t="s">
        <v>189</v>
      </c>
      <c r="D1120" s="4">
        <v>444400</v>
      </c>
      <c r="E1120" s="4">
        <v>444400</v>
      </c>
      <c r="F1120" s="4">
        <v>888800</v>
      </c>
      <c r="G1120"/>
      <c r="H1120" s="3">
        <f t="shared" si="17"/>
        <v>0</v>
      </c>
    </row>
    <row r="1121" spans="1:8">
      <c r="A1121" t="s">
        <v>2803</v>
      </c>
      <c r="B1121" t="s">
        <v>2804</v>
      </c>
      <c r="C1121" t="s">
        <v>189</v>
      </c>
      <c r="D1121" s="4">
        <v>485300</v>
      </c>
      <c r="E1121" s="4">
        <v>485300</v>
      </c>
      <c r="F1121" s="4">
        <v>970600</v>
      </c>
      <c r="G1121"/>
      <c r="H1121" s="3">
        <f t="shared" si="17"/>
        <v>0</v>
      </c>
    </row>
    <row r="1122" spans="1:8">
      <c r="A1122" t="s">
        <v>2805</v>
      </c>
      <c r="B1122" t="s">
        <v>2806</v>
      </c>
      <c r="C1122" t="s">
        <v>189</v>
      </c>
      <c r="D1122" s="4">
        <v>1175100</v>
      </c>
      <c r="E1122" s="4">
        <v>1175100</v>
      </c>
      <c r="F1122" s="4">
        <v>2350200</v>
      </c>
      <c r="G1122"/>
      <c r="H1122" s="3">
        <f t="shared" si="17"/>
        <v>0</v>
      </c>
    </row>
    <row r="1123" spans="1:8">
      <c r="A1123" t="s">
        <v>2808</v>
      </c>
      <c r="B1123" t="s">
        <v>2809</v>
      </c>
      <c r="C1123" t="s">
        <v>189</v>
      </c>
      <c r="D1123" s="4">
        <v>1204000</v>
      </c>
      <c r="E1123" s="4">
        <v>1204000</v>
      </c>
      <c r="F1123" s="4">
        <v>2408000</v>
      </c>
      <c r="G1123"/>
      <c r="H1123" s="3">
        <f t="shared" si="17"/>
        <v>0</v>
      </c>
    </row>
    <row r="1124" spans="1:8">
      <c r="A1124" t="s">
        <v>2824</v>
      </c>
      <c r="B1124" t="s">
        <v>2825</v>
      </c>
      <c r="C1124" t="s">
        <v>189</v>
      </c>
      <c r="D1124" s="4">
        <v>79100</v>
      </c>
      <c r="E1124" s="4">
        <v>79100</v>
      </c>
      <c r="F1124" s="4">
        <v>158200</v>
      </c>
      <c r="G1124"/>
      <c r="H1124" s="3">
        <f t="shared" si="17"/>
        <v>0</v>
      </c>
    </row>
    <row r="1125" spans="1:8">
      <c r="A1125" t="s">
        <v>2827</v>
      </c>
      <c r="B1125" t="s">
        <v>2828</v>
      </c>
      <c r="C1125" t="s">
        <v>189</v>
      </c>
      <c r="D1125" s="4">
        <v>189400</v>
      </c>
      <c r="E1125" s="4">
        <v>189400</v>
      </c>
      <c r="F1125" s="4">
        <v>378800</v>
      </c>
      <c r="G1125"/>
      <c r="H1125" s="3">
        <f t="shared" si="17"/>
        <v>0</v>
      </c>
    </row>
    <row r="1126" spans="1:8">
      <c r="A1126" t="s">
        <v>2832</v>
      </c>
      <c r="B1126" t="s">
        <v>2833</v>
      </c>
      <c r="C1126" t="s">
        <v>189</v>
      </c>
      <c r="D1126" s="4">
        <v>146100</v>
      </c>
      <c r="E1126" s="4">
        <v>146100</v>
      </c>
      <c r="F1126" s="4">
        <v>292200</v>
      </c>
      <c r="G1126"/>
      <c r="H1126" s="3">
        <f t="shared" si="17"/>
        <v>0</v>
      </c>
    </row>
    <row r="1127" spans="1:8">
      <c r="A1127" t="s">
        <v>2836</v>
      </c>
      <c r="B1127" t="s">
        <v>2837</v>
      </c>
      <c r="C1127" t="s">
        <v>189</v>
      </c>
      <c r="D1127" s="4">
        <v>2024600</v>
      </c>
      <c r="E1127" s="4">
        <v>2024600</v>
      </c>
      <c r="F1127" s="4">
        <v>4049200</v>
      </c>
      <c r="G1127"/>
      <c r="H1127" s="3">
        <f t="shared" si="17"/>
        <v>0</v>
      </c>
    </row>
    <row r="1128" spans="1:8">
      <c r="A1128" t="s">
        <v>2875</v>
      </c>
      <c r="B1128" t="s">
        <v>2876</v>
      </c>
      <c r="C1128" t="s">
        <v>189</v>
      </c>
      <c r="D1128" s="4">
        <v>86100</v>
      </c>
      <c r="E1128" s="4">
        <v>86100</v>
      </c>
      <c r="F1128" s="4">
        <v>172200</v>
      </c>
      <c r="G1128"/>
      <c r="H1128" s="3">
        <f t="shared" si="17"/>
        <v>0</v>
      </c>
    </row>
    <row r="1129" spans="1:8">
      <c r="A1129" t="s">
        <v>2883</v>
      </c>
      <c r="B1129" t="s">
        <v>2884</v>
      </c>
      <c r="C1129" t="s">
        <v>189</v>
      </c>
      <c r="D1129" s="4">
        <v>280100</v>
      </c>
      <c r="E1129" s="4">
        <v>280100</v>
      </c>
      <c r="F1129" s="4">
        <v>560200</v>
      </c>
      <c r="G1129"/>
      <c r="H1129" s="3">
        <f t="shared" si="17"/>
        <v>0</v>
      </c>
    </row>
    <row r="1130" spans="1:8">
      <c r="A1130" t="s">
        <v>2885</v>
      </c>
      <c r="B1130" t="s">
        <v>2886</v>
      </c>
      <c r="C1130" t="s">
        <v>189</v>
      </c>
      <c r="D1130" s="4">
        <v>27200</v>
      </c>
      <c r="E1130" s="4">
        <v>27200</v>
      </c>
      <c r="F1130" s="4">
        <v>54400</v>
      </c>
      <c r="G1130"/>
      <c r="H1130" s="3">
        <f t="shared" si="17"/>
        <v>0</v>
      </c>
    </row>
    <row r="1131" spans="1:8">
      <c r="A1131" t="s">
        <v>2888</v>
      </c>
      <c r="B1131" t="s">
        <v>2889</v>
      </c>
      <c r="C1131" t="s">
        <v>189</v>
      </c>
      <c r="D1131" s="4">
        <v>247000</v>
      </c>
      <c r="E1131" s="4">
        <v>247000</v>
      </c>
      <c r="F1131" s="4">
        <v>494000</v>
      </c>
      <c r="G1131"/>
      <c r="H1131" s="3">
        <f t="shared" si="17"/>
        <v>0</v>
      </c>
    </row>
    <row r="1132" spans="1:8">
      <c r="A1132" t="s">
        <v>2945</v>
      </c>
      <c r="B1132" t="s">
        <v>2946</v>
      </c>
      <c r="C1132" t="s">
        <v>189</v>
      </c>
      <c r="D1132" s="4">
        <v>0</v>
      </c>
      <c r="E1132" s="4">
        <v>0</v>
      </c>
      <c r="F1132" s="4">
        <v>0</v>
      </c>
      <c r="G1132"/>
      <c r="H1132" s="3">
        <f t="shared" si="17"/>
        <v>0</v>
      </c>
    </row>
    <row r="1133" spans="1:8">
      <c r="A1133" t="s">
        <v>2952</v>
      </c>
      <c r="B1133" t="s">
        <v>2953</v>
      </c>
      <c r="C1133" t="s">
        <v>189</v>
      </c>
      <c r="D1133" s="4">
        <v>88200</v>
      </c>
      <c r="E1133" s="4">
        <v>88200</v>
      </c>
      <c r="F1133" s="4">
        <v>176400</v>
      </c>
      <c r="G1133"/>
      <c r="H1133" s="3">
        <f t="shared" si="17"/>
        <v>0</v>
      </c>
    </row>
    <row r="1134" spans="1:8">
      <c r="A1134" t="s">
        <v>2954</v>
      </c>
      <c r="B1134" t="s">
        <v>2955</v>
      </c>
      <c r="C1134" t="s">
        <v>189</v>
      </c>
      <c r="D1134" s="4">
        <v>204300</v>
      </c>
      <c r="E1134" s="4">
        <v>204300</v>
      </c>
      <c r="F1134" s="4">
        <v>408600</v>
      </c>
      <c r="G1134"/>
      <c r="H1134" s="3">
        <f t="shared" si="17"/>
        <v>0</v>
      </c>
    </row>
    <row r="1135" spans="1:8">
      <c r="A1135" t="s">
        <v>2962</v>
      </c>
      <c r="B1135" t="s">
        <v>2963</v>
      </c>
      <c r="C1135" t="s">
        <v>189</v>
      </c>
      <c r="D1135" s="4">
        <v>586200</v>
      </c>
      <c r="E1135" s="4">
        <v>586200</v>
      </c>
      <c r="F1135" s="4">
        <v>1172400</v>
      </c>
      <c r="G1135"/>
      <c r="H1135" s="3">
        <f t="shared" si="17"/>
        <v>0</v>
      </c>
    </row>
    <row r="1136" spans="1:8">
      <c r="A1136" t="s">
        <v>2977</v>
      </c>
      <c r="B1136" t="s">
        <v>2978</v>
      </c>
      <c r="C1136" t="s">
        <v>189</v>
      </c>
      <c r="D1136" s="4">
        <v>341300</v>
      </c>
      <c r="E1136" s="4">
        <v>341300</v>
      </c>
      <c r="F1136" s="4">
        <v>682600</v>
      </c>
      <c r="G1136"/>
      <c r="H1136" s="3">
        <f t="shared" si="17"/>
        <v>0</v>
      </c>
    </row>
    <row r="1137" spans="1:8">
      <c r="A1137" t="s">
        <v>2984</v>
      </c>
      <c r="B1137" t="s">
        <v>2985</v>
      </c>
      <c r="C1137" t="s">
        <v>189</v>
      </c>
      <c r="D1137" s="4">
        <v>533300</v>
      </c>
      <c r="E1137" s="4">
        <v>711100</v>
      </c>
      <c r="F1137" s="4">
        <v>1244400</v>
      </c>
      <c r="G1137"/>
      <c r="H1137" s="3">
        <f t="shared" si="17"/>
        <v>-177800</v>
      </c>
    </row>
    <row r="1138" spans="1:8">
      <c r="A1138" t="s">
        <v>2991</v>
      </c>
      <c r="B1138" t="s">
        <v>2992</v>
      </c>
      <c r="C1138" t="s">
        <v>189</v>
      </c>
      <c r="D1138" s="4">
        <v>508500</v>
      </c>
      <c r="E1138" s="4">
        <v>508500</v>
      </c>
      <c r="F1138" s="4">
        <v>1017000</v>
      </c>
      <c r="G1138"/>
      <c r="H1138" s="3">
        <f t="shared" si="17"/>
        <v>0</v>
      </c>
    </row>
    <row r="1139" spans="1:8">
      <c r="A1139" t="s">
        <v>2997</v>
      </c>
      <c r="B1139" t="s">
        <v>2998</v>
      </c>
      <c r="C1139" t="s">
        <v>189</v>
      </c>
      <c r="D1139" s="4">
        <v>814700</v>
      </c>
      <c r="E1139" s="4">
        <v>814700</v>
      </c>
      <c r="F1139" s="4">
        <v>1629400</v>
      </c>
      <c r="G1139"/>
      <c r="H1139" s="3">
        <f t="shared" si="17"/>
        <v>0</v>
      </c>
    </row>
    <row r="1140" spans="1:8">
      <c r="A1140" t="s">
        <v>3000</v>
      </c>
      <c r="B1140" t="s">
        <v>3001</v>
      </c>
      <c r="C1140" t="s">
        <v>189</v>
      </c>
      <c r="D1140" s="4">
        <v>1175100</v>
      </c>
      <c r="E1140" s="4">
        <v>1175100</v>
      </c>
      <c r="F1140" s="4">
        <v>2350200</v>
      </c>
      <c r="G1140"/>
      <c r="H1140" s="3">
        <f t="shared" si="17"/>
        <v>0</v>
      </c>
    </row>
    <row r="1141" spans="1:8">
      <c r="A1141" t="s">
        <v>3010</v>
      </c>
      <c r="B1141" t="s">
        <v>3011</v>
      </c>
      <c r="C1141" t="s">
        <v>189</v>
      </c>
      <c r="D1141" s="4">
        <v>810900</v>
      </c>
      <c r="E1141" s="4">
        <v>810900</v>
      </c>
      <c r="F1141" s="4">
        <v>1621800</v>
      </c>
      <c r="G1141"/>
      <c r="H1141" s="3">
        <f t="shared" si="17"/>
        <v>0</v>
      </c>
    </row>
    <row r="1142" spans="1:8">
      <c r="A1142" t="s">
        <v>3016</v>
      </c>
      <c r="B1142" t="s">
        <v>3017</v>
      </c>
      <c r="C1142" t="s">
        <v>189</v>
      </c>
      <c r="D1142" s="4">
        <v>386400</v>
      </c>
      <c r="E1142" s="4">
        <v>386400</v>
      </c>
      <c r="F1142" s="4">
        <v>772800</v>
      </c>
      <c r="G1142"/>
      <c r="H1142" s="3">
        <f t="shared" si="17"/>
        <v>0</v>
      </c>
    </row>
    <row r="1143" spans="1:8">
      <c r="A1143" t="s">
        <v>3026</v>
      </c>
      <c r="B1143" t="s">
        <v>3027</v>
      </c>
      <c r="C1143" t="s">
        <v>189</v>
      </c>
      <c r="D1143" s="4">
        <v>1175100</v>
      </c>
      <c r="E1143" s="4">
        <v>1175100</v>
      </c>
      <c r="F1143" s="4">
        <v>2350200</v>
      </c>
      <c r="G1143"/>
      <c r="H1143" s="3">
        <f t="shared" si="17"/>
        <v>0</v>
      </c>
    </row>
    <row r="1144" spans="1:8">
      <c r="A1144" t="s">
        <v>3039</v>
      </c>
      <c r="B1144" t="s">
        <v>3040</v>
      </c>
      <c r="C1144" t="s">
        <v>189</v>
      </c>
      <c r="D1144" s="4">
        <v>175100</v>
      </c>
      <c r="E1144" s="4">
        <v>175100</v>
      </c>
      <c r="F1144" s="4">
        <v>350200</v>
      </c>
      <c r="G1144"/>
      <c r="H1144" s="3">
        <f t="shared" si="17"/>
        <v>0</v>
      </c>
    </row>
    <row r="1145" spans="1:8">
      <c r="A1145" t="s">
        <v>1504</v>
      </c>
      <c r="B1145" t="s">
        <v>1505</v>
      </c>
      <c r="C1145" t="s">
        <v>189</v>
      </c>
      <c r="D1145" s="4">
        <v>181200</v>
      </c>
      <c r="E1145" s="4">
        <v>181200</v>
      </c>
      <c r="F1145" s="4">
        <v>362400</v>
      </c>
      <c r="G1145"/>
      <c r="H1145" s="3">
        <f t="shared" si="17"/>
        <v>0</v>
      </c>
    </row>
    <row r="1146" spans="1:8">
      <c r="A1146" t="s">
        <v>1655</v>
      </c>
      <c r="B1146" t="s">
        <v>1656</v>
      </c>
      <c r="C1146" t="s">
        <v>189</v>
      </c>
      <c r="D1146" s="4">
        <v>37000</v>
      </c>
      <c r="E1146" s="4">
        <v>37000</v>
      </c>
      <c r="F1146" s="4">
        <v>74000</v>
      </c>
      <c r="G1146"/>
      <c r="H1146" s="3">
        <f t="shared" si="17"/>
        <v>0</v>
      </c>
    </row>
    <row r="1147" spans="1:8">
      <c r="A1147" t="s">
        <v>2113</v>
      </c>
      <c r="B1147" t="s">
        <v>2114</v>
      </c>
      <c r="C1147" t="s">
        <v>189</v>
      </c>
      <c r="D1147" s="4">
        <v>121800</v>
      </c>
      <c r="E1147" s="4">
        <v>121800</v>
      </c>
      <c r="F1147" s="4">
        <v>243600</v>
      </c>
      <c r="G1147"/>
      <c r="H1147" s="3">
        <f t="shared" si="17"/>
        <v>0</v>
      </c>
    </row>
    <row r="1148" spans="1:8">
      <c r="A1148" t="s">
        <v>2145</v>
      </c>
      <c r="B1148" t="s">
        <v>2146</v>
      </c>
      <c r="C1148" t="s">
        <v>189</v>
      </c>
      <c r="D1148" s="4">
        <v>27800</v>
      </c>
      <c r="E1148" s="4">
        <v>27800</v>
      </c>
      <c r="F1148" s="4">
        <v>55600</v>
      </c>
      <c r="G1148"/>
      <c r="H1148" s="3">
        <f t="shared" si="17"/>
        <v>0</v>
      </c>
    </row>
    <row r="1149" spans="1:8">
      <c r="A1149" t="s">
        <v>2149</v>
      </c>
      <c r="B1149" t="s">
        <v>2150</v>
      </c>
      <c r="C1149" t="s">
        <v>189</v>
      </c>
      <c r="D1149" s="4">
        <v>137200</v>
      </c>
      <c r="E1149" s="4">
        <v>137200</v>
      </c>
      <c r="F1149" s="4">
        <v>274400</v>
      </c>
      <c r="G1149"/>
      <c r="H1149" s="3">
        <f t="shared" si="17"/>
        <v>0</v>
      </c>
    </row>
    <row r="1150" spans="1:8">
      <c r="A1150" t="s">
        <v>2156</v>
      </c>
      <c r="B1150" t="s">
        <v>2157</v>
      </c>
      <c r="C1150" t="s">
        <v>189</v>
      </c>
      <c r="D1150" s="4">
        <v>134500</v>
      </c>
      <c r="E1150" s="4">
        <v>134500</v>
      </c>
      <c r="F1150" s="4">
        <v>269000</v>
      </c>
      <c r="G1150"/>
      <c r="H1150" s="3">
        <f t="shared" si="17"/>
        <v>0</v>
      </c>
    </row>
    <row r="1151" spans="1:8">
      <c r="A1151" t="s">
        <v>2265</v>
      </c>
      <c r="B1151" t="s">
        <v>2266</v>
      </c>
      <c r="C1151" t="s">
        <v>189</v>
      </c>
      <c r="D1151" s="4">
        <v>195200</v>
      </c>
      <c r="E1151" s="4">
        <v>195200</v>
      </c>
      <c r="F1151" s="4">
        <v>390400</v>
      </c>
      <c r="G1151"/>
      <c r="H1151" s="3">
        <f t="shared" si="17"/>
        <v>0</v>
      </c>
    </row>
    <row r="1152" spans="1:8">
      <c r="A1152" t="s">
        <v>2390</v>
      </c>
      <c r="B1152" t="s">
        <v>2391</v>
      </c>
      <c r="C1152" t="s">
        <v>189</v>
      </c>
      <c r="D1152" s="4">
        <v>154100</v>
      </c>
      <c r="E1152" s="4">
        <v>154100</v>
      </c>
      <c r="F1152" s="4">
        <v>308200</v>
      </c>
      <c r="G1152"/>
      <c r="H1152" s="3">
        <f t="shared" si="17"/>
        <v>0</v>
      </c>
    </row>
    <row r="1153" spans="1:8">
      <c r="A1153" t="s">
        <v>2431</v>
      </c>
      <c r="B1153" t="s">
        <v>2432</v>
      </c>
      <c r="C1153" t="s">
        <v>189</v>
      </c>
      <c r="D1153" s="4">
        <v>153500</v>
      </c>
      <c r="E1153" s="4">
        <v>153500</v>
      </c>
      <c r="F1153" s="4">
        <v>307000</v>
      </c>
      <c r="G1153"/>
      <c r="H1153" s="3">
        <f t="shared" si="17"/>
        <v>0</v>
      </c>
    </row>
    <row r="1154" spans="1:8">
      <c r="A1154" t="s">
        <v>2484</v>
      </c>
      <c r="B1154" t="s">
        <v>2485</v>
      </c>
      <c r="C1154" t="s">
        <v>189</v>
      </c>
      <c r="D1154" s="4">
        <v>175000</v>
      </c>
      <c r="E1154" s="4">
        <v>175000</v>
      </c>
      <c r="F1154" s="4">
        <v>350000</v>
      </c>
      <c r="G1154"/>
      <c r="H1154" s="3">
        <f t="shared" si="17"/>
        <v>0</v>
      </c>
    </row>
    <row r="1155" spans="1:8">
      <c r="A1155" t="s">
        <v>2714</v>
      </c>
      <c r="B1155" t="s">
        <v>2715</v>
      </c>
      <c r="C1155" t="s">
        <v>189</v>
      </c>
      <c r="D1155" s="4">
        <v>170800</v>
      </c>
      <c r="E1155" s="4">
        <v>170800</v>
      </c>
      <c r="F1155" s="4">
        <v>341600</v>
      </c>
      <c r="G1155"/>
      <c r="H1155" s="3">
        <f t="shared" si="17"/>
        <v>0</v>
      </c>
    </row>
    <row r="1156" spans="1:8">
      <c r="A1156" t="s">
        <v>2812</v>
      </c>
      <c r="B1156" t="s">
        <v>2813</v>
      </c>
      <c r="C1156" t="s">
        <v>189</v>
      </c>
      <c r="D1156" s="4">
        <v>261800</v>
      </c>
      <c r="E1156" s="4">
        <v>261800</v>
      </c>
      <c r="F1156" s="4">
        <v>523600</v>
      </c>
      <c r="G1156"/>
      <c r="H1156" s="3">
        <f t="shared" si="17"/>
        <v>0</v>
      </c>
    </row>
    <row r="1157" spans="1:8">
      <c r="A1157" t="s">
        <v>1509</v>
      </c>
      <c r="B1157" t="s">
        <v>1510</v>
      </c>
      <c r="C1157" t="s">
        <v>189</v>
      </c>
      <c r="D1157" s="4">
        <v>143400</v>
      </c>
      <c r="E1157" s="4">
        <v>143400</v>
      </c>
      <c r="F1157" s="4">
        <v>286800</v>
      </c>
      <c r="G1157"/>
      <c r="H1157" s="3">
        <f t="shared" si="17"/>
        <v>0</v>
      </c>
    </row>
    <row r="1158" spans="1:8">
      <c r="A1158" t="s">
        <v>2152</v>
      </c>
      <c r="B1158" t="s">
        <v>2153</v>
      </c>
      <c r="C1158" t="s">
        <v>189</v>
      </c>
      <c r="D1158" s="4">
        <v>133500</v>
      </c>
      <c r="E1158" s="4">
        <v>133500</v>
      </c>
      <c r="F1158" s="4">
        <v>267000</v>
      </c>
      <c r="G1158"/>
      <c r="H1158" s="3">
        <f t="shared" si="17"/>
        <v>0</v>
      </c>
    </row>
    <row r="1159" spans="1:8">
      <c r="A1159" t="s">
        <v>2191</v>
      </c>
      <c r="B1159" t="s">
        <v>2192</v>
      </c>
      <c r="C1159" t="s">
        <v>189</v>
      </c>
      <c r="D1159" s="4">
        <v>139300</v>
      </c>
      <c r="E1159" s="4">
        <v>139300</v>
      </c>
      <c r="F1159" s="4">
        <v>278600</v>
      </c>
      <c r="G1159"/>
      <c r="H1159" s="3">
        <f t="shared" si="17"/>
        <v>0</v>
      </c>
    </row>
    <row r="1160" spans="1:8">
      <c r="A1160" t="s">
        <v>2195</v>
      </c>
      <c r="B1160" t="s">
        <v>2196</v>
      </c>
      <c r="C1160" t="s">
        <v>189</v>
      </c>
      <c r="D1160" s="4">
        <v>164600</v>
      </c>
      <c r="E1160" s="4">
        <v>164600</v>
      </c>
      <c r="F1160" s="4">
        <v>329200</v>
      </c>
      <c r="G1160"/>
      <c r="H1160" s="3">
        <f t="shared" si="17"/>
        <v>0</v>
      </c>
    </row>
    <row r="1161" spans="1:8">
      <c r="A1161" t="s">
        <v>2203</v>
      </c>
      <c r="B1161" t="s">
        <v>2204</v>
      </c>
      <c r="C1161" t="s">
        <v>189</v>
      </c>
      <c r="D1161" s="4">
        <v>139300</v>
      </c>
      <c r="E1161" s="4">
        <v>139300</v>
      </c>
      <c r="F1161" s="4">
        <v>278600</v>
      </c>
      <c r="G1161"/>
      <c r="H1161" s="3">
        <f t="shared" si="17"/>
        <v>0</v>
      </c>
    </row>
    <row r="1162" spans="1:8">
      <c r="A1162" t="s">
        <v>2213</v>
      </c>
      <c r="B1162" t="s">
        <v>2214</v>
      </c>
      <c r="C1162" t="s">
        <v>189</v>
      </c>
      <c r="D1162" s="4">
        <v>144100</v>
      </c>
      <c r="E1162" s="4">
        <v>144100</v>
      </c>
      <c r="F1162" s="4">
        <v>288200</v>
      </c>
      <c r="G1162"/>
      <c r="H1162" s="3">
        <f t="shared" si="17"/>
        <v>0</v>
      </c>
    </row>
    <row r="1163" spans="1:8">
      <c r="A1163" t="s">
        <v>2224</v>
      </c>
      <c r="B1163" t="s">
        <v>2225</v>
      </c>
      <c r="C1163" t="s">
        <v>189</v>
      </c>
      <c r="D1163" s="4">
        <v>161500</v>
      </c>
      <c r="E1163" s="4">
        <v>161500</v>
      </c>
      <c r="F1163" s="4">
        <v>323000</v>
      </c>
      <c r="G1163"/>
      <c r="H1163" s="3">
        <f t="shared" si="17"/>
        <v>0</v>
      </c>
    </row>
    <row r="1164" spans="1:8">
      <c r="A1164" t="s">
        <v>2272</v>
      </c>
      <c r="B1164" t="s">
        <v>2273</v>
      </c>
      <c r="C1164" t="s">
        <v>189</v>
      </c>
      <c r="D1164" s="4">
        <v>151900</v>
      </c>
      <c r="E1164" s="4">
        <v>151900</v>
      </c>
      <c r="F1164" s="4">
        <v>303800</v>
      </c>
      <c r="G1164"/>
      <c r="H1164" s="3">
        <f t="shared" si="17"/>
        <v>0</v>
      </c>
    </row>
    <row r="1165" spans="1:8">
      <c r="A1165" t="s">
        <v>2279</v>
      </c>
      <c r="B1165" t="s">
        <v>2280</v>
      </c>
      <c r="C1165" t="s">
        <v>189</v>
      </c>
      <c r="D1165" s="4">
        <v>234400</v>
      </c>
      <c r="E1165" s="4">
        <v>234400</v>
      </c>
      <c r="F1165" s="4">
        <v>468800</v>
      </c>
      <c r="G1165"/>
      <c r="H1165" s="3">
        <f t="shared" si="17"/>
        <v>0</v>
      </c>
    </row>
    <row r="1166" spans="1:8">
      <c r="A1166" t="s">
        <v>2422</v>
      </c>
      <c r="B1166" t="s">
        <v>2423</v>
      </c>
      <c r="C1166" t="s">
        <v>189</v>
      </c>
      <c r="D1166" s="4">
        <v>157200</v>
      </c>
      <c r="E1166" s="4">
        <v>157200</v>
      </c>
      <c r="F1166" s="4">
        <v>314400</v>
      </c>
      <c r="G1166"/>
      <c r="H1166" s="3">
        <f t="shared" si="17"/>
        <v>0</v>
      </c>
    </row>
    <row r="1167" spans="1:8">
      <c r="A1167" t="s">
        <v>2434</v>
      </c>
      <c r="B1167" t="s">
        <v>2435</v>
      </c>
      <c r="C1167" t="s">
        <v>189</v>
      </c>
      <c r="D1167" s="4">
        <v>208600</v>
      </c>
      <c r="E1167" s="4">
        <v>208600</v>
      </c>
      <c r="F1167" s="4">
        <v>417200</v>
      </c>
      <c r="G1167"/>
      <c r="H1167" s="3">
        <f t="shared" si="17"/>
        <v>0</v>
      </c>
    </row>
    <row r="1168" spans="1:8">
      <c r="A1168" t="s">
        <v>2462</v>
      </c>
      <c r="B1168" t="s">
        <v>2463</v>
      </c>
      <c r="C1168" t="s">
        <v>189</v>
      </c>
      <c r="D1168" s="4">
        <v>174500</v>
      </c>
      <c r="E1168" s="4">
        <v>174500</v>
      </c>
      <c r="F1168" s="4">
        <v>349000</v>
      </c>
      <c r="G1168"/>
      <c r="H1168" s="3">
        <f t="shared" si="17"/>
        <v>0</v>
      </c>
    </row>
    <row r="1169" spans="1:8">
      <c r="A1169" t="s">
        <v>2473</v>
      </c>
      <c r="B1169" t="s">
        <v>2474</v>
      </c>
      <c r="C1169" t="s">
        <v>189</v>
      </c>
      <c r="D1169" s="4">
        <v>184700</v>
      </c>
      <c r="E1169" s="4">
        <v>184700</v>
      </c>
      <c r="F1169" s="4">
        <v>369400</v>
      </c>
      <c r="G1169"/>
      <c r="H1169" s="3">
        <f t="shared" si="17"/>
        <v>0</v>
      </c>
    </row>
    <row r="1170" spans="1:8">
      <c r="A1170" t="s">
        <v>2747</v>
      </c>
      <c r="B1170" t="s">
        <v>2748</v>
      </c>
      <c r="C1170" t="s">
        <v>189</v>
      </c>
      <c r="D1170" s="4">
        <v>288600</v>
      </c>
      <c r="E1170" s="4">
        <v>288600</v>
      </c>
      <c r="F1170" s="4">
        <v>577200</v>
      </c>
      <c r="G1170"/>
      <c r="H1170" s="3">
        <f t="shared" si="17"/>
        <v>0</v>
      </c>
    </row>
    <row r="1171" spans="1:8">
      <c r="A1171" t="s">
        <v>2820</v>
      </c>
      <c r="B1171" t="s">
        <v>2821</v>
      </c>
      <c r="C1171" t="s">
        <v>189</v>
      </c>
      <c r="D1171" s="4">
        <v>246300</v>
      </c>
      <c r="E1171" s="4">
        <v>246300</v>
      </c>
      <c r="F1171" s="4">
        <v>492600</v>
      </c>
      <c r="G1171"/>
      <c r="H1171" s="3">
        <f t="shared" si="17"/>
        <v>0</v>
      </c>
    </row>
    <row r="1172" spans="1:8">
      <c r="A1172" t="s">
        <v>2877</v>
      </c>
      <c r="B1172" t="s">
        <v>2878</v>
      </c>
      <c r="C1172" t="s">
        <v>189</v>
      </c>
      <c r="D1172" s="4">
        <v>192900</v>
      </c>
      <c r="E1172" s="4">
        <v>192900</v>
      </c>
      <c r="F1172" s="4">
        <v>385800</v>
      </c>
      <c r="G1172"/>
      <c r="H1172" s="3">
        <f t="shared" ref="H1172:H1235" si="18">+D1172-E1172</f>
        <v>0</v>
      </c>
    </row>
    <row r="1173" spans="1:8">
      <c r="A1173" t="s">
        <v>1533</v>
      </c>
      <c r="B1173" t="s">
        <v>1534</v>
      </c>
      <c r="C1173" t="s">
        <v>189</v>
      </c>
      <c r="D1173" s="4">
        <v>129500</v>
      </c>
      <c r="E1173" s="4">
        <v>129500</v>
      </c>
      <c r="F1173" s="4">
        <v>259000</v>
      </c>
      <c r="G1173"/>
      <c r="H1173" s="3">
        <f t="shared" si="18"/>
        <v>0</v>
      </c>
    </row>
    <row r="1174" spans="1:8">
      <c r="A1174" t="s">
        <v>1538</v>
      </c>
      <c r="B1174" t="s">
        <v>1539</v>
      </c>
      <c r="C1174" t="s">
        <v>189</v>
      </c>
      <c r="D1174" s="4">
        <v>141800</v>
      </c>
      <c r="E1174" s="4">
        <v>141800</v>
      </c>
      <c r="F1174" s="4">
        <v>283600</v>
      </c>
      <c r="G1174"/>
      <c r="H1174" s="3">
        <f t="shared" si="18"/>
        <v>0</v>
      </c>
    </row>
    <row r="1175" spans="1:8">
      <c r="A1175" t="s">
        <v>1559</v>
      </c>
      <c r="B1175" t="s">
        <v>1560</v>
      </c>
      <c r="C1175" t="s">
        <v>189</v>
      </c>
      <c r="D1175" s="4">
        <v>117100</v>
      </c>
      <c r="E1175" s="4">
        <v>117100</v>
      </c>
      <c r="F1175" s="4">
        <v>234200</v>
      </c>
      <c r="G1175"/>
      <c r="H1175" s="3">
        <f t="shared" si="18"/>
        <v>0</v>
      </c>
    </row>
    <row r="1176" spans="1:8">
      <c r="A1176" t="s">
        <v>1641</v>
      </c>
      <c r="B1176" t="s">
        <v>1642</v>
      </c>
      <c r="C1176" t="s">
        <v>189</v>
      </c>
      <c r="D1176" s="4">
        <v>395100</v>
      </c>
      <c r="E1176" s="4">
        <v>395100</v>
      </c>
      <c r="F1176" s="4">
        <v>790200</v>
      </c>
      <c r="G1176"/>
      <c r="H1176" s="3">
        <f t="shared" si="18"/>
        <v>0</v>
      </c>
    </row>
    <row r="1177" spans="1:8">
      <c r="A1177" t="s">
        <v>1820</v>
      </c>
      <c r="B1177" t="s">
        <v>1821</v>
      </c>
      <c r="C1177" t="s">
        <v>189</v>
      </c>
      <c r="D1177" s="4">
        <v>252000</v>
      </c>
      <c r="E1177" s="4">
        <v>252000</v>
      </c>
      <c r="F1177" s="4">
        <v>504000</v>
      </c>
      <c r="G1177"/>
      <c r="H1177" s="3">
        <f t="shared" si="18"/>
        <v>0</v>
      </c>
    </row>
    <row r="1178" spans="1:8">
      <c r="A1178" t="s">
        <v>1831</v>
      </c>
      <c r="B1178" t="s">
        <v>1832</v>
      </c>
      <c r="C1178" t="s">
        <v>189</v>
      </c>
      <c r="D1178" s="4">
        <v>263800</v>
      </c>
      <c r="E1178" s="4">
        <v>263800</v>
      </c>
      <c r="F1178" s="4">
        <v>527600</v>
      </c>
      <c r="G1178"/>
      <c r="H1178" s="3">
        <f t="shared" si="18"/>
        <v>0</v>
      </c>
    </row>
    <row r="1179" spans="1:8">
      <c r="A1179" t="s">
        <v>1934</v>
      </c>
      <c r="B1179" t="s">
        <v>1935</v>
      </c>
      <c r="C1179" t="s">
        <v>189</v>
      </c>
      <c r="D1179" s="4">
        <v>225300</v>
      </c>
      <c r="E1179" s="4">
        <v>225300</v>
      </c>
      <c r="F1179" s="4">
        <v>450600</v>
      </c>
      <c r="G1179"/>
      <c r="H1179" s="3">
        <f t="shared" si="18"/>
        <v>0</v>
      </c>
    </row>
    <row r="1180" spans="1:8">
      <c r="A1180" t="s">
        <v>2173</v>
      </c>
      <c r="B1180" t="s">
        <v>2174</v>
      </c>
      <c r="C1180" t="s">
        <v>189</v>
      </c>
      <c r="D1180" s="4">
        <v>170800</v>
      </c>
      <c r="E1180" s="4"/>
      <c r="F1180" s="4">
        <v>170800</v>
      </c>
      <c r="G1180"/>
      <c r="H1180" s="3">
        <f t="shared" si="18"/>
        <v>170800</v>
      </c>
    </row>
    <row r="1181" spans="1:8">
      <c r="B1181" t="s">
        <v>3058</v>
      </c>
      <c r="C1181" t="s">
        <v>189</v>
      </c>
      <c r="D1181" s="4"/>
      <c r="E1181" s="4">
        <v>170800</v>
      </c>
      <c r="F1181" s="4">
        <v>170800</v>
      </c>
      <c r="G1181"/>
      <c r="H1181" s="3">
        <f t="shared" si="18"/>
        <v>-170800</v>
      </c>
    </row>
    <row r="1182" spans="1:8">
      <c r="A1182" t="s">
        <v>2184</v>
      </c>
      <c r="B1182" t="s">
        <v>2185</v>
      </c>
      <c r="C1182" t="s">
        <v>189</v>
      </c>
      <c r="D1182" s="4">
        <v>135600</v>
      </c>
      <c r="E1182" s="4">
        <v>135600</v>
      </c>
      <c r="F1182" s="4">
        <v>271200</v>
      </c>
      <c r="G1182"/>
      <c r="H1182" s="3">
        <f t="shared" si="18"/>
        <v>0</v>
      </c>
    </row>
    <row r="1183" spans="1:8">
      <c r="A1183" t="s">
        <v>2360</v>
      </c>
      <c r="B1183" t="s">
        <v>2361</v>
      </c>
      <c r="C1183" t="s">
        <v>189</v>
      </c>
      <c r="D1183" s="4">
        <v>151000</v>
      </c>
      <c r="E1183" s="4">
        <v>151000</v>
      </c>
      <c r="F1183" s="4">
        <v>302000</v>
      </c>
      <c r="G1183"/>
      <c r="H1183" s="3">
        <f t="shared" si="18"/>
        <v>0</v>
      </c>
    </row>
    <row r="1184" spans="1:8">
      <c r="A1184" t="s">
        <v>2371</v>
      </c>
      <c r="B1184" t="s">
        <v>2372</v>
      </c>
      <c r="C1184" t="s">
        <v>189</v>
      </c>
      <c r="D1184" s="4">
        <v>149600</v>
      </c>
      <c r="E1184" s="4">
        <v>149600</v>
      </c>
      <c r="F1184" s="4">
        <v>299200</v>
      </c>
      <c r="G1184"/>
      <c r="H1184" s="3">
        <f t="shared" si="18"/>
        <v>0</v>
      </c>
    </row>
    <row r="1185" spans="1:8">
      <c r="A1185" t="s">
        <v>2376</v>
      </c>
      <c r="B1185" t="s">
        <v>2377</v>
      </c>
      <c r="C1185" t="s">
        <v>189</v>
      </c>
      <c r="D1185" s="4">
        <v>12500</v>
      </c>
      <c r="E1185" s="4">
        <v>12500</v>
      </c>
      <c r="F1185" s="4">
        <v>25000</v>
      </c>
      <c r="G1185"/>
      <c r="H1185" s="3">
        <f t="shared" si="18"/>
        <v>0</v>
      </c>
    </row>
    <row r="1186" spans="1:8">
      <c r="A1186" t="s">
        <v>2384</v>
      </c>
      <c r="B1186" t="s">
        <v>2385</v>
      </c>
      <c r="C1186" t="s">
        <v>189</v>
      </c>
      <c r="D1186" s="4">
        <v>137600</v>
      </c>
      <c r="E1186" s="4">
        <v>137600</v>
      </c>
      <c r="F1186" s="4">
        <v>275200</v>
      </c>
      <c r="G1186"/>
      <c r="H1186" s="3">
        <f t="shared" si="18"/>
        <v>0</v>
      </c>
    </row>
    <row r="1187" spans="1:8">
      <c r="A1187" t="s">
        <v>2388</v>
      </c>
      <c r="B1187" t="s">
        <v>2389</v>
      </c>
      <c r="C1187" t="s">
        <v>189</v>
      </c>
      <c r="D1187" s="4">
        <v>150300</v>
      </c>
      <c r="E1187" s="4">
        <v>150300</v>
      </c>
      <c r="F1187" s="4">
        <v>300600</v>
      </c>
      <c r="G1187"/>
      <c r="H1187" s="3">
        <f t="shared" si="18"/>
        <v>0</v>
      </c>
    </row>
    <row r="1188" spans="1:8">
      <c r="A1188" t="s">
        <v>2401</v>
      </c>
      <c r="B1188" t="s">
        <v>2402</v>
      </c>
      <c r="C1188" t="s">
        <v>189</v>
      </c>
      <c r="D1188" s="4">
        <v>142000</v>
      </c>
      <c r="E1188" s="4">
        <v>142000</v>
      </c>
      <c r="F1188" s="4">
        <v>284000</v>
      </c>
      <c r="G1188"/>
      <c r="H1188" s="3">
        <f t="shared" si="18"/>
        <v>0</v>
      </c>
    </row>
    <row r="1189" spans="1:8">
      <c r="A1189" t="s">
        <v>2466</v>
      </c>
      <c r="B1189" t="s">
        <v>2467</v>
      </c>
      <c r="C1189" t="s">
        <v>189</v>
      </c>
      <c r="D1189" s="4">
        <v>187100</v>
      </c>
      <c r="E1189" s="4">
        <v>187100</v>
      </c>
      <c r="F1189" s="4">
        <v>374200</v>
      </c>
      <c r="G1189"/>
      <c r="H1189" s="3">
        <f t="shared" si="18"/>
        <v>0</v>
      </c>
    </row>
    <row r="1190" spans="1:8">
      <c r="A1190" t="s">
        <v>2542</v>
      </c>
      <c r="B1190" t="s">
        <v>2543</v>
      </c>
      <c r="C1190" t="s">
        <v>189</v>
      </c>
      <c r="D1190" s="4">
        <v>147000</v>
      </c>
      <c r="E1190" s="4">
        <v>147000</v>
      </c>
      <c r="F1190" s="4">
        <v>294000</v>
      </c>
      <c r="G1190"/>
      <c r="H1190" s="3">
        <f t="shared" si="18"/>
        <v>0</v>
      </c>
    </row>
    <row r="1191" spans="1:8">
      <c r="A1191" t="s">
        <v>2589</v>
      </c>
      <c r="B1191" t="s">
        <v>2590</v>
      </c>
      <c r="C1191" t="s">
        <v>189</v>
      </c>
      <c r="D1191" s="4">
        <v>158000</v>
      </c>
      <c r="E1191" s="4">
        <v>157900</v>
      </c>
      <c r="F1191" s="4">
        <v>315900</v>
      </c>
      <c r="G1191"/>
      <c r="H1191" s="3">
        <f t="shared" si="18"/>
        <v>100</v>
      </c>
    </row>
    <row r="1192" spans="1:8">
      <c r="A1192" t="s">
        <v>2912</v>
      </c>
      <c r="B1192" t="s">
        <v>2913</v>
      </c>
      <c r="C1192" t="s">
        <v>189</v>
      </c>
      <c r="D1192" s="4">
        <v>160300</v>
      </c>
      <c r="E1192" s="4">
        <v>160300</v>
      </c>
      <c r="F1192" s="4">
        <v>320600</v>
      </c>
      <c r="G1192"/>
      <c r="H1192" s="3">
        <f t="shared" si="18"/>
        <v>0</v>
      </c>
    </row>
    <row r="1193" spans="1:8">
      <c r="A1193" t="s">
        <v>3012</v>
      </c>
      <c r="B1193" t="s">
        <v>3013</v>
      </c>
      <c r="C1193" t="s">
        <v>189</v>
      </c>
      <c r="D1193" s="4">
        <v>390900</v>
      </c>
      <c r="E1193" s="4">
        <v>390900</v>
      </c>
      <c r="F1193" s="4">
        <v>781800</v>
      </c>
      <c r="G1193"/>
      <c r="H1193" s="3">
        <f t="shared" si="18"/>
        <v>0</v>
      </c>
    </row>
    <row r="1194" spans="1:8">
      <c r="A1194" t="s">
        <v>1564</v>
      </c>
      <c r="B1194" t="s">
        <v>1565</v>
      </c>
      <c r="C1194" t="s">
        <v>189</v>
      </c>
      <c r="D1194" s="4">
        <v>170800</v>
      </c>
      <c r="E1194" s="4">
        <v>170800</v>
      </c>
      <c r="F1194" s="4">
        <v>341600</v>
      </c>
      <c r="G1194"/>
      <c r="H1194" s="3">
        <f t="shared" si="18"/>
        <v>0</v>
      </c>
    </row>
    <row r="1195" spans="1:8">
      <c r="A1195" t="s">
        <v>1946</v>
      </c>
      <c r="B1195" t="s">
        <v>1947</v>
      </c>
      <c r="C1195" t="s">
        <v>189</v>
      </c>
      <c r="D1195" s="4">
        <v>185700</v>
      </c>
      <c r="E1195" s="4">
        <v>185700</v>
      </c>
      <c r="F1195" s="4">
        <v>371400</v>
      </c>
      <c r="G1195"/>
      <c r="H1195" s="3">
        <f t="shared" si="18"/>
        <v>0</v>
      </c>
    </row>
    <row r="1196" spans="1:8">
      <c r="A1196" t="s">
        <v>2166</v>
      </c>
      <c r="B1196" t="s">
        <v>2167</v>
      </c>
      <c r="C1196" t="s">
        <v>189</v>
      </c>
      <c r="D1196" s="4">
        <v>134600</v>
      </c>
      <c r="E1196" s="4">
        <v>134600</v>
      </c>
      <c r="F1196" s="4">
        <v>269200</v>
      </c>
      <c r="G1196"/>
      <c r="H1196" s="3">
        <f t="shared" si="18"/>
        <v>0</v>
      </c>
    </row>
    <row r="1197" spans="1:8">
      <c r="A1197" t="s">
        <v>2216</v>
      </c>
      <c r="B1197" t="s">
        <v>2217</v>
      </c>
      <c r="C1197" t="s">
        <v>189</v>
      </c>
      <c r="D1197" s="4">
        <v>180500</v>
      </c>
      <c r="E1197" s="4">
        <v>180500</v>
      </c>
      <c r="F1197" s="4">
        <v>361000</v>
      </c>
      <c r="G1197"/>
      <c r="H1197" s="3">
        <f t="shared" si="18"/>
        <v>0</v>
      </c>
    </row>
    <row r="1198" spans="1:8">
      <c r="A1198" t="s">
        <v>2327</v>
      </c>
      <c r="B1198" t="s">
        <v>2328</v>
      </c>
      <c r="C1198" t="s">
        <v>189</v>
      </c>
      <c r="D1198" s="4">
        <v>199300</v>
      </c>
      <c r="E1198" s="4">
        <v>199300</v>
      </c>
      <c r="F1198" s="4">
        <v>398600</v>
      </c>
      <c r="G1198"/>
      <c r="H1198" s="3">
        <f t="shared" si="18"/>
        <v>0</v>
      </c>
    </row>
    <row r="1199" spans="1:8">
      <c r="A1199" t="s">
        <v>3069</v>
      </c>
      <c r="B1199" t="s">
        <v>3070</v>
      </c>
      <c r="C1199" t="s">
        <v>25</v>
      </c>
      <c r="D1199" s="4"/>
      <c r="E1199" s="4">
        <v>0</v>
      </c>
      <c r="F1199" s="4">
        <v>0</v>
      </c>
      <c r="G1199"/>
      <c r="H1199" s="3">
        <f t="shared" si="18"/>
        <v>0</v>
      </c>
    </row>
    <row r="1200" spans="1:8">
      <c r="A1200" t="s">
        <v>1475</v>
      </c>
      <c r="B1200" t="s">
        <v>1476</v>
      </c>
      <c r="C1200" t="s">
        <v>189</v>
      </c>
      <c r="D1200" s="4">
        <v>137400</v>
      </c>
      <c r="E1200" s="4">
        <v>137400</v>
      </c>
      <c r="F1200" s="4">
        <v>274800</v>
      </c>
      <c r="G1200"/>
      <c r="H1200" s="3">
        <f t="shared" si="18"/>
        <v>0</v>
      </c>
    </row>
    <row r="1201" spans="1:8">
      <c r="A1201" t="s">
        <v>1520</v>
      </c>
      <c r="B1201" t="s">
        <v>1521</v>
      </c>
      <c r="C1201" t="s">
        <v>189</v>
      </c>
      <c r="D1201" s="4">
        <v>147000</v>
      </c>
      <c r="E1201" s="4">
        <v>147000</v>
      </c>
      <c r="F1201" s="4">
        <v>294000</v>
      </c>
      <c r="G1201"/>
      <c r="H1201" s="3">
        <f t="shared" si="18"/>
        <v>0</v>
      </c>
    </row>
    <row r="1202" spans="1:8">
      <c r="A1202" t="s">
        <v>1524</v>
      </c>
      <c r="B1202" t="s">
        <v>1525</v>
      </c>
      <c r="C1202" t="s">
        <v>189</v>
      </c>
      <c r="D1202" s="4">
        <v>155800</v>
      </c>
      <c r="E1202" s="4">
        <v>155800</v>
      </c>
      <c r="F1202" s="4">
        <v>311600</v>
      </c>
      <c r="G1202"/>
      <c r="H1202" s="3">
        <f t="shared" si="18"/>
        <v>0</v>
      </c>
    </row>
    <row r="1203" spans="1:8">
      <c r="A1203" t="s">
        <v>1528</v>
      </c>
      <c r="B1203" t="s">
        <v>1529</v>
      </c>
      <c r="C1203" t="s">
        <v>189</v>
      </c>
      <c r="D1203" s="4">
        <v>144100</v>
      </c>
      <c r="E1203" s="4">
        <v>144100</v>
      </c>
      <c r="F1203" s="4">
        <v>288200</v>
      </c>
      <c r="G1203"/>
      <c r="H1203" s="3">
        <f t="shared" si="18"/>
        <v>0</v>
      </c>
    </row>
    <row r="1204" spans="1:8">
      <c r="A1204" t="s">
        <v>1544</v>
      </c>
      <c r="B1204" t="s">
        <v>1545</v>
      </c>
      <c r="C1204" t="s">
        <v>189</v>
      </c>
      <c r="D1204" s="4">
        <v>138100</v>
      </c>
      <c r="E1204" s="4">
        <v>138100</v>
      </c>
      <c r="F1204" s="4">
        <v>276200</v>
      </c>
      <c r="G1204"/>
      <c r="H1204" s="3">
        <f t="shared" si="18"/>
        <v>0</v>
      </c>
    </row>
    <row r="1205" spans="1:8">
      <c r="A1205" t="s">
        <v>1549</v>
      </c>
      <c r="B1205" t="s">
        <v>1550</v>
      </c>
      <c r="C1205" t="s">
        <v>189</v>
      </c>
      <c r="D1205" s="4">
        <v>143600</v>
      </c>
      <c r="E1205" s="4">
        <v>143600</v>
      </c>
      <c r="F1205" s="4">
        <v>287200</v>
      </c>
      <c r="G1205"/>
      <c r="H1205" s="3">
        <f t="shared" si="18"/>
        <v>0</v>
      </c>
    </row>
    <row r="1206" spans="1:8">
      <c r="A1206" t="s">
        <v>1774</v>
      </c>
      <c r="B1206" t="s">
        <v>1775</v>
      </c>
      <c r="C1206" t="s">
        <v>189</v>
      </c>
      <c r="D1206" s="4">
        <v>159100</v>
      </c>
      <c r="E1206" s="4">
        <v>159100</v>
      </c>
      <c r="F1206" s="4">
        <v>318200</v>
      </c>
      <c r="G1206"/>
      <c r="H1206" s="3">
        <f t="shared" si="18"/>
        <v>0</v>
      </c>
    </row>
    <row r="1207" spans="1:8">
      <c r="A1207" t="s">
        <v>1841</v>
      </c>
      <c r="B1207" t="s">
        <v>1842</v>
      </c>
      <c r="C1207" t="s">
        <v>189</v>
      </c>
      <c r="D1207" s="4">
        <v>156000</v>
      </c>
      <c r="E1207" s="4">
        <v>156000</v>
      </c>
      <c r="F1207" s="4">
        <v>312000</v>
      </c>
      <c r="G1207"/>
      <c r="H1207" s="3">
        <f t="shared" si="18"/>
        <v>0</v>
      </c>
    </row>
    <row r="1208" spans="1:8">
      <c r="A1208" t="s">
        <v>1846</v>
      </c>
      <c r="B1208" t="s">
        <v>1847</v>
      </c>
      <c r="C1208" t="s">
        <v>189</v>
      </c>
      <c r="D1208" s="4">
        <v>209200</v>
      </c>
      <c r="E1208" s="4">
        <v>209200</v>
      </c>
      <c r="F1208" s="4">
        <v>418400</v>
      </c>
      <c r="G1208"/>
      <c r="H1208" s="3">
        <f t="shared" si="18"/>
        <v>0</v>
      </c>
    </row>
    <row r="1209" spans="1:8">
      <c r="A1209" t="s">
        <v>1889</v>
      </c>
      <c r="B1209" t="s">
        <v>1890</v>
      </c>
      <c r="C1209" t="s">
        <v>189</v>
      </c>
      <c r="D1209" s="4">
        <v>212000</v>
      </c>
      <c r="E1209" s="4">
        <v>212000</v>
      </c>
      <c r="F1209" s="4">
        <v>424000</v>
      </c>
      <c r="G1209"/>
      <c r="H1209" s="3">
        <f t="shared" si="18"/>
        <v>0</v>
      </c>
    </row>
    <row r="1210" spans="1:8">
      <c r="A1210" t="s">
        <v>1898</v>
      </c>
      <c r="B1210" t="s">
        <v>1899</v>
      </c>
      <c r="C1210" t="s">
        <v>189</v>
      </c>
      <c r="D1210" s="4">
        <v>202200</v>
      </c>
      <c r="E1210" s="4">
        <v>202200</v>
      </c>
      <c r="F1210" s="4">
        <v>404400</v>
      </c>
      <c r="G1210"/>
      <c r="H1210" s="3">
        <f t="shared" si="18"/>
        <v>0</v>
      </c>
    </row>
    <row r="1211" spans="1:8">
      <c r="A1211" t="s">
        <v>2003</v>
      </c>
      <c r="B1211" t="s">
        <v>2004</v>
      </c>
      <c r="C1211" t="s">
        <v>189</v>
      </c>
      <c r="D1211" s="4">
        <v>197000</v>
      </c>
      <c r="E1211" s="4">
        <v>197000</v>
      </c>
      <c r="F1211" s="4">
        <v>394000</v>
      </c>
      <c r="G1211"/>
      <c r="H1211" s="3">
        <f t="shared" si="18"/>
        <v>0</v>
      </c>
    </row>
    <row r="1212" spans="1:8">
      <c r="A1212" t="s">
        <v>2200</v>
      </c>
      <c r="B1212" t="s">
        <v>2201</v>
      </c>
      <c r="C1212" t="s">
        <v>189</v>
      </c>
      <c r="D1212" s="4">
        <v>145900</v>
      </c>
      <c r="E1212" s="4">
        <v>145900</v>
      </c>
      <c r="F1212" s="4">
        <v>291800</v>
      </c>
      <c r="G1212"/>
      <c r="H1212" s="3">
        <f t="shared" si="18"/>
        <v>0</v>
      </c>
    </row>
    <row r="1213" spans="1:8">
      <c r="A1213" t="s">
        <v>2231</v>
      </c>
      <c r="B1213" t="s">
        <v>2232</v>
      </c>
      <c r="C1213" t="s">
        <v>189</v>
      </c>
      <c r="D1213" s="4">
        <v>147600</v>
      </c>
      <c r="E1213" s="4">
        <v>147600</v>
      </c>
      <c r="F1213" s="4">
        <v>295200</v>
      </c>
      <c r="G1213"/>
      <c r="H1213" s="3">
        <f t="shared" si="18"/>
        <v>0</v>
      </c>
    </row>
    <row r="1214" spans="1:8">
      <c r="A1214" t="s">
        <v>2300</v>
      </c>
      <c r="B1214" t="s">
        <v>2301</v>
      </c>
      <c r="C1214" t="s">
        <v>189</v>
      </c>
      <c r="D1214" s="4">
        <v>220900</v>
      </c>
      <c r="E1214" s="4">
        <v>220900</v>
      </c>
      <c r="F1214" s="4">
        <v>441800</v>
      </c>
      <c r="G1214"/>
      <c r="H1214" s="3">
        <f t="shared" si="18"/>
        <v>0</v>
      </c>
    </row>
    <row r="1215" spans="1:8">
      <c r="A1215" t="s">
        <v>2317</v>
      </c>
      <c r="B1215" t="s">
        <v>2318</v>
      </c>
      <c r="C1215" t="s">
        <v>189</v>
      </c>
      <c r="D1215" s="4">
        <v>186500</v>
      </c>
      <c r="E1215" s="4">
        <v>186400</v>
      </c>
      <c r="F1215" s="4">
        <v>372900</v>
      </c>
      <c r="G1215"/>
      <c r="H1215" s="3">
        <f t="shared" si="18"/>
        <v>100</v>
      </c>
    </row>
    <row r="1216" spans="1:8">
      <c r="A1216" t="s">
        <v>2324</v>
      </c>
      <c r="B1216" t="s">
        <v>2325</v>
      </c>
      <c r="C1216" t="s">
        <v>189</v>
      </c>
      <c r="D1216" s="4">
        <v>288400</v>
      </c>
      <c r="E1216" s="4">
        <v>288400</v>
      </c>
      <c r="F1216" s="4">
        <v>576800</v>
      </c>
      <c r="G1216"/>
      <c r="H1216" s="3">
        <f t="shared" si="18"/>
        <v>0</v>
      </c>
    </row>
    <row r="1217" spans="1:8">
      <c r="A1217" t="s">
        <v>2330</v>
      </c>
      <c r="B1217" t="s">
        <v>2331</v>
      </c>
      <c r="C1217" t="s">
        <v>189</v>
      </c>
      <c r="D1217" s="4">
        <v>198500</v>
      </c>
      <c r="E1217" s="4">
        <v>198500</v>
      </c>
      <c r="F1217" s="4">
        <v>397000</v>
      </c>
      <c r="G1217"/>
      <c r="H1217" s="3">
        <f t="shared" si="18"/>
        <v>0</v>
      </c>
    </row>
    <row r="1218" spans="1:8">
      <c r="A1218" t="s">
        <v>2357</v>
      </c>
      <c r="B1218" t="s">
        <v>2358</v>
      </c>
      <c r="C1218" t="s">
        <v>189</v>
      </c>
      <c r="D1218" s="4">
        <v>132200</v>
      </c>
      <c r="E1218" s="4">
        <v>132200</v>
      </c>
      <c r="F1218" s="4">
        <v>264400</v>
      </c>
      <c r="G1218"/>
      <c r="H1218" s="3">
        <f t="shared" si="18"/>
        <v>0</v>
      </c>
    </row>
    <row r="1219" spans="1:8">
      <c r="A1219" t="s">
        <v>2365</v>
      </c>
      <c r="B1219" t="s">
        <v>2366</v>
      </c>
      <c r="C1219" t="s">
        <v>189</v>
      </c>
      <c r="D1219" s="4">
        <v>178600</v>
      </c>
      <c r="E1219" s="4">
        <v>178600</v>
      </c>
      <c r="F1219" s="4">
        <v>357200</v>
      </c>
      <c r="G1219"/>
      <c r="H1219" s="3">
        <f t="shared" si="18"/>
        <v>0</v>
      </c>
    </row>
    <row r="1220" spans="1:8">
      <c r="A1220" t="s">
        <v>2367</v>
      </c>
      <c r="B1220" t="s">
        <v>2368</v>
      </c>
      <c r="C1220" t="s">
        <v>189</v>
      </c>
      <c r="D1220" s="4">
        <v>143000</v>
      </c>
      <c r="E1220" s="4">
        <v>143000</v>
      </c>
      <c r="F1220" s="4">
        <v>286000</v>
      </c>
      <c r="G1220"/>
      <c r="H1220" s="3">
        <f t="shared" si="18"/>
        <v>0</v>
      </c>
    </row>
    <row r="1221" spans="1:8">
      <c r="A1221" t="s">
        <v>2444</v>
      </c>
      <c r="B1221" t="s">
        <v>2445</v>
      </c>
      <c r="C1221" t="s">
        <v>189</v>
      </c>
      <c r="D1221" s="4">
        <v>144100</v>
      </c>
      <c r="E1221" s="4">
        <v>144100</v>
      </c>
      <c r="F1221" s="4">
        <v>288200</v>
      </c>
      <c r="G1221"/>
      <c r="H1221" s="3">
        <f t="shared" si="18"/>
        <v>0</v>
      </c>
    </row>
    <row r="1222" spans="1:8">
      <c r="A1222" t="s">
        <v>2451</v>
      </c>
      <c r="B1222" t="s">
        <v>2452</v>
      </c>
      <c r="C1222" t="s">
        <v>189</v>
      </c>
      <c r="D1222" s="4">
        <v>141400</v>
      </c>
      <c r="E1222" s="4">
        <v>141400</v>
      </c>
      <c r="F1222" s="4">
        <v>282800</v>
      </c>
      <c r="G1222"/>
      <c r="H1222" s="3">
        <f t="shared" si="18"/>
        <v>0</v>
      </c>
    </row>
    <row r="1223" spans="1:8">
      <c r="A1223" t="s">
        <v>2453</v>
      </c>
      <c r="B1223" t="s">
        <v>2454</v>
      </c>
      <c r="C1223" t="s">
        <v>189</v>
      </c>
      <c r="D1223" s="4">
        <v>235700</v>
      </c>
      <c r="E1223" s="4">
        <v>235700</v>
      </c>
      <c r="F1223" s="4">
        <v>471400</v>
      </c>
      <c r="G1223"/>
      <c r="H1223" s="3">
        <f t="shared" si="18"/>
        <v>0</v>
      </c>
    </row>
    <row r="1224" spans="1:8">
      <c r="A1224" t="s">
        <v>2643</v>
      </c>
      <c r="B1224" t="s">
        <v>2644</v>
      </c>
      <c r="C1224" t="s">
        <v>189</v>
      </c>
      <c r="D1224" s="4">
        <v>198900</v>
      </c>
      <c r="E1224" s="4">
        <v>198900</v>
      </c>
      <c r="F1224" s="4">
        <v>397800</v>
      </c>
      <c r="G1224"/>
      <c r="H1224" s="3">
        <f t="shared" si="18"/>
        <v>0</v>
      </c>
    </row>
    <row r="1225" spans="1:8">
      <c r="A1225" t="s">
        <v>2663</v>
      </c>
      <c r="B1225" t="s">
        <v>2664</v>
      </c>
      <c r="C1225" t="s">
        <v>189</v>
      </c>
      <c r="D1225" s="4">
        <v>376500</v>
      </c>
      <c r="E1225" s="4">
        <v>376500</v>
      </c>
      <c r="F1225" s="4">
        <v>753000</v>
      </c>
      <c r="G1225"/>
      <c r="H1225" s="3">
        <f t="shared" si="18"/>
        <v>0</v>
      </c>
    </row>
    <row r="1226" spans="1:8">
      <c r="A1226" t="s">
        <v>2705</v>
      </c>
      <c r="B1226" t="s">
        <v>2706</v>
      </c>
      <c r="C1226" t="s">
        <v>189</v>
      </c>
      <c r="D1226" s="4">
        <v>312100</v>
      </c>
      <c r="E1226" s="4">
        <v>312100</v>
      </c>
      <c r="F1226" s="4">
        <v>624200</v>
      </c>
      <c r="G1226"/>
      <c r="H1226" s="3">
        <f t="shared" si="18"/>
        <v>0</v>
      </c>
    </row>
    <row r="1227" spans="1:8">
      <c r="A1227" t="s">
        <v>2739</v>
      </c>
      <c r="B1227" t="s">
        <v>2740</v>
      </c>
      <c r="C1227" t="s">
        <v>189</v>
      </c>
      <c r="D1227" s="4">
        <v>157200</v>
      </c>
      <c r="E1227" s="4">
        <v>157200</v>
      </c>
      <c r="F1227" s="4">
        <v>314400</v>
      </c>
      <c r="G1227"/>
      <c r="H1227" s="3">
        <f t="shared" si="18"/>
        <v>0</v>
      </c>
    </row>
    <row r="1228" spans="1:8">
      <c r="A1228" t="s">
        <v>2749</v>
      </c>
      <c r="B1228" t="s">
        <v>2750</v>
      </c>
      <c r="C1228" t="s">
        <v>189</v>
      </c>
      <c r="D1228" s="4">
        <v>157700</v>
      </c>
      <c r="E1228" s="4">
        <v>157700</v>
      </c>
      <c r="F1228" s="4">
        <v>315400</v>
      </c>
      <c r="G1228"/>
      <c r="H1228" s="3">
        <f t="shared" si="18"/>
        <v>0</v>
      </c>
    </row>
    <row r="1229" spans="1:8">
      <c r="A1229" t="s">
        <v>2763</v>
      </c>
      <c r="B1229" t="s">
        <v>2764</v>
      </c>
      <c r="C1229" t="s">
        <v>189</v>
      </c>
      <c r="D1229" s="4">
        <v>188100</v>
      </c>
      <c r="E1229" s="4">
        <v>188100</v>
      </c>
      <c r="F1229" s="4">
        <v>376200</v>
      </c>
      <c r="G1229"/>
      <c r="H1229" s="3">
        <f t="shared" si="18"/>
        <v>0</v>
      </c>
    </row>
    <row r="1230" spans="1:8">
      <c r="A1230" t="s">
        <v>2775</v>
      </c>
      <c r="B1230" t="s">
        <v>2776</v>
      </c>
      <c r="C1230" t="s">
        <v>189</v>
      </c>
      <c r="D1230" s="4">
        <v>134800</v>
      </c>
      <c r="E1230" s="4">
        <v>134800</v>
      </c>
      <c r="F1230" s="4">
        <v>269600</v>
      </c>
      <c r="G1230"/>
      <c r="H1230" s="3">
        <f t="shared" si="18"/>
        <v>0</v>
      </c>
    </row>
    <row r="1231" spans="1:8">
      <c r="A1231" t="s">
        <v>2893</v>
      </c>
      <c r="B1231" t="s">
        <v>2894</v>
      </c>
      <c r="C1231" t="s">
        <v>189</v>
      </c>
      <c r="D1231" s="4">
        <v>232200</v>
      </c>
      <c r="E1231" s="4">
        <v>232200</v>
      </c>
      <c r="F1231" s="4">
        <v>464400</v>
      </c>
      <c r="G1231"/>
      <c r="H1231" s="3">
        <f t="shared" si="18"/>
        <v>0</v>
      </c>
    </row>
    <row r="1232" spans="1:8">
      <c r="A1232" t="s">
        <v>2909</v>
      </c>
      <c r="B1232" t="s">
        <v>2910</v>
      </c>
      <c r="C1232" t="s">
        <v>189</v>
      </c>
      <c r="D1232" s="4">
        <v>125900</v>
      </c>
      <c r="E1232" s="4">
        <v>125900</v>
      </c>
      <c r="F1232" s="4">
        <v>251800</v>
      </c>
      <c r="G1232"/>
      <c r="H1232" s="3">
        <f t="shared" si="18"/>
        <v>0</v>
      </c>
    </row>
    <row r="1233" spans="1:8">
      <c r="A1233" t="s">
        <v>3005</v>
      </c>
      <c r="B1233" t="s">
        <v>3006</v>
      </c>
      <c r="C1233" t="s">
        <v>189</v>
      </c>
      <c r="D1233" s="4">
        <v>229900</v>
      </c>
      <c r="E1233" s="4">
        <v>229900</v>
      </c>
      <c r="F1233" s="4">
        <v>459800</v>
      </c>
      <c r="G1233"/>
      <c r="H1233" s="3">
        <f t="shared" si="18"/>
        <v>0</v>
      </c>
    </row>
    <row r="1234" spans="1:8">
      <c r="A1234" t="s">
        <v>1651</v>
      </c>
      <c r="B1234" t="s">
        <v>1652</v>
      </c>
      <c r="C1234" t="s">
        <v>189</v>
      </c>
      <c r="D1234" s="4">
        <v>350500</v>
      </c>
      <c r="E1234" s="4">
        <v>350500</v>
      </c>
      <c r="F1234" s="4">
        <v>701000</v>
      </c>
      <c r="G1234"/>
      <c r="H1234" s="3">
        <f t="shared" si="18"/>
        <v>0</v>
      </c>
    </row>
    <row r="1235" spans="1:8">
      <c r="A1235" t="s">
        <v>1762</v>
      </c>
      <c r="B1235" t="s">
        <v>1763</v>
      </c>
      <c r="C1235" t="s">
        <v>189</v>
      </c>
      <c r="D1235" s="4">
        <v>155800</v>
      </c>
      <c r="E1235" s="4"/>
      <c r="F1235" s="4">
        <v>155800</v>
      </c>
      <c r="G1235"/>
      <c r="H1235" s="3">
        <f t="shared" si="18"/>
        <v>155800</v>
      </c>
    </row>
    <row r="1236" spans="1:8">
      <c r="B1236" t="s">
        <v>3050</v>
      </c>
      <c r="C1236" t="s">
        <v>189</v>
      </c>
      <c r="D1236" s="4"/>
      <c r="E1236" s="4">
        <v>155800</v>
      </c>
      <c r="F1236" s="4">
        <v>155800</v>
      </c>
      <c r="G1236"/>
      <c r="H1236" s="3">
        <f t="shared" ref="H1236:H1299" si="19">+D1236-E1236</f>
        <v>-155800</v>
      </c>
    </row>
    <row r="1237" spans="1:8">
      <c r="A1237" t="s">
        <v>1855</v>
      </c>
      <c r="B1237" t="s">
        <v>1856</v>
      </c>
      <c r="C1237" t="s">
        <v>189</v>
      </c>
      <c r="D1237" s="4">
        <v>158600</v>
      </c>
      <c r="E1237" s="4">
        <v>158600</v>
      </c>
      <c r="F1237" s="4">
        <v>317200</v>
      </c>
      <c r="G1237"/>
      <c r="H1237" s="3">
        <f t="shared" si="19"/>
        <v>0</v>
      </c>
    </row>
    <row r="1238" spans="1:8">
      <c r="A1238" t="s">
        <v>1860</v>
      </c>
      <c r="B1238" t="s">
        <v>1861</v>
      </c>
      <c r="C1238" t="s">
        <v>189</v>
      </c>
      <c r="D1238" s="4">
        <v>164300</v>
      </c>
      <c r="E1238" s="4">
        <v>164300</v>
      </c>
      <c r="F1238" s="4">
        <v>328600</v>
      </c>
      <c r="G1238"/>
      <c r="H1238" s="3">
        <f t="shared" si="19"/>
        <v>0</v>
      </c>
    </row>
    <row r="1239" spans="1:8">
      <c r="A1239" t="s">
        <v>1877</v>
      </c>
      <c r="B1239" t="s">
        <v>1878</v>
      </c>
      <c r="C1239" t="s">
        <v>189</v>
      </c>
      <c r="D1239" s="4">
        <v>131300</v>
      </c>
      <c r="E1239" s="4">
        <v>131300</v>
      </c>
      <c r="F1239" s="4">
        <v>262600</v>
      </c>
      <c r="G1239"/>
      <c r="H1239" s="3">
        <f t="shared" si="19"/>
        <v>0</v>
      </c>
    </row>
    <row r="1240" spans="1:8">
      <c r="A1240" t="s">
        <v>2057</v>
      </c>
      <c r="B1240" t="s">
        <v>2058</v>
      </c>
      <c r="C1240" t="s">
        <v>189</v>
      </c>
      <c r="D1240" s="4">
        <v>214800</v>
      </c>
      <c r="E1240" s="4">
        <v>214800</v>
      </c>
      <c r="F1240" s="4">
        <v>429600</v>
      </c>
      <c r="G1240"/>
      <c r="H1240" s="3">
        <f t="shared" si="19"/>
        <v>0</v>
      </c>
    </row>
    <row r="1241" spans="1:8">
      <c r="A1241" t="s">
        <v>2599</v>
      </c>
      <c r="B1241" t="s">
        <v>2600</v>
      </c>
      <c r="C1241" t="s">
        <v>189</v>
      </c>
      <c r="D1241" s="4">
        <v>142800</v>
      </c>
      <c r="E1241" s="4">
        <v>142800</v>
      </c>
      <c r="F1241" s="4">
        <v>285600</v>
      </c>
      <c r="G1241"/>
      <c r="H1241" s="3">
        <f t="shared" si="19"/>
        <v>0</v>
      </c>
    </row>
    <row r="1242" spans="1:8">
      <c r="A1242" t="s">
        <v>2615</v>
      </c>
      <c r="B1242" t="s">
        <v>3065</v>
      </c>
      <c r="C1242" t="s">
        <v>189</v>
      </c>
      <c r="D1242" s="4"/>
      <c r="E1242" s="4">
        <v>204100</v>
      </c>
      <c r="F1242" s="4">
        <v>204100</v>
      </c>
      <c r="G1242"/>
      <c r="H1242" s="3">
        <f t="shared" si="19"/>
        <v>-204100</v>
      </c>
    </row>
    <row r="1243" spans="1:8">
      <c r="B1243" t="s">
        <v>2616</v>
      </c>
      <c r="C1243" t="s">
        <v>189</v>
      </c>
      <c r="D1243" s="4">
        <v>204100</v>
      </c>
      <c r="E1243" s="4"/>
      <c r="F1243" s="4">
        <v>204100</v>
      </c>
      <c r="G1243"/>
      <c r="H1243" s="3">
        <f t="shared" si="19"/>
        <v>204100</v>
      </c>
    </row>
    <row r="1244" spans="1:8">
      <c r="A1244" t="s">
        <v>2659</v>
      </c>
      <c r="B1244" t="s">
        <v>2660</v>
      </c>
      <c r="C1244" t="s">
        <v>189</v>
      </c>
      <c r="D1244" s="4">
        <v>242500</v>
      </c>
      <c r="E1244" s="4">
        <v>242500</v>
      </c>
      <c r="F1244" s="4">
        <v>485000</v>
      </c>
      <c r="G1244"/>
      <c r="H1244" s="3">
        <f t="shared" si="19"/>
        <v>0</v>
      </c>
    </row>
    <row r="1245" spans="1:8">
      <c r="A1245" t="s">
        <v>2711</v>
      </c>
      <c r="B1245" t="s">
        <v>2712</v>
      </c>
      <c r="C1245" t="s">
        <v>189</v>
      </c>
      <c r="D1245" s="4">
        <v>154700</v>
      </c>
      <c r="E1245" s="4">
        <v>154700</v>
      </c>
      <c r="F1245" s="4">
        <v>309400</v>
      </c>
      <c r="G1245"/>
      <c r="H1245" s="3">
        <f t="shared" si="19"/>
        <v>0</v>
      </c>
    </row>
    <row r="1246" spans="1:8">
      <c r="A1246" t="s">
        <v>2790</v>
      </c>
      <c r="B1246" t="s">
        <v>2791</v>
      </c>
      <c r="C1246" t="s">
        <v>189</v>
      </c>
      <c r="D1246" s="4">
        <v>69400</v>
      </c>
      <c r="E1246" s="4">
        <v>69400</v>
      </c>
      <c r="F1246" s="4">
        <v>138800</v>
      </c>
      <c r="G1246"/>
      <c r="H1246" s="3">
        <f t="shared" si="19"/>
        <v>0</v>
      </c>
    </row>
    <row r="1247" spans="1:8">
      <c r="A1247" t="s">
        <v>3037</v>
      </c>
      <c r="B1247" t="s">
        <v>3038</v>
      </c>
      <c r="C1247" t="s">
        <v>189</v>
      </c>
      <c r="D1247" s="4">
        <v>152400</v>
      </c>
      <c r="E1247" s="4">
        <v>152400</v>
      </c>
      <c r="F1247" s="4">
        <v>304800</v>
      </c>
      <c r="G1247"/>
      <c r="H1247" s="3">
        <f t="shared" si="19"/>
        <v>0</v>
      </c>
    </row>
    <row r="1248" spans="1:8">
      <c r="A1248" t="s">
        <v>1514</v>
      </c>
      <c r="B1248" t="s">
        <v>1515</v>
      </c>
      <c r="C1248" t="s">
        <v>189</v>
      </c>
      <c r="D1248" s="4">
        <v>50300</v>
      </c>
      <c r="E1248" s="4">
        <v>50300</v>
      </c>
      <c r="F1248" s="4">
        <v>100600</v>
      </c>
      <c r="G1248"/>
      <c r="H1248" s="3">
        <f t="shared" si="19"/>
        <v>0</v>
      </c>
    </row>
    <row r="1249" spans="1:8">
      <c r="A1249" t="s">
        <v>1636</v>
      </c>
      <c r="B1249" t="s">
        <v>1637</v>
      </c>
      <c r="C1249" t="s">
        <v>189</v>
      </c>
      <c r="D1249" s="4">
        <v>202700</v>
      </c>
      <c r="E1249" s="4">
        <v>202700</v>
      </c>
      <c r="F1249" s="4">
        <v>405400</v>
      </c>
      <c r="G1249"/>
      <c r="H1249" s="3">
        <f t="shared" si="19"/>
        <v>0</v>
      </c>
    </row>
    <row r="1250" spans="1:8">
      <c r="A1250" t="s">
        <v>1720</v>
      </c>
      <c r="B1250" t="s">
        <v>1721</v>
      </c>
      <c r="C1250" t="s">
        <v>189</v>
      </c>
      <c r="D1250" s="4">
        <v>130800</v>
      </c>
      <c r="E1250" s="4">
        <v>130800</v>
      </c>
      <c r="F1250" s="4">
        <v>261600</v>
      </c>
      <c r="G1250"/>
      <c r="H1250" s="3">
        <f t="shared" si="19"/>
        <v>0</v>
      </c>
    </row>
    <row r="1251" spans="1:8">
      <c r="A1251" t="s">
        <v>1791</v>
      </c>
      <c r="B1251" t="s">
        <v>1792</v>
      </c>
      <c r="C1251" t="s">
        <v>189</v>
      </c>
      <c r="D1251" s="4">
        <v>159400</v>
      </c>
      <c r="E1251" s="4">
        <v>159400</v>
      </c>
      <c r="F1251" s="4">
        <v>318800</v>
      </c>
      <c r="G1251"/>
      <c r="H1251" s="3">
        <f t="shared" si="19"/>
        <v>0</v>
      </c>
    </row>
    <row r="1252" spans="1:8">
      <c r="A1252" t="s">
        <v>1810</v>
      </c>
      <c r="B1252" t="s">
        <v>1811</v>
      </c>
      <c r="C1252" t="s">
        <v>189</v>
      </c>
      <c r="D1252" s="4">
        <v>191400</v>
      </c>
      <c r="E1252" s="4">
        <v>191400</v>
      </c>
      <c r="F1252" s="4">
        <v>382800</v>
      </c>
      <c r="G1252"/>
      <c r="H1252" s="3">
        <f t="shared" si="19"/>
        <v>0</v>
      </c>
    </row>
    <row r="1253" spans="1:8">
      <c r="A1253" t="s">
        <v>1874</v>
      </c>
      <c r="B1253" t="s">
        <v>1875</v>
      </c>
      <c r="C1253" t="s">
        <v>189</v>
      </c>
      <c r="D1253" s="4">
        <v>246300</v>
      </c>
      <c r="E1253" s="4">
        <v>246300</v>
      </c>
      <c r="F1253" s="4">
        <v>492600</v>
      </c>
      <c r="G1253"/>
      <c r="H1253" s="3">
        <f t="shared" si="19"/>
        <v>0</v>
      </c>
    </row>
    <row r="1254" spans="1:8">
      <c r="A1254" t="s">
        <v>1902</v>
      </c>
      <c r="B1254" t="s">
        <v>1903</v>
      </c>
      <c r="C1254" t="s">
        <v>189</v>
      </c>
      <c r="D1254" s="4">
        <v>48400</v>
      </c>
      <c r="E1254" s="4">
        <v>48400</v>
      </c>
      <c r="F1254" s="4">
        <v>96800</v>
      </c>
      <c r="G1254"/>
      <c r="H1254" s="3">
        <f t="shared" si="19"/>
        <v>0</v>
      </c>
    </row>
    <row r="1255" spans="1:8">
      <c r="A1255" t="s">
        <v>1907</v>
      </c>
      <c r="B1255" t="s">
        <v>1908</v>
      </c>
      <c r="C1255" t="s">
        <v>189</v>
      </c>
      <c r="D1255" s="4">
        <v>302200</v>
      </c>
      <c r="E1255" s="4">
        <v>302200</v>
      </c>
      <c r="F1255" s="4">
        <v>604400</v>
      </c>
      <c r="G1255"/>
      <c r="H1255" s="3">
        <f t="shared" si="19"/>
        <v>0</v>
      </c>
    </row>
    <row r="1256" spans="1:8">
      <c r="A1256" t="s">
        <v>1911</v>
      </c>
      <c r="B1256" t="s">
        <v>1912</v>
      </c>
      <c r="C1256" t="s">
        <v>189</v>
      </c>
      <c r="D1256" s="4">
        <v>167900</v>
      </c>
      <c r="E1256" s="4">
        <v>167900</v>
      </c>
      <c r="F1256" s="4">
        <v>335800</v>
      </c>
      <c r="G1256"/>
      <c r="H1256" s="3">
        <f t="shared" si="19"/>
        <v>0</v>
      </c>
    </row>
    <row r="1257" spans="1:8">
      <c r="A1257" t="s">
        <v>1974</v>
      </c>
      <c r="B1257" t="s">
        <v>1975</v>
      </c>
      <c r="C1257" t="s">
        <v>189</v>
      </c>
      <c r="D1257" s="4">
        <v>81900</v>
      </c>
      <c r="E1257" s="4">
        <v>81900</v>
      </c>
      <c r="F1257" s="4">
        <v>163800</v>
      </c>
      <c r="G1257"/>
      <c r="H1257" s="3">
        <f t="shared" si="19"/>
        <v>0</v>
      </c>
    </row>
    <row r="1258" spans="1:8">
      <c r="A1258" t="s">
        <v>2009</v>
      </c>
      <c r="B1258" t="s">
        <v>2010</v>
      </c>
      <c r="C1258" t="s">
        <v>189</v>
      </c>
      <c r="D1258" s="4">
        <v>145700</v>
      </c>
      <c r="E1258" s="4"/>
      <c r="F1258" s="4">
        <v>145700</v>
      </c>
      <c r="G1258"/>
      <c r="H1258" s="3">
        <f t="shared" si="19"/>
        <v>145700</v>
      </c>
    </row>
    <row r="1259" spans="1:8">
      <c r="B1259" t="s">
        <v>3053</v>
      </c>
      <c r="C1259" t="s">
        <v>189</v>
      </c>
      <c r="D1259" s="4"/>
      <c r="E1259" s="4">
        <v>145700</v>
      </c>
      <c r="F1259" s="4">
        <v>145700</v>
      </c>
      <c r="G1259"/>
      <c r="H1259" s="3">
        <f t="shared" si="19"/>
        <v>-145700</v>
      </c>
    </row>
    <row r="1260" spans="1:8">
      <c r="A1260" t="s">
        <v>2097</v>
      </c>
      <c r="B1260" t="s">
        <v>2098</v>
      </c>
      <c r="C1260" t="s">
        <v>189</v>
      </c>
      <c r="D1260" s="4">
        <v>110800</v>
      </c>
      <c r="E1260" s="4">
        <v>110800</v>
      </c>
      <c r="F1260" s="4">
        <v>221600</v>
      </c>
      <c r="G1260"/>
      <c r="H1260" s="3">
        <f t="shared" si="19"/>
        <v>0</v>
      </c>
    </row>
    <row r="1261" spans="1:8">
      <c r="A1261" t="s">
        <v>2111</v>
      </c>
      <c r="B1261" t="s">
        <v>2112</v>
      </c>
      <c r="C1261" t="s">
        <v>189</v>
      </c>
      <c r="D1261" s="4">
        <v>312800</v>
      </c>
      <c r="E1261" s="4">
        <v>312800</v>
      </c>
      <c r="F1261" s="4">
        <v>625600</v>
      </c>
      <c r="G1261"/>
      <c r="H1261" s="3">
        <f t="shared" si="19"/>
        <v>0</v>
      </c>
    </row>
    <row r="1262" spans="1:8">
      <c r="A1262" t="s">
        <v>2122</v>
      </c>
      <c r="B1262" t="s">
        <v>2123</v>
      </c>
      <c r="C1262" t="s">
        <v>189</v>
      </c>
      <c r="D1262" s="4">
        <v>163900</v>
      </c>
      <c r="E1262" s="4">
        <v>163900</v>
      </c>
      <c r="F1262" s="4">
        <v>327800</v>
      </c>
      <c r="G1262"/>
      <c r="H1262" s="3">
        <f t="shared" si="19"/>
        <v>0</v>
      </c>
    </row>
    <row r="1263" spans="1:8">
      <c r="A1263" t="s">
        <v>2137</v>
      </c>
      <c r="B1263" t="s">
        <v>2138</v>
      </c>
      <c r="C1263" t="s">
        <v>189</v>
      </c>
      <c r="D1263" s="4">
        <v>256100</v>
      </c>
      <c r="E1263" s="4">
        <v>256100</v>
      </c>
      <c r="F1263" s="4">
        <v>512200</v>
      </c>
      <c r="G1263"/>
      <c r="H1263" s="3">
        <f t="shared" si="19"/>
        <v>0</v>
      </c>
    </row>
    <row r="1264" spans="1:8">
      <c r="A1264" t="s">
        <v>2180</v>
      </c>
      <c r="B1264" t="s">
        <v>2181</v>
      </c>
      <c r="C1264" t="s">
        <v>189</v>
      </c>
      <c r="D1264" s="4">
        <v>39000</v>
      </c>
      <c r="E1264" s="4">
        <v>39000</v>
      </c>
      <c r="F1264" s="4">
        <v>78000</v>
      </c>
      <c r="G1264"/>
      <c r="H1264" s="3">
        <f t="shared" si="19"/>
        <v>0</v>
      </c>
    </row>
    <row r="1265" spans="1:8">
      <c r="A1265" t="s">
        <v>2285</v>
      </c>
      <c r="B1265" t="s">
        <v>2286</v>
      </c>
      <c r="C1265" t="s">
        <v>189</v>
      </c>
      <c r="D1265" s="4">
        <v>48500</v>
      </c>
      <c r="E1265" s="4">
        <v>48500</v>
      </c>
      <c r="F1265" s="4">
        <v>97000</v>
      </c>
      <c r="H1265" s="3">
        <f t="shared" si="19"/>
        <v>0</v>
      </c>
    </row>
    <row r="1266" spans="1:8">
      <c r="A1266" t="s">
        <v>2314</v>
      </c>
      <c r="B1266" t="s">
        <v>2315</v>
      </c>
      <c r="C1266" t="s">
        <v>189</v>
      </c>
      <c r="D1266" s="4">
        <v>98100</v>
      </c>
      <c r="E1266" s="4">
        <v>98100</v>
      </c>
      <c r="F1266" s="4">
        <v>196200</v>
      </c>
      <c r="H1266" s="3">
        <f t="shared" si="19"/>
        <v>0</v>
      </c>
    </row>
    <row r="1267" spans="1:8">
      <c r="A1267" t="s">
        <v>2397</v>
      </c>
      <c r="B1267" t="s">
        <v>2398</v>
      </c>
      <c r="C1267" t="s">
        <v>189</v>
      </c>
      <c r="D1267" s="4">
        <v>98100</v>
      </c>
      <c r="E1267" s="4">
        <v>98100</v>
      </c>
      <c r="F1267" s="4">
        <v>196200</v>
      </c>
      <c r="H1267" s="3">
        <f t="shared" si="19"/>
        <v>0</v>
      </c>
    </row>
    <row r="1268" spans="1:8">
      <c r="A1268" t="s">
        <v>2408</v>
      </c>
      <c r="B1268" t="s">
        <v>2409</v>
      </c>
      <c r="C1268" t="s">
        <v>189</v>
      </c>
      <c r="D1268" s="4">
        <v>175400</v>
      </c>
      <c r="E1268" s="4">
        <v>175400</v>
      </c>
      <c r="F1268" s="4">
        <v>350800</v>
      </c>
      <c r="H1268" s="3">
        <f t="shared" si="19"/>
        <v>0</v>
      </c>
    </row>
    <row r="1269" spans="1:8">
      <c r="A1269" t="s">
        <v>2438</v>
      </c>
      <c r="B1269" t="s">
        <v>2439</v>
      </c>
      <c r="C1269" t="s">
        <v>189</v>
      </c>
      <c r="D1269" s="4">
        <v>120900</v>
      </c>
      <c r="E1269" s="4">
        <v>120900</v>
      </c>
      <c r="F1269" s="4">
        <v>241800</v>
      </c>
      <c r="H1269" s="3">
        <f t="shared" si="19"/>
        <v>0</v>
      </c>
    </row>
    <row r="1270" spans="1:8">
      <c r="A1270" t="s">
        <v>2522</v>
      </c>
      <c r="B1270" t="s">
        <v>2523</v>
      </c>
      <c r="C1270" t="s">
        <v>189</v>
      </c>
      <c r="D1270" s="4">
        <v>153500</v>
      </c>
      <c r="E1270" s="4">
        <v>153500</v>
      </c>
      <c r="F1270" s="4">
        <v>307000</v>
      </c>
      <c r="H1270" s="3">
        <f t="shared" si="19"/>
        <v>0</v>
      </c>
    </row>
    <row r="1271" spans="1:8">
      <c r="A1271" t="s">
        <v>2559</v>
      </c>
      <c r="B1271" t="s">
        <v>2560</v>
      </c>
      <c r="C1271" t="s">
        <v>189</v>
      </c>
      <c r="D1271" s="4">
        <v>42700</v>
      </c>
      <c r="E1271" s="4">
        <v>42700</v>
      </c>
      <c r="F1271" s="4">
        <v>85400</v>
      </c>
      <c r="H1271" s="3">
        <f t="shared" si="19"/>
        <v>0</v>
      </c>
    </row>
    <row r="1272" spans="1:8">
      <c r="A1272" t="s">
        <v>2627</v>
      </c>
      <c r="B1272" t="s">
        <v>2628</v>
      </c>
      <c r="C1272" t="s">
        <v>189</v>
      </c>
      <c r="D1272" s="4">
        <v>175100</v>
      </c>
      <c r="E1272" s="4">
        <v>175100</v>
      </c>
      <c r="F1272" s="4">
        <v>350200</v>
      </c>
      <c r="H1272" s="3">
        <f t="shared" si="19"/>
        <v>0</v>
      </c>
    </row>
    <row r="1273" spans="1:8">
      <c r="A1273" t="s">
        <v>2631</v>
      </c>
      <c r="B1273" t="s">
        <v>2632</v>
      </c>
      <c r="C1273" t="s">
        <v>189</v>
      </c>
      <c r="D1273" s="4">
        <v>207700</v>
      </c>
      <c r="E1273" s="4">
        <v>207700</v>
      </c>
      <c r="F1273" s="4">
        <v>415400</v>
      </c>
      <c r="H1273" s="3">
        <f t="shared" si="19"/>
        <v>0</v>
      </c>
    </row>
    <row r="1274" spans="1:8">
      <c r="A1274" t="s">
        <v>2652</v>
      </c>
      <c r="B1274" t="s">
        <v>2653</v>
      </c>
      <c r="C1274" t="s">
        <v>189</v>
      </c>
      <c r="D1274" s="4">
        <v>7700</v>
      </c>
      <c r="E1274" s="4">
        <v>7700</v>
      </c>
      <c r="F1274" s="4">
        <v>15400</v>
      </c>
      <c r="H1274" s="3">
        <f t="shared" si="19"/>
        <v>0</v>
      </c>
    </row>
    <row r="1275" spans="1:8">
      <c r="A1275" t="s">
        <v>2667</v>
      </c>
      <c r="B1275" t="s">
        <v>2668</v>
      </c>
      <c r="C1275" t="s">
        <v>189</v>
      </c>
      <c r="D1275" s="4">
        <v>598700</v>
      </c>
      <c r="E1275" s="4">
        <v>598700</v>
      </c>
      <c r="F1275" s="4">
        <v>1197400</v>
      </c>
      <c r="H1275" s="3">
        <f t="shared" si="19"/>
        <v>0</v>
      </c>
    </row>
    <row r="1276" spans="1:8">
      <c r="A1276" t="s">
        <v>2699</v>
      </c>
      <c r="B1276" t="s">
        <v>2700</v>
      </c>
      <c r="C1276" t="s">
        <v>189</v>
      </c>
      <c r="D1276" s="4">
        <v>237800</v>
      </c>
      <c r="E1276" s="4">
        <v>237800</v>
      </c>
      <c r="F1276" s="4">
        <v>475600</v>
      </c>
      <c r="H1276" s="3">
        <f t="shared" si="19"/>
        <v>0</v>
      </c>
    </row>
    <row r="1277" spans="1:8">
      <c r="A1277" t="s">
        <v>2722</v>
      </c>
      <c r="B1277" t="s">
        <v>2723</v>
      </c>
      <c r="C1277" t="s">
        <v>189</v>
      </c>
      <c r="D1277" s="4">
        <v>220100</v>
      </c>
      <c r="E1277" s="4">
        <v>220100</v>
      </c>
      <c r="F1277" s="4">
        <v>440200</v>
      </c>
      <c r="H1277" s="3">
        <f t="shared" si="19"/>
        <v>0</v>
      </c>
    </row>
    <row r="1278" spans="1:8">
      <c r="A1278" t="s">
        <v>2766</v>
      </c>
      <c r="B1278" t="s">
        <v>2767</v>
      </c>
      <c r="C1278" t="s">
        <v>189</v>
      </c>
      <c r="D1278" s="4">
        <v>275400</v>
      </c>
      <c r="E1278" s="4">
        <v>275400</v>
      </c>
      <c r="F1278" s="4">
        <v>550800</v>
      </c>
      <c r="H1278" s="3">
        <f t="shared" si="19"/>
        <v>0</v>
      </c>
    </row>
    <row r="1279" spans="1:8">
      <c r="A1279" t="s">
        <v>2816</v>
      </c>
      <c r="B1279" t="s">
        <v>2817</v>
      </c>
      <c r="C1279" t="s">
        <v>189</v>
      </c>
      <c r="D1279" s="4">
        <v>247100</v>
      </c>
      <c r="E1279" s="4">
        <v>247100</v>
      </c>
      <c r="F1279" s="4">
        <v>494200</v>
      </c>
      <c r="H1279" s="3">
        <f t="shared" si="19"/>
        <v>0</v>
      </c>
    </row>
    <row r="1280" spans="1:8">
      <c r="A1280" t="s">
        <v>2839</v>
      </c>
      <c r="B1280" t="s">
        <v>2840</v>
      </c>
      <c r="C1280" t="s">
        <v>189</v>
      </c>
      <c r="D1280" s="4">
        <v>12500</v>
      </c>
      <c r="E1280" s="4">
        <v>12500</v>
      </c>
      <c r="F1280" s="4">
        <v>25000</v>
      </c>
      <c r="H1280" s="3">
        <f t="shared" si="19"/>
        <v>0</v>
      </c>
    </row>
    <row r="1281" spans="1:8">
      <c r="A1281" t="s">
        <v>2848</v>
      </c>
      <c r="B1281" t="s">
        <v>2849</v>
      </c>
      <c r="C1281" t="s">
        <v>189</v>
      </c>
      <c r="D1281" s="4">
        <v>52600</v>
      </c>
      <c r="E1281" s="4">
        <v>52600</v>
      </c>
      <c r="F1281" s="4">
        <v>105200</v>
      </c>
      <c r="H1281" s="3">
        <f t="shared" si="19"/>
        <v>0</v>
      </c>
    </row>
    <row r="1282" spans="1:8">
      <c r="A1282" t="s">
        <v>2851</v>
      </c>
      <c r="B1282" t="s">
        <v>2852</v>
      </c>
      <c r="C1282" t="s">
        <v>189</v>
      </c>
      <c r="D1282" s="4">
        <v>64900</v>
      </c>
      <c r="E1282" s="4">
        <v>64900</v>
      </c>
      <c r="F1282" s="4">
        <v>129800</v>
      </c>
      <c r="H1282" s="3">
        <f t="shared" si="19"/>
        <v>0</v>
      </c>
    </row>
    <row r="1283" spans="1:8">
      <c r="A1283" t="s">
        <v>2861</v>
      </c>
      <c r="B1283" t="s">
        <v>2862</v>
      </c>
      <c r="C1283" t="s">
        <v>189</v>
      </c>
      <c r="D1283" s="4">
        <v>247900</v>
      </c>
      <c r="E1283" s="4">
        <v>247900</v>
      </c>
      <c r="F1283" s="4">
        <v>495800</v>
      </c>
      <c r="H1283" s="3">
        <f t="shared" si="19"/>
        <v>0</v>
      </c>
    </row>
    <row r="1284" spans="1:8">
      <c r="A1284" t="s">
        <v>2904</v>
      </c>
      <c r="B1284" t="s">
        <v>2905</v>
      </c>
      <c r="C1284" t="s">
        <v>189</v>
      </c>
      <c r="D1284" s="4">
        <v>155600</v>
      </c>
      <c r="E1284" s="4">
        <v>155600</v>
      </c>
      <c r="F1284" s="4">
        <v>311200</v>
      </c>
      <c r="H1284" s="3">
        <f t="shared" si="19"/>
        <v>0</v>
      </c>
    </row>
    <row r="1285" spans="1:8">
      <c r="A1285" t="s">
        <v>2922</v>
      </c>
      <c r="B1285" t="s">
        <v>2923</v>
      </c>
      <c r="C1285" t="s">
        <v>189</v>
      </c>
      <c r="D1285" s="4">
        <v>177500</v>
      </c>
      <c r="E1285" s="4">
        <v>177500</v>
      </c>
      <c r="F1285" s="4">
        <v>355000</v>
      </c>
      <c r="H1285" s="3">
        <f t="shared" si="19"/>
        <v>0</v>
      </c>
    </row>
    <row r="1286" spans="1:8">
      <c r="A1286" t="s">
        <v>2931</v>
      </c>
      <c r="B1286" t="s">
        <v>2932</v>
      </c>
      <c r="C1286" t="s">
        <v>189</v>
      </c>
      <c r="D1286" s="4">
        <v>187000</v>
      </c>
      <c r="E1286" s="4">
        <v>187000</v>
      </c>
      <c r="F1286" s="4">
        <v>374000</v>
      </c>
      <c r="H1286" s="3">
        <f t="shared" si="19"/>
        <v>0</v>
      </c>
    </row>
    <row r="1287" spans="1:8">
      <c r="A1287" t="s">
        <v>2950</v>
      </c>
      <c r="B1287" t="s">
        <v>2951</v>
      </c>
      <c r="C1287" t="s">
        <v>189</v>
      </c>
      <c r="D1287" s="4">
        <v>188200</v>
      </c>
      <c r="E1287" s="4">
        <v>188200</v>
      </c>
      <c r="F1287" s="4">
        <v>376400</v>
      </c>
      <c r="H1287" s="3">
        <f t="shared" si="19"/>
        <v>0</v>
      </c>
    </row>
    <row r="1288" spans="1:8">
      <c r="A1288" t="s">
        <v>2965</v>
      </c>
      <c r="B1288" t="s">
        <v>2966</v>
      </c>
      <c r="C1288" t="s">
        <v>189</v>
      </c>
      <c r="D1288" s="4">
        <v>88900</v>
      </c>
      <c r="E1288" s="4">
        <v>88900</v>
      </c>
      <c r="F1288" s="4">
        <v>177800</v>
      </c>
      <c r="H1288" s="3">
        <f t="shared" si="19"/>
        <v>0</v>
      </c>
    </row>
    <row r="1289" spans="1:8">
      <c r="A1289" t="s">
        <v>3034</v>
      </c>
      <c r="B1289" t="s">
        <v>3035</v>
      </c>
      <c r="C1289" t="s">
        <v>189</v>
      </c>
      <c r="D1289" s="4">
        <v>0</v>
      </c>
      <c r="E1289" s="4">
        <v>0</v>
      </c>
      <c r="F1289" s="4">
        <v>0</v>
      </c>
      <c r="H1289" s="3">
        <f t="shared" si="19"/>
        <v>0</v>
      </c>
    </row>
    <row r="1290" spans="1:8">
      <c r="A1290" t="s">
        <v>3042</v>
      </c>
      <c r="B1290" t="s">
        <v>3043</v>
      </c>
      <c r="C1290" t="s">
        <v>189</v>
      </c>
      <c r="D1290" s="4">
        <v>71200</v>
      </c>
      <c r="E1290" s="4">
        <v>71200</v>
      </c>
      <c r="F1290" s="4">
        <v>142400</v>
      </c>
      <c r="H1290" s="3">
        <f t="shared" si="19"/>
        <v>0</v>
      </c>
    </row>
    <row r="1291" spans="1:8">
      <c r="A1291" t="s">
        <v>1499</v>
      </c>
      <c r="B1291" t="s">
        <v>1500</v>
      </c>
      <c r="C1291" t="s">
        <v>189</v>
      </c>
      <c r="D1291" s="4">
        <v>68300</v>
      </c>
      <c r="E1291" s="4">
        <v>68300</v>
      </c>
      <c r="F1291" s="4">
        <v>136600</v>
      </c>
      <c r="H1291" s="3">
        <f t="shared" si="19"/>
        <v>0</v>
      </c>
    </row>
    <row r="1292" spans="1:8">
      <c r="A1292" t="s">
        <v>1588</v>
      </c>
      <c r="B1292" t="s">
        <v>1589</v>
      </c>
      <c r="C1292" t="s">
        <v>189</v>
      </c>
      <c r="D1292" s="4">
        <v>15000</v>
      </c>
      <c r="E1292" s="4">
        <v>15000</v>
      </c>
      <c r="F1292" s="4">
        <v>30000</v>
      </c>
      <c r="H1292" s="3">
        <f t="shared" si="19"/>
        <v>0</v>
      </c>
    </row>
    <row r="1293" spans="1:8">
      <c r="A1293" t="s">
        <v>1703</v>
      </c>
      <c r="B1293" t="s">
        <v>1704</v>
      </c>
      <c r="C1293" t="s">
        <v>189</v>
      </c>
      <c r="D1293" s="4">
        <v>153700</v>
      </c>
      <c r="E1293" s="4">
        <v>153700</v>
      </c>
      <c r="F1293" s="4">
        <v>307400</v>
      </c>
      <c r="H1293" s="3">
        <f t="shared" si="19"/>
        <v>0</v>
      </c>
    </row>
    <row r="1294" spans="1:8">
      <c r="A1294" t="s">
        <v>1782</v>
      </c>
      <c r="B1294" t="s">
        <v>1783</v>
      </c>
      <c r="C1294" t="s">
        <v>189</v>
      </c>
      <c r="D1294" s="4">
        <v>74100</v>
      </c>
      <c r="E1294" s="4">
        <v>74100</v>
      </c>
      <c r="F1294" s="4">
        <v>148200</v>
      </c>
      <c r="H1294" s="3">
        <f t="shared" si="19"/>
        <v>0</v>
      </c>
    </row>
    <row r="1295" spans="1:8">
      <c r="A1295" t="s">
        <v>1870</v>
      </c>
      <c r="B1295" t="s">
        <v>1871</v>
      </c>
      <c r="C1295" t="s">
        <v>189</v>
      </c>
      <c r="D1295" s="4">
        <v>164900</v>
      </c>
      <c r="E1295" s="4">
        <v>164900</v>
      </c>
      <c r="F1295" s="4">
        <v>329800</v>
      </c>
      <c r="H1295" s="3">
        <f t="shared" si="19"/>
        <v>0</v>
      </c>
    </row>
    <row r="1296" spans="1:8">
      <c r="A1296" t="s">
        <v>1969</v>
      </c>
      <c r="B1296" t="s">
        <v>1970</v>
      </c>
      <c r="C1296" t="s">
        <v>189</v>
      </c>
      <c r="D1296" s="4">
        <v>44600</v>
      </c>
      <c r="E1296" s="4">
        <v>44600</v>
      </c>
      <c r="F1296" s="4">
        <v>89200</v>
      </c>
      <c r="H1296" s="3">
        <f t="shared" si="19"/>
        <v>0</v>
      </c>
    </row>
    <row r="1297" spans="1:8">
      <c r="A1297" t="s">
        <v>2017</v>
      </c>
      <c r="B1297" t="s">
        <v>2018</v>
      </c>
      <c r="C1297" t="s">
        <v>189</v>
      </c>
      <c r="D1297" s="4">
        <v>42300</v>
      </c>
      <c r="E1297" s="4">
        <v>42300</v>
      </c>
      <c r="F1297" s="4">
        <v>84600</v>
      </c>
      <c r="H1297" s="3">
        <f t="shared" si="19"/>
        <v>0</v>
      </c>
    </row>
    <row r="1298" spans="1:8">
      <c r="A1298" t="s">
        <v>2062</v>
      </c>
      <c r="B1298" t="s">
        <v>2063</v>
      </c>
      <c r="C1298" t="s">
        <v>189</v>
      </c>
      <c r="D1298" s="4">
        <v>235400</v>
      </c>
      <c r="E1298" s="4">
        <v>235400</v>
      </c>
      <c r="F1298" s="4">
        <v>470800</v>
      </c>
      <c r="H1298" s="3">
        <f t="shared" si="19"/>
        <v>0</v>
      </c>
    </row>
    <row r="1299" spans="1:8">
      <c r="A1299" t="s">
        <v>2071</v>
      </c>
      <c r="B1299" t="s">
        <v>2072</v>
      </c>
      <c r="C1299" t="s">
        <v>189</v>
      </c>
      <c r="D1299" s="4">
        <v>87800</v>
      </c>
      <c r="E1299" s="4">
        <v>87800</v>
      </c>
      <c r="F1299" s="4">
        <v>175600</v>
      </c>
      <c r="H1299" s="3">
        <f t="shared" si="19"/>
        <v>0</v>
      </c>
    </row>
    <row r="1300" spans="1:8">
      <c r="A1300" t="s">
        <v>2092</v>
      </c>
      <c r="B1300" t="s">
        <v>2093</v>
      </c>
      <c r="C1300" t="s">
        <v>189</v>
      </c>
      <c r="D1300" s="4">
        <v>219200</v>
      </c>
      <c r="E1300" s="4">
        <v>219200</v>
      </c>
      <c r="F1300" s="4">
        <v>438400</v>
      </c>
      <c r="H1300" s="3">
        <f t="shared" ref="H1300:H1363" si="20">+D1300-E1300</f>
        <v>0</v>
      </c>
    </row>
    <row r="1301" spans="1:8">
      <c r="A1301" t="s">
        <v>2140</v>
      </c>
      <c r="B1301" t="s">
        <v>2141</v>
      </c>
      <c r="C1301" t="s">
        <v>189</v>
      </c>
      <c r="D1301" s="4">
        <v>210400</v>
      </c>
      <c r="E1301" s="4">
        <v>210400</v>
      </c>
      <c r="F1301" s="4">
        <v>420800</v>
      </c>
      <c r="H1301" s="3">
        <f t="shared" si="20"/>
        <v>0</v>
      </c>
    </row>
    <row r="1302" spans="1:8">
      <c r="A1302" t="s">
        <v>2238</v>
      </c>
      <c r="B1302" t="s">
        <v>2239</v>
      </c>
      <c r="C1302" t="s">
        <v>189</v>
      </c>
      <c r="D1302" s="4">
        <v>279300</v>
      </c>
      <c r="E1302" s="4">
        <v>279300</v>
      </c>
      <c r="F1302" s="4">
        <v>558600</v>
      </c>
      <c r="H1302" s="3">
        <f t="shared" si="20"/>
        <v>0</v>
      </c>
    </row>
    <row r="1303" spans="1:8">
      <c r="A1303" t="s">
        <v>2333</v>
      </c>
      <c r="B1303" t="s">
        <v>2334</v>
      </c>
      <c r="C1303" t="s">
        <v>189</v>
      </c>
      <c r="D1303" s="4">
        <v>335300</v>
      </c>
      <c r="E1303" s="4">
        <v>335300</v>
      </c>
      <c r="F1303" s="4">
        <v>670600</v>
      </c>
      <c r="H1303" s="3">
        <f t="shared" si="20"/>
        <v>0</v>
      </c>
    </row>
    <row r="1304" spans="1:8">
      <c r="A1304" t="s">
        <v>2404</v>
      </c>
      <c r="B1304" t="s">
        <v>2405</v>
      </c>
      <c r="C1304" t="s">
        <v>189</v>
      </c>
      <c r="D1304" s="4">
        <v>164100</v>
      </c>
      <c r="E1304" s="4">
        <v>164100</v>
      </c>
      <c r="F1304" s="4">
        <v>328200</v>
      </c>
      <c r="H1304" s="3">
        <f t="shared" si="20"/>
        <v>0</v>
      </c>
    </row>
    <row r="1305" spans="1:8">
      <c r="A1305" t="s">
        <v>2406</v>
      </c>
      <c r="B1305" t="s">
        <v>2407</v>
      </c>
      <c r="C1305" t="s">
        <v>189</v>
      </c>
      <c r="D1305" s="4">
        <v>282500</v>
      </c>
      <c r="E1305" s="4">
        <v>282500</v>
      </c>
      <c r="F1305" s="4">
        <v>565000</v>
      </c>
      <c r="H1305" s="3">
        <f t="shared" si="20"/>
        <v>0</v>
      </c>
    </row>
    <row r="1306" spans="1:8">
      <c r="A1306" t="s">
        <v>2429</v>
      </c>
      <c r="B1306" t="s">
        <v>2430</v>
      </c>
      <c r="C1306" t="s">
        <v>189</v>
      </c>
      <c r="D1306" s="4">
        <v>266600</v>
      </c>
      <c r="E1306" s="4">
        <v>266600</v>
      </c>
      <c r="F1306" s="4">
        <v>533200</v>
      </c>
      <c r="H1306" s="3">
        <f t="shared" si="20"/>
        <v>0</v>
      </c>
    </row>
    <row r="1307" spans="1:8">
      <c r="A1307" t="s">
        <v>2456</v>
      </c>
      <c r="B1307" t="s">
        <v>2457</v>
      </c>
      <c r="C1307" t="s">
        <v>189</v>
      </c>
      <c r="D1307" s="4">
        <v>187600</v>
      </c>
      <c r="E1307" s="4">
        <v>187600</v>
      </c>
      <c r="F1307" s="4">
        <v>375200</v>
      </c>
      <c r="H1307" s="3">
        <f t="shared" si="20"/>
        <v>0</v>
      </c>
    </row>
    <row r="1308" spans="1:8">
      <c r="A1308" t="s">
        <v>2469</v>
      </c>
      <c r="B1308" t="s">
        <v>2470</v>
      </c>
      <c r="C1308" t="s">
        <v>189</v>
      </c>
      <c r="D1308" s="4">
        <v>157200</v>
      </c>
      <c r="E1308" s="4">
        <v>157200</v>
      </c>
      <c r="F1308" s="4">
        <v>314400</v>
      </c>
      <c r="H1308" s="3">
        <f t="shared" si="20"/>
        <v>0</v>
      </c>
    </row>
    <row r="1309" spans="1:8">
      <c r="A1309" t="s">
        <v>2492</v>
      </c>
      <c r="B1309" t="s">
        <v>2493</v>
      </c>
      <c r="C1309" t="s">
        <v>189</v>
      </c>
      <c r="D1309" s="4">
        <v>181600</v>
      </c>
      <c r="E1309" s="4">
        <v>181600</v>
      </c>
      <c r="F1309" s="4">
        <v>363200</v>
      </c>
      <c r="H1309" s="3">
        <f t="shared" si="20"/>
        <v>0</v>
      </c>
    </row>
    <row r="1310" spans="1:8">
      <c r="A1310" t="s">
        <v>2519</v>
      </c>
      <c r="B1310" t="s">
        <v>2520</v>
      </c>
      <c r="C1310" t="s">
        <v>189</v>
      </c>
      <c r="D1310" s="4">
        <v>264900</v>
      </c>
      <c r="E1310" s="4">
        <v>264900</v>
      </c>
      <c r="F1310" s="4">
        <v>529800</v>
      </c>
      <c r="H1310" s="3">
        <f t="shared" si="20"/>
        <v>0</v>
      </c>
    </row>
    <row r="1311" spans="1:8">
      <c r="A1311" t="s">
        <v>2533</v>
      </c>
      <c r="B1311" t="s">
        <v>2534</v>
      </c>
      <c r="C1311" t="s">
        <v>189</v>
      </c>
      <c r="D1311" s="4">
        <v>150200</v>
      </c>
      <c r="E1311" s="4">
        <v>150200</v>
      </c>
      <c r="F1311" s="4">
        <v>300400</v>
      </c>
      <c r="H1311" s="3">
        <f t="shared" si="20"/>
        <v>0</v>
      </c>
    </row>
    <row r="1312" spans="1:8">
      <c r="A1312" t="s">
        <v>2545</v>
      </c>
      <c r="B1312" t="s">
        <v>2546</v>
      </c>
      <c r="C1312" t="s">
        <v>189</v>
      </c>
      <c r="D1312" s="4">
        <v>273000</v>
      </c>
      <c r="E1312" s="4">
        <v>273000</v>
      </c>
      <c r="F1312" s="4">
        <v>546000</v>
      </c>
      <c r="H1312" s="3">
        <f t="shared" si="20"/>
        <v>0</v>
      </c>
    </row>
    <row r="1313" spans="1:8">
      <c r="A1313" t="s">
        <v>2669</v>
      </c>
      <c r="B1313" t="s">
        <v>2670</v>
      </c>
      <c r="C1313" t="s">
        <v>189</v>
      </c>
      <c r="D1313" s="4">
        <v>222000</v>
      </c>
      <c r="E1313" s="4">
        <v>222000</v>
      </c>
      <c r="F1313" s="4">
        <v>444000</v>
      </c>
      <c r="H1313" s="3">
        <f t="shared" si="20"/>
        <v>0</v>
      </c>
    </row>
    <row r="1314" spans="1:8">
      <c r="A1314" t="s">
        <v>2676</v>
      </c>
      <c r="B1314" t="s">
        <v>2677</v>
      </c>
      <c r="C1314" t="s">
        <v>189</v>
      </c>
      <c r="D1314" s="4">
        <v>270300</v>
      </c>
      <c r="E1314" s="4">
        <v>270300</v>
      </c>
      <c r="F1314" s="4">
        <v>540600</v>
      </c>
      <c r="H1314" s="3">
        <f t="shared" si="20"/>
        <v>0</v>
      </c>
    </row>
    <row r="1315" spans="1:8">
      <c r="A1315" t="s">
        <v>2685</v>
      </c>
      <c r="B1315" t="s">
        <v>2686</v>
      </c>
      <c r="C1315" t="s">
        <v>189</v>
      </c>
      <c r="D1315" s="4">
        <v>261400</v>
      </c>
      <c r="E1315" s="4">
        <v>261400</v>
      </c>
      <c r="F1315" s="4">
        <v>522800</v>
      </c>
      <c r="H1315" s="3">
        <f t="shared" si="20"/>
        <v>0</v>
      </c>
    </row>
    <row r="1316" spans="1:8">
      <c r="A1316" t="s">
        <v>2733</v>
      </c>
      <c r="B1316" t="s">
        <v>2734</v>
      </c>
      <c r="C1316" t="s">
        <v>189</v>
      </c>
      <c r="D1316" s="4">
        <v>98500</v>
      </c>
      <c r="E1316" s="4">
        <v>98500</v>
      </c>
      <c r="F1316" s="4">
        <v>197000</v>
      </c>
      <c r="H1316" s="3">
        <f t="shared" si="20"/>
        <v>0</v>
      </c>
    </row>
    <row r="1317" spans="1:8">
      <c r="A1317" t="s">
        <v>2857</v>
      </c>
      <c r="B1317" t="s">
        <v>2858</v>
      </c>
      <c r="C1317" t="s">
        <v>189</v>
      </c>
      <c r="D1317" s="4">
        <v>252700</v>
      </c>
      <c r="E1317" s="4">
        <v>252700</v>
      </c>
      <c r="F1317" s="4">
        <v>505400</v>
      </c>
      <c r="H1317" s="3">
        <f t="shared" si="20"/>
        <v>0</v>
      </c>
    </row>
    <row r="1318" spans="1:8">
      <c r="A1318" t="s">
        <v>2867</v>
      </c>
      <c r="B1318" t="s">
        <v>2868</v>
      </c>
      <c r="C1318" t="s">
        <v>189</v>
      </c>
      <c r="D1318" s="4">
        <v>287400</v>
      </c>
      <c r="E1318" s="4">
        <v>287400</v>
      </c>
      <c r="F1318" s="4">
        <v>574800</v>
      </c>
      <c r="H1318" s="3">
        <f t="shared" si="20"/>
        <v>0</v>
      </c>
    </row>
    <row r="1319" spans="1:8">
      <c r="A1319" t="s">
        <v>2900</v>
      </c>
      <c r="B1319" t="s">
        <v>2901</v>
      </c>
      <c r="C1319" t="s">
        <v>189</v>
      </c>
      <c r="D1319" s="4">
        <v>213200</v>
      </c>
      <c r="E1319" s="4">
        <v>213200</v>
      </c>
      <c r="F1319" s="4">
        <v>426400</v>
      </c>
      <c r="H1319" s="3">
        <f t="shared" si="20"/>
        <v>0</v>
      </c>
    </row>
    <row r="1320" spans="1:8">
      <c r="A1320" t="s">
        <v>2919</v>
      </c>
      <c r="B1320" t="s">
        <v>2920</v>
      </c>
      <c r="C1320" t="s">
        <v>189</v>
      </c>
      <c r="D1320" s="4">
        <v>171800</v>
      </c>
      <c r="E1320" s="4">
        <v>171800</v>
      </c>
      <c r="F1320" s="4">
        <v>343600</v>
      </c>
      <c r="H1320" s="3">
        <f t="shared" si="20"/>
        <v>0</v>
      </c>
    </row>
    <row r="1321" spans="1:8">
      <c r="A1321" t="s">
        <v>2933</v>
      </c>
      <c r="B1321" t="s">
        <v>2934</v>
      </c>
      <c r="C1321" t="s">
        <v>189</v>
      </c>
      <c r="D1321" s="4">
        <v>198700</v>
      </c>
      <c r="E1321" s="4">
        <v>198700</v>
      </c>
      <c r="F1321" s="4">
        <v>397400</v>
      </c>
      <c r="H1321" s="3">
        <f t="shared" si="20"/>
        <v>0</v>
      </c>
    </row>
    <row r="1322" spans="1:8">
      <c r="A1322" t="s">
        <v>2974</v>
      </c>
      <c r="B1322" t="s">
        <v>2975</v>
      </c>
      <c r="C1322" t="s">
        <v>189</v>
      </c>
      <c r="D1322" s="4">
        <v>87200</v>
      </c>
      <c r="E1322" s="4">
        <v>87200</v>
      </c>
      <c r="F1322" s="4">
        <v>174400</v>
      </c>
      <c r="H1322" s="3">
        <f t="shared" si="20"/>
        <v>0</v>
      </c>
    </row>
    <row r="1323" spans="1:8">
      <c r="A1323" t="s">
        <v>2980</v>
      </c>
      <c r="B1323" t="s">
        <v>2981</v>
      </c>
      <c r="C1323" t="s">
        <v>189</v>
      </c>
      <c r="D1323" s="4">
        <v>149900</v>
      </c>
      <c r="E1323" s="4">
        <v>149900</v>
      </c>
      <c r="F1323" s="4">
        <v>299800</v>
      </c>
      <c r="H1323" s="3">
        <f t="shared" si="20"/>
        <v>0</v>
      </c>
    </row>
    <row r="1324" spans="1:8">
      <c r="A1324" t="s">
        <v>2995</v>
      </c>
      <c r="B1324" t="s">
        <v>2996</v>
      </c>
      <c r="C1324" t="s">
        <v>189</v>
      </c>
      <c r="D1324" s="4">
        <v>249600</v>
      </c>
      <c r="E1324" s="4"/>
      <c r="F1324" s="4">
        <v>249600</v>
      </c>
      <c r="H1324" s="3">
        <f t="shared" si="20"/>
        <v>249600</v>
      </c>
    </row>
    <row r="1325" spans="1:8">
      <c r="B1325" t="s">
        <v>3068</v>
      </c>
      <c r="C1325" t="s">
        <v>189</v>
      </c>
      <c r="D1325" s="4"/>
      <c r="E1325" s="4">
        <v>249600</v>
      </c>
      <c r="F1325" s="4">
        <v>249600</v>
      </c>
      <c r="H1325" s="3">
        <f t="shared" si="20"/>
        <v>-249600</v>
      </c>
    </row>
    <row r="1326" spans="1:8">
      <c r="A1326" t="s">
        <v>3031</v>
      </c>
      <c r="B1326" t="s">
        <v>3032</v>
      </c>
      <c r="C1326" t="s">
        <v>189</v>
      </c>
      <c r="D1326" s="4">
        <v>220000</v>
      </c>
      <c r="E1326" s="4">
        <v>220000</v>
      </c>
      <c r="F1326" s="4">
        <v>440000</v>
      </c>
      <c r="H1326" s="3">
        <f t="shared" si="20"/>
        <v>0</v>
      </c>
    </row>
    <row r="1327" spans="1:8">
      <c r="A1327" t="s">
        <v>1447</v>
      </c>
      <c r="B1327" t="s">
        <v>1448</v>
      </c>
      <c r="C1327" t="s">
        <v>189</v>
      </c>
      <c r="D1327" s="4">
        <v>154700</v>
      </c>
      <c r="E1327" s="4">
        <v>154700</v>
      </c>
      <c r="F1327" s="4">
        <v>309400</v>
      </c>
      <c r="H1327" s="3">
        <f t="shared" si="20"/>
        <v>0</v>
      </c>
    </row>
    <row r="1328" spans="1:8">
      <c r="A1328" t="s">
        <v>1452</v>
      </c>
      <c r="B1328" t="s">
        <v>1453</v>
      </c>
      <c r="C1328" t="s">
        <v>189</v>
      </c>
      <c r="D1328" s="4">
        <v>184000</v>
      </c>
      <c r="E1328" s="4">
        <v>184000</v>
      </c>
      <c r="F1328" s="4">
        <v>368000</v>
      </c>
      <c r="H1328" s="3">
        <f t="shared" si="20"/>
        <v>0</v>
      </c>
    </row>
    <row r="1329" spans="1:8">
      <c r="A1329" t="s">
        <v>1463</v>
      </c>
      <c r="B1329" t="s">
        <v>1464</v>
      </c>
      <c r="C1329" t="s">
        <v>189</v>
      </c>
      <c r="D1329" s="4">
        <v>107600</v>
      </c>
      <c r="E1329" s="4">
        <v>107600</v>
      </c>
      <c r="F1329" s="4">
        <v>215200</v>
      </c>
      <c r="H1329" s="3">
        <f t="shared" si="20"/>
        <v>0</v>
      </c>
    </row>
    <row r="1330" spans="1:8">
      <c r="A1330" t="s">
        <v>1493</v>
      </c>
      <c r="B1330" t="s">
        <v>1494</v>
      </c>
      <c r="C1330" t="s">
        <v>189</v>
      </c>
      <c r="D1330" s="4">
        <v>111500</v>
      </c>
      <c r="E1330" s="4">
        <v>111500</v>
      </c>
      <c r="F1330" s="4">
        <v>223000</v>
      </c>
      <c r="H1330" s="3">
        <f t="shared" si="20"/>
        <v>0</v>
      </c>
    </row>
    <row r="1331" spans="1:8">
      <c r="A1331" t="s">
        <v>1699</v>
      </c>
      <c r="B1331" t="s">
        <v>1700</v>
      </c>
      <c r="C1331" t="s">
        <v>189</v>
      </c>
      <c r="D1331" s="4">
        <v>196400</v>
      </c>
      <c r="E1331" s="4">
        <v>196400</v>
      </c>
      <c r="F1331" s="4">
        <v>392800</v>
      </c>
      <c r="H1331" s="3">
        <f t="shared" si="20"/>
        <v>0</v>
      </c>
    </row>
    <row r="1332" spans="1:8">
      <c r="A1332" t="s">
        <v>1731</v>
      </c>
      <c r="B1332" t="s">
        <v>1732</v>
      </c>
      <c r="C1332" t="s">
        <v>189</v>
      </c>
      <c r="D1332" s="4">
        <v>350500</v>
      </c>
      <c r="E1332" s="4">
        <v>350500</v>
      </c>
      <c r="F1332" s="4">
        <v>701000</v>
      </c>
      <c r="H1332" s="3">
        <f t="shared" si="20"/>
        <v>0</v>
      </c>
    </row>
    <row r="1333" spans="1:8">
      <c r="A1333" t="s">
        <v>1758</v>
      </c>
      <c r="B1333" t="s">
        <v>1759</v>
      </c>
      <c r="C1333" t="s">
        <v>189</v>
      </c>
      <c r="D1333" s="4">
        <v>24200</v>
      </c>
      <c r="E1333" s="4">
        <v>24200</v>
      </c>
      <c r="F1333" s="4">
        <v>48400</v>
      </c>
      <c r="H1333" s="3">
        <f t="shared" si="20"/>
        <v>0</v>
      </c>
    </row>
    <row r="1334" spans="1:8">
      <c r="A1334" t="s">
        <v>1929</v>
      </c>
      <c r="B1334" t="s">
        <v>1930</v>
      </c>
      <c r="C1334" t="s">
        <v>189</v>
      </c>
      <c r="D1334" s="4">
        <v>218600</v>
      </c>
      <c r="E1334" s="4">
        <v>218600</v>
      </c>
      <c r="F1334" s="4">
        <v>437200</v>
      </c>
      <c r="H1334" s="3">
        <f t="shared" si="20"/>
        <v>0</v>
      </c>
    </row>
    <row r="1335" spans="1:8">
      <c r="A1335" t="s">
        <v>1979</v>
      </c>
      <c r="B1335" t="s">
        <v>1980</v>
      </c>
      <c r="C1335" t="s">
        <v>189</v>
      </c>
      <c r="D1335" s="4">
        <v>164900</v>
      </c>
      <c r="E1335" s="4">
        <v>164900</v>
      </c>
      <c r="F1335" s="4">
        <v>329800</v>
      </c>
      <c r="H1335" s="3">
        <f t="shared" si="20"/>
        <v>0</v>
      </c>
    </row>
    <row r="1336" spans="1:8">
      <c r="A1336" t="s">
        <v>2013</v>
      </c>
      <c r="B1336" t="s">
        <v>2014</v>
      </c>
      <c r="C1336" t="s">
        <v>189</v>
      </c>
      <c r="D1336" s="4">
        <v>73600</v>
      </c>
      <c r="E1336" s="4">
        <v>73600</v>
      </c>
      <c r="F1336" s="4">
        <v>147200</v>
      </c>
      <c r="H1336" s="3">
        <f t="shared" si="20"/>
        <v>0</v>
      </c>
    </row>
    <row r="1337" spans="1:8">
      <c r="A1337" t="s">
        <v>2022</v>
      </c>
      <c r="B1337" t="s">
        <v>2023</v>
      </c>
      <c r="C1337" t="s">
        <v>189</v>
      </c>
      <c r="D1337" s="4">
        <v>72700</v>
      </c>
      <c r="E1337" s="4">
        <v>72700</v>
      </c>
      <c r="F1337" s="4">
        <v>145400</v>
      </c>
      <c r="H1337" s="3">
        <f t="shared" si="20"/>
        <v>0</v>
      </c>
    </row>
    <row r="1338" spans="1:8">
      <c r="A1338" t="s">
        <v>2043</v>
      </c>
      <c r="B1338" t="s">
        <v>2044</v>
      </c>
      <c r="C1338" t="s">
        <v>189</v>
      </c>
      <c r="D1338" s="4">
        <v>232900</v>
      </c>
      <c r="E1338" s="4">
        <v>232900</v>
      </c>
      <c r="F1338" s="4">
        <v>465800</v>
      </c>
      <c r="H1338" s="3">
        <f t="shared" si="20"/>
        <v>0</v>
      </c>
    </row>
    <row r="1339" spans="1:8">
      <c r="A1339" t="s">
        <v>2054</v>
      </c>
      <c r="B1339" t="s">
        <v>2055</v>
      </c>
      <c r="C1339" t="s">
        <v>189</v>
      </c>
      <c r="D1339" s="4">
        <v>156200</v>
      </c>
      <c r="E1339" s="4"/>
      <c r="F1339" s="4">
        <v>156200</v>
      </c>
      <c r="H1339" s="3">
        <f t="shared" si="20"/>
        <v>156200</v>
      </c>
    </row>
    <row r="1340" spans="1:8">
      <c r="B1340" t="s">
        <v>3055</v>
      </c>
      <c r="C1340" t="s">
        <v>189</v>
      </c>
      <c r="D1340" s="4"/>
      <c r="E1340" s="4">
        <v>155400</v>
      </c>
      <c r="F1340" s="4">
        <v>155400</v>
      </c>
      <c r="H1340" s="3">
        <f t="shared" si="20"/>
        <v>-155400</v>
      </c>
    </row>
    <row r="1341" spans="1:8">
      <c r="A1341" t="s">
        <v>2128</v>
      </c>
      <c r="B1341" t="s">
        <v>2129</v>
      </c>
      <c r="C1341" t="s">
        <v>189</v>
      </c>
      <c r="D1341" s="4">
        <v>415400</v>
      </c>
      <c r="E1341" s="4">
        <v>415400</v>
      </c>
      <c r="F1341" s="4">
        <v>830800</v>
      </c>
      <c r="H1341" s="3">
        <f t="shared" si="20"/>
        <v>0</v>
      </c>
    </row>
    <row r="1342" spans="1:8">
      <c r="A1342" t="s">
        <v>2163</v>
      </c>
      <c r="B1342" t="s">
        <v>2164</v>
      </c>
      <c r="C1342" t="s">
        <v>189</v>
      </c>
      <c r="D1342" s="4">
        <v>188800</v>
      </c>
      <c r="E1342" s="4">
        <v>188800</v>
      </c>
      <c r="F1342" s="4">
        <v>377600</v>
      </c>
      <c r="H1342" s="3">
        <f t="shared" si="20"/>
        <v>0</v>
      </c>
    </row>
    <row r="1343" spans="1:8">
      <c r="A1343" t="s">
        <v>2169</v>
      </c>
      <c r="B1343" t="s">
        <v>2170</v>
      </c>
      <c r="C1343" t="s">
        <v>189</v>
      </c>
      <c r="D1343" s="4">
        <v>147000</v>
      </c>
      <c r="E1343" s="4">
        <v>147000</v>
      </c>
      <c r="F1343" s="4">
        <v>294000</v>
      </c>
      <c r="H1343" s="3">
        <f t="shared" si="20"/>
        <v>0</v>
      </c>
    </row>
    <row r="1344" spans="1:8">
      <c r="A1344" t="s">
        <v>2187</v>
      </c>
      <c r="B1344" t="s">
        <v>2188</v>
      </c>
      <c r="C1344" t="s">
        <v>189</v>
      </c>
      <c r="D1344" s="4">
        <v>44300</v>
      </c>
      <c r="E1344" s="4">
        <v>44300</v>
      </c>
      <c r="F1344" s="4">
        <v>88600</v>
      </c>
      <c r="H1344" s="3">
        <f t="shared" si="20"/>
        <v>0</v>
      </c>
    </row>
    <row r="1345" spans="1:8">
      <c r="A1345" t="s">
        <v>2269</v>
      </c>
      <c r="B1345" t="s">
        <v>2270</v>
      </c>
      <c r="C1345" t="s">
        <v>189</v>
      </c>
      <c r="D1345" s="4">
        <v>147000</v>
      </c>
      <c r="E1345" s="4">
        <v>147000</v>
      </c>
      <c r="F1345" s="4">
        <v>294000</v>
      </c>
      <c r="H1345" s="3">
        <f t="shared" si="20"/>
        <v>0</v>
      </c>
    </row>
    <row r="1346" spans="1:8">
      <c r="A1346" t="s">
        <v>2288</v>
      </c>
      <c r="B1346" t="s">
        <v>2289</v>
      </c>
      <c r="C1346" t="s">
        <v>189</v>
      </c>
      <c r="D1346" s="4">
        <v>137900</v>
      </c>
      <c r="E1346" s="4">
        <v>137900</v>
      </c>
      <c r="F1346" s="4">
        <v>275800</v>
      </c>
      <c r="H1346" s="3">
        <f t="shared" si="20"/>
        <v>0</v>
      </c>
    </row>
    <row r="1347" spans="1:8">
      <c r="A1347" t="s">
        <v>2298</v>
      </c>
      <c r="B1347" t="s">
        <v>2299</v>
      </c>
      <c r="C1347" t="s">
        <v>189</v>
      </c>
      <c r="D1347" s="4">
        <v>115600</v>
      </c>
      <c r="E1347" s="4">
        <v>115600</v>
      </c>
      <c r="F1347" s="4">
        <v>231200</v>
      </c>
      <c r="H1347" s="3">
        <f t="shared" si="20"/>
        <v>0</v>
      </c>
    </row>
    <row r="1348" spans="1:8">
      <c r="A1348" t="s">
        <v>2303</v>
      </c>
      <c r="B1348" t="s">
        <v>2304</v>
      </c>
      <c r="C1348" t="s">
        <v>189</v>
      </c>
      <c r="D1348" s="4">
        <v>143200</v>
      </c>
      <c r="E1348" s="4">
        <v>143200</v>
      </c>
      <c r="F1348" s="4">
        <v>286400</v>
      </c>
      <c r="H1348" s="3">
        <f t="shared" si="20"/>
        <v>0</v>
      </c>
    </row>
    <row r="1349" spans="1:8">
      <c r="A1349" t="s">
        <v>2320</v>
      </c>
      <c r="B1349" t="s">
        <v>2321</v>
      </c>
      <c r="C1349" t="s">
        <v>189</v>
      </c>
      <c r="D1349" s="4">
        <v>203900</v>
      </c>
      <c r="E1349" s="4">
        <v>203900</v>
      </c>
      <c r="F1349" s="4">
        <v>407800</v>
      </c>
      <c r="H1349" s="3">
        <f t="shared" si="20"/>
        <v>0</v>
      </c>
    </row>
    <row r="1350" spans="1:8">
      <c r="A1350" t="s">
        <v>2378</v>
      </c>
      <c r="B1350" t="s">
        <v>2379</v>
      </c>
      <c r="C1350" t="s">
        <v>189</v>
      </c>
      <c r="D1350" s="4">
        <v>141000</v>
      </c>
      <c r="E1350" s="4">
        <v>141000</v>
      </c>
      <c r="F1350" s="4">
        <v>282000</v>
      </c>
      <c r="H1350" s="3">
        <f t="shared" si="20"/>
        <v>0</v>
      </c>
    </row>
    <row r="1351" spans="1:8">
      <c r="A1351" t="s">
        <v>2415</v>
      </c>
      <c r="B1351" t="s">
        <v>2416</v>
      </c>
      <c r="C1351" t="s">
        <v>189</v>
      </c>
      <c r="D1351" s="4">
        <v>232400</v>
      </c>
      <c r="E1351" s="4">
        <v>232400</v>
      </c>
      <c r="F1351" s="4">
        <v>464800</v>
      </c>
      <c r="H1351" s="3">
        <f t="shared" si="20"/>
        <v>0</v>
      </c>
    </row>
    <row r="1352" spans="1:8">
      <c r="A1352" t="s">
        <v>2441</v>
      </c>
      <c r="B1352" t="s">
        <v>2442</v>
      </c>
      <c r="C1352" t="s">
        <v>189</v>
      </c>
      <c r="D1352" s="4">
        <v>147000</v>
      </c>
      <c r="E1352" s="4">
        <v>147000</v>
      </c>
      <c r="F1352" s="4">
        <v>294000</v>
      </c>
      <c r="H1352" s="3">
        <f t="shared" si="20"/>
        <v>0</v>
      </c>
    </row>
    <row r="1353" spans="1:8">
      <c r="A1353" t="s">
        <v>2458</v>
      </c>
      <c r="B1353" t="s">
        <v>2459</v>
      </c>
      <c r="C1353" t="s">
        <v>189</v>
      </c>
      <c r="D1353" s="4">
        <v>69700</v>
      </c>
      <c r="E1353" s="4">
        <v>69700</v>
      </c>
      <c r="F1353" s="4">
        <v>139400</v>
      </c>
      <c r="H1353" s="3">
        <f t="shared" si="20"/>
        <v>0</v>
      </c>
    </row>
    <row r="1354" spans="1:8">
      <c r="A1354" t="s">
        <v>2594</v>
      </c>
      <c r="B1354" t="s">
        <v>2595</v>
      </c>
      <c r="C1354" t="s">
        <v>189</v>
      </c>
      <c r="D1354" s="4">
        <v>205500</v>
      </c>
      <c r="E1354" s="4">
        <v>205500</v>
      </c>
      <c r="F1354" s="4">
        <v>411000</v>
      </c>
      <c r="H1354" s="3">
        <f t="shared" si="20"/>
        <v>0</v>
      </c>
    </row>
    <row r="1355" spans="1:8">
      <c r="A1355" t="s">
        <v>2636</v>
      </c>
      <c r="B1355" t="s">
        <v>2637</v>
      </c>
      <c r="C1355" t="s">
        <v>189</v>
      </c>
      <c r="D1355" s="4">
        <v>152600</v>
      </c>
      <c r="E1355" s="4">
        <v>152600</v>
      </c>
      <c r="F1355" s="4">
        <v>305200</v>
      </c>
      <c r="H1355" s="3">
        <f t="shared" si="20"/>
        <v>0</v>
      </c>
    </row>
    <row r="1356" spans="1:8">
      <c r="A1356" t="s">
        <v>2674</v>
      </c>
      <c r="B1356" t="s">
        <v>2675</v>
      </c>
      <c r="C1356" t="s">
        <v>189</v>
      </c>
      <c r="D1356" s="4">
        <v>22500</v>
      </c>
      <c r="E1356" s="4">
        <v>22500</v>
      </c>
      <c r="F1356" s="4">
        <v>45000</v>
      </c>
      <c r="H1356" s="3">
        <f t="shared" si="20"/>
        <v>0</v>
      </c>
    </row>
    <row r="1357" spans="1:8">
      <c r="A1357" t="s">
        <v>2682</v>
      </c>
      <c r="B1357" t="s">
        <v>2683</v>
      </c>
      <c r="C1357" t="s">
        <v>189</v>
      </c>
      <c r="D1357" s="4">
        <v>227300</v>
      </c>
      <c r="E1357" s="4">
        <v>227300</v>
      </c>
      <c r="F1357" s="4">
        <v>454600</v>
      </c>
      <c r="H1357" s="3">
        <f t="shared" si="20"/>
        <v>0</v>
      </c>
    </row>
    <row r="1358" spans="1:8">
      <c r="A1358" t="s">
        <v>2696</v>
      </c>
      <c r="B1358" t="s">
        <v>2697</v>
      </c>
      <c r="C1358" t="s">
        <v>189</v>
      </c>
      <c r="D1358" s="4">
        <v>220100</v>
      </c>
      <c r="E1358" s="4">
        <v>220100</v>
      </c>
      <c r="F1358" s="4">
        <v>440200</v>
      </c>
      <c r="H1358" s="3">
        <f t="shared" si="20"/>
        <v>0</v>
      </c>
    </row>
    <row r="1359" spans="1:8">
      <c r="A1359" t="s">
        <v>2707</v>
      </c>
      <c r="B1359" t="s">
        <v>2708</v>
      </c>
      <c r="C1359" t="s">
        <v>189</v>
      </c>
      <c r="D1359" s="4">
        <v>301500</v>
      </c>
      <c r="E1359" s="4">
        <v>301500</v>
      </c>
      <c r="F1359" s="4">
        <v>603000</v>
      </c>
      <c r="H1359" s="3">
        <f t="shared" si="20"/>
        <v>0</v>
      </c>
    </row>
    <row r="1360" spans="1:8">
      <c r="A1360" t="s">
        <v>2718</v>
      </c>
      <c r="B1360" t="s">
        <v>2719</v>
      </c>
      <c r="C1360" t="s">
        <v>189</v>
      </c>
      <c r="D1360" s="4">
        <v>152600</v>
      </c>
      <c r="E1360" s="4">
        <v>152600</v>
      </c>
      <c r="F1360" s="4">
        <v>305200</v>
      </c>
      <c r="H1360" s="3">
        <f t="shared" si="20"/>
        <v>0</v>
      </c>
    </row>
    <row r="1361" spans="1:8">
      <c r="A1361" t="s">
        <v>2778</v>
      </c>
      <c r="B1361" t="s">
        <v>2779</v>
      </c>
      <c r="C1361" t="s">
        <v>189</v>
      </c>
      <c r="D1361" s="4">
        <v>213100</v>
      </c>
      <c r="E1361" s="4">
        <v>213100</v>
      </c>
      <c r="F1361" s="4">
        <v>426200</v>
      </c>
      <c r="H1361" s="3">
        <f t="shared" si="20"/>
        <v>0</v>
      </c>
    </row>
    <row r="1362" spans="1:8">
      <c r="A1362" t="s">
        <v>2834</v>
      </c>
      <c r="B1362" t="s">
        <v>2835</v>
      </c>
      <c r="C1362" t="s">
        <v>189</v>
      </c>
      <c r="D1362" s="4">
        <v>261500</v>
      </c>
      <c r="E1362" s="4">
        <v>261500</v>
      </c>
      <c r="F1362" s="4">
        <v>523000</v>
      </c>
      <c r="H1362" s="3">
        <f t="shared" si="20"/>
        <v>0</v>
      </c>
    </row>
    <row r="1363" spans="1:8">
      <c r="A1363" t="s">
        <v>2863</v>
      </c>
      <c r="B1363" t="s">
        <v>2864</v>
      </c>
      <c r="C1363" t="s">
        <v>189</v>
      </c>
      <c r="D1363" s="4">
        <v>206600</v>
      </c>
      <c r="E1363" s="4">
        <v>206600</v>
      </c>
      <c r="F1363" s="4">
        <v>413200</v>
      </c>
      <c r="H1363" s="3">
        <f t="shared" si="20"/>
        <v>0</v>
      </c>
    </row>
    <row r="1364" spans="1:8">
      <c r="A1364" t="s">
        <v>2915</v>
      </c>
      <c r="B1364" t="s">
        <v>2916</v>
      </c>
      <c r="C1364" t="s">
        <v>189</v>
      </c>
      <c r="D1364" s="4">
        <v>129700</v>
      </c>
      <c r="E1364" s="4">
        <v>129700</v>
      </c>
      <c r="F1364" s="4">
        <v>259400</v>
      </c>
      <c r="H1364" s="3">
        <f t="shared" ref="H1364:H1427" si="21">+D1364-E1364</f>
        <v>0</v>
      </c>
    </row>
    <row r="1365" spans="1:8">
      <c r="A1365" t="s">
        <v>2925</v>
      </c>
      <c r="B1365" t="s">
        <v>2926</v>
      </c>
      <c r="C1365" t="s">
        <v>189</v>
      </c>
      <c r="D1365" s="4">
        <v>79800</v>
      </c>
      <c r="E1365" s="4">
        <v>79800</v>
      </c>
      <c r="F1365" s="4">
        <v>159600</v>
      </c>
      <c r="H1365" s="3">
        <f t="shared" si="21"/>
        <v>0</v>
      </c>
    </row>
    <row r="1366" spans="1:8">
      <c r="A1366" t="s">
        <v>2936</v>
      </c>
      <c r="B1366" t="s">
        <v>2937</v>
      </c>
      <c r="C1366" t="s">
        <v>189</v>
      </c>
      <c r="D1366" s="4">
        <v>301900</v>
      </c>
      <c r="E1366" s="4">
        <v>301900</v>
      </c>
      <c r="F1366" s="4">
        <v>603800</v>
      </c>
      <c r="H1366" s="3">
        <f t="shared" si="21"/>
        <v>0</v>
      </c>
    </row>
    <row r="1367" spans="1:8">
      <c r="A1367" t="s">
        <v>2947</v>
      </c>
      <c r="B1367" t="s">
        <v>2948</v>
      </c>
      <c r="C1367" t="s">
        <v>189</v>
      </c>
      <c r="D1367" s="4">
        <v>188900</v>
      </c>
      <c r="E1367" s="4">
        <v>188900</v>
      </c>
      <c r="F1367" s="4">
        <v>377800</v>
      </c>
      <c r="H1367" s="3">
        <f t="shared" si="21"/>
        <v>0</v>
      </c>
    </row>
    <row r="1368" spans="1:8">
      <c r="A1368" t="s">
        <v>2967</v>
      </c>
      <c r="B1368" t="s">
        <v>2968</v>
      </c>
      <c r="C1368" t="s">
        <v>189</v>
      </c>
      <c r="D1368" s="4">
        <v>196700</v>
      </c>
      <c r="E1368" s="4">
        <v>196700</v>
      </c>
      <c r="F1368" s="4">
        <v>393400</v>
      </c>
      <c r="H1368" s="3">
        <f t="shared" si="21"/>
        <v>0</v>
      </c>
    </row>
    <row r="1369" spans="1:8">
      <c r="A1369" t="s">
        <v>2982</v>
      </c>
      <c r="B1369" t="s">
        <v>2983</v>
      </c>
      <c r="C1369" t="s">
        <v>189</v>
      </c>
      <c r="D1369" s="4">
        <v>175700</v>
      </c>
      <c r="E1369" s="4">
        <v>175700</v>
      </c>
      <c r="F1369" s="4">
        <v>351400</v>
      </c>
      <c r="H1369" s="3">
        <f t="shared" si="21"/>
        <v>0</v>
      </c>
    </row>
    <row r="1370" spans="1:8">
      <c r="A1370" t="s">
        <v>3020</v>
      </c>
      <c r="B1370" t="s">
        <v>3021</v>
      </c>
      <c r="C1370" t="s">
        <v>189</v>
      </c>
      <c r="D1370" s="4">
        <v>143200</v>
      </c>
      <c r="E1370" s="4">
        <v>143200</v>
      </c>
      <c r="F1370" s="4">
        <v>286400</v>
      </c>
      <c r="H1370" s="3">
        <f t="shared" si="21"/>
        <v>0</v>
      </c>
    </row>
    <row r="1371" spans="1:8">
      <c r="A1371" t="s">
        <v>3023</v>
      </c>
      <c r="B1371" t="s">
        <v>3024</v>
      </c>
      <c r="C1371" t="s">
        <v>189</v>
      </c>
      <c r="D1371" s="4">
        <v>122300</v>
      </c>
      <c r="E1371" s="4">
        <v>122300</v>
      </c>
      <c r="F1371" s="4">
        <v>244600</v>
      </c>
      <c r="H1371" s="3">
        <f t="shared" si="21"/>
        <v>0</v>
      </c>
    </row>
    <row r="1372" spans="1:8">
      <c r="A1372" t="s">
        <v>3028</v>
      </c>
      <c r="B1372" t="s">
        <v>3029</v>
      </c>
      <c r="C1372" t="s">
        <v>189</v>
      </c>
      <c r="D1372" s="4">
        <v>398000</v>
      </c>
      <c r="E1372" s="4">
        <v>398000</v>
      </c>
      <c r="F1372" s="4">
        <v>796000</v>
      </c>
      <c r="H1372" s="3">
        <f t="shared" si="21"/>
        <v>0</v>
      </c>
    </row>
    <row r="1373" spans="1:8">
      <c r="A1373" t="s">
        <v>3044</v>
      </c>
      <c r="B1373" t="s">
        <v>3045</v>
      </c>
      <c r="C1373" t="s">
        <v>189</v>
      </c>
      <c r="D1373" s="4">
        <v>208600</v>
      </c>
      <c r="E1373" s="4">
        <v>208600</v>
      </c>
      <c r="F1373" s="4">
        <v>417200</v>
      </c>
      <c r="H1373" s="3">
        <f t="shared" si="21"/>
        <v>0</v>
      </c>
    </row>
    <row r="1374" spans="1:8">
      <c r="A1374" t="s">
        <v>1660</v>
      </c>
      <c r="B1374" t="s">
        <v>1661</v>
      </c>
      <c r="C1374" t="s">
        <v>189</v>
      </c>
      <c r="D1374" s="4">
        <v>215000</v>
      </c>
      <c r="E1374" s="4">
        <v>215000</v>
      </c>
      <c r="F1374" s="4">
        <v>430000</v>
      </c>
      <c r="H1374" s="3">
        <f t="shared" si="21"/>
        <v>0</v>
      </c>
    </row>
    <row r="1375" spans="1:8">
      <c r="A1375" t="s">
        <v>1686</v>
      </c>
      <c r="B1375" t="s">
        <v>1687</v>
      </c>
      <c r="C1375" t="s">
        <v>189</v>
      </c>
      <c r="D1375" s="4">
        <v>188000</v>
      </c>
      <c r="E1375" s="4">
        <v>188000</v>
      </c>
      <c r="F1375" s="4">
        <v>376000</v>
      </c>
      <c r="H1375" s="3">
        <f t="shared" si="21"/>
        <v>0</v>
      </c>
    </row>
    <row r="1376" spans="1:8">
      <c r="A1376" t="s">
        <v>1851</v>
      </c>
      <c r="B1376" t="s">
        <v>1852</v>
      </c>
      <c r="C1376" t="s">
        <v>189</v>
      </c>
      <c r="D1376" s="4">
        <v>199900</v>
      </c>
      <c r="E1376" s="4">
        <v>199900</v>
      </c>
      <c r="F1376" s="4">
        <v>399800</v>
      </c>
      <c r="H1376" s="3">
        <f t="shared" si="21"/>
        <v>0</v>
      </c>
    </row>
    <row r="1377" spans="1:8">
      <c r="A1377" t="s">
        <v>1862</v>
      </c>
      <c r="B1377" t="s">
        <v>1863</v>
      </c>
      <c r="C1377" t="s">
        <v>189</v>
      </c>
      <c r="D1377" s="4">
        <v>153300</v>
      </c>
      <c r="E1377" s="4">
        <v>153300</v>
      </c>
      <c r="F1377" s="4">
        <v>306600</v>
      </c>
      <c r="H1377" s="3">
        <f t="shared" si="21"/>
        <v>0</v>
      </c>
    </row>
    <row r="1378" spans="1:8">
      <c r="A1378" t="s">
        <v>1962</v>
      </c>
      <c r="B1378" t="s">
        <v>1963</v>
      </c>
      <c r="C1378" t="s">
        <v>189</v>
      </c>
      <c r="D1378" s="4">
        <v>209900</v>
      </c>
      <c r="E1378" s="4">
        <v>209900</v>
      </c>
      <c r="F1378" s="4">
        <v>419800</v>
      </c>
      <c r="H1378" s="3">
        <f t="shared" si="21"/>
        <v>0</v>
      </c>
    </row>
    <row r="1379" spans="1:8">
      <c r="A1379" t="s">
        <v>2000</v>
      </c>
      <c r="B1379" t="s">
        <v>2001</v>
      </c>
      <c r="C1379" t="s">
        <v>189</v>
      </c>
      <c r="D1379" s="4">
        <v>119200</v>
      </c>
      <c r="E1379" s="4">
        <v>119200</v>
      </c>
      <c r="F1379" s="4">
        <v>238400</v>
      </c>
      <c r="H1379" s="3">
        <f t="shared" si="21"/>
        <v>0</v>
      </c>
    </row>
    <row r="1380" spans="1:8">
      <c r="A1380" t="s">
        <v>2006</v>
      </c>
      <c r="B1380" t="s">
        <v>2007</v>
      </c>
      <c r="C1380" t="s">
        <v>189</v>
      </c>
      <c r="D1380" s="4">
        <v>124200</v>
      </c>
      <c r="E1380" s="4">
        <v>124200</v>
      </c>
      <c r="F1380" s="4">
        <v>248400</v>
      </c>
      <c r="H1380" s="3">
        <f t="shared" si="21"/>
        <v>0</v>
      </c>
    </row>
    <row r="1381" spans="1:8">
      <c r="A1381" t="s">
        <v>2067</v>
      </c>
      <c r="B1381" t="s">
        <v>2068</v>
      </c>
      <c r="C1381" t="s">
        <v>189</v>
      </c>
      <c r="D1381" s="4">
        <v>221800</v>
      </c>
      <c r="E1381" s="4">
        <v>221800</v>
      </c>
      <c r="F1381" s="4">
        <v>443600</v>
      </c>
      <c r="H1381" s="3">
        <f t="shared" si="21"/>
        <v>0</v>
      </c>
    </row>
    <row r="1382" spans="1:8">
      <c r="A1382" t="s">
        <v>2291</v>
      </c>
      <c r="B1382" t="s">
        <v>2292</v>
      </c>
      <c r="C1382" t="s">
        <v>189</v>
      </c>
      <c r="D1382" s="4">
        <v>59400</v>
      </c>
      <c r="E1382" s="4">
        <v>59400</v>
      </c>
      <c r="F1382" s="4">
        <v>118800</v>
      </c>
      <c r="H1382" s="3">
        <f t="shared" si="21"/>
        <v>0</v>
      </c>
    </row>
    <row r="1383" spans="1:8">
      <c r="A1383" t="s">
        <v>2307</v>
      </c>
      <c r="B1383" t="s">
        <v>2308</v>
      </c>
      <c r="C1383" t="s">
        <v>189</v>
      </c>
      <c r="D1383" s="4">
        <v>71400</v>
      </c>
      <c r="E1383" s="4">
        <v>71400</v>
      </c>
      <c r="F1383" s="4">
        <v>142800</v>
      </c>
      <c r="H1383" s="3">
        <f t="shared" si="21"/>
        <v>0</v>
      </c>
    </row>
    <row r="1384" spans="1:8">
      <c r="A1384" t="s">
        <v>2782</v>
      </c>
      <c r="B1384" t="s">
        <v>2783</v>
      </c>
      <c r="C1384" t="s">
        <v>189</v>
      </c>
      <c r="D1384" s="4">
        <v>131400</v>
      </c>
      <c r="E1384" s="4">
        <v>131400</v>
      </c>
      <c r="F1384" s="4">
        <v>262800</v>
      </c>
      <c r="H1384" s="3">
        <f t="shared" si="21"/>
        <v>0</v>
      </c>
    </row>
    <row r="1385" spans="1:8">
      <c r="A1385" t="s">
        <v>2958</v>
      </c>
      <c r="B1385" t="s">
        <v>2959</v>
      </c>
      <c r="C1385" t="s">
        <v>189</v>
      </c>
      <c r="D1385" s="4">
        <v>220000</v>
      </c>
      <c r="E1385" s="4">
        <v>220000</v>
      </c>
      <c r="F1385" s="4">
        <v>440000</v>
      </c>
      <c r="H1385" s="3">
        <f t="shared" si="21"/>
        <v>0</v>
      </c>
    </row>
    <row r="1386" spans="1:8">
      <c r="A1386" t="s">
        <v>2970</v>
      </c>
      <c r="B1386" t="s">
        <v>2971</v>
      </c>
      <c r="C1386" t="s">
        <v>189</v>
      </c>
      <c r="D1386" s="4">
        <v>204800</v>
      </c>
      <c r="E1386" s="4">
        <v>204800</v>
      </c>
      <c r="F1386" s="4">
        <v>409600</v>
      </c>
      <c r="H1386" s="3">
        <f t="shared" si="21"/>
        <v>0</v>
      </c>
    </row>
    <row r="1387" spans="1:8">
      <c r="A1387" t="s">
        <v>2047</v>
      </c>
      <c r="B1387" t="s">
        <v>2048</v>
      </c>
      <c r="C1387" t="s">
        <v>189</v>
      </c>
      <c r="D1387" s="4">
        <v>199200</v>
      </c>
      <c r="E1387" s="4">
        <v>199200</v>
      </c>
      <c r="F1387" s="4">
        <v>398400</v>
      </c>
      <c r="H1387" s="3">
        <f t="shared" si="21"/>
        <v>0</v>
      </c>
    </row>
    <row r="1388" spans="1:8">
      <c r="A1388" t="s">
        <v>2050</v>
      </c>
      <c r="B1388" t="s">
        <v>2051</v>
      </c>
      <c r="C1388" t="s">
        <v>189</v>
      </c>
      <c r="D1388" s="4">
        <v>228100</v>
      </c>
      <c r="E1388" s="4">
        <v>228100</v>
      </c>
      <c r="F1388" s="4">
        <v>456200</v>
      </c>
      <c r="H1388" s="3">
        <f t="shared" si="21"/>
        <v>0</v>
      </c>
    </row>
    <row r="1389" spans="1:8">
      <c r="A1389" t="s">
        <v>2344</v>
      </c>
      <c r="B1389" t="s">
        <v>2345</v>
      </c>
      <c r="C1389" t="s">
        <v>189</v>
      </c>
      <c r="D1389" s="4">
        <v>51300</v>
      </c>
      <c r="E1389" s="4">
        <v>51300</v>
      </c>
      <c r="F1389" s="4">
        <v>102600</v>
      </c>
      <c r="H1389" s="3">
        <f t="shared" si="21"/>
        <v>0</v>
      </c>
    </row>
    <row r="1390" spans="1:8">
      <c r="A1390" t="s">
        <v>2647</v>
      </c>
      <c r="B1390" t="s">
        <v>2648</v>
      </c>
      <c r="C1390" t="s">
        <v>189</v>
      </c>
      <c r="D1390" s="4">
        <v>247100</v>
      </c>
      <c r="E1390" s="4">
        <v>247100</v>
      </c>
      <c r="F1390" s="4">
        <v>494200</v>
      </c>
      <c r="H1390" s="3">
        <f t="shared" si="21"/>
        <v>0</v>
      </c>
    </row>
    <row r="1391" spans="1:8">
      <c r="A1391" t="s">
        <v>2649</v>
      </c>
      <c r="B1391" t="s">
        <v>2650</v>
      </c>
      <c r="C1391" t="s">
        <v>189</v>
      </c>
      <c r="D1391" s="4">
        <v>222400</v>
      </c>
      <c r="E1391" s="4">
        <v>222400</v>
      </c>
      <c r="F1391" s="4">
        <v>444800</v>
      </c>
      <c r="H1391" s="3">
        <f t="shared" si="21"/>
        <v>0</v>
      </c>
    </row>
    <row r="1392" spans="1:8">
      <c r="A1392" t="s">
        <v>2688</v>
      </c>
      <c r="B1392" t="s">
        <v>2689</v>
      </c>
      <c r="C1392" t="s">
        <v>189</v>
      </c>
      <c r="D1392" s="4">
        <v>110200</v>
      </c>
      <c r="E1392" s="4">
        <v>110200</v>
      </c>
      <c r="F1392" s="4">
        <v>220400</v>
      </c>
      <c r="H1392" s="3">
        <f t="shared" si="21"/>
        <v>0</v>
      </c>
    </row>
    <row r="1393" spans="1:8">
      <c r="A1393" t="s">
        <v>2703</v>
      </c>
      <c r="B1393" t="s">
        <v>2704</v>
      </c>
      <c r="C1393" t="s">
        <v>189</v>
      </c>
      <c r="D1393" s="4">
        <v>185900</v>
      </c>
      <c r="E1393" s="4">
        <v>185900</v>
      </c>
      <c r="F1393" s="4">
        <v>371800</v>
      </c>
      <c r="H1393" s="3">
        <f t="shared" si="21"/>
        <v>0</v>
      </c>
    </row>
    <row r="1394" spans="1:8">
      <c r="A1394" t="s">
        <v>2793</v>
      </c>
      <c r="B1394" t="s">
        <v>2794</v>
      </c>
      <c r="C1394" t="s">
        <v>189</v>
      </c>
      <c r="D1394" s="4">
        <v>232000</v>
      </c>
      <c r="E1394" s="4">
        <v>232000</v>
      </c>
      <c r="F1394" s="4">
        <v>464000</v>
      </c>
      <c r="H1394" s="3">
        <f t="shared" si="21"/>
        <v>0</v>
      </c>
    </row>
    <row r="1395" spans="1:8">
      <c r="A1395" t="s">
        <v>2797</v>
      </c>
      <c r="B1395" t="s">
        <v>2798</v>
      </c>
      <c r="C1395" t="s">
        <v>189</v>
      </c>
      <c r="D1395" s="4">
        <v>246700</v>
      </c>
      <c r="E1395" s="4">
        <v>246700</v>
      </c>
      <c r="F1395" s="4">
        <v>493400</v>
      </c>
      <c r="H1395" s="3">
        <f t="shared" si="21"/>
        <v>0</v>
      </c>
    </row>
    <row r="1396" spans="1:8">
      <c r="A1396" t="s">
        <v>1432</v>
      </c>
      <c r="B1396" t="s">
        <v>1433</v>
      </c>
      <c r="C1396" t="s">
        <v>189</v>
      </c>
      <c r="D1396" s="4">
        <v>141500</v>
      </c>
      <c r="E1396" s="4">
        <v>141500</v>
      </c>
      <c r="F1396" s="4">
        <v>283000</v>
      </c>
      <c r="H1396" s="3">
        <f t="shared" si="21"/>
        <v>0</v>
      </c>
    </row>
    <row r="1397" spans="1:8">
      <c r="A1397" t="s">
        <v>1457</v>
      </c>
      <c r="B1397" t="s">
        <v>1458</v>
      </c>
      <c r="C1397" t="s">
        <v>189</v>
      </c>
      <c r="D1397" s="4">
        <v>144400</v>
      </c>
      <c r="E1397" s="4">
        <v>144400</v>
      </c>
      <c r="F1397" s="4">
        <v>288800</v>
      </c>
      <c r="H1397" s="3">
        <f t="shared" si="21"/>
        <v>0</v>
      </c>
    </row>
    <row r="1398" spans="1:8">
      <c r="A1398" t="s">
        <v>1618</v>
      </c>
      <c r="B1398" t="s">
        <v>1619</v>
      </c>
      <c r="C1398" t="s">
        <v>189</v>
      </c>
      <c r="D1398" s="4">
        <v>143200</v>
      </c>
      <c r="E1398" s="4">
        <v>143200</v>
      </c>
      <c r="F1398" s="4">
        <v>286400</v>
      </c>
      <c r="H1398" s="3">
        <f t="shared" si="21"/>
        <v>0</v>
      </c>
    </row>
    <row r="1399" spans="1:8">
      <c r="A1399" t="s">
        <v>1690</v>
      </c>
      <c r="B1399" t="s">
        <v>1691</v>
      </c>
      <c r="C1399" t="s">
        <v>189</v>
      </c>
      <c r="D1399" s="4">
        <v>87600</v>
      </c>
      <c r="E1399" s="4">
        <v>87600</v>
      </c>
      <c r="F1399" s="4">
        <v>175200</v>
      </c>
      <c r="H1399" s="3">
        <f t="shared" si="21"/>
        <v>0</v>
      </c>
    </row>
    <row r="1400" spans="1:8">
      <c r="A1400" t="s">
        <v>1726</v>
      </c>
      <c r="B1400" t="s">
        <v>1727</v>
      </c>
      <c r="C1400" t="s">
        <v>189</v>
      </c>
      <c r="D1400" s="4">
        <v>340500</v>
      </c>
      <c r="E1400" s="4">
        <v>340500</v>
      </c>
      <c r="F1400" s="4">
        <v>681000</v>
      </c>
      <c r="H1400" s="3">
        <f t="shared" si="21"/>
        <v>0</v>
      </c>
    </row>
    <row r="1401" spans="1:8">
      <c r="A1401" t="s">
        <v>1778</v>
      </c>
      <c r="B1401" t="s">
        <v>1779</v>
      </c>
      <c r="C1401" t="s">
        <v>189</v>
      </c>
      <c r="D1401" s="4">
        <v>135800</v>
      </c>
      <c r="E1401" s="4">
        <v>135800</v>
      </c>
      <c r="F1401" s="4">
        <v>271600</v>
      </c>
      <c r="H1401" s="3">
        <f t="shared" si="21"/>
        <v>0</v>
      </c>
    </row>
    <row r="1402" spans="1:8">
      <c r="A1402" t="s">
        <v>1787</v>
      </c>
      <c r="B1402" t="s">
        <v>1788</v>
      </c>
      <c r="C1402" t="s">
        <v>189</v>
      </c>
      <c r="D1402" s="4">
        <v>183100</v>
      </c>
      <c r="E1402" s="4">
        <v>183100</v>
      </c>
      <c r="F1402" s="4">
        <v>366200</v>
      </c>
      <c r="H1402" s="3">
        <f t="shared" si="21"/>
        <v>0</v>
      </c>
    </row>
    <row r="1403" spans="1:8">
      <c r="A1403" t="s">
        <v>1794</v>
      </c>
      <c r="B1403" t="s">
        <v>1795</v>
      </c>
      <c r="C1403" t="s">
        <v>189</v>
      </c>
      <c r="D1403" s="4">
        <v>159200</v>
      </c>
      <c r="E1403" s="4"/>
      <c r="F1403" s="4">
        <v>159200</v>
      </c>
      <c r="H1403" s="3">
        <f t="shared" si="21"/>
        <v>159200</v>
      </c>
    </row>
    <row r="1404" spans="1:8">
      <c r="B1404" t="s">
        <v>3051</v>
      </c>
      <c r="C1404" t="s">
        <v>189</v>
      </c>
      <c r="D1404" s="4"/>
      <c r="E1404" s="4">
        <v>159200</v>
      </c>
      <c r="F1404" s="4">
        <v>159200</v>
      </c>
      <c r="H1404" s="3">
        <f t="shared" si="21"/>
        <v>-159200</v>
      </c>
    </row>
    <row r="1405" spans="1:8">
      <c r="A1405" t="s">
        <v>1815</v>
      </c>
      <c r="B1405" t="s">
        <v>1816</v>
      </c>
      <c r="C1405" t="s">
        <v>189</v>
      </c>
      <c r="D1405" s="4">
        <v>154200</v>
      </c>
      <c r="E1405" s="4">
        <v>154200</v>
      </c>
      <c r="F1405" s="4">
        <v>308400</v>
      </c>
      <c r="H1405" s="3">
        <f t="shared" si="21"/>
        <v>0</v>
      </c>
    </row>
    <row r="1406" spans="1:8">
      <c r="A1406" t="s">
        <v>1825</v>
      </c>
      <c r="B1406" t="s">
        <v>1826</v>
      </c>
      <c r="C1406" t="s">
        <v>189</v>
      </c>
      <c r="D1406" s="4">
        <v>207300</v>
      </c>
      <c r="E1406" s="4">
        <v>207300</v>
      </c>
      <c r="F1406" s="4">
        <v>414600</v>
      </c>
      <c r="H1406" s="3">
        <f t="shared" si="21"/>
        <v>0</v>
      </c>
    </row>
    <row r="1407" spans="1:8">
      <c r="A1407" t="s">
        <v>1880</v>
      </c>
      <c r="B1407" t="s">
        <v>1881</v>
      </c>
      <c r="C1407" t="s">
        <v>189</v>
      </c>
      <c r="D1407" s="4">
        <v>141200</v>
      </c>
      <c r="E1407" s="4">
        <v>141200</v>
      </c>
      <c r="F1407" s="4">
        <v>282400</v>
      </c>
      <c r="H1407" s="3">
        <f t="shared" si="21"/>
        <v>0</v>
      </c>
    </row>
    <row r="1408" spans="1:8">
      <c r="A1408" t="s">
        <v>1921</v>
      </c>
      <c r="B1408" t="s">
        <v>1922</v>
      </c>
      <c r="C1408" t="s">
        <v>189</v>
      </c>
      <c r="D1408" s="4">
        <v>177200</v>
      </c>
      <c r="E1408" s="4">
        <v>177200</v>
      </c>
      <c r="F1408" s="4">
        <v>354400</v>
      </c>
      <c r="H1408" s="3">
        <f t="shared" si="21"/>
        <v>0</v>
      </c>
    </row>
    <row r="1409" spans="1:8">
      <c r="A1409" t="s">
        <v>1926</v>
      </c>
      <c r="B1409" t="s">
        <v>1927</v>
      </c>
      <c r="C1409" t="s">
        <v>189</v>
      </c>
      <c r="D1409" s="4">
        <v>165100</v>
      </c>
      <c r="E1409" s="4">
        <v>165100</v>
      </c>
      <c r="F1409" s="4">
        <v>330200</v>
      </c>
      <c r="H1409" s="3">
        <f t="shared" si="21"/>
        <v>0</v>
      </c>
    </row>
    <row r="1410" spans="1:8">
      <c r="A1410" t="s">
        <v>2100</v>
      </c>
      <c r="B1410" t="s">
        <v>2101</v>
      </c>
      <c r="C1410" t="s">
        <v>189</v>
      </c>
      <c r="D1410" s="4">
        <v>143300</v>
      </c>
      <c r="E1410" s="4">
        <v>143300</v>
      </c>
      <c r="F1410" s="4">
        <v>286600</v>
      </c>
      <c r="H1410" s="3">
        <f t="shared" si="21"/>
        <v>0</v>
      </c>
    </row>
    <row r="1411" spans="1:8">
      <c r="A1411" t="s">
        <v>2103</v>
      </c>
      <c r="B1411" t="s">
        <v>2104</v>
      </c>
      <c r="C1411" t="s">
        <v>189</v>
      </c>
      <c r="D1411" s="4">
        <v>195700</v>
      </c>
      <c r="E1411" s="4">
        <v>195700</v>
      </c>
      <c r="F1411" s="4">
        <v>391400</v>
      </c>
      <c r="H1411" s="3">
        <f t="shared" si="21"/>
        <v>0</v>
      </c>
    </row>
    <row r="1412" spans="1:8">
      <c r="A1412" t="s">
        <v>2133</v>
      </c>
      <c r="B1412" t="s">
        <v>2134</v>
      </c>
      <c r="C1412" t="s">
        <v>189</v>
      </c>
      <c r="D1412" s="4">
        <v>289000</v>
      </c>
      <c r="E1412" s="4">
        <v>289000</v>
      </c>
      <c r="F1412" s="4">
        <v>578000</v>
      </c>
      <c r="H1412" s="3">
        <f t="shared" si="21"/>
        <v>0</v>
      </c>
    </row>
    <row r="1413" spans="1:8">
      <c r="A1413" t="s">
        <v>2209</v>
      </c>
      <c r="B1413" t="s">
        <v>2210</v>
      </c>
      <c r="C1413" t="s">
        <v>189</v>
      </c>
      <c r="D1413" s="4">
        <v>140700</v>
      </c>
      <c r="E1413" s="4"/>
      <c r="F1413" s="4">
        <v>140700</v>
      </c>
      <c r="H1413" s="3">
        <f t="shared" si="21"/>
        <v>140700</v>
      </c>
    </row>
    <row r="1414" spans="1:8">
      <c r="B1414" t="s">
        <v>3062</v>
      </c>
      <c r="C1414" t="s">
        <v>189</v>
      </c>
      <c r="D1414" s="4"/>
      <c r="E1414" s="4">
        <v>140700</v>
      </c>
      <c r="F1414" s="4">
        <v>140700</v>
      </c>
      <c r="H1414" s="3">
        <f t="shared" si="21"/>
        <v>-140700</v>
      </c>
    </row>
    <row r="1415" spans="1:8">
      <c r="A1415" t="s">
        <v>2235</v>
      </c>
      <c r="B1415" t="s">
        <v>2236</v>
      </c>
      <c r="C1415" t="s">
        <v>189</v>
      </c>
      <c r="D1415" s="4">
        <v>34800</v>
      </c>
      <c r="E1415" s="4">
        <v>34800</v>
      </c>
      <c r="F1415" s="4">
        <v>69600</v>
      </c>
      <c r="H1415" s="3">
        <f t="shared" si="21"/>
        <v>0</v>
      </c>
    </row>
    <row r="1416" spans="1:8">
      <c r="A1416" t="s">
        <v>2244</v>
      </c>
      <c r="B1416" t="s">
        <v>2245</v>
      </c>
      <c r="C1416" t="s">
        <v>189</v>
      </c>
      <c r="D1416" s="4">
        <v>141000</v>
      </c>
      <c r="E1416" s="4"/>
      <c r="F1416" s="4">
        <v>141000</v>
      </c>
      <c r="H1416" s="3">
        <f t="shared" si="21"/>
        <v>141000</v>
      </c>
    </row>
    <row r="1417" spans="1:8">
      <c r="B1417" t="s">
        <v>3063</v>
      </c>
      <c r="C1417" t="s">
        <v>189</v>
      </c>
      <c r="D1417" s="4"/>
      <c r="E1417" s="4">
        <v>141000</v>
      </c>
      <c r="F1417" s="4">
        <v>141000</v>
      </c>
      <c r="H1417" s="3">
        <f t="shared" si="21"/>
        <v>-141000</v>
      </c>
    </row>
    <row r="1418" spans="1:8">
      <c r="A1418" t="s">
        <v>2248</v>
      </c>
      <c r="B1418" t="s">
        <v>2249</v>
      </c>
      <c r="C1418" t="s">
        <v>189</v>
      </c>
      <c r="D1418" s="4">
        <v>143500</v>
      </c>
      <c r="E1418" s="4">
        <v>143500</v>
      </c>
      <c r="F1418" s="4">
        <v>287000</v>
      </c>
      <c r="H1418" s="3">
        <f t="shared" si="21"/>
        <v>0</v>
      </c>
    </row>
    <row r="1419" spans="1:8">
      <c r="A1419" t="s">
        <v>2252</v>
      </c>
      <c r="B1419" t="s">
        <v>2253</v>
      </c>
      <c r="C1419" t="s">
        <v>189</v>
      </c>
      <c r="D1419" s="4">
        <v>143500</v>
      </c>
      <c r="E1419" s="4">
        <v>143500</v>
      </c>
      <c r="F1419" s="4">
        <v>287000</v>
      </c>
      <c r="H1419" s="3">
        <f t="shared" si="21"/>
        <v>0</v>
      </c>
    </row>
    <row r="1420" spans="1:8">
      <c r="A1420" t="s">
        <v>2256</v>
      </c>
      <c r="B1420" t="s">
        <v>2257</v>
      </c>
      <c r="C1420" t="s">
        <v>189</v>
      </c>
      <c r="D1420" s="4">
        <v>137300</v>
      </c>
      <c r="E1420" s="4">
        <v>137300</v>
      </c>
      <c r="F1420" s="4">
        <v>274600</v>
      </c>
      <c r="H1420" s="3">
        <f t="shared" si="21"/>
        <v>0</v>
      </c>
    </row>
    <row r="1421" spans="1:8">
      <c r="A1421" t="s">
        <v>2261</v>
      </c>
      <c r="B1421" t="s">
        <v>2262</v>
      </c>
      <c r="C1421" t="s">
        <v>189</v>
      </c>
      <c r="D1421" s="4">
        <v>141400</v>
      </c>
      <c r="E1421" s="4">
        <v>141400</v>
      </c>
      <c r="F1421" s="4">
        <v>282800</v>
      </c>
      <c r="H1421" s="3">
        <f t="shared" si="21"/>
        <v>0</v>
      </c>
    </row>
    <row r="1422" spans="1:8">
      <c r="A1422" t="s">
        <v>2282</v>
      </c>
      <c r="B1422" t="s">
        <v>2283</v>
      </c>
      <c r="C1422" t="s">
        <v>189</v>
      </c>
      <c r="D1422" s="4">
        <v>141400</v>
      </c>
      <c r="E1422" s="4">
        <v>141400</v>
      </c>
      <c r="F1422" s="4">
        <v>282800</v>
      </c>
      <c r="H1422" s="3">
        <f t="shared" si="21"/>
        <v>0</v>
      </c>
    </row>
    <row r="1423" spans="1:8">
      <c r="A1423" t="s">
        <v>2362</v>
      </c>
      <c r="B1423" t="s">
        <v>2363</v>
      </c>
      <c r="C1423" t="s">
        <v>189</v>
      </c>
      <c r="D1423" s="4">
        <v>141700</v>
      </c>
      <c r="E1423" s="4">
        <v>141700</v>
      </c>
      <c r="F1423" s="4">
        <v>283400</v>
      </c>
      <c r="H1423" s="3">
        <f t="shared" si="21"/>
        <v>0</v>
      </c>
    </row>
    <row r="1424" spans="1:8">
      <c r="A1424" t="s">
        <v>2411</v>
      </c>
      <c r="B1424" t="s">
        <v>2412</v>
      </c>
      <c r="C1424" t="s">
        <v>189</v>
      </c>
      <c r="D1424" s="4">
        <v>192500</v>
      </c>
      <c r="E1424" s="4">
        <v>192500</v>
      </c>
      <c r="F1424" s="4">
        <v>385000</v>
      </c>
      <c r="H1424" s="3">
        <f t="shared" si="21"/>
        <v>0</v>
      </c>
    </row>
    <row r="1425" spans="1:8">
      <c r="A1425" t="s">
        <v>2418</v>
      </c>
      <c r="B1425" t="s">
        <v>2419</v>
      </c>
      <c r="C1425" t="s">
        <v>189</v>
      </c>
      <c r="D1425" s="4">
        <v>340100</v>
      </c>
      <c r="E1425" s="4">
        <v>340100</v>
      </c>
      <c r="F1425" s="4">
        <v>680200</v>
      </c>
      <c r="H1425" s="3">
        <f t="shared" si="21"/>
        <v>0</v>
      </c>
    </row>
    <row r="1426" spans="1:8">
      <c r="A1426" t="s">
        <v>2425</v>
      </c>
      <c r="B1426" t="s">
        <v>2426</v>
      </c>
      <c r="C1426" t="s">
        <v>189</v>
      </c>
      <c r="D1426" s="4">
        <v>363600</v>
      </c>
      <c r="E1426" s="4">
        <v>363600</v>
      </c>
      <c r="F1426" s="4">
        <v>727200</v>
      </c>
      <c r="H1426" s="3">
        <f t="shared" si="21"/>
        <v>0</v>
      </c>
    </row>
    <row r="1427" spans="1:8">
      <c r="A1427" t="s">
        <v>2504</v>
      </c>
      <c r="B1427" t="s">
        <v>2505</v>
      </c>
      <c r="C1427" t="s">
        <v>189</v>
      </c>
      <c r="D1427" s="4">
        <v>207000</v>
      </c>
      <c r="E1427" s="4">
        <v>207000</v>
      </c>
      <c r="F1427" s="4">
        <v>414000</v>
      </c>
      <c r="H1427" s="3">
        <f t="shared" si="21"/>
        <v>0</v>
      </c>
    </row>
    <row r="1428" spans="1:8">
      <c r="A1428" t="s">
        <v>2524</v>
      </c>
      <c r="B1428" t="s">
        <v>2525</v>
      </c>
      <c r="C1428" t="s">
        <v>189</v>
      </c>
      <c r="D1428" s="4">
        <v>151700</v>
      </c>
      <c r="E1428" s="4">
        <v>151700</v>
      </c>
      <c r="F1428" s="4">
        <v>303400</v>
      </c>
      <c r="H1428" s="3">
        <f t="shared" ref="H1428:H1491" si="22">+D1428-E1428</f>
        <v>0</v>
      </c>
    </row>
    <row r="1429" spans="1:8">
      <c r="A1429" t="s">
        <v>2656</v>
      </c>
      <c r="B1429" t="s">
        <v>2657</v>
      </c>
      <c r="C1429" t="s">
        <v>189</v>
      </c>
      <c r="D1429" s="4">
        <v>395100</v>
      </c>
      <c r="E1429" s="4">
        <v>395100</v>
      </c>
      <c r="F1429" s="4">
        <v>790200</v>
      </c>
      <c r="H1429" s="3">
        <f t="shared" si="22"/>
        <v>0</v>
      </c>
    </row>
    <row r="1430" spans="1:8">
      <c r="A1430" t="s">
        <v>2726</v>
      </c>
      <c r="B1430" t="s">
        <v>2727</v>
      </c>
      <c r="C1430" t="s">
        <v>189</v>
      </c>
      <c r="D1430" s="4">
        <v>188800</v>
      </c>
      <c r="E1430" s="4">
        <v>188800</v>
      </c>
      <c r="F1430" s="4">
        <v>377600</v>
      </c>
      <c r="H1430" s="3">
        <f t="shared" si="22"/>
        <v>0</v>
      </c>
    </row>
    <row r="1431" spans="1:8">
      <c r="A1431" t="s">
        <v>2755</v>
      </c>
      <c r="B1431" t="s">
        <v>2756</v>
      </c>
      <c r="C1431" t="s">
        <v>189</v>
      </c>
      <c r="D1431" s="4">
        <v>177200</v>
      </c>
      <c r="E1431" s="4">
        <v>177200</v>
      </c>
      <c r="F1431" s="4">
        <v>354400</v>
      </c>
      <c r="H1431" s="3">
        <f t="shared" si="22"/>
        <v>0</v>
      </c>
    </row>
    <row r="1432" spans="1:8">
      <c r="A1432" t="s">
        <v>2760</v>
      </c>
      <c r="B1432" t="s">
        <v>2761</v>
      </c>
      <c r="C1432" t="s">
        <v>189</v>
      </c>
      <c r="D1432" s="4">
        <v>169500</v>
      </c>
      <c r="E1432" s="4">
        <v>169500</v>
      </c>
      <c r="F1432" s="4">
        <v>339000</v>
      </c>
      <c r="H1432" s="3">
        <f t="shared" si="22"/>
        <v>0</v>
      </c>
    </row>
    <row r="1433" spans="1:8">
      <c r="A1433" t="s">
        <v>2769</v>
      </c>
      <c r="B1433" t="s">
        <v>2770</v>
      </c>
      <c r="C1433" t="s">
        <v>189</v>
      </c>
      <c r="D1433" s="4">
        <v>177200</v>
      </c>
      <c r="E1433" s="4">
        <v>177200</v>
      </c>
      <c r="F1433" s="4">
        <v>354400</v>
      </c>
      <c r="H1433" s="3">
        <f t="shared" si="22"/>
        <v>0</v>
      </c>
    </row>
    <row r="1434" spans="1:8">
      <c r="A1434" t="s">
        <v>2785</v>
      </c>
      <c r="B1434" t="s">
        <v>2786</v>
      </c>
      <c r="C1434" t="s">
        <v>189</v>
      </c>
      <c r="D1434" s="4">
        <v>214200</v>
      </c>
      <c r="E1434" s="4">
        <v>214200</v>
      </c>
      <c r="F1434" s="4">
        <v>428400</v>
      </c>
      <c r="H1434" s="3">
        <f t="shared" si="22"/>
        <v>0</v>
      </c>
    </row>
    <row r="1435" spans="1:8">
      <c r="A1435" t="s">
        <v>2810</v>
      </c>
      <c r="B1435" t="s">
        <v>2811</v>
      </c>
      <c r="C1435" t="s">
        <v>189</v>
      </c>
      <c r="D1435" s="4">
        <v>500400</v>
      </c>
      <c r="E1435" s="4">
        <v>500400</v>
      </c>
      <c r="F1435" s="4">
        <v>1000800</v>
      </c>
      <c r="H1435" s="3">
        <f t="shared" si="22"/>
        <v>0</v>
      </c>
    </row>
    <row r="1436" spans="1:8">
      <c r="A1436" t="s">
        <v>2845</v>
      </c>
      <c r="B1436" t="s">
        <v>2846</v>
      </c>
      <c r="C1436" t="s">
        <v>189</v>
      </c>
      <c r="D1436" s="4">
        <v>53100</v>
      </c>
      <c r="E1436" s="4">
        <v>53100</v>
      </c>
      <c r="F1436" s="4">
        <v>106200</v>
      </c>
      <c r="H1436" s="3">
        <f t="shared" si="22"/>
        <v>0</v>
      </c>
    </row>
    <row r="1437" spans="1:8">
      <c r="A1437" t="s">
        <v>2853</v>
      </c>
      <c r="B1437" t="s">
        <v>2854</v>
      </c>
      <c r="C1437" t="s">
        <v>189</v>
      </c>
      <c r="D1437" s="4">
        <v>254700</v>
      </c>
      <c r="E1437" s="4">
        <v>254700</v>
      </c>
      <c r="F1437" s="4">
        <v>509400</v>
      </c>
      <c r="H1437" s="3">
        <f t="shared" si="22"/>
        <v>0</v>
      </c>
    </row>
    <row r="1438" spans="1:8">
      <c r="A1438" t="s">
        <v>2872</v>
      </c>
      <c r="B1438" t="s">
        <v>2873</v>
      </c>
      <c r="C1438" t="s">
        <v>189</v>
      </c>
      <c r="D1438" s="4">
        <v>182200</v>
      </c>
      <c r="E1438" s="4">
        <v>182200</v>
      </c>
      <c r="F1438" s="4">
        <v>364400</v>
      </c>
      <c r="H1438" s="3">
        <f t="shared" si="22"/>
        <v>0</v>
      </c>
    </row>
    <row r="1439" spans="1:8">
      <c r="A1439" t="s">
        <v>2896</v>
      </c>
      <c r="B1439" t="s">
        <v>2897</v>
      </c>
      <c r="C1439" t="s">
        <v>189</v>
      </c>
      <c r="D1439" s="4">
        <v>238600</v>
      </c>
      <c r="E1439" s="4">
        <v>238600</v>
      </c>
      <c r="F1439" s="4">
        <v>477200</v>
      </c>
      <c r="H1439" s="3">
        <f t="shared" si="22"/>
        <v>0</v>
      </c>
    </row>
    <row r="1440" spans="1:8">
      <c r="A1440" t="s">
        <v>2928</v>
      </c>
      <c r="B1440" t="s">
        <v>2929</v>
      </c>
      <c r="C1440" t="s">
        <v>189</v>
      </c>
      <c r="D1440" s="4">
        <v>40300</v>
      </c>
      <c r="E1440" s="4">
        <v>40300</v>
      </c>
      <c r="F1440" s="4">
        <v>80600</v>
      </c>
      <c r="H1440" s="3">
        <f t="shared" si="22"/>
        <v>0</v>
      </c>
    </row>
    <row r="1441" spans="1:8">
      <c r="A1441" t="s">
        <v>2938</v>
      </c>
      <c r="B1441" t="s">
        <v>2939</v>
      </c>
      <c r="C1441" t="s">
        <v>189</v>
      </c>
      <c r="D1441" s="4">
        <v>178100</v>
      </c>
      <c r="E1441" s="4">
        <v>178100</v>
      </c>
      <c r="F1441" s="4">
        <v>356200</v>
      </c>
      <c r="H1441" s="3">
        <f t="shared" si="22"/>
        <v>0</v>
      </c>
    </row>
    <row r="1442" spans="1:8">
      <c r="A1442" t="s">
        <v>2943</v>
      </c>
      <c r="B1442" t="s">
        <v>2944</v>
      </c>
      <c r="C1442" t="s">
        <v>189</v>
      </c>
      <c r="D1442" s="4">
        <v>45600</v>
      </c>
      <c r="E1442" s="4">
        <v>45600</v>
      </c>
      <c r="F1442" s="4">
        <v>91200</v>
      </c>
      <c r="H1442" s="3">
        <f t="shared" si="22"/>
        <v>0</v>
      </c>
    </row>
    <row r="1443" spans="1:8">
      <c r="A1443" t="s">
        <v>1443</v>
      </c>
      <c r="B1443" t="s">
        <v>1444</v>
      </c>
      <c r="C1443" t="s">
        <v>189</v>
      </c>
      <c r="D1443" s="4">
        <v>16300</v>
      </c>
      <c r="E1443" s="4">
        <v>16300</v>
      </c>
      <c r="F1443" s="4">
        <v>32600</v>
      </c>
      <c r="H1443" s="3">
        <f t="shared" si="22"/>
        <v>0</v>
      </c>
    </row>
    <row r="1444" spans="1:8">
      <c r="A1444" t="s">
        <v>1469</v>
      </c>
      <c r="B1444" t="s">
        <v>1470</v>
      </c>
      <c r="C1444" t="s">
        <v>189</v>
      </c>
      <c r="D1444" s="4">
        <v>162600</v>
      </c>
      <c r="E1444" s="4">
        <v>162600</v>
      </c>
      <c r="F1444" s="4">
        <v>325200</v>
      </c>
      <c r="H1444" s="3">
        <f t="shared" si="22"/>
        <v>0</v>
      </c>
    </row>
    <row r="1445" spans="1:8">
      <c r="A1445" t="s">
        <v>1480</v>
      </c>
      <c r="B1445" t="s">
        <v>1481</v>
      </c>
      <c r="C1445" t="s">
        <v>189</v>
      </c>
      <c r="D1445" s="4">
        <v>12500</v>
      </c>
      <c r="E1445" s="4">
        <v>12500</v>
      </c>
      <c r="F1445" s="4">
        <v>25000</v>
      </c>
      <c r="H1445" s="3">
        <f t="shared" si="22"/>
        <v>0</v>
      </c>
    </row>
    <row r="1446" spans="1:8">
      <c r="A1446" t="s">
        <v>1573</v>
      </c>
      <c r="B1446" t="s">
        <v>1574</v>
      </c>
      <c r="C1446" t="s">
        <v>189</v>
      </c>
      <c r="D1446" s="4">
        <v>64300</v>
      </c>
      <c r="E1446" s="4">
        <v>64300</v>
      </c>
      <c r="F1446" s="4">
        <v>128600</v>
      </c>
      <c r="H1446" s="3">
        <f t="shared" si="22"/>
        <v>0</v>
      </c>
    </row>
    <row r="1447" spans="1:8">
      <c r="A1447" t="s">
        <v>1576</v>
      </c>
      <c r="B1447" t="s">
        <v>1577</v>
      </c>
      <c r="C1447" t="s">
        <v>189</v>
      </c>
      <c r="D1447" s="4">
        <v>55300</v>
      </c>
      <c r="E1447" s="4">
        <v>55300</v>
      </c>
      <c r="F1447" s="4">
        <v>110600</v>
      </c>
      <c r="H1447" s="3">
        <f t="shared" si="22"/>
        <v>0</v>
      </c>
    </row>
    <row r="1448" spans="1:8">
      <c r="A1448" t="s">
        <v>1626</v>
      </c>
      <c r="B1448" t="s">
        <v>1627</v>
      </c>
      <c r="C1448" t="s">
        <v>189</v>
      </c>
      <c r="D1448" s="4">
        <v>20700</v>
      </c>
      <c r="E1448" s="4">
        <v>20700</v>
      </c>
      <c r="F1448" s="4">
        <v>41400</v>
      </c>
      <c r="H1448" s="3">
        <f t="shared" si="22"/>
        <v>0</v>
      </c>
    </row>
    <row r="1449" spans="1:8">
      <c r="A1449" t="s">
        <v>1695</v>
      </c>
      <c r="B1449" t="s">
        <v>1696</v>
      </c>
      <c r="C1449" t="s">
        <v>189</v>
      </c>
      <c r="D1449" s="4">
        <v>68900</v>
      </c>
      <c r="E1449" s="4">
        <v>68900</v>
      </c>
      <c r="F1449" s="4">
        <v>137800</v>
      </c>
      <c r="H1449" s="3">
        <f t="shared" si="22"/>
        <v>0</v>
      </c>
    </row>
    <row r="1450" spans="1:8">
      <c r="A1450" t="s">
        <v>1707</v>
      </c>
      <c r="B1450" t="s">
        <v>1708</v>
      </c>
      <c r="C1450" t="s">
        <v>189</v>
      </c>
      <c r="D1450" s="4">
        <v>123000</v>
      </c>
      <c r="E1450" s="4">
        <v>123000</v>
      </c>
      <c r="F1450" s="4">
        <v>246000</v>
      </c>
      <c r="H1450" s="3">
        <f t="shared" si="22"/>
        <v>0</v>
      </c>
    </row>
    <row r="1451" spans="1:8">
      <c r="A1451" t="s">
        <v>1710</v>
      </c>
      <c r="B1451" t="s">
        <v>1711</v>
      </c>
      <c r="C1451" t="s">
        <v>189</v>
      </c>
      <c r="D1451" s="4">
        <v>250900</v>
      </c>
      <c r="E1451" s="4">
        <v>250900</v>
      </c>
      <c r="F1451" s="4">
        <v>501800</v>
      </c>
      <c r="H1451" s="3">
        <f t="shared" si="22"/>
        <v>0</v>
      </c>
    </row>
    <row r="1452" spans="1:8">
      <c r="A1452" t="s">
        <v>1735</v>
      </c>
      <c r="B1452" t="s">
        <v>1736</v>
      </c>
      <c r="C1452" t="s">
        <v>189</v>
      </c>
      <c r="D1452" s="4">
        <v>20400</v>
      </c>
      <c r="E1452" s="4"/>
      <c r="F1452" s="4">
        <v>20400</v>
      </c>
      <c r="H1452" s="3">
        <f t="shared" si="22"/>
        <v>20400</v>
      </c>
    </row>
    <row r="1453" spans="1:8">
      <c r="B1453" t="s">
        <v>3048</v>
      </c>
      <c r="C1453" t="s">
        <v>189</v>
      </c>
      <c r="D1453" s="4"/>
      <c r="E1453" s="4">
        <v>15500</v>
      </c>
      <c r="F1453" s="4">
        <v>15500</v>
      </c>
      <c r="H1453" s="3">
        <f t="shared" si="22"/>
        <v>-15500</v>
      </c>
    </row>
    <row r="1454" spans="1:8">
      <c r="A1454" t="s">
        <v>1739</v>
      </c>
      <c r="B1454" t="s">
        <v>1740</v>
      </c>
      <c r="C1454" t="s">
        <v>189</v>
      </c>
      <c r="D1454" s="4">
        <v>197600</v>
      </c>
      <c r="E1454" s="4">
        <v>197600</v>
      </c>
      <c r="F1454" s="4">
        <v>395200</v>
      </c>
      <c r="H1454" s="3">
        <f t="shared" si="22"/>
        <v>0</v>
      </c>
    </row>
    <row r="1455" spans="1:8">
      <c r="A1455" t="s">
        <v>1754</v>
      </c>
      <c r="B1455" t="s">
        <v>1755</v>
      </c>
      <c r="C1455" t="s">
        <v>189</v>
      </c>
      <c r="D1455" s="4">
        <v>107800</v>
      </c>
      <c r="E1455" s="4">
        <v>107800</v>
      </c>
      <c r="F1455" s="4">
        <v>215600</v>
      </c>
      <c r="H1455" s="3">
        <f t="shared" si="22"/>
        <v>0</v>
      </c>
    </row>
    <row r="1456" spans="1:8">
      <c r="A1456" t="s">
        <v>1799</v>
      </c>
      <c r="B1456" t="s">
        <v>1800</v>
      </c>
      <c r="C1456" t="s">
        <v>189</v>
      </c>
      <c r="D1456" s="4">
        <v>18200</v>
      </c>
      <c r="E1456" s="4">
        <v>18200</v>
      </c>
      <c r="F1456" s="4">
        <v>36400</v>
      </c>
      <c r="H1456" s="3">
        <f t="shared" si="22"/>
        <v>0</v>
      </c>
    </row>
    <row r="1457" spans="1:8">
      <c r="A1457" t="s">
        <v>1807</v>
      </c>
      <c r="B1457" t="s">
        <v>1808</v>
      </c>
      <c r="C1457" t="s">
        <v>189</v>
      </c>
      <c r="D1457" s="4">
        <v>164600</v>
      </c>
      <c r="E1457" s="4">
        <v>164600</v>
      </c>
      <c r="F1457" s="4">
        <v>329200</v>
      </c>
      <c r="H1457" s="3">
        <f t="shared" si="22"/>
        <v>0</v>
      </c>
    </row>
    <row r="1458" spans="1:8">
      <c r="A1458" t="s">
        <v>1828</v>
      </c>
      <c r="B1458" t="s">
        <v>1829</v>
      </c>
      <c r="C1458" t="s">
        <v>189</v>
      </c>
      <c r="D1458" s="4">
        <v>57300</v>
      </c>
      <c r="E1458" s="4">
        <v>57300</v>
      </c>
      <c r="F1458" s="4">
        <v>114600</v>
      </c>
      <c r="H1458" s="3">
        <f t="shared" si="22"/>
        <v>0</v>
      </c>
    </row>
    <row r="1459" spans="1:8">
      <c r="A1459" t="s">
        <v>1835</v>
      </c>
      <c r="B1459" t="s">
        <v>1836</v>
      </c>
      <c r="C1459" t="s">
        <v>189</v>
      </c>
      <c r="D1459" s="4">
        <v>149800</v>
      </c>
      <c r="E1459" s="4">
        <v>149800</v>
      </c>
      <c r="F1459" s="4">
        <v>299600</v>
      </c>
      <c r="H1459" s="3">
        <f t="shared" si="22"/>
        <v>0</v>
      </c>
    </row>
    <row r="1460" spans="1:8">
      <c r="A1460" t="s">
        <v>1838</v>
      </c>
      <c r="B1460" t="s">
        <v>1839</v>
      </c>
      <c r="C1460" t="s">
        <v>189</v>
      </c>
      <c r="D1460" s="4">
        <v>147400</v>
      </c>
      <c r="E1460" s="4">
        <v>147400</v>
      </c>
      <c r="F1460" s="4">
        <v>294800</v>
      </c>
      <c r="H1460" s="3">
        <f t="shared" si="22"/>
        <v>0</v>
      </c>
    </row>
    <row r="1461" spans="1:8">
      <c r="A1461" t="s">
        <v>1894</v>
      </c>
      <c r="B1461" t="s">
        <v>1895</v>
      </c>
      <c r="C1461" t="s">
        <v>189</v>
      </c>
      <c r="D1461" s="4">
        <v>179800</v>
      </c>
      <c r="E1461" s="4">
        <v>179800</v>
      </c>
      <c r="F1461" s="4">
        <v>359600</v>
      </c>
      <c r="H1461" s="3">
        <f t="shared" si="22"/>
        <v>0</v>
      </c>
    </row>
    <row r="1462" spans="1:8">
      <c r="A1462" t="s">
        <v>1917</v>
      </c>
      <c r="B1462" t="s">
        <v>1918</v>
      </c>
      <c r="C1462" t="s">
        <v>189</v>
      </c>
      <c r="D1462" s="4">
        <v>202700</v>
      </c>
      <c r="E1462" s="4">
        <v>202700</v>
      </c>
      <c r="F1462" s="4">
        <v>405400</v>
      </c>
      <c r="H1462" s="3">
        <f t="shared" si="22"/>
        <v>0</v>
      </c>
    </row>
    <row r="1463" spans="1:8">
      <c r="A1463" t="s">
        <v>1944</v>
      </c>
      <c r="B1463" t="s">
        <v>1945</v>
      </c>
      <c r="C1463" t="s">
        <v>189</v>
      </c>
      <c r="D1463" s="4">
        <v>147400</v>
      </c>
      <c r="E1463" s="4">
        <v>147400</v>
      </c>
      <c r="F1463" s="4">
        <v>294800</v>
      </c>
      <c r="H1463" s="3">
        <f t="shared" si="22"/>
        <v>0</v>
      </c>
    </row>
    <row r="1464" spans="1:8">
      <c r="A1464" t="s">
        <v>1950</v>
      </c>
      <c r="B1464" t="s">
        <v>1951</v>
      </c>
      <c r="C1464" t="s">
        <v>189</v>
      </c>
      <c r="D1464" s="4">
        <v>68900</v>
      </c>
      <c r="E1464" s="4">
        <v>68900</v>
      </c>
      <c r="F1464" s="4">
        <v>137800</v>
      </c>
      <c r="H1464" s="3">
        <f t="shared" si="22"/>
        <v>0</v>
      </c>
    </row>
    <row r="1465" spans="1:8">
      <c r="A1465" t="s">
        <v>1982</v>
      </c>
      <c r="B1465" t="s">
        <v>1983</v>
      </c>
      <c r="C1465" t="s">
        <v>189</v>
      </c>
      <c r="D1465" s="4">
        <v>216300</v>
      </c>
      <c r="E1465" s="4">
        <v>216300</v>
      </c>
      <c r="F1465" s="4">
        <v>432600</v>
      </c>
      <c r="H1465" s="3">
        <f t="shared" si="22"/>
        <v>0</v>
      </c>
    </row>
    <row r="1466" spans="1:8">
      <c r="A1466" t="s">
        <v>1989</v>
      </c>
      <c r="B1466" t="s">
        <v>1990</v>
      </c>
      <c r="C1466" t="s">
        <v>189</v>
      </c>
      <c r="D1466" s="4">
        <v>164700</v>
      </c>
      <c r="E1466" s="4">
        <v>164700</v>
      </c>
      <c r="F1466" s="4">
        <v>329400</v>
      </c>
      <c r="H1466" s="3">
        <f t="shared" si="22"/>
        <v>0</v>
      </c>
    </row>
    <row r="1467" spans="1:8">
      <c r="A1467" t="s">
        <v>1992</v>
      </c>
      <c r="B1467" t="s">
        <v>1993</v>
      </c>
      <c r="C1467" t="s">
        <v>189</v>
      </c>
      <c r="D1467" s="4">
        <v>16600</v>
      </c>
      <c r="E1467" s="4">
        <v>16600</v>
      </c>
      <c r="F1467" s="4">
        <v>33200</v>
      </c>
      <c r="H1467" s="3">
        <f t="shared" si="22"/>
        <v>0</v>
      </c>
    </row>
    <row r="1468" spans="1:8">
      <c r="A1468" t="s">
        <v>1997</v>
      </c>
      <c r="B1468" t="s">
        <v>1998</v>
      </c>
      <c r="C1468" t="s">
        <v>189</v>
      </c>
      <c r="D1468" s="4">
        <v>131500</v>
      </c>
      <c r="E1468" s="4">
        <v>131500</v>
      </c>
      <c r="F1468" s="4">
        <v>263000</v>
      </c>
      <c r="H1468" s="3">
        <f t="shared" si="22"/>
        <v>0</v>
      </c>
    </row>
    <row r="1469" spans="1:8">
      <c r="A1469" t="s">
        <v>2032</v>
      </c>
      <c r="B1469" t="s">
        <v>2033</v>
      </c>
      <c r="C1469" t="s">
        <v>189</v>
      </c>
      <c r="D1469" s="4">
        <v>155200</v>
      </c>
      <c r="E1469" s="4">
        <v>155200</v>
      </c>
      <c r="F1469" s="4">
        <v>310400</v>
      </c>
      <c r="H1469" s="3">
        <f t="shared" si="22"/>
        <v>0</v>
      </c>
    </row>
    <row r="1470" spans="1:8">
      <c r="A1470" t="s">
        <v>2038</v>
      </c>
      <c r="B1470" t="s">
        <v>2039</v>
      </c>
      <c r="C1470" t="s">
        <v>189</v>
      </c>
      <c r="D1470" s="4">
        <v>136500</v>
      </c>
      <c r="E1470" s="4">
        <v>136500</v>
      </c>
      <c r="F1470" s="4">
        <v>273000</v>
      </c>
      <c r="H1470" s="3">
        <f t="shared" si="22"/>
        <v>0</v>
      </c>
    </row>
    <row r="1471" spans="1:8">
      <c r="A1471" t="s">
        <v>2059</v>
      </c>
      <c r="B1471" t="s">
        <v>2060</v>
      </c>
      <c r="C1471" t="s">
        <v>189</v>
      </c>
      <c r="D1471" s="4">
        <v>179200</v>
      </c>
      <c r="E1471" s="4"/>
      <c r="F1471" s="4">
        <v>179200</v>
      </c>
      <c r="H1471" s="3">
        <f t="shared" si="22"/>
        <v>179200</v>
      </c>
    </row>
    <row r="1472" spans="1:8">
      <c r="B1472" t="s">
        <v>3056</v>
      </c>
      <c r="C1472" t="s">
        <v>189</v>
      </c>
      <c r="D1472" s="4"/>
      <c r="E1472" s="4">
        <v>179200</v>
      </c>
      <c r="F1472" s="4">
        <v>179200</v>
      </c>
      <c r="H1472" s="3">
        <f t="shared" si="22"/>
        <v>-179200</v>
      </c>
    </row>
    <row r="1473" spans="1:8">
      <c r="A1473" t="s">
        <v>2078</v>
      </c>
      <c r="B1473" t="s">
        <v>2079</v>
      </c>
      <c r="C1473" t="s">
        <v>189</v>
      </c>
      <c r="D1473" s="4">
        <v>49100</v>
      </c>
      <c r="E1473" s="4">
        <v>49100</v>
      </c>
      <c r="F1473" s="4">
        <v>98200</v>
      </c>
      <c r="H1473" s="3">
        <f t="shared" si="22"/>
        <v>0</v>
      </c>
    </row>
    <row r="1474" spans="1:8">
      <c r="A1474" t="s">
        <v>2088</v>
      </c>
      <c r="B1474" t="s">
        <v>2089</v>
      </c>
      <c r="C1474" t="s">
        <v>189</v>
      </c>
      <c r="D1474" s="4">
        <v>240200</v>
      </c>
      <c r="E1474" s="4">
        <v>240200</v>
      </c>
      <c r="F1474" s="4">
        <v>480400</v>
      </c>
      <c r="H1474" s="3">
        <f t="shared" si="22"/>
        <v>0</v>
      </c>
    </row>
    <row r="1475" spans="1:8">
      <c r="A1475" t="s">
        <v>2119</v>
      </c>
      <c r="B1475" t="s">
        <v>2120</v>
      </c>
      <c r="C1475" t="s">
        <v>189</v>
      </c>
      <c r="D1475" s="4">
        <v>150100</v>
      </c>
      <c r="E1475" s="4">
        <v>150100</v>
      </c>
      <c r="F1475" s="4">
        <v>300200</v>
      </c>
      <c r="H1475" s="3">
        <f t="shared" si="22"/>
        <v>0</v>
      </c>
    </row>
    <row r="1476" spans="1:8">
      <c r="A1476" t="s">
        <v>2177</v>
      </c>
      <c r="B1476" t="s">
        <v>2178</v>
      </c>
      <c r="C1476" t="s">
        <v>189</v>
      </c>
      <c r="D1476" s="4">
        <v>132200</v>
      </c>
      <c r="E1476" s="4">
        <v>132200</v>
      </c>
      <c r="F1476" s="4">
        <v>264400</v>
      </c>
      <c r="H1476" s="3">
        <f t="shared" si="22"/>
        <v>0</v>
      </c>
    </row>
    <row r="1477" spans="1:8">
      <c r="A1477" t="s">
        <v>2220</v>
      </c>
      <c r="B1477" t="s">
        <v>2221</v>
      </c>
      <c r="C1477" t="s">
        <v>189</v>
      </c>
      <c r="D1477" s="4">
        <v>96300</v>
      </c>
      <c r="E1477" s="4">
        <v>96300</v>
      </c>
      <c r="F1477" s="4">
        <v>192600</v>
      </c>
      <c r="H1477" s="3">
        <f t="shared" si="22"/>
        <v>0</v>
      </c>
    </row>
    <row r="1478" spans="1:8">
      <c r="A1478" t="s">
        <v>2240</v>
      </c>
      <c r="B1478" t="s">
        <v>2241</v>
      </c>
      <c r="C1478" t="s">
        <v>189</v>
      </c>
      <c r="D1478" s="4">
        <v>91600</v>
      </c>
      <c r="E1478" s="4">
        <v>91600</v>
      </c>
      <c r="F1478" s="4">
        <v>183200</v>
      </c>
      <c r="H1478" s="3">
        <f t="shared" si="22"/>
        <v>0</v>
      </c>
    </row>
    <row r="1479" spans="1:8">
      <c r="A1479" t="s">
        <v>2311</v>
      </c>
      <c r="B1479" t="s">
        <v>2312</v>
      </c>
      <c r="C1479" t="s">
        <v>189</v>
      </c>
      <c r="D1479" s="4">
        <v>39600</v>
      </c>
      <c r="E1479" s="4">
        <v>39600</v>
      </c>
      <c r="F1479" s="4">
        <v>79200</v>
      </c>
      <c r="H1479" s="3">
        <f t="shared" si="22"/>
        <v>0</v>
      </c>
    </row>
    <row r="1480" spans="1:8">
      <c r="A1480" t="s">
        <v>2342</v>
      </c>
      <c r="B1480" t="s">
        <v>2343</v>
      </c>
      <c r="C1480" t="s">
        <v>189</v>
      </c>
      <c r="D1480" s="4">
        <v>16600</v>
      </c>
      <c r="E1480" s="4">
        <v>16600</v>
      </c>
      <c r="F1480" s="4">
        <v>33200</v>
      </c>
      <c r="H1480" s="3">
        <f t="shared" si="22"/>
        <v>0</v>
      </c>
    </row>
    <row r="1481" spans="1:8">
      <c r="A1481" t="s">
        <v>2381</v>
      </c>
      <c r="B1481" t="s">
        <v>2382</v>
      </c>
      <c r="C1481" t="s">
        <v>189</v>
      </c>
      <c r="D1481" s="4">
        <v>155300</v>
      </c>
      <c r="E1481" s="4">
        <v>155300</v>
      </c>
      <c r="F1481" s="4">
        <v>310600</v>
      </c>
      <c r="H1481" s="3">
        <f t="shared" si="22"/>
        <v>0</v>
      </c>
    </row>
    <row r="1482" spans="1:8">
      <c r="A1482" t="s">
        <v>2446</v>
      </c>
      <c r="B1482" t="s">
        <v>2447</v>
      </c>
      <c r="C1482" t="s">
        <v>189</v>
      </c>
      <c r="D1482" s="4">
        <v>34000</v>
      </c>
      <c r="E1482" s="4">
        <v>34000</v>
      </c>
      <c r="F1482" s="4">
        <v>68000</v>
      </c>
      <c r="H1482" s="3">
        <f t="shared" si="22"/>
        <v>0</v>
      </c>
    </row>
    <row r="1483" spans="1:8">
      <c r="A1483" t="s">
        <v>2496</v>
      </c>
      <c r="B1483" t="s">
        <v>2497</v>
      </c>
      <c r="C1483" t="s">
        <v>189</v>
      </c>
      <c r="D1483" s="4">
        <v>150200</v>
      </c>
      <c r="E1483" s="4">
        <v>150200</v>
      </c>
      <c r="F1483" s="4">
        <v>300400</v>
      </c>
      <c r="H1483" s="3">
        <f t="shared" si="22"/>
        <v>0</v>
      </c>
    </row>
    <row r="1484" spans="1:8">
      <c r="A1484" t="s">
        <v>2500</v>
      </c>
      <c r="B1484" t="s">
        <v>2501</v>
      </c>
      <c r="C1484" t="s">
        <v>189</v>
      </c>
      <c r="D1484" s="4">
        <v>221900</v>
      </c>
      <c r="E1484" s="4">
        <v>221900</v>
      </c>
      <c r="F1484" s="4">
        <v>443800</v>
      </c>
      <c r="H1484" s="3">
        <f t="shared" si="22"/>
        <v>0</v>
      </c>
    </row>
    <row r="1485" spans="1:8">
      <c r="A1485" t="s">
        <v>2502</v>
      </c>
      <c r="B1485" t="s">
        <v>2503</v>
      </c>
      <c r="C1485" t="s">
        <v>189</v>
      </c>
      <c r="D1485" s="4">
        <v>49100</v>
      </c>
      <c r="E1485" s="4">
        <v>49100</v>
      </c>
      <c r="F1485" s="4">
        <v>98200</v>
      </c>
      <c r="H1485" s="3">
        <f t="shared" si="22"/>
        <v>0</v>
      </c>
    </row>
    <row r="1486" spans="1:8">
      <c r="A1486" t="s">
        <v>2530</v>
      </c>
      <c r="B1486" t="s">
        <v>2531</v>
      </c>
      <c r="C1486" t="s">
        <v>189</v>
      </c>
      <c r="D1486" s="4">
        <v>154900</v>
      </c>
      <c r="E1486" s="4">
        <v>154900</v>
      </c>
      <c r="F1486" s="4">
        <v>309800</v>
      </c>
      <c r="H1486" s="3">
        <f t="shared" si="22"/>
        <v>0</v>
      </c>
    </row>
    <row r="1487" spans="1:8">
      <c r="A1487" t="s">
        <v>2597</v>
      </c>
      <c r="B1487" t="s">
        <v>2598</v>
      </c>
      <c r="C1487" t="s">
        <v>189</v>
      </c>
      <c r="D1487" s="4">
        <v>18200</v>
      </c>
      <c r="E1487" s="4">
        <v>18200</v>
      </c>
      <c r="F1487" s="4">
        <v>36400</v>
      </c>
      <c r="H1487" s="3">
        <f t="shared" si="22"/>
        <v>0</v>
      </c>
    </row>
    <row r="1488" spans="1:8">
      <c r="A1488" t="s">
        <v>2639</v>
      </c>
      <c r="B1488" t="s">
        <v>2640</v>
      </c>
      <c r="C1488" t="s">
        <v>189</v>
      </c>
      <c r="D1488" s="4">
        <v>49100</v>
      </c>
      <c r="E1488" s="4">
        <v>49100</v>
      </c>
      <c r="F1488" s="4">
        <v>98200</v>
      </c>
      <c r="H1488" s="3">
        <f t="shared" si="22"/>
        <v>0</v>
      </c>
    </row>
    <row r="1489" spans="1:8">
      <c r="A1489" t="s">
        <v>2742</v>
      </c>
      <c r="B1489" t="s">
        <v>2743</v>
      </c>
      <c r="C1489" t="s">
        <v>189</v>
      </c>
      <c r="D1489" s="4">
        <v>49100</v>
      </c>
      <c r="E1489" s="4">
        <v>49100</v>
      </c>
      <c r="F1489" s="4">
        <v>98200</v>
      </c>
      <c r="H1489" s="3">
        <f t="shared" si="22"/>
        <v>0</v>
      </c>
    </row>
    <row r="1490" spans="1:8">
      <c r="A1490" t="s">
        <v>2829</v>
      </c>
      <c r="B1490" t="s">
        <v>2830</v>
      </c>
      <c r="C1490" t="s">
        <v>189</v>
      </c>
      <c r="D1490" s="4">
        <v>49100</v>
      </c>
      <c r="E1490" s="4">
        <v>49100</v>
      </c>
      <c r="F1490" s="4">
        <v>98200</v>
      </c>
      <c r="H1490" s="3">
        <f t="shared" si="22"/>
        <v>0</v>
      </c>
    </row>
    <row r="1491" spans="1:8">
      <c r="A1491" t="s">
        <v>2841</v>
      </c>
      <c r="B1491" t="s">
        <v>2842</v>
      </c>
      <c r="C1491" t="s">
        <v>189</v>
      </c>
      <c r="D1491" s="4">
        <v>311900</v>
      </c>
      <c r="E1491" s="4">
        <v>311900</v>
      </c>
      <c r="F1491" s="4">
        <v>623800</v>
      </c>
      <c r="H1491" s="3">
        <f t="shared" si="22"/>
        <v>0</v>
      </c>
    </row>
    <row r="1492" spans="1:8">
      <c r="A1492" t="s">
        <v>2880</v>
      </c>
      <c r="B1492" t="s">
        <v>2881</v>
      </c>
      <c r="C1492" t="s">
        <v>189</v>
      </c>
      <c r="D1492" s="4">
        <v>219100</v>
      </c>
      <c r="E1492" s="4">
        <v>219100</v>
      </c>
      <c r="F1492" s="4">
        <v>438200</v>
      </c>
      <c r="H1492" s="3">
        <f t="shared" ref="H1492:H1493" si="23">+D1492-E1492</f>
        <v>0</v>
      </c>
    </row>
    <row r="1493" spans="1:8">
      <c r="A1493" t="s">
        <v>2988</v>
      </c>
      <c r="B1493" t="s">
        <v>2989</v>
      </c>
      <c r="C1493" t="s">
        <v>189</v>
      </c>
      <c r="D1493" s="4">
        <v>398800</v>
      </c>
      <c r="E1493" s="4">
        <v>398800</v>
      </c>
      <c r="F1493" s="4">
        <v>797600</v>
      </c>
      <c r="H1493" s="3">
        <f t="shared" si="23"/>
        <v>0</v>
      </c>
    </row>
    <row r="1494" spans="1:8">
      <c r="A1494" t="s">
        <v>3075</v>
      </c>
      <c r="D1494" s="4">
        <v>93355800</v>
      </c>
      <c r="E1494" s="4">
        <v>93604700</v>
      </c>
      <c r="F1494" s="4">
        <v>186960500</v>
      </c>
    </row>
    <row r="1495" spans="1:8">
      <c r="D1495"/>
      <c r="E1495"/>
      <c r="F1495"/>
    </row>
    <row r="1496" spans="1:8">
      <c r="D1496"/>
      <c r="E1496"/>
      <c r="F1496"/>
    </row>
    <row r="1497" spans="1:8">
      <c r="D1497"/>
      <c r="E1497"/>
      <c r="F1497"/>
    </row>
    <row r="1498" spans="1:8" hidden="1">
      <c r="D1498"/>
      <c r="E1498"/>
      <c r="F1498"/>
    </row>
    <row r="1499" spans="1:8" hidden="1">
      <c r="D1499"/>
      <c r="E1499"/>
      <c r="F1499"/>
    </row>
    <row r="1500" spans="1:8" hidden="1">
      <c r="D1500"/>
      <c r="E1500"/>
      <c r="F1500"/>
    </row>
    <row r="1501" spans="1:8" hidden="1">
      <c r="D1501"/>
      <c r="E1501"/>
      <c r="F1501"/>
    </row>
    <row r="1502" spans="1:8" hidden="1">
      <c r="D1502"/>
      <c r="E1502"/>
      <c r="F1502"/>
    </row>
    <row r="1503" spans="1:8" hidden="1">
      <c r="D1503"/>
      <c r="E1503"/>
      <c r="F1503"/>
    </row>
    <row r="1504" spans="1:8" hidden="1">
      <c r="D1504"/>
      <c r="E1504"/>
      <c r="F1504"/>
    </row>
    <row r="1505" spans="4:6" hidden="1">
      <c r="D1505"/>
      <c r="E1505"/>
      <c r="F1505"/>
    </row>
    <row r="1506" spans="4:6" hidden="1">
      <c r="D1506"/>
      <c r="E1506"/>
      <c r="F1506"/>
    </row>
    <row r="1507" spans="4:6" hidden="1">
      <c r="D1507"/>
      <c r="E1507"/>
      <c r="F1507"/>
    </row>
    <row r="1508" spans="4:6" hidden="1">
      <c r="D1508"/>
      <c r="E1508"/>
      <c r="F1508"/>
    </row>
    <row r="1509" spans="4:6" hidden="1">
      <c r="D1509"/>
      <c r="E1509"/>
      <c r="F1509"/>
    </row>
    <row r="1510" spans="4:6" hidden="1">
      <c r="D1510"/>
      <c r="E1510"/>
      <c r="F1510"/>
    </row>
    <row r="1511" spans="4:6" hidden="1">
      <c r="D1511"/>
      <c r="E1511"/>
      <c r="F1511"/>
    </row>
    <row r="1512" spans="4:6" hidden="1">
      <c r="D1512"/>
      <c r="E1512"/>
      <c r="F1512"/>
    </row>
    <row r="1513" spans="4:6" hidden="1">
      <c r="D1513"/>
      <c r="E1513"/>
      <c r="F1513"/>
    </row>
    <row r="1514" spans="4:6" hidden="1">
      <c r="D1514"/>
      <c r="E1514"/>
      <c r="F1514"/>
    </row>
    <row r="1515" spans="4:6" hidden="1">
      <c r="D1515"/>
      <c r="E1515"/>
      <c r="F1515"/>
    </row>
    <row r="1516" spans="4:6" hidden="1">
      <c r="D1516"/>
      <c r="E1516"/>
      <c r="F1516"/>
    </row>
    <row r="1517" spans="4:6" hidden="1">
      <c r="D1517"/>
      <c r="E1517"/>
      <c r="F1517"/>
    </row>
    <row r="1518" spans="4:6" hidden="1">
      <c r="D1518" s="4"/>
      <c r="E1518" s="4"/>
      <c r="F1518" s="4"/>
    </row>
    <row r="1519" spans="4:6" hidden="1">
      <c r="D1519" s="4"/>
      <c r="E1519" s="4"/>
      <c r="F1519" s="4"/>
    </row>
    <row r="1520" spans="4:6" hidden="1">
      <c r="D1520" s="4"/>
      <c r="E1520" s="4"/>
      <c r="F1520" s="4"/>
    </row>
    <row r="1521" spans="4:6" hidden="1">
      <c r="D1521" s="4"/>
      <c r="E1521" s="4"/>
      <c r="F1521" s="4"/>
    </row>
    <row r="1522" spans="4:6" hidden="1">
      <c r="D1522" s="4"/>
      <c r="E1522" s="4"/>
      <c r="F1522" s="4"/>
    </row>
    <row r="1523" spans="4:6" hidden="1">
      <c r="D1523" s="4"/>
      <c r="E1523" s="4"/>
      <c r="F1523" s="4"/>
    </row>
    <row r="1524" spans="4:6" hidden="1">
      <c r="D1524" s="4"/>
      <c r="E1524" s="4"/>
      <c r="F1524" s="4"/>
    </row>
    <row r="1525" spans="4:6" hidden="1">
      <c r="D1525" s="4"/>
      <c r="E1525" s="4"/>
      <c r="F1525" s="4"/>
    </row>
    <row r="1526" spans="4:6" hidden="1">
      <c r="D1526" s="4"/>
      <c r="E1526" s="4"/>
      <c r="F1526" s="4"/>
    </row>
    <row r="1527" spans="4:6" hidden="1">
      <c r="D1527" s="4"/>
      <c r="E1527" s="4"/>
      <c r="F1527" s="4"/>
    </row>
    <row r="1528" spans="4:6" hidden="1">
      <c r="D1528" s="4"/>
      <c r="E1528" s="4"/>
      <c r="F1528" s="4"/>
    </row>
    <row r="1529" spans="4:6" hidden="1">
      <c r="D1529" s="4"/>
      <c r="E1529" s="4"/>
      <c r="F1529" s="4"/>
    </row>
    <row r="1530" spans="4:6" hidden="1">
      <c r="D1530" s="4"/>
      <c r="E1530" s="4"/>
      <c r="F1530" s="4"/>
    </row>
    <row r="1531" spans="4:6" hidden="1">
      <c r="D1531" s="4"/>
      <c r="E1531" s="4"/>
      <c r="F1531" s="4"/>
    </row>
    <row r="1532" spans="4:6" hidden="1">
      <c r="D1532" s="4"/>
      <c r="E1532" s="4"/>
      <c r="F1532" s="4"/>
    </row>
    <row r="1533" spans="4:6" hidden="1">
      <c r="D1533" s="4"/>
      <c r="E1533" s="4"/>
      <c r="F1533" s="4"/>
    </row>
    <row r="1534" spans="4:6" hidden="1">
      <c r="D1534" s="4"/>
      <c r="E1534" s="4"/>
      <c r="F1534" s="4"/>
    </row>
    <row r="1535" spans="4:6" hidden="1">
      <c r="D1535" s="4"/>
      <c r="E1535" s="4"/>
      <c r="F1535" s="4"/>
    </row>
    <row r="1536" spans="4:6" hidden="1">
      <c r="D1536" s="4"/>
      <c r="E1536" s="4"/>
      <c r="F1536" s="4"/>
    </row>
    <row r="1537" spans="4:6" hidden="1">
      <c r="D1537" s="4"/>
      <c r="E1537" s="4"/>
      <c r="F1537" s="4"/>
    </row>
    <row r="1538" spans="4:6" hidden="1">
      <c r="D1538" s="4"/>
      <c r="E1538" s="4"/>
      <c r="F1538" s="4"/>
    </row>
    <row r="1539" spans="4:6" hidden="1">
      <c r="D1539" s="4"/>
      <c r="E1539" s="4"/>
      <c r="F1539" s="4"/>
    </row>
    <row r="1540" spans="4:6" hidden="1">
      <c r="D1540" s="4"/>
      <c r="E1540" s="4"/>
      <c r="F1540" s="4"/>
    </row>
    <row r="1541" spans="4:6" hidden="1">
      <c r="D1541" s="4"/>
      <c r="E1541" s="4"/>
      <c r="F1541" s="4"/>
    </row>
    <row r="1542" spans="4:6" hidden="1">
      <c r="D1542" s="4"/>
      <c r="E1542" s="4"/>
      <c r="F1542" s="4"/>
    </row>
    <row r="1543" spans="4:6" hidden="1">
      <c r="D1543" s="4"/>
      <c r="E1543" s="4"/>
      <c r="F1543" s="4"/>
    </row>
    <row r="1544" spans="4:6" hidden="1">
      <c r="D1544" s="4"/>
      <c r="E1544" s="4"/>
      <c r="F1544" s="4"/>
    </row>
    <row r="1545" spans="4:6" hidden="1">
      <c r="D1545" s="4"/>
      <c r="E1545" s="4"/>
      <c r="F1545" s="4"/>
    </row>
    <row r="1546" spans="4:6" hidden="1">
      <c r="D1546" s="4"/>
      <c r="E1546" s="4"/>
      <c r="F1546" s="4"/>
    </row>
    <row r="1547" spans="4:6" hidden="1">
      <c r="D1547" s="4"/>
      <c r="E1547" s="4"/>
      <c r="F1547" s="4"/>
    </row>
    <row r="1548" spans="4:6" hidden="1">
      <c r="D1548" s="4"/>
      <c r="E1548" s="4"/>
      <c r="F1548" s="4"/>
    </row>
    <row r="1549" spans="4:6" hidden="1">
      <c r="D1549" s="4"/>
      <c r="E1549" s="4"/>
      <c r="F1549" s="4"/>
    </row>
    <row r="1550" spans="4:6" hidden="1">
      <c r="D1550" s="4"/>
      <c r="E1550" s="4"/>
      <c r="F1550" s="4"/>
    </row>
    <row r="1551" spans="4:6" hidden="1">
      <c r="D1551" s="4"/>
      <c r="E1551" s="4"/>
      <c r="F1551" s="4"/>
    </row>
    <row r="1552" spans="4:6" hidden="1">
      <c r="D1552" s="4"/>
      <c r="E1552" s="4"/>
      <c r="F1552" s="4"/>
    </row>
    <row r="1553" spans="1:8" hidden="1">
      <c r="D1553" s="4"/>
      <c r="E1553" s="4"/>
      <c r="F1553" s="4"/>
    </row>
    <row r="1554" spans="1:8" hidden="1">
      <c r="D1554" s="4"/>
      <c r="E1554" s="4"/>
      <c r="F1554" s="4"/>
    </row>
    <row r="1555" spans="1:8" hidden="1">
      <c r="D1555" s="4"/>
      <c r="E1555" s="4"/>
      <c r="F1555" s="4"/>
    </row>
    <row r="1556" spans="1:8" hidden="1">
      <c r="D1556" s="4"/>
      <c r="E1556" s="4"/>
      <c r="F1556" s="4"/>
    </row>
    <row r="1557" spans="1:8" hidden="1">
      <c r="D1557" s="4"/>
      <c r="E1557" s="4"/>
      <c r="F1557" s="4"/>
    </row>
    <row r="1558" spans="1:8" hidden="1">
      <c r="D1558" s="4"/>
      <c r="E1558" s="4"/>
      <c r="F1558" s="4"/>
    </row>
    <row r="1559" spans="1:8" hidden="1">
      <c r="D1559"/>
      <c r="E1559"/>
      <c r="F1559"/>
    </row>
    <row r="1560" spans="1:8" hidden="1">
      <c r="D1560" s="4"/>
      <c r="E1560" s="4"/>
      <c r="F1560" s="4"/>
    </row>
    <row r="1562" spans="1:8">
      <c r="A1562" s="20" t="s">
        <v>3083</v>
      </c>
      <c r="B1562" s="20"/>
      <c r="C1562" s="20"/>
      <c r="D1562" s="20"/>
      <c r="E1562" s="20"/>
      <c r="F1562" s="20"/>
      <c r="G1562" s="20"/>
      <c r="H1562" s="20"/>
    </row>
    <row r="1563" spans="1:8">
      <c r="A1563" t="s">
        <v>3084</v>
      </c>
      <c r="D1563" s="4" t="s">
        <v>1344</v>
      </c>
      <c r="E1563" s="4"/>
      <c r="F1563" s="4"/>
      <c r="G1563"/>
    </row>
    <row r="1564" spans="1:8">
      <c r="A1564" t="s">
        <v>1346</v>
      </c>
      <c r="B1564" t="s">
        <v>1347</v>
      </c>
      <c r="C1564" t="s">
        <v>1416</v>
      </c>
      <c r="D1564" s="4" t="s">
        <v>1431</v>
      </c>
      <c r="E1564" s="4" t="s">
        <v>3047</v>
      </c>
      <c r="F1564" s="4" t="s">
        <v>3075</v>
      </c>
      <c r="G1564"/>
    </row>
    <row r="1565" spans="1:8">
      <c r="A1565" t="s">
        <v>1485</v>
      </c>
      <c r="B1565" t="s">
        <v>1486</v>
      </c>
      <c r="C1565" t="s">
        <v>466</v>
      </c>
      <c r="D1565" s="4">
        <v>170400</v>
      </c>
      <c r="E1565" s="4">
        <v>170400</v>
      </c>
      <c r="F1565" s="4">
        <v>340800</v>
      </c>
      <c r="G1565"/>
      <c r="H1565" s="3">
        <f>+D1565-E1565</f>
        <v>0</v>
      </c>
    </row>
    <row r="1566" spans="1:8">
      <c r="A1566" t="s">
        <v>1553</v>
      </c>
      <c r="B1566" t="s">
        <v>1554</v>
      </c>
      <c r="C1566" t="s">
        <v>635</v>
      </c>
      <c r="D1566" s="4">
        <v>126300</v>
      </c>
      <c r="E1566" s="4">
        <v>126300</v>
      </c>
      <c r="F1566" s="4">
        <v>252600</v>
      </c>
      <c r="G1566"/>
      <c r="H1566" s="3">
        <f t="shared" ref="H1566:H1629" si="24">+D1566-E1566</f>
        <v>0</v>
      </c>
    </row>
    <row r="1567" spans="1:8">
      <c r="A1567" t="s">
        <v>1567</v>
      </c>
      <c r="B1567" t="s">
        <v>1568</v>
      </c>
      <c r="C1567" t="s">
        <v>585</v>
      </c>
      <c r="D1567" s="4">
        <v>306400</v>
      </c>
      <c r="E1567" s="4">
        <v>306400</v>
      </c>
      <c r="F1567" s="4">
        <v>612800</v>
      </c>
      <c r="G1567"/>
      <c r="H1567" s="3">
        <f t="shared" si="24"/>
        <v>0</v>
      </c>
    </row>
    <row r="1568" spans="1:8">
      <c r="A1568" t="s">
        <v>1580</v>
      </c>
      <c r="B1568" t="s">
        <v>1581</v>
      </c>
      <c r="C1568" t="s">
        <v>635</v>
      </c>
      <c r="D1568" s="4">
        <v>335600</v>
      </c>
      <c r="E1568" s="4">
        <v>335600</v>
      </c>
      <c r="F1568" s="4">
        <v>671200</v>
      </c>
      <c r="G1568"/>
      <c r="H1568" s="3">
        <f t="shared" si="24"/>
        <v>0</v>
      </c>
    </row>
    <row r="1569" spans="1:8">
      <c r="A1569" t="s">
        <v>1585</v>
      </c>
      <c r="B1569" t="s">
        <v>1586</v>
      </c>
      <c r="C1569" t="s">
        <v>635</v>
      </c>
      <c r="D1569" s="4">
        <v>153000</v>
      </c>
      <c r="E1569" s="4">
        <v>153000</v>
      </c>
      <c r="F1569" s="4">
        <v>306000</v>
      </c>
      <c r="G1569"/>
      <c r="H1569" s="3">
        <f t="shared" si="24"/>
        <v>0</v>
      </c>
    </row>
    <row r="1570" spans="1:8">
      <c r="A1570" t="s">
        <v>1594</v>
      </c>
      <c r="B1570" t="s">
        <v>1595</v>
      </c>
      <c r="C1570" t="s">
        <v>635</v>
      </c>
      <c r="D1570" s="4">
        <v>457500</v>
      </c>
      <c r="E1570" s="4">
        <v>457500</v>
      </c>
      <c r="F1570" s="4">
        <v>915000</v>
      </c>
      <c r="G1570"/>
      <c r="H1570" s="3">
        <f t="shared" si="24"/>
        <v>0</v>
      </c>
    </row>
    <row r="1571" spans="1:8">
      <c r="A1571" t="s">
        <v>1599</v>
      </c>
      <c r="B1571" t="s">
        <v>1600</v>
      </c>
      <c r="C1571" t="s">
        <v>635</v>
      </c>
      <c r="D1571" s="4">
        <v>146500</v>
      </c>
      <c r="E1571" s="4">
        <v>146500</v>
      </c>
      <c r="F1571" s="4">
        <v>293000</v>
      </c>
      <c r="G1571"/>
      <c r="H1571" s="3">
        <f t="shared" si="24"/>
        <v>0</v>
      </c>
    </row>
    <row r="1572" spans="1:8">
      <c r="A1572" t="s">
        <v>1604</v>
      </c>
      <c r="B1572" t="s">
        <v>1605</v>
      </c>
      <c r="C1572" t="s">
        <v>635</v>
      </c>
      <c r="D1572" s="4">
        <v>227100</v>
      </c>
      <c r="E1572" s="4">
        <v>227100</v>
      </c>
      <c r="F1572" s="4">
        <v>454200</v>
      </c>
      <c r="G1572"/>
      <c r="H1572" s="3">
        <f t="shared" si="24"/>
        <v>0</v>
      </c>
    </row>
    <row r="1573" spans="1:8">
      <c r="A1573" t="s">
        <v>1609</v>
      </c>
      <c r="B1573" t="s">
        <v>1610</v>
      </c>
      <c r="C1573" t="s">
        <v>635</v>
      </c>
      <c r="D1573" s="4">
        <v>192000</v>
      </c>
      <c r="E1573" s="4">
        <v>192000</v>
      </c>
      <c r="F1573" s="4">
        <v>384000</v>
      </c>
      <c r="G1573"/>
      <c r="H1573" s="3">
        <f t="shared" si="24"/>
        <v>0</v>
      </c>
    </row>
    <row r="1574" spans="1:8">
      <c r="A1574" t="s">
        <v>1614</v>
      </c>
      <c r="B1574" t="s">
        <v>1615</v>
      </c>
      <c r="C1574" t="s">
        <v>635</v>
      </c>
      <c r="D1574" s="4">
        <v>208400</v>
      </c>
      <c r="E1574" s="4">
        <v>208400</v>
      </c>
      <c r="F1574" s="4">
        <v>416800</v>
      </c>
      <c r="G1574"/>
      <c r="H1574" s="3">
        <f t="shared" si="24"/>
        <v>0</v>
      </c>
    </row>
    <row r="1575" spans="1:8">
      <c r="A1575" t="s">
        <v>1622</v>
      </c>
      <c r="B1575" t="s">
        <v>1623</v>
      </c>
      <c r="C1575" t="s">
        <v>635</v>
      </c>
      <c r="D1575" s="4">
        <v>127200</v>
      </c>
      <c r="E1575" s="4">
        <v>127200</v>
      </c>
      <c r="F1575" s="4">
        <v>254400</v>
      </c>
      <c r="G1575"/>
      <c r="H1575" s="3">
        <f t="shared" si="24"/>
        <v>0</v>
      </c>
    </row>
    <row r="1576" spans="1:8">
      <c r="A1576" t="s">
        <v>1632</v>
      </c>
      <c r="B1576" t="s">
        <v>1633</v>
      </c>
      <c r="C1576" t="s">
        <v>635</v>
      </c>
      <c r="D1576" s="4">
        <v>419500</v>
      </c>
      <c r="E1576" s="4">
        <v>466100</v>
      </c>
      <c r="F1576" s="4">
        <v>885600</v>
      </c>
      <c r="G1576"/>
      <c r="H1576" s="3">
        <f t="shared" si="24"/>
        <v>-46600</v>
      </c>
    </row>
    <row r="1577" spans="1:8">
      <c r="A1577" t="s">
        <v>1645</v>
      </c>
      <c r="B1577" t="s">
        <v>1646</v>
      </c>
      <c r="C1577" t="s">
        <v>635</v>
      </c>
      <c r="D1577" s="4">
        <v>466100</v>
      </c>
      <c r="E1577" s="4">
        <v>466100</v>
      </c>
      <c r="F1577" s="4">
        <v>932200</v>
      </c>
      <c r="G1577"/>
      <c r="H1577" s="3">
        <f t="shared" si="24"/>
        <v>0</v>
      </c>
    </row>
    <row r="1578" spans="1:8">
      <c r="A1578" t="s">
        <v>1663</v>
      </c>
      <c r="B1578" t="s">
        <v>1664</v>
      </c>
      <c r="C1578" t="s">
        <v>635</v>
      </c>
      <c r="D1578" s="4">
        <v>161100</v>
      </c>
      <c r="E1578" s="4">
        <v>161100</v>
      </c>
      <c r="F1578" s="4">
        <v>322200</v>
      </c>
      <c r="G1578"/>
      <c r="H1578" s="3">
        <f t="shared" si="24"/>
        <v>0</v>
      </c>
    </row>
    <row r="1579" spans="1:8">
      <c r="A1579" t="s">
        <v>1667</v>
      </c>
      <c r="B1579" t="s">
        <v>1668</v>
      </c>
      <c r="C1579" t="s">
        <v>635</v>
      </c>
      <c r="D1579" s="4">
        <v>389700</v>
      </c>
      <c r="E1579" s="4">
        <v>389700</v>
      </c>
      <c r="F1579" s="4">
        <v>779400</v>
      </c>
      <c r="G1579"/>
      <c r="H1579" s="3">
        <f t="shared" si="24"/>
        <v>0</v>
      </c>
    </row>
    <row r="1580" spans="1:8">
      <c r="A1580" t="s">
        <v>1671</v>
      </c>
      <c r="B1580" t="s">
        <v>1672</v>
      </c>
      <c r="C1580" t="s">
        <v>635</v>
      </c>
      <c r="D1580" s="4">
        <v>352500</v>
      </c>
      <c r="E1580" s="4">
        <v>352500</v>
      </c>
      <c r="F1580" s="4">
        <v>705000</v>
      </c>
      <c r="G1580"/>
      <c r="H1580" s="3">
        <f t="shared" si="24"/>
        <v>0</v>
      </c>
    </row>
    <row r="1581" spans="1:8">
      <c r="A1581" t="s">
        <v>1675</v>
      </c>
      <c r="B1581" t="s">
        <v>1676</v>
      </c>
      <c r="C1581" t="s">
        <v>635</v>
      </c>
      <c r="D1581" s="4">
        <v>153400</v>
      </c>
      <c r="E1581" s="4">
        <v>153400</v>
      </c>
      <c r="F1581" s="4">
        <v>306800</v>
      </c>
      <c r="G1581"/>
      <c r="H1581" s="3">
        <f t="shared" si="24"/>
        <v>0</v>
      </c>
    </row>
    <row r="1582" spans="1:8">
      <c r="A1582" t="s">
        <v>1681</v>
      </c>
      <c r="B1582" t="s">
        <v>1682</v>
      </c>
      <c r="C1582" t="s">
        <v>635</v>
      </c>
      <c r="D1582" s="4">
        <v>70100</v>
      </c>
      <c r="E1582" s="4">
        <v>70100</v>
      </c>
      <c r="F1582" s="4">
        <v>140200</v>
      </c>
      <c r="G1582"/>
      <c r="H1582" s="3">
        <f t="shared" si="24"/>
        <v>0</v>
      </c>
    </row>
    <row r="1583" spans="1:8">
      <c r="A1583" t="s">
        <v>1714</v>
      </c>
      <c r="B1583" t="s">
        <v>1715</v>
      </c>
      <c r="C1583" t="s">
        <v>635</v>
      </c>
      <c r="D1583" s="4">
        <v>208400</v>
      </c>
      <c r="E1583" s="4">
        <v>208400</v>
      </c>
      <c r="F1583" s="4">
        <v>416800</v>
      </c>
      <c r="G1583"/>
      <c r="H1583" s="3">
        <f t="shared" si="24"/>
        <v>0</v>
      </c>
    </row>
    <row r="1584" spans="1:8">
      <c r="A1584" t="s">
        <v>1717</v>
      </c>
      <c r="B1584" t="s">
        <v>1718</v>
      </c>
      <c r="C1584" t="s">
        <v>635</v>
      </c>
      <c r="D1584" s="4">
        <v>114400</v>
      </c>
      <c r="E1584" s="4">
        <v>114400</v>
      </c>
      <c r="F1584" s="4">
        <v>228800</v>
      </c>
      <c r="G1584"/>
      <c r="H1584" s="3">
        <f t="shared" si="24"/>
        <v>0</v>
      </c>
    </row>
    <row r="1585" spans="1:8">
      <c r="A1585" t="s">
        <v>1744</v>
      </c>
      <c r="B1585" t="s">
        <v>1745</v>
      </c>
      <c r="C1585" t="s">
        <v>635</v>
      </c>
      <c r="D1585" s="4">
        <v>88800</v>
      </c>
      <c r="E1585" s="4">
        <v>88800</v>
      </c>
      <c r="F1585" s="4">
        <v>177600</v>
      </c>
      <c r="G1585"/>
      <c r="H1585" s="3">
        <f t="shared" si="24"/>
        <v>0</v>
      </c>
    </row>
    <row r="1586" spans="1:8">
      <c r="A1586" t="s">
        <v>1746</v>
      </c>
      <c r="B1586" t="s">
        <v>1747</v>
      </c>
      <c r="C1586" t="s">
        <v>635</v>
      </c>
      <c r="D1586" s="4">
        <v>146500</v>
      </c>
      <c r="E1586" s="4">
        <v>146500</v>
      </c>
      <c r="F1586" s="4">
        <v>293000</v>
      </c>
      <c r="G1586"/>
      <c r="H1586" s="3">
        <f t="shared" si="24"/>
        <v>0</v>
      </c>
    </row>
    <row r="1587" spans="1:8">
      <c r="A1587" t="s">
        <v>1751</v>
      </c>
      <c r="B1587" t="s">
        <v>1752</v>
      </c>
      <c r="C1587" t="s">
        <v>635</v>
      </c>
      <c r="D1587" s="4">
        <v>145000</v>
      </c>
      <c r="E1587" s="4">
        <v>146500</v>
      </c>
      <c r="F1587" s="4">
        <v>291500</v>
      </c>
      <c r="G1587"/>
      <c r="H1587" s="3">
        <f t="shared" si="24"/>
        <v>-1500</v>
      </c>
    </row>
    <row r="1588" spans="1:8">
      <c r="A1588" t="s">
        <v>1767</v>
      </c>
      <c r="B1588" t="s">
        <v>1768</v>
      </c>
      <c r="C1588" t="s">
        <v>635</v>
      </c>
      <c r="D1588" s="4">
        <v>75600</v>
      </c>
      <c r="E1588" s="4">
        <v>75600</v>
      </c>
      <c r="F1588" s="4">
        <v>151200</v>
      </c>
      <c r="G1588"/>
      <c r="H1588" s="3">
        <f t="shared" si="24"/>
        <v>0</v>
      </c>
    </row>
    <row r="1589" spans="1:8">
      <c r="A1589" t="s">
        <v>1804</v>
      </c>
      <c r="B1589" t="s">
        <v>1805</v>
      </c>
      <c r="C1589" t="s">
        <v>635</v>
      </c>
      <c r="D1589" s="4">
        <v>227100</v>
      </c>
      <c r="E1589" s="4">
        <v>227100</v>
      </c>
      <c r="F1589" s="4">
        <v>454200</v>
      </c>
      <c r="G1589"/>
      <c r="H1589" s="3">
        <f t="shared" si="24"/>
        <v>0</v>
      </c>
    </row>
    <row r="1590" spans="1:8">
      <c r="A1590" t="s">
        <v>1865</v>
      </c>
      <c r="B1590" t="s">
        <v>1866</v>
      </c>
      <c r="C1590" t="s">
        <v>635</v>
      </c>
      <c r="D1590" s="4">
        <v>119100</v>
      </c>
      <c r="E1590" s="4">
        <v>119100</v>
      </c>
      <c r="F1590" s="4">
        <v>238200</v>
      </c>
      <c r="G1590"/>
      <c r="H1590" s="3">
        <f t="shared" si="24"/>
        <v>0</v>
      </c>
    </row>
    <row r="1591" spans="1:8">
      <c r="A1591" t="s">
        <v>1884</v>
      </c>
      <c r="B1591" t="s">
        <v>1885</v>
      </c>
      <c r="C1591" t="s">
        <v>635</v>
      </c>
      <c r="D1591" s="4">
        <v>161100</v>
      </c>
      <c r="E1591" s="4">
        <v>161100</v>
      </c>
      <c r="F1591" s="4">
        <v>322200</v>
      </c>
      <c r="G1591"/>
      <c r="H1591" s="3">
        <f t="shared" si="24"/>
        <v>0</v>
      </c>
    </row>
    <row r="1592" spans="1:8">
      <c r="A1592" t="s">
        <v>1939</v>
      </c>
      <c r="B1592" t="s">
        <v>1940</v>
      </c>
      <c r="C1592" t="s">
        <v>635</v>
      </c>
      <c r="D1592" s="4">
        <v>227100</v>
      </c>
      <c r="E1592" s="4">
        <v>227100</v>
      </c>
      <c r="F1592" s="4">
        <v>454200</v>
      </c>
      <c r="G1592"/>
      <c r="H1592" s="3">
        <f t="shared" si="24"/>
        <v>0</v>
      </c>
    </row>
    <row r="1593" spans="1:8">
      <c r="A1593" t="s">
        <v>1954</v>
      </c>
      <c r="B1593" t="s">
        <v>1955</v>
      </c>
      <c r="C1593" t="s">
        <v>635</v>
      </c>
      <c r="D1593" s="4">
        <v>255500</v>
      </c>
      <c r="E1593" s="4">
        <v>255500</v>
      </c>
      <c r="F1593" s="4">
        <v>511000</v>
      </c>
      <c r="G1593"/>
      <c r="H1593" s="3">
        <f t="shared" si="24"/>
        <v>0</v>
      </c>
    </row>
    <row r="1594" spans="1:8">
      <c r="A1594" t="s">
        <v>1958</v>
      </c>
      <c r="B1594" t="s">
        <v>1959</v>
      </c>
      <c r="C1594" t="s">
        <v>635</v>
      </c>
      <c r="D1594" s="4">
        <v>166100</v>
      </c>
      <c r="E1594" s="4">
        <v>166100</v>
      </c>
      <c r="F1594" s="4">
        <v>332200</v>
      </c>
      <c r="G1594"/>
      <c r="H1594" s="3">
        <f t="shared" si="24"/>
        <v>0</v>
      </c>
    </row>
    <row r="1595" spans="1:8">
      <c r="A1595" t="s">
        <v>1966</v>
      </c>
      <c r="B1595" t="s">
        <v>1967</v>
      </c>
      <c r="C1595" t="s">
        <v>466</v>
      </c>
      <c r="D1595" s="4">
        <v>257700</v>
      </c>
      <c r="E1595" s="4">
        <v>257700</v>
      </c>
      <c r="F1595" s="4">
        <v>515400</v>
      </c>
      <c r="G1595"/>
      <c r="H1595" s="3">
        <f t="shared" si="24"/>
        <v>0</v>
      </c>
    </row>
    <row r="1596" spans="1:8">
      <c r="A1596" t="s">
        <v>1985</v>
      </c>
      <c r="B1596" t="s">
        <v>1986</v>
      </c>
      <c r="C1596" t="s">
        <v>635</v>
      </c>
      <c r="D1596" s="4">
        <v>128400</v>
      </c>
      <c r="E1596" s="4">
        <v>128400</v>
      </c>
      <c r="F1596" s="4">
        <v>256800</v>
      </c>
      <c r="G1596"/>
      <c r="H1596" s="3">
        <f t="shared" si="24"/>
        <v>0</v>
      </c>
    </row>
    <row r="1597" spans="1:8">
      <c r="A1597" t="s">
        <v>1995</v>
      </c>
      <c r="B1597" t="s">
        <v>1996</v>
      </c>
      <c r="C1597" t="s">
        <v>635</v>
      </c>
      <c r="D1597" s="4">
        <v>166200</v>
      </c>
      <c r="E1597" s="4">
        <v>166200</v>
      </c>
      <c r="F1597" s="4">
        <v>332400</v>
      </c>
      <c r="G1597"/>
      <c r="H1597" s="3">
        <f t="shared" si="24"/>
        <v>0</v>
      </c>
    </row>
    <row r="1598" spans="1:8">
      <c r="A1598" t="s">
        <v>2027</v>
      </c>
      <c r="B1598" t="s">
        <v>2028</v>
      </c>
      <c r="C1598" t="s">
        <v>635</v>
      </c>
      <c r="D1598" s="4">
        <v>255500</v>
      </c>
      <c r="E1598" s="4">
        <v>255500</v>
      </c>
      <c r="F1598" s="4">
        <v>511000</v>
      </c>
      <c r="G1598"/>
      <c r="H1598" s="3">
        <f t="shared" si="24"/>
        <v>0</v>
      </c>
    </row>
    <row r="1599" spans="1:8">
      <c r="A1599" t="s">
        <v>2075</v>
      </c>
      <c r="B1599" t="s">
        <v>2076</v>
      </c>
      <c r="C1599" t="s">
        <v>635</v>
      </c>
      <c r="D1599" s="4">
        <v>255500</v>
      </c>
      <c r="E1599" s="4">
        <v>255500</v>
      </c>
      <c r="F1599" s="4">
        <v>511000</v>
      </c>
      <c r="G1599"/>
      <c r="H1599" s="3">
        <f t="shared" si="24"/>
        <v>0</v>
      </c>
    </row>
    <row r="1600" spans="1:8">
      <c r="A1600" t="s">
        <v>2084</v>
      </c>
      <c r="B1600" t="s">
        <v>2085</v>
      </c>
      <c r="C1600" t="s">
        <v>635</v>
      </c>
      <c r="D1600" s="4">
        <v>255400</v>
      </c>
      <c r="E1600" s="4">
        <v>255400</v>
      </c>
      <c r="F1600" s="4">
        <v>510800</v>
      </c>
      <c r="G1600"/>
      <c r="H1600" s="3">
        <f t="shared" si="24"/>
        <v>0</v>
      </c>
    </row>
    <row r="1601" spans="1:8">
      <c r="A1601" t="s">
        <v>2106</v>
      </c>
      <c r="B1601" t="s">
        <v>2107</v>
      </c>
      <c r="C1601" t="s">
        <v>635</v>
      </c>
      <c r="D1601" s="4">
        <v>342900</v>
      </c>
      <c r="E1601" s="4">
        <v>342900</v>
      </c>
      <c r="F1601" s="4">
        <v>685800</v>
      </c>
      <c r="G1601"/>
      <c r="H1601" s="3">
        <f t="shared" si="24"/>
        <v>0</v>
      </c>
    </row>
    <row r="1602" spans="1:8">
      <c r="A1602" t="s">
        <v>2160</v>
      </c>
      <c r="B1602" t="s">
        <v>2161</v>
      </c>
      <c r="C1602" t="s">
        <v>466</v>
      </c>
      <c r="D1602" s="4">
        <v>98200</v>
      </c>
      <c r="E1602" s="4">
        <v>98200</v>
      </c>
      <c r="F1602" s="4">
        <v>196400</v>
      </c>
      <c r="G1602"/>
      <c r="H1602" s="3">
        <f t="shared" si="24"/>
        <v>0</v>
      </c>
    </row>
    <row r="1603" spans="1:8">
      <c r="A1603" t="s">
        <v>2206</v>
      </c>
      <c r="B1603" t="s">
        <v>2207</v>
      </c>
      <c r="C1603" t="s">
        <v>466</v>
      </c>
      <c r="D1603" s="4">
        <v>83500</v>
      </c>
      <c r="E1603" s="4"/>
      <c r="F1603" s="4">
        <v>83500</v>
      </c>
      <c r="G1603"/>
      <c r="H1603" s="3">
        <f t="shared" si="24"/>
        <v>83500</v>
      </c>
    </row>
    <row r="1604" spans="1:8">
      <c r="B1604" t="s">
        <v>3060</v>
      </c>
      <c r="C1604" t="s">
        <v>466</v>
      </c>
      <c r="D1604" s="4"/>
      <c r="E1604" s="4">
        <v>83500</v>
      </c>
      <c r="F1604" s="4">
        <v>83500</v>
      </c>
      <c r="G1604"/>
      <c r="H1604" s="3">
        <f t="shared" si="24"/>
        <v>-83500</v>
      </c>
    </row>
    <row r="1605" spans="1:8">
      <c r="A1605" t="s">
        <v>2227</v>
      </c>
      <c r="B1605" t="s">
        <v>2228</v>
      </c>
      <c r="C1605" t="s">
        <v>466</v>
      </c>
      <c r="D1605" s="4">
        <v>81300</v>
      </c>
      <c r="E1605" s="4">
        <v>81300</v>
      </c>
      <c r="F1605" s="4">
        <v>162600</v>
      </c>
      <c r="G1605"/>
      <c r="H1605" s="3">
        <f t="shared" si="24"/>
        <v>0</v>
      </c>
    </row>
    <row r="1606" spans="1:8">
      <c r="A1606" t="s">
        <v>2276</v>
      </c>
      <c r="B1606" t="s">
        <v>2277</v>
      </c>
      <c r="C1606" t="s">
        <v>635</v>
      </c>
      <c r="D1606" s="4">
        <v>448100</v>
      </c>
      <c r="E1606" s="4">
        <v>448100</v>
      </c>
      <c r="F1606" s="4">
        <v>896200</v>
      </c>
      <c r="G1606"/>
      <c r="H1606" s="3">
        <f t="shared" si="24"/>
        <v>0</v>
      </c>
    </row>
    <row r="1607" spans="1:8">
      <c r="A1607" t="s">
        <v>2279</v>
      </c>
      <c r="B1607" t="s">
        <v>2280</v>
      </c>
      <c r="C1607" t="s">
        <v>635</v>
      </c>
      <c r="D1607" s="4">
        <v>149800</v>
      </c>
      <c r="E1607" s="4">
        <v>149800</v>
      </c>
      <c r="F1607" s="4">
        <v>299600</v>
      </c>
      <c r="G1607"/>
      <c r="H1607" s="3">
        <f t="shared" si="24"/>
        <v>0</v>
      </c>
    </row>
    <row r="1608" spans="1:8">
      <c r="A1608" t="s">
        <v>2295</v>
      </c>
      <c r="B1608" t="s">
        <v>2296</v>
      </c>
      <c r="C1608" t="s">
        <v>635</v>
      </c>
      <c r="D1608" s="4">
        <v>208400</v>
      </c>
      <c r="E1608" s="4">
        <v>208400</v>
      </c>
      <c r="F1608" s="4">
        <v>416800</v>
      </c>
      <c r="G1608"/>
      <c r="H1608" s="3">
        <f t="shared" si="24"/>
        <v>0</v>
      </c>
    </row>
    <row r="1609" spans="1:8">
      <c r="A1609" t="s">
        <v>2336</v>
      </c>
      <c r="B1609" t="s">
        <v>2337</v>
      </c>
      <c r="C1609" t="s">
        <v>635</v>
      </c>
      <c r="D1609" s="4">
        <v>255400</v>
      </c>
      <c r="E1609" s="4">
        <v>255400</v>
      </c>
      <c r="F1609" s="4">
        <v>510800</v>
      </c>
      <c r="H1609" s="3">
        <f t="shared" si="24"/>
        <v>0</v>
      </c>
    </row>
    <row r="1610" spans="1:8">
      <c r="A1610" t="s">
        <v>2348</v>
      </c>
      <c r="B1610" t="s">
        <v>2349</v>
      </c>
      <c r="C1610" t="s">
        <v>635</v>
      </c>
      <c r="D1610" s="4">
        <v>537700</v>
      </c>
      <c r="E1610" s="4">
        <v>537700</v>
      </c>
      <c r="F1610" s="4">
        <v>1075400</v>
      </c>
      <c r="H1610" s="3">
        <f t="shared" si="24"/>
        <v>0</v>
      </c>
    </row>
    <row r="1611" spans="1:8">
      <c r="A1611" t="s">
        <v>2352</v>
      </c>
      <c r="B1611" t="s">
        <v>2353</v>
      </c>
      <c r="C1611" t="s">
        <v>635</v>
      </c>
      <c r="D1611" s="4">
        <v>409300</v>
      </c>
      <c r="E1611" s="4">
        <v>409300</v>
      </c>
      <c r="F1611" s="4">
        <v>818600</v>
      </c>
      <c r="H1611" s="3">
        <f t="shared" si="24"/>
        <v>0</v>
      </c>
    </row>
    <row r="1612" spans="1:8">
      <c r="A1612" t="s">
        <v>2393</v>
      </c>
      <c r="B1612" t="s">
        <v>2394</v>
      </c>
      <c r="C1612" t="s">
        <v>635</v>
      </c>
      <c r="D1612" s="4">
        <v>187300</v>
      </c>
      <c r="E1612" s="4">
        <v>187300</v>
      </c>
      <c r="F1612" s="4">
        <v>374600</v>
      </c>
      <c r="H1612" s="3">
        <f t="shared" si="24"/>
        <v>0</v>
      </c>
    </row>
    <row r="1613" spans="1:8">
      <c r="A1613" t="s">
        <v>2422</v>
      </c>
      <c r="B1613" t="s">
        <v>2423</v>
      </c>
      <c r="C1613" t="s">
        <v>466</v>
      </c>
      <c r="D1613" s="4">
        <v>103200</v>
      </c>
      <c r="E1613" s="4">
        <v>103200</v>
      </c>
      <c r="F1613" s="4">
        <v>206400</v>
      </c>
      <c r="H1613" s="3">
        <f t="shared" si="24"/>
        <v>0</v>
      </c>
    </row>
    <row r="1614" spans="1:8">
      <c r="A1614" t="s">
        <v>2477</v>
      </c>
      <c r="B1614" t="s">
        <v>2478</v>
      </c>
      <c r="C1614" t="s">
        <v>466</v>
      </c>
      <c r="D1614" s="4">
        <v>111200</v>
      </c>
      <c r="E1614" s="4">
        <v>111200</v>
      </c>
      <c r="F1614" s="4">
        <v>222400</v>
      </c>
      <c r="H1614" s="3">
        <f t="shared" si="24"/>
        <v>0</v>
      </c>
    </row>
    <row r="1615" spans="1:8">
      <c r="A1615" t="s">
        <v>2480</v>
      </c>
      <c r="B1615" t="s">
        <v>2481</v>
      </c>
      <c r="C1615" t="s">
        <v>635</v>
      </c>
      <c r="D1615" s="4">
        <v>326100</v>
      </c>
      <c r="E1615" s="4">
        <v>326100</v>
      </c>
      <c r="F1615" s="4">
        <v>652200</v>
      </c>
      <c r="H1615" s="3">
        <f t="shared" si="24"/>
        <v>0</v>
      </c>
    </row>
    <row r="1616" spans="1:8">
      <c r="A1616" t="s">
        <v>2487</v>
      </c>
      <c r="B1616" t="s">
        <v>2488</v>
      </c>
      <c r="C1616" t="s">
        <v>635</v>
      </c>
      <c r="D1616" s="4">
        <v>426900</v>
      </c>
      <c r="E1616" s="4">
        <v>426900</v>
      </c>
      <c r="F1616" s="4">
        <v>853800</v>
      </c>
      <c r="H1616" s="3">
        <f t="shared" si="24"/>
        <v>0</v>
      </c>
    </row>
    <row r="1617" spans="1:8">
      <c r="A1617" t="s">
        <v>2508</v>
      </c>
      <c r="B1617" t="s">
        <v>2509</v>
      </c>
      <c r="C1617" t="s">
        <v>635</v>
      </c>
      <c r="D1617" s="4">
        <v>308100</v>
      </c>
      <c r="E1617" s="4">
        <v>308100</v>
      </c>
      <c r="F1617" s="4">
        <v>616200</v>
      </c>
      <c r="H1617" s="3">
        <f t="shared" si="24"/>
        <v>0</v>
      </c>
    </row>
    <row r="1618" spans="1:8">
      <c r="A1618" t="s">
        <v>2513</v>
      </c>
      <c r="B1618" t="s">
        <v>2514</v>
      </c>
      <c r="C1618" t="s">
        <v>635</v>
      </c>
      <c r="D1618" s="4">
        <v>117900</v>
      </c>
      <c r="E1618" s="4">
        <v>117900</v>
      </c>
      <c r="F1618" s="4">
        <v>235800</v>
      </c>
      <c r="H1618" s="3">
        <f t="shared" si="24"/>
        <v>0</v>
      </c>
    </row>
    <row r="1619" spans="1:8">
      <c r="A1619" t="s">
        <v>2515</v>
      </c>
      <c r="B1619" t="s">
        <v>2516</v>
      </c>
      <c r="C1619" t="s">
        <v>635</v>
      </c>
      <c r="D1619" s="4">
        <v>127700</v>
      </c>
      <c r="E1619" s="4">
        <v>127700</v>
      </c>
      <c r="F1619" s="4">
        <v>255400</v>
      </c>
      <c r="H1619" s="3">
        <f t="shared" si="24"/>
        <v>0</v>
      </c>
    </row>
    <row r="1620" spans="1:8">
      <c r="A1620" t="s">
        <v>2527</v>
      </c>
      <c r="B1620" t="s">
        <v>2528</v>
      </c>
      <c r="C1620" t="s">
        <v>635</v>
      </c>
      <c r="D1620" s="4">
        <v>263000</v>
      </c>
      <c r="E1620" s="4">
        <v>263000</v>
      </c>
      <c r="F1620" s="4">
        <v>526000</v>
      </c>
      <c r="H1620" s="3">
        <f t="shared" si="24"/>
        <v>0</v>
      </c>
    </row>
    <row r="1621" spans="1:8">
      <c r="A1621" t="s">
        <v>2536</v>
      </c>
      <c r="B1621" t="s">
        <v>2537</v>
      </c>
      <c r="C1621" t="s">
        <v>466</v>
      </c>
      <c r="D1621" s="4">
        <v>227100</v>
      </c>
      <c r="E1621" s="4">
        <v>227100</v>
      </c>
      <c r="F1621" s="4">
        <v>454200</v>
      </c>
      <c r="H1621" s="3">
        <f t="shared" si="24"/>
        <v>0</v>
      </c>
    </row>
    <row r="1622" spans="1:8">
      <c r="A1622" t="s">
        <v>2550</v>
      </c>
      <c r="B1622" t="s">
        <v>2551</v>
      </c>
      <c r="C1622" t="s">
        <v>635</v>
      </c>
      <c r="D1622" s="4">
        <v>70100</v>
      </c>
      <c r="E1622" s="4">
        <v>70100</v>
      </c>
      <c r="F1622" s="4">
        <v>140200</v>
      </c>
      <c r="H1622" s="3">
        <f t="shared" si="24"/>
        <v>0</v>
      </c>
    </row>
    <row r="1623" spans="1:8">
      <c r="A1623" t="s">
        <v>2555</v>
      </c>
      <c r="B1623" t="s">
        <v>2556</v>
      </c>
      <c r="C1623" t="s">
        <v>635</v>
      </c>
      <c r="D1623" s="4">
        <v>227100</v>
      </c>
      <c r="E1623" s="4">
        <v>227100</v>
      </c>
      <c r="F1623" s="4">
        <v>454200</v>
      </c>
      <c r="H1623" s="3">
        <f t="shared" si="24"/>
        <v>0</v>
      </c>
    </row>
    <row r="1624" spans="1:8">
      <c r="A1624" t="s">
        <v>2562</v>
      </c>
      <c r="B1624" t="s">
        <v>2563</v>
      </c>
      <c r="C1624" t="s">
        <v>635</v>
      </c>
      <c r="D1624" s="4">
        <v>675300</v>
      </c>
      <c r="E1624" s="4">
        <v>675300</v>
      </c>
      <c r="F1624" s="4">
        <v>1350600</v>
      </c>
      <c r="H1624" s="3">
        <f t="shared" si="24"/>
        <v>0</v>
      </c>
    </row>
    <row r="1625" spans="1:8">
      <c r="A1625" t="s">
        <v>2566</v>
      </c>
      <c r="B1625" t="s">
        <v>2567</v>
      </c>
      <c r="C1625" t="s">
        <v>635</v>
      </c>
      <c r="D1625" s="4">
        <v>352600</v>
      </c>
      <c r="E1625" s="4">
        <v>352600</v>
      </c>
      <c r="F1625" s="4">
        <v>705200</v>
      </c>
      <c r="H1625" s="3">
        <f t="shared" si="24"/>
        <v>0</v>
      </c>
    </row>
    <row r="1626" spans="1:8">
      <c r="A1626" t="s">
        <v>2570</v>
      </c>
      <c r="B1626" t="s">
        <v>2571</v>
      </c>
      <c r="C1626" t="s">
        <v>635</v>
      </c>
      <c r="D1626" s="4">
        <v>82000</v>
      </c>
      <c r="E1626" s="4">
        <v>82000</v>
      </c>
      <c r="F1626" s="4">
        <v>164000</v>
      </c>
      <c r="H1626" s="3">
        <f t="shared" si="24"/>
        <v>0</v>
      </c>
    </row>
    <row r="1627" spans="1:8">
      <c r="A1627" t="s">
        <v>2574</v>
      </c>
      <c r="B1627" t="s">
        <v>2575</v>
      </c>
      <c r="C1627" t="s">
        <v>635</v>
      </c>
      <c r="D1627" s="4">
        <v>82900</v>
      </c>
      <c r="E1627" s="4">
        <v>82900</v>
      </c>
      <c r="F1627" s="4">
        <v>165800</v>
      </c>
      <c r="H1627" s="3">
        <f t="shared" si="24"/>
        <v>0</v>
      </c>
    </row>
    <row r="1628" spans="1:8">
      <c r="A1628" t="s">
        <v>2578</v>
      </c>
      <c r="B1628" t="s">
        <v>2579</v>
      </c>
      <c r="C1628" t="s">
        <v>635</v>
      </c>
      <c r="D1628" s="4">
        <v>255400</v>
      </c>
      <c r="E1628" s="4">
        <v>255400</v>
      </c>
      <c r="F1628" s="4">
        <v>510800</v>
      </c>
      <c r="H1628" s="3">
        <f t="shared" si="24"/>
        <v>0</v>
      </c>
    </row>
    <row r="1629" spans="1:8">
      <c r="A1629" t="s">
        <v>2582</v>
      </c>
      <c r="B1629" t="s">
        <v>2583</v>
      </c>
      <c r="C1629" t="s">
        <v>635</v>
      </c>
      <c r="D1629" s="4">
        <v>342800</v>
      </c>
      <c r="E1629" s="4">
        <v>342800</v>
      </c>
      <c r="F1629" s="4">
        <v>685600</v>
      </c>
      <c r="H1629" s="3">
        <f t="shared" si="24"/>
        <v>0</v>
      </c>
    </row>
    <row r="1630" spans="1:8">
      <c r="A1630" t="s">
        <v>2586</v>
      </c>
      <c r="B1630" t="s">
        <v>2587</v>
      </c>
      <c r="C1630" t="s">
        <v>635</v>
      </c>
      <c r="D1630" s="4">
        <v>326100</v>
      </c>
      <c r="E1630" s="4">
        <v>326100</v>
      </c>
      <c r="F1630" s="4">
        <v>652200</v>
      </c>
      <c r="H1630" s="3">
        <f t="shared" ref="H1630:H1693" si="25">+D1630-E1630</f>
        <v>0</v>
      </c>
    </row>
    <row r="1631" spans="1:8">
      <c r="A1631" t="s">
        <v>2602</v>
      </c>
      <c r="B1631" t="s">
        <v>2603</v>
      </c>
      <c r="C1631" t="s">
        <v>635</v>
      </c>
      <c r="D1631" s="4">
        <v>102900</v>
      </c>
      <c r="E1631" s="4">
        <v>102900</v>
      </c>
      <c r="F1631" s="4">
        <v>205800</v>
      </c>
      <c r="H1631" s="3">
        <f t="shared" si="25"/>
        <v>0</v>
      </c>
    </row>
    <row r="1632" spans="1:8">
      <c r="A1632" t="s">
        <v>2605</v>
      </c>
      <c r="B1632" t="s">
        <v>2606</v>
      </c>
      <c r="C1632" t="s">
        <v>635</v>
      </c>
      <c r="D1632" s="4">
        <v>208400</v>
      </c>
      <c r="E1632" s="4">
        <v>208400</v>
      </c>
      <c r="F1632" s="4">
        <v>416800</v>
      </c>
      <c r="H1632" s="3">
        <f t="shared" si="25"/>
        <v>0</v>
      </c>
    </row>
    <row r="1633" spans="1:8">
      <c r="A1633" t="s">
        <v>2609</v>
      </c>
      <c r="B1633" t="s">
        <v>2610</v>
      </c>
      <c r="C1633" t="s">
        <v>635</v>
      </c>
      <c r="D1633" s="4">
        <v>231700</v>
      </c>
      <c r="E1633" s="4">
        <v>231700</v>
      </c>
      <c r="F1633" s="4">
        <v>463400</v>
      </c>
      <c r="H1633" s="3">
        <f t="shared" si="25"/>
        <v>0</v>
      </c>
    </row>
    <row r="1634" spans="1:8">
      <c r="A1634" t="s">
        <v>2619</v>
      </c>
      <c r="B1634" t="s">
        <v>2620</v>
      </c>
      <c r="C1634" t="s">
        <v>635</v>
      </c>
      <c r="D1634" s="4">
        <v>84500</v>
      </c>
      <c r="E1634" s="4">
        <v>84500</v>
      </c>
      <c r="F1634" s="4">
        <v>169000</v>
      </c>
      <c r="H1634" s="3">
        <f t="shared" si="25"/>
        <v>0</v>
      </c>
    </row>
    <row r="1635" spans="1:8">
      <c r="A1635" t="s">
        <v>2624</v>
      </c>
      <c r="B1635" t="s">
        <v>2625</v>
      </c>
      <c r="C1635" t="s">
        <v>635</v>
      </c>
      <c r="D1635" s="4">
        <v>143100</v>
      </c>
      <c r="E1635" s="4">
        <v>143100</v>
      </c>
      <c r="F1635" s="4">
        <v>286200</v>
      </c>
      <c r="H1635" s="3">
        <f t="shared" si="25"/>
        <v>0</v>
      </c>
    </row>
    <row r="1636" spans="1:8">
      <c r="A1636" t="s">
        <v>2672</v>
      </c>
      <c r="B1636" t="s">
        <v>2673</v>
      </c>
      <c r="C1636" t="s">
        <v>635</v>
      </c>
      <c r="D1636" s="4">
        <v>143600</v>
      </c>
      <c r="E1636" s="4">
        <v>143600</v>
      </c>
      <c r="F1636" s="4">
        <v>287200</v>
      </c>
      <c r="H1636" s="3">
        <f t="shared" si="25"/>
        <v>0</v>
      </c>
    </row>
    <row r="1637" spans="1:8">
      <c r="A1637" t="s">
        <v>2679</v>
      </c>
      <c r="B1637" t="s">
        <v>2680</v>
      </c>
      <c r="C1637" t="s">
        <v>635</v>
      </c>
      <c r="D1637" s="4">
        <v>448100</v>
      </c>
      <c r="E1637" s="4">
        <v>448100</v>
      </c>
      <c r="F1637" s="4">
        <v>896200</v>
      </c>
      <c r="H1637" s="3">
        <f t="shared" si="25"/>
        <v>0</v>
      </c>
    </row>
    <row r="1638" spans="1:8">
      <c r="A1638" t="s">
        <v>2692</v>
      </c>
      <c r="B1638" t="s">
        <v>2693</v>
      </c>
      <c r="C1638" t="s">
        <v>1001</v>
      </c>
      <c r="D1638" s="4">
        <v>179100</v>
      </c>
      <c r="E1638" s="4">
        <v>179100</v>
      </c>
      <c r="F1638" s="4">
        <v>358200</v>
      </c>
      <c r="H1638" s="3">
        <f t="shared" si="25"/>
        <v>0</v>
      </c>
    </row>
    <row r="1639" spans="1:8">
      <c r="A1639" t="s">
        <v>2730</v>
      </c>
      <c r="B1639" t="s">
        <v>2731</v>
      </c>
      <c r="C1639" t="s">
        <v>635</v>
      </c>
      <c r="D1639" s="4">
        <v>692000</v>
      </c>
      <c r="E1639" s="4">
        <v>692000</v>
      </c>
      <c r="F1639" s="4">
        <v>1384000</v>
      </c>
      <c r="H1639" s="3">
        <f t="shared" si="25"/>
        <v>0</v>
      </c>
    </row>
    <row r="1640" spans="1:8">
      <c r="A1640" t="s">
        <v>2736</v>
      </c>
      <c r="B1640" t="s">
        <v>2737</v>
      </c>
      <c r="C1640" t="s">
        <v>635</v>
      </c>
      <c r="D1640" s="4">
        <v>466100</v>
      </c>
      <c r="E1640" s="4">
        <v>466100</v>
      </c>
      <c r="F1640" s="4">
        <v>932200</v>
      </c>
      <c r="H1640" s="3">
        <f t="shared" si="25"/>
        <v>0</v>
      </c>
    </row>
    <row r="1641" spans="1:8">
      <c r="A1641" t="s">
        <v>2752</v>
      </c>
      <c r="B1641" t="s">
        <v>2753</v>
      </c>
      <c r="C1641" t="s">
        <v>635</v>
      </c>
      <c r="D1641" s="4">
        <v>368300</v>
      </c>
      <c r="E1641" s="4">
        <v>368300</v>
      </c>
      <c r="F1641" s="4">
        <v>736600</v>
      </c>
      <c r="H1641" s="3">
        <f t="shared" si="25"/>
        <v>0</v>
      </c>
    </row>
    <row r="1642" spans="1:8">
      <c r="A1642" t="s">
        <v>2772</v>
      </c>
      <c r="B1642" t="s">
        <v>2773</v>
      </c>
      <c r="C1642" t="s">
        <v>635</v>
      </c>
      <c r="D1642" s="4">
        <v>290600</v>
      </c>
      <c r="E1642" s="4">
        <v>290600</v>
      </c>
      <c r="F1642" s="4">
        <v>581200</v>
      </c>
      <c r="H1642" s="3">
        <f t="shared" si="25"/>
        <v>0</v>
      </c>
    </row>
    <row r="1643" spans="1:8">
      <c r="A1643" t="s">
        <v>2795</v>
      </c>
      <c r="B1643" t="s">
        <v>2796</v>
      </c>
      <c r="C1643" t="s">
        <v>635</v>
      </c>
      <c r="D1643" s="4">
        <v>129600</v>
      </c>
      <c r="E1643" s="4">
        <v>129600</v>
      </c>
      <c r="F1643" s="4">
        <v>259200</v>
      </c>
      <c r="H1643" s="3">
        <f t="shared" si="25"/>
        <v>0</v>
      </c>
    </row>
    <row r="1644" spans="1:8">
      <c r="A1644" t="s">
        <v>2801</v>
      </c>
      <c r="B1644" t="s">
        <v>2802</v>
      </c>
      <c r="C1644" t="s">
        <v>635</v>
      </c>
      <c r="D1644" s="4">
        <v>255400</v>
      </c>
      <c r="E1644" s="4">
        <v>255400</v>
      </c>
      <c r="F1644" s="4">
        <v>510800</v>
      </c>
      <c r="H1644" s="3">
        <f t="shared" si="25"/>
        <v>0</v>
      </c>
    </row>
    <row r="1645" spans="1:8">
      <c r="A1645" t="s">
        <v>2803</v>
      </c>
      <c r="B1645" t="s">
        <v>2804</v>
      </c>
      <c r="C1645" t="s">
        <v>635</v>
      </c>
      <c r="D1645" s="4">
        <v>334800</v>
      </c>
      <c r="E1645" s="4">
        <v>334800</v>
      </c>
      <c r="F1645" s="4">
        <v>669600</v>
      </c>
      <c r="H1645" s="3">
        <f t="shared" si="25"/>
        <v>0</v>
      </c>
    </row>
    <row r="1646" spans="1:8">
      <c r="A1646" t="s">
        <v>2805</v>
      </c>
      <c r="B1646" t="s">
        <v>2806</v>
      </c>
      <c r="C1646" t="s">
        <v>635</v>
      </c>
      <c r="D1646" s="4">
        <v>675300</v>
      </c>
      <c r="E1646" s="4">
        <v>675300</v>
      </c>
      <c r="F1646" s="4">
        <v>1350600</v>
      </c>
      <c r="H1646" s="3">
        <f t="shared" si="25"/>
        <v>0</v>
      </c>
    </row>
    <row r="1647" spans="1:8">
      <c r="A1647" t="s">
        <v>2808</v>
      </c>
      <c r="B1647" t="s">
        <v>2809</v>
      </c>
      <c r="C1647" t="s">
        <v>635</v>
      </c>
      <c r="D1647" s="4">
        <v>692000</v>
      </c>
      <c r="E1647" s="4">
        <v>692000</v>
      </c>
      <c r="F1647" s="4">
        <v>1384000</v>
      </c>
      <c r="H1647" s="3">
        <f t="shared" si="25"/>
        <v>0</v>
      </c>
    </row>
    <row r="1648" spans="1:8">
      <c r="A1648" t="s">
        <v>2824</v>
      </c>
      <c r="B1648" t="s">
        <v>2825</v>
      </c>
      <c r="C1648" t="s">
        <v>635</v>
      </c>
      <c r="D1648" s="4">
        <v>293500</v>
      </c>
      <c r="E1648" s="4">
        <v>293500</v>
      </c>
      <c r="F1648" s="4">
        <v>587000</v>
      </c>
      <c r="H1648" s="3">
        <f t="shared" si="25"/>
        <v>0</v>
      </c>
    </row>
    <row r="1649" spans="1:8">
      <c r="A1649" t="s">
        <v>2827</v>
      </c>
      <c r="B1649" t="s">
        <v>2828</v>
      </c>
      <c r="C1649" t="s">
        <v>635</v>
      </c>
      <c r="D1649" s="4">
        <v>108800</v>
      </c>
      <c r="E1649" s="4">
        <v>108800</v>
      </c>
      <c r="F1649" s="4">
        <v>217600</v>
      </c>
      <c r="H1649" s="3">
        <f t="shared" si="25"/>
        <v>0</v>
      </c>
    </row>
    <row r="1650" spans="1:8">
      <c r="A1650" t="s">
        <v>2832</v>
      </c>
      <c r="B1650" t="s">
        <v>2833</v>
      </c>
      <c r="C1650" t="s">
        <v>635</v>
      </c>
      <c r="D1650" s="4">
        <v>84000</v>
      </c>
      <c r="E1650" s="4">
        <v>84000</v>
      </c>
      <c r="F1650" s="4">
        <v>168000</v>
      </c>
      <c r="H1650" s="3">
        <f t="shared" si="25"/>
        <v>0</v>
      </c>
    </row>
    <row r="1651" spans="1:8">
      <c r="A1651" t="s">
        <v>2836</v>
      </c>
      <c r="B1651" t="s">
        <v>2837</v>
      </c>
      <c r="C1651" t="s">
        <v>635</v>
      </c>
      <c r="D1651" s="4">
        <v>1163600</v>
      </c>
      <c r="E1651" s="4">
        <v>1163600</v>
      </c>
      <c r="F1651" s="4">
        <v>2327200</v>
      </c>
      <c r="H1651" s="3">
        <f t="shared" si="25"/>
        <v>0</v>
      </c>
    </row>
    <row r="1652" spans="1:8">
      <c r="A1652" t="s">
        <v>2875</v>
      </c>
      <c r="B1652" t="s">
        <v>2876</v>
      </c>
      <c r="C1652" t="s">
        <v>635</v>
      </c>
      <c r="D1652" s="4">
        <v>334100</v>
      </c>
      <c r="E1652" s="4">
        <v>334100</v>
      </c>
      <c r="F1652" s="4">
        <v>668200</v>
      </c>
      <c r="H1652" s="3">
        <f t="shared" si="25"/>
        <v>0</v>
      </c>
    </row>
    <row r="1653" spans="1:8">
      <c r="A1653" t="s">
        <v>2883</v>
      </c>
      <c r="B1653" t="s">
        <v>2884</v>
      </c>
      <c r="C1653" t="s">
        <v>635</v>
      </c>
      <c r="D1653" s="4">
        <v>161000</v>
      </c>
      <c r="E1653" s="4">
        <v>161000</v>
      </c>
      <c r="F1653" s="4">
        <v>322000</v>
      </c>
      <c r="H1653" s="3">
        <f t="shared" si="25"/>
        <v>0</v>
      </c>
    </row>
    <row r="1654" spans="1:8">
      <c r="A1654" t="s">
        <v>2885</v>
      </c>
      <c r="B1654" t="s">
        <v>2886</v>
      </c>
      <c r="C1654" t="s">
        <v>635</v>
      </c>
      <c r="D1654" s="4">
        <v>208400</v>
      </c>
      <c r="E1654" s="4">
        <v>208400</v>
      </c>
      <c r="F1654" s="4">
        <v>416800</v>
      </c>
      <c r="H1654" s="3">
        <f t="shared" si="25"/>
        <v>0</v>
      </c>
    </row>
    <row r="1655" spans="1:8">
      <c r="A1655" t="s">
        <v>2888</v>
      </c>
      <c r="B1655" t="s">
        <v>2889</v>
      </c>
      <c r="C1655" t="s">
        <v>466</v>
      </c>
      <c r="D1655" s="4">
        <v>228200</v>
      </c>
      <c r="E1655" s="4">
        <v>228200</v>
      </c>
      <c r="F1655" s="4">
        <v>456400</v>
      </c>
      <c r="H1655" s="3">
        <f t="shared" si="25"/>
        <v>0</v>
      </c>
    </row>
    <row r="1656" spans="1:8">
      <c r="A1656" t="s">
        <v>2945</v>
      </c>
      <c r="B1656" t="s">
        <v>2946</v>
      </c>
      <c r="C1656" t="s">
        <v>749</v>
      </c>
      <c r="D1656" s="4">
        <v>72400</v>
      </c>
      <c r="E1656" s="4">
        <v>72400</v>
      </c>
      <c r="F1656" s="4">
        <v>144800</v>
      </c>
      <c r="H1656" s="3">
        <f t="shared" si="25"/>
        <v>0</v>
      </c>
    </row>
    <row r="1657" spans="1:8">
      <c r="A1657" t="s">
        <v>2952</v>
      </c>
      <c r="B1657" t="s">
        <v>2953</v>
      </c>
      <c r="C1657" t="s">
        <v>635</v>
      </c>
      <c r="D1657" s="4">
        <v>675300</v>
      </c>
      <c r="E1657" s="4">
        <v>675300</v>
      </c>
      <c r="F1657" s="4">
        <v>1350600</v>
      </c>
      <c r="H1657" s="3">
        <f t="shared" si="25"/>
        <v>0</v>
      </c>
    </row>
    <row r="1658" spans="1:8">
      <c r="A1658" t="s">
        <v>2954</v>
      </c>
      <c r="B1658" t="s">
        <v>2955</v>
      </c>
      <c r="C1658" t="s">
        <v>466</v>
      </c>
      <c r="D1658" s="4">
        <v>134600</v>
      </c>
      <c r="E1658" s="4">
        <v>134600</v>
      </c>
      <c r="F1658" s="4">
        <v>269200</v>
      </c>
      <c r="H1658" s="3">
        <f t="shared" si="25"/>
        <v>0</v>
      </c>
    </row>
    <row r="1659" spans="1:8">
      <c r="A1659" t="s">
        <v>2962</v>
      </c>
      <c r="B1659" t="s">
        <v>2963</v>
      </c>
      <c r="C1659" t="s">
        <v>635</v>
      </c>
      <c r="D1659" s="4">
        <v>336900</v>
      </c>
      <c r="E1659" s="4">
        <v>336900</v>
      </c>
      <c r="F1659" s="4">
        <v>673800</v>
      </c>
      <c r="H1659" s="3">
        <f t="shared" si="25"/>
        <v>0</v>
      </c>
    </row>
    <row r="1660" spans="1:8">
      <c r="A1660" t="s">
        <v>2977</v>
      </c>
      <c r="B1660" t="s">
        <v>2978</v>
      </c>
      <c r="C1660" t="s">
        <v>466</v>
      </c>
      <c r="D1660" s="4">
        <v>196100</v>
      </c>
      <c r="E1660" s="4">
        <v>196100</v>
      </c>
      <c r="F1660" s="4">
        <v>392200</v>
      </c>
      <c r="H1660" s="3">
        <f t="shared" si="25"/>
        <v>0</v>
      </c>
    </row>
    <row r="1661" spans="1:8">
      <c r="A1661" t="s">
        <v>2984</v>
      </c>
      <c r="B1661" t="s">
        <v>2985</v>
      </c>
      <c r="C1661" t="s">
        <v>635</v>
      </c>
      <c r="D1661" s="4">
        <v>204400</v>
      </c>
      <c r="E1661" s="4">
        <v>306500</v>
      </c>
      <c r="F1661" s="4">
        <v>510900</v>
      </c>
      <c r="H1661" s="3">
        <f t="shared" si="25"/>
        <v>-102100</v>
      </c>
    </row>
    <row r="1662" spans="1:8">
      <c r="A1662" t="s">
        <v>2991</v>
      </c>
      <c r="B1662" t="s">
        <v>2992</v>
      </c>
      <c r="C1662" t="s">
        <v>635</v>
      </c>
      <c r="D1662" s="4">
        <v>337200</v>
      </c>
      <c r="E1662" s="4">
        <v>337200</v>
      </c>
      <c r="F1662" s="4">
        <v>674400</v>
      </c>
      <c r="H1662" s="3">
        <f t="shared" si="25"/>
        <v>0</v>
      </c>
    </row>
    <row r="1663" spans="1:8">
      <c r="A1663" t="s">
        <v>2997</v>
      </c>
      <c r="B1663" t="s">
        <v>2998</v>
      </c>
      <c r="C1663" t="s">
        <v>749</v>
      </c>
      <c r="D1663" s="4">
        <v>389200</v>
      </c>
      <c r="E1663" s="4">
        <v>389200</v>
      </c>
      <c r="F1663" s="4">
        <v>778400</v>
      </c>
      <c r="H1663" s="3">
        <f t="shared" si="25"/>
        <v>0</v>
      </c>
    </row>
    <row r="1664" spans="1:8">
      <c r="A1664" t="s">
        <v>3000</v>
      </c>
      <c r="B1664" t="s">
        <v>3001</v>
      </c>
      <c r="C1664" t="s">
        <v>635</v>
      </c>
      <c r="D1664" s="4">
        <v>675300</v>
      </c>
      <c r="E1664" s="4">
        <v>675300</v>
      </c>
      <c r="F1664" s="4">
        <v>1350600</v>
      </c>
      <c r="H1664" s="3">
        <f t="shared" si="25"/>
        <v>0</v>
      </c>
    </row>
    <row r="1665" spans="1:8">
      <c r="A1665" t="s">
        <v>3010</v>
      </c>
      <c r="B1665" t="s">
        <v>3011</v>
      </c>
      <c r="C1665" t="s">
        <v>635</v>
      </c>
      <c r="D1665" s="4">
        <v>466100</v>
      </c>
      <c r="E1665" s="4">
        <v>466100</v>
      </c>
      <c r="F1665" s="4">
        <v>932200</v>
      </c>
      <c r="H1665" s="3">
        <f t="shared" si="25"/>
        <v>0</v>
      </c>
    </row>
    <row r="1666" spans="1:8">
      <c r="A1666" t="s">
        <v>3016</v>
      </c>
      <c r="B1666" t="s">
        <v>3017</v>
      </c>
      <c r="C1666" t="s">
        <v>635</v>
      </c>
      <c r="D1666" s="4">
        <v>246800</v>
      </c>
      <c r="E1666" s="4">
        <v>246800</v>
      </c>
      <c r="F1666" s="4">
        <v>493600</v>
      </c>
      <c r="H1666" s="3">
        <f t="shared" si="25"/>
        <v>0</v>
      </c>
    </row>
    <row r="1667" spans="1:8">
      <c r="A1667" t="s">
        <v>3026</v>
      </c>
      <c r="B1667" t="s">
        <v>3027</v>
      </c>
      <c r="C1667" t="s">
        <v>635</v>
      </c>
      <c r="D1667" s="4">
        <v>675300</v>
      </c>
      <c r="E1667" s="4">
        <v>675300</v>
      </c>
      <c r="F1667" s="4">
        <v>1350600</v>
      </c>
      <c r="H1667" s="3">
        <f t="shared" si="25"/>
        <v>0</v>
      </c>
    </row>
    <row r="1668" spans="1:8">
      <c r="A1668" t="s">
        <v>3039</v>
      </c>
      <c r="B1668" t="s">
        <v>3040</v>
      </c>
      <c r="C1668" t="s">
        <v>749</v>
      </c>
      <c r="D1668" s="4">
        <v>100700</v>
      </c>
      <c r="E1668" s="4">
        <v>100700</v>
      </c>
      <c r="F1668" s="4">
        <v>201400</v>
      </c>
      <c r="H1668" s="3">
        <f t="shared" si="25"/>
        <v>0</v>
      </c>
    </row>
    <row r="1669" spans="1:8">
      <c r="A1669" t="s">
        <v>1504</v>
      </c>
      <c r="B1669" t="s">
        <v>1505</v>
      </c>
      <c r="C1669" t="s">
        <v>466</v>
      </c>
      <c r="D1669" s="4">
        <v>104200</v>
      </c>
      <c r="E1669" s="4">
        <v>104200</v>
      </c>
      <c r="F1669" s="4">
        <v>208400</v>
      </c>
      <c r="H1669" s="3">
        <f t="shared" si="25"/>
        <v>0</v>
      </c>
    </row>
    <row r="1670" spans="1:8">
      <c r="A1670" t="s">
        <v>1655</v>
      </c>
      <c r="B1670" t="s">
        <v>1656</v>
      </c>
      <c r="C1670" t="s">
        <v>635</v>
      </c>
      <c r="D1670" s="4">
        <v>161000</v>
      </c>
      <c r="E1670" s="4">
        <v>161000</v>
      </c>
      <c r="F1670" s="4">
        <v>322000</v>
      </c>
      <c r="H1670" s="3">
        <f t="shared" si="25"/>
        <v>0</v>
      </c>
    </row>
    <row r="1671" spans="1:8">
      <c r="A1671" t="s">
        <v>2113</v>
      </c>
      <c r="B1671" t="s">
        <v>2114</v>
      </c>
      <c r="C1671" t="s">
        <v>635</v>
      </c>
      <c r="D1671" s="4">
        <v>72400</v>
      </c>
      <c r="E1671" s="4">
        <v>72400</v>
      </c>
      <c r="F1671" s="4">
        <v>144800</v>
      </c>
      <c r="H1671" s="3">
        <f t="shared" si="25"/>
        <v>0</v>
      </c>
    </row>
    <row r="1672" spans="1:8">
      <c r="A1672" t="s">
        <v>2145</v>
      </c>
      <c r="B1672" t="s">
        <v>2146</v>
      </c>
      <c r="C1672" t="s">
        <v>635</v>
      </c>
      <c r="D1672" s="4">
        <v>21900</v>
      </c>
      <c r="E1672" s="4">
        <v>21900</v>
      </c>
      <c r="F1672" s="4">
        <v>43800</v>
      </c>
      <c r="H1672" s="3">
        <f t="shared" si="25"/>
        <v>0</v>
      </c>
    </row>
    <row r="1673" spans="1:8">
      <c r="A1673" t="s">
        <v>2149</v>
      </c>
      <c r="B1673" t="s">
        <v>2150</v>
      </c>
      <c r="C1673" t="s">
        <v>466</v>
      </c>
      <c r="D1673" s="4">
        <v>92800</v>
      </c>
      <c r="E1673" s="4">
        <v>92800</v>
      </c>
      <c r="F1673" s="4">
        <v>185600</v>
      </c>
      <c r="H1673" s="3">
        <f t="shared" si="25"/>
        <v>0</v>
      </c>
    </row>
    <row r="1674" spans="1:8">
      <c r="A1674" t="s">
        <v>2156</v>
      </c>
      <c r="B1674" t="s">
        <v>2157</v>
      </c>
      <c r="C1674" t="s">
        <v>466</v>
      </c>
      <c r="D1674" s="4">
        <v>79700</v>
      </c>
      <c r="E1674" s="4">
        <v>79700</v>
      </c>
      <c r="F1674" s="4">
        <v>159400</v>
      </c>
      <c r="H1674" s="3">
        <f t="shared" si="25"/>
        <v>0</v>
      </c>
    </row>
    <row r="1675" spans="1:8">
      <c r="A1675" t="s">
        <v>2265</v>
      </c>
      <c r="B1675" t="s">
        <v>2266</v>
      </c>
      <c r="C1675" t="s">
        <v>466</v>
      </c>
      <c r="D1675" s="4">
        <v>112200</v>
      </c>
      <c r="E1675" s="4">
        <v>112200</v>
      </c>
      <c r="F1675" s="4">
        <v>224400</v>
      </c>
      <c r="H1675" s="3">
        <f t="shared" si="25"/>
        <v>0</v>
      </c>
    </row>
    <row r="1676" spans="1:8">
      <c r="A1676" t="s">
        <v>2390</v>
      </c>
      <c r="B1676" t="s">
        <v>2391</v>
      </c>
      <c r="C1676" t="s">
        <v>635</v>
      </c>
      <c r="D1676" s="4">
        <v>88600</v>
      </c>
      <c r="E1676" s="4">
        <v>88600</v>
      </c>
      <c r="F1676" s="4">
        <v>177200</v>
      </c>
      <c r="H1676" s="3">
        <f t="shared" si="25"/>
        <v>0</v>
      </c>
    </row>
    <row r="1677" spans="1:8">
      <c r="A1677" t="s">
        <v>2431</v>
      </c>
      <c r="B1677" t="s">
        <v>2432</v>
      </c>
      <c r="C1677" t="s">
        <v>635</v>
      </c>
      <c r="D1677" s="4">
        <v>88200</v>
      </c>
      <c r="E1677" s="4">
        <v>88200</v>
      </c>
      <c r="F1677" s="4">
        <v>176400</v>
      </c>
      <c r="H1677" s="3">
        <f t="shared" si="25"/>
        <v>0</v>
      </c>
    </row>
    <row r="1678" spans="1:8">
      <c r="A1678" t="s">
        <v>2484</v>
      </c>
      <c r="B1678" t="s">
        <v>2485</v>
      </c>
      <c r="C1678" t="s">
        <v>635</v>
      </c>
      <c r="D1678" s="4">
        <v>133200</v>
      </c>
      <c r="E1678" s="4">
        <v>133200</v>
      </c>
      <c r="F1678" s="4">
        <v>266400</v>
      </c>
      <c r="H1678" s="3">
        <f t="shared" si="25"/>
        <v>0</v>
      </c>
    </row>
    <row r="1679" spans="1:8">
      <c r="A1679" t="s">
        <v>2714</v>
      </c>
      <c r="B1679" t="s">
        <v>2715</v>
      </c>
      <c r="C1679" t="s">
        <v>466</v>
      </c>
      <c r="D1679" s="4">
        <v>98200</v>
      </c>
      <c r="E1679" s="4">
        <v>98200</v>
      </c>
      <c r="F1679" s="4">
        <v>196400</v>
      </c>
      <c r="H1679" s="3">
        <f t="shared" si="25"/>
        <v>0</v>
      </c>
    </row>
    <row r="1680" spans="1:8">
      <c r="A1680" t="s">
        <v>2812</v>
      </c>
      <c r="B1680" t="s">
        <v>2813</v>
      </c>
      <c r="C1680" t="s">
        <v>635</v>
      </c>
      <c r="D1680" s="4">
        <v>150500</v>
      </c>
      <c r="E1680" s="4">
        <v>150500</v>
      </c>
      <c r="F1680" s="4">
        <v>301000</v>
      </c>
      <c r="H1680" s="3">
        <f t="shared" si="25"/>
        <v>0</v>
      </c>
    </row>
    <row r="1681" spans="1:8">
      <c r="A1681" t="s">
        <v>1509</v>
      </c>
      <c r="B1681" t="s">
        <v>1510</v>
      </c>
      <c r="C1681" t="s">
        <v>466</v>
      </c>
      <c r="D1681" s="4">
        <v>82400</v>
      </c>
      <c r="E1681" s="4">
        <v>82400</v>
      </c>
      <c r="F1681" s="4">
        <v>164800</v>
      </c>
      <c r="H1681" s="3">
        <f t="shared" si="25"/>
        <v>0</v>
      </c>
    </row>
    <row r="1682" spans="1:8">
      <c r="A1682" t="s">
        <v>2152</v>
      </c>
      <c r="B1682" t="s">
        <v>2153</v>
      </c>
      <c r="C1682" t="s">
        <v>466</v>
      </c>
      <c r="D1682" s="4">
        <v>76800</v>
      </c>
      <c r="E1682" s="4">
        <v>76800</v>
      </c>
      <c r="F1682" s="4">
        <v>153600</v>
      </c>
      <c r="H1682" s="3">
        <f t="shared" si="25"/>
        <v>0</v>
      </c>
    </row>
    <row r="1683" spans="1:8">
      <c r="A1683" t="s">
        <v>2191</v>
      </c>
      <c r="B1683" t="s">
        <v>2192</v>
      </c>
      <c r="C1683" t="s">
        <v>466</v>
      </c>
      <c r="D1683" s="4">
        <v>80100</v>
      </c>
      <c r="E1683" s="4">
        <v>80100</v>
      </c>
      <c r="F1683" s="4">
        <v>160200</v>
      </c>
      <c r="H1683" s="3">
        <f t="shared" si="25"/>
        <v>0</v>
      </c>
    </row>
    <row r="1684" spans="1:8">
      <c r="A1684" t="s">
        <v>2195</v>
      </c>
      <c r="B1684" t="s">
        <v>2196</v>
      </c>
      <c r="C1684" t="s">
        <v>466</v>
      </c>
      <c r="D1684" s="4">
        <v>94600</v>
      </c>
      <c r="E1684" s="4">
        <v>94600</v>
      </c>
      <c r="F1684" s="4">
        <v>189200</v>
      </c>
      <c r="H1684" s="3">
        <f t="shared" si="25"/>
        <v>0</v>
      </c>
    </row>
    <row r="1685" spans="1:8">
      <c r="A1685" t="s">
        <v>2203</v>
      </c>
      <c r="B1685" t="s">
        <v>2204</v>
      </c>
      <c r="C1685" t="s">
        <v>466</v>
      </c>
      <c r="D1685" s="4">
        <v>80100</v>
      </c>
      <c r="E1685" s="4">
        <v>80100</v>
      </c>
      <c r="F1685" s="4">
        <v>160200</v>
      </c>
      <c r="H1685" s="3">
        <f t="shared" si="25"/>
        <v>0</v>
      </c>
    </row>
    <row r="1686" spans="1:8">
      <c r="A1686" t="s">
        <v>2213</v>
      </c>
      <c r="B1686" t="s">
        <v>2214</v>
      </c>
      <c r="C1686" t="s">
        <v>466</v>
      </c>
      <c r="D1686" s="4">
        <v>82800</v>
      </c>
      <c r="E1686" s="4">
        <v>82800</v>
      </c>
      <c r="F1686" s="4">
        <v>165600</v>
      </c>
      <c r="H1686" s="3">
        <f t="shared" si="25"/>
        <v>0</v>
      </c>
    </row>
    <row r="1687" spans="1:8">
      <c r="A1687" t="s">
        <v>2224</v>
      </c>
      <c r="B1687" t="s">
        <v>2225</v>
      </c>
      <c r="C1687" t="s">
        <v>466</v>
      </c>
      <c r="D1687" s="4">
        <v>92800</v>
      </c>
      <c r="E1687" s="4">
        <v>92800</v>
      </c>
      <c r="F1687" s="4">
        <v>185600</v>
      </c>
      <c r="H1687" s="3">
        <f t="shared" si="25"/>
        <v>0</v>
      </c>
    </row>
    <row r="1688" spans="1:8">
      <c r="A1688" t="s">
        <v>2272</v>
      </c>
      <c r="B1688" t="s">
        <v>2273</v>
      </c>
      <c r="C1688" t="s">
        <v>466</v>
      </c>
      <c r="D1688" s="4">
        <v>87300</v>
      </c>
      <c r="E1688" s="4">
        <v>87300</v>
      </c>
      <c r="F1688" s="4">
        <v>174600</v>
      </c>
      <c r="H1688" s="3">
        <f t="shared" si="25"/>
        <v>0</v>
      </c>
    </row>
    <row r="1689" spans="1:8">
      <c r="A1689" t="s">
        <v>2434</v>
      </c>
      <c r="B1689" t="s">
        <v>2435</v>
      </c>
      <c r="C1689" t="s">
        <v>635</v>
      </c>
      <c r="D1689" s="4">
        <v>119900</v>
      </c>
      <c r="E1689" s="4">
        <v>119900</v>
      </c>
      <c r="F1689" s="4">
        <v>239800</v>
      </c>
      <c r="H1689" s="3">
        <f t="shared" si="25"/>
        <v>0</v>
      </c>
    </row>
    <row r="1690" spans="1:8">
      <c r="A1690" t="s">
        <v>2462</v>
      </c>
      <c r="B1690" t="s">
        <v>2463</v>
      </c>
      <c r="C1690" t="s">
        <v>466</v>
      </c>
      <c r="D1690" s="4">
        <v>95000</v>
      </c>
      <c r="E1690" s="4">
        <v>95000</v>
      </c>
      <c r="F1690" s="4">
        <v>190000</v>
      </c>
      <c r="H1690" s="3">
        <f t="shared" si="25"/>
        <v>0</v>
      </c>
    </row>
    <row r="1691" spans="1:8">
      <c r="A1691" t="s">
        <v>2473</v>
      </c>
      <c r="B1691" t="s">
        <v>2474</v>
      </c>
      <c r="C1691" t="s">
        <v>466</v>
      </c>
      <c r="D1691" s="4">
        <v>102200</v>
      </c>
      <c r="E1691" s="4">
        <v>102200</v>
      </c>
      <c r="F1691" s="4">
        <v>204400</v>
      </c>
      <c r="H1691" s="3">
        <f t="shared" si="25"/>
        <v>0</v>
      </c>
    </row>
    <row r="1692" spans="1:8">
      <c r="A1692" t="s">
        <v>2747</v>
      </c>
      <c r="B1692" t="s">
        <v>2748</v>
      </c>
      <c r="C1692" t="s">
        <v>466</v>
      </c>
      <c r="D1692" s="4">
        <v>216400</v>
      </c>
      <c r="E1692" s="4">
        <v>216400</v>
      </c>
      <c r="F1692" s="4">
        <v>432800</v>
      </c>
      <c r="H1692" s="3">
        <f t="shared" si="25"/>
        <v>0</v>
      </c>
    </row>
    <row r="1693" spans="1:8">
      <c r="A1693" t="s">
        <v>2820</v>
      </c>
      <c r="B1693" t="s">
        <v>2821</v>
      </c>
      <c r="C1693" t="s">
        <v>466</v>
      </c>
      <c r="D1693" s="4">
        <v>184600</v>
      </c>
      <c r="E1693" s="4">
        <v>184600</v>
      </c>
      <c r="F1693" s="4">
        <v>369200</v>
      </c>
      <c r="H1693" s="3">
        <f t="shared" si="25"/>
        <v>0</v>
      </c>
    </row>
    <row r="1694" spans="1:8">
      <c r="A1694" t="s">
        <v>2877</v>
      </c>
      <c r="B1694" t="s">
        <v>2878</v>
      </c>
      <c r="C1694" t="s">
        <v>635</v>
      </c>
      <c r="D1694" s="4">
        <v>110900</v>
      </c>
      <c r="E1694" s="4">
        <v>110900</v>
      </c>
      <c r="F1694" s="4">
        <v>221800</v>
      </c>
      <c r="H1694" s="3">
        <f t="shared" ref="H1694:H1757" si="26">+D1694-E1694</f>
        <v>0</v>
      </c>
    </row>
    <row r="1695" spans="1:8">
      <c r="A1695" t="s">
        <v>1533</v>
      </c>
      <c r="B1695" t="s">
        <v>1534</v>
      </c>
      <c r="C1695" t="s">
        <v>466</v>
      </c>
      <c r="D1695" s="4">
        <v>74400</v>
      </c>
      <c r="E1695" s="4">
        <v>74400</v>
      </c>
      <c r="F1695" s="4">
        <v>148800</v>
      </c>
      <c r="H1695" s="3">
        <f t="shared" si="26"/>
        <v>0</v>
      </c>
    </row>
    <row r="1696" spans="1:8">
      <c r="A1696" t="s">
        <v>1538</v>
      </c>
      <c r="B1696" t="s">
        <v>1539</v>
      </c>
      <c r="C1696" t="s">
        <v>466</v>
      </c>
      <c r="D1696" s="4">
        <v>81500</v>
      </c>
      <c r="E1696" s="4">
        <v>81500</v>
      </c>
      <c r="F1696" s="4">
        <v>163000</v>
      </c>
      <c r="H1696" s="3">
        <f t="shared" si="26"/>
        <v>0</v>
      </c>
    </row>
    <row r="1697" spans="1:8">
      <c r="A1697" t="s">
        <v>1559</v>
      </c>
      <c r="B1697" t="s">
        <v>1560</v>
      </c>
      <c r="C1697" t="s">
        <v>466</v>
      </c>
      <c r="D1697" s="4">
        <v>100200</v>
      </c>
      <c r="E1697" s="4">
        <v>100200</v>
      </c>
      <c r="F1697" s="4">
        <v>200400</v>
      </c>
      <c r="H1697" s="3">
        <f t="shared" si="26"/>
        <v>0</v>
      </c>
    </row>
    <row r="1698" spans="1:8">
      <c r="A1698" t="s">
        <v>1641</v>
      </c>
      <c r="B1698" t="s">
        <v>1642</v>
      </c>
      <c r="C1698" t="s">
        <v>466</v>
      </c>
      <c r="D1698" s="4">
        <v>227100</v>
      </c>
      <c r="E1698" s="4">
        <v>227100</v>
      </c>
      <c r="F1698" s="4">
        <v>454200</v>
      </c>
      <c r="H1698" s="3">
        <f t="shared" si="26"/>
        <v>0</v>
      </c>
    </row>
    <row r="1699" spans="1:8">
      <c r="A1699" t="s">
        <v>1820</v>
      </c>
      <c r="B1699" t="s">
        <v>1821</v>
      </c>
      <c r="C1699" t="s">
        <v>466</v>
      </c>
      <c r="D1699" s="4">
        <v>144900</v>
      </c>
      <c r="E1699" s="4">
        <v>144900</v>
      </c>
      <c r="F1699" s="4">
        <v>289800</v>
      </c>
      <c r="H1699" s="3">
        <f t="shared" si="26"/>
        <v>0</v>
      </c>
    </row>
    <row r="1700" spans="1:8">
      <c r="A1700" t="s">
        <v>1831</v>
      </c>
      <c r="B1700" t="s">
        <v>1832</v>
      </c>
      <c r="C1700" t="s">
        <v>466</v>
      </c>
      <c r="D1700" s="4">
        <v>151600</v>
      </c>
      <c r="E1700" s="4">
        <v>151600</v>
      </c>
      <c r="F1700" s="4">
        <v>303200</v>
      </c>
      <c r="H1700" s="3">
        <f t="shared" si="26"/>
        <v>0</v>
      </c>
    </row>
    <row r="1701" spans="1:8">
      <c r="A1701" t="s">
        <v>1934</v>
      </c>
      <c r="B1701" t="s">
        <v>1935</v>
      </c>
      <c r="C1701" t="s">
        <v>466</v>
      </c>
      <c r="D1701" s="4">
        <v>129500</v>
      </c>
      <c r="E1701" s="4">
        <v>129500</v>
      </c>
      <c r="F1701" s="4">
        <v>259000</v>
      </c>
      <c r="H1701" s="3">
        <f t="shared" si="26"/>
        <v>0</v>
      </c>
    </row>
    <row r="1702" spans="1:8">
      <c r="A1702" t="s">
        <v>2173</v>
      </c>
      <c r="B1702" t="s">
        <v>2174</v>
      </c>
      <c r="C1702" t="s">
        <v>466</v>
      </c>
      <c r="D1702" s="4">
        <v>98200</v>
      </c>
      <c r="E1702" s="4"/>
      <c r="F1702" s="4">
        <v>98200</v>
      </c>
      <c r="H1702" s="3">
        <f t="shared" si="26"/>
        <v>98200</v>
      </c>
    </row>
    <row r="1703" spans="1:8">
      <c r="B1703" t="s">
        <v>3058</v>
      </c>
      <c r="C1703" t="s">
        <v>466</v>
      </c>
      <c r="D1703" s="4"/>
      <c r="E1703" s="4">
        <v>98200</v>
      </c>
      <c r="F1703" s="4">
        <v>98200</v>
      </c>
      <c r="H1703" s="3">
        <f t="shared" si="26"/>
        <v>-98200</v>
      </c>
    </row>
    <row r="1704" spans="1:8">
      <c r="A1704" t="s">
        <v>2184</v>
      </c>
      <c r="B1704" t="s">
        <v>2185</v>
      </c>
      <c r="C1704" t="s">
        <v>466</v>
      </c>
      <c r="D1704" s="4">
        <v>78000</v>
      </c>
      <c r="E1704" s="4">
        <v>78000</v>
      </c>
      <c r="F1704" s="4">
        <v>156000</v>
      </c>
      <c r="H1704" s="3">
        <f t="shared" si="26"/>
        <v>0</v>
      </c>
    </row>
    <row r="1705" spans="1:8">
      <c r="A1705" t="s">
        <v>2360</v>
      </c>
      <c r="B1705" t="s">
        <v>2361</v>
      </c>
      <c r="C1705" t="s">
        <v>466</v>
      </c>
      <c r="D1705" s="4">
        <v>86800</v>
      </c>
      <c r="E1705" s="4">
        <v>86800</v>
      </c>
      <c r="F1705" s="4">
        <v>173600</v>
      </c>
      <c r="H1705" s="3">
        <f t="shared" si="26"/>
        <v>0</v>
      </c>
    </row>
    <row r="1706" spans="1:8">
      <c r="A1706" t="s">
        <v>2371</v>
      </c>
      <c r="B1706" t="s">
        <v>2372</v>
      </c>
      <c r="C1706" t="s">
        <v>466</v>
      </c>
      <c r="D1706" s="4">
        <v>86000</v>
      </c>
      <c r="E1706" s="4">
        <v>86000</v>
      </c>
      <c r="F1706" s="4">
        <v>172000</v>
      </c>
      <c r="H1706" s="3">
        <f t="shared" si="26"/>
        <v>0</v>
      </c>
    </row>
    <row r="1707" spans="1:8">
      <c r="A1707" t="s">
        <v>2376</v>
      </c>
      <c r="B1707" t="s">
        <v>2377</v>
      </c>
      <c r="C1707" t="s">
        <v>466</v>
      </c>
      <c r="D1707" s="4">
        <v>11900</v>
      </c>
      <c r="E1707" s="4">
        <v>11900</v>
      </c>
      <c r="F1707" s="4">
        <v>23800</v>
      </c>
      <c r="H1707" s="3">
        <f t="shared" si="26"/>
        <v>0</v>
      </c>
    </row>
    <row r="1708" spans="1:8">
      <c r="A1708" t="s">
        <v>2384</v>
      </c>
      <c r="B1708" t="s">
        <v>2385</v>
      </c>
      <c r="C1708" t="s">
        <v>466</v>
      </c>
      <c r="D1708" s="4">
        <v>79100</v>
      </c>
      <c r="E1708" s="4">
        <v>79100</v>
      </c>
      <c r="F1708" s="4">
        <v>158200</v>
      </c>
      <c r="H1708" s="3">
        <f t="shared" si="26"/>
        <v>0</v>
      </c>
    </row>
    <row r="1709" spans="1:8">
      <c r="A1709" t="s">
        <v>2388</v>
      </c>
      <c r="B1709" t="s">
        <v>2389</v>
      </c>
      <c r="C1709" t="s">
        <v>466</v>
      </c>
      <c r="D1709" s="4">
        <v>86400</v>
      </c>
      <c r="E1709" s="4">
        <v>86400</v>
      </c>
      <c r="F1709" s="4">
        <v>172800</v>
      </c>
      <c r="H1709" s="3">
        <f t="shared" si="26"/>
        <v>0</v>
      </c>
    </row>
    <row r="1710" spans="1:8">
      <c r="A1710" t="s">
        <v>2401</v>
      </c>
      <c r="B1710" t="s">
        <v>2402</v>
      </c>
      <c r="C1710" t="s">
        <v>466</v>
      </c>
      <c r="D1710" s="4">
        <v>81600</v>
      </c>
      <c r="E1710" s="4">
        <v>81600</v>
      </c>
      <c r="F1710" s="4">
        <v>163200</v>
      </c>
      <c r="H1710" s="3">
        <f t="shared" si="26"/>
        <v>0</v>
      </c>
    </row>
    <row r="1711" spans="1:8">
      <c r="A1711" t="s">
        <v>2466</v>
      </c>
      <c r="B1711" t="s">
        <v>2467</v>
      </c>
      <c r="C1711" t="s">
        <v>466</v>
      </c>
      <c r="D1711" s="4">
        <v>104500</v>
      </c>
      <c r="E1711" s="4">
        <v>104500</v>
      </c>
      <c r="F1711" s="4">
        <v>209000</v>
      </c>
      <c r="H1711" s="3">
        <f t="shared" si="26"/>
        <v>0</v>
      </c>
    </row>
    <row r="1712" spans="1:8">
      <c r="A1712" t="s">
        <v>2542</v>
      </c>
      <c r="B1712" t="s">
        <v>2543</v>
      </c>
      <c r="C1712" t="s">
        <v>466</v>
      </c>
      <c r="D1712" s="4">
        <v>84500</v>
      </c>
      <c r="E1712" s="4">
        <v>84500</v>
      </c>
      <c r="F1712" s="4">
        <v>169000</v>
      </c>
      <c r="H1712" s="3">
        <f t="shared" si="26"/>
        <v>0</v>
      </c>
    </row>
    <row r="1713" spans="1:8">
      <c r="A1713" t="s">
        <v>2589</v>
      </c>
      <c r="B1713" t="s">
        <v>2590</v>
      </c>
      <c r="C1713" t="s">
        <v>466</v>
      </c>
      <c r="D1713" s="4">
        <v>90800</v>
      </c>
      <c r="E1713" s="4">
        <v>90800</v>
      </c>
      <c r="F1713" s="4">
        <v>181600</v>
      </c>
      <c r="H1713" s="3">
        <f t="shared" si="26"/>
        <v>0</v>
      </c>
    </row>
    <row r="1714" spans="1:8">
      <c r="A1714" t="s">
        <v>2912</v>
      </c>
      <c r="B1714" t="s">
        <v>2913</v>
      </c>
      <c r="C1714" t="s">
        <v>466</v>
      </c>
      <c r="D1714" s="4">
        <v>121600</v>
      </c>
      <c r="E1714" s="4">
        <v>121600</v>
      </c>
      <c r="F1714" s="4">
        <v>243200</v>
      </c>
      <c r="H1714" s="3">
        <f t="shared" si="26"/>
        <v>0</v>
      </c>
    </row>
    <row r="1715" spans="1:8">
      <c r="A1715" t="s">
        <v>3012</v>
      </c>
      <c r="B1715" t="s">
        <v>3013</v>
      </c>
      <c r="C1715" t="s">
        <v>635</v>
      </c>
      <c r="D1715" s="4">
        <v>197500</v>
      </c>
      <c r="E1715" s="4">
        <v>197500</v>
      </c>
      <c r="F1715" s="4">
        <v>395000</v>
      </c>
      <c r="H1715" s="3">
        <f t="shared" si="26"/>
        <v>0</v>
      </c>
    </row>
    <row r="1716" spans="1:8">
      <c r="A1716" t="s">
        <v>1564</v>
      </c>
      <c r="B1716" t="s">
        <v>1565</v>
      </c>
      <c r="C1716" t="s">
        <v>466</v>
      </c>
      <c r="D1716" s="4">
        <v>98200</v>
      </c>
      <c r="E1716" s="4">
        <v>98200</v>
      </c>
      <c r="F1716" s="4">
        <v>196400</v>
      </c>
      <c r="H1716" s="3">
        <f t="shared" si="26"/>
        <v>0</v>
      </c>
    </row>
    <row r="1717" spans="1:8">
      <c r="A1717" t="s">
        <v>1946</v>
      </c>
      <c r="B1717" t="s">
        <v>1947</v>
      </c>
      <c r="C1717" t="s">
        <v>466</v>
      </c>
      <c r="D1717" s="4">
        <v>103100</v>
      </c>
      <c r="E1717" s="4">
        <v>103100</v>
      </c>
      <c r="F1717" s="4">
        <v>206200</v>
      </c>
      <c r="H1717" s="3">
        <f t="shared" si="26"/>
        <v>0</v>
      </c>
    </row>
    <row r="1718" spans="1:8">
      <c r="A1718" t="s">
        <v>2166</v>
      </c>
      <c r="B1718" t="s">
        <v>2167</v>
      </c>
      <c r="C1718" t="s">
        <v>466</v>
      </c>
      <c r="D1718" s="4">
        <v>77400</v>
      </c>
      <c r="E1718" s="4">
        <v>77400</v>
      </c>
      <c r="F1718" s="4">
        <v>154800</v>
      </c>
      <c r="H1718" s="3">
        <f t="shared" si="26"/>
        <v>0</v>
      </c>
    </row>
    <row r="1719" spans="1:8">
      <c r="A1719" t="s">
        <v>2216</v>
      </c>
      <c r="B1719" t="s">
        <v>2217</v>
      </c>
      <c r="C1719" t="s">
        <v>466</v>
      </c>
      <c r="D1719" s="4">
        <v>98200</v>
      </c>
      <c r="E1719" s="4">
        <v>98200</v>
      </c>
      <c r="F1719" s="4">
        <v>196400</v>
      </c>
      <c r="H1719" s="3">
        <f t="shared" si="26"/>
        <v>0</v>
      </c>
    </row>
    <row r="1720" spans="1:8">
      <c r="A1720" t="s">
        <v>2327</v>
      </c>
      <c r="B1720" t="s">
        <v>2328</v>
      </c>
      <c r="C1720" t="s">
        <v>635</v>
      </c>
      <c r="D1720" s="4">
        <v>153400</v>
      </c>
      <c r="E1720" s="4">
        <v>153400</v>
      </c>
      <c r="F1720" s="4">
        <v>306800</v>
      </c>
      <c r="H1720" s="3">
        <f t="shared" si="26"/>
        <v>0</v>
      </c>
    </row>
    <row r="1721" spans="1:8">
      <c r="A1721" t="s">
        <v>3069</v>
      </c>
      <c r="B1721" t="s">
        <v>3070</v>
      </c>
      <c r="C1721" t="s">
        <v>25</v>
      </c>
      <c r="D1721" s="4"/>
      <c r="E1721" s="4">
        <v>0</v>
      </c>
      <c r="F1721" s="4">
        <v>0</v>
      </c>
      <c r="H1721" s="3">
        <f t="shared" si="26"/>
        <v>0</v>
      </c>
    </row>
    <row r="1722" spans="1:8">
      <c r="A1722" t="s">
        <v>1475</v>
      </c>
      <c r="B1722" t="s">
        <v>1476</v>
      </c>
      <c r="C1722" t="s">
        <v>466</v>
      </c>
      <c r="D1722" s="4">
        <v>79000</v>
      </c>
      <c r="E1722" s="4">
        <v>79000</v>
      </c>
      <c r="F1722" s="4">
        <v>158000</v>
      </c>
      <c r="H1722" s="3">
        <f t="shared" si="26"/>
        <v>0</v>
      </c>
    </row>
    <row r="1723" spans="1:8">
      <c r="A1723" t="s">
        <v>1520</v>
      </c>
      <c r="B1723" t="s">
        <v>1521</v>
      </c>
      <c r="C1723" t="s">
        <v>466</v>
      </c>
      <c r="D1723" s="4">
        <v>84500</v>
      </c>
      <c r="E1723" s="4">
        <v>84500</v>
      </c>
      <c r="F1723" s="4">
        <v>169000</v>
      </c>
      <c r="H1723" s="3">
        <f t="shared" si="26"/>
        <v>0</v>
      </c>
    </row>
    <row r="1724" spans="1:8">
      <c r="A1724" t="s">
        <v>1524</v>
      </c>
      <c r="B1724" t="s">
        <v>1525</v>
      </c>
      <c r="C1724" t="s">
        <v>466</v>
      </c>
      <c r="D1724" s="4">
        <v>89500</v>
      </c>
      <c r="E1724" s="4">
        <v>89500</v>
      </c>
      <c r="F1724" s="4">
        <v>179000</v>
      </c>
      <c r="H1724" s="3">
        <f t="shared" si="26"/>
        <v>0</v>
      </c>
    </row>
    <row r="1725" spans="1:8">
      <c r="A1725" t="s">
        <v>1528</v>
      </c>
      <c r="B1725" t="s">
        <v>1529</v>
      </c>
      <c r="C1725" t="s">
        <v>466</v>
      </c>
      <c r="D1725" s="4">
        <v>82800</v>
      </c>
      <c r="E1725" s="4">
        <v>82800</v>
      </c>
      <c r="F1725" s="4">
        <v>165600</v>
      </c>
      <c r="H1725" s="3">
        <f t="shared" si="26"/>
        <v>0</v>
      </c>
    </row>
    <row r="1726" spans="1:8">
      <c r="A1726" t="s">
        <v>1544</v>
      </c>
      <c r="B1726" t="s">
        <v>1545</v>
      </c>
      <c r="C1726" t="s">
        <v>466</v>
      </c>
      <c r="D1726" s="4">
        <v>79400</v>
      </c>
      <c r="E1726" s="4">
        <v>79400</v>
      </c>
      <c r="F1726" s="4">
        <v>158800</v>
      </c>
      <c r="H1726" s="3">
        <f t="shared" si="26"/>
        <v>0</v>
      </c>
    </row>
    <row r="1727" spans="1:8">
      <c r="A1727" t="s">
        <v>1549</v>
      </c>
      <c r="B1727" t="s">
        <v>1550</v>
      </c>
      <c r="C1727" t="s">
        <v>466</v>
      </c>
      <c r="D1727" s="4">
        <v>111300</v>
      </c>
      <c r="E1727" s="4">
        <v>111300</v>
      </c>
      <c r="F1727" s="4">
        <v>222600</v>
      </c>
      <c r="H1727" s="3">
        <f t="shared" si="26"/>
        <v>0</v>
      </c>
    </row>
    <row r="1728" spans="1:8">
      <c r="A1728" t="s">
        <v>1774</v>
      </c>
      <c r="B1728" t="s">
        <v>1775</v>
      </c>
      <c r="C1728" t="s">
        <v>466</v>
      </c>
      <c r="D1728" s="4">
        <v>91500</v>
      </c>
      <c r="E1728" s="4">
        <v>91500</v>
      </c>
      <c r="F1728" s="4">
        <v>183000</v>
      </c>
      <c r="H1728" s="3">
        <f t="shared" si="26"/>
        <v>0</v>
      </c>
    </row>
    <row r="1729" spans="1:8">
      <c r="A1729" t="s">
        <v>1841</v>
      </c>
      <c r="B1729" t="s">
        <v>1842</v>
      </c>
      <c r="C1729" t="s">
        <v>466</v>
      </c>
      <c r="D1729" s="4">
        <v>100200</v>
      </c>
      <c r="E1729" s="4">
        <v>100200</v>
      </c>
      <c r="F1729" s="4">
        <v>200400</v>
      </c>
      <c r="H1729" s="3">
        <f t="shared" si="26"/>
        <v>0</v>
      </c>
    </row>
    <row r="1730" spans="1:8">
      <c r="A1730" t="s">
        <v>1846</v>
      </c>
      <c r="B1730" t="s">
        <v>1847</v>
      </c>
      <c r="C1730" t="s">
        <v>466</v>
      </c>
      <c r="D1730" s="4">
        <v>170700</v>
      </c>
      <c r="E1730" s="4">
        <v>170700</v>
      </c>
      <c r="F1730" s="4">
        <v>341400</v>
      </c>
      <c r="H1730" s="3">
        <f t="shared" si="26"/>
        <v>0</v>
      </c>
    </row>
    <row r="1731" spans="1:8">
      <c r="A1731" t="s">
        <v>1889</v>
      </c>
      <c r="B1731" t="s">
        <v>1890</v>
      </c>
      <c r="C1731" t="s">
        <v>466</v>
      </c>
      <c r="D1731" s="4">
        <v>166100</v>
      </c>
      <c r="E1731" s="4">
        <v>166100</v>
      </c>
      <c r="F1731" s="4">
        <v>332200</v>
      </c>
      <c r="H1731" s="3">
        <f t="shared" si="26"/>
        <v>0</v>
      </c>
    </row>
    <row r="1732" spans="1:8">
      <c r="A1732" t="s">
        <v>1898</v>
      </c>
      <c r="B1732" t="s">
        <v>1899</v>
      </c>
      <c r="C1732" t="s">
        <v>635</v>
      </c>
      <c r="D1732" s="4">
        <v>145600</v>
      </c>
      <c r="E1732" s="4">
        <v>145600</v>
      </c>
      <c r="F1732" s="4">
        <v>291200</v>
      </c>
      <c r="H1732" s="3">
        <f t="shared" si="26"/>
        <v>0</v>
      </c>
    </row>
    <row r="1733" spans="1:8">
      <c r="A1733" t="s">
        <v>2003</v>
      </c>
      <c r="B1733" t="s">
        <v>2004</v>
      </c>
      <c r="C1733" t="s">
        <v>635</v>
      </c>
      <c r="D1733" s="4">
        <v>116200</v>
      </c>
      <c r="E1733" s="4">
        <v>116200</v>
      </c>
      <c r="F1733" s="4">
        <v>232400</v>
      </c>
      <c r="H1733" s="3">
        <f t="shared" si="26"/>
        <v>0</v>
      </c>
    </row>
    <row r="1734" spans="1:8">
      <c r="A1734" t="s">
        <v>2200</v>
      </c>
      <c r="B1734" t="s">
        <v>2201</v>
      </c>
      <c r="C1734" t="s">
        <v>466</v>
      </c>
      <c r="D1734" s="4">
        <v>83900</v>
      </c>
      <c r="E1734" s="4">
        <v>83900</v>
      </c>
      <c r="F1734" s="4">
        <v>167800</v>
      </c>
      <c r="H1734" s="3">
        <f t="shared" si="26"/>
        <v>0</v>
      </c>
    </row>
    <row r="1735" spans="1:8">
      <c r="A1735" t="s">
        <v>2231</v>
      </c>
      <c r="B1735" t="s">
        <v>2232</v>
      </c>
      <c r="C1735" t="s">
        <v>466</v>
      </c>
      <c r="D1735" s="4">
        <v>84800</v>
      </c>
      <c r="E1735" s="4">
        <v>84800</v>
      </c>
      <c r="F1735" s="4">
        <v>169600</v>
      </c>
      <c r="H1735" s="3">
        <f t="shared" si="26"/>
        <v>0</v>
      </c>
    </row>
    <row r="1736" spans="1:8">
      <c r="A1736" t="s">
        <v>2300</v>
      </c>
      <c r="B1736" t="s">
        <v>2301</v>
      </c>
      <c r="C1736" t="s">
        <v>635</v>
      </c>
      <c r="D1736" s="4">
        <v>127000</v>
      </c>
      <c r="E1736" s="4">
        <v>127000</v>
      </c>
      <c r="F1736" s="4">
        <v>254000</v>
      </c>
      <c r="H1736" s="3">
        <f t="shared" si="26"/>
        <v>0</v>
      </c>
    </row>
    <row r="1737" spans="1:8">
      <c r="A1737" t="s">
        <v>2317</v>
      </c>
      <c r="B1737" t="s">
        <v>2318</v>
      </c>
      <c r="C1737" t="s">
        <v>635</v>
      </c>
      <c r="D1737" s="4">
        <v>107200</v>
      </c>
      <c r="E1737" s="4">
        <v>107200</v>
      </c>
      <c r="F1737" s="4">
        <v>214400</v>
      </c>
      <c r="H1737" s="3">
        <f t="shared" si="26"/>
        <v>0</v>
      </c>
    </row>
    <row r="1738" spans="1:8">
      <c r="A1738" t="s">
        <v>2324</v>
      </c>
      <c r="B1738" t="s">
        <v>2325</v>
      </c>
      <c r="C1738" t="s">
        <v>635</v>
      </c>
      <c r="D1738" s="4">
        <v>165800</v>
      </c>
      <c r="E1738" s="4">
        <v>165800</v>
      </c>
      <c r="F1738" s="4">
        <v>331600</v>
      </c>
      <c r="H1738" s="3">
        <f t="shared" si="26"/>
        <v>0</v>
      </c>
    </row>
    <row r="1739" spans="1:8">
      <c r="A1739" t="s">
        <v>2330</v>
      </c>
      <c r="B1739" t="s">
        <v>2331</v>
      </c>
      <c r="C1739" t="s">
        <v>635</v>
      </c>
      <c r="D1739" s="4">
        <v>114100</v>
      </c>
      <c r="E1739" s="4">
        <v>114100</v>
      </c>
      <c r="F1739" s="4">
        <v>228200</v>
      </c>
      <c r="H1739" s="3">
        <f t="shared" si="26"/>
        <v>0</v>
      </c>
    </row>
    <row r="1740" spans="1:8">
      <c r="A1740" t="s">
        <v>2357</v>
      </c>
      <c r="B1740" t="s">
        <v>2358</v>
      </c>
      <c r="C1740" t="s">
        <v>466</v>
      </c>
      <c r="D1740" s="4">
        <v>76000</v>
      </c>
      <c r="E1740" s="4">
        <v>76000</v>
      </c>
      <c r="F1740" s="4">
        <v>152000</v>
      </c>
      <c r="H1740" s="3">
        <f t="shared" si="26"/>
        <v>0</v>
      </c>
    </row>
    <row r="1741" spans="1:8">
      <c r="A1741" t="s">
        <v>2365</v>
      </c>
      <c r="B1741" t="s">
        <v>2366</v>
      </c>
      <c r="C1741" t="s">
        <v>466</v>
      </c>
      <c r="D1741" s="4">
        <v>132000</v>
      </c>
      <c r="E1741" s="4">
        <v>132000</v>
      </c>
      <c r="F1741" s="4">
        <v>264000</v>
      </c>
      <c r="H1741" s="3">
        <f t="shared" si="26"/>
        <v>0</v>
      </c>
    </row>
    <row r="1742" spans="1:8">
      <c r="A1742" t="s">
        <v>2367</v>
      </c>
      <c r="B1742" t="s">
        <v>2368</v>
      </c>
      <c r="C1742" t="s">
        <v>466</v>
      </c>
      <c r="D1742" s="4">
        <v>82200</v>
      </c>
      <c r="E1742" s="4">
        <v>82200</v>
      </c>
      <c r="F1742" s="4">
        <v>164400</v>
      </c>
      <c r="H1742" s="3">
        <f t="shared" si="26"/>
        <v>0</v>
      </c>
    </row>
    <row r="1743" spans="1:8">
      <c r="A1743" t="s">
        <v>2444</v>
      </c>
      <c r="B1743" t="s">
        <v>2445</v>
      </c>
      <c r="C1743" t="s">
        <v>466</v>
      </c>
      <c r="D1743" s="4">
        <v>82800</v>
      </c>
      <c r="E1743" s="4">
        <v>82800</v>
      </c>
      <c r="F1743" s="4">
        <v>165600</v>
      </c>
      <c r="H1743" s="3">
        <f t="shared" si="26"/>
        <v>0</v>
      </c>
    </row>
    <row r="1744" spans="1:8">
      <c r="A1744" t="s">
        <v>2451</v>
      </c>
      <c r="B1744" t="s">
        <v>2452</v>
      </c>
      <c r="C1744" t="s">
        <v>466</v>
      </c>
      <c r="D1744" s="4">
        <v>81300</v>
      </c>
      <c r="E1744" s="4">
        <v>81300</v>
      </c>
      <c r="F1744" s="4">
        <v>162600</v>
      </c>
      <c r="H1744" s="3">
        <f t="shared" si="26"/>
        <v>0</v>
      </c>
    </row>
    <row r="1745" spans="1:8">
      <c r="A1745" t="s">
        <v>2453</v>
      </c>
      <c r="B1745" t="s">
        <v>2454</v>
      </c>
      <c r="C1745" t="s">
        <v>635</v>
      </c>
      <c r="D1745" s="4">
        <v>180300</v>
      </c>
      <c r="E1745" s="4">
        <v>180300</v>
      </c>
      <c r="F1745" s="4">
        <v>360600</v>
      </c>
      <c r="H1745" s="3">
        <f t="shared" si="26"/>
        <v>0</v>
      </c>
    </row>
    <row r="1746" spans="1:8">
      <c r="A1746" t="s">
        <v>2643</v>
      </c>
      <c r="B1746" t="s">
        <v>2644</v>
      </c>
      <c r="C1746" t="s">
        <v>466</v>
      </c>
      <c r="D1746" s="4">
        <v>149100</v>
      </c>
      <c r="E1746" s="4">
        <v>149100</v>
      </c>
      <c r="F1746" s="4">
        <v>298200</v>
      </c>
      <c r="H1746" s="3">
        <f t="shared" si="26"/>
        <v>0</v>
      </c>
    </row>
    <row r="1747" spans="1:8">
      <c r="A1747" t="s">
        <v>2663</v>
      </c>
      <c r="B1747" t="s">
        <v>2664</v>
      </c>
      <c r="C1747" t="s">
        <v>635</v>
      </c>
      <c r="D1747" s="4">
        <v>277400</v>
      </c>
      <c r="E1747" s="4">
        <v>277400</v>
      </c>
      <c r="F1747" s="4">
        <v>554800</v>
      </c>
      <c r="H1747" s="3">
        <f t="shared" si="26"/>
        <v>0</v>
      </c>
    </row>
    <row r="1748" spans="1:8">
      <c r="A1748" t="s">
        <v>2705</v>
      </c>
      <c r="B1748" t="s">
        <v>2706</v>
      </c>
      <c r="C1748" t="s">
        <v>466</v>
      </c>
      <c r="D1748" s="4">
        <v>179400</v>
      </c>
      <c r="E1748" s="4">
        <v>179400</v>
      </c>
      <c r="F1748" s="4">
        <v>358800</v>
      </c>
      <c r="H1748" s="3">
        <f t="shared" si="26"/>
        <v>0</v>
      </c>
    </row>
    <row r="1749" spans="1:8">
      <c r="A1749" t="s">
        <v>2739</v>
      </c>
      <c r="B1749" t="s">
        <v>2740</v>
      </c>
      <c r="C1749" t="s">
        <v>466</v>
      </c>
      <c r="D1749" s="4">
        <v>101400</v>
      </c>
      <c r="E1749" s="4">
        <v>101400</v>
      </c>
      <c r="F1749" s="4">
        <v>202800</v>
      </c>
      <c r="H1749" s="3">
        <f t="shared" si="26"/>
        <v>0</v>
      </c>
    </row>
    <row r="1750" spans="1:8">
      <c r="A1750" t="s">
        <v>2749</v>
      </c>
      <c r="B1750" t="s">
        <v>2750</v>
      </c>
      <c r="C1750" t="s">
        <v>466</v>
      </c>
      <c r="D1750" s="4">
        <v>121400</v>
      </c>
      <c r="E1750" s="4">
        <v>121400</v>
      </c>
      <c r="F1750" s="4">
        <v>242800</v>
      </c>
      <c r="H1750" s="3">
        <f t="shared" si="26"/>
        <v>0</v>
      </c>
    </row>
    <row r="1751" spans="1:8">
      <c r="A1751" t="s">
        <v>2763</v>
      </c>
      <c r="B1751" t="s">
        <v>2764</v>
      </c>
      <c r="C1751" t="s">
        <v>466</v>
      </c>
      <c r="D1751" s="4">
        <v>102100</v>
      </c>
      <c r="E1751" s="4">
        <v>102100</v>
      </c>
      <c r="F1751" s="4">
        <v>204200</v>
      </c>
      <c r="H1751" s="3">
        <f t="shared" si="26"/>
        <v>0</v>
      </c>
    </row>
    <row r="1752" spans="1:8">
      <c r="A1752" t="s">
        <v>2775</v>
      </c>
      <c r="B1752" t="s">
        <v>2776</v>
      </c>
      <c r="C1752" t="s">
        <v>466</v>
      </c>
      <c r="D1752" s="4">
        <v>79900</v>
      </c>
      <c r="E1752" s="4">
        <v>79900</v>
      </c>
      <c r="F1752" s="4">
        <v>159800</v>
      </c>
      <c r="H1752" s="3">
        <f t="shared" si="26"/>
        <v>0</v>
      </c>
    </row>
    <row r="1753" spans="1:8">
      <c r="A1753" t="s">
        <v>2893</v>
      </c>
      <c r="B1753" t="s">
        <v>2894</v>
      </c>
      <c r="C1753" t="s">
        <v>635</v>
      </c>
      <c r="D1753" s="4">
        <v>118000</v>
      </c>
      <c r="E1753" s="4">
        <v>118000</v>
      </c>
      <c r="F1753" s="4">
        <v>236000</v>
      </c>
      <c r="H1753" s="3">
        <f t="shared" si="26"/>
        <v>0</v>
      </c>
    </row>
    <row r="1754" spans="1:8">
      <c r="A1754" t="s">
        <v>2909</v>
      </c>
      <c r="B1754" t="s">
        <v>2910</v>
      </c>
      <c r="C1754" t="s">
        <v>635</v>
      </c>
      <c r="D1754" s="4">
        <v>115200</v>
      </c>
      <c r="E1754" s="4">
        <v>115200</v>
      </c>
      <c r="F1754" s="4">
        <v>230400</v>
      </c>
      <c r="H1754" s="3">
        <f t="shared" si="26"/>
        <v>0</v>
      </c>
    </row>
    <row r="1755" spans="1:8">
      <c r="A1755" t="s">
        <v>3005</v>
      </c>
      <c r="B1755" t="s">
        <v>3006</v>
      </c>
      <c r="C1755" t="s">
        <v>635</v>
      </c>
      <c r="D1755" s="4">
        <v>136700</v>
      </c>
      <c r="E1755" s="4">
        <v>136700</v>
      </c>
      <c r="F1755" s="4">
        <v>273400</v>
      </c>
      <c r="H1755" s="3">
        <f t="shared" si="26"/>
        <v>0</v>
      </c>
    </row>
    <row r="1756" spans="1:8">
      <c r="A1756" t="s">
        <v>1651</v>
      </c>
      <c r="B1756" t="s">
        <v>1652</v>
      </c>
      <c r="C1756" t="s">
        <v>635</v>
      </c>
      <c r="D1756" s="4">
        <v>208500</v>
      </c>
      <c r="E1756" s="4">
        <v>208500</v>
      </c>
      <c r="F1756" s="4">
        <v>417000</v>
      </c>
      <c r="H1756" s="3">
        <f t="shared" si="26"/>
        <v>0</v>
      </c>
    </row>
    <row r="1757" spans="1:8">
      <c r="A1757" t="s">
        <v>1762</v>
      </c>
      <c r="B1757" t="s">
        <v>1763</v>
      </c>
      <c r="C1757" t="s">
        <v>635</v>
      </c>
      <c r="D1757" s="4">
        <v>89500</v>
      </c>
      <c r="E1757" s="4"/>
      <c r="F1757" s="4">
        <v>89500</v>
      </c>
      <c r="H1757" s="3">
        <f t="shared" si="26"/>
        <v>89500</v>
      </c>
    </row>
    <row r="1758" spans="1:8">
      <c r="B1758" t="s">
        <v>3050</v>
      </c>
      <c r="C1758" t="s">
        <v>635</v>
      </c>
      <c r="D1758" s="4"/>
      <c r="E1758" s="4">
        <v>89500</v>
      </c>
      <c r="F1758" s="4">
        <v>89500</v>
      </c>
      <c r="H1758" s="3">
        <f t="shared" ref="H1758:H1821" si="27">+D1758-E1758</f>
        <v>-89500</v>
      </c>
    </row>
    <row r="1759" spans="1:8">
      <c r="A1759" t="s">
        <v>1855</v>
      </c>
      <c r="B1759" t="s">
        <v>1856</v>
      </c>
      <c r="C1759" t="s">
        <v>635</v>
      </c>
      <c r="D1759" s="4">
        <v>91200</v>
      </c>
      <c r="E1759" s="4">
        <v>91200</v>
      </c>
      <c r="F1759" s="4">
        <v>182400</v>
      </c>
      <c r="H1759" s="3">
        <f t="shared" si="27"/>
        <v>0</v>
      </c>
    </row>
    <row r="1760" spans="1:8">
      <c r="A1760" t="s">
        <v>1860</v>
      </c>
      <c r="B1760" t="s">
        <v>1861</v>
      </c>
      <c r="C1760" t="s">
        <v>635</v>
      </c>
      <c r="D1760" s="4">
        <v>94400</v>
      </c>
      <c r="E1760" s="4">
        <v>94400</v>
      </c>
      <c r="F1760" s="4">
        <v>188800</v>
      </c>
      <c r="H1760" s="3">
        <f t="shared" si="27"/>
        <v>0</v>
      </c>
    </row>
    <row r="1761" spans="1:8">
      <c r="A1761" t="s">
        <v>1877</v>
      </c>
      <c r="B1761" t="s">
        <v>1878</v>
      </c>
      <c r="C1761" t="s">
        <v>635</v>
      </c>
      <c r="D1761" s="4">
        <v>75500</v>
      </c>
      <c r="E1761" s="4">
        <v>75500</v>
      </c>
      <c r="F1761" s="4">
        <v>151000</v>
      </c>
      <c r="H1761" s="3">
        <f t="shared" si="27"/>
        <v>0</v>
      </c>
    </row>
    <row r="1762" spans="1:8">
      <c r="A1762" t="s">
        <v>2057</v>
      </c>
      <c r="B1762" t="s">
        <v>2058</v>
      </c>
      <c r="C1762" t="s">
        <v>466</v>
      </c>
      <c r="D1762" s="4">
        <v>141300</v>
      </c>
      <c r="E1762" s="4">
        <v>141300</v>
      </c>
      <c r="F1762" s="4">
        <v>282600</v>
      </c>
      <c r="H1762" s="3">
        <f t="shared" si="27"/>
        <v>0</v>
      </c>
    </row>
    <row r="1763" spans="1:8">
      <c r="A1763" t="s">
        <v>2599</v>
      </c>
      <c r="B1763" t="s">
        <v>2600</v>
      </c>
      <c r="C1763" t="s">
        <v>635</v>
      </c>
      <c r="D1763" s="4">
        <v>82100</v>
      </c>
      <c r="E1763" s="4">
        <v>82100</v>
      </c>
      <c r="F1763" s="4">
        <v>164200</v>
      </c>
      <c r="H1763" s="3">
        <f t="shared" si="27"/>
        <v>0</v>
      </c>
    </row>
    <row r="1764" spans="1:8">
      <c r="A1764" t="s">
        <v>2615</v>
      </c>
      <c r="B1764" t="s">
        <v>3065</v>
      </c>
      <c r="C1764" t="s">
        <v>635</v>
      </c>
      <c r="D1764" s="4"/>
      <c r="E1764" s="4">
        <v>148100</v>
      </c>
      <c r="F1764" s="4">
        <v>148100</v>
      </c>
      <c r="H1764" s="3">
        <f t="shared" si="27"/>
        <v>-148100</v>
      </c>
    </row>
    <row r="1765" spans="1:8">
      <c r="B1765" t="s">
        <v>2616</v>
      </c>
      <c r="C1765" t="s">
        <v>635</v>
      </c>
      <c r="D1765" s="4">
        <v>148100</v>
      </c>
      <c r="E1765" s="4"/>
      <c r="F1765" s="4">
        <v>148100</v>
      </c>
      <c r="H1765" s="3">
        <f t="shared" si="27"/>
        <v>148100</v>
      </c>
    </row>
    <row r="1766" spans="1:8">
      <c r="A1766" t="s">
        <v>2659</v>
      </c>
      <c r="B1766" t="s">
        <v>2660</v>
      </c>
      <c r="C1766" t="s">
        <v>466</v>
      </c>
      <c r="D1766" s="4">
        <v>151000</v>
      </c>
      <c r="E1766" s="4">
        <v>151000</v>
      </c>
      <c r="F1766" s="4">
        <v>302000</v>
      </c>
      <c r="H1766" s="3">
        <f t="shared" si="27"/>
        <v>0</v>
      </c>
    </row>
    <row r="1767" spans="1:8">
      <c r="A1767" t="s">
        <v>2711</v>
      </c>
      <c r="B1767" t="s">
        <v>2712</v>
      </c>
      <c r="C1767" t="s">
        <v>1001</v>
      </c>
      <c r="D1767" s="4">
        <v>115400</v>
      </c>
      <c r="E1767" s="4">
        <v>115400</v>
      </c>
      <c r="F1767" s="4">
        <v>230800</v>
      </c>
      <c r="H1767" s="3">
        <f t="shared" si="27"/>
        <v>0</v>
      </c>
    </row>
    <row r="1768" spans="1:8">
      <c r="A1768" t="s">
        <v>2790</v>
      </c>
      <c r="B1768" t="s">
        <v>2791</v>
      </c>
      <c r="C1768" t="s">
        <v>635</v>
      </c>
      <c r="D1768" s="4">
        <v>72400</v>
      </c>
      <c r="E1768" s="4">
        <v>72400</v>
      </c>
      <c r="F1768" s="4">
        <v>144800</v>
      </c>
      <c r="H1768" s="3">
        <f t="shared" si="27"/>
        <v>0</v>
      </c>
    </row>
    <row r="1769" spans="1:8">
      <c r="A1769" t="s">
        <v>3037</v>
      </c>
      <c r="B1769" t="s">
        <v>3038</v>
      </c>
      <c r="C1769" t="s">
        <v>635</v>
      </c>
      <c r="D1769" s="4">
        <v>133200</v>
      </c>
      <c r="E1769" s="4">
        <v>133200</v>
      </c>
      <c r="F1769" s="4">
        <v>266400</v>
      </c>
      <c r="H1769" s="3">
        <f t="shared" si="27"/>
        <v>0</v>
      </c>
    </row>
    <row r="1770" spans="1:8">
      <c r="A1770" t="s">
        <v>1514</v>
      </c>
      <c r="B1770" t="s">
        <v>1515</v>
      </c>
      <c r="C1770" t="s">
        <v>635</v>
      </c>
      <c r="D1770" s="4">
        <v>52100</v>
      </c>
      <c r="E1770" s="4">
        <v>52100</v>
      </c>
      <c r="F1770" s="4">
        <v>104200</v>
      </c>
      <c r="H1770" s="3">
        <f t="shared" si="27"/>
        <v>0</v>
      </c>
    </row>
    <row r="1771" spans="1:8">
      <c r="A1771" t="s">
        <v>1636</v>
      </c>
      <c r="B1771" t="s">
        <v>1637</v>
      </c>
      <c r="C1771" t="s">
        <v>635</v>
      </c>
      <c r="D1771" s="4">
        <v>116500</v>
      </c>
      <c r="E1771" s="4">
        <v>116500</v>
      </c>
      <c r="F1771" s="4">
        <v>233000</v>
      </c>
      <c r="H1771" s="3">
        <f t="shared" si="27"/>
        <v>0</v>
      </c>
    </row>
    <row r="1772" spans="1:8">
      <c r="A1772" t="s">
        <v>1720</v>
      </c>
      <c r="B1772" t="s">
        <v>1721</v>
      </c>
      <c r="C1772" t="s">
        <v>635</v>
      </c>
      <c r="D1772" s="4">
        <v>75200</v>
      </c>
      <c r="E1772" s="4">
        <v>75200</v>
      </c>
      <c r="F1772" s="4">
        <v>150400</v>
      </c>
      <c r="H1772" s="3">
        <f t="shared" si="27"/>
        <v>0</v>
      </c>
    </row>
    <row r="1773" spans="1:8">
      <c r="A1773" t="s">
        <v>1791</v>
      </c>
      <c r="B1773" t="s">
        <v>1792</v>
      </c>
      <c r="C1773" t="s">
        <v>466</v>
      </c>
      <c r="D1773" s="4">
        <v>97200</v>
      </c>
      <c r="E1773" s="4">
        <v>97200</v>
      </c>
      <c r="F1773" s="4">
        <v>194400</v>
      </c>
      <c r="H1773" s="3">
        <f t="shared" si="27"/>
        <v>0</v>
      </c>
    </row>
    <row r="1774" spans="1:8">
      <c r="A1774" t="s">
        <v>1810</v>
      </c>
      <c r="B1774" t="s">
        <v>1811</v>
      </c>
      <c r="C1774" t="s">
        <v>635</v>
      </c>
      <c r="D1774" s="4">
        <v>110000</v>
      </c>
      <c r="E1774" s="4">
        <v>110000</v>
      </c>
      <c r="F1774" s="4">
        <v>220000</v>
      </c>
      <c r="H1774" s="3">
        <f t="shared" si="27"/>
        <v>0</v>
      </c>
    </row>
    <row r="1775" spans="1:8">
      <c r="A1775" t="s">
        <v>1874</v>
      </c>
      <c r="B1775" t="s">
        <v>1875</v>
      </c>
      <c r="C1775" t="s">
        <v>635</v>
      </c>
      <c r="D1775" s="4">
        <v>184600</v>
      </c>
      <c r="E1775" s="4">
        <v>184600</v>
      </c>
      <c r="F1775" s="4">
        <v>369200</v>
      </c>
      <c r="H1775" s="3">
        <f t="shared" si="27"/>
        <v>0</v>
      </c>
    </row>
    <row r="1776" spans="1:8">
      <c r="A1776" t="s">
        <v>1902</v>
      </c>
      <c r="B1776" t="s">
        <v>1903</v>
      </c>
      <c r="C1776" t="s">
        <v>635</v>
      </c>
      <c r="D1776" s="4">
        <v>79500</v>
      </c>
      <c r="E1776" s="4">
        <v>79500</v>
      </c>
      <c r="F1776" s="4">
        <v>159000</v>
      </c>
      <c r="H1776" s="3">
        <f t="shared" si="27"/>
        <v>0</v>
      </c>
    </row>
    <row r="1777" spans="1:8">
      <c r="A1777" t="s">
        <v>1907</v>
      </c>
      <c r="B1777" t="s">
        <v>1908</v>
      </c>
      <c r="C1777" t="s">
        <v>635</v>
      </c>
      <c r="D1777" s="4">
        <v>164600</v>
      </c>
      <c r="E1777" s="4">
        <v>164600</v>
      </c>
      <c r="F1777" s="4">
        <v>329200</v>
      </c>
      <c r="H1777" s="3">
        <f t="shared" si="27"/>
        <v>0</v>
      </c>
    </row>
    <row r="1778" spans="1:8">
      <c r="A1778" t="s">
        <v>1911</v>
      </c>
      <c r="B1778" t="s">
        <v>1912</v>
      </c>
      <c r="C1778" t="s">
        <v>635</v>
      </c>
      <c r="D1778" s="4">
        <v>96500</v>
      </c>
      <c r="E1778" s="4">
        <v>96500</v>
      </c>
      <c r="F1778" s="4">
        <v>193000</v>
      </c>
      <c r="H1778" s="3">
        <f t="shared" si="27"/>
        <v>0</v>
      </c>
    </row>
    <row r="1779" spans="1:8">
      <c r="A1779" t="s">
        <v>1974</v>
      </c>
      <c r="B1779" t="s">
        <v>1975</v>
      </c>
      <c r="C1779" t="s">
        <v>635</v>
      </c>
      <c r="D1779" s="4">
        <v>134500</v>
      </c>
      <c r="E1779" s="4">
        <v>134500</v>
      </c>
      <c r="F1779" s="4">
        <v>269000</v>
      </c>
      <c r="H1779" s="3">
        <f t="shared" si="27"/>
        <v>0</v>
      </c>
    </row>
    <row r="1780" spans="1:8">
      <c r="A1780" t="s">
        <v>2009</v>
      </c>
      <c r="B1780" t="s">
        <v>2010</v>
      </c>
      <c r="C1780" t="s">
        <v>635</v>
      </c>
      <c r="D1780" s="4">
        <v>86100</v>
      </c>
      <c r="E1780" s="4"/>
      <c r="F1780" s="4">
        <v>86100</v>
      </c>
      <c r="H1780" s="3">
        <f t="shared" si="27"/>
        <v>86100</v>
      </c>
    </row>
    <row r="1781" spans="1:8">
      <c r="B1781" t="s">
        <v>3053</v>
      </c>
      <c r="C1781" t="s">
        <v>635</v>
      </c>
      <c r="D1781" s="4"/>
      <c r="E1781" s="4">
        <v>86100</v>
      </c>
      <c r="F1781" s="4">
        <v>86100</v>
      </c>
      <c r="H1781" s="3">
        <f t="shared" si="27"/>
        <v>-86100</v>
      </c>
    </row>
    <row r="1782" spans="1:8">
      <c r="A1782" t="s">
        <v>2097</v>
      </c>
      <c r="B1782" t="s">
        <v>2098</v>
      </c>
      <c r="C1782" t="s">
        <v>635</v>
      </c>
      <c r="D1782" s="4">
        <v>87200</v>
      </c>
      <c r="E1782" s="4">
        <v>87200</v>
      </c>
      <c r="F1782" s="4">
        <v>174400</v>
      </c>
      <c r="H1782" s="3">
        <f t="shared" si="27"/>
        <v>0</v>
      </c>
    </row>
    <row r="1783" spans="1:8">
      <c r="A1783" t="s">
        <v>2111</v>
      </c>
      <c r="B1783" t="s">
        <v>2112</v>
      </c>
      <c r="C1783" t="s">
        <v>635</v>
      </c>
      <c r="D1783" s="4">
        <v>179400</v>
      </c>
      <c r="E1783" s="4">
        <v>179400</v>
      </c>
      <c r="F1783" s="4">
        <v>358800</v>
      </c>
      <c r="H1783" s="3">
        <f t="shared" si="27"/>
        <v>0</v>
      </c>
    </row>
    <row r="1784" spans="1:8">
      <c r="A1784" t="s">
        <v>2122</v>
      </c>
      <c r="B1784" t="s">
        <v>2123</v>
      </c>
      <c r="C1784" t="s">
        <v>635</v>
      </c>
      <c r="D1784" s="4">
        <v>94200</v>
      </c>
      <c r="E1784" s="4">
        <v>94200</v>
      </c>
      <c r="F1784" s="4">
        <v>188400</v>
      </c>
      <c r="H1784" s="3">
        <f t="shared" si="27"/>
        <v>0</v>
      </c>
    </row>
    <row r="1785" spans="1:8">
      <c r="A1785" t="s">
        <v>2137</v>
      </c>
      <c r="B1785" t="s">
        <v>2138</v>
      </c>
      <c r="C1785" t="s">
        <v>635</v>
      </c>
      <c r="D1785" s="4">
        <v>147200</v>
      </c>
      <c r="E1785" s="4">
        <v>147200</v>
      </c>
      <c r="F1785" s="4">
        <v>294400</v>
      </c>
      <c r="H1785" s="3">
        <f t="shared" si="27"/>
        <v>0</v>
      </c>
    </row>
    <row r="1786" spans="1:8">
      <c r="A1786" t="s">
        <v>2180</v>
      </c>
      <c r="B1786" t="s">
        <v>2181</v>
      </c>
      <c r="C1786" t="s">
        <v>635</v>
      </c>
      <c r="D1786" s="4">
        <v>46400</v>
      </c>
      <c r="E1786" s="4">
        <v>46400</v>
      </c>
      <c r="F1786" s="4">
        <v>92800</v>
      </c>
      <c r="H1786" s="3">
        <f t="shared" si="27"/>
        <v>0</v>
      </c>
    </row>
    <row r="1787" spans="1:8">
      <c r="A1787" t="s">
        <v>2285</v>
      </c>
      <c r="B1787" t="s">
        <v>2286</v>
      </c>
      <c r="C1787" t="s">
        <v>635</v>
      </c>
      <c r="D1787" s="4">
        <v>79600</v>
      </c>
      <c r="E1787" s="4">
        <v>79600</v>
      </c>
      <c r="F1787" s="4">
        <v>159200</v>
      </c>
      <c r="H1787" s="3">
        <f t="shared" si="27"/>
        <v>0</v>
      </c>
    </row>
    <row r="1788" spans="1:8">
      <c r="A1788" t="s">
        <v>2314</v>
      </c>
      <c r="B1788" t="s">
        <v>2315</v>
      </c>
      <c r="C1788" t="s">
        <v>635</v>
      </c>
      <c r="D1788" s="4">
        <v>101900</v>
      </c>
      <c r="E1788" s="4">
        <v>101900</v>
      </c>
      <c r="F1788" s="4">
        <v>203800</v>
      </c>
      <c r="H1788" s="3">
        <f t="shared" si="27"/>
        <v>0</v>
      </c>
    </row>
    <row r="1789" spans="1:8">
      <c r="A1789" t="s">
        <v>2397</v>
      </c>
      <c r="B1789" t="s">
        <v>2398</v>
      </c>
      <c r="C1789" t="s">
        <v>635</v>
      </c>
      <c r="D1789" s="4">
        <v>161000</v>
      </c>
      <c r="E1789" s="4">
        <v>161000</v>
      </c>
      <c r="F1789" s="4">
        <v>322000</v>
      </c>
      <c r="H1789" s="3">
        <f t="shared" si="27"/>
        <v>0</v>
      </c>
    </row>
    <row r="1790" spans="1:8">
      <c r="A1790" t="s">
        <v>2408</v>
      </c>
      <c r="B1790" t="s">
        <v>2409</v>
      </c>
      <c r="C1790" t="s">
        <v>635</v>
      </c>
      <c r="D1790" s="4">
        <v>100600</v>
      </c>
      <c r="E1790" s="4">
        <v>100600</v>
      </c>
      <c r="F1790" s="4">
        <v>201200</v>
      </c>
      <c r="H1790" s="3">
        <f t="shared" si="27"/>
        <v>0</v>
      </c>
    </row>
    <row r="1791" spans="1:8">
      <c r="A1791" t="s">
        <v>2438</v>
      </c>
      <c r="B1791" t="s">
        <v>2439</v>
      </c>
      <c r="C1791" t="s">
        <v>585</v>
      </c>
      <c r="D1791" s="4">
        <v>86200</v>
      </c>
      <c r="E1791" s="4">
        <v>86200</v>
      </c>
      <c r="F1791" s="4">
        <v>172400</v>
      </c>
      <c r="H1791" s="3">
        <f t="shared" si="27"/>
        <v>0</v>
      </c>
    </row>
    <row r="1792" spans="1:8">
      <c r="A1792" t="s">
        <v>2522</v>
      </c>
      <c r="B1792" t="s">
        <v>2523</v>
      </c>
      <c r="C1792" t="s">
        <v>635</v>
      </c>
      <c r="D1792" s="4">
        <v>90700</v>
      </c>
      <c r="E1792" s="4">
        <v>90700</v>
      </c>
      <c r="F1792" s="4">
        <v>181400</v>
      </c>
      <c r="H1792" s="3">
        <f t="shared" si="27"/>
        <v>0</v>
      </c>
    </row>
    <row r="1793" spans="1:8">
      <c r="A1793" t="s">
        <v>2559</v>
      </c>
      <c r="B1793" t="s">
        <v>2560</v>
      </c>
      <c r="C1793" t="s">
        <v>635</v>
      </c>
      <c r="D1793" s="4">
        <v>70100</v>
      </c>
      <c r="E1793" s="4">
        <v>70100</v>
      </c>
      <c r="F1793" s="4">
        <v>140200</v>
      </c>
      <c r="H1793" s="3">
        <f t="shared" si="27"/>
        <v>0</v>
      </c>
    </row>
    <row r="1794" spans="1:8">
      <c r="A1794" t="s">
        <v>2627</v>
      </c>
      <c r="B1794" t="s">
        <v>2628</v>
      </c>
      <c r="C1794" t="s">
        <v>635</v>
      </c>
      <c r="D1794" s="4">
        <v>139000</v>
      </c>
      <c r="E1794" s="4">
        <v>139000</v>
      </c>
      <c r="F1794" s="4">
        <v>278000</v>
      </c>
      <c r="H1794" s="3">
        <f t="shared" si="27"/>
        <v>0</v>
      </c>
    </row>
    <row r="1795" spans="1:8">
      <c r="A1795" t="s">
        <v>2631</v>
      </c>
      <c r="B1795" t="s">
        <v>2632</v>
      </c>
      <c r="C1795" t="s">
        <v>635</v>
      </c>
      <c r="D1795" s="4">
        <v>148300</v>
      </c>
      <c r="E1795" s="4">
        <v>148300</v>
      </c>
      <c r="F1795" s="4">
        <v>296600</v>
      </c>
      <c r="H1795" s="3">
        <f t="shared" si="27"/>
        <v>0</v>
      </c>
    </row>
    <row r="1796" spans="1:8">
      <c r="A1796" t="s">
        <v>2652</v>
      </c>
      <c r="B1796" t="s">
        <v>2653</v>
      </c>
      <c r="C1796" t="s">
        <v>749</v>
      </c>
      <c r="D1796" s="4">
        <v>70100</v>
      </c>
      <c r="E1796" s="4">
        <v>70100</v>
      </c>
      <c r="F1796" s="4">
        <v>140200</v>
      </c>
      <c r="H1796" s="3">
        <f t="shared" si="27"/>
        <v>0</v>
      </c>
    </row>
    <row r="1797" spans="1:8">
      <c r="A1797" t="s">
        <v>2667</v>
      </c>
      <c r="B1797" t="s">
        <v>2668</v>
      </c>
      <c r="C1797" t="s">
        <v>635</v>
      </c>
      <c r="D1797" s="4">
        <v>344100</v>
      </c>
      <c r="E1797" s="4">
        <v>344100</v>
      </c>
      <c r="F1797" s="4">
        <v>688200</v>
      </c>
      <c r="H1797" s="3">
        <f t="shared" si="27"/>
        <v>0</v>
      </c>
    </row>
    <row r="1798" spans="1:8">
      <c r="A1798" t="s">
        <v>2699</v>
      </c>
      <c r="B1798" t="s">
        <v>2700</v>
      </c>
      <c r="C1798" t="s">
        <v>466</v>
      </c>
      <c r="D1798" s="4">
        <v>154500</v>
      </c>
      <c r="E1798" s="4">
        <v>154500</v>
      </c>
      <c r="F1798" s="4">
        <v>309000</v>
      </c>
      <c r="H1798" s="3">
        <f t="shared" si="27"/>
        <v>0</v>
      </c>
    </row>
    <row r="1799" spans="1:8">
      <c r="A1799" t="s">
        <v>2722</v>
      </c>
      <c r="B1799" t="s">
        <v>2723</v>
      </c>
      <c r="C1799" t="s">
        <v>635</v>
      </c>
      <c r="D1799" s="4">
        <v>126500</v>
      </c>
      <c r="E1799" s="4">
        <v>126500</v>
      </c>
      <c r="F1799" s="4">
        <v>253000</v>
      </c>
      <c r="H1799" s="3">
        <f t="shared" si="27"/>
        <v>0</v>
      </c>
    </row>
    <row r="1800" spans="1:8">
      <c r="A1800" t="s">
        <v>2766</v>
      </c>
      <c r="B1800" t="s">
        <v>2767</v>
      </c>
      <c r="C1800" t="s">
        <v>1001</v>
      </c>
      <c r="D1800" s="4">
        <v>158300</v>
      </c>
      <c r="E1800" s="4">
        <v>158300</v>
      </c>
      <c r="F1800" s="4">
        <v>316600</v>
      </c>
      <c r="H1800" s="3">
        <f t="shared" si="27"/>
        <v>0</v>
      </c>
    </row>
    <row r="1801" spans="1:8">
      <c r="A1801" t="s">
        <v>2816</v>
      </c>
      <c r="B1801" t="s">
        <v>2817</v>
      </c>
      <c r="C1801" t="s">
        <v>635</v>
      </c>
      <c r="D1801" s="4">
        <v>142100</v>
      </c>
      <c r="E1801" s="4">
        <v>142100</v>
      </c>
      <c r="F1801" s="4">
        <v>284200</v>
      </c>
      <c r="H1801" s="3">
        <f t="shared" si="27"/>
        <v>0</v>
      </c>
    </row>
    <row r="1802" spans="1:8">
      <c r="A1802" t="s">
        <v>2839</v>
      </c>
      <c r="B1802" t="s">
        <v>2840</v>
      </c>
      <c r="C1802" t="s">
        <v>635</v>
      </c>
      <c r="D1802" s="4">
        <v>95400</v>
      </c>
      <c r="E1802" s="4">
        <v>95400</v>
      </c>
      <c r="F1802" s="4">
        <v>190800</v>
      </c>
      <c r="H1802" s="3">
        <f t="shared" si="27"/>
        <v>0</v>
      </c>
    </row>
    <row r="1803" spans="1:8">
      <c r="A1803" t="s">
        <v>2848</v>
      </c>
      <c r="B1803" t="s">
        <v>2849</v>
      </c>
      <c r="C1803" t="s">
        <v>635</v>
      </c>
      <c r="D1803" s="4">
        <v>86400</v>
      </c>
      <c r="E1803" s="4">
        <v>86400</v>
      </c>
      <c r="F1803" s="4">
        <v>172800</v>
      </c>
      <c r="H1803" s="3">
        <f t="shared" si="27"/>
        <v>0</v>
      </c>
    </row>
    <row r="1804" spans="1:8">
      <c r="A1804" t="s">
        <v>2851</v>
      </c>
      <c r="B1804" t="s">
        <v>2852</v>
      </c>
      <c r="C1804" t="s">
        <v>635</v>
      </c>
      <c r="D1804" s="4">
        <v>106600</v>
      </c>
      <c r="E1804" s="4">
        <v>106600</v>
      </c>
      <c r="F1804" s="4">
        <v>213200</v>
      </c>
      <c r="H1804" s="3">
        <f t="shared" si="27"/>
        <v>0</v>
      </c>
    </row>
    <row r="1805" spans="1:8">
      <c r="A1805" t="s">
        <v>2861</v>
      </c>
      <c r="B1805" t="s">
        <v>2862</v>
      </c>
      <c r="C1805" t="s">
        <v>635</v>
      </c>
      <c r="D1805" s="4">
        <v>142500</v>
      </c>
      <c r="E1805" s="4">
        <v>142500</v>
      </c>
      <c r="F1805" s="4">
        <v>285000</v>
      </c>
      <c r="H1805" s="3">
        <f t="shared" si="27"/>
        <v>0</v>
      </c>
    </row>
    <row r="1806" spans="1:8">
      <c r="A1806" t="s">
        <v>2904</v>
      </c>
      <c r="B1806" t="s">
        <v>2905</v>
      </c>
      <c r="C1806" t="s">
        <v>466</v>
      </c>
      <c r="D1806" s="4">
        <v>101200</v>
      </c>
      <c r="E1806" s="4">
        <v>101200</v>
      </c>
      <c r="F1806" s="4">
        <v>202400</v>
      </c>
      <c r="H1806" s="3">
        <f t="shared" si="27"/>
        <v>0</v>
      </c>
    </row>
    <row r="1807" spans="1:8">
      <c r="A1807" t="s">
        <v>2922</v>
      </c>
      <c r="B1807" t="s">
        <v>2923</v>
      </c>
      <c r="C1807" t="s">
        <v>466</v>
      </c>
      <c r="D1807" s="4">
        <v>99900</v>
      </c>
      <c r="E1807" s="4">
        <v>99900</v>
      </c>
      <c r="F1807" s="4">
        <v>199800</v>
      </c>
      <c r="H1807" s="3">
        <f t="shared" si="27"/>
        <v>0</v>
      </c>
    </row>
    <row r="1808" spans="1:8">
      <c r="A1808" t="s">
        <v>2931</v>
      </c>
      <c r="B1808" t="s">
        <v>2932</v>
      </c>
      <c r="C1808" t="s">
        <v>635</v>
      </c>
      <c r="D1808" s="4">
        <v>105000</v>
      </c>
      <c r="E1808" s="4">
        <v>105000</v>
      </c>
      <c r="F1808" s="4">
        <v>210000</v>
      </c>
      <c r="H1808" s="3">
        <f t="shared" si="27"/>
        <v>0</v>
      </c>
    </row>
    <row r="1809" spans="1:8">
      <c r="A1809" t="s">
        <v>2950</v>
      </c>
      <c r="B1809" t="s">
        <v>2951</v>
      </c>
      <c r="C1809" t="s">
        <v>1001</v>
      </c>
      <c r="D1809" s="4">
        <v>105500</v>
      </c>
      <c r="E1809" s="4">
        <v>105500</v>
      </c>
      <c r="F1809" s="4">
        <v>211000</v>
      </c>
      <c r="H1809" s="3">
        <f t="shared" si="27"/>
        <v>0</v>
      </c>
    </row>
    <row r="1810" spans="1:8">
      <c r="A1810" t="s">
        <v>2965</v>
      </c>
      <c r="B1810" t="s">
        <v>2966</v>
      </c>
      <c r="C1810" t="s">
        <v>466</v>
      </c>
      <c r="D1810" s="4">
        <v>110700</v>
      </c>
      <c r="E1810" s="4">
        <v>110700</v>
      </c>
      <c r="F1810" s="4">
        <v>221400</v>
      </c>
      <c r="H1810" s="3">
        <f t="shared" si="27"/>
        <v>0</v>
      </c>
    </row>
    <row r="1811" spans="1:8">
      <c r="A1811" t="s">
        <v>3034</v>
      </c>
      <c r="B1811" t="s">
        <v>3035</v>
      </c>
      <c r="C1811" t="s">
        <v>635</v>
      </c>
      <c r="D1811" s="4">
        <v>96800</v>
      </c>
      <c r="E1811" s="4">
        <v>96800</v>
      </c>
      <c r="F1811" s="4">
        <v>193600</v>
      </c>
      <c r="H1811" s="3">
        <f t="shared" si="27"/>
        <v>0</v>
      </c>
    </row>
    <row r="1812" spans="1:8">
      <c r="A1812" t="s">
        <v>3042</v>
      </c>
      <c r="B1812" t="s">
        <v>3043</v>
      </c>
      <c r="C1812" t="s">
        <v>749</v>
      </c>
      <c r="D1812" s="4">
        <v>116900</v>
      </c>
      <c r="E1812" s="4">
        <v>116900</v>
      </c>
      <c r="F1812" s="4">
        <v>233800</v>
      </c>
      <c r="H1812" s="3">
        <f t="shared" si="27"/>
        <v>0</v>
      </c>
    </row>
    <row r="1813" spans="1:8">
      <c r="A1813" t="s">
        <v>1499</v>
      </c>
      <c r="B1813" t="s">
        <v>1500</v>
      </c>
      <c r="C1813" t="s">
        <v>635</v>
      </c>
      <c r="D1813" s="4">
        <v>61500</v>
      </c>
      <c r="E1813" s="4">
        <v>61500</v>
      </c>
      <c r="F1813" s="4">
        <v>123000</v>
      </c>
      <c r="H1813" s="3">
        <f t="shared" si="27"/>
        <v>0</v>
      </c>
    </row>
    <row r="1814" spans="1:8">
      <c r="A1814" t="s">
        <v>1588</v>
      </c>
      <c r="B1814" t="s">
        <v>1589</v>
      </c>
      <c r="C1814" t="s">
        <v>635</v>
      </c>
      <c r="D1814" s="4">
        <v>114400</v>
      </c>
      <c r="E1814" s="4">
        <v>114400</v>
      </c>
      <c r="F1814" s="4">
        <v>228800</v>
      </c>
      <c r="H1814" s="3">
        <f t="shared" si="27"/>
        <v>0</v>
      </c>
    </row>
    <row r="1815" spans="1:8">
      <c r="A1815" t="s">
        <v>1703</v>
      </c>
      <c r="B1815" t="s">
        <v>1704</v>
      </c>
      <c r="C1815" t="s">
        <v>635</v>
      </c>
      <c r="D1815" s="4">
        <v>88300</v>
      </c>
      <c r="E1815" s="4">
        <v>88300</v>
      </c>
      <c r="F1815" s="4">
        <v>176600</v>
      </c>
      <c r="H1815" s="3">
        <f t="shared" si="27"/>
        <v>0</v>
      </c>
    </row>
    <row r="1816" spans="1:8">
      <c r="A1816" t="s">
        <v>1782</v>
      </c>
      <c r="B1816" t="s">
        <v>1783</v>
      </c>
      <c r="C1816" t="s">
        <v>635</v>
      </c>
      <c r="D1816" s="4">
        <v>71600</v>
      </c>
      <c r="E1816" s="4">
        <v>71600</v>
      </c>
      <c r="F1816" s="4">
        <v>143200</v>
      </c>
      <c r="H1816" s="3">
        <f t="shared" si="27"/>
        <v>0</v>
      </c>
    </row>
    <row r="1817" spans="1:8">
      <c r="A1817" t="s">
        <v>1870</v>
      </c>
      <c r="B1817" t="s">
        <v>1871</v>
      </c>
      <c r="C1817" t="s">
        <v>635</v>
      </c>
      <c r="D1817" s="4">
        <v>94800</v>
      </c>
      <c r="E1817" s="4">
        <v>94800</v>
      </c>
      <c r="F1817" s="4">
        <v>189600</v>
      </c>
      <c r="H1817" s="3">
        <f t="shared" si="27"/>
        <v>0</v>
      </c>
    </row>
    <row r="1818" spans="1:8">
      <c r="A1818" t="s">
        <v>1969</v>
      </c>
      <c r="B1818" t="s">
        <v>1970</v>
      </c>
      <c r="C1818" t="s">
        <v>635</v>
      </c>
      <c r="D1818" s="4">
        <v>73300</v>
      </c>
      <c r="E1818" s="4">
        <v>73300</v>
      </c>
      <c r="F1818" s="4">
        <v>146600</v>
      </c>
      <c r="H1818" s="3">
        <f t="shared" si="27"/>
        <v>0</v>
      </c>
    </row>
    <row r="1819" spans="1:8">
      <c r="A1819" t="s">
        <v>2017</v>
      </c>
      <c r="B1819" t="s">
        <v>2018</v>
      </c>
      <c r="C1819" t="s">
        <v>635</v>
      </c>
      <c r="D1819" s="4">
        <v>43800</v>
      </c>
      <c r="E1819" s="4">
        <v>43800</v>
      </c>
      <c r="F1819" s="4">
        <v>87600</v>
      </c>
      <c r="H1819" s="3">
        <f t="shared" si="27"/>
        <v>0</v>
      </c>
    </row>
    <row r="1820" spans="1:8">
      <c r="A1820" t="s">
        <v>2062</v>
      </c>
      <c r="B1820" t="s">
        <v>2063</v>
      </c>
      <c r="C1820" t="s">
        <v>466</v>
      </c>
      <c r="D1820" s="4">
        <v>154600</v>
      </c>
      <c r="E1820" s="4">
        <v>154600</v>
      </c>
      <c r="F1820" s="4">
        <v>309200</v>
      </c>
      <c r="H1820" s="3">
        <f t="shared" si="27"/>
        <v>0</v>
      </c>
    </row>
    <row r="1821" spans="1:8">
      <c r="A1821" t="s">
        <v>2071</v>
      </c>
      <c r="B1821" t="s">
        <v>2072</v>
      </c>
      <c r="C1821" t="s">
        <v>635</v>
      </c>
      <c r="D1821" s="4">
        <v>73100</v>
      </c>
      <c r="E1821" s="4">
        <v>73100</v>
      </c>
      <c r="F1821" s="4">
        <v>146200</v>
      </c>
      <c r="H1821" s="3">
        <f t="shared" si="27"/>
        <v>0</v>
      </c>
    </row>
    <row r="1822" spans="1:8">
      <c r="A1822" t="s">
        <v>2092</v>
      </c>
      <c r="B1822" t="s">
        <v>2093</v>
      </c>
      <c r="C1822" t="s">
        <v>466</v>
      </c>
      <c r="D1822" s="4">
        <v>142400</v>
      </c>
      <c r="E1822" s="4">
        <v>142400</v>
      </c>
      <c r="F1822" s="4">
        <v>284800</v>
      </c>
      <c r="H1822" s="3">
        <f t="shared" ref="H1822:H1885" si="28">+D1822-E1822</f>
        <v>0</v>
      </c>
    </row>
    <row r="1823" spans="1:8">
      <c r="A1823" t="s">
        <v>2140</v>
      </c>
      <c r="B1823" t="s">
        <v>2141</v>
      </c>
      <c r="C1823" t="s">
        <v>635</v>
      </c>
      <c r="D1823" s="4">
        <v>187400</v>
      </c>
      <c r="E1823" s="4">
        <v>187400</v>
      </c>
      <c r="F1823" s="4">
        <v>374800</v>
      </c>
      <c r="H1823" s="3">
        <f t="shared" si="28"/>
        <v>0</v>
      </c>
    </row>
    <row r="1824" spans="1:8">
      <c r="A1824" t="s">
        <v>2238</v>
      </c>
      <c r="B1824" t="s">
        <v>2239</v>
      </c>
      <c r="C1824" t="s">
        <v>635</v>
      </c>
      <c r="D1824" s="4">
        <v>165800</v>
      </c>
      <c r="E1824" s="4">
        <v>165800</v>
      </c>
      <c r="F1824" s="4">
        <v>331600</v>
      </c>
      <c r="H1824" s="3">
        <f t="shared" si="28"/>
        <v>0</v>
      </c>
    </row>
    <row r="1825" spans="1:8">
      <c r="A1825" t="s">
        <v>2333</v>
      </c>
      <c r="B1825" t="s">
        <v>2334</v>
      </c>
      <c r="C1825" t="s">
        <v>635</v>
      </c>
      <c r="D1825" s="4">
        <v>166100</v>
      </c>
      <c r="E1825" s="4">
        <v>166100</v>
      </c>
      <c r="F1825" s="4">
        <v>332200</v>
      </c>
      <c r="H1825" s="3">
        <f t="shared" si="28"/>
        <v>0</v>
      </c>
    </row>
    <row r="1826" spans="1:8">
      <c r="A1826" t="s">
        <v>2404</v>
      </c>
      <c r="B1826" t="s">
        <v>2405</v>
      </c>
      <c r="C1826" t="s">
        <v>635</v>
      </c>
      <c r="D1826" s="4">
        <v>117100</v>
      </c>
      <c r="E1826" s="4">
        <v>117100</v>
      </c>
      <c r="F1826" s="4">
        <v>234200</v>
      </c>
      <c r="H1826" s="3">
        <f t="shared" si="28"/>
        <v>0</v>
      </c>
    </row>
    <row r="1827" spans="1:8">
      <c r="A1827" t="s">
        <v>2406</v>
      </c>
      <c r="B1827" t="s">
        <v>2407</v>
      </c>
      <c r="C1827" t="s">
        <v>635</v>
      </c>
      <c r="D1827" s="4">
        <v>162400</v>
      </c>
      <c r="E1827" s="4">
        <v>162400</v>
      </c>
      <c r="F1827" s="4">
        <v>324800</v>
      </c>
      <c r="H1827" s="3">
        <f t="shared" si="28"/>
        <v>0</v>
      </c>
    </row>
    <row r="1828" spans="1:8">
      <c r="A1828" t="s">
        <v>2429</v>
      </c>
      <c r="B1828" t="s">
        <v>2430</v>
      </c>
      <c r="C1828" t="s">
        <v>466</v>
      </c>
      <c r="D1828" s="4">
        <v>207200</v>
      </c>
      <c r="E1828" s="4">
        <v>207200</v>
      </c>
      <c r="F1828" s="4">
        <v>414400</v>
      </c>
      <c r="H1828" s="3">
        <f t="shared" si="28"/>
        <v>0</v>
      </c>
    </row>
    <row r="1829" spans="1:8">
      <c r="A1829" t="s">
        <v>2456</v>
      </c>
      <c r="B1829" t="s">
        <v>2457</v>
      </c>
      <c r="C1829" t="s">
        <v>466</v>
      </c>
      <c r="D1829" s="4">
        <v>128800</v>
      </c>
      <c r="E1829" s="4">
        <v>128800</v>
      </c>
      <c r="F1829" s="4">
        <v>257600</v>
      </c>
      <c r="H1829" s="3">
        <f t="shared" si="28"/>
        <v>0</v>
      </c>
    </row>
    <row r="1830" spans="1:8">
      <c r="A1830" t="s">
        <v>2469</v>
      </c>
      <c r="B1830" t="s">
        <v>2470</v>
      </c>
      <c r="C1830" t="s">
        <v>466</v>
      </c>
      <c r="D1830" s="4">
        <v>103200</v>
      </c>
      <c r="E1830" s="4">
        <v>103200</v>
      </c>
      <c r="F1830" s="4">
        <v>206400</v>
      </c>
      <c r="H1830" s="3">
        <f t="shared" si="28"/>
        <v>0</v>
      </c>
    </row>
    <row r="1831" spans="1:8">
      <c r="A1831" t="s">
        <v>2492</v>
      </c>
      <c r="B1831" t="s">
        <v>2493</v>
      </c>
      <c r="C1831" t="s">
        <v>635</v>
      </c>
      <c r="D1831" s="4">
        <v>104400</v>
      </c>
      <c r="E1831" s="4">
        <v>104400</v>
      </c>
      <c r="F1831" s="4">
        <v>208800</v>
      </c>
      <c r="H1831" s="3">
        <f t="shared" si="28"/>
        <v>0</v>
      </c>
    </row>
    <row r="1832" spans="1:8">
      <c r="A1832" t="s">
        <v>2519</v>
      </c>
      <c r="B1832" t="s">
        <v>2520</v>
      </c>
      <c r="C1832" t="s">
        <v>635</v>
      </c>
      <c r="D1832" s="4">
        <v>180100</v>
      </c>
      <c r="E1832" s="4">
        <v>180100</v>
      </c>
      <c r="F1832" s="4">
        <v>360200</v>
      </c>
      <c r="H1832" s="3">
        <f t="shared" si="28"/>
        <v>0</v>
      </c>
    </row>
    <row r="1833" spans="1:8">
      <c r="A1833" t="s">
        <v>2533</v>
      </c>
      <c r="B1833" t="s">
        <v>2534</v>
      </c>
      <c r="C1833" t="s">
        <v>466</v>
      </c>
      <c r="D1833" s="4">
        <v>88500</v>
      </c>
      <c r="E1833" s="4">
        <v>88500</v>
      </c>
      <c r="F1833" s="4">
        <v>177000</v>
      </c>
      <c r="H1833" s="3">
        <f t="shared" si="28"/>
        <v>0</v>
      </c>
    </row>
    <row r="1834" spans="1:8">
      <c r="A1834" t="s">
        <v>2545</v>
      </c>
      <c r="B1834" t="s">
        <v>2546</v>
      </c>
      <c r="C1834" t="s">
        <v>635</v>
      </c>
      <c r="D1834" s="4">
        <v>182000</v>
      </c>
      <c r="E1834" s="4">
        <v>182000</v>
      </c>
      <c r="F1834" s="4">
        <v>364000</v>
      </c>
      <c r="H1834" s="3">
        <f t="shared" si="28"/>
        <v>0</v>
      </c>
    </row>
    <row r="1835" spans="1:8">
      <c r="A1835" t="s">
        <v>2669</v>
      </c>
      <c r="B1835" t="s">
        <v>2670</v>
      </c>
      <c r="C1835" t="s">
        <v>635</v>
      </c>
      <c r="D1835" s="4">
        <v>166900</v>
      </c>
      <c r="E1835" s="4">
        <v>166900</v>
      </c>
      <c r="F1835" s="4">
        <v>333800</v>
      </c>
      <c r="H1835" s="3">
        <f t="shared" si="28"/>
        <v>0</v>
      </c>
    </row>
    <row r="1836" spans="1:8">
      <c r="A1836" t="s">
        <v>2676</v>
      </c>
      <c r="B1836" t="s">
        <v>2677</v>
      </c>
      <c r="C1836" t="s">
        <v>466</v>
      </c>
      <c r="D1836" s="4">
        <v>155300</v>
      </c>
      <c r="E1836" s="4">
        <v>155300</v>
      </c>
      <c r="F1836" s="4">
        <v>310600</v>
      </c>
      <c r="H1836" s="3">
        <f t="shared" si="28"/>
        <v>0</v>
      </c>
    </row>
    <row r="1837" spans="1:8">
      <c r="A1837" t="s">
        <v>2685</v>
      </c>
      <c r="B1837" t="s">
        <v>2686</v>
      </c>
      <c r="C1837" t="s">
        <v>635</v>
      </c>
      <c r="D1837" s="4">
        <v>155200</v>
      </c>
      <c r="E1837" s="4">
        <v>155200</v>
      </c>
      <c r="F1837" s="4">
        <v>310400</v>
      </c>
      <c r="H1837" s="3">
        <f t="shared" si="28"/>
        <v>0</v>
      </c>
    </row>
    <row r="1838" spans="1:8">
      <c r="A1838" t="s">
        <v>2733</v>
      </c>
      <c r="B1838" t="s">
        <v>2734</v>
      </c>
      <c r="C1838" t="s">
        <v>635</v>
      </c>
      <c r="D1838" s="4">
        <v>91300</v>
      </c>
      <c r="E1838" s="4">
        <v>91300</v>
      </c>
      <c r="F1838" s="4">
        <v>182600</v>
      </c>
      <c r="H1838" s="3">
        <f t="shared" si="28"/>
        <v>0</v>
      </c>
    </row>
    <row r="1839" spans="1:8">
      <c r="A1839" t="s">
        <v>2857</v>
      </c>
      <c r="B1839" t="s">
        <v>2858</v>
      </c>
      <c r="C1839" t="s">
        <v>635</v>
      </c>
      <c r="D1839" s="4">
        <v>145300</v>
      </c>
      <c r="E1839" s="4">
        <v>145300</v>
      </c>
      <c r="F1839" s="4">
        <v>290600</v>
      </c>
      <c r="H1839" s="3">
        <f t="shared" si="28"/>
        <v>0</v>
      </c>
    </row>
    <row r="1840" spans="1:8">
      <c r="A1840" t="s">
        <v>2867</v>
      </c>
      <c r="B1840" t="s">
        <v>2868</v>
      </c>
      <c r="C1840" t="s">
        <v>635</v>
      </c>
      <c r="D1840" s="4">
        <v>165200</v>
      </c>
      <c r="E1840" s="4">
        <v>165200</v>
      </c>
      <c r="F1840" s="4">
        <v>330400</v>
      </c>
      <c r="H1840" s="3">
        <f t="shared" si="28"/>
        <v>0</v>
      </c>
    </row>
    <row r="1841" spans="1:8">
      <c r="A1841" t="s">
        <v>2900</v>
      </c>
      <c r="B1841" t="s">
        <v>2901</v>
      </c>
      <c r="C1841" t="s">
        <v>635</v>
      </c>
      <c r="D1841" s="4">
        <v>148500</v>
      </c>
      <c r="E1841" s="4">
        <v>148500</v>
      </c>
      <c r="F1841" s="4">
        <v>297000</v>
      </c>
      <c r="H1841" s="3">
        <f t="shared" si="28"/>
        <v>0</v>
      </c>
    </row>
    <row r="1842" spans="1:8">
      <c r="A1842" t="s">
        <v>2919</v>
      </c>
      <c r="B1842" t="s">
        <v>2920</v>
      </c>
      <c r="C1842" t="s">
        <v>635</v>
      </c>
      <c r="D1842" s="4">
        <v>98700</v>
      </c>
      <c r="E1842" s="4">
        <v>98700</v>
      </c>
      <c r="F1842" s="4">
        <v>197400</v>
      </c>
      <c r="H1842" s="3">
        <f t="shared" si="28"/>
        <v>0</v>
      </c>
    </row>
    <row r="1843" spans="1:8">
      <c r="A1843" t="s">
        <v>2933</v>
      </c>
      <c r="B1843" t="s">
        <v>2934</v>
      </c>
      <c r="C1843" t="s">
        <v>635</v>
      </c>
      <c r="D1843" s="4">
        <v>114200</v>
      </c>
      <c r="E1843" s="4">
        <v>114200</v>
      </c>
      <c r="F1843" s="4">
        <v>228400</v>
      </c>
      <c r="H1843" s="3">
        <f t="shared" si="28"/>
        <v>0</v>
      </c>
    </row>
    <row r="1844" spans="1:8">
      <c r="A1844" t="s">
        <v>2974</v>
      </c>
      <c r="B1844" t="s">
        <v>2975</v>
      </c>
      <c r="C1844" t="s">
        <v>635</v>
      </c>
      <c r="D1844" s="4">
        <v>75100</v>
      </c>
      <c r="E1844" s="4">
        <v>75100</v>
      </c>
      <c r="F1844" s="4">
        <v>150200</v>
      </c>
      <c r="H1844" s="3">
        <f t="shared" si="28"/>
        <v>0</v>
      </c>
    </row>
    <row r="1845" spans="1:8">
      <c r="A1845" t="s">
        <v>2980</v>
      </c>
      <c r="B1845" t="s">
        <v>2981</v>
      </c>
      <c r="C1845" t="s">
        <v>635</v>
      </c>
      <c r="D1845" s="4">
        <v>86200</v>
      </c>
      <c r="E1845" s="4">
        <v>86200</v>
      </c>
      <c r="F1845" s="4">
        <v>172400</v>
      </c>
      <c r="H1845" s="3">
        <f t="shared" si="28"/>
        <v>0</v>
      </c>
    </row>
    <row r="1846" spans="1:8">
      <c r="A1846" t="s">
        <v>2995</v>
      </c>
      <c r="B1846" t="s">
        <v>2996</v>
      </c>
      <c r="C1846" t="s">
        <v>635</v>
      </c>
      <c r="D1846" s="4">
        <v>169400</v>
      </c>
      <c r="E1846" s="4"/>
      <c r="F1846" s="4">
        <v>169400</v>
      </c>
      <c r="H1846" s="3">
        <f t="shared" si="28"/>
        <v>169400</v>
      </c>
    </row>
    <row r="1847" spans="1:8">
      <c r="B1847" t="s">
        <v>3068</v>
      </c>
      <c r="C1847" t="s">
        <v>635</v>
      </c>
      <c r="D1847" s="4"/>
      <c r="E1847" s="4">
        <v>169400</v>
      </c>
      <c r="F1847" s="4">
        <v>169400</v>
      </c>
      <c r="H1847" s="3">
        <f t="shared" si="28"/>
        <v>-169400</v>
      </c>
    </row>
    <row r="1848" spans="1:8">
      <c r="A1848" t="s">
        <v>3031</v>
      </c>
      <c r="B1848" t="s">
        <v>3032</v>
      </c>
      <c r="C1848" t="s">
        <v>635</v>
      </c>
      <c r="D1848" s="4">
        <v>126500</v>
      </c>
      <c r="E1848" s="4">
        <v>126500</v>
      </c>
      <c r="F1848" s="4">
        <v>253000</v>
      </c>
      <c r="H1848" s="3">
        <f t="shared" si="28"/>
        <v>0</v>
      </c>
    </row>
    <row r="1849" spans="1:8">
      <c r="A1849" t="s">
        <v>1447</v>
      </c>
      <c r="B1849" t="s">
        <v>1448</v>
      </c>
      <c r="C1849" t="s">
        <v>466</v>
      </c>
      <c r="D1849" s="4">
        <v>88900</v>
      </c>
      <c r="E1849" s="4">
        <v>88900</v>
      </c>
      <c r="F1849" s="4">
        <v>177800</v>
      </c>
      <c r="H1849" s="3">
        <f t="shared" si="28"/>
        <v>0</v>
      </c>
    </row>
    <row r="1850" spans="1:8">
      <c r="A1850" t="s">
        <v>1452</v>
      </c>
      <c r="B1850" t="s">
        <v>1453</v>
      </c>
      <c r="C1850" t="s">
        <v>1001</v>
      </c>
      <c r="D1850" s="4">
        <v>103400</v>
      </c>
      <c r="E1850" s="4">
        <v>103400</v>
      </c>
      <c r="F1850" s="4">
        <v>206800</v>
      </c>
      <c r="H1850" s="3">
        <f t="shared" si="28"/>
        <v>0</v>
      </c>
    </row>
    <row r="1851" spans="1:8">
      <c r="A1851" t="s">
        <v>1463</v>
      </c>
      <c r="B1851" t="s">
        <v>1464</v>
      </c>
      <c r="C1851" t="s">
        <v>635</v>
      </c>
      <c r="D1851" s="4">
        <v>61900</v>
      </c>
      <c r="E1851" s="4">
        <v>61900</v>
      </c>
      <c r="F1851" s="4">
        <v>123800</v>
      </c>
      <c r="H1851" s="3">
        <f t="shared" si="28"/>
        <v>0</v>
      </c>
    </row>
    <row r="1852" spans="1:8">
      <c r="A1852" t="s">
        <v>1493</v>
      </c>
      <c r="B1852" t="s">
        <v>1494</v>
      </c>
      <c r="C1852" t="s">
        <v>635</v>
      </c>
      <c r="D1852" s="4">
        <v>86400</v>
      </c>
      <c r="E1852" s="4">
        <v>86400</v>
      </c>
      <c r="F1852" s="4">
        <v>172800</v>
      </c>
      <c r="H1852" s="3">
        <f t="shared" si="28"/>
        <v>0</v>
      </c>
    </row>
    <row r="1853" spans="1:8">
      <c r="A1853" t="s">
        <v>1699</v>
      </c>
      <c r="B1853" t="s">
        <v>1700</v>
      </c>
      <c r="C1853" t="s">
        <v>635</v>
      </c>
      <c r="D1853" s="4">
        <v>130200</v>
      </c>
      <c r="E1853" s="4">
        <v>130200</v>
      </c>
      <c r="F1853" s="4">
        <v>260400</v>
      </c>
      <c r="H1853" s="3">
        <f t="shared" si="28"/>
        <v>0</v>
      </c>
    </row>
    <row r="1854" spans="1:8">
      <c r="A1854" t="s">
        <v>1731</v>
      </c>
      <c r="B1854" t="s">
        <v>1732</v>
      </c>
      <c r="C1854" t="s">
        <v>635</v>
      </c>
      <c r="D1854" s="4">
        <v>208500</v>
      </c>
      <c r="E1854" s="4">
        <v>208500</v>
      </c>
      <c r="F1854" s="4">
        <v>417000</v>
      </c>
      <c r="H1854" s="3">
        <f t="shared" si="28"/>
        <v>0</v>
      </c>
    </row>
    <row r="1855" spans="1:8">
      <c r="A1855" t="s">
        <v>1758</v>
      </c>
      <c r="B1855" t="s">
        <v>1759</v>
      </c>
      <c r="C1855" t="s">
        <v>635</v>
      </c>
      <c r="D1855" s="4">
        <v>30200</v>
      </c>
      <c r="E1855" s="4">
        <v>30200</v>
      </c>
      <c r="F1855" s="4">
        <v>60400</v>
      </c>
      <c r="H1855" s="3">
        <f t="shared" si="28"/>
        <v>0</v>
      </c>
    </row>
    <row r="1856" spans="1:8">
      <c r="A1856" t="s">
        <v>1929</v>
      </c>
      <c r="B1856" t="s">
        <v>1930</v>
      </c>
      <c r="C1856" t="s">
        <v>466</v>
      </c>
      <c r="D1856" s="4">
        <v>125700</v>
      </c>
      <c r="E1856" s="4">
        <v>125700</v>
      </c>
      <c r="F1856" s="4">
        <v>251400</v>
      </c>
      <c r="H1856" s="3">
        <f t="shared" si="28"/>
        <v>0</v>
      </c>
    </row>
    <row r="1857" spans="1:8">
      <c r="A1857" t="s">
        <v>1979</v>
      </c>
      <c r="B1857" t="s">
        <v>1980</v>
      </c>
      <c r="C1857" t="s">
        <v>635</v>
      </c>
      <c r="D1857" s="4">
        <v>94800</v>
      </c>
      <c r="E1857" s="4">
        <v>94800</v>
      </c>
      <c r="F1857" s="4">
        <v>189600</v>
      </c>
      <c r="H1857" s="3">
        <f t="shared" si="28"/>
        <v>0</v>
      </c>
    </row>
    <row r="1858" spans="1:8">
      <c r="A1858" t="s">
        <v>2013</v>
      </c>
      <c r="B1858" t="s">
        <v>2014</v>
      </c>
      <c r="C1858" t="s">
        <v>635</v>
      </c>
      <c r="D1858" s="4">
        <v>56300</v>
      </c>
      <c r="E1858" s="4">
        <v>56300</v>
      </c>
      <c r="F1858" s="4">
        <v>112600</v>
      </c>
      <c r="H1858" s="3">
        <f t="shared" si="28"/>
        <v>0</v>
      </c>
    </row>
    <row r="1859" spans="1:8">
      <c r="A1859" t="s">
        <v>2022</v>
      </c>
      <c r="B1859" t="s">
        <v>2023</v>
      </c>
      <c r="C1859" t="s">
        <v>635</v>
      </c>
      <c r="D1859" s="4">
        <v>62300</v>
      </c>
      <c r="E1859" s="4">
        <v>62300</v>
      </c>
      <c r="F1859" s="4">
        <v>124600</v>
      </c>
      <c r="H1859" s="3">
        <f t="shared" si="28"/>
        <v>0</v>
      </c>
    </row>
    <row r="1860" spans="1:8">
      <c r="A1860" t="s">
        <v>2043</v>
      </c>
      <c r="B1860" t="s">
        <v>2044</v>
      </c>
      <c r="C1860" t="s">
        <v>635</v>
      </c>
      <c r="D1860" s="4">
        <v>138400</v>
      </c>
      <c r="E1860" s="4">
        <v>138400</v>
      </c>
      <c r="F1860" s="4">
        <v>276800</v>
      </c>
      <c r="H1860" s="3">
        <f t="shared" si="28"/>
        <v>0</v>
      </c>
    </row>
    <row r="1861" spans="1:8">
      <c r="A1861" t="s">
        <v>2054</v>
      </c>
      <c r="B1861" t="s">
        <v>2055</v>
      </c>
      <c r="C1861" t="s">
        <v>635</v>
      </c>
      <c r="D1861" s="4">
        <v>80400</v>
      </c>
      <c r="E1861" s="4"/>
      <c r="F1861" s="4">
        <v>80400</v>
      </c>
      <c r="H1861" s="3">
        <f t="shared" si="28"/>
        <v>80400</v>
      </c>
    </row>
    <row r="1862" spans="1:8">
      <c r="C1862" t="s">
        <v>466</v>
      </c>
      <c r="D1862" s="4">
        <v>34200</v>
      </c>
      <c r="E1862" s="4"/>
      <c r="F1862" s="4">
        <v>34200</v>
      </c>
      <c r="H1862" s="3">
        <f t="shared" si="28"/>
        <v>34200</v>
      </c>
    </row>
    <row r="1863" spans="1:8">
      <c r="B1863" t="s">
        <v>3055</v>
      </c>
      <c r="C1863" t="s">
        <v>635</v>
      </c>
      <c r="D1863" s="4"/>
      <c r="E1863" s="4">
        <v>80400</v>
      </c>
      <c r="F1863" s="4">
        <v>80400</v>
      </c>
      <c r="H1863" s="3">
        <f t="shared" si="28"/>
        <v>-80400</v>
      </c>
    </row>
    <row r="1864" spans="1:8">
      <c r="C1864" t="s">
        <v>466</v>
      </c>
      <c r="D1864" s="4"/>
      <c r="E1864" s="4">
        <v>34200</v>
      </c>
      <c r="F1864" s="4">
        <v>34200</v>
      </c>
      <c r="H1864" s="3">
        <f t="shared" si="28"/>
        <v>-34200</v>
      </c>
    </row>
    <row r="1865" spans="1:8">
      <c r="A1865" t="s">
        <v>2128</v>
      </c>
      <c r="B1865" t="s">
        <v>2129</v>
      </c>
      <c r="C1865" t="s">
        <v>635</v>
      </c>
      <c r="D1865" s="4">
        <v>238700</v>
      </c>
      <c r="E1865" s="4">
        <v>238700</v>
      </c>
      <c r="F1865" s="4">
        <v>477400</v>
      </c>
      <c r="H1865" s="3">
        <f t="shared" si="28"/>
        <v>0</v>
      </c>
    </row>
    <row r="1866" spans="1:8">
      <c r="A1866" t="s">
        <v>2163</v>
      </c>
      <c r="B1866" t="s">
        <v>2164</v>
      </c>
      <c r="C1866" t="s">
        <v>466</v>
      </c>
      <c r="D1866" s="4">
        <v>127100</v>
      </c>
      <c r="E1866" s="4">
        <v>127100</v>
      </c>
      <c r="F1866" s="4">
        <v>254200</v>
      </c>
      <c r="H1866" s="3">
        <f t="shared" si="28"/>
        <v>0</v>
      </c>
    </row>
    <row r="1867" spans="1:8">
      <c r="A1867" t="s">
        <v>2169</v>
      </c>
      <c r="B1867" t="s">
        <v>2170</v>
      </c>
      <c r="C1867" t="s">
        <v>466</v>
      </c>
      <c r="D1867" s="4">
        <v>84500</v>
      </c>
      <c r="E1867" s="4">
        <v>84500</v>
      </c>
      <c r="F1867" s="4">
        <v>169000</v>
      </c>
      <c r="H1867" s="3">
        <f t="shared" si="28"/>
        <v>0</v>
      </c>
    </row>
    <row r="1868" spans="1:8">
      <c r="A1868" t="s">
        <v>2187</v>
      </c>
      <c r="B1868" t="s">
        <v>2188</v>
      </c>
      <c r="C1868" t="s">
        <v>635</v>
      </c>
      <c r="D1868" s="4">
        <v>42200</v>
      </c>
      <c r="E1868" s="4">
        <v>42200</v>
      </c>
      <c r="F1868" s="4">
        <v>84400</v>
      </c>
      <c r="H1868" s="3">
        <f t="shared" si="28"/>
        <v>0</v>
      </c>
    </row>
    <row r="1869" spans="1:8">
      <c r="A1869" t="s">
        <v>2269</v>
      </c>
      <c r="B1869" t="s">
        <v>2270</v>
      </c>
      <c r="C1869" t="s">
        <v>466</v>
      </c>
      <c r="D1869" s="4">
        <v>84500</v>
      </c>
      <c r="E1869" s="4">
        <v>84500</v>
      </c>
      <c r="F1869" s="4">
        <v>169000</v>
      </c>
      <c r="H1869" s="3">
        <f t="shared" si="28"/>
        <v>0</v>
      </c>
    </row>
    <row r="1870" spans="1:8">
      <c r="A1870" t="s">
        <v>2288</v>
      </c>
      <c r="B1870" t="s">
        <v>2289</v>
      </c>
      <c r="C1870" t="s">
        <v>635</v>
      </c>
      <c r="D1870" s="4">
        <v>79300</v>
      </c>
      <c r="E1870" s="4">
        <v>79300</v>
      </c>
      <c r="F1870" s="4">
        <v>158600</v>
      </c>
      <c r="H1870" s="3">
        <f t="shared" si="28"/>
        <v>0</v>
      </c>
    </row>
    <row r="1871" spans="1:8">
      <c r="A1871" t="s">
        <v>2298</v>
      </c>
      <c r="B1871" t="s">
        <v>2299</v>
      </c>
      <c r="C1871" t="s">
        <v>635</v>
      </c>
      <c r="D1871" s="4">
        <v>83900</v>
      </c>
      <c r="E1871" s="4">
        <v>83900</v>
      </c>
      <c r="F1871" s="4">
        <v>167800</v>
      </c>
      <c r="H1871" s="3">
        <f t="shared" si="28"/>
        <v>0</v>
      </c>
    </row>
    <row r="1872" spans="1:8">
      <c r="A1872" t="s">
        <v>2303</v>
      </c>
      <c r="B1872" t="s">
        <v>2304</v>
      </c>
      <c r="C1872" t="s">
        <v>635</v>
      </c>
      <c r="D1872" s="4">
        <v>84700</v>
      </c>
      <c r="E1872" s="4">
        <v>84700</v>
      </c>
      <c r="F1872" s="4">
        <v>169400</v>
      </c>
      <c r="H1872" s="3">
        <f t="shared" si="28"/>
        <v>0</v>
      </c>
    </row>
    <row r="1873" spans="1:8">
      <c r="A1873" t="s">
        <v>2320</v>
      </c>
      <c r="B1873" t="s">
        <v>2321</v>
      </c>
      <c r="C1873" t="s">
        <v>635</v>
      </c>
      <c r="D1873" s="4">
        <v>134100</v>
      </c>
      <c r="E1873" s="4">
        <v>134100</v>
      </c>
      <c r="F1873" s="4">
        <v>268200</v>
      </c>
      <c r="H1873" s="3">
        <f t="shared" si="28"/>
        <v>0</v>
      </c>
    </row>
    <row r="1874" spans="1:8">
      <c r="A1874" t="s">
        <v>2378</v>
      </c>
      <c r="B1874" t="s">
        <v>2379</v>
      </c>
      <c r="C1874" t="s">
        <v>635</v>
      </c>
      <c r="D1874" s="4">
        <v>98900</v>
      </c>
      <c r="E1874" s="4">
        <v>98900</v>
      </c>
      <c r="F1874" s="4">
        <v>197800</v>
      </c>
      <c r="H1874" s="3">
        <f t="shared" si="28"/>
        <v>0</v>
      </c>
    </row>
    <row r="1875" spans="1:8">
      <c r="A1875" t="s">
        <v>2415</v>
      </c>
      <c r="B1875" t="s">
        <v>2416</v>
      </c>
      <c r="C1875" t="s">
        <v>635</v>
      </c>
      <c r="D1875" s="4">
        <v>159200</v>
      </c>
      <c r="E1875" s="4">
        <v>159200</v>
      </c>
      <c r="F1875" s="4">
        <v>318400</v>
      </c>
      <c r="H1875" s="3">
        <f t="shared" si="28"/>
        <v>0</v>
      </c>
    </row>
    <row r="1876" spans="1:8">
      <c r="A1876" t="s">
        <v>2441</v>
      </c>
      <c r="B1876" t="s">
        <v>2442</v>
      </c>
      <c r="C1876" t="s">
        <v>466</v>
      </c>
      <c r="D1876" s="4">
        <v>84500</v>
      </c>
      <c r="E1876" s="4">
        <v>84500</v>
      </c>
      <c r="F1876" s="4">
        <v>169000</v>
      </c>
      <c r="H1876" s="3">
        <f t="shared" si="28"/>
        <v>0</v>
      </c>
    </row>
    <row r="1877" spans="1:8">
      <c r="A1877" t="s">
        <v>2458</v>
      </c>
      <c r="B1877" t="s">
        <v>2459</v>
      </c>
      <c r="C1877" t="s">
        <v>635</v>
      </c>
      <c r="D1877" s="4">
        <v>61300</v>
      </c>
      <c r="E1877" s="4">
        <v>61300</v>
      </c>
      <c r="F1877" s="4">
        <v>122600</v>
      </c>
      <c r="H1877" s="3">
        <f t="shared" si="28"/>
        <v>0</v>
      </c>
    </row>
    <row r="1878" spans="1:8">
      <c r="A1878" t="s">
        <v>2594</v>
      </c>
      <c r="B1878" t="s">
        <v>2595</v>
      </c>
      <c r="C1878" t="s">
        <v>635</v>
      </c>
      <c r="D1878" s="4">
        <v>118100</v>
      </c>
      <c r="E1878" s="4">
        <v>118100</v>
      </c>
      <c r="F1878" s="4">
        <v>236200</v>
      </c>
      <c r="H1878" s="3">
        <f t="shared" si="28"/>
        <v>0</v>
      </c>
    </row>
    <row r="1879" spans="1:8">
      <c r="A1879" t="s">
        <v>2636</v>
      </c>
      <c r="B1879" t="s">
        <v>2637</v>
      </c>
      <c r="C1879" t="s">
        <v>635</v>
      </c>
      <c r="D1879" s="4">
        <v>87700</v>
      </c>
      <c r="E1879" s="4">
        <v>87700</v>
      </c>
      <c r="F1879" s="4">
        <v>175400</v>
      </c>
      <c r="H1879" s="3">
        <f t="shared" si="28"/>
        <v>0</v>
      </c>
    </row>
    <row r="1880" spans="1:8">
      <c r="A1880" t="s">
        <v>2674</v>
      </c>
      <c r="B1880" t="s">
        <v>2675</v>
      </c>
      <c r="C1880" t="s">
        <v>635</v>
      </c>
      <c r="D1880" s="4">
        <v>31800</v>
      </c>
      <c r="E1880" s="4">
        <v>31800</v>
      </c>
      <c r="F1880" s="4">
        <v>63600</v>
      </c>
      <c r="H1880" s="3">
        <f t="shared" si="28"/>
        <v>0</v>
      </c>
    </row>
    <row r="1881" spans="1:8">
      <c r="A1881" t="s">
        <v>2682</v>
      </c>
      <c r="B1881" t="s">
        <v>2683</v>
      </c>
      <c r="C1881" t="s">
        <v>635</v>
      </c>
      <c r="D1881" s="4">
        <v>113600</v>
      </c>
      <c r="E1881" s="4">
        <v>113600</v>
      </c>
      <c r="F1881" s="4">
        <v>227200</v>
      </c>
      <c r="H1881" s="3">
        <f t="shared" si="28"/>
        <v>0</v>
      </c>
    </row>
    <row r="1882" spans="1:8">
      <c r="A1882" t="s">
        <v>2696</v>
      </c>
      <c r="B1882" t="s">
        <v>2697</v>
      </c>
      <c r="C1882" t="s">
        <v>635</v>
      </c>
      <c r="D1882" s="4">
        <v>148600</v>
      </c>
      <c r="E1882" s="4">
        <v>148600</v>
      </c>
      <c r="F1882" s="4">
        <v>297200</v>
      </c>
      <c r="H1882" s="3">
        <f t="shared" si="28"/>
        <v>0</v>
      </c>
    </row>
    <row r="1883" spans="1:8">
      <c r="A1883" t="s">
        <v>2707</v>
      </c>
      <c r="B1883" t="s">
        <v>2708</v>
      </c>
      <c r="C1883" t="s">
        <v>635</v>
      </c>
      <c r="D1883" s="4">
        <v>161200</v>
      </c>
      <c r="E1883" s="4">
        <v>161200</v>
      </c>
      <c r="F1883" s="4">
        <v>322400</v>
      </c>
      <c r="H1883" s="3">
        <f t="shared" si="28"/>
        <v>0</v>
      </c>
    </row>
    <row r="1884" spans="1:8">
      <c r="A1884" t="s">
        <v>2718</v>
      </c>
      <c r="B1884" t="s">
        <v>2719</v>
      </c>
      <c r="C1884" t="s">
        <v>635</v>
      </c>
      <c r="D1884" s="4">
        <v>107500</v>
      </c>
      <c r="E1884" s="4">
        <v>107500</v>
      </c>
      <c r="F1884" s="4">
        <v>215000</v>
      </c>
      <c r="H1884" s="3">
        <f t="shared" si="28"/>
        <v>0</v>
      </c>
    </row>
    <row r="1885" spans="1:8">
      <c r="A1885" t="s">
        <v>2778</v>
      </c>
      <c r="B1885" t="s">
        <v>2779</v>
      </c>
      <c r="C1885" t="s">
        <v>635</v>
      </c>
      <c r="D1885" s="4">
        <v>119100</v>
      </c>
      <c r="E1885" s="4">
        <v>119100</v>
      </c>
      <c r="F1885" s="4">
        <v>238200</v>
      </c>
      <c r="H1885" s="3">
        <f t="shared" si="28"/>
        <v>0</v>
      </c>
    </row>
    <row r="1886" spans="1:8">
      <c r="A1886" t="s">
        <v>2834</v>
      </c>
      <c r="B1886" t="s">
        <v>2835</v>
      </c>
      <c r="C1886" t="s">
        <v>635</v>
      </c>
      <c r="D1886" s="4">
        <v>193300</v>
      </c>
      <c r="E1886" s="4">
        <v>193300</v>
      </c>
      <c r="F1886" s="4">
        <v>386600</v>
      </c>
      <c r="H1886" s="3">
        <f t="shared" ref="H1886:H1949" si="29">+D1886-E1886</f>
        <v>0</v>
      </c>
    </row>
    <row r="1887" spans="1:8">
      <c r="A1887" t="s">
        <v>2863</v>
      </c>
      <c r="B1887" t="s">
        <v>2864</v>
      </c>
      <c r="C1887" t="s">
        <v>635</v>
      </c>
      <c r="D1887" s="4">
        <v>139400</v>
      </c>
      <c r="E1887" s="4">
        <v>139400</v>
      </c>
      <c r="F1887" s="4">
        <v>278800</v>
      </c>
      <c r="H1887" s="3">
        <f t="shared" si="29"/>
        <v>0</v>
      </c>
    </row>
    <row r="1888" spans="1:8">
      <c r="A1888" t="s">
        <v>2915</v>
      </c>
      <c r="B1888" t="s">
        <v>2916</v>
      </c>
      <c r="C1888" t="s">
        <v>635</v>
      </c>
      <c r="D1888" s="4">
        <v>91200</v>
      </c>
      <c r="E1888" s="4">
        <v>91200</v>
      </c>
      <c r="F1888" s="4">
        <v>182400</v>
      </c>
      <c r="H1888" s="3">
        <f t="shared" si="29"/>
        <v>0</v>
      </c>
    </row>
    <row r="1889" spans="1:8">
      <c r="A1889" t="s">
        <v>2925</v>
      </c>
      <c r="B1889" t="s">
        <v>2926</v>
      </c>
      <c r="C1889" t="s">
        <v>635</v>
      </c>
      <c r="D1889" s="4">
        <v>66400</v>
      </c>
      <c r="E1889" s="4">
        <v>66400</v>
      </c>
      <c r="F1889" s="4">
        <v>132800</v>
      </c>
      <c r="H1889" s="3">
        <f t="shared" si="29"/>
        <v>0</v>
      </c>
    </row>
    <row r="1890" spans="1:8">
      <c r="A1890" t="s">
        <v>2936</v>
      </c>
      <c r="B1890" t="s">
        <v>2937</v>
      </c>
      <c r="C1890" t="s">
        <v>635</v>
      </c>
      <c r="D1890" s="4">
        <v>161200</v>
      </c>
      <c r="E1890" s="4">
        <v>161200</v>
      </c>
      <c r="F1890" s="4">
        <v>322400</v>
      </c>
      <c r="H1890" s="3">
        <f t="shared" si="29"/>
        <v>0</v>
      </c>
    </row>
    <row r="1891" spans="1:8">
      <c r="A1891" t="s">
        <v>2947</v>
      </c>
      <c r="B1891" t="s">
        <v>2948</v>
      </c>
      <c r="C1891" t="s">
        <v>635</v>
      </c>
      <c r="D1891" s="4">
        <v>108600</v>
      </c>
      <c r="E1891" s="4">
        <v>108600</v>
      </c>
      <c r="F1891" s="4">
        <v>217200</v>
      </c>
      <c r="H1891" s="3">
        <f t="shared" si="29"/>
        <v>0</v>
      </c>
    </row>
    <row r="1892" spans="1:8">
      <c r="A1892" t="s">
        <v>2967</v>
      </c>
      <c r="B1892" t="s">
        <v>2968</v>
      </c>
      <c r="C1892" t="s">
        <v>635</v>
      </c>
      <c r="D1892" s="4">
        <v>113100</v>
      </c>
      <c r="E1892" s="4">
        <v>113100</v>
      </c>
      <c r="F1892" s="4">
        <v>226200</v>
      </c>
      <c r="H1892" s="3">
        <f t="shared" si="29"/>
        <v>0</v>
      </c>
    </row>
    <row r="1893" spans="1:8">
      <c r="A1893" t="s">
        <v>2982</v>
      </c>
      <c r="B1893" t="s">
        <v>2983</v>
      </c>
      <c r="C1893" t="s">
        <v>635</v>
      </c>
      <c r="D1893" s="4">
        <v>176600</v>
      </c>
      <c r="E1893" s="4">
        <v>176600</v>
      </c>
      <c r="F1893" s="4">
        <v>353200</v>
      </c>
      <c r="H1893" s="3">
        <f t="shared" si="29"/>
        <v>0</v>
      </c>
    </row>
    <row r="1894" spans="1:8">
      <c r="A1894" t="s">
        <v>3020</v>
      </c>
      <c r="B1894" t="s">
        <v>3021</v>
      </c>
      <c r="C1894" t="s">
        <v>635</v>
      </c>
      <c r="D1894" s="4">
        <v>82300</v>
      </c>
      <c r="E1894" s="4">
        <v>82300</v>
      </c>
      <c r="F1894" s="4">
        <v>164600</v>
      </c>
      <c r="H1894" s="3">
        <f t="shared" si="29"/>
        <v>0</v>
      </c>
    </row>
    <row r="1895" spans="1:8">
      <c r="A1895" t="s">
        <v>3023</v>
      </c>
      <c r="B1895" t="s">
        <v>3024</v>
      </c>
      <c r="C1895" t="s">
        <v>635</v>
      </c>
      <c r="D1895" s="4">
        <v>93700</v>
      </c>
      <c r="E1895" s="4">
        <v>93700</v>
      </c>
      <c r="F1895" s="4">
        <v>187400</v>
      </c>
      <c r="H1895" s="3">
        <f t="shared" si="29"/>
        <v>0</v>
      </c>
    </row>
    <row r="1896" spans="1:8">
      <c r="A1896" t="s">
        <v>3028</v>
      </c>
      <c r="B1896" t="s">
        <v>3029</v>
      </c>
      <c r="C1896" t="s">
        <v>635</v>
      </c>
      <c r="D1896" s="4">
        <v>298500</v>
      </c>
      <c r="E1896" s="4">
        <v>298500</v>
      </c>
      <c r="F1896" s="4">
        <v>597000</v>
      </c>
      <c r="H1896" s="3">
        <f t="shared" si="29"/>
        <v>0</v>
      </c>
    </row>
    <row r="1897" spans="1:8">
      <c r="A1897" t="s">
        <v>3044</v>
      </c>
      <c r="B1897" t="s">
        <v>3045</v>
      </c>
      <c r="C1897" t="s">
        <v>635</v>
      </c>
      <c r="D1897" s="4">
        <v>119900</v>
      </c>
      <c r="E1897" s="4">
        <v>119900</v>
      </c>
      <c r="F1897" s="4">
        <v>239800</v>
      </c>
      <c r="H1897" s="3">
        <f t="shared" si="29"/>
        <v>0</v>
      </c>
    </row>
    <row r="1898" spans="1:8">
      <c r="A1898" t="s">
        <v>1660</v>
      </c>
      <c r="B1898" t="s">
        <v>1661</v>
      </c>
      <c r="C1898" t="s">
        <v>635</v>
      </c>
      <c r="D1898" s="4">
        <v>142700</v>
      </c>
      <c r="E1898" s="4">
        <v>142700</v>
      </c>
      <c r="F1898" s="4">
        <v>285400</v>
      </c>
      <c r="H1898" s="3">
        <f t="shared" si="29"/>
        <v>0</v>
      </c>
    </row>
    <row r="1899" spans="1:8">
      <c r="A1899" t="s">
        <v>1686</v>
      </c>
      <c r="B1899" t="s">
        <v>1687</v>
      </c>
      <c r="C1899" t="s">
        <v>635</v>
      </c>
      <c r="D1899" s="4">
        <v>110900</v>
      </c>
      <c r="E1899" s="4">
        <v>110900</v>
      </c>
      <c r="F1899" s="4">
        <v>221800</v>
      </c>
      <c r="H1899" s="3">
        <f t="shared" si="29"/>
        <v>0</v>
      </c>
    </row>
    <row r="1900" spans="1:8">
      <c r="A1900" t="s">
        <v>1851</v>
      </c>
      <c r="B1900" t="s">
        <v>1852</v>
      </c>
      <c r="C1900" t="s">
        <v>635</v>
      </c>
      <c r="D1900" s="4">
        <v>117900</v>
      </c>
      <c r="E1900" s="4">
        <v>117900</v>
      </c>
      <c r="F1900" s="4">
        <v>235800</v>
      </c>
      <c r="H1900" s="3">
        <f t="shared" si="29"/>
        <v>0</v>
      </c>
    </row>
    <row r="1901" spans="1:8">
      <c r="A1901" t="s">
        <v>1862</v>
      </c>
      <c r="B1901" t="s">
        <v>1863</v>
      </c>
      <c r="C1901" t="s">
        <v>635</v>
      </c>
      <c r="D1901" s="4">
        <v>100800</v>
      </c>
      <c r="E1901" s="4">
        <v>100800</v>
      </c>
      <c r="F1901" s="4">
        <v>201600</v>
      </c>
      <c r="H1901" s="3">
        <f t="shared" si="29"/>
        <v>0</v>
      </c>
    </row>
    <row r="1902" spans="1:8">
      <c r="A1902" t="s">
        <v>1962</v>
      </c>
      <c r="B1902" t="s">
        <v>1963</v>
      </c>
      <c r="C1902" t="s">
        <v>635</v>
      </c>
      <c r="D1902" s="4">
        <v>120700</v>
      </c>
      <c r="E1902" s="4">
        <v>120700</v>
      </c>
      <c r="F1902" s="4">
        <v>241400</v>
      </c>
      <c r="H1902" s="3">
        <f t="shared" si="29"/>
        <v>0</v>
      </c>
    </row>
    <row r="1903" spans="1:8">
      <c r="A1903" t="s">
        <v>2000</v>
      </c>
      <c r="B1903" t="s">
        <v>2001</v>
      </c>
      <c r="C1903" t="s">
        <v>635</v>
      </c>
      <c r="D1903" s="4">
        <v>85800</v>
      </c>
      <c r="E1903" s="4">
        <v>85800</v>
      </c>
      <c r="F1903" s="4">
        <v>171600</v>
      </c>
      <c r="H1903" s="3">
        <f t="shared" si="29"/>
        <v>0</v>
      </c>
    </row>
    <row r="1904" spans="1:8">
      <c r="A1904" t="s">
        <v>2006</v>
      </c>
      <c r="B1904" t="s">
        <v>2007</v>
      </c>
      <c r="C1904" t="s">
        <v>635</v>
      </c>
      <c r="D1904" s="4">
        <v>84800</v>
      </c>
      <c r="E1904" s="4">
        <v>84800</v>
      </c>
      <c r="F1904" s="4">
        <v>169600</v>
      </c>
      <c r="H1904" s="3">
        <f t="shared" si="29"/>
        <v>0</v>
      </c>
    </row>
    <row r="1905" spans="1:8">
      <c r="A1905" t="s">
        <v>2067</v>
      </c>
      <c r="B1905" t="s">
        <v>2068</v>
      </c>
      <c r="C1905" t="s">
        <v>635</v>
      </c>
      <c r="D1905" s="4">
        <v>127500</v>
      </c>
      <c r="E1905" s="4">
        <v>127500</v>
      </c>
      <c r="F1905" s="4">
        <v>255000</v>
      </c>
      <c r="H1905" s="3">
        <f t="shared" si="29"/>
        <v>0</v>
      </c>
    </row>
    <row r="1906" spans="1:8">
      <c r="A1906" t="s">
        <v>2291</v>
      </c>
      <c r="B1906" t="s">
        <v>2292</v>
      </c>
      <c r="C1906" t="s">
        <v>635</v>
      </c>
      <c r="D1906" s="4">
        <v>42500</v>
      </c>
      <c r="E1906" s="4">
        <v>42500</v>
      </c>
      <c r="F1906" s="4">
        <v>85000</v>
      </c>
      <c r="H1906" s="3">
        <f t="shared" si="29"/>
        <v>0</v>
      </c>
    </row>
    <row r="1907" spans="1:8">
      <c r="A1907" t="s">
        <v>2307</v>
      </c>
      <c r="B1907" t="s">
        <v>2308</v>
      </c>
      <c r="C1907" t="s">
        <v>635</v>
      </c>
      <c r="D1907" s="4">
        <v>48000</v>
      </c>
      <c r="E1907" s="4">
        <v>48000</v>
      </c>
      <c r="F1907" s="4">
        <v>96000</v>
      </c>
      <c r="H1907" s="3">
        <f t="shared" si="29"/>
        <v>0</v>
      </c>
    </row>
    <row r="1908" spans="1:8">
      <c r="A1908" t="s">
        <v>2782</v>
      </c>
      <c r="B1908" t="s">
        <v>2783</v>
      </c>
      <c r="C1908" t="s">
        <v>635</v>
      </c>
      <c r="D1908" s="4">
        <v>94200</v>
      </c>
      <c r="E1908" s="4">
        <v>94200</v>
      </c>
      <c r="F1908" s="4">
        <v>188400</v>
      </c>
      <c r="H1908" s="3">
        <f t="shared" si="29"/>
        <v>0</v>
      </c>
    </row>
    <row r="1909" spans="1:8">
      <c r="A1909" t="s">
        <v>2958</v>
      </c>
      <c r="B1909" t="s">
        <v>2959</v>
      </c>
      <c r="C1909" t="s">
        <v>635</v>
      </c>
      <c r="D1909" s="4">
        <v>126500</v>
      </c>
      <c r="E1909" s="4">
        <v>126500</v>
      </c>
      <c r="F1909" s="4">
        <v>253000</v>
      </c>
      <c r="H1909" s="3">
        <f t="shared" si="29"/>
        <v>0</v>
      </c>
    </row>
    <row r="1910" spans="1:8">
      <c r="A1910" t="s">
        <v>2970</v>
      </c>
      <c r="B1910" t="s">
        <v>2971</v>
      </c>
      <c r="C1910" t="s">
        <v>635</v>
      </c>
      <c r="D1910" s="4">
        <v>117700</v>
      </c>
      <c r="E1910" s="4">
        <v>117700</v>
      </c>
      <c r="F1910" s="4">
        <v>235400</v>
      </c>
      <c r="H1910" s="3">
        <f t="shared" si="29"/>
        <v>0</v>
      </c>
    </row>
    <row r="1911" spans="1:8">
      <c r="A1911" t="s">
        <v>2047</v>
      </c>
      <c r="B1911" t="s">
        <v>2048</v>
      </c>
      <c r="C1911" t="s">
        <v>635</v>
      </c>
      <c r="D1911" s="4">
        <v>114500</v>
      </c>
      <c r="E1911" s="4">
        <v>114500</v>
      </c>
      <c r="F1911" s="4">
        <v>229000</v>
      </c>
      <c r="H1911" s="3">
        <f t="shared" si="29"/>
        <v>0</v>
      </c>
    </row>
    <row r="1912" spans="1:8">
      <c r="A1912" t="s">
        <v>2050</v>
      </c>
      <c r="B1912" t="s">
        <v>2051</v>
      </c>
      <c r="C1912" t="s">
        <v>635</v>
      </c>
      <c r="D1912" s="4">
        <v>119000</v>
      </c>
      <c r="E1912" s="4">
        <v>119000</v>
      </c>
      <c r="F1912" s="4">
        <v>238000</v>
      </c>
      <c r="H1912" s="3">
        <f t="shared" si="29"/>
        <v>0</v>
      </c>
    </row>
    <row r="1913" spans="1:8">
      <c r="A1913" t="s">
        <v>2344</v>
      </c>
      <c r="B1913" t="s">
        <v>2345</v>
      </c>
      <c r="C1913" t="s">
        <v>635</v>
      </c>
      <c r="D1913" s="4">
        <v>38100</v>
      </c>
      <c r="E1913" s="4">
        <v>38100</v>
      </c>
      <c r="F1913" s="4">
        <v>76200</v>
      </c>
      <c r="H1913" s="3">
        <f t="shared" si="29"/>
        <v>0</v>
      </c>
    </row>
    <row r="1914" spans="1:8">
      <c r="A1914" t="s">
        <v>2647</v>
      </c>
      <c r="B1914" t="s">
        <v>2648</v>
      </c>
      <c r="C1914" t="s">
        <v>635</v>
      </c>
      <c r="D1914" s="4">
        <v>142700</v>
      </c>
      <c r="E1914" s="4">
        <v>142700</v>
      </c>
      <c r="F1914" s="4">
        <v>285400</v>
      </c>
      <c r="H1914" s="3">
        <f t="shared" si="29"/>
        <v>0</v>
      </c>
    </row>
    <row r="1915" spans="1:8">
      <c r="A1915" t="s">
        <v>2649</v>
      </c>
      <c r="B1915" t="s">
        <v>2650</v>
      </c>
      <c r="C1915" t="s">
        <v>635</v>
      </c>
      <c r="D1915" s="4">
        <v>118000</v>
      </c>
      <c r="E1915" s="4">
        <v>118000</v>
      </c>
      <c r="F1915" s="4">
        <v>236000</v>
      </c>
      <c r="H1915" s="3">
        <f t="shared" si="29"/>
        <v>0</v>
      </c>
    </row>
    <row r="1916" spans="1:8">
      <c r="A1916" t="s">
        <v>2688</v>
      </c>
      <c r="B1916" t="s">
        <v>2689</v>
      </c>
      <c r="C1916" t="s">
        <v>635</v>
      </c>
      <c r="D1916" s="4">
        <v>57400</v>
      </c>
      <c r="E1916" s="4">
        <v>57400</v>
      </c>
      <c r="F1916" s="4">
        <v>114800</v>
      </c>
      <c r="H1916" s="3">
        <f t="shared" si="29"/>
        <v>0</v>
      </c>
    </row>
    <row r="1917" spans="1:8">
      <c r="A1917" t="s">
        <v>2703</v>
      </c>
      <c r="B1917" t="s">
        <v>2704</v>
      </c>
      <c r="C1917" t="s">
        <v>635</v>
      </c>
      <c r="D1917" s="4">
        <v>96300</v>
      </c>
      <c r="E1917" s="4">
        <v>96300</v>
      </c>
      <c r="F1917" s="4">
        <v>192600</v>
      </c>
      <c r="H1917" s="3">
        <f t="shared" si="29"/>
        <v>0</v>
      </c>
    </row>
    <row r="1918" spans="1:8">
      <c r="A1918" t="s">
        <v>2793</v>
      </c>
      <c r="B1918" t="s">
        <v>2794</v>
      </c>
      <c r="C1918" t="s">
        <v>466</v>
      </c>
      <c r="D1918" s="4">
        <v>135300</v>
      </c>
      <c r="E1918" s="4">
        <v>135300</v>
      </c>
      <c r="F1918" s="4">
        <v>270600</v>
      </c>
      <c r="H1918" s="3">
        <f t="shared" si="29"/>
        <v>0</v>
      </c>
    </row>
    <row r="1919" spans="1:8">
      <c r="A1919" t="s">
        <v>2797</v>
      </c>
      <c r="B1919" t="s">
        <v>2798</v>
      </c>
      <c r="C1919" t="s">
        <v>635</v>
      </c>
      <c r="D1919" s="4">
        <v>141800</v>
      </c>
      <c r="E1919" s="4">
        <v>141800</v>
      </c>
      <c r="F1919" s="4">
        <v>283600</v>
      </c>
      <c r="H1919" s="3">
        <f t="shared" si="29"/>
        <v>0</v>
      </c>
    </row>
    <row r="1920" spans="1:8">
      <c r="A1920" t="s">
        <v>1432</v>
      </c>
      <c r="B1920" t="s">
        <v>1433</v>
      </c>
      <c r="C1920" t="s">
        <v>635</v>
      </c>
      <c r="D1920" s="4">
        <v>81400</v>
      </c>
      <c r="E1920" s="4">
        <v>81400</v>
      </c>
      <c r="F1920" s="4">
        <v>162800</v>
      </c>
      <c r="H1920" s="3">
        <f t="shared" si="29"/>
        <v>0</v>
      </c>
    </row>
    <row r="1921" spans="1:8">
      <c r="A1921" t="s">
        <v>1457</v>
      </c>
      <c r="B1921" t="s">
        <v>1458</v>
      </c>
      <c r="C1921" t="s">
        <v>635</v>
      </c>
      <c r="D1921" s="4">
        <v>85400</v>
      </c>
      <c r="E1921" s="4">
        <v>85400</v>
      </c>
      <c r="F1921" s="4">
        <v>170800</v>
      </c>
      <c r="H1921" s="3">
        <f t="shared" si="29"/>
        <v>0</v>
      </c>
    </row>
    <row r="1922" spans="1:8">
      <c r="A1922" t="s">
        <v>1618</v>
      </c>
      <c r="B1922" t="s">
        <v>1619</v>
      </c>
      <c r="C1922" t="s">
        <v>635</v>
      </c>
      <c r="D1922" s="4">
        <v>82300</v>
      </c>
      <c r="E1922" s="4">
        <v>82300</v>
      </c>
      <c r="F1922" s="4">
        <v>164600</v>
      </c>
      <c r="H1922" s="3">
        <f t="shared" si="29"/>
        <v>0</v>
      </c>
    </row>
    <row r="1923" spans="1:8">
      <c r="A1923" t="s">
        <v>1690</v>
      </c>
      <c r="B1923" t="s">
        <v>1691</v>
      </c>
      <c r="C1923" t="s">
        <v>635</v>
      </c>
      <c r="D1923" s="4">
        <v>50400</v>
      </c>
      <c r="E1923" s="4">
        <v>50400</v>
      </c>
      <c r="F1923" s="4">
        <v>100800</v>
      </c>
      <c r="H1923" s="3">
        <f t="shared" si="29"/>
        <v>0</v>
      </c>
    </row>
    <row r="1924" spans="1:8">
      <c r="A1924" t="s">
        <v>1726</v>
      </c>
      <c r="B1924" t="s">
        <v>1727</v>
      </c>
      <c r="C1924" t="s">
        <v>635</v>
      </c>
      <c r="D1924" s="4">
        <v>195700</v>
      </c>
      <c r="E1924" s="4">
        <v>195700</v>
      </c>
      <c r="F1924" s="4">
        <v>391400</v>
      </c>
      <c r="H1924" s="3">
        <f t="shared" si="29"/>
        <v>0</v>
      </c>
    </row>
    <row r="1925" spans="1:8">
      <c r="A1925" t="s">
        <v>1778</v>
      </c>
      <c r="B1925" t="s">
        <v>1779</v>
      </c>
      <c r="C1925" t="s">
        <v>466</v>
      </c>
      <c r="D1925" s="4">
        <v>82400</v>
      </c>
      <c r="E1925" s="4">
        <v>82400</v>
      </c>
      <c r="F1925" s="4">
        <v>164800</v>
      </c>
      <c r="H1925" s="3">
        <f t="shared" si="29"/>
        <v>0</v>
      </c>
    </row>
    <row r="1926" spans="1:8">
      <c r="A1926" t="s">
        <v>1787</v>
      </c>
      <c r="B1926" t="s">
        <v>1788</v>
      </c>
      <c r="C1926" t="s">
        <v>635</v>
      </c>
      <c r="D1926" s="4">
        <v>99100</v>
      </c>
      <c r="E1926" s="4">
        <v>99100</v>
      </c>
      <c r="F1926" s="4">
        <v>198200</v>
      </c>
      <c r="H1926" s="3">
        <f t="shared" si="29"/>
        <v>0</v>
      </c>
    </row>
    <row r="1927" spans="1:8">
      <c r="A1927" t="s">
        <v>1794</v>
      </c>
      <c r="B1927" t="s">
        <v>1795</v>
      </c>
      <c r="C1927" t="s">
        <v>635</v>
      </c>
      <c r="D1927" s="4">
        <v>91500</v>
      </c>
      <c r="E1927" s="4"/>
      <c r="F1927" s="4">
        <v>91500</v>
      </c>
      <c r="H1927" s="3">
        <f t="shared" si="29"/>
        <v>91500</v>
      </c>
    </row>
    <row r="1928" spans="1:8">
      <c r="B1928" t="s">
        <v>3051</v>
      </c>
      <c r="C1928" t="s">
        <v>635</v>
      </c>
      <c r="D1928" s="4"/>
      <c r="E1928" s="4">
        <v>91500</v>
      </c>
      <c r="F1928" s="4">
        <v>91500</v>
      </c>
      <c r="H1928" s="3">
        <f t="shared" si="29"/>
        <v>-91500</v>
      </c>
    </row>
    <row r="1929" spans="1:8">
      <c r="A1929" t="s">
        <v>1815</v>
      </c>
      <c r="B1929" t="s">
        <v>1816</v>
      </c>
      <c r="C1929" t="s">
        <v>635</v>
      </c>
      <c r="D1929" s="4">
        <v>88700</v>
      </c>
      <c r="E1929" s="4">
        <v>88700</v>
      </c>
      <c r="F1929" s="4">
        <v>177400</v>
      </c>
      <c r="H1929" s="3">
        <f t="shared" si="29"/>
        <v>0</v>
      </c>
    </row>
    <row r="1930" spans="1:8">
      <c r="A1930" t="s">
        <v>1825</v>
      </c>
      <c r="B1930" t="s">
        <v>1826</v>
      </c>
      <c r="C1930" t="s">
        <v>466</v>
      </c>
      <c r="D1930" s="4">
        <v>119200</v>
      </c>
      <c r="E1930" s="4">
        <v>119200</v>
      </c>
      <c r="F1930" s="4">
        <v>238400</v>
      </c>
      <c r="H1930" s="3">
        <f t="shared" si="29"/>
        <v>0</v>
      </c>
    </row>
    <row r="1931" spans="1:8">
      <c r="A1931" t="s">
        <v>1880</v>
      </c>
      <c r="B1931" t="s">
        <v>1881</v>
      </c>
      <c r="C1931" t="s">
        <v>635</v>
      </c>
      <c r="D1931" s="4">
        <v>81200</v>
      </c>
      <c r="E1931" s="4">
        <v>81200</v>
      </c>
      <c r="F1931" s="4">
        <v>162400</v>
      </c>
      <c r="H1931" s="3">
        <f t="shared" si="29"/>
        <v>0</v>
      </c>
    </row>
    <row r="1932" spans="1:8">
      <c r="A1932" t="s">
        <v>1921</v>
      </c>
      <c r="B1932" t="s">
        <v>1922</v>
      </c>
      <c r="C1932" t="s">
        <v>466</v>
      </c>
      <c r="D1932" s="4">
        <v>95000</v>
      </c>
      <c r="E1932" s="4">
        <v>95000</v>
      </c>
      <c r="F1932" s="4">
        <v>190000</v>
      </c>
      <c r="H1932" s="3">
        <f t="shared" si="29"/>
        <v>0</v>
      </c>
    </row>
    <row r="1933" spans="1:8">
      <c r="A1933" t="s">
        <v>1926</v>
      </c>
      <c r="B1933" t="s">
        <v>1927</v>
      </c>
      <c r="C1933" t="s">
        <v>466</v>
      </c>
      <c r="D1933" s="4">
        <v>110100</v>
      </c>
      <c r="E1933" s="4">
        <v>110100</v>
      </c>
      <c r="F1933" s="4">
        <v>220200</v>
      </c>
      <c r="H1933" s="3">
        <f t="shared" si="29"/>
        <v>0</v>
      </c>
    </row>
    <row r="1934" spans="1:8">
      <c r="A1934" t="s">
        <v>2100</v>
      </c>
      <c r="B1934" t="s">
        <v>2101</v>
      </c>
      <c r="C1934" t="s">
        <v>635</v>
      </c>
      <c r="D1934" s="4">
        <v>86100</v>
      </c>
      <c r="E1934" s="4">
        <v>86100</v>
      </c>
      <c r="F1934" s="4">
        <v>172200</v>
      </c>
      <c r="H1934" s="3">
        <f t="shared" si="29"/>
        <v>0</v>
      </c>
    </row>
    <row r="1935" spans="1:8">
      <c r="A1935" t="s">
        <v>2103</v>
      </c>
      <c r="B1935" t="s">
        <v>2104</v>
      </c>
      <c r="C1935" t="s">
        <v>635</v>
      </c>
      <c r="D1935" s="4">
        <v>112500</v>
      </c>
      <c r="E1935" s="4">
        <v>112500</v>
      </c>
      <c r="F1935" s="4">
        <v>225000</v>
      </c>
      <c r="H1935" s="3">
        <f t="shared" si="29"/>
        <v>0</v>
      </c>
    </row>
    <row r="1936" spans="1:8">
      <c r="A1936" t="s">
        <v>2133</v>
      </c>
      <c r="B1936" t="s">
        <v>2134</v>
      </c>
      <c r="C1936" t="s">
        <v>635</v>
      </c>
      <c r="D1936" s="4">
        <v>166100</v>
      </c>
      <c r="E1936" s="4">
        <v>166100</v>
      </c>
      <c r="F1936" s="4">
        <v>332200</v>
      </c>
      <c r="H1936" s="3">
        <f t="shared" si="29"/>
        <v>0</v>
      </c>
    </row>
    <row r="1937" spans="1:8">
      <c r="A1937" t="s">
        <v>2209</v>
      </c>
      <c r="B1937" t="s">
        <v>2210</v>
      </c>
      <c r="C1937" t="s">
        <v>466</v>
      </c>
      <c r="D1937" s="4">
        <v>80900</v>
      </c>
      <c r="E1937" s="4"/>
      <c r="F1937" s="4">
        <v>80900</v>
      </c>
      <c r="H1937" s="3">
        <f t="shared" si="29"/>
        <v>80900</v>
      </c>
    </row>
    <row r="1938" spans="1:8">
      <c r="B1938" t="s">
        <v>3062</v>
      </c>
      <c r="C1938" t="s">
        <v>466</v>
      </c>
      <c r="D1938" s="4"/>
      <c r="E1938" s="4">
        <v>80900</v>
      </c>
      <c r="F1938" s="4">
        <v>80900</v>
      </c>
      <c r="H1938" s="3">
        <f t="shared" si="29"/>
        <v>-80900</v>
      </c>
    </row>
    <row r="1939" spans="1:8">
      <c r="A1939" t="s">
        <v>2235</v>
      </c>
      <c r="B1939" t="s">
        <v>2236</v>
      </c>
      <c r="C1939" t="s">
        <v>466</v>
      </c>
      <c r="D1939" s="4">
        <v>24200</v>
      </c>
      <c r="E1939" s="4">
        <v>24200</v>
      </c>
      <c r="F1939" s="4">
        <v>48400</v>
      </c>
      <c r="H1939" s="3">
        <f t="shared" si="29"/>
        <v>0</v>
      </c>
    </row>
    <row r="1940" spans="1:8">
      <c r="A1940" t="s">
        <v>2244</v>
      </c>
      <c r="B1940" t="s">
        <v>2245</v>
      </c>
      <c r="C1940" t="s">
        <v>466</v>
      </c>
      <c r="D1940" s="4">
        <v>81000</v>
      </c>
      <c r="E1940" s="4"/>
      <c r="F1940" s="4">
        <v>81000</v>
      </c>
      <c r="H1940" s="3">
        <f t="shared" si="29"/>
        <v>81000</v>
      </c>
    </row>
    <row r="1941" spans="1:8">
      <c r="B1941" t="s">
        <v>3063</v>
      </c>
      <c r="C1941" t="s">
        <v>466</v>
      </c>
      <c r="D1941" s="4"/>
      <c r="E1941" s="4">
        <v>81000</v>
      </c>
      <c r="F1941" s="4">
        <v>81000</v>
      </c>
      <c r="H1941" s="3">
        <f t="shared" si="29"/>
        <v>-81000</v>
      </c>
    </row>
    <row r="1942" spans="1:8">
      <c r="A1942" t="s">
        <v>2248</v>
      </c>
      <c r="B1942" t="s">
        <v>2249</v>
      </c>
      <c r="C1942" t="s">
        <v>466</v>
      </c>
      <c r="D1942" s="4">
        <v>82500</v>
      </c>
      <c r="E1942" s="4">
        <v>82500</v>
      </c>
      <c r="F1942" s="4">
        <v>165000</v>
      </c>
      <c r="H1942" s="3">
        <f t="shared" si="29"/>
        <v>0</v>
      </c>
    </row>
    <row r="1943" spans="1:8">
      <c r="A1943" t="s">
        <v>2252</v>
      </c>
      <c r="B1943" t="s">
        <v>2253</v>
      </c>
      <c r="C1943" t="s">
        <v>466</v>
      </c>
      <c r="D1943" s="4">
        <v>82500</v>
      </c>
      <c r="E1943" s="4">
        <v>82500</v>
      </c>
      <c r="F1943" s="4">
        <v>165000</v>
      </c>
      <c r="H1943" s="3">
        <f t="shared" si="29"/>
        <v>0</v>
      </c>
    </row>
    <row r="1944" spans="1:8">
      <c r="A1944" t="s">
        <v>2256</v>
      </c>
      <c r="B1944" t="s">
        <v>2257</v>
      </c>
      <c r="C1944" t="s">
        <v>466</v>
      </c>
      <c r="D1944" s="4">
        <v>83100</v>
      </c>
      <c r="E1944" s="4">
        <v>83100</v>
      </c>
      <c r="F1944" s="4">
        <v>166200</v>
      </c>
      <c r="H1944" s="3">
        <f t="shared" si="29"/>
        <v>0</v>
      </c>
    </row>
    <row r="1945" spans="1:8">
      <c r="A1945" t="s">
        <v>2261</v>
      </c>
      <c r="B1945" t="s">
        <v>2262</v>
      </c>
      <c r="C1945" t="s">
        <v>466</v>
      </c>
      <c r="D1945" s="4">
        <v>85600</v>
      </c>
      <c r="E1945" s="4">
        <v>85600</v>
      </c>
      <c r="F1945" s="4">
        <v>171200</v>
      </c>
      <c r="H1945" s="3">
        <f t="shared" si="29"/>
        <v>0</v>
      </c>
    </row>
    <row r="1946" spans="1:8">
      <c r="A1946" t="s">
        <v>2282</v>
      </c>
      <c r="B1946" t="s">
        <v>2283</v>
      </c>
      <c r="C1946" t="s">
        <v>466</v>
      </c>
      <c r="D1946" s="4">
        <v>85600</v>
      </c>
      <c r="E1946" s="4">
        <v>85600</v>
      </c>
      <c r="F1946" s="4">
        <v>171200</v>
      </c>
      <c r="H1946" s="3">
        <f t="shared" si="29"/>
        <v>0</v>
      </c>
    </row>
    <row r="1947" spans="1:8">
      <c r="A1947" t="s">
        <v>2362</v>
      </c>
      <c r="B1947" t="s">
        <v>2363</v>
      </c>
      <c r="C1947" t="s">
        <v>466</v>
      </c>
      <c r="D1947" s="4">
        <v>81400</v>
      </c>
      <c r="E1947" s="4">
        <v>81400</v>
      </c>
      <c r="F1947" s="4">
        <v>162800</v>
      </c>
      <c r="H1947" s="3">
        <f t="shared" si="29"/>
        <v>0</v>
      </c>
    </row>
    <row r="1948" spans="1:8">
      <c r="A1948" t="s">
        <v>2411</v>
      </c>
      <c r="B1948" t="s">
        <v>2412</v>
      </c>
      <c r="C1948" t="s">
        <v>635</v>
      </c>
      <c r="D1948" s="4">
        <v>110600</v>
      </c>
      <c r="E1948" s="4">
        <v>110600</v>
      </c>
      <c r="F1948" s="4">
        <v>221200</v>
      </c>
      <c r="H1948" s="3">
        <f t="shared" si="29"/>
        <v>0</v>
      </c>
    </row>
    <row r="1949" spans="1:8">
      <c r="A1949" t="s">
        <v>2418</v>
      </c>
      <c r="B1949" t="s">
        <v>2419</v>
      </c>
      <c r="C1949" t="s">
        <v>466</v>
      </c>
      <c r="D1949" s="4">
        <v>255000</v>
      </c>
      <c r="E1949" s="4">
        <v>255000</v>
      </c>
      <c r="F1949" s="4">
        <v>510000</v>
      </c>
      <c r="H1949" s="3">
        <f t="shared" si="29"/>
        <v>0</v>
      </c>
    </row>
    <row r="1950" spans="1:8">
      <c r="A1950" t="s">
        <v>2425</v>
      </c>
      <c r="B1950" t="s">
        <v>2426</v>
      </c>
      <c r="C1950" t="s">
        <v>466</v>
      </c>
      <c r="D1950" s="4">
        <v>212500</v>
      </c>
      <c r="E1950" s="4">
        <v>212500</v>
      </c>
      <c r="F1950" s="4">
        <v>425000</v>
      </c>
      <c r="H1950" s="3">
        <f t="shared" ref="H1950:H2013" si="30">+D1950-E1950</f>
        <v>0</v>
      </c>
    </row>
    <row r="1951" spans="1:8">
      <c r="A1951" t="s">
        <v>2504</v>
      </c>
      <c r="B1951" t="s">
        <v>2505</v>
      </c>
      <c r="C1951" t="s">
        <v>466</v>
      </c>
      <c r="D1951" s="4">
        <v>119000</v>
      </c>
      <c r="E1951" s="4">
        <v>119000</v>
      </c>
      <c r="F1951" s="4">
        <v>238000</v>
      </c>
      <c r="H1951" s="3">
        <f t="shared" si="30"/>
        <v>0</v>
      </c>
    </row>
    <row r="1952" spans="1:8">
      <c r="A1952" t="s">
        <v>2524</v>
      </c>
      <c r="B1952" t="s">
        <v>2525</v>
      </c>
      <c r="C1952" t="s">
        <v>635</v>
      </c>
      <c r="D1952" s="4">
        <v>89600</v>
      </c>
      <c r="E1952" s="4">
        <v>89600</v>
      </c>
      <c r="F1952" s="4">
        <v>179200</v>
      </c>
      <c r="H1952" s="3">
        <f t="shared" si="30"/>
        <v>0</v>
      </c>
    </row>
    <row r="1953" spans="1:8">
      <c r="A1953" t="s">
        <v>2656</v>
      </c>
      <c r="B1953" t="s">
        <v>2657</v>
      </c>
      <c r="C1953" t="s">
        <v>466</v>
      </c>
      <c r="D1953" s="4">
        <v>227100</v>
      </c>
      <c r="E1953" s="4">
        <v>227100</v>
      </c>
      <c r="F1953" s="4">
        <v>454200</v>
      </c>
      <c r="H1953" s="3">
        <f t="shared" si="30"/>
        <v>0</v>
      </c>
    </row>
    <row r="1954" spans="1:8">
      <c r="A1954" t="s">
        <v>2726</v>
      </c>
      <c r="B1954" t="s">
        <v>2727</v>
      </c>
      <c r="C1954" t="s">
        <v>635</v>
      </c>
      <c r="D1954" s="4">
        <v>108500</v>
      </c>
      <c r="E1954" s="4">
        <v>108500</v>
      </c>
      <c r="F1954" s="4">
        <v>217000</v>
      </c>
      <c r="H1954" s="3">
        <f t="shared" si="30"/>
        <v>0</v>
      </c>
    </row>
    <row r="1955" spans="1:8">
      <c r="A1955" t="s">
        <v>2755</v>
      </c>
      <c r="B1955" t="s">
        <v>2756</v>
      </c>
      <c r="C1955" t="s">
        <v>466</v>
      </c>
      <c r="D1955" s="4">
        <v>101900</v>
      </c>
      <c r="E1955" s="4">
        <v>101900</v>
      </c>
      <c r="F1955" s="4">
        <v>203800</v>
      </c>
      <c r="H1955" s="3">
        <f t="shared" si="30"/>
        <v>0</v>
      </c>
    </row>
    <row r="1956" spans="1:8">
      <c r="A1956" t="s">
        <v>2760</v>
      </c>
      <c r="B1956" t="s">
        <v>2761</v>
      </c>
      <c r="C1956" t="s">
        <v>466</v>
      </c>
      <c r="D1956" s="4">
        <v>92200</v>
      </c>
      <c r="E1956" s="4">
        <v>92200</v>
      </c>
      <c r="F1956" s="4">
        <v>184400</v>
      </c>
      <c r="H1956" s="3">
        <f t="shared" si="30"/>
        <v>0</v>
      </c>
    </row>
    <row r="1957" spans="1:8">
      <c r="A1957" t="s">
        <v>2769</v>
      </c>
      <c r="B1957" t="s">
        <v>2770</v>
      </c>
      <c r="C1957" t="s">
        <v>466</v>
      </c>
      <c r="D1957" s="4">
        <v>95000</v>
      </c>
      <c r="E1957" s="4">
        <v>95000</v>
      </c>
      <c r="F1957" s="4">
        <v>190000</v>
      </c>
      <c r="H1957" s="3">
        <f t="shared" si="30"/>
        <v>0</v>
      </c>
    </row>
    <row r="1958" spans="1:8">
      <c r="A1958" t="s">
        <v>2785</v>
      </c>
      <c r="B1958" t="s">
        <v>2786</v>
      </c>
      <c r="C1958" t="s">
        <v>466</v>
      </c>
      <c r="D1958" s="4">
        <v>123100</v>
      </c>
      <c r="E1958" s="4">
        <v>123100</v>
      </c>
      <c r="F1958" s="4">
        <v>246200</v>
      </c>
      <c r="H1958" s="3">
        <f t="shared" si="30"/>
        <v>0</v>
      </c>
    </row>
    <row r="1959" spans="1:8">
      <c r="A1959" t="s">
        <v>2810</v>
      </c>
      <c r="B1959" t="s">
        <v>2811</v>
      </c>
      <c r="C1959" t="s">
        <v>635</v>
      </c>
      <c r="D1959" s="4">
        <v>287600</v>
      </c>
      <c r="E1959" s="4">
        <v>287600</v>
      </c>
      <c r="F1959" s="4">
        <v>575200</v>
      </c>
      <c r="H1959" s="3">
        <f t="shared" si="30"/>
        <v>0</v>
      </c>
    </row>
    <row r="1960" spans="1:8">
      <c r="A1960" t="s">
        <v>2845</v>
      </c>
      <c r="B1960" t="s">
        <v>2846</v>
      </c>
      <c r="C1960" t="s">
        <v>635</v>
      </c>
      <c r="D1960" s="4">
        <v>32300</v>
      </c>
      <c r="E1960" s="4">
        <v>32300</v>
      </c>
      <c r="F1960" s="4">
        <v>64600</v>
      </c>
      <c r="H1960" s="3">
        <f t="shared" si="30"/>
        <v>0</v>
      </c>
    </row>
    <row r="1961" spans="1:8">
      <c r="A1961" t="s">
        <v>2853</v>
      </c>
      <c r="B1961" t="s">
        <v>2854</v>
      </c>
      <c r="C1961" t="s">
        <v>635</v>
      </c>
      <c r="D1961" s="4">
        <v>146400</v>
      </c>
      <c r="E1961" s="4">
        <v>146400</v>
      </c>
      <c r="F1961" s="4">
        <v>292800</v>
      </c>
      <c r="H1961" s="3">
        <f t="shared" si="30"/>
        <v>0</v>
      </c>
    </row>
    <row r="1962" spans="1:8">
      <c r="A1962" t="s">
        <v>2872</v>
      </c>
      <c r="B1962" t="s">
        <v>2873</v>
      </c>
      <c r="C1962" t="s">
        <v>635</v>
      </c>
      <c r="D1962" s="4">
        <v>112600</v>
      </c>
      <c r="E1962" s="4">
        <v>112600</v>
      </c>
      <c r="F1962" s="4">
        <v>225200</v>
      </c>
      <c r="H1962" s="3">
        <f t="shared" si="30"/>
        <v>0</v>
      </c>
    </row>
    <row r="1963" spans="1:8">
      <c r="A1963" t="s">
        <v>2896</v>
      </c>
      <c r="B1963" t="s">
        <v>2897</v>
      </c>
      <c r="C1963" t="s">
        <v>466</v>
      </c>
      <c r="D1963" s="4">
        <v>137200</v>
      </c>
      <c r="E1963" s="4">
        <v>137200</v>
      </c>
      <c r="F1963" s="4">
        <v>274400</v>
      </c>
      <c r="H1963" s="3">
        <f t="shared" si="30"/>
        <v>0</v>
      </c>
    </row>
    <row r="1964" spans="1:8">
      <c r="A1964" t="s">
        <v>2928</v>
      </c>
      <c r="B1964" t="s">
        <v>2929</v>
      </c>
      <c r="C1964" t="s">
        <v>466</v>
      </c>
      <c r="D1964" s="4">
        <v>22400</v>
      </c>
      <c r="E1964" s="4">
        <v>22400</v>
      </c>
      <c r="F1964" s="4">
        <v>44800</v>
      </c>
      <c r="H1964" s="3">
        <f t="shared" si="30"/>
        <v>0</v>
      </c>
    </row>
    <row r="1965" spans="1:8">
      <c r="A1965" t="s">
        <v>2938</v>
      </c>
      <c r="B1965" t="s">
        <v>2939</v>
      </c>
      <c r="C1965" t="s">
        <v>466</v>
      </c>
      <c r="D1965" s="4">
        <v>105700</v>
      </c>
      <c r="E1965" s="4">
        <v>105700</v>
      </c>
      <c r="F1965" s="4">
        <v>211400</v>
      </c>
      <c r="H1965" s="3">
        <f t="shared" si="30"/>
        <v>0</v>
      </c>
    </row>
    <row r="1966" spans="1:8">
      <c r="A1966" t="s">
        <v>2943</v>
      </c>
      <c r="B1966" t="s">
        <v>2944</v>
      </c>
      <c r="C1966" t="s">
        <v>635</v>
      </c>
      <c r="D1966" s="4">
        <v>23400</v>
      </c>
      <c r="E1966" s="4">
        <v>23400</v>
      </c>
      <c r="F1966" s="4">
        <v>46800</v>
      </c>
      <c r="H1966" s="3">
        <f t="shared" si="30"/>
        <v>0</v>
      </c>
    </row>
    <row r="1967" spans="1:8">
      <c r="A1967" t="s">
        <v>1443</v>
      </c>
      <c r="B1967" t="s">
        <v>1444</v>
      </c>
      <c r="C1967" t="s">
        <v>635</v>
      </c>
      <c r="D1967" s="4">
        <v>9400</v>
      </c>
      <c r="E1967" s="4">
        <v>9400</v>
      </c>
      <c r="F1967" s="4">
        <v>18800</v>
      </c>
      <c r="H1967" s="3">
        <f t="shared" si="30"/>
        <v>0</v>
      </c>
    </row>
    <row r="1968" spans="1:8">
      <c r="A1968" t="s">
        <v>1469</v>
      </c>
      <c r="B1968" t="s">
        <v>1470</v>
      </c>
      <c r="C1968" t="s">
        <v>635</v>
      </c>
      <c r="D1968" s="4">
        <v>93400</v>
      </c>
      <c r="E1968" s="4">
        <v>93400</v>
      </c>
      <c r="F1968" s="4">
        <v>186800</v>
      </c>
      <c r="H1968" s="3">
        <f t="shared" si="30"/>
        <v>0</v>
      </c>
    </row>
    <row r="1969" spans="1:8">
      <c r="A1969" t="s">
        <v>1480</v>
      </c>
      <c r="B1969" t="s">
        <v>1481</v>
      </c>
      <c r="C1969" t="s">
        <v>635</v>
      </c>
      <c r="D1969" s="4">
        <v>7200</v>
      </c>
      <c r="E1969" s="4">
        <v>7200</v>
      </c>
      <c r="F1969" s="4">
        <v>14400</v>
      </c>
      <c r="H1969" s="3">
        <f t="shared" si="30"/>
        <v>0</v>
      </c>
    </row>
    <row r="1970" spans="1:8">
      <c r="A1970" t="s">
        <v>1573</v>
      </c>
      <c r="B1970" t="s">
        <v>1574</v>
      </c>
      <c r="C1970" t="s">
        <v>635</v>
      </c>
      <c r="D1970" s="4">
        <v>37000</v>
      </c>
      <c r="E1970" s="4">
        <v>37000</v>
      </c>
      <c r="F1970" s="4">
        <v>74000</v>
      </c>
      <c r="H1970" s="3">
        <f t="shared" si="30"/>
        <v>0</v>
      </c>
    </row>
    <row r="1971" spans="1:8">
      <c r="A1971" t="s">
        <v>1576</v>
      </c>
      <c r="B1971" t="s">
        <v>1577</v>
      </c>
      <c r="C1971" t="s">
        <v>635</v>
      </c>
      <c r="D1971" s="4">
        <v>31800</v>
      </c>
      <c r="E1971" s="4">
        <v>31800</v>
      </c>
      <c r="F1971" s="4">
        <v>63600</v>
      </c>
      <c r="H1971" s="3">
        <f t="shared" si="30"/>
        <v>0</v>
      </c>
    </row>
    <row r="1972" spans="1:8">
      <c r="A1972" t="s">
        <v>1626</v>
      </c>
      <c r="B1972" t="s">
        <v>1627</v>
      </c>
      <c r="C1972" t="s">
        <v>635</v>
      </c>
      <c r="D1972" s="4">
        <v>11900</v>
      </c>
      <c r="E1972" s="4">
        <v>11900</v>
      </c>
      <c r="F1972" s="4">
        <v>23800</v>
      </c>
      <c r="H1972" s="3">
        <f t="shared" si="30"/>
        <v>0</v>
      </c>
    </row>
    <row r="1973" spans="1:8">
      <c r="A1973" t="s">
        <v>1695</v>
      </c>
      <c r="B1973" t="s">
        <v>1696</v>
      </c>
      <c r="C1973" t="s">
        <v>635</v>
      </c>
      <c r="D1973" s="4">
        <v>39600</v>
      </c>
      <c r="E1973" s="4">
        <v>39600</v>
      </c>
      <c r="F1973" s="4">
        <v>79200</v>
      </c>
      <c r="H1973" s="3">
        <f t="shared" si="30"/>
        <v>0</v>
      </c>
    </row>
    <row r="1974" spans="1:8">
      <c r="A1974" t="s">
        <v>1707</v>
      </c>
      <c r="B1974" t="s">
        <v>1708</v>
      </c>
      <c r="C1974" t="s">
        <v>635</v>
      </c>
      <c r="D1974" s="4">
        <v>70700</v>
      </c>
      <c r="E1974" s="4">
        <v>70700</v>
      </c>
      <c r="F1974" s="4">
        <v>141400</v>
      </c>
      <c r="H1974" s="3">
        <f t="shared" si="30"/>
        <v>0</v>
      </c>
    </row>
    <row r="1975" spans="1:8">
      <c r="A1975" t="s">
        <v>1710</v>
      </c>
      <c r="B1975" t="s">
        <v>1711</v>
      </c>
      <c r="C1975" t="s">
        <v>635</v>
      </c>
      <c r="D1975" s="4">
        <v>144200</v>
      </c>
      <c r="E1975" s="4">
        <v>144200</v>
      </c>
      <c r="F1975" s="4">
        <v>288400</v>
      </c>
      <c r="H1975" s="3">
        <f t="shared" si="30"/>
        <v>0</v>
      </c>
    </row>
    <row r="1976" spans="1:8">
      <c r="A1976" t="s">
        <v>1735</v>
      </c>
      <c r="B1976" t="s">
        <v>1736</v>
      </c>
      <c r="C1976" t="s">
        <v>635</v>
      </c>
      <c r="D1976" s="4">
        <v>9600</v>
      </c>
      <c r="E1976" s="4"/>
      <c r="F1976" s="4">
        <v>9600</v>
      </c>
      <c r="H1976" s="3">
        <f t="shared" si="30"/>
        <v>9600</v>
      </c>
    </row>
    <row r="1977" spans="1:8">
      <c r="B1977" t="s">
        <v>3048</v>
      </c>
      <c r="C1977" t="s">
        <v>635</v>
      </c>
      <c r="D1977" s="4"/>
      <c r="E1977" s="4">
        <v>9600</v>
      </c>
      <c r="F1977" s="4">
        <v>9600</v>
      </c>
      <c r="H1977" s="3">
        <f t="shared" si="30"/>
        <v>-9600</v>
      </c>
    </row>
    <row r="1978" spans="1:8">
      <c r="A1978" t="s">
        <v>1739</v>
      </c>
      <c r="B1978" t="s">
        <v>1740</v>
      </c>
      <c r="C1978" t="s">
        <v>635</v>
      </c>
      <c r="D1978" s="4">
        <v>113600</v>
      </c>
      <c r="E1978" s="4">
        <v>113600</v>
      </c>
      <c r="F1978" s="4">
        <v>227200</v>
      </c>
      <c r="H1978" s="3">
        <f t="shared" si="30"/>
        <v>0</v>
      </c>
    </row>
    <row r="1979" spans="1:8">
      <c r="A1979" t="s">
        <v>1754</v>
      </c>
      <c r="B1979" t="s">
        <v>1755</v>
      </c>
      <c r="C1979" t="s">
        <v>635</v>
      </c>
      <c r="D1979" s="4">
        <v>42100</v>
      </c>
      <c r="E1979" s="4">
        <v>42100</v>
      </c>
      <c r="F1979" s="4">
        <v>84200</v>
      </c>
      <c r="H1979" s="3">
        <f t="shared" si="30"/>
        <v>0</v>
      </c>
    </row>
    <row r="1980" spans="1:8">
      <c r="A1980" t="s">
        <v>1799</v>
      </c>
      <c r="B1980" t="s">
        <v>1800</v>
      </c>
      <c r="C1980" t="s">
        <v>635</v>
      </c>
      <c r="D1980" s="4">
        <v>10500</v>
      </c>
      <c r="E1980" s="4">
        <v>10500</v>
      </c>
      <c r="F1980" s="4">
        <v>21000</v>
      </c>
      <c r="H1980" s="3">
        <f t="shared" si="30"/>
        <v>0</v>
      </c>
    </row>
    <row r="1981" spans="1:8">
      <c r="A1981" t="s">
        <v>1807</v>
      </c>
      <c r="B1981" t="s">
        <v>1808</v>
      </c>
      <c r="C1981" t="s">
        <v>635</v>
      </c>
      <c r="D1981" s="4">
        <v>91100</v>
      </c>
      <c r="E1981" s="4">
        <v>91100</v>
      </c>
      <c r="F1981" s="4">
        <v>182200</v>
      </c>
      <c r="H1981" s="3">
        <f t="shared" si="30"/>
        <v>0</v>
      </c>
    </row>
    <row r="1982" spans="1:8">
      <c r="A1982" t="s">
        <v>1828</v>
      </c>
      <c r="B1982" t="s">
        <v>1829</v>
      </c>
      <c r="C1982" t="s">
        <v>466</v>
      </c>
      <c r="D1982" s="4">
        <v>33000</v>
      </c>
      <c r="E1982" s="4">
        <v>33000</v>
      </c>
      <c r="F1982" s="4">
        <v>66000</v>
      </c>
      <c r="H1982" s="3">
        <f t="shared" si="30"/>
        <v>0</v>
      </c>
    </row>
    <row r="1983" spans="1:8">
      <c r="A1983" t="s">
        <v>1835</v>
      </c>
      <c r="B1983" t="s">
        <v>1836</v>
      </c>
      <c r="C1983" t="s">
        <v>635</v>
      </c>
      <c r="D1983" s="4">
        <v>82800</v>
      </c>
      <c r="E1983" s="4">
        <v>82800</v>
      </c>
      <c r="F1983" s="4">
        <v>165600</v>
      </c>
      <c r="H1983" s="3">
        <f t="shared" si="30"/>
        <v>0</v>
      </c>
    </row>
    <row r="1984" spans="1:8">
      <c r="A1984" t="s">
        <v>1838</v>
      </c>
      <c r="B1984" t="s">
        <v>1839</v>
      </c>
      <c r="C1984" t="s">
        <v>635</v>
      </c>
      <c r="D1984" s="4">
        <v>84800</v>
      </c>
      <c r="E1984" s="4">
        <v>84800</v>
      </c>
      <c r="F1984" s="4">
        <v>169600</v>
      </c>
      <c r="H1984" s="3">
        <f t="shared" si="30"/>
        <v>0</v>
      </c>
    </row>
    <row r="1985" spans="1:8">
      <c r="A1985" t="s">
        <v>1894</v>
      </c>
      <c r="B1985" t="s">
        <v>1895</v>
      </c>
      <c r="C1985" t="s">
        <v>635</v>
      </c>
      <c r="D1985" s="4">
        <v>103300</v>
      </c>
      <c r="E1985" s="4">
        <v>103300</v>
      </c>
      <c r="F1985" s="4">
        <v>206600</v>
      </c>
      <c r="H1985" s="3">
        <f t="shared" si="30"/>
        <v>0</v>
      </c>
    </row>
    <row r="1986" spans="1:8">
      <c r="A1986" t="s">
        <v>1917</v>
      </c>
      <c r="B1986" t="s">
        <v>1918</v>
      </c>
      <c r="C1986" t="s">
        <v>466</v>
      </c>
      <c r="D1986" s="4">
        <v>120800</v>
      </c>
      <c r="E1986" s="4">
        <v>120800</v>
      </c>
      <c r="F1986" s="4">
        <v>241600</v>
      </c>
      <c r="H1986" s="3">
        <f t="shared" si="30"/>
        <v>0</v>
      </c>
    </row>
    <row r="1987" spans="1:8">
      <c r="A1987" t="s">
        <v>1944</v>
      </c>
      <c r="B1987" t="s">
        <v>1945</v>
      </c>
      <c r="C1987" t="s">
        <v>466</v>
      </c>
      <c r="D1987" s="4">
        <v>78500</v>
      </c>
      <c r="E1987" s="4">
        <v>78500</v>
      </c>
      <c r="F1987" s="4">
        <v>157000</v>
      </c>
      <c r="H1987" s="3">
        <f t="shared" si="30"/>
        <v>0</v>
      </c>
    </row>
    <row r="1988" spans="1:8">
      <c r="A1988" t="s">
        <v>1950</v>
      </c>
      <c r="B1988" t="s">
        <v>1951</v>
      </c>
      <c r="C1988" t="s">
        <v>635</v>
      </c>
      <c r="D1988" s="4">
        <v>39600</v>
      </c>
      <c r="E1988" s="4">
        <v>39600</v>
      </c>
      <c r="F1988" s="4">
        <v>79200</v>
      </c>
      <c r="H1988" s="3">
        <f t="shared" si="30"/>
        <v>0</v>
      </c>
    </row>
    <row r="1989" spans="1:8">
      <c r="A1989" t="s">
        <v>1982</v>
      </c>
      <c r="B1989" t="s">
        <v>1983</v>
      </c>
      <c r="C1989" t="s">
        <v>635</v>
      </c>
      <c r="D1989" s="4">
        <v>124300</v>
      </c>
      <c r="E1989" s="4">
        <v>124300</v>
      </c>
      <c r="F1989" s="4">
        <v>248600</v>
      </c>
      <c r="H1989" s="3">
        <f t="shared" si="30"/>
        <v>0</v>
      </c>
    </row>
    <row r="1990" spans="1:8">
      <c r="A1990" t="s">
        <v>1989</v>
      </c>
      <c r="B1990" t="s">
        <v>1990</v>
      </c>
      <c r="C1990" t="s">
        <v>635</v>
      </c>
      <c r="D1990" s="4">
        <v>94700</v>
      </c>
      <c r="E1990" s="4">
        <v>94700</v>
      </c>
      <c r="F1990" s="4">
        <v>189400</v>
      </c>
      <c r="H1990" s="3">
        <f t="shared" si="30"/>
        <v>0</v>
      </c>
    </row>
    <row r="1991" spans="1:8">
      <c r="A1991" t="s">
        <v>1992</v>
      </c>
      <c r="B1991" t="s">
        <v>1993</v>
      </c>
      <c r="C1991" t="s">
        <v>635</v>
      </c>
      <c r="D1991" s="4">
        <v>9600</v>
      </c>
      <c r="E1991" s="4">
        <v>9600</v>
      </c>
      <c r="F1991" s="4">
        <v>19200</v>
      </c>
      <c r="H1991" s="3">
        <f t="shared" si="30"/>
        <v>0</v>
      </c>
    </row>
    <row r="1992" spans="1:8">
      <c r="A1992" t="s">
        <v>1997</v>
      </c>
      <c r="B1992" t="s">
        <v>1998</v>
      </c>
      <c r="C1992" t="s">
        <v>635</v>
      </c>
      <c r="D1992" s="4">
        <v>75600</v>
      </c>
      <c r="E1992" s="4">
        <v>75600</v>
      </c>
      <c r="F1992" s="4">
        <v>151200</v>
      </c>
      <c r="H1992" s="3">
        <f t="shared" si="30"/>
        <v>0</v>
      </c>
    </row>
    <row r="1993" spans="1:8">
      <c r="A1993" t="s">
        <v>2032</v>
      </c>
      <c r="B1993" t="s">
        <v>2033</v>
      </c>
      <c r="C1993" t="s">
        <v>635</v>
      </c>
      <c r="D1993" s="4">
        <v>89200</v>
      </c>
      <c r="E1993" s="4">
        <v>89200</v>
      </c>
      <c r="F1993" s="4">
        <v>178400</v>
      </c>
      <c r="H1993" s="3">
        <f t="shared" si="30"/>
        <v>0</v>
      </c>
    </row>
    <row r="1994" spans="1:8">
      <c r="A1994" t="s">
        <v>2038</v>
      </c>
      <c r="B1994" t="s">
        <v>2039</v>
      </c>
      <c r="C1994" t="s">
        <v>635</v>
      </c>
      <c r="D1994" s="4">
        <v>78500</v>
      </c>
      <c r="E1994" s="4">
        <v>78500</v>
      </c>
      <c r="F1994" s="4">
        <v>157000</v>
      </c>
      <c r="H1994" s="3">
        <f t="shared" si="30"/>
        <v>0</v>
      </c>
    </row>
    <row r="1995" spans="1:8">
      <c r="A1995" t="s">
        <v>2059</v>
      </c>
      <c r="B1995" t="s">
        <v>2060</v>
      </c>
      <c r="C1995" t="s">
        <v>466</v>
      </c>
      <c r="D1995" s="4">
        <v>103000</v>
      </c>
      <c r="E1995" s="4"/>
      <c r="F1995" s="4">
        <v>103000</v>
      </c>
      <c r="H1995" s="3">
        <f t="shared" si="30"/>
        <v>103000</v>
      </c>
    </row>
    <row r="1996" spans="1:8">
      <c r="B1996" t="s">
        <v>3056</v>
      </c>
      <c r="C1996" t="s">
        <v>466</v>
      </c>
      <c r="D1996" s="4"/>
      <c r="E1996" s="4">
        <v>103000</v>
      </c>
      <c r="F1996" s="4">
        <v>103000</v>
      </c>
      <c r="H1996" s="3">
        <f t="shared" si="30"/>
        <v>-103000</v>
      </c>
    </row>
    <row r="1997" spans="1:8">
      <c r="A1997" t="s">
        <v>2078</v>
      </c>
      <c r="B1997" t="s">
        <v>2079</v>
      </c>
      <c r="C1997" t="s">
        <v>635</v>
      </c>
      <c r="D1997" s="4">
        <v>28200</v>
      </c>
      <c r="E1997" s="4">
        <v>28200</v>
      </c>
      <c r="F1997" s="4">
        <v>56400</v>
      </c>
      <c r="H1997" s="3">
        <f t="shared" si="30"/>
        <v>0</v>
      </c>
    </row>
    <row r="1998" spans="1:8">
      <c r="A1998" t="s">
        <v>2088</v>
      </c>
      <c r="B1998" t="s">
        <v>2089</v>
      </c>
      <c r="C1998" t="s">
        <v>635</v>
      </c>
      <c r="D1998" s="4">
        <v>138100</v>
      </c>
      <c r="E1998" s="4">
        <v>138100</v>
      </c>
      <c r="F1998" s="4">
        <v>276200</v>
      </c>
      <c r="H1998" s="3">
        <f t="shared" si="30"/>
        <v>0</v>
      </c>
    </row>
    <row r="1999" spans="1:8">
      <c r="A1999" t="s">
        <v>2119</v>
      </c>
      <c r="B1999" t="s">
        <v>2120</v>
      </c>
      <c r="C1999" t="s">
        <v>635</v>
      </c>
      <c r="D1999" s="4">
        <v>86300</v>
      </c>
      <c r="E1999" s="4">
        <v>86300</v>
      </c>
      <c r="F1999" s="4">
        <v>172600</v>
      </c>
      <c r="H1999" s="3">
        <f t="shared" si="30"/>
        <v>0</v>
      </c>
    </row>
    <row r="2000" spans="1:8">
      <c r="A2000" t="s">
        <v>2177</v>
      </c>
      <c r="B2000" t="s">
        <v>2178</v>
      </c>
      <c r="C2000" t="s">
        <v>466</v>
      </c>
      <c r="D2000" s="4">
        <v>76000</v>
      </c>
      <c r="E2000" s="4">
        <v>76000</v>
      </c>
      <c r="F2000" s="4">
        <v>152000</v>
      </c>
      <c r="H2000" s="3">
        <f t="shared" si="30"/>
        <v>0</v>
      </c>
    </row>
    <row r="2001" spans="1:8">
      <c r="A2001" t="s">
        <v>2220</v>
      </c>
      <c r="B2001" t="s">
        <v>2221</v>
      </c>
      <c r="C2001" t="s">
        <v>466</v>
      </c>
      <c r="D2001" s="4">
        <v>55400</v>
      </c>
      <c r="E2001" s="4">
        <v>55400</v>
      </c>
      <c r="F2001" s="4">
        <v>110800</v>
      </c>
      <c r="H2001" s="3">
        <f t="shared" si="30"/>
        <v>0</v>
      </c>
    </row>
    <row r="2002" spans="1:8">
      <c r="A2002" t="s">
        <v>2240</v>
      </c>
      <c r="B2002" t="s">
        <v>2241</v>
      </c>
      <c r="C2002" t="s">
        <v>466</v>
      </c>
      <c r="D2002" s="4">
        <v>52700</v>
      </c>
      <c r="E2002" s="4">
        <v>52700</v>
      </c>
      <c r="F2002" s="4">
        <v>105400</v>
      </c>
      <c r="H2002" s="3">
        <f t="shared" si="30"/>
        <v>0</v>
      </c>
    </row>
    <row r="2003" spans="1:8">
      <c r="A2003" t="s">
        <v>2311</v>
      </c>
      <c r="B2003" t="s">
        <v>2312</v>
      </c>
      <c r="C2003" t="s">
        <v>1001</v>
      </c>
      <c r="D2003" s="4">
        <v>22800</v>
      </c>
      <c r="E2003" s="4">
        <v>22800</v>
      </c>
      <c r="F2003" s="4">
        <v>45600</v>
      </c>
      <c r="H2003" s="3">
        <f t="shared" si="30"/>
        <v>0</v>
      </c>
    </row>
    <row r="2004" spans="1:8">
      <c r="A2004" t="s">
        <v>2342</v>
      </c>
      <c r="B2004" t="s">
        <v>2343</v>
      </c>
      <c r="C2004" t="s">
        <v>635</v>
      </c>
      <c r="D2004" s="4">
        <v>9600</v>
      </c>
      <c r="E2004" s="4">
        <v>9600</v>
      </c>
      <c r="F2004" s="4">
        <v>19200</v>
      </c>
      <c r="H2004" s="3">
        <f t="shared" si="30"/>
        <v>0</v>
      </c>
    </row>
    <row r="2005" spans="1:8">
      <c r="A2005" t="s">
        <v>2381</v>
      </c>
      <c r="B2005" t="s">
        <v>2382</v>
      </c>
      <c r="C2005" t="s">
        <v>635</v>
      </c>
      <c r="D2005" s="4">
        <v>89300</v>
      </c>
      <c r="E2005" s="4">
        <v>89300</v>
      </c>
      <c r="F2005" s="4">
        <v>178600</v>
      </c>
      <c r="H2005" s="3">
        <f t="shared" si="30"/>
        <v>0</v>
      </c>
    </row>
    <row r="2006" spans="1:8">
      <c r="A2006" t="s">
        <v>2446</v>
      </c>
      <c r="B2006" t="s">
        <v>2447</v>
      </c>
      <c r="C2006" t="s">
        <v>466</v>
      </c>
      <c r="D2006" s="4">
        <v>20200</v>
      </c>
      <c r="E2006" s="4">
        <v>20200</v>
      </c>
      <c r="F2006" s="4">
        <v>40400</v>
      </c>
      <c r="H2006" s="3">
        <f t="shared" si="30"/>
        <v>0</v>
      </c>
    </row>
    <row r="2007" spans="1:8">
      <c r="A2007" t="s">
        <v>2496</v>
      </c>
      <c r="B2007" t="s">
        <v>2497</v>
      </c>
      <c r="C2007" t="s">
        <v>635</v>
      </c>
      <c r="D2007" s="4">
        <v>82800</v>
      </c>
      <c r="E2007" s="4">
        <v>82800</v>
      </c>
      <c r="F2007" s="4">
        <v>165600</v>
      </c>
      <c r="H2007" s="3">
        <f t="shared" si="30"/>
        <v>0</v>
      </c>
    </row>
    <row r="2008" spans="1:8">
      <c r="A2008" t="s">
        <v>2500</v>
      </c>
      <c r="B2008" t="s">
        <v>2501</v>
      </c>
      <c r="C2008" t="s">
        <v>635</v>
      </c>
      <c r="D2008" s="4">
        <v>127600</v>
      </c>
      <c r="E2008" s="4">
        <v>127600</v>
      </c>
      <c r="F2008" s="4">
        <v>255200</v>
      </c>
      <c r="H2008" s="3">
        <f t="shared" si="30"/>
        <v>0</v>
      </c>
    </row>
    <row r="2009" spans="1:8">
      <c r="A2009" t="s">
        <v>2502</v>
      </c>
      <c r="B2009" t="s">
        <v>2503</v>
      </c>
      <c r="C2009" t="s">
        <v>635</v>
      </c>
      <c r="D2009" s="4">
        <v>28200</v>
      </c>
      <c r="E2009" s="4">
        <v>28200</v>
      </c>
      <c r="F2009" s="4">
        <v>56400</v>
      </c>
      <c r="H2009" s="3">
        <f t="shared" si="30"/>
        <v>0</v>
      </c>
    </row>
    <row r="2010" spans="1:8">
      <c r="A2010" t="s">
        <v>2530</v>
      </c>
      <c r="B2010" t="s">
        <v>2531</v>
      </c>
      <c r="C2010" t="s">
        <v>635</v>
      </c>
      <c r="D2010" s="4">
        <v>89100</v>
      </c>
      <c r="E2010" s="4">
        <v>89100</v>
      </c>
      <c r="F2010" s="4">
        <v>178200</v>
      </c>
      <c r="H2010" s="3">
        <f t="shared" si="30"/>
        <v>0</v>
      </c>
    </row>
    <row r="2011" spans="1:8">
      <c r="A2011" t="s">
        <v>2597</v>
      </c>
      <c r="B2011" t="s">
        <v>2598</v>
      </c>
      <c r="C2011" t="s">
        <v>635</v>
      </c>
      <c r="D2011" s="4">
        <v>10500</v>
      </c>
      <c r="E2011" s="4">
        <v>10500</v>
      </c>
      <c r="F2011" s="4">
        <v>21000</v>
      </c>
      <c r="H2011" s="3">
        <f t="shared" si="30"/>
        <v>0</v>
      </c>
    </row>
    <row r="2012" spans="1:8">
      <c r="A2012" t="s">
        <v>2639</v>
      </c>
      <c r="B2012" t="s">
        <v>2640</v>
      </c>
      <c r="C2012" t="s">
        <v>635</v>
      </c>
      <c r="D2012" s="4">
        <v>28200</v>
      </c>
      <c r="E2012" s="4">
        <v>28200</v>
      </c>
      <c r="F2012" s="4">
        <v>56400</v>
      </c>
      <c r="H2012" s="3">
        <f t="shared" si="30"/>
        <v>0</v>
      </c>
    </row>
    <row r="2013" spans="1:8">
      <c r="A2013" t="s">
        <v>2742</v>
      </c>
      <c r="B2013" t="s">
        <v>2743</v>
      </c>
      <c r="C2013" t="s">
        <v>635</v>
      </c>
      <c r="D2013" s="4">
        <v>28200</v>
      </c>
      <c r="E2013" s="4">
        <v>28200</v>
      </c>
      <c r="F2013" s="4">
        <v>56400</v>
      </c>
      <c r="H2013" s="3">
        <f t="shared" si="30"/>
        <v>0</v>
      </c>
    </row>
    <row r="2014" spans="1:8">
      <c r="A2014" t="s">
        <v>2829</v>
      </c>
      <c r="B2014" t="s">
        <v>2830</v>
      </c>
      <c r="C2014" t="s">
        <v>635</v>
      </c>
      <c r="D2014" s="4">
        <v>28200</v>
      </c>
      <c r="E2014" s="4">
        <v>28200</v>
      </c>
      <c r="F2014" s="4">
        <v>56400</v>
      </c>
      <c r="H2014" s="3">
        <f t="shared" ref="H2014:H2017" si="31">+D2014-E2014</f>
        <v>0</v>
      </c>
    </row>
    <row r="2015" spans="1:8">
      <c r="A2015" t="s">
        <v>2841</v>
      </c>
      <c r="B2015" t="s">
        <v>2842</v>
      </c>
      <c r="C2015" t="s">
        <v>1072</v>
      </c>
      <c r="D2015" s="4">
        <v>179300</v>
      </c>
      <c r="E2015" s="4">
        <v>179300</v>
      </c>
      <c r="F2015" s="4">
        <v>358600</v>
      </c>
      <c r="H2015" s="3">
        <f t="shared" si="31"/>
        <v>0</v>
      </c>
    </row>
    <row r="2016" spans="1:8">
      <c r="A2016" t="s">
        <v>2880</v>
      </c>
      <c r="B2016" t="s">
        <v>2881</v>
      </c>
      <c r="C2016" t="s">
        <v>635</v>
      </c>
      <c r="D2016" s="4">
        <v>125900</v>
      </c>
      <c r="E2016" s="4">
        <v>125900</v>
      </c>
      <c r="F2016" s="4">
        <v>251800</v>
      </c>
      <c r="H2016" s="3">
        <f t="shared" si="31"/>
        <v>0</v>
      </c>
    </row>
    <row r="2017" spans="1:8">
      <c r="A2017" t="s">
        <v>2988</v>
      </c>
      <c r="B2017" t="s">
        <v>2989</v>
      </c>
      <c r="C2017" t="s">
        <v>635</v>
      </c>
      <c r="D2017" s="4">
        <v>229200</v>
      </c>
      <c r="E2017" s="4">
        <v>229200</v>
      </c>
      <c r="F2017" s="4">
        <v>458400</v>
      </c>
      <c r="H2017" s="3">
        <f t="shared" si="31"/>
        <v>0</v>
      </c>
    </row>
    <row r="2018" spans="1:8">
      <c r="A2018" t="s">
        <v>3075</v>
      </c>
      <c r="D2018" s="4">
        <v>63114300</v>
      </c>
      <c r="E2018" s="4">
        <v>63264500</v>
      </c>
      <c r="F2018" s="4">
        <v>126378800</v>
      </c>
    </row>
    <row r="2019" spans="1:8" hidden="1">
      <c r="D2019" s="4"/>
      <c r="E2019" s="4"/>
      <c r="F2019" s="4"/>
    </row>
    <row r="2020" spans="1:8" hidden="1">
      <c r="D2020" s="4"/>
      <c r="E2020" s="4"/>
      <c r="F2020" s="4"/>
    </row>
    <row r="2021" spans="1:8" hidden="1">
      <c r="D2021" s="4"/>
      <c r="E2021" s="4"/>
      <c r="F2021" s="4"/>
    </row>
    <row r="2022" spans="1:8" hidden="1">
      <c r="D2022" s="4"/>
      <c r="E2022" s="4"/>
      <c r="F2022" s="4"/>
    </row>
    <row r="2023" spans="1:8" hidden="1">
      <c r="D2023" s="4"/>
      <c r="E2023" s="4"/>
      <c r="F2023" s="4"/>
    </row>
    <row r="2024" spans="1:8" hidden="1">
      <c r="D2024" s="4"/>
      <c r="E2024" s="4"/>
      <c r="F2024" s="4"/>
    </row>
    <row r="2025" spans="1:8" hidden="1">
      <c r="D2025" s="4"/>
      <c r="E2025" s="4"/>
      <c r="F2025" s="4"/>
    </row>
    <row r="2026" spans="1:8" hidden="1">
      <c r="D2026" s="4"/>
      <c r="E2026" s="4"/>
      <c r="F2026" s="4"/>
    </row>
    <row r="2027" spans="1:8" hidden="1">
      <c r="D2027" s="4"/>
      <c r="E2027" s="4"/>
      <c r="F2027" s="4"/>
    </row>
    <row r="2028" spans="1:8" hidden="1">
      <c r="D2028" s="4"/>
      <c r="E2028" s="4"/>
      <c r="F2028" s="4"/>
    </row>
    <row r="2029" spans="1:8" hidden="1">
      <c r="D2029" s="4"/>
      <c r="E2029" s="4"/>
      <c r="F2029" s="4"/>
    </row>
    <row r="2030" spans="1:8" hidden="1">
      <c r="D2030" s="4"/>
      <c r="E2030" s="4"/>
      <c r="F2030" s="4"/>
    </row>
    <row r="2031" spans="1:8" hidden="1">
      <c r="D2031" s="4"/>
      <c r="E2031" s="4"/>
      <c r="F2031" s="4"/>
    </row>
    <row r="2032" spans="1:8" hidden="1">
      <c r="D2032" s="4"/>
      <c r="E2032" s="4"/>
      <c r="F2032" s="4"/>
    </row>
    <row r="2033" spans="4:6" hidden="1">
      <c r="D2033" s="4"/>
      <c r="E2033" s="4"/>
      <c r="F2033" s="4"/>
    </row>
    <row r="2034" spans="4:6" hidden="1">
      <c r="D2034" s="4"/>
      <c r="E2034" s="4"/>
      <c r="F2034" s="4"/>
    </row>
    <row r="2035" spans="4:6" hidden="1">
      <c r="D2035" s="4"/>
      <c r="E2035" s="4"/>
      <c r="F2035" s="4"/>
    </row>
    <row r="2036" spans="4:6" hidden="1">
      <c r="D2036" s="4"/>
      <c r="E2036" s="4"/>
      <c r="F2036" s="4"/>
    </row>
    <row r="2037" spans="4:6" hidden="1">
      <c r="D2037" s="4"/>
      <c r="E2037" s="4"/>
      <c r="F2037" s="4"/>
    </row>
    <row r="2038" spans="4:6" hidden="1">
      <c r="D2038" s="4"/>
      <c r="E2038" s="4"/>
      <c r="F2038" s="4"/>
    </row>
    <row r="2039" spans="4:6" hidden="1">
      <c r="D2039" s="4"/>
      <c r="E2039" s="4"/>
      <c r="F2039" s="4"/>
    </row>
    <row r="2040" spans="4:6" hidden="1">
      <c r="D2040" s="4"/>
      <c r="E2040" s="4"/>
      <c r="F2040" s="4"/>
    </row>
    <row r="2041" spans="4:6" hidden="1">
      <c r="D2041" s="4"/>
      <c r="E2041" s="4"/>
      <c r="F2041" s="4"/>
    </row>
    <row r="2042" spans="4:6" hidden="1">
      <c r="D2042" s="4"/>
      <c r="E2042" s="4"/>
      <c r="F2042" s="4"/>
    </row>
    <row r="2043" spans="4:6" hidden="1">
      <c r="D2043" s="4"/>
      <c r="E2043" s="4"/>
      <c r="F2043" s="4"/>
    </row>
    <row r="2044" spans="4:6" hidden="1">
      <c r="D2044" s="4"/>
      <c r="E2044" s="4"/>
      <c r="F2044" s="4"/>
    </row>
    <row r="2045" spans="4:6" hidden="1">
      <c r="D2045" s="4"/>
      <c r="E2045" s="4"/>
      <c r="F2045" s="4"/>
    </row>
    <row r="2046" spans="4:6" hidden="1">
      <c r="D2046" s="4"/>
      <c r="E2046" s="4"/>
      <c r="F2046" s="4"/>
    </row>
    <row r="2047" spans="4:6">
      <c r="D2047"/>
      <c r="E2047"/>
      <c r="F2047"/>
    </row>
    <row r="2048" spans="4:6">
      <c r="D2048"/>
      <c r="E2048"/>
      <c r="F2048"/>
    </row>
    <row r="2049" spans="4:6">
      <c r="D2049"/>
      <c r="E2049"/>
      <c r="F2049"/>
    </row>
    <row r="2050" spans="4:6">
      <c r="D2050"/>
      <c r="E2050"/>
      <c r="F2050"/>
    </row>
    <row r="2051" spans="4:6">
      <c r="D2051"/>
      <c r="E2051"/>
      <c r="F2051"/>
    </row>
    <row r="2052" spans="4:6">
      <c r="D2052"/>
      <c r="E2052"/>
      <c r="F2052"/>
    </row>
    <row r="2053" spans="4:6">
      <c r="D2053"/>
      <c r="E2053"/>
      <c r="F2053"/>
    </row>
    <row r="2054" spans="4:6" hidden="1">
      <c r="D2054"/>
      <c r="E2054"/>
      <c r="F2054"/>
    </row>
    <row r="2055" spans="4:6" hidden="1">
      <c r="D2055"/>
      <c r="E2055"/>
      <c r="F2055"/>
    </row>
    <row r="2056" spans="4:6" hidden="1">
      <c r="D2056"/>
      <c r="E2056"/>
      <c r="F2056"/>
    </row>
    <row r="2057" spans="4:6" hidden="1">
      <c r="D2057"/>
      <c r="E2057"/>
      <c r="F2057"/>
    </row>
    <row r="2058" spans="4:6" hidden="1">
      <c r="D2058"/>
      <c r="E2058"/>
      <c r="F2058"/>
    </row>
    <row r="2059" spans="4:6" hidden="1">
      <c r="D2059"/>
      <c r="E2059"/>
      <c r="F2059"/>
    </row>
    <row r="2060" spans="4:6" hidden="1">
      <c r="D2060"/>
      <c r="E2060"/>
      <c r="F2060"/>
    </row>
    <row r="2061" spans="4:6" hidden="1">
      <c r="D2061"/>
      <c r="E2061"/>
      <c r="F2061"/>
    </row>
    <row r="2062" spans="4:6" hidden="1">
      <c r="D2062"/>
      <c r="E2062"/>
      <c r="F2062"/>
    </row>
    <row r="2063" spans="4:6" hidden="1">
      <c r="D2063"/>
      <c r="E2063"/>
      <c r="F2063"/>
    </row>
    <row r="2064" spans="4:6" hidden="1">
      <c r="D2064"/>
      <c r="E2064"/>
      <c r="F2064"/>
    </row>
    <row r="2065" spans="4:6" hidden="1">
      <c r="D2065"/>
      <c r="E2065"/>
      <c r="F2065"/>
    </row>
    <row r="2066" spans="4:6" hidden="1">
      <c r="D2066"/>
      <c r="E2066"/>
      <c r="F2066"/>
    </row>
    <row r="2067" spans="4:6" hidden="1">
      <c r="D2067"/>
      <c r="E2067"/>
      <c r="F2067"/>
    </row>
    <row r="2068" spans="4:6" hidden="1">
      <c r="D2068" s="4"/>
      <c r="E2068" s="4"/>
      <c r="F2068" s="4"/>
    </row>
    <row r="2069" spans="4:6" hidden="1">
      <c r="D2069" s="4"/>
      <c r="E2069" s="4"/>
      <c r="F2069" s="4"/>
    </row>
    <row r="2070" spans="4:6" hidden="1">
      <c r="D2070" s="4"/>
      <c r="E2070" s="4"/>
      <c r="F2070" s="4"/>
    </row>
    <row r="2071" spans="4:6" hidden="1">
      <c r="D2071" s="4"/>
      <c r="E2071" s="4"/>
      <c r="F2071" s="4"/>
    </row>
    <row r="2072" spans="4:6" hidden="1">
      <c r="D2072" s="4"/>
      <c r="E2072" s="4"/>
      <c r="F2072" s="4"/>
    </row>
    <row r="2073" spans="4:6" hidden="1">
      <c r="D2073" s="4"/>
      <c r="E2073" s="4"/>
      <c r="F2073" s="4"/>
    </row>
    <row r="2074" spans="4:6" hidden="1">
      <c r="D2074" s="4"/>
      <c r="E2074" s="4"/>
      <c r="F2074" s="4"/>
    </row>
    <row r="2075" spans="4:6" hidden="1">
      <c r="D2075" s="4"/>
      <c r="E2075" s="4"/>
      <c r="F2075" s="4"/>
    </row>
    <row r="2076" spans="4:6" hidden="1">
      <c r="D2076" s="4"/>
      <c r="E2076" s="4"/>
      <c r="F2076" s="4"/>
    </row>
    <row r="2077" spans="4:6" hidden="1">
      <c r="D2077" s="4"/>
      <c r="E2077" s="4"/>
      <c r="F2077" s="4"/>
    </row>
    <row r="2078" spans="4:6" hidden="1">
      <c r="D2078" s="4"/>
      <c r="E2078" s="4"/>
      <c r="F2078" s="4"/>
    </row>
    <row r="2079" spans="4:6" hidden="1">
      <c r="D2079" s="4"/>
      <c r="E2079" s="4"/>
      <c r="F2079" s="4"/>
    </row>
    <row r="2080" spans="4:6" hidden="1">
      <c r="D2080" s="4"/>
      <c r="E2080" s="4"/>
      <c r="F2080" s="4"/>
    </row>
    <row r="2081" spans="4:6" hidden="1">
      <c r="D2081" s="4"/>
      <c r="E2081" s="4"/>
      <c r="F2081" s="4"/>
    </row>
    <row r="2082" spans="4:6" hidden="1">
      <c r="D2082" s="4"/>
      <c r="E2082" s="4"/>
      <c r="F2082" s="4"/>
    </row>
    <row r="2083" spans="4:6" hidden="1">
      <c r="D2083" s="4"/>
      <c r="E2083" s="4"/>
      <c r="F2083" s="4"/>
    </row>
    <row r="2084" spans="4:6" hidden="1">
      <c r="D2084" s="4"/>
      <c r="E2084" s="4"/>
      <c r="F2084" s="4"/>
    </row>
    <row r="2085" spans="4:6" hidden="1">
      <c r="D2085" s="4"/>
      <c r="E2085" s="4"/>
      <c r="F2085" s="4"/>
    </row>
    <row r="2086" spans="4:6" hidden="1">
      <c r="D2086" s="4"/>
      <c r="E2086" s="4"/>
      <c r="F2086" s="4"/>
    </row>
    <row r="2087" spans="4:6" hidden="1">
      <c r="D2087" s="4"/>
      <c r="E2087" s="4"/>
      <c r="F2087" s="4"/>
    </row>
    <row r="2088" spans="4:6" hidden="1">
      <c r="D2088" s="4"/>
      <c r="E2088" s="4"/>
      <c r="F2088" s="4"/>
    </row>
    <row r="2089" spans="4:6" hidden="1">
      <c r="D2089" s="4"/>
      <c r="E2089" s="4"/>
      <c r="F2089" s="4"/>
    </row>
    <row r="2090" spans="4:6" hidden="1">
      <c r="D2090" s="4"/>
      <c r="E2090" s="4"/>
      <c r="F2090" s="4"/>
    </row>
    <row r="2091" spans="4:6" hidden="1">
      <c r="D2091" s="4"/>
      <c r="E2091" s="4"/>
      <c r="F2091" s="4"/>
    </row>
    <row r="2092" spans="4:6" hidden="1">
      <c r="D2092" s="4"/>
      <c r="E2092" s="4"/>
      <c r="F2092" s="4"/>
    </row>
    <row r="2093" spans="4:6" hidden="1">
      <c r="D2093" s="4"/>
      <c r="E2093" s="4"/>
      <c r="F2093" s="4"/>
    </row>
    <row r="2094" spans="4:6" hidden="1">
      <c r="D2094" s="4"/>
      <c r="E2094" s="4"/>
      <c r="F2094" s="4"/>
    </row>
    <row r="2095" spans="4:6" hidden="1">
      <c r="D2095" s="4"/>
      <c r="E2095" s="4"/>
      <c r="F2095" s="4"/>
    </row>
    <row r="2096" spans="4:6" hidden="1">
      <c r="D2096" s="4"/>
      <c r="E2096" s="4"/>
      <c r="F2096" s="4"/>
    </row>
    <row r="2097" spans="1:8">
      <c r="D2097" s="4"/>
      <c r="E2097" s="4"/>
      <c r="F2097" s="4"/>
    </row>
    <row r="2098" spans="1:8">
      <c r="D2098" s="4"/>
      <c r="E2098" s="4"/>
      <c r="F2098" s="4"/>
    </row>
    <row r="2099" spans="1:8">
      <c r="A2099" s="20" t="s">
        <v>3085</v>
      </c>
      <c r="B2099" s="20"/>
      <c r="C2099" s="20"/>
      <c r="D2099" s="20"/>
      <c r="E2099" s="20"/>
      <c r="F2099" s="20"/>
      <c r="G2099" s="20"/>
      <c r="H2099" s="20"/>
    </row>
    <row r="2100" spans="1:8">
      <c r="A2100" t="s">
        <v>3086</v>
      </c>
      <c r="D2100" s="4" t="s">
        <v>1344</v>
      </c>
      <c r="E2100" s="4"/>
      <c r="F2100" s="4"/>
      <c r="G2100"/>
    </row>
    <row r="2101" spans="1:8">
      <c r="A2101" t="s">
        <v>1346</v>
      </c>
      <c r="B2101" t="s">
        <v>1347</v>
      </c>
      <c r="C2101" t="s">
        <v>1416</v>
      </c>
      <c r="D2101" s="4" t="s">
        <v>1431</v>
      </c>
      <c r="E2101" s="4" t="s">
        <v>3047</v>
      </c>
      <c r="F2101" s="4" t="s">
        <v>3075</v>
      </c>
      <c r="G2101"/>
    </row>
    <row r="2102" spans="1:8">
      <c r="A2102" t="s">
        <v>1485</v>
      </c>
      <c r="B2102" t="s">
        <v>1486</v>
      </c>
      <c r="C2102" t="s">
        <v>466</v>
      </c>
      <c r="D2102" s="4">
        <v>0</v>
      </c>
      <c r="E2102" s="4">
        <v>0</v>
      </c>
      <c r="F2102" s="4">
        <v>0</v>
      </c>
      <c r="G2102"/>
      <c r="H2102" s="3">
        <f>+D2102-E2102</f>
        <v>0</v>
      </c>
    </row>
    <row r="2103" spans="1:8">
      <c r="A2103" t="s">
        <v>1553</v>
      </c>
      <c r="B2103" t="s">
        <v>1554</v>
      </c>
      <c r="C2103" t="s">
        <v>635</v>
      </c>
      <c r="D2103" s="4">
        <v>0</v>
      </c>
      <c r="E2103" s="4">
        <v>0</v>
      </c>
      <c r="F2103" s="4">
        <v>0</v>
      </c>
      <c r="G2103"/>
      <c r="H2103" s="3">
        <f t="shared" ref="H2103:H2166" si="32">+D2103-E2103</f>
        <v>0</v>
      </c>
    </row>
    <row r="2104" spans="1:8">
      <c r="A2104" t="s">
        <v>1567</v>
      </c>
      <c r="B2104" t="s">
        <v>1568</v>
      </c>
      <c r="C2104" t="s">
        <v>585</v>
      </c>
      <c r="D2104" s="4">
        <v>0</v>
      </c>
      <c r="E2104" s="4">
        <v>0</v>
      </c>
      <c r="F2104" s="4">
        <v>0</v>
      </c>
      <c r="G2104"/>
      <c r="H2104" s="3">
        <f t="shared" si="32"/>
        <v>0</v>
      </c>
    </row>
    <row r="2105" spans="1:8">
      <c r="A2105" t="s">
        <v>1580</v>
      </c>
      <c r="B2105" t="s">
        <v>1581</v>
      </c>
      <c r="C2105" t="s">
        <v>635</v>
      </c>
      <c r="D2105" s="4">
        <v>0</v>
      </c>
      <c r="E2105" s="4">
        <v>0</v>
      </c>
      <c r="F2105" s="4">
        <v>0</v>
      </c>
      <c r="G2105"/>
      <c r="H2105" s="3">
        <f t="shared" si="32"/>
        <v>0</v>
      </c>
    </row>
    <row r="2106" spans="1:8">
      <c r="A2106" t="s">
        <v>1585</v>
      </c>
      <c r="B2106" t="s">
        <v>1586</v>
      </c>
      <c r="C2106" t="s">
        <v>635</v>
      </c>
      <c r="D2106" s="4">
        <v>0</v>
      </c>
      <c r="E2106" s="4">
        <v>0</v>
      </c>
      <c r="F2106" s="4">
        <v>0</v>
      </c>
      <c r="G2106"/>
      <c r="H2106" s="3">
        <f t="shared" si="32"/>
        <v>0</v>
      </c>
    </row>
    <row r="2107" spans="1:8">
      <c r="A2107" t="s">
        <v>1594</v>
      </c>
      <c r="B2107" t="s">
        <v>1595</v>
      </c>
      <c r="C2107" t="s">
        <v>635</v>
      </c>
      <c r="D2107" s="4">
        <v>0</v>
      </c>
      <c r="E2107" s="4">
        <v>0</v>
      </c>
      <c r="F2107" s="4">
        <v>0</v>
      </c>
      <c r="G2107"/>
      <c r="H2107" s="3">
        <f t="shared" si="32"/>
        <v>0</v>
      </c>
    </row>
    <row r="2108" spans="1:8">
      <c r="A2108" t="s">
        <v>1599</v>
      </c>
      <c r="B2108" t="s">
        <v>1600</v>
      </c>
      <c r="C2108" t="s">
        <v>635</v>
      </c>
      <c r="D2108" s="4">
        <v>0</v>
      </c>
      <c r="E2108" s="4">
        <v>0</v>
      </c>
      <c r="F2108" s="4">
        <v>0</v>
      </c>
      <c r="G2108"/>
      <c r="H2108" s="3">
        <f t="shared" si="32"/>
        <v>0</v>
      </c>
    </row>
    <row r="2109" spans="1:8">
      <c r="A2109" t="s">
        <v>1604</v>
      </c>
      <c r="B2109" t="s">
        <v>1605</v>
      </c>
      <c r="C2109" t="s">
        <v>635</v>
      </c>
      <c r="D2109" s="4">
        <v>0</v>
      </c>
      <c r="E2109" s="4">
        <v>0</v>
      </c>
      <c r="F2109" s="4">
        <v>0</v>
      </c>
      <c r="G2109"/>
      <c r="H2109" s="3">
        <f t="shared" si="32"/>
        <v>0</v>
      </c>
    </row>
    <row r="2110" spans="1:8">
      <c r="A2110" t="s">
        <v>1609</v>
      </c>
      <c r="B2110" t="s">
        <v>1610</v>
      </c>
      <c r="C2110" t="s">
        <v>635</v>
      </c>
      <c r="D2110" s="4">
        <v>0</v>
      </c>
      <c r="E2110" s="4">
        <v>0</v>
      </c>
      <c r="F2110" s="4">
        <v>0</v>
      </c>
      <c r="G2110"/>
      <c r="H2110" s="3">
        <f t="shared" si="32"/>
        <v>0</v>
      </c>
    </row>
    <row r="2111" spans="1:8">
      <c r="A2111" t="s">
        <v>1614</v>
      </c>
      <c r="B2111" t="s">
        <v>1615</v>
      </c>
      <c r="C2111" t="s">
        <v>635</v>
      </c>
      <c r="D2111" s="4">
        <v>0</v>
      </c>
      <c r="E2111" s="4">
        <v>0</v>
      </c>
      <c r="F2111" s="4">
        <v>0</v>
      </c>
      <c r="G2111"/>
      <c r="H2111" s="3">
        <f t="shared" si="32"/>
        <v>0</v>
      </c>
    </row>
    <row r="2112" spans="1:8">
      <c r="A2112" t="s">
        <v>1622</v>
      </c>
      <c r="B2112" t="s">
        <v>1623</v>
      </c>
      <c r="C2112" t="s">
        <v>635</v>
      </c>
      <c r="D2112" s="4">
        <v>0</v>
      </c>
      <c r="E2112" s="4">
        <v>0</v>
      </c>
      <c r="F2112" s="4">
        <v>0</v>
      </c>
      <c r="G2112"/>
      <c r="H2112" s="3">
        <f t="shared" si="32"/>
        <v>0</v>
      </c>
    </row>
    <row r="2113" spans="1:8">
      <c r="A2113" t="s">
        <v>1632</v>
      </c>
      <c r="B2113" t="s">
        <v>1633</v>
      </c>
      <c r="C2113" t="s">
        <v>635</v>
      </c>
      <c r="D2113" s="4">
        <v>0</v>
      </c>
      <c r="E2113" s="4">
        <v>0</v>
      </c>
      <c r="F2113" s="4">
        <v>0</v>
      </c>
      <c r="G2113"/>
      <c r="H2113" s="3">
        <f t="shared" si="32"/>
        <v>0</v>
      </c>
    </row>
    <row r="2114" spans="1:8">
      <c r="A2114" t="s">
        <v>1645</v>
      </c>
      <c r="B2114" t="s">
        <v>1646</v>
      </c>
      <c r="C2114" t="s">
        <v>635</v>
      </c>
      <c r="D2114" s="4">
        <v>233100</v>
      </c>
      <c r="E2114" s="4">
        <v>233100</v>
      </c>
      <c r="F2114" s="4">
        <v>466200</v>
      </c>
      <c r="G2114"/>
      <c r="H2114" s="3">
        <f t="shared" si="32"/>
        <v>0</v>
      </c>
    </row>
    <row r="2115" spans="1:8">
      <c r="A2115" t="s">
        <v>1663</v>
      </c>
      <c r="B2115" t="s">
        <v>1664</v>
      </c>
      <c r="C2115" t="s">
        <v>635</v>
      </c>
      <c r="D2115" s="4">
        <v>0</v>
      </c>
      <c r="E2115" s="4">
        <v>0</v>
      </c>
      <c r="F2115" s="4">
        <v>0</v>
      </c>
      <c r="G2115"/>
      <c r="H2115" s="3">
        <f t="shared" si="32"/>
        <v>0</v>
      </c>
    </row>
    <row r="2116" spans="1:8">
      <c r="A2116" t="s">
        <v>1667</v>
      </c>
      <c r="B2116" t="s">
        <v>1668</v>
      </c>
      <c r="C2116" t="s">
        <v>635</v>
      </c>
      <c r="D2116" s="4">
        <v>0</v>
      </c>
      <c r="E2116" s="4">
        <v>0</v>
      </c>
      <c r="F2116" s="4">
        <v>0</v>
      </c>
      <c r="G2116"/>
      <c r="H2116" s="3">
        <f t="shared" si="32"/>
        <v>0</v>
      </c>
    </row>
    <row r="2117" spans="1:8">
      <c r="A2117" t="s">
        <v>1671</v>
      </c>
      <c r="B2117" t="s">
        <v>1672</v>
      </c>
      <c r="C2117" t="s">
        <v>635</v>
      </c>
      <c r="D2117" s="4">
        <v>0</v>
      </c>
      <c r="E2117" s="4">
        <v>0</v>
      </c>
      <c r="F2117" s="4">
        <v>0</v>
      </c>
      <c r="G2117"/>
      <c r="H2117" s="3">
        <f t="shared" si="32"/>
        <v>0</v>
      </c>
    </row>
    <row r="2118" spans="1:8">
      <c r="A2118" t="s">
        <v>1675</v>
      </c>
      <c r="B2118" t="s">
        <v>1676</v>
      </c>
      <c r="C2118" t="s">
        <v>635</v>
      </c>
      <c r="D2118" s="4">
        <v>0</v>
      </c>
      <c r="E2118" s="4">
        <v>0</v>
      </c>
      <c r="F2118" s="4">
        <v>0</v>
      </c>
      <c r="G2118"/>
      <c r="H2118" s="3">
        <f t="shared" si="32"/>
        <v>0</v>
      </c>
    </row>
    <row r="2119" spans="1:8">
      <c r="A2119" t="s">
        <v>1681</v>
      </c>
      <c r="B2119" t="s">
        <v>1682</v>
      </c>
      <c r="C2119" t="s">
        <v>635</v>
      </c>
      <c r="D2119" s="4">
        <v>0</v>
      </c>
      <c r="E2119" s="4">
        <v>0</v>
      </c>
      <c r="F2119" s="4">
        <v>0</v>
      </c>
      <c r="G2119"/>
      <c r="H2119" s="3">
        <f t="shared" si="32"/>
        <v>0</v>
      </c>
    </row>
    <row r="2120" spans="1:8">
      <c r="A2120" t="s">
        <v>1714</v>
      </c>
      <c r="B2120" t="s">
        <v>1715</v>
      </c>
      <c r="C2120" t="s">
        <v>635</v>
      </c>
      <c r="D2120" s="4">
        <v>0</v>
      </c>
      <c r="E2120" s="4">
        <v>0</v>
      </c>
      <c r="F2120" s="4">
        <v>0</v>
      </c>
      <c r="G2120"/>
      <c r="H2120" s="3">
        <f t="shared" si="32"/>
        <v>0</v>
      </c>
    </row>
    <row r="2121" spans="1:8">
      <c r="A2121" t="s">
        <v>1717</v>
      </c>
      <c r="B2121" t="s">
        <v>1718</v>
      </c>
      <c r="C2121" t="s">
        <v>635</v>
      </c>
      <c r="D2121" s="4">
        <v>0</v>
      </c>
      <c r="E2121" s="4">
        <v>0</v>
      </c>
      <c r="F2121" s="4">
        <v>0</v>
      </c>
      <c r="G2121"/>
      <c r="H2121" s="3">
        <f t="shared" si="32"/>
        <v>0</v>
      </c>
    </row>
    <row r="2122" spans="1:8">
      <c r="A2122" t="s">
        <v>1744</v>
      </c>
      <c r="B2122" t="s">
        <v>1745</v>
      </c>
      <c r="C2122" t="s">
        <v>635</v>
      </c>
      <c r="D2122" s="4">
        <v>0</v>
      </c>
      <c r="E2122" s="4">
        <v>0</v>
      </c>
      <c r="F2122" s="4">
        <v>0</v>
      </c>
      <c r="G2122"/>
      <c r="H2122" s="3">
        <f t="shared" si="32"/>
        <v>0</v>
      </c>
    </row>
    <row r="2123" spans="1:8">
      <c r="A2123" t="s">
        <v>1746</v>
      </c>
      <c r="B2123" t="s">
        <v>1747</v>
      </c>
      <c r="C2123" t="s">
        <v>635</v>
      </c>
      <c r="D2123" s="4">
        <v>0</v>
      </c>
      <c r="E2123" s="4">
        <v>0</v>
      </c>
      <c r="F2123" s="4">
        <v>0</v>
      </c>
      <c r="G2123"/>
      <c r="H2123" s="3">
        <f t="shared" si="32"/>
        <v>0</v>
      </c>
    </row>
    <row r="2124" spans="1:8">
      <c r="A2124" t="s">
        <v>1751</v>
      </c>
      <c r="B2124" t="s">
        <v>1752</v>
      </c>
      <c r="C2124" t="s">
        <v>635</v>
      </c>
      <c r="D2124" s="4">
        <v>0</v>
      </c>
      <c r="E2124" s="4">
        <v>0</v>
      </c>
      <c r="F2124" s="4">
        <v>0</v>
      </c>
      <c r="G2124"/>
      <c r="H2124" s="3">
        <f t="shared" si="32"/>
        <v>0</v>
      </c>
    </row>
    <row r="2125" spans="1:8">
      <c r="A2125" t="s">
        <v>1767</v>
      </c>
      <c r="B2125" t="s">
        <v>1768</v>
      </c>
      <c r="C2125" t="s">
        <v>635</v>
      </c>
      <c r="D2125" s="4">
        <v>0</v>
      </c>
      <c r="E2125" s="4">
        <v>0</v>
      </c>
      <c r="F2125" s="4">
        <v>0</v>
      </c>
      <c r="G2125"/>
      <c r="H2125" s="3">
        <f t="shared" si="32"/>
        <v>0</v>
      </c>
    </row>
    <row r="2126" spans="1:8">
      <c r="A2126" t="s">
        <v>1804</v>
      </c>
      <c r="B2126" t="s">
        <v>1805</v>
      </c>
      <c r="C2126" t="s">
        <v>635</v>
      </c>
      <c r="D2126" s="4">
        <v>0</v>
      </c>
      <c r="E2126" s="4">
        <v>0</v>
      </c>
      <c r="F2126" s="4">
        <v>0</v>
      </c>
      <c r="G2126"/>
      <c r="H2126" s="3">
        <f t="shared" si="32"/>
        <v>0</v>
      </c>
    </row>
    <row r="2127" spans="1:8">
      <c r="A2127" t="s">
        <v>1865</v>
      </c>
      <c r="B2127" t="s">
        <v>1866</v>
      </c>
      <c r="C2127" t="s">
        <v>635</v>
      </c>
      <c r="D2127" s="4">
        <v>0</v>
      </c>
      <c r="E2127" s="4">
        <v>0</v>
      </c>
      <c r="F2127" s="4">
        <v>0</v>
      </c>
      <c r="G2127"/>
      <c r="H2127" s="3">
        <f t="shared" si="32"/>
        <v>0</v>
      </c>
    </row>
    <row r="2128" spans="1:8">
      <c r="A2128" t="s">
        <v>1884</v>
      </c>
      <c r="B2128" t="s">
        <v>1885</v>
      </c>
      <c r="C2128" t="s">
        <v>635</v>
      </c>
      <c r="D2128" s="4">
        <v>0</v>
      </c>
      <c r="E2128" s="4">
        <v>0</v>
      </c>
      <c r="F2128" s="4">
        <v>0</v>
      </c>
      <c r="G2128"/>
      <c r="H2128" s="3">
        <f t="shared" si="32"/>
        <v>0</v>
      </c>
    </row>
    <row r="2129" spans="1:8">
      <c r="A2129" t="s">
        <v>1939</v>
      </c>
      <c r="B2129" t="s">
        <v>1940</v>
      </c>
      <c r="C2129" t="s">
        <v>635</v>
      </c>
      <c r="D2129" s="4">
        <v>0</v>
      </c>
      <c r="E2129" s="4">
        <v>0</v>
      </c>
      <c r="F2129" s="4">
        <v>0</v>
      </c>
      <c r="G2129"/>
      <c r="H2129" s="3">
        <f t="shared" si="32"/>
        <v>0</v>
      </c>
    </row>
    <row r="2130" spans="1:8">
      <c r="A2130" t="s">
        <v>1954</v>
      </c>
      <c r="B2130" t="s">
        <v>1955</v>
      </c>
      <c r="C2130" t="s">
        <v>635</v>
      </c>
      <c r="D2130" s="4">
        <v>0</v>
      </c>
      <c r="E2130" s="4">
        <v>0</v>
      </c>
      <c r="F2130" s="4">
        <v>0</v>
      </c>
      <c r="G2130"/>
      <c r="H2130" s="3">
        <f t="shared" si="32"/>
        <v>0</v>
      </c>
    </row>
    <row r="2131" spans="1:8">
      <c r="A2131" t="s">
        <v>1958</v>
      </c>
      <c r="B2131" t="s">
        <v>1959</v>
      </c>
      <c r="C2131" t="s">
        <v>635</v>
      </c>
      <c r="D2131" s="4">
        <v>0</v>
      </c>
      <c r="E2131" s="4">
        <v>0</v>
      </c>
      <c r="F2131" s="4">
        <v>0</v>
      </c>
      <c r="G2131"/>
      <c r="H2131" s="3">
        <f t="shared" si="32"/>
        <v>0</v>
      </c>
    </row>
    <row r="2132" spans="1:8">
      <c r="A2132" t="s">
        <v>1966</v>
      </c>
      <c r="B2132" t="s">
        <v>1967</v>
      </c>
      <c r="C2132" t="s">
        <v>466</v>
      </c>
      <c r="D2132" s="4">
        <v>0</v>
      </c>
      <c r="E2132" s="4">
        <v>0</v>
      </c>
      <c r="F2132" s="4">
        <v>0</v>
      </c>
      <c r="G2132"/>
      <c r="H2132" s="3">
        <f t="shared" si="32"/>
        <v>0</v>
      </c>
    </row>
    <row r="2133" spans="1:8">
      <c r="A2133" t="s">
        <v>1985</v>
      </c>
      <c r="B2133" t="s">
        <v>1986</v>
      </c>
      <c r="C2133" t="s">
        <v>635</v>
      </c>
      <c r="D2133" s="4">
        <v>0</v>
      </c>
      <c r="E2133" s="4">
        <v>0</v>
      </c>
      <c r="F2133" s="4">
        <v>0</v>
      </c>
      <c r="G2133"/>
      <c r="H2133" s="3">
        <f t="shared" si="32"/>
        <v>0</v>
      </c>
    </row>
    <row r="2134" spans="1:8">
      <c r="A2134" t="s">
        <v>1995</v>
      </c>
      <c r="B2134" t="s">
        <v>1996</v>
      </c>
      <c r="C2134" t="s">
        <v>635</v>
      </c>
      <c r="D2134" s="4">
        <v>0</v>
      </c>
      <c r="E2134" s="4">
        <v>0</v>
      </c>
      <c r="F2134" s="4">
        <v>0</v>
      </c>
      <c r="G2134"/>
      <c r="H2134" s="3">
        <f t="shared" si="32"/>
        <v>0</v>
      </c>
    </row>
    <row r="2135" spans="1:8">
      <c r="A2135" t="s">
        <v>2027</v>
      </c>
      <c r="B2135" t="s">
        <v>2028</v>
      </c>
      <c r="C2135" t="s">
        <v>635</v>
      </c>
      <c r="D2135" s="4">
        <v>0</v>
      </c>
      <c r="E2135" s="4">
        <v>0</v>
      </c>
      <c r="F2135" s="4">
        <v>0</v>
      </c>
      <c r="G2135"/>
      <c r="H2135" s="3">
        <f t="shared" si="32"/>
        <v>0</v>
      </c>
    </row>
    <row r="2136" spans="1:8">
      <c r="A2136" t="s">
        <v>2075</v>
      </c>
      <c r="B2136" t="s">
        <v>2076</v>
      </c>
      <c r="C2136" t="s">
        <v>635</v>
      </c>
      <c r="D2136" s="4">
        <v>0</v>
      </c>
      <c r="E2136" s="4">
        <v>0</v>
      </c>
      <c r="F2136" s="4">
        <v>0</v>
      </c>
      <c r="G2136"/>
      <c r="H2136" s="3">
        <f t="shared" si="32"/>
        <v>0</v>
      </c>
    </row>
    <row r="2137" spans="1:8">
      <c r="A2137" t="s">
        <v>2084</v>
      </c>
      <c r="B2137" t="s">
        <v>2085</v>
      </c>
      <c r="C2137" t="s">
        <v>635</v>
      </c>
      <c r="D2137" s="4">
        <v>0</v>
      </c>
      <c r="E2137" s="4">
        <v>0</v>
      </c>
      <c r="F2137" s="4">
        <v>0</v>
      </c>
      <c r="G2137"/>
      <c r="H2137" s="3">
        <f t="shared" si="32"/>
        <v>0</v>
      </c>
    </row>
    <row r="2138" spans="1:8">
      <c r="A2138" t="s">
        <v>2106</v>
      </c>
      <c r="B2138" t="s">
        <v>2107</v>
      </c>
      <c r="C2138" t="s">
        <v>635</v>
      </c>
      <c r="D2138" s="4">
        <v>0</v>
      </c>
      <c r="E2138" s="4">
        <v>0</v>
      </c>
      <c r="F2138" s="4">
        <v>0</v>
      </c>
      <c r="G2138"/>
      <c r="H2138" s="3">
        <f t="shared" si="32"/>
        <v>0</v>
      </c>
    </row>
    <row r="2139" spans="1:8">
      <c r="A2139" t="s">
        <v>2160</v>
      </c>
      <c r="B2139" t="s">
        <v>2161</v>
      </c>
      <c r="C2139" t="s">
        <v>466</v>
      </c>
      <c r="D2139" s="4">
        <v>0</v>
      </c>
      <c r="E2139" s="4">
        <v>0</v>
      </c>
      <c r="F2139" s="4">
        <v>0</v>
      </c>
      <c r="G2139"/>
      <c r="H2139" s="3">
        <f t="shared" si="32"/>
        <v>0</v>
      </c>
    </row>
    <row r="2140" spans="1:8">
      <c r="A2140" t="s">
        <v>2206</v>
      </c>
      <c r="B2140" t="s">
        <v>2207</v>
      </c>
      <c r="C2140" t="s">
        <v>466</v>
      </c>
      <c r="D2140" s="4">
        <v>0</v>
      </c>
      <c r="E2140" s="4"/>
      <c r="F2140" s="4">
        <v>0</v>
      </c>
      <c r="G2140"/>
      <c r="H2140" s="3">
        <f t="shared" si="32"/>
        <v>0</v>
      </c>
    </row>
    <row r="2141" spans="1:8">
      <c r="B2141" t="s">
        <v>3060</v>
      </c>
      <c r="C2141" t="s">
        <v>466</v>
      </c>
      <c r="D2141" s="4"/>
      <c r="E2141" s="4">
        <v>0</v>
      </c>
      <c r="F2141" s="4">
        <v>0</v>
      </c>
      <c r="G2141"/>
      <c r="H2141" s="3">
        <f t="shared" si="32"/>
        <v>0</v>
      </c>
    </row>
    <row r="2142" spans="1:8">
      <c r="A2142" t="s">
        <v>2227</v>
      </c>
      <c r="B2142" t="s">
        <v>2228</v>
      </c>
      <c r="C2142" t="s">
        <v>466</v>
      </c>
      <c r="D2142" s="4">
        <v>0</v>
      </c>
      <c r="E2142" s="4">
        <v>0</v>
      </c>
      <c r="F2142" s="4">
        <v>0</v>
      </c>
      <c r="G2142"/>
      <c r="H2142" s="3">
        <f t="shared" si="32"/>
        <v>0</v>
      </c>
    </row>
    <row r="2143" spans="1:8">
      <c r="A2143" t="s">
        <v>2276</v>
      </c>
      <c r="B2143" t="s">
        <v>2277</v>
      </c>
      <c r="C2143" t="s">
        <v>635</v>
      </c>
      <c r="D2143" s="4">
        <v>0</v>
      </c>
      <c r="E2143" s="4">
        <v>0</v>
      </c>
      <c r="F2143" s="4">
        <v>0</v>
      </c>
      <c r="G2143"/>
      <c r="H2143" s="3">
        <f t="shared" si="32"/>
        <v>0</v>
      </c>
    </row>
    <row r="2144" spans="1:8">
      <c r="A2144" t="s">
        <v>2279</v>
      </c>
      <c r="B2144" t="s">
        <v>2280</v>
      </c>
      <c r="C2144" t="s">
        <v>635</v>
      </c>
      <c r="D2144" s="4">
        <v>0</v>
      </c>
      <c r="E2144" s="4">
        <v>0</v>
      </c>
      <c r="F2144" s="4">
        <v>0</v>
      </c>
      <c r="G2144"/>
      <c r="H2144" s="3">
        <f t="shared" si="32"/>
        <v>0</v>
      </c>
    </row>
    <row r="2145" spans="1:8">
      <c r="A2145" t="s">
        <v>2295</v>
      </c>
      <c r="B2145" t="s">
        <v>2296</v>
      </c>
      <c r="C2145" t="s">
        <v>635</v>
      </c>
      <c r="D2145" s="4">
        <v>0</v>
      </c>
      <c r="E2145" s="4">
        <v>0</v>
      </c>
      <c r="F2145" s="4">
        <v>0</v>
      </c>
      <c r="G2145"/>
      <c r="H2145" s="3">
        <f t="shared" si="32"/>
        <v>0</v>
      </c>
    </row>
    <row r="2146" spans="1:8">
      <c r="A2146" t="s">
        <v>2336</v>
      </c>
      <c r="B2146" t="s">
        <v>2337</v>
      </c>
      <c r="C2146" t="s">
        <v>635</v>
      </c>
      <c r="D2146" s="4">
        <v>0</v>
      </c>
      <c r="E2146" s="4">
        <v>0</v>
      </c>
      <c r="F2146" s="4">
        <v>0</v>
      </c>
      <c r="H2146" s="3">
        <f t="shared" si="32"/>
        <v>0</v>
      </c>
    </row>
    <row r="2147" spans="1:8">
      <c r="A2147" t="s">
        <v>2348</v>
      </c>
      <c r="B2147" t="s">
        <v>2349</v>
      </c>
      <c r="C2147" t="s">
        <v>635</v>
      </c>
      <c r="D2147" s="4">
        <v>268900</v>
      </c>
      <c r="E2147" s="4">
        <v>268900</v>
      </c>
      <c r="F2147" s="4">
        <v>537800</v>
      </c>
      <c r="H2147" s="3">
        <f t="shared" si="32"/>
        <v>0</v>
      </c>
    </row>
    <row r="2148" spans="1:8">
      <c r="A2148" t="s">
        <v>2352</v>
      </c>
      <c r="B2148" t="s">
        <v>2353</v>
      </c>
      <c r="C2148" t="s">
        <v>635</v>
      </c>
      <c r="D2148" s="4">
        <v>0</v>
      </c>
      <c r="E2148" s="4">
        <v>0</v>
      </c>
      <c r="F2148" s="4">
        <v>0</v>
      </c>
      <c r="H2148" s="3">
        <f t="shared" si="32"/>
        <v>0</v>
      </c>
    </row>
    <row r="2149" spans="1:8">
      <c r="A2149" t="s">
        <v>2393</v>
      </c>
      <c r="B2149" t="s">
        <v>2394</v>
      </c>
      <c r="C2149" t="s">
        <v>635</v>
      </c>
      <c r="D2149" s="4">
        <v>0</v>
      </c>
      <c r="E2149" s="4">
        <v>0</v>
      </c>
      <c r="F2149" s="4">
        <v>0</v>
      </c>
      <c r="H2149" s="3">
        <f t="shared" si="32"/>
        <v>0</v>
      </c>
    </row>
    <row r="2150" spans="1:8">
      <c r="A2150" t="s">
        <v>2422</v>
      </c>
      <c r="B2150" t="s">
        <v>2423</v>
      </c>
      <c r="C2150" t="s">
        <v>466</v>
      </c>
      <c r="D2150" s="4">
        <v>0</v>
      </c>
      <c r="E2150" s="4">
        <v>0</v>
      </c>
      <c r="F2150" s="4">
        <v>0</v>
      </c>
      <c r="H2150" s="3">
        <f t="shared" si="32"/>
        <v>0</v>
      </c>
    </row>
    <row r="2151" spans="1:8">
      <c r="A2151" t="s">
        <v>2477</v>
      </c>
      <c r="B2151" t="s">
        <v>2478</v>
      </c>
      <c r="C2151" t="s">
        <v>466</v>
      </c>
      <c r="D2151" s="4">
        <v>0</v>
      </c>
      <c r="E2151" s="4">
        <v>0</v>
      </c>
      <c r="F2151" s="4">
        <v>0</v>
      </c>
      <c r="H2151" s="3">
        <f t="shared" si="32"/>
        <v>0</v>
      </c>
    </row>
    <row r="2152" spans="1:8">
      <c r="A2152" t="s">
        <v>2480</v>
      </c>
      <c r="B2152" t="s">
        <v>2481</v>
      </c>
      <c r="C2152" t="s">
        <v>635</v>
      </c>
      <c r="D2152" s="4">
        <v>0</v>
      </c>
      <c r="E2152" s="4">
        <v>0</v>
      </c>
      <c r="F2152" s="4">
        <v>0</v>
      </c>
      <c r="H2152" s="3">
        <f t="shared" si="32"/>
        <v>0</v>
      </c>
    </row>
    <row r="2153" spans="1:8">
      <c r="A2153" t="s">
        <v>2487</v>
      </c>
      <c r="B2153" t="s">
        <v>2488</v>
      </c>
      <c r="C2153" t="s">
        <v>635</v>
      </c>
      <c r="D2153" s="4">
        <v>0</v>
      </c>
      <c r="E2153" s="4">
        <v>0</v>
      </c>
      <c r="F2153" s="4">
        <v>0</v>
      </c>
      <c r="H2153" s="3">
        <f t="shared" si="32"/>
        <v>0</v>
      </c>
    </row>
    <row r="2154" spans="1:8">
      <c r="A2154" t="s">
        <v>2508</v>
      </c>
      <c r="B2154" t="s">
        <v>2509</v>
      </c>
      <c r="C2154" t="s">
        <v>635</v>
      </c>
      <c r="D2154" s="4">
        <v>0</v>
      </c>
      <c r="E2154" s="4">
        <v>0</v>
      </c>
      <c r="F2154" s="4">
        <v>0</v>
      </c>
      <c r="H2154" s="3">
        <f t="shared" si="32"/>
        <v>0</v>
      </c>
    </row>
    <row r="2155" spans="1:8">
      <c r="A2155" t="s">
        <v>2513</v>
      </c>
      <c r="B2155" t="s">
        <v>2514</v>
      </c>
      <c r="C2155" t="s">
        <v>635</v>
      </c>
      <c r="D2155" s="4">
        <v>0</v>
      </c>
      <c r="E2155" s="4">
        <v>0</v>
      </c>
      <c r="F2155" s="4">
        <v>0</v>
      </c>
      <c r="H2155" s="3">
        <f t="shared" si="32"/>
        <v>0</v>
      </c>
    </row>
    <row r="2156" spans="1:8">
      <c r="A2156" t="s">
        <v>2515</v>
      </c>
      <c r="B2156" t="s">
        <v>2516</v>
      </c>
      <c r="C2156" t="s">
        <v>635</v>
      </c>
      <c r="D2156" s="4">
        <v>0</v>
      </c>
      <c r="E2156" s="4">
        <v>0</v>
      </c>
      <c r="F2156" s="4">
        <v>0</v>
      </c>
      <c r="H2156" s="3">
        <f t="shared" si="32"/>
        <v>0</v>
      </c>
    </row>
    <row r="2157" spans="1:8">
      <c r="A2157" t="s">
        <v>2527</v>
      </c>
      <c r="B2157" t="s">
        <v>2528</v>
      </c>
      <c r="C2157" t="s">
        <v>635</v>
      </c>
      <c r="D2157" s="4">
        <v>131500</v>
      </c>
      <c r="E2157" s="4">
        <v>131500</v>
      </c>
      <c r="F2157" s="4">
        <v>263000</v>
      </c>
      <c r="H2157" s="3">
        <f t="shared" si="32"/>
        <v>0</v>
      </c>
    </row>
    <row r="2158" spans="1:8">
      <c r="A2158" t="s">
        <v>2536</v>
      </c>
      <c r="B2158" t="s">
        <v>2537</v>
      </c>
      <c r="C2158" t="s">
        <v>466</v>
      </c>
      <c r="D2158" s="4">
        <v>0</v>
      </c>
      <c r="E2158" s="4">
        <v>0</v>
      </c>
      <c r="F2158" s="4">
        <v>0</v>
      </c>
      <c r="H2158" s="3">
        <f t="shared" si="32"/>
        <v>0</v>
      </c>
    </row>
    <row r="2159" spans="1:8">
      <c r="A2159" t="s">
        <v>2550</v>
      </c>
      <c r="B2159" t="s">
        <v>2551</v>
      </c>
      <c r="C2159" t="s">
        <v>635</v>
      </c>
      <c r="D2159" s="4">
        <v>0</v>
      </c>
      <c r="E2159" s="4">
        <v>0</v>
      </c>
      <c r="F2159" s="4">
        <v>0</v>
      </c>
      <c r="H2159" s="3">
        <f t="shared" si="32"/>
        <v>0</v>
      </c>
    </row>
    <row r="2160" spans="1:8">
      <c r="A2160" t="s">
        <v>2555</v>
      </c>
      <c r="B2160" t="s">
        <v>2556</v>
      </c>
      <c r="C2160" t="s">
        <v>635</v>
      </c>
      <c r="D2160" s="4">
        <v>0</v>
      </c>
      <c r="E2160" s="4">
        <v>0</v>
      </c>
      <c r="F2160" s="4">
        <v>0</v>
      </c>
      <c r="H2160" s="3">
        <f t="shared" si="32"/>
        <v>0</v>
      </c>
    </row>
    <row r="2161" spans="1:8">
      <c r="A2161" t="s">
        <v>2562</v>
      </c>
      <c r="B2161" t="s">
        <v>2563</v>
      </c>
      <c r="C2161" t="s">
        <v>635</v>
      </c>
      <c r="D2161" s="4">
        <v>337700</v>
      </c>
      <c r="E2161" s="4">
        <v>337700</v>
      </c>
      <c r="F2161" s="4">
        <v>675400</v>
      </c>
      <c r="H2161" s="3">
        <f t="shared" si="32"/>
        <v>0</v>
      </c>
    </row>
    <row r="2162" spans="1:8">
      <c r="A2162" t="s">
        <v>2566</v>
      </c>
      <c r="B2162" t="s">
        <v>2567</v>
      </c>
      <c r="C2162" t="s">
        <v>635</v>
      </c>
      <c r="D2162" s="4">
        <v>0</v>
      </c>
      <c r="E2162" s="4">
        <v>0</v>
      </c>
      <c r="F2162" s="4">
        <v>0</v>
      </c>
      <c r="H2162" s="3">
        <f t="shared" si="32"/>
        <v>0</v>
      </c>
    </row>
    <row r="2163" spans="1:8">
      <c r="A2163" t="s">
        <v>2570</v>
      </c>
      <c r="B2163" t="s">
        <v>2571</v>
      </c>
      <c r="C2163" t="s">
        <v>635</v>
      </c>
      <c r="D2163" s="4">
        <v>0</v>
      </c>
      <c r="E2163" s="4">
        <v>0</v>
      </c>
      <c r="F2163" s="4">
        <v>0</v>
      </c>
      <c r="H2163" s="3">
        <f t="shared" si="32"/>
        <v>0</v>
      </c>
    </row>
    <row r="2164" spans="1:8">
      <c r="A2164" t="s">
        <v>2574</v>
      </c>
      <c r="B2164" t="s">
        <v>2575</v>
      </c>
      <c r="C2164" t="s">
        <v>635</v>
      </c>
      <c r="D2164" s="4">
        <v>0</v>
      </c>
      <c r="E2164" s="4">
        <v>0</v>
      </c>
      <c r="F2164" s="4">
        <v>0</v>
      </c>
      <c r="H2164" s="3">
        <f t="shared" si="32"/>
        <v>0</v>
      </c>
    </row>
    <row r="2165" spans="1:8">
      <c r="A2165" t="s">
        <v>2578</v>
      </c>
      <c r="B2165" t="s">
        <v>2579</v>
      </c>
      <c r="C2165" t="s">
        <v>635</v>
      </c>
      <c r="D2165" s="4">
        <v>0</v>
      </c>
      <c r="E2165" s="4">
        <v>0</v>
      </c>
      <c r="F2165" s="4">
        <v>0</v>
      </c>
      <c r="H2165" s="3">
        <f t="shared" si="32"/>
        <v>0</v>
      </c>
    </row>
    <row r="2166" spans="1:8">
      <c r="A2166" t="s">
        <v>2582</v>
      </c>
      <c r="B2166" t="s">
        <v>2583</v>
      </c>
      <c r="C2166" t="s">
        <v>635</v>
      </c>
      <c r="D2166" s="4">
        <v>0</v>
      </c>
      <c r="E2166" s="4">
        <v>0</v>
      </c>
      <c r="F2166" s="4">
        <v>0</v>
      </c>
      <c r="H2166" s="3">
        <f t="shared" si="32"/>
        <v>0</v>
      </c>
    </row>
    <row r="2167" spans="1:8">
      <c r="A2167" t="s">
        <v>2586</v>
      </c>
      <c r="B2167" t="s">
        <v>2587</v>
      </c>
      <c r="C2167" t="s">
        <v>635</v>
      </c>
      <c r="D2167" s="4">
        <v>0</v>
      </c>
      <c r="E2167" s="4">
        <v>0</v>
      </c>
      <c r="F2167" s="4">
        <v>0</v>
      </c>
      <c r="H2167" s="3">
        <f t="shared" ref="H2167:H2230" si="33">+D2167-E2167</f>
        <v>0</v>
      </c>
    </row>
    <row r="2168" spans="1:8">
      <c r="A2168" t="s">
        <v>2602</v>
      </c>
      <c r="B2168" t="s">
        <v>2603</v>
      </c>
      <c r="C2168" t="s">
        <v>635</v>
      </c>
      <c r="D2168" s="4">
        <v>0</v>
      </c>
      <c r="E2168" s="4">
        <v>0</v>
      </c>
      <c r="F2168" s="4">
        <v>0</v>
      </c>
      <c r="H2168" s="3">
        <f t="shared" si="33"/>
        <v>0</v>
      </c>
    </row>
    <row r="2169" spans="1:8">
      <c r="A2169" t="s">
        <v>2605</v>
      </c>
      <c r="B2169" t="s">
        <v>2606</v>
      </c>
      <c r="C2169" t="s">
        <v>635</v>
      </c>
      <c r="D2169" s="4">
        <v>0</v>
      </c>
      <c r="E2169" s="4">
        <v>0</v>
      </c>
      <c r="F2169" s="4">
        <v>0</v>
      </c>
      <c r="H2169" s="3">
        <f t="shared" si="33"/>
        <v>0</v>
      </c>
    </row>
    <row r="2170" spans="1:8">
      <c r="A2170" t="s">
        <v>2609</v>
      </c>
      <c r="B2170" t="s">
        <v>2610</v>
      </c>
      <c r="C2170" t="s">
        <v>635</v>
      </c>
      <c r="D2170" s="4">
        <v>0</v>
      </c>
      <c r="E2170" s="4">
        <v>0</v>
      </c>
      <c r="F2170" s="4">
        <v>0</v>
      </c>
      <c r="H2170" s="3">
        <f t="shared" si="33"/>
        <v>0</v>
      </c>
    </row>
    <row r="2171" spans="1:8">
      <c r="A2171" t="s">
        <v>2619</v>
      </c>
      <c r="B2171" t="s">
        <v>2620</v>
      </c>
      <c r="C2171" t="s">
        <v>635</v>
      </c>
      <c r="D2171" s="4">
        <v>0</v>
      </c>
      <c r="E2171" s="4">
        <v>0</v>
      </c>
      <c r="F2171" s="4">
        <v>0</v>
      </c>
      <c r="H2171" s="3">
        <f t="shared" si="33"/>
        <v>0</v>
      </c>
    </row>
    <row r="2172" spans="1:8">
      <c r="A2172" t="s">
        <v>2624</v>
      </c>
      <c r="B2172" t="s">
        <v>2625</v>
      </c>
      <c r="C2172" t="s">
        <v>635</v>
      </c>
      <c r="D2172" s="4">
        <v>0</v>
      </c>
      <c r="E2172" s="4">
        <v>0</v>
      </c>
      <c r="F2172" s="4">
        <v>0</v>
      </c>
      <c r="H2172" s="3">
        <f t="shared" si="33"/>
        <v>0</v>
      </c>
    </row>
    <row r="2173" spans="1:8">
      <c r="A2173" t="s">
        <v>2672</v>
      </c>
      <c r="B2173" t="s">
        <v>2673</v>
      </c>
      <c r="C2173" t="s">
        <v>635</v>
      </c>
      <c r="D2173" s="4">
        <v>0</v>
      </c>
      <c r="E2173" s="4">
        <v>0</v>
      </c>
      <c r="F2173" s="4">
        <v>0</v>
      </c>
      <c r="H2173" s="3">
        <f t="shared" si="33"/>
        <v>0</v>
      </c>
    </row>
    <row r="2174" spans="1:8">
      <c r="A2174" t="s">
        <v>2679</v>
      </c>
      <c r="B2174" t="s">
        <v>2680</v>
      </c>
      <c r="C2174" t="s">
        <v>635</v>
      </c>
      <c r="D2174" s="4">
        <v>0</v>
      </c>
      <c r="E2174" s="4">
        <v>0</v>
      </c>
      <c r="F2174" s="4">
        <v>0</v>
      </c>
      <c r="H2174" s="3">
        <f t="shared" si="33"/>
        <v>0</v>
      </c>
    </row>
    <row r="2175" spans="1:8">
      <c r="A2175" t="s">
        <v>2692</v>
      </c>
      <c r="B2175" t="s">
        <v>2693</v>
      </c>
      <c r="C2175" t="s">
        <v>1001</v>
      </c>
      <c r="D2175" s="4">
        <v>0</v>
      </c>
      <c r="E2175" s="4">
        <v>0</v>
      </c>
      <c r="F2175" s="4">
        <v>0</v>
      </c>
      <c r="H2175" s="3">
        <f t="shared" si="33"/>
        <v>0</v>
      </c>
    </row>
    <row r="2176" spans="1:8">
      <c r="A2176" t="s">
        <v>2730</v>
      </c>
      <c r="B2176" t="s">
        <v>2731</v>
      </c>
      <c r="C2176" t="s">
        <v>635</v>
      </c>
      <c r="D2176" s="4">
        <v>346000</v>
      </c>
      <c r="E2176" s="4">
        <v>346000</v>
      </c>
      <c r="F2176" s="4">
        <v>692000</v>
      </c>
      <c r="H2176" s="3">
        <f t="shared" si="33"/>
        <v>0</v>
      </c>
    </row>
    <row r="2177" spans="1:8">
      <c r="A2177" t="s">
        <v>2736</v>
      </c>
      <c r="B2177" t="s">
        <v>2737</v>
      </c>
      <c r="C2177" t="s">
        <v>635</v>
      </c>
      <c r="D2177" s="4">
        <v>0</v>
      </c>
      <c r="E2177" s="4">
        <v>0</v>
      </c>
      <c r="F2177" s="4">
        <v>0</v>
      </c>
      <c r="H2177" s="3">
        <f t="shared" si="33"/>
        <v>0</v>
      </c>
    </row>
    <row r="2178" spans="1:8">
      <c r="A2178" t="s">
        <v>2752</v>
      </c>
      <c r="B2178" t="s">
        <v>2753</v>
      </c>
      <c r="C2178" t="s">
        <v>635</v>
      </c>
      <c r="D2178" s="4">
        <v>0</v>
      </c>
      <c r="E2178" s="4">
        <v>0</v>
      </c>
      <c r="F2178" s="4">
        <v>0</v>
      </c>
      <c r="H2178" s="3">
        <f t="shared" si="33"/>
        <v>0</v>
      </c>
    </row>
    <row r="2179" spans="1:8">
      <c r="A2179" t="s">
        <v>2772</v>
      </c>
      <c r="B2179" t="s">
        <v>2773</v>
      </c>
      <c r="C2179" t="s">
        <v>635</v>
      </c>
      <c r="D2179" s="4">
        <v>145300</v>
      </c>
      <c r="E2179" s="4">
        <v>145300</v>
      </c>
      <c r="F2179" s="4">
        <v>290600</v>
      </c>
      <c r="H2179" s="3">
        <f t="shared" si="33"/>
        <v>0</v>
      </c>
    </row>
    <row r="2180" spans="1:8">
      <c r="A2180" t="s">
        <v>2795</v>
      </c>
      <c r="B2180" t="s">
        <v>2796</v>
      </c>
      <c r="C2180" t="s">
        <v>635</v>
      </c>
      <c r="D2180" s="4">
        <v>0</v>
      </c>
      <c r="E2180" s="4">
        <v>0</v>
      </c>
      <c r="F2180" s="4">
        <v>0</v>
      </c>
      <c r="H2180" s="3">
        <f t="shared" si="33"/>
        <v>0</v>
      </c>
    </row>
    <row r="2181" spans="1:8">
      <c r="A2181" t="s">
        <v>2801</v>
      </c>
      <c r="B2181" t="s">
        <v>2802</v>
      </c>
      <c r="C2181" t="s">
        <v>635</v>
      </c>
      <c r="D2181" s="4">
        <v>0</v>
      </c>
      <c r="E2181" s="4">
        <v>0</v>
      </c>
      <c r="F2181" s="4">
        <v>0</v>
      </c>
      <c r="H2181" s="3">
        <f t="shared" si="33"/>
        <v>0</v>
      </c>
    </row>
    <row r="2182" spans="1:8">
      <c r="A2182" t="s">
        <v>2803</v>
      </c>
      <c r="B2182" t="s">
        <v>2804</v>
      </c>
      <c r="C2182" t="s">
        <v>635</v>
      </c>
      <c r="D2182" s="4">
        <v>0</v>
      </c>
      <c r="E2182" s="4">
        <v>0</v>
      </c>
      <c r="F2182" s="4">
        <v>0</v>
      </c>
      <c r="H2182" s="3">
        <f t="shared" si="33"/>
        <v>0</v>
      </c>
    </row>
    <row r="2183" spans="1:8">
      <c r="A2183" t="s">
        <v>2805</v>
      </c>
      <c r="B2183" t="s">
        <v>2806</v>
      </c>
      <c r="C2183" t="s">
        <v>635</v>
      </c>
      <c r="D2183" s="4">
        <v>337700</v>
      </c>
      <c r="E2183" s="4">
        <v>337700</v>
      </c>
      <c r="F2183" s="4">
        <v>675400</v>
      </c>
      <c r="H2183" s="3">
        <f t="shared" si="33"/>
        <v>0</v>
      </c>
    </row>
    <row r="2184" spans="1:8">
      <c r="A2184" t="s">
        <v>2808</v>
      </c>
      <c r="B2184" t="s">
        <v>2809</v>
      </c>
      <c r="C2184" t="s">
        <v>635</v>
      </c>
      <c r="D2184" s="4">
        <v>346000</v>
      </c>
      <c r="E2184" s="4">
        <v>346000</v>
      </c>
      <c r="F2184" s="4">
        <v>692000</v>
      </c>
      <c r="H2184" s="3">
        <f t="shared" si="33"/>
        <v>0</v>
      </c>
    </row>
    <row r="2185" spans="1:8">
      <c r="A2185" t="s">
        <v>2824</v>
      </c>
      <c r="B2185" t="s">
        <v>2825</v>
      </c>
      <c r="C2185" t="s">
        <v>635</v>
      </c>
      <c r="D2185" s="4">
        <v>146800</v>
      </c>
      <c r="E2185" s="4">
        <v>146800</v>
      </c>
      <c r="F2185" s="4">
        <v>293600</v>
      </c>
      <c r="H2185" s="3">
        <f t="shared" si="33"/>
        <v>0</v>
      </c>
    </row>
    <row r="2186" spans="1:8">
      <c r="A2186" t="s">
        <v>2827</v>
      </c>
      <c r="B2186" t="s">
        <v>2828</v>
      </c>
      <c r="C2186" t="s">
        <v>635</v>
      </c>
      <c r="D2186" s="4">
        <v>0</v>
      </c>
      <c r="E2186" s="4">
        <v>0</v>
      </c>
      <c r="F2186" s="4">
        <v>0</v>
      </c>
      <c r="H2186" s="3">
        <f t="shared" si="33"/>
        <v>0</v>
      </c>
    </row>
    <row r="2187" spans="1:8">
      <c r="A2187" t="s">
        <v>2832</v>
      </c>
      <c r="B2187" t="s">
        <v>2833</v>
      </c>
      <c r="C2187" t="s">
        <v>635</v>
      </c>
      <c r="D2187" s="4">
        <v>0</v>
      </c>
      <c r="E2187" s="4">
        <v>0</v>
      </c>
      <c r="F2187" s="4">
        <v>0</v>
      </c>
      <c r="H2187" s="3">
        <f t="shared" si="33"/>
        <v>0</v>
      </c>
    </row>
    <row r="2188" spans="1:8">
      <c r="A2188" t="s">
        <v>2836</v>
      </c>
      <c r="B2188" t="s">
        <v>2837</v>
      </c>
      <c r="C2188" t="s">
        <v>635</v>
      </c>
      <c r="D2188" s="4">
        <v>581800</v>
      </c>
      <c r="E2188" s="4">
        <v>581800</v>
      </c>
      <c r="F2188" s="4">
        <v>1163600</v>
      </c>
      <c r="H2188" s="3">
        <f t="shared" si="33"/>
        <v>0</v>
      </c>
    </row>
    <row r="2189" spans="1:8">
      <c r="A2189" t="s">
        <v>2875</v>
      </c>
      <c r="B2189" t="s">
        <v>2876</v>
      </c>
      <c r="C2189" t="s">
        <v>635</v>
      </c>
      <c r="D2189" s="4">
        <v>167100</v>
      </c>
      <c r="E2189" s="4">
        <v>167100</v>
      </c>
      <c r="F2189" s="4">
        <v>334200</v>
      </c>
      <c r="H2189" s="3">
        <f t="shared" si="33"/>
        <v>0</v>
      </c>
    </row>
    <row r="2190" spans="1:8">
      <c r="A2190" t="s">
        <v>2883</v>
      </c>
      <c r="B2190" t="s">
        <v>2884</v>
      </c>
      <c r="C2190" t="s">
        <v>635</v>
      </c>
      <c r="D2190" s="4">
        <v>0</v>
      </c>
      <c r="E2190" s="4">
        <v>0</v>
      </c>
      <c r="F2190" s="4">
        <v>0</v>
      </c>
      <c r="H2190" s="3">
        <f t="shared" si="33"/>
        <v>0</v>
      </c>
    </row>
    <row r="2191" spans="1:8">
      <c r="A2191" t="s">
        <v>2885</v>
      </c>
      <c r="B2191" t="s">
        <v>2886</v>
      </c>
      <c r="C2191" t="s">
        <v>635</v>
      </c>
      <c r="D2191" s="4">
        <v>0</v>
      </c>
      <c r="E2191" s="4">
        <v>0</v>
      </c>
      <c r="F2191" s="4">
        <v>0</v>
      </c>
      <c r="H2191" s="3">
        <f t="shared" si="33"/>
        <v>0</v>
      </c>
    </row>
    <row r="2192" spans="1:8">
      <c r="A2192" t="s">
        <v>2888</v>
      </c>
      <c r="B2192" t="s">
        <v>2889</v>
      </c>
      <c r="C2192" t="s">
        <v>466</v>
      </c>
      <c r="D2192" s="4">
        <v>0</v>
      </c>
      <c r="E2192" s="4">
        <v>0</v>
      </c>
      <c r="F2192" s="4">
        <v>0</v>
      </c>
      <c r="H2192" s="3">
        <f t="shared" si="33"/>
        <v>0</v>
      </c>
    </row>
    <row r="2193" spans="1:8">
      <c r="A2193" t="s">
        <v>2945</v>
      </c>
      <c r="B2193" t="s">
        <v>2946</v>
      </c>
      <c r="C2193" t="s">
        <v>749</v>
      </c>
      <c r="D2193" s="4">
        <v>0</v>
      </c>
      <c r="E2193" s="4">
        <v>0</v>
      </c>
      <c r="F2193" s="4">
        <v>0</v>
      </c>
      <c r="H2193" s="3">
        <f t="shared" si="33"/>
        <v>0</v>
      </c>
    </row>
    <row r="2194" spans="1:8">
      <c r="A2194" t="s">
        <v>2952</v>
      </c>
      <c r="B2194" t="s">
        <v>2953</v>
      </c>
      <c r="C2194" t="s">
        <v>635</v>
      </c>
      <c r="D2194" s="4">
        <v>337700</v>
      </c>
      <c r="E2194" s="4">
        <v>337700</v>
      </c>
      <c r="F2194" s="4">
        <v>675400</v>
      </c>
      <c r="H2194" s="3">
        <f t="shared" si="33"/>
        <v>0</v>
      </c>
    </row>
    <row r="2195" spans="1:8">
      <c r="A2195" t="s">
        <v>2954</v>
      </c>
      <c r="B2195" t="s">
        <v>2955</v>
      </c>
      <c r="C2195" t="s">
        <v>466</v>
      </c>
      <c r="D2195" s="4">
        <v>0</v>
      </c>
      <c r="E2195" s="4">
        <v>0</v>
      </c>
      <c r="F2195" s="4">
        <v>0</v>
      </c>
      <c r="H2195" s="3">
        <f t="shared" si="33"/>
        <v>0</v>
      </c>
    </row>
    <row r="2196" spans="1:8">
      <c r="A2196" t="s">
        <v>2962</v>
      </c>
      <c r="B2196" t="s">
        <v>2963</v>
      </c>
      <c r="C2196" t="s">
        <v>635</v>
      </c>
      <c r="D2196" s="4">
        <v>0</v>
      </c>
      <c r="E2196" s="4">
        <v>0</v>
      </c>
      <c r="F2196" s="4">
        <v>0</v>
      </c>
      <c r="H2196" s="3">
        <f t="shared" si="33"/>
        <v>0</v>
      </c>
    </row>
    <row r="2197" spans="1:8">
      <c r="A2197" t="s">
        <v>2977</v>
      </c>
      <c r="B2197" t="s">
        <v>2978</v>
      </c>
      <c r="C2197" t="s">
        <v>466</v>
      </c>
      <c r="D2197" s="4">
        <v>0</v>
      </c>
      <c r="E2197" s="4">
        <v>0</v>
      </c>
      <c r="F2197" s="4">
        <v>0</v>
      </c>
      <c r="H2197" s="3">
        <f t="shared" si="33"/>
        <v>0</v>
      </c>
    </row>
    <row r="2198" spans="1:8">
      <c r="A2198" t="s">
        <v>2984</v>
      </c>
      <c r="B2198" t="s">
        <v>2985</v>
      </c>
      <c r="C2198" t="s">
        <v>635</v>
      </c>
      <c r="D2198" s="4">
        <v>0</v>
      </c>
      <c r="E2198" s="4">
        <v>0</v>
      </c>
      <c r="F2198" s="4">
        <v>0</v>
      </c>
      <c r="H2198" s="3">
        <f t="shared" si="33"/>
        <v>0</v>
      </c>
    </row>
    <row r="2199" spans="1:8">
      <c r="A2199" t="s">
        <v>2991</v>
      </c>
      <c r="B2199" t="s">
        <v>2992</v>
      </c>
      <c r="C2199" t="s">
        <v>635</v>
      </c>
      <c r="D2199" s="4">
        <v>0</v>
      </c>
      <c r="E2199" s="4">
        <v>0</v>
      </c>
      <c r="F2199" s="4">
        <v>0</v>
      </c>
      <c r="H2199" s="3">
        <f t="shared" si="33"/>
        <v>0</v>
      </c>
    </row>
    <row r="2200" spans="1:8">
      <c r="A2200" t="s">
        <v>2997</v>
      </c>
      <c r="B2200" t="s">
        <v>2998</v>
      </c>
      <c r="C2200" t="s">
        <v>749</v>
      </c>
      <c r="D2200" s="4">
        <v>194600</v>
      </c>
      <c r="E2200" s="4">
        <v>194600</v>
      </c>
      <c r="F2200" s="4">
        <v>389200</v>
      </c>
      <c r="H2200" s="3">
        <f t="shared" si="33"/>
        <v>0</v>
      </c>
    </row>
    <row r="2201" spans="1:8">
      <c r="A2201" t="s">
        <v>3000</v>
      </c>
      <c r="B2201" t="s">
        <v>3001</v>
      </c>
      <c r="C2201" t="s">
        <v>635</v>
      </c>
      <c r="D2201" s="4">
        <v>0</v>
      </c>
      <c r="E2201" s="4">
        <v>0</v>
      </c>
      <c r="F2201" s="4">
        <v>0</v>
      </c>
      <c r="H2201" s="3">
        <f t="shared" si="33"/>
        <v>0</v>
      </c>
    </row>
    <row r="2202" spans="1:8">
      <c r="A2202" t="s">
        <v>3010</v>
      </c>
      <c r="B2202" t="s">
        <v>3011</v>
      </c>
      <c r="C2202" t="s">
        <v>635</v>
      </c>
      <c r="D2202" s="4">
        <v>0</v>
      </c>
      <c r="E2202" s="4">
        <v>0</v>
      </c>
      <c r="F2202" s="4">
        <v>0</v>
      </c>
      <c r="H2202" s="3">
        <f t="shared" si="33"/>
        <v>0</v>
      </c>
    </row>
    <row r="2203" spans="1:8">
      <c r="A2203" t="s">
        <v>3016</v>
      </c>
      <c r="B2203" t="s">
        <v>3017</v>
      </c>
      <c r="C2203" t="s">
        <v>635</v>
      </c>
      <c r="D2203" s="4">
        <v>0</v>
      </c>
      <c r="E2203" s="4">
        <v>0</v>
      </c>
      <c r="F2203" s="4">
        <v>0</v>
      </c>
      <c r="H2203" s="3">
        <f t="shared" si="33"/>
        <v>0</v>
      </c>
    </row>
    <row r="2204" spans="1:8">
      <c r="A2204" t="s">
        <v>3026</v>
      </c>
      <c r="B2204" t="s">
        <v>3027</v>
      </c>
      <c r="C2204" t="s">
        <v>635</v>
      </c>
      <c r="D2204" s="4">
        <v>337700</v>
      </c>
      <c r="E2204" s="4">
        <v>337700</v>
      </c>
      <c r="F2204" s="4">
        <v>675400</v>
      </c>
      <c r="H2204" s="3">
        <f t="shared" si="33"/>
        <v>0</v>
      </c>
    </row>
    <row r="2205" spans="1:8">
      <c r="A2205" t="s">
        <v>3039</v>
      </c>
      <c r="B2205" t="s">
        <v>3040</v>
      </c>
      <c r="C2205" t="s">
        <v>749</v>
      </c>
      <c r="D2205" s="4">
        <v>0</v>
      </c>
      <c r="E2205" s="4">
        <v>0</v>
      </c>
      <c r="F2205" s="4">
        <v>0</v>
      </c>
      <c r="H2205" s="3">
        <f t="shared" si="33"/>
        <v>0</v>
      </c>
    </row>
    <row r="2206" spans="1:8">
      <c r="A2206" t="s">
        <v>1504</v>
      </c>
      <c r="B2206" t="s">
        <v>1505</v>
      </c>
      <c r="C2206" t="s">
        <v>466</v>
      </c>
      <c r="D2206" s="4">
        <v>0</v>
      </c>
      <c r="E2206" s="4">
        <v>0</v>
      </c>
      <c r="F2206" s="4">
        <v>0</v>
      </c>
      <c r="H2206" s="3">
        <f t="shared" si="33"/>
        <v>0</v>
      </c>
    </row>
    <row r="2207" spans="1:8">
      <c r="A2207" t="s">
        <v>1655</v>
      </c>
      <c r="B2207" t="s">
        <v>1656</v>
      </c>
      <c r="C2207" t="s">
        <v>635</v>
      </c>
      <c r="D2207" s="4">
        <v>0</v>
      </c>
      <c r="E2207" s="4">
        <v>0</v>
      </c>
      <c r="F2207" s="4">
        <v>0</v>
      </c>
      <c r="H2207" s="3">
        <f t="shared" si="33"/>
        <v>0</v>
      </c>
    </row>
    <row r="2208" spans="1:8">
      <c r="A2208" t="s">
        <v>2113</v>
      </c>
      <c r="B2208" t="s">
        <v>2114</v>
      </c>
      <c r="C2208" t="s">
        <v>635</v>
      </c>
      <c r="D2208" s="4">
        <v>0</v>
      </c>
      <c r="E2208" s="4">
        <v>0</v>
      </c>
      <c r="F2208" s="4">
        <v>0</v>
      </c>
      <c r="H2208" s="3">
        <f t="shared" si="33"/>
        <v>0</v>
      </c>
    </row>
    <row r="2209" spans="1:8">
      <c r="A2209" t="s">
        <v>2145</v>
      </c>
      <c r="B2209" t="s">
        <v>2146</v>
      </c>
      <c r="C2209" t="s">
        <v>635</v>
      </c>
      <c r="D2209" s="4">
        <v>0</v>
      </c>
      <c r="E2209" s="4">
        <v>0</v>
      </c>
      <c r="F2209" s="4">
        <v>0</v>
      </c>
      <c r="H2209" s="3">
        <f t="shared" si="33"/>
        <v>0</v>
      </c>
    </row>
    <row r="2210" spans="1:8">
      <c r="A2210" t="s">
        <v>2149</v>
      </c>
      <c r="B2210" t="s">
        <v>2150</v>
      </c>
      <c r="C2210" t="s">
        <v>466</v>
      </c>
      <c r="D2210" s="4">
        <v>0</v>
      </c>
      <c r="E2210" s="4">
        <v>0</v>
      </c>
      <c r="F2210" s="4">
        <v>0</v>
      </c>
      <c r="H2210" s="3">
        <f t="shared" si="33"/>
        <v>0</v>
      </c>
    </row>
    <row r="2211" spans="1:8">
      <c r="A2211" t="s">
        <v>2156</v>
      </c>
      <c r="B2211" t="s">
        <v>2157</v>
      </c>
      <c r="C2211" t="s">
        <v>466</v>
      </c>
      <c r="D2211" s="4">
        <v>0</v>
      </c>
      <c r="E2211" s="4">
        <v>0</v>
      </c>
      <c r="F2211" s="4">
        <v>0</v>
      </c>
      <c r="H2211" s="3">
        <f t="shared" si="33"/>
        <v>0</v>
      </c>
    </row>
    <row r="2212" spans="1:8">
      <c r="A2212" t="s">
        <v>2265</v>
      </c>
      <c r="B2212" t="s">
        <v>2266</v>
      </c>
      <c r="C2212" t="s">
        <v>466</v>
      </c>
      <c r="D2212" s="4">
        <v>0</v>
      </c>
      <c r="E2212" s="4">
        <v>0</v>
      </c>
      <c r="F2212" s="4">
        <v>0</v>
      </c>
      <c r="H2212" s="3">
        <f t="shared" si="33"/>
        <v>0</v>
      </c>
    </row>
    <row r="2213" spans="1:8">
      <c r="A2213" t="s">
        <v>2390</v>
      </c>
      <c r="B2213" t="s">
        <v>2391</v>
      </c>
      <c r="C2213" t="s">
        <v>635</v>
      </c>
      <c r="D2213" s="4">
        <v>0</v>
      </c>
      <c r="E2213" s="4">
        <v>0</v>
      </c>
      <c r="F2213" s="4">
        <v>0</v>
      </c>
      <c r="H2213" s="3">
        <f t="shared" si="33"/>
        <v>0</v>
      </c>
    </row>
    <row r="2214" spans="1:8">
      <c r="A2214" t="s">
        <v>2431</v>
      </c>
      <c r="B2214" t="s">
        <v>2432</v>
      </c>
      <c r="C2214" t="s">
        <v>635</v>
      </c>
      <c r="D2214" s="4">
        <v>0</v>
      </c>
      <c r="E2214" s="4">
        <v>0</v>
      </c>
      <c r="F2214" s="4">
        <v>0</v>
      </c>
      <c r="H2214" s="3">
        <f t="shared" si="33"/>
        <v>0</v>
      </c>
    </row>
    <row r="2215" spans="1:8">
      <c r="A2215" t="s">
        <v>2484</v>
      </c>
      <c r="B2215" t="s">
        <v>2485</v>
      </c>
      <c r="C2215" t="s">
        <v>635</v>
      </c>
      <c r="D2215" s="4">
        <v>0</v>
      </c>
      <c r="E2215" s="4">
        <v>0</v>
      </c>
      <c r="F2215" s="4">
        <v>0</v>
      </c>
      <c r="H2215" s="3">
        <f t="shared" si="33"/>
        <v>0</v>
      </c>
    </row>
    <row r="2216" spans="1:8">
      <c r="A2216" t="s">
        <v>2714</v>
      </c>
      <c r="B2216" t="s">
        <v>2715</v>
      </c>
      <c r="C2216" t="s">
        <v>466</v>
      </c>
      <c r="D2216" s="4">
        <v>0</v>
      </c>
      <c r="E2216" s="4">
        <v>0</v>
      </c>
      <c r="F2216" s="4">
        <v>0</v>
      </c>
      <c r="H2216" s="3">
        <f t="shared" si="33"/>
        <v>0</v>
      </c>
    </row>
    <row r="2217" spans="1:8">
      <c r="A2217" t="s">
        <v>2812</v>
      </c>
      <c r="B2217" t="s">
        <v>2813</v>
      </c>
      <c r="C2217" t="s">
        <v>635</v>
      </c>
      <c r="D2217" s="4">
        <v>0</v>
      </c>
      <c r="E2217" s="4">
        <v>0</v>
      </c>
      <c r="F2217" s="4">
        <v>0</v>
      </c>
      <c r="H2217" s="3">
        <f t="shared" si="33"/>
        <v>0</v>
      </c>
    </row>
    <row r="2218" spans="1:8">
      <c r="A2218" t="s">
        <v>1509</v>
      </c>
      <c r="B2218" t="s">
        <v>1510</v>
      </c>
      <c r="C2218" t="s">
        <v>466</v>
      </c>
      <c r="D2218" s="4">
        <v>0</v>
      </c>
      <c r="E2218" s="4">
        <v>0</v>
      </c>
      <c r="F2218" s="4">
        <v>0</v>
      </c>
      <c r="H2218" s="3">
        <f t="shared" si="33"/>
        <v>0</v>
      </c>
    </row>
    <row r="2219" spans="1:8">
      <c r="A2219" t="s">
        <v>2152</v>
      </c>
      <c r="B2219" t="s">
        <v>2153</v>
      </c>
      <c r="C2219" t="s">
        <v>466</v>
      </c>
      <c r="D2219" s="4">
        <v>0</v>
      </c>
      <c r="E2219" s="4">
        <v>0</v>
      </c>
      <c r="F2219" s="4">
        <v>0</v>
      </c>
      <c r="H2219" s="3">
        <f t="shared" si="33"/>
        <v>0</v>
      </c>
    </row>
    <row r="2220" spans="1:8">
      <c r="A2220" t="s">
        <v>2191</v>
      </c>
      <c r="B2220" t="s">
        <v>2192</v>
      </c>
      <c r="C2220" t="s">
        <v>466</v>
      </c>
      <c r="D2220" s="4">
        <v>0</v>
      </c>
      <c r="E2220" s="4">
        <v>0</v>
      </c>
      <c r="F2220" s="4">
        <v>0</v>
      </c>
      <c r="H2220" s="3">
        <f t="shared" si="33"/>
        <v>0</v>
      </c>
    </row>
    <row r="2221" spans="1:8">
      <c r="A2221" t="s">
        <v>2195</v>
      </c>
      <c r="B2221" t="s">
        <v>2196</v>
      </c>
      <c r="C2221" t="s">
        <v>466</v>
      </c>
      <c r="D2221" s="4">
        <v>0</v>
      </c>
      <c r="E2221" s="4">
        <v>0</v>
      </c>
      <c r="F2221" s="4">
        <v>0</v>
      </c>
      <c r="H2221" s="3">
        <f t="shared" si="33"/>
        <v>0</v>
      </c>
    </row>
    <row r="2222" spans="1:8">
      <c r="A2222" t="s">
        <v>2203</v>
      </c>
      <c r="B2222" t="s">
        <v>2204</v>
      </c>
      <c r="C2222" t="s">
        <v>466</v>
      </c>
      <c r="D2222" s="4">
        <v>0</v>
      </c>
      <c r="E2222" s="4">
        <v>0</v>
      </c>
      <c r="F2222" s="4">
        <v>0</v>
      </c>
      <c r="H2222" s="3">
        <f t="shared" si="33"/>
        <v>0</v>
      </c>
    </row>
    <row r="2223" spans="1:8">
      <c r="A2223" t="s">
        <v>2213</v>
      </c>
      <c r="B2223" t="s">
        <v>2214</v>
      </c>
      <c r="C2223" t="s">
        <v>466</v>
      </c>
      <c r="D2223" s="4">
        <v>0</v>
      </c>
      <c r="E2223" s="4">
        <v>0</v>
      </c>
      <c r="F2223" s="4">
        <v>0</v>
      </c>
      <c r="H2223" s="3">
        <f t="shared" si="33"/>
        <v>0</v>
      </c>
    </row>
    <row r="2224" spans="1:8">
      <c r="A2224" t="s">
        <v>2224</v>
      </c>
      <c r="B2224" t="s">
        <v>2225</v>
      </c>
      <c r="C2224" t="s">
        <v>466</v>
      </c>
      <c r="D2224" s="4">
        <v>0</v>
      </c>
      <c r="E2224" s="4">
        <v>0</v>
      </c>
      <c r="F2224" s="4">
        <v>0</v>
      </c>
      <c r="H2224" s="3">
        <f t="shared" si="33"/>
        <v>0</v>
      </c>
    </row>
    <row r="2225" spans="1:8">
      <c r="A2225" t="s">
        <v>2272</v>
      </c>
      <c r="B2225" t="s">
        <v>2273</v>
      </c>
      <c r="C2225" t="s">
        <v>466</v>
      </c>
      <c r="D2225" s="4">
        <v>0</v>
      </c>
      <c r="E2225" s="4">
        <v>0</v>
      </c>
      <c r="F2225" s="4">
        <v>0</v>
      </c>
      <c r="H2225" s="3">
        <f t="shared" si="33"/>
        <v>0</v>
      </c>
    </row>
    <row r="2226" spans="1:8">
      <c r="A2226" t="s">
        <v>2434</v>
      </c>
      <c r="B2226" t="s">
        <v>2435</v>
      </c>
      <c r="C2226" t="s">
        <v>635</v>
      </c>
      <c r="D2226" s="4">
        <v>0</v>
      </c>
      <c r="E2226" s="4">
        <v>0</v>
      </c>
      <c r="F2226" s="4">
        <v>0</v>
      </c>
      <c r="H2226" s="3">
        <f t="shared" si="33"/>
        <v>0</v>
      </c>
    </row>
    <row r="2227" spans="1:8">
      <c r="A2227" t="s">
        <v>2462</v>
      </c>
      <c r="B2227" t="s">
        <v>2463</v>
      </c>
      <c r="C2227" t="s">
        <v>466</v>
      </c>
      <c r="D2227" s="4">
        <v>0</v>
      </c>
      <c r="E2227" s="4">
        <v>0</v>
      </c>
      <c r="F2227" s="4">
        <v>0</v>
      </c>
      <c r="H2227" s="3">
        <f t="shared" si="33"/>
        <v>0</v>
      </c>
    </row>
    <row r="2228" spans="1:8">
      <c r="A2228" t="s">
        <v>2473</v>
      </c>
      <c r="B2228" t="s">
        <v>2474</v>
      </c>
      <c r="C2228" t="s">
        <v>466</v>
      </c>
      <c r="D2228" s="4">
        <v>0</v>
      </c>
      <c r="E2228" s="4">
        <v>0</v>
      </c>
      <c r="F2228" s="4">
        <v>0</v>
      </c>
      <c r="H2228" s="3">
        <f t="shared" si="33"/>
        <v>0</v>
      </c>
    </row>
    <row r="2229" spans="1:8">
      <c r="A2229" t="s">
        <v>2747</v>
      </c>
      <c r="B2229" t="s">
        <v>2748</v>
      </c>
      <c r="C2229" t="s">
        <v>466</v>
      </c>
      <c r="D2229" s="4">
        <v>0</v>
      </c>
      <c r="E2229" s="4">
        <v>0</v>
      </c>
      <c r="F2229" s="4">
        <v>0</v>
      </c>
      <c r="H2229" s="3">
        <f t="shared" si="33"/>
        <v>0</v>
      </c>
    </row>
    <row r="2230" spans="1:8">
      <c r="A2230" t="s">
        <v>2820</v>
      </c>
      <c r="B2230" t="s">
        <v>2821</v>
      </c>
      <c r="C2230" t="s">
        <v>466</v>
      </c>
      <c r="D2230" s="4">
        <v>0</v>
      </c>
      <c r="E2230" s="4">
        <v>0</v>
      </c>
      <c r="F2230" s="4">
        <v>0</v>
      </c>
      <c r="H2230" s="3">
        <f t="shared" si="33"/>
        <v>0</v>
      </c>
    </row>
    <row r="2231" spans="1:8">
      <c r="A2231" t="s">
        <v>2877</v>
      </c>
      <c r="B2231" t="s">
        <v>2878</v>
      </c>
      <c r="C2231" t="s">
        <v>635</v>
      </c>
      <c r="D2231" s="4">
        <v>0</v>
      </c>
      <c r="E2231" s="4">
        <v>0</v>
      </c>
      <c r="F2231" s="4">
        <v>0</v>
      </c>
      <c r="H2231" s="3">
        <f t="shared" ref="H2231:H2294" si="34">+D2231-E2231</f>
        <v>0</v>
      </c>
    </row>
    <row r="2232" spans="1:8">
      <c r="A2232" t="s">
        <v>1533</v>
      </c>
      <c r="B2232" t="s">
        <v>1534</v>
      </c>
      <c r="C2232" t="s">
        <v>466</v>
      </c>
      <c r="D2232" s="4">
        <v>0</v>
      </c>
      <c r="E2232" s="4">
        <v>0</v>
      </c>
      <c r="F2232" s="4">
        <v>0</v>
      </c>
      <c r="H2232" s="3">
        <f t="shared" si="34"/>
        <v>0</v>
      </c>
    </row>
    <row r="2233" spans="1:8">
      <c r="A2233" t="s">
        <v>1538</v>
      </c>
      <c r="B2233" t="s">
        <v>1539</v>
      </c>
      <c r="C2233" t="s">
        <v>466</v>
      </c>
      <c r="D2233" s="4">
        <v>0</v>
      </c>
      <c r="E2233" s="4">
        <v>0</v>
      </c>
      <c r="F2233" s="4">
        <v>0</v>
      </c>
      <c r="H2233" s="3">
        <f t="shared" si="34"/>
        <v>0</v>
      </c>
    </row>
    <row r="2234" spans="1:8">
      <c r="A2234" t="s">
        <v>1559</v>
      </c>
      <c r="B2234" t="s">
        <v>1560</v>
      </c>
      <c r="C2234" t="s">
        <v>466</v>
      </c>
      <c r="D2234" s="4">
        <v>0</v>
      </c>
      <c r="E2234" s="4">
        <v>0</v>
      </c>
      <c r="F2234" s="4">
        <v>0</v>
      </c>
      <c r="H2234" s="3">
        <f t="shared" si="34"/>
        <v>0</v>
      </c>
    </row>
    <row r="2235" spans="1:8">
      <c r="A2235" t="s">
        <v>1641</v>
      </c>
      <c r="B2235" t="s">
        <v>1642</v>
      </c>
      <c r="C2235" t="s">
        <v>466</v>
      </c>
      <c r="D2235" s="4">
        <v>0</v>
      </c>
      <c r="E2235" s="4">
        <v>0</v>
      </c>
      <c r="F2235" s="4">
        <v>0</v>
      </c>
      <c r="H2235" s="3">
        <f t="shared" si="34"/>
        <v>0</v>
      </c>
    </row>
    <row r="2236" spans="1:8">
      <c r="A2236" t="s">
        <v>1820</v>
      </c>
      <c r="B2236" t="s">
        <v>1821</v>
      </c>
      <c r="C2236" t="s">
        <v>466</v>
      </c>
      <c r="D2236" s="4">
        <v>0</v>
      </c>
      <c r="E2236" s="4">
        <v>0</v>
      </c>
      <c r="F2236" s="4">
        <v>0</v>
      </c>
      <c r="H2236" s="3">
        <f t="shared" si="34"/>
        <v>0</v>
      </c>
    </row>
    <row r="2237" spans="1:8">
      <c r="A2237" t="s">
        <v>1831</v>
      </c>
      <c r="B2237" t="s">
        <v>1832</v>
      </c>
      <c r="C2237" t="s">
        <v>466</v>
      </c>
      <c r="D2237" s="4">
        <v>0</v>
      </c>
      <c r="E2237" s="4">
        <v>0</v>
      </c>
      <c r="F2237" s="4">
        <v>0</v>
      </c>
      <c r="H2237" s="3">
        <f t="shared" si="34"/>
        <v>0</v>
      </c>
    </row>
    <row r="2238" spans="1:8">
      <c r="A2238" t="s">
        <v>1934</v>
      </c>
      <c r="B2238" t="s">
        <v>1935</v>
      </c>
      <c r="C2238" t="s">
        <v>466</v>
      </c>
      <c r="D2238" s="4">
        <v>0</v>
      </c>
      <c r="E2238" s="4">
        <v>0</v>
      </c>
      <c r="F2238" s="4">
        <v>0</v>
      </c>
      <c r="H2238" s="3">
        <f t="shared" si="34"/>
        <v>0</v>
      </c>
    </row>
    <row r="2239" spans="1:8">
      <c r="A2239" t="s">
        <v>2173</v>
      </c>
      <c r="B2239" t="s">
        <v>2174</v>
      </c>
      <c r="C2239" t="s">
        <v>466</v>
      </c>
      <c r="D2239" s="4">
        <v>0</v>
      </c>
      <c r="E2239" s="4"/>
      <c r="F2239" s="4">
        <v>0</v>
      </c>
      <c r="H2239" s="3">
        <f t="shared" si="34"/>
        <v>0</v>
      </c>
    </row>
    <row r="2240" spans="1:8">
      <c r="B2240" t="s">
        <v>3058</v>
      </c>
      <c r="C2240" t="s">
        <v>466</v>
      </c>
      <c r="D2240" s="4"/>
      <c r="E2240" s="4">
        <v>0</v>
      </c>
      <c r="F2240" s="4">
        <v>0</v>
      </c>
      <c r="H2240" s="3">
        <f t="shared" si="34"/>
        <v>0</v>
      </c>
    </row>
    <row r="2241" spans="1:8">
      <c r="A2241" t="s">
        <v>2184</v>
      </c>
      <c r="B2241" t="s">
        <v>2185</v>
      </c>
      <c r="C2241" t="s">
        <v>466</v>
      </c>
      <c r="D2241" s="4">
        <v>0</v>
      </c>
      <c r="E2241" s="4">
        <v>0</v>
      </c>
      <c r="F2241" s="4">
        <v>0</v>
      </c>
      <c r="H2241" s="3">
        <f t="shared" si="34"/>
        <v>0</v>
      </c>
    </row>
    <row r="2242" spans="1:8">
      <c r="A2242" t="s">
        <v>2360</v>
      </c>
      <c r="B2242" t="s">
        <v>2361</v>
      </c>
      <c r="C2242" t="s">
        <v>466</v>
      </c>
      <c r="D2242" s="4">
        <v>0</v>
      </c>
      <c r="E2242" s="4">
        <v>0</v>
      </c>
      <c r="F2242" s="4">
        <v>0</v>
      </c>
      <c r="H2242" s="3">
        <f t="shared" si="34"/>
        <v>0</v>
      </c>
    </row>
    <row r="2243" spans="1:8">
      <c r="A2243" t="s">
        <v>2371</v>
      </c>
      <c r="B2243" t="s">
        <v>2372</v>
      </c>
      <c r="C2243" t="s">
        <v>466</v>
      </c>
      <c r="D2243" s="4">
        <v>0</v>
      </c>
      <c r="E2243" s="4">
        <v>0</v>
      </c>
      <c r="F2243" s="4">
        <v>0</v>
      </c>
      <c r="H2243" s="3">
        <f t="shared" si="34"/>
        <v>0</v>
      </c>
    </row>
    <row r="2244" spans="1:8">
      <c r="A2244" t="s">
        <v>2376</v>
      </c>
      <c r="B2244" t="s">
        <v>2377</v>
      </c>
      <c r="C2244" t="s">
        <v>466</v>
      </c>
      <c r="D2244" s="4">
        <v>0</v>
      </c>
      <c r="E2244" s="4">
        <v>0</v>
      </c>
      <c r="F2244" s="4">
        <v>0</v>
      </c>
      <c r="H2244" s="3">
        <f t="shared" si="34"/>
        <v>0</v>
      </c>
    </row>
    <row r="2245" spans="1:8">
      <c r="A2245" t="s">
        <v>2384</v>
      </c>
      <c r="B2245" t="s">
        <v>2385</v>
      </c>
      <c r="C2245" t="s">
        <v>466</v>
      </c>
      <c r="D2245" s="4">
        <v>0</v>
      </c>
      <c r="E2245" s="4">
        <v>0</v>
      </c>
      <c r="F2245" s="4">
        <v>0</v>
      </c>
      <c r="H2245" s="3">
        <f t="shared" si="34"/>
        <v>0</v>
      </c>
    </row>
    <row r="2246" spans="1:8">
      <c r="A2246" t="s">
        <v>2388</v>
      </c>
      <c r="B2246" t="s">
        <v>2389</v>
      </c>
      <c r="C2246" t="s">
        <v>466</v>
      </c>
      <c r="D2246" s="4">
        <v>0</v>
      </c>
      <c r="E2246" s="4">
        <v>0</v>
      </c>
      <c r="F2246" s="4">
        <v>0</v>
      </c>
      <c r="H2246" s="3">
        <f t="shared" si="34"/>
        <v>0</v>
      </c>
    </row>
    <row r="2247" spans="1:8">
      <c r="A2247" t="s">
        <v>2401</v>
      </c>
      <c r="B2247" t="s">
        <v>2402</v>
      </c>
      <c r="C2247" t="s">
        <v>466</v>
      </c>
      <c r="D2247" s="4">
        <v>0</v>
      </c>
      <c r="E2247" s="4">
        <v>0</v>
      </c>
      <c r="F2247" s="4">
        <v>0</v>
      </c>
      <c r="H2247" s="3">
        <f t="shared" si="34"/>
        <v>0</v>
      </c>
    </row>
    <row r="2248" spans="1:8">
      <c r="A2248" t="s">
        <v>2466</v>
      </c>
      <c r="B2248" t="s">
        <v>2467</v>
      </c>
      <c r="C2248" t="s">
        <v>466</v>
      </c>
      <c r="D2248" s="4">
        <v>0</v>
      </c>
      <c r="E2248" s="4">
        <v>0</v>
      </c>
      <c r="F2248" s="4">
        <v>0</v>
      </c>
      <c r="H2248" s="3">
        <f t="shared" si="34"/>
        <v>0</v>
      </c>
    </row>
    <row r="2249" spans="1:8">
      <c r="A2249" t="s">
        <v>2542</v>
      </c>
      <c r="B2249" t="s">
        <v>2543</v>
      </c>
      <c r="C2249" t="s">
        <v>466</v>
      </c>
      <c r="D2249" s="4">
        <v>0</v>
      </c>
      <c r="E2249" s="4">
        <v>0</v>
      </c>
      <c r="F2249" s="4">
        <v>0</v>
      </c>
      <c r="H2249" s="3">
        <f t="shared" si="34"/>
        <v>0</v>
      </c>
    </row>
    <row r="2250" spans="1:8">
      <c r="A2250" t="s">
        <v>2589</v>
      </c>
      <c r="B2250" t="s">
        <v>2590</v>
      </c>
      <c r="C2250" t="s">
        <v>466</v>
      </c>
      <c r="D2250" s="4">
        <v>0</v>
      </c>
      <c r="E2250" s="4">
        <v>0</v>
      </c>
      <c r="F2250" s="4">
        <v>0</v>
      </c>
      <c r="H2250" s="3">
        <f t="shared" si="34"/>
        <v>0</v>
      </c>
    </row>
    <row r="2251" spans="1:8">
      <c r="A2251" t="s">
        <v>2912</v>
      </c>
      <c r="B2251" t="s">
        <v>2913</v>
      </c>
      <c r="C2251" t="s">
        <v>466</v>
      </c>
      <c r="D2251" s="4">
        <v>0</v>
      </c>
      <c r="E2251" s="4">
        <v>0</v>
      </c>
      <c r="F2251" s="4">
        <v>0</v>
      </c>
      <c r="H2251" s="3">
        <f t="shared" si="34"/>
        <v>0</v>
      </c>
    </row>
    <row r="2252" spans="1:8">
      <c r="A2252" t="s">
        <v>3012</v>
      </c>
      <c r="B2252" t="s">
        <v>3013</v>
      </c>
      <c r="C2252" t="s">
        <v>635</v>
      </c>
      <c r="D2252" s="4">
        <v>0</v>
      </c>
      <c r="E2252" s="4">
        <v>0</v>
      </c>
      <c r="F2252" s="4">
        <v>0</v>
      </c>
      <c r="H2252" s="3">
        <f t="shared" si="34"/>
        <v>0</v>
      </c>
    </row>
    <row r="2253" spans="1:8">
      <c r="A2253" t="s">
        <v>1564</v>
      </c>
      <c r="B2253" t="s">
        <v>1565</v>
      </c>
      <c r="C2253" t="s">
        <v>466</v>
      </c>
      <c r="D2253" s="4">
        <v>0</v>
      </c>
      <c r="E2253" s="4">
        <v>0</v>
      </c>
      <c r="F2253" s="4">
        <v>0</v>
      </c>
      <c r="H2253" s="3">
        <f t="shared" si="34"/>
        <v>0</v>
      </c>
    </row>
    <row r="2254" spans="1:8">
      <c r="A2254" t="s">
        <v>1946</v>
      </c>
      <c r="B2254" t="s">
        <v>1947</v>
      </c>
      <c r="C2254" t="s">
        <v>466</v>
      </c>
      <c r="D2254" s="4">
        <v>0</v>
      </c>
      <c r="E2254" s="4">
        <v>0</v>
      </c>
      <c r="F2254" s="4">
        <v>0</v>
      </c>
      <c r="H2254" s="3">
        <f t="shared" si="34"/>
        <v>0</v>
      </c>
    </row>
    <row r="2255" spans="1:8">
      <c r="A2255" t="s">
        <v>2166</v>
      </c>
      <c r="B2255" t="s">
        <v>2167</v>
      </c>
      <c r="C2255" t="s">
        <v>466</v>
      </c>
      <c r="D2255" s="4">
        <v>0</v>
      </c>
      <c r="E2255" s="4">
        <v>0</v>
      </c>
      <c r="F2255" s="4">
        <v>0</v>
      </c>
      <c r="H2255" s="3">
        <f t="shared" si="34"/>
        <v>0</v>
      </c>
    </row>
    <row r="2256" spans="1:8">
      <c r="A2256" t="s">
        <v>2216</v>
      </c>
      <c r="B2256" t="s">
        <v>2217</v>
      </c>
      <c r="C2256" t="s">
        <v>466</v>
      </c>
      <c r="D2256" s="4">
        <v>0</v>
      </c>
      <c r="E2256" s="4">
        <v>0</v>
      </c>
      <c r="F2256" s="4">
        <v>0</v>
      </c>
      <c r="H2256" s="3">
        <f t="shared" si="34"/>
        <v>0</v>
      </c>
    </row>
    <row r="2257" spans="1:8">
      <c r="A2257" t="s">
        <v>2327</v>
      </c>
      <c r="B2257" t="s">
        <v>2328</v>
      </c>
      <c r="C2257" t="s">
        <v>635</v>
      </c>
      <c r="D2257" s="4">
        <v>0</v>
      </c>
      <c r="E2257" s="4">
        <v>0</v>
      </c>
      <c r="F2257" s="4">
        <v>0</v>
      </c>
      <c r="H2257" s="3">
        <f t="shared" si="34"/>
        <v>0</v>
      </c>
    </row>
    <row r="2258" spans="1:8">
      <c r="A2258" t="s">
        <v>3069</v>
      </c>
      <c r="B2258" t="s">
        <v>3070</v>
      </c>
      <c r="C2258" t="s">
        <v>25</v>
      </c>
      <c r="D2258" s="4"/>
      <c r="E2258" s="4">
        <v>0</v>
      </c>
      <c r="F2258" s="4">
        <v>0</v>
      </c>
      <c r="H2258" s="3">
        <f t="shared" si="34"/>
        <v>0</v>
      </c>
    </row>
    <row r="2259" spans="1:8">
      <c r="A2259" t="s">
        <v>1475</v>
      </c>
      <c r="B2259" t="s">
        <v>1476</v>
      </c>
      <c r="C2259" t="s">
        <v>466</v>
      </c>
      <c r="D2259" s="4">
        <v>0</v>
      </c>
      <c r="E2259" s="4">
        <v>0</v>
      </c>
      <c r="F2259" s="4">
        <v>0</v>
      </c>
      <c r="H2259" s="3">
        <f t="shared" si="34"/>
        <v>0</v>
      </c>
    </row>
    <row r="2260" spans="1:8">
      <c r="A2260" t="s">
        <v>1520</v>
      </c>
      <c r="B2260" t="s">
        <v>1521</v>
      </c>
      <c r="C2260" t="s">
        <v>466</v>
      </c>
      <c r="D2260" s="4">
        <v>0</v>
      </c>
      <c r="E2260" s="4">
        <v>0</v>
      </c>
      <c r="F2260" s="4">
        <v>0</v>
      </c>
      <c r="H2260" s="3">
        <f t="shared" si="34"/>
        <v>0</v>
      </c>
    </row>
    <row r="2261" spans="1:8">
      <c r="A2261" t="s">
        <v>1524</v>
      </c>
      <c r="B2261" t="s">
        <v>1525</v>
      </c>
      <c r="C2261" t="s">
        <v>466</v>
      </c>
      <c r="D2261" s="4">
        <v>0</v>
      </c>
      <c r="E2261" s="4">
        <v>0</v>
      </c>
      <c r="F2261" s="4">
        <v>0</v>
      </c>
      <c r="H2261" s="3">
        <f t="shared" si="34"/>
        <v>0</v>
      </c>
    </row>
    <row r="2262" spans="1:8">
      <c r="A2262" t="s">
        <v>1528</v>
      </c>
      <c r="B2262" t="s">
        <v>1529</v>
      </c>
      <c r="C2262" t="s">
        <v>466</v>
      </c>
      <c r="D2262" s="4">
        <v>0</v>
      </c>
      <c r="E2262" s="4">
        <v>0</v>
      </c>
      <c r="F2262" s="4">
        <v>0</v>
      </c>
      <c r="H2262" s="3">
        <f t="shared" si="34"/>
        <v>0</v>
      </c>
    </row>
    <row r="2263" spans="1:8">
      <c r="A2263" t="s">
        <v>1544</v>
      </c>
      <c r="B2263" t="s">
        <v>1545</v>
      </c>
      <c r="C2263" t="s">
        <v>466</v>
      </c>
      <c r="D2263" s="4">
        <v>0</v>
      </c>
      <c r="E2263" s="4">
        <v>0</v>
      </c>
      <c r="F2263" s="4">
        <v>0</v>
      </c>
      <c r="H2263" s="3">
        <f t="shared" si="34"/>
        <v>0</v>
      </c>
    </row>
    <row r="2264" spans="1:8">
      <c r="A2264" t="s">
        <v>1549</v>
      </c>
      <c r="B2264" t="s">
        <v>1550</v>
      </c>
      <c r="C2264" t="s">
        <v>466</v>
      </c>
      <c r="D2264" s="4">
        <v>0</v>
      </c>
      <c r="E2264" s="4">
        <v>0</v>
      </c>
      <c r="F2264" s="4">
        <v>0</v>
      </c>
      <c r="H2264" s="3">
        <f t="shared" si="34"/>
        <v>0</v>
      </c>
    </row>
    <row r="2265" spans="1:8">
      <c r="A2265" t="s">
        <v>1774</v>
      </c>
      <c r="B2265" t="s">
        <v>1775</v>
      </c>
      <c r="C2265" t="s">
        <v>466</v>
      </c>
      <c r="D2265" s="4">
        <v>0</v>
      </c>
      <c r="E2265" s="4">
        <v>0</v>
      </c>
      <c r="F2265" s="4">
        <v>0</v>
      </c>
      <c r="H2265" s="3">
        <f t="shared" si="34"/>
        <v>0</v>
      </c>
    </row>
    <row r="2266" spans="1:8">
      <c r="A2266" t="s">
        <v>1841</v>
      </c>
      <c r="B2266" t="s">
        <v>1842</v>
      </c>
      <c r="C2266" t="s">
        <v>466</v>
      </c>
      <c r="D2266" s="4">
        <v>0</v>
      </c>
      <c r="E2266" s="4">
        <v>0</v>
      </c>
      <c r="F2266" s="4">
        <v>0</v>
      </c>
      <c r="H2266" s="3">
        <f t="shared" si="34"/>
        <v>0</v>
      </c>
    </row>
    <row r="2267" spans="1:8">
      <c r="A2267" t="s">
        <v>1846</v>
      </c>
      <c r="B2267" t="s">
        <v>1847</v>
      </c>
      <c r="C2267" t="s">
        <v>466</v>
      </c>
      <c r="D2267" s="4">
        <v>0</v>
      </c>
      <c r="E2267" s="4">
        <v>0</v>
      </c>
      <c r="F2267" s="4">
        <v>0</v>
      </c>
      <c r="H2267" s="3">
        <f t="shared" si="34"/>
        <v>0</v>
      </c>
    </row>
    <row r="2268" spans="1:8">
      <c r="A2268" t="s">
        <v>1889</v>
      </c>
      <c r="B2268" t="s">
        <v>1890</v>
      </c>
      <c r="C2268" t="s">
        <v>466</v>
      </c>
      <c r="D2268" s="4">
        <v>0</v>
      </c>
      <c r="E2268" s="4">
        <v>0</v>
      </c>
      <c r="F2268" s="4">
        <v>0</v>
      </c>
      <c r="H2268" s="3">
        <f t="shared" si="34"/>
        <v>0</v>
      </c>
    </row>
    <row r="2269" spans="1:8">
      <c r="A2269" t="s">
        <v>1898</v>
      </c>
      <c r="B2269" t="s">
        <v>1899</v>
      </c>
      <c r="C2269" t="s">
        <v>635</v>
      </c>
      <c r="D2269" s="4">
        <v>0</v>
      </c>
      <c r="E2269" s="4">
        <v>0</v>
      </c>
      <c r="F2269" s="4">
        <v>0</v>
      </c>
      <c r="H2269" s="3">
        <f t="shared" si="34"/>
        <v>0</v>
      </c>
    </row>
    <row r="2270" spans="1:8">
      <c r="A2270" t="s">
        <v>2003</v>
      </c>
      <c r="B2270" t="s">
        <v>2004</v>
      </c>
      <c r="C2270" t="s">
        <v>635</v>
      </c>
      <c r="D2270" s="4">
        <v>0</v>
      </c>
      <c r="E2270" s="4">
        <v>0</v>
      </c>
      <c r="F2270" s="4">
        <v>0</v>
      </c>
      <c r="H2270" s="3">
        <f t="shared" si="34"/>
        <v>0</v>
      </c>
    </row>
    <row r="2271" spans="1:8">
      <c r="A2271" t="s">
        <v>2200</v>
      </c>
      <c r="B2271" t="s">
        <v>2201</v>
      </c>
      <c r="C2271" t="s">
        <v>466</v>
      </c>
      <c r="D2271" s="4">
        <v>0</v>
      </c>
      <c r="E2271" s="4">
        <v>0</v>
      </c>
      <c r="F2271" s="4">
        <v>0</v>
      </c>
      <c r="H2271" s="3">
        <f t="shared" si="34"/>
        <v>0</v>
      </c>
    </row>
    <row r="2272" spans="1:8">
      <c r="A2272" t="s">
        <v>2231</v>
      </c>
      <c r="B2272" t="s">
        <v>2232</v>
      </c>
      <c r="C2272" t="s">
        <v>466</v>
      </c>
      <c r="D2272" s="4">
        <v>0</v>
      </c>
      <c r="E2272" s="4">
        <v>0</v>
      </c>
      <c r="F2272" s="4">
        <v>0</v>
      </c>
      <c r="H2272" s="3">
        <f t="shared" si="34"/>
        <v>0</v>
      </c>
    </row>
    <row r="2273" spans="1:8">
      <c r="A2273" t="s">
        <v>2300</v>
      </c>
      <c r="B2273" t="s">
        <v>2301</v>
      </c>
      <c r="C2273" t="s">
        <v>635</v>
      </c>
      <c r="D2273" s="4">
        <v>0</v>
      </c>
      <c r="E2273" s="4">
        <v>0</v>
      </c>
      <c r="F2273" s="4">
        <v>0</v>
      </c>
      <c r="H2273" s="3">
        <f t="shared" si="34"/>
        <v>0</v>
      </c>
    </row>
    <row r="2274" spans="1:8">
      <c r="A2274" t="s">
        <v>2317</v>
      </c>
      <c r="B2274" t="s">
        <v>2318</v>
      </c>
      <c r="C2274" t="s">
        <v>635</v>
      </c>
      <c r="D2274" s="4">
        <v>0</v>
      </c>
      <c r="E2274" s="4">
        <v>0</v>
      </c>
      <c r="F2274" s="4">
        <v>0</v>
      </c>
      <c r="H2274" s="3">
        <f t="shared" si="34"/>
        <v>0</v>
      </c>
    </row>
    <row r="2275" spans="1:8">
      <c r="A2275" t="s">
        <v>2324</v>
      </c>
      <c r="B2275" t="s">
        <v>2325</v>
      </c>
      <c r="C2275" t="s">
        <v>635</v>
      </c>
      <c r="D2275" s="4">
        <v>0</v>
      </c>
      <c r="E2275" s="4">
        <v>0</v>
      </c>
      <c r="F2275" s="4">
        <v>0</v>
      </c>
      <c r="H2275" s="3">
        <f t="shared" si="34"/>
        <v>0</v>
      </c>
    </row>
    <row r="2276" spans="1:8">
      <c r="A2276" t="s">
        <v>2330</v>
      </c>
      <c r="B2276" t="s">
        <v>2331</v>
      </c>
      <c r="C2276" t="s">
        <v>635</v>
      </c>
      <c r="D2276" s="4">
        <v>0</v>
      </c>
      <c r="E2276" s="4">
        <v>0</v>
      </c>
      <c r="F2276" s="4">
        <v>0</v>
      </c>
      <c r="H2276" s="3">
        <f t="shared" si="34"/>
        <v>0</v>
      </c>
    </row>
    <row r="2277" spans="1:8">
      <c r="A2277" t="s">
        <v>2357</v>
      </c>
      <c r="B2277" t="s">
        <v>2358</v>
      </c>
      <c r="C2277" t="s">
        <v>466</v>
      </c>
      <c r="D2277" s="4">
        <v>0</v>
      </c>
      <c r="E2277" s="4">
        <v>0</v>
      </c>
      <c r="F2277" s="4">
        <v>0</v>
      </c>
      <c r="H2277" s="3">
        <f t="shared" si="34"/>
        <v>0</v>
      </c>
    </row>
    <row r="2278" spans="1:8">
      <c r="A2278" t="s">
        <v>2365</v>
      </c>
      <c r="B2278" t="s">
        <v>2366</v>
      </c>
      <c r="C2278" t="s">
        <v>466</v>
      </c>
      <c r="D2278" s="4">
        <v>0</v>
      </c>
      <c r="E2278" s="4">
        <v>0</v>
      </c>
      <c r="F2278" s="4">
        <v>0</v>
      </c>
      <c r="H2278" s="3">
        <f t="shared" si="34"/>
        <v>0</v>
      </c>
    </row>
    <row r="2279" spans="1:8">
      <c r="A2279" t="s">
        <v>2367</v>
      </c>
      <c r="B2279" t="s">
        <v>2368</v>
      </c>
      <c r="C2279" t="s">
        <v>466</v>
      </c>
      <c r="D2279" s="4">
        <v>0</v>
      </c>
      <c r="E2279" s="4">
        <v>0</v>
      </c>
      <c r="F2279" s="4">
        <v>0</v>
      </c>
      <c r="H2279" s="3">
        <f t="shared" si="34"/>
        <v>0</v>
      </c>
    </row>
    <row r="2280" spans="1:8">
      <c r="A2280" t="s">
        <v>2444</v>
      </c>
      <c r="B2280" t="s">
        <v>2445</v>
      </c>
      <c r="C2280" t="s">
        <v>466</v>
      </c>
      <c r="D2280" s="4">
        <v>0</v>
      </c>
      <c r="E2280" s="4">
        <v>0</v>
      </c>
      <c r="F2280" s="4">
        <v>0</v>
      </c>
      <c r="H2280" s="3">
        <f t="shared" si="34"/>
        <v>0</v>
      </c>
    </row>
    <row r="2281" spans="1:8">
      <c r="A2281" t="s">
        <v>2451</v>
      </c>
      <c r="B2281" t="s">
        <v>2452</v>
      </c>
      <c r="C2281" t="s">
        <v>466</v>
      </c>
      <c r="D2281" s="4">
        <v>0</v>
      </c>
      <c r="E2281" s="4">
        <v>0</v>
      </c>
      <c r="F2281" s="4">
        <v>0</v>
      </c>
      <c r="H2281" s="3">
        <f t="shared" si="34"/>
        <v>0</v>
      </c>
    </row>
    <row r="2282" spans="1:8">
      <c r="A2282" t="s">
        <v>2453</v>
      </c>
      <c r="B2282" t="s">
        <v>2454</v>
      </c>
      <c r="C2282" t="s">
        <v>635</v>
      </c>
      <c r="D2282" s="4">
        <v>0</v>
      </c>
      <c r="E2282" s="4">
        <v>0</v>
      </c>
      <c r="F2282" s="4">
        <v>0</v>
      </c>
      <c r="H2282" s="3">
        <f t="shared" si="34"/>
        <v>0</v>
      </c>
    </row>
    <row r="2283" spans="1:8">
      <c r="A2283" t="s">
        <v>2643</v>
      </c>
      <c r="B2283" t="s">
        <v>2644</v>
      </c>
      <c r="C2283" t="s">
        <v>466</v>
      </c>
      <c r="D2283" s="4">
        <v>0</v>
      </c>
      <c r="E2283" s="4">
        <v>0</v>
      </c>
      <c r="F2283" s="4">
        <v>0</v>
      </c>
      <c r="H2283" s="3">
        <f t="shared" si="34"/>
        <v>0</v>
      </c>
    </row>
    <row r="2284" spans="1:8">
      <c r="A2284" t="s">
        <v>2663</v>
      </c>
      <c r="B2284" t="s">
        <v>2664</v>
      </c>
      <c r="C2284" t="s">
        <v>635</v>
      </c>
      <c r="D2284" s="4">
        <v>0</v>
      </c>
      <c r="E2284" s="4">
        <v>0</v>
      </c>
      <c r="F2284" s="4">
        <v>0</v>
      </c>
      <c r="H2284" s="3">
        <f t="shared" si="34"/>
        <v>0</v>
      </c>
    </row>
    <row r="2285" spans="1:8">
      <c r="A2285" t="s">
        <v>2705</v>
      </c>
      <c r="B2285" t="s">
        <v>2706</v>
      </c>
      <c r="C2285" t="s">
        <v>466</v>
      </c>
      <c r="D2285" s="4">
        <v>0</v>
      </c>
      <c r="E2285" s="4">
        <v>0</v>
      </c>
      <c r="F2285" s="4">
        <v>0</v>
      </c>
      <c r="H2285" s="3">
        <f t="shared" si="34"/>
        <v>0</v>
      </c>
    </row>
    <row r="2286" spans="1:8">
      <c r="A2286" t="s">
        <v>2739</v>
      </c>
      <c r="B2286" t="s">
        <v>2740</v>
      </c>
      <c r="C2286" t="s">
        <v>466</v>
      </c>
      <c r="D2286" s="4">
        <v>0</v>
      </c>
      <c r="E2286" s="4">
        <v>0</v>
      </c>
      <c r="F2286" s="4">
        <v>0</v>
      </c>
      <c r="H2286" s="3">
        <f t="shared" si="34"/>
        <v>0</v>
      </c>
    </row>
    <row r="2287" spans="1:8">
      <c r="A2287" t="s">
        <v>2749</v>
      </c>
      <c r="B2287" t="s">
        <v>2750</v>
      </c>
      <c r="C2287" t="s">
        <v>466</v>
      </c>
      <c r="D2287" s="4">
        <v>0</v>
      </c>
      <c r="E2287" s="4">
        <v>0</v>
      </c>
      <c r="F2287" s="4">
        <v>0</v>
      </c>
      <c r="H2287" s="3">
        <f t="shared" si="34"/>
        <v>0</v>
      </c>
    </row>
    <row r="2288" spans="1:8">
      <c r="A2288" t="s">
        <v>2763</v>
      </c>
      <c r="B2288" t="s">
        <v>2764</v>
      </c>
      <c r="C2288" t="s">
        <v>466</v>
      </c>
      <c r="D2288" s="4">
        <v>0</v>
      </c>
      <c r="E2288" s="4">
        <v>0</v>
      </c>
      <c r="F2288" s="4">
        <v>0</v>
      </c>
      <c r="H2288" s="3">
        <f t="shared" si="34"/>
        <v>0</v>
      </c>
    </row>
    <row r="2289" spans="1:8">
      <c r="A2289" t="s">
        <v>2775</v>
      </c>
      <c r="B2289" t="s">
        <v>2776</v>
      </c>
      <c r="C2289" t="s">
        <v>466</v>
      </c>
      <c r="D2289" s="4">
        <v>0</v>
      </c>
      <c r="E2289" s="4">
        <v>0</v>
      </c>
      <c r="F2289" s="4">
        <v>0</v>
      </c>
      <c r="H2289" s="3">
        <f t="shared" si="34"/>
        <v>0</v>
      </c>
    </row>
    <row r="2290" spans="1:8">
      <c r="A2290" t="s">
        <v>2893</v>
      </c>
      <c r="B2290" t="s">
        <v>2894</v>
      </c>
      <c r="C2290" t="s">
        <v>635</v>
      </c>
      <c r="D2290" s="4">
        <v>0</v>
      </c>
      <c r="E2290" s="4">
        <v>0</v>
      </c>
      <c r="F2290" s="4">
        <v>0</v>
      </c>
      <c r="H2290" s="3">
        <f t="shared" si="34"/>
        <v>0</v>
      </c>
    </row>
    <row r="2291" spans="1:8">
      <c r="A2291" t="s">
        <v>2909</v>
      </c>
      <c r="B2291" t="s">
        <v>2910</v>
      </c>
      <c r="C2291" t="s">
        <v>635</v>
      </c>
      <c r="D2291" s="4">
        <v>0</v>
      </c>
      <c r="E2291" s="4">
        <v>0</v>
      </c>
      <c r="F2291" s="4">
        <v>0</v>
      </c>
      <c r="H2291" s="3">
        <f t="shared" si="34"/>
        <v>0</v>
      </c>
    </row>
    <row r="2292" spans="1:8">
      <c r="A2292" t="s">
        <v>3005</v>
      </c>
      <c r="B2292" t="s">
        <v>3006</v>
      </c>
      <c r="C2292" t="s">
        <v>635</v>
      </c>
      <c r="D2292" s="4">
        <v>0</v>
      </c>
      <c r="E2292" s="4">
        <v>0</v>
      </c>
      <c r="F2292" s="4">
        <v>0</v>
      </c>
      <c r="H2292" s="3">
        <f t="shared" si="34"/>
        <v>0</v>
      </c>
    </row>
    <row r="2293" spans="1:8">
      <c r="A2293" t="s">
        <v>1651</v>
      </c>
      <c r="B2293" t="s">
        <v>1652</v>
      </c>
      <c r="C2293" t="s">
        <v>635</v>
      </c>
      <c r="D2293" s="4">
        <v>0</v>
      </c>
      <c r="E2293" s="4">
        <v>0</v>
      </c>
      <c r="F2293" s="4">
        <v>0</v>
      </c>
      <c r="H2293" s="3">
        <f t="shared" si="34"/>
        <v>0</v>
      </c>
    </row>
    <row r="2294" spans="1:8">
      <c r="A2294" t="s">
        <v>1762</v>
      </c>
      <c r="B2294" t="s">
        <v>1763</v>
      </c>
      <c r="C2294" t="s">
        <v>635</v>
      </c>
      <c r="D2294" s="4">
        <v>0</v>
      </c>
      <c r="E2294" s="4"/>
      <c r="F2294" s="4">
        <v>0</v>
      </c>
      <c r="H2294" s="3">
        <f t="shared" si="34"/>
        <v>0</v>
      </c>
    </row>
    <row r="2295" spans="1:8">
      <c r="B2295" t="s">
        <v>3050</v>
      </c>
      <c r="C2295" t="s">
        <v>635</v>
      </c>
      <c r="D2295" s="4"/>
      <c r="E2295" s="4">
        <v>0</v>
      </c>
      <c r="F2295" s="4">
        <v>0</v>
      </c>
      <c r="H2295" s="3">
        <f t="shared" ref="H2295:H2358" si="35">+D2295-E2295</f>
        <v>0</v>
      </c>
    </row>
    <row r="2296" spans="1:8">
      <c r="A2296" t="s">
        <v>1855</v>
      </c>
      <c r="B2296" t="s">
        <v>1856</v>
      </c>
      <c r="C2296" t="s">
        <v>635</v>
      </c>
      <c r="D2296" s="4">
        <v>0</v>
      </c>
      <c r="E2296" s="4">
        <v>0</v>
      </c>
      <c r="F2296" s="4">
        <v>0</v>
      </c>
      <c r="H2296" s="3">
        <f t="shared" si="35"/>
        <v>0</v>
      </c>
    </row>
    <row r="2297" spans="1:8">
      <c r="A2297" t="s">
        <v>1860</v>
      </c>
      <c r="B2297" t="s">
        <v>1861</v>
      </c>
      <c r="C2297" t="s">
        <v>635</v>
      </c>
      <c r="D2297" s="4">
        <v>0</v>
      </c>
      <c r="E2297" s="4">
        <v>0</v>
      </c>
      <c r="F2297" s="4">
        <v>0</v>
      </c>
      <c r="H2297" s="3">
        <f t="shared" si="35"/>
        <v>0</v>
      </c>
    </row>
    <row r="2298" spans="1:8">
      <c r="A2298" t="s">
        <v>1877</v>
      </c>
      <c r="B2298" t="s">
        <v>1878</v>
      </c>
      <c r="C2298" t="s">
        <v>635</v>
      </c>
      <c r="D2298" s="4">
        <v>0</v>
      </c>
      <c r="E2298" s="4">
        <v>0</v>
      </c>
      <c r="F2298" s="4">
        <v>0</v>
      </c>
      <c r="H2298" s="3">
        <f t="shared" si="35"/>
        <v>0</v>
      </c>
    </row>
    <row r="2299" spans="1:8">
      <c r="A2299" t="s">
        <v>2057</v>
      </c>
      <c r="B2299" t="s">
        <v>2058</v>
      </c>
      <c r="C2299" t="s">
        <v>466</v>
      </c>
      <c r="D2299" s="4">
        <v>0</v>
      </c>
      <c r="E2299" s="4">
        <v>0</v>
      </c>
      <c r="F2299" s="4">
        <v>0</v>
      </c>
      <c r="H2299" s="3">
        <f t="shared" si="35"/>
        <v>0</v>
      </c>
    </row>
    <row r="2300" spans="1:8">
      <c r="A2300" t="s">
        <v>2599</v>
      </c>
      <c r="B2300" t="s">
        <v>2600</v>
      </c>
      <c r="C2300" t="s">
        <v>635</v>
      </c>
      <c r="D2300" s="4">
        <v>0</v>
      </c>
      <c r="E2300" s="4">
        <v>0</v>
      </c>
      <c r="F2300" s="4">
        <v>0</v>
      </c>
      <c r="H2300" s="3">
        <f t="shared" si="35"/>
        <v>0</v>
      </c>
    </row>
    <row r="2301" spans="1:8">
      <c r="A2301" t="s">
        <v>2615</v>
      </c>
      <c r="B2301" t="s">
        <v>3065</v>
      </c>
      <c r="C2301" t="s">
        <v>635</v>
      </c>
      <c r="D2301" s="4"/>
      <c r="E2301" s="4">
        <v>0</v>
      </c>
      <c r="F2301" s="4">
        <v>0</v>
      </c>
      <c r="H2301" s="3">
        <f t="shared" si="35"/>
        <v>0</v>
      </c>
    </row>
    <row r="2302" spans="1:8">
      <c r="B2302" t="s">
        <v>2616</v>
      </c>
      <c r="C2302" t="s">
        <v>635</v>
      </c>
      <c r="D2302" s="4">
        <v>0</v>
      </c>
      <c r="E2302" s="4"/>
      <c r="F2302" s="4">
        <v>0</v>
      </c>
      <c r="H2302" s="3">
        <f t="shared" si="35"/>
        <v>0</v>
      </c>
    </row>
    <row r="2303" spans="1:8">
      <c r="A2303" t="s">
        <v>2659</v>
      </c>
      <c r="B2303" t="s">
        <v>2660</v>
      </c>
      <c r="C2303" t="s">
        <v>466</v>
      </c>
      <c r="D2303" s="4">
        <v>0</v>
      </c>
      <c r="E2303" s="4">
        <v>0</v>
      </c>
      <c r="F2303" s="4">
        <v>0</v>
      </c>
      <c r="H2303" s="3">
        <f t="shared" si="35"/>
        <v>0</v>
      </c>
    </row>
    <row r="2304" spans="1:8">
      <c r="A2304" t="s">
        <v>2711</v>
      </c>
      <c r="B2304" t="s">
        <v>2712</v>
      </c>
      <c r="C2304" t="s">
        <v>1001</v>
      </c>
      <c r="D2304" s="4">
        <v>0</v>
      </c>
      <c r="E2304" s="4">
        <v>0</v>
      </c>
      <c r="F2304" s="4">
        <v>0</v>
      </c>
      <c r="H2304" s="3">
        <f t="shared" si="35"/>
        <v>0</v>
      </c>
    </row>
    <row r="2305" spans="1:8">
      <c r="A2305" t="s">
        <v>2790</v>
      </c>
      <c r="B2305" t="s">
        <v>2791</v>
      </c>
      <c r="C2305" t="s">
        <v>635</v>
      </c>
      <c r="D2305" s="4">
        <v>36200</v>
      </c>
      <c r="E2305" s="4">
        <v>36200</v>
      </c>
      <c r="F2305" s="4">
        <v>72400</v>
      </c>
      <c r="H2305" s="3">
        <f t="shared" si="35"/>
        <v>0</v>
      </c>
    </row>
    <row r="2306" spans="1:8">
      <c r="A2306" t="s">
        <v>3037</v>
      </c>
      <c r="B2306" t="s">
        <v>3038</v>
      </c>
      <c r="C2306" t="s">
        <v>635</v>
      </c>
      <c r="D2306" s="4">
        <v>66600</v>
      </c>
      <c r="E2306" s="4">
        <v>66600</v>
      </c>
      <c r="F2306" s="4">
        <v>133200</v>
      </c>
      <c r="H2306" s="3">
        <f t="shared" si="35"/>
        <v>0</v>
      </c>
    </row>
    <row r="2307" spans="1:8">
      <c r="A2307" t="s">
        <v>1514</v>
      </c>
      <c r="B2307" t="s">
        <v>1515</v>
      </c>
      <c r="C2307" t="s">
        <v>635</v>
      </c>
      <c r="D2307" s="4">
        <v>0</v>
      </c>
      <c r="E2307" s="4">
        <v>0</v>
      </c>
      <c r="F2307" s="4">
        <v>0</v>
      </c>
      <c r="H2307" s="3">
        <f t="shared" si="35"/>
        <v>0</v>
      </c>
    </row>
    <row r="2308" spans="1:8">
      <c r="A2308" t="s">
        <v>1636</v>
      </c>
      <c r="B2308" t="s">
        <v>1637</v>
      </c>
      <c r="C2308" t="s">
        <v>635</v>
      </c>
      <c r="D2308" s="4">
        <v>0</v>
      </c>
      <c r="E2308" s="4">
        <v>0</v>
      </c>
      <c r="F2308" s="4">
        <v>0</v>
      </c>
      <c r="H2308" s="3">
        <f t="shared" si="35"/>
        <v>0</v>
      </c>
    </row>
    <row r="2309" spans="1:8">
      <c r="A2309" t="s">
        <v>1720</v>
      </c>
      <c r="B2309" t="s">
        <v>1721</v>
      </c>
      <c r="C2309" t="s">
        <v>635</v>
      </c>
      <c r="D2309" s="4">
        <v>0</v>
      </c>
      <c r="E2309" s="4">
        <v>0</v>
      </c>
      <c r="F2309" s="4">
        <v>0</v>
      </c>
      <c r="H2309" s="3">
        <f t="shared" si="35"/>
        <v>0</v>
      </c>
    </row>
    <row r="2310" spans="1:8">
      <c r="A2310" t="s">
        <v>1791</v>
      </c>
      <c r="B2310" t="s">
        <v>1792</v>
      </c>
      <c r="C2310" t="s">
        <v>466</v>
      </c>
      <c r="D2310" s="4">
        <v>0</v>
      </c>
      <c r="E2310" s="4">
        <v>0</v>
      </c>
      <c r="F2310" s="4">
        <v>0</v>
      </c>
      <c r="H2310" s="3">
        <f t="shared" si="35"/>
        <v>0</v>
      </c>
    </row>
    <row r="2311" spans="1:8">
      <c r="A2311" t="s">
        <v>1810</v>
      </c>
      <c r="B2311" t="s">
        <v>1811</v>
      </c>
      <c r="C2311" t="s">
        <v>635</v>
      </c>
      <c r="D2311" s="4">
        <v>0</v>
      </c>
      <c r="E2311" s="4">
        <v>0</v>
      </c>
      <c r="F2311" s="4">
        <v>0</v>
      </c>
      <c r="H2311" s="3">
        <f t="shared" si="35"/>
        <v>0</v>
      </c>
    </row>
    <row r="2312" spans="1:8">
      <c r="A2312" t="s">
        <v>1874</v>
      </c>
      <c r="B2312" t="s">
        <v>1875</v>
      </c>
      <c r="C2312" t="s">
        <v>635</v>
      </c>
      <c r="D2312" s="4">
        <v>0</v>
      </c>
      <c r="E2312" s="4">
        <v>0</v>
      </c>
      <c r="F2312" s="4">
        <v>0</v>
      </c>
      <c r="H2312" s="3">
        <f t="shared" si="35"/>
        <v>0</v>
      </c>
    </row>
    <row r="2313" spans="1:8">
      <c r="A2313" t="s">
        <v>1902</v>
      </c>
      <c r="B2313" t="s">
        <v>1903</v>
      </c>
      <c r="C2313" t="s">
        <v>635</v>
      </c>
      <c r="D2313" s="4">
        <v>0</v>
      </c>
      <c r="E2313" s="4">
        <v>0</v>
      </c>
      <c r="F2313" s="4">
        <v>0</v>
      </c>
      <c r="H2313" s="3">
        <f t="shared" si="35"/>
        <v>0</v>
      </c>
    </row>
    <row r="2314" spans="1:8">
      <c r="A2314" t="s">
        <v>1907</v>
      </c>
      <c r="B2314" t="s">
        <v>1908</v>
      </c>
      <c r="C2314" t="s">
        <v>635</v>
      </c>
      <c r="D2314" s="4">
        <v>0</v>
      </c>
      <c r="E2314" s="4">
        <v>0</v>
      </c>
      <c r="F2314" s="4">
        <v>0</v>
      </c>
      <c r="H2314" s="3">
        <f t="shared" si="35"/>
        <v>0</v>
      </c>
    </row>
    <row r="2315" spans="1:8">
      <c r="A2315" t="s">
        <v>1911</v>
      </c>
      <c r="B2315" t="s">
        <v>1912</v>
      </c>
      <c r="C2315" t="s">
        <v>635</v>
      </c>
      <c r="D2315" s="4">
        <v>0</v>
      </c>
      <c r="E2315" s="4">
        <v>0</v>
      </c>
      <c r="F2315" s="4">
        <v>0</v>
      </c>
      <c r="H2315" s="3">
        <f t="shared" si="35"/>
        <v>0</v>
      </c>
    </row>
    <row r="2316" spans="1:8">
      <c r="A2316" t="s">
        <v>1974</v>
      </c>
      <c r="B2316" t="s">
        <v>1975</v>
      </c>
      <c r="C2316" t="s">
        <v>635</v>
      </c>
      <c r="D2316" s="4">
        <v>0</v>
      </c>
      <c r="E2316" s="4">
        <v>0</v>
      </c>
      <c r="F2316" s="4">
        <v>0</v>
      </c>
      <c r="H2316" s="3">
        <f t="shared" si="35"/>
        <v>0</v>
      </c>
    </row>
    <row r="2317" spans="1:8">
      <c r="A2317" t="s">
        <v>2009</v>
      </c>
      <c r="B2317" t="s">
        <v>2010</v>
      </c>
      <c r="C2317" t="s">
        <v>635</v>
      </c>
      <c r="D2317" s="4">
        <v>0</v>
      </c>
      <c r="E2317" s="4"/>
      <c r="F2317" s="4">
        <v>0</v>
      </c>
      <c r="H2317" s="3">
        <f t="shared" si="35"/>
        <v>0</v>
      </c>
    </row>
    <row r="2318" spans="1:8">
      <c r="B2318" t="s">
        <v>3053</v>
      </c>
      <c r="C2318" t="s">
        <v>635</v>
      </c>
      <c r="D2318" s="4"/>
      <c r="E2318" s="4">
        <v>0</v>
      </c>
      <c r="F2318" s="4">
        <v>0</v>
      </c>
      <c r="H2318" s="3">
        <f t="shared" si="35"/>
        <v>0</v>
      </c>
    </row>
    <row r="2319" spans="1:8">
      <c r="A2319" t="s">
        <v>2097</v>
      </c>
      <c r="B2319" t="s">
        <v>2098</v>
      </c>
      <c r="C2319" t="s">
        <v>635</v>
      </c>
      <c r="D2319" s="4">
        <v>0</v>
      </c>
      <c r="E2319" s="4">
        <v>0</v>
      </c>
      <c r="F2319" s="4">
        <v>0</v>
      </c>
      <c r="H2319" s="3">
        <f t="shared" si="35"/>
        <v>0</v>
      </c>
    </row>
    <row r="2320" spans="1:8">
      <c r="A2320" t="s">
        <v>2111</v>
      </c>
      <c r="B2320" t="s">
        <v>2112</v>
      </c>
      <c r="C2320" t="s">
        <v>635</v>
      </c>
      <c r="D2320" s="4">
        <v>0</v>
      </c>
      <c r="E2320" s="4">
        <v>0</v>
      </c>
      <c r="F2320" s="4">
        <v>0</v>
      </c>
      <c r="H2320" s="3">
        <f t="shared" si="35"/>
        <v>0</v>
      </c>
    </row>
    <row r="2321" spans="1:8">
      <c r="A2321" t="s">
        <v>2122</v>
      </c>
      <c r="B2321" t="s">
        <v>2123</v>
      </c>
      <c r="C2321" t="s">
        <v>635</v>
      </c>
      <c r="D2321" s="4">
        <v>0</v>
      </c>
      <c r="E2321" s="4">
        <v>0</v>
      </c>
      <c r="F2321" s="4">
        <v>0</v>
      </c>
      <c r="H2321" s="3">
        <f t="shared" si="35"/>
        <v>0</v>
      </c>
    </row>
    <row r="2322" spans="1:8">
      <c r="A2322" t="s">
        <v>2137</v>
      </c>
      <c r="B2322" t="s">
        <v>2138</v>
      </c>
      <c r="C2322" t="s">
        <v>635</v>
      </c>
      <c r="D2322" s="4">
        <v>0</v>
      </c>
      <c r="E2322" s="4">
        <v>0</v>
      </c>
      <c r="F2322" s="4">
        <v>0</v>
      </c>
      <c r="H2322" s="3">
        <f t="shared" si="35"/>
        <v>0</v>
      </c>
    </row>
    <row r="2323" spans="1:8">
      <c r="A2323" t="s">
        <v>2180</v>
      </c>
      <c r="B2323" t="s">
        <v>2181</v>
      </c>
      <c r="C2323" t="s">
        <v>635</v>
      </c>
      <c r="D2323" s="4">
        <v>0</v>
      </c>
      <c r="E2323" s="4">
        <v>0</v>
      </c>
      <c r="F2323" s="4">
        <v>0</v>
      </c>
      <c r="H2323" s="3">
        <f t="shared" si="35"/>
        <v>0</v>
      </c>
    </row>
    <row r="2324" spans="1:8">
      <c r="A2324" t="s">
        <v>2285</v>
      </c>
      <c r="B2324" t="s">
        <v>2286</v>
      </c>
      <c r="C2324" t="s">
        <v>635</v>
      </c>
      <c r="D2324" s="4">
        <v>0</v>
      </c>
      <c r="E2324" s="4">
        <v>0</v>
      </c>
      <c r="F2324" s="4">
        <v>0</v>
      </c>
      <c r="H2324" s="3">
        <f t="shared" si="35"/>
        <v>0</v>
      </c>
    </row>
    <row r="2325" spans="1:8">
      <c r="A2325" t="s">
        <v>2314</v>
      </c>
      <c r="B2325" t="s">
        <v>2315</v>
      </c>
      <c r="C2325" t="s">
        <v>635</v>
      </c>
      <c r="D2325" s="4">
        <v>51000</v>
      </c>
      <c r="E2325" s="4">
        <v>51000</v>
      </c>
      <c r="F2325" s="4">
        <v>102000</v>
      </c>
      <c r="H2325" s="3">
        <f t="shared" si="35"/>
        <v>0</v>
      </c>
    </row>
    <row r="2326" spans="1:8">
      <c r="A2326" t="s">
        <v>2397</v>
      </c>
      <c r="B2326" t="s">
        <v>2398</v>
      </c>
      <c r="C2326" t="s">
        <v>635</v>
      </c>
      <c r="D2326" s="4">
        <v>0</v>
      </c>
      <c r="E2326" s="4">
        <v>0</v>
      </c>
      <c r="F2326" s="4">
        <v>0</v>
      </c>
      <c r="H2326" s="3">
        <f t="shared" si="35"/>
        <v>0</v>
      </c>
    </row>
    <row r="2327" spans="1:8">
      <c r="A2327" t="s">
        <v>2408</v>
      </c>
      <c r="B2327" t="s">
        <v>2409</v>
      </c>
      <c r="C2327" t="s">
        <v>635</v>
      </c>
      <c r="D2327" s="4">
        <v>0</v>
      </c>
      <c r="E2327" s="4">
        <v>0</v>
      </c>
      <c r="F2327" s="4">
        <v>0</v>
      </c>
      <c r="H2327" s="3">
        <f t="shared" si="35"/>
        <v>0</v>
      </c>
    </row>
    <row r="2328" spans="1:8">
      <c r="A2328" t="s">
        <v>2438</v>
      </c>
      <c r="B2328" t="s">
        <v>2439</v>
      </c>
      <c r="C2328" t="s">
        <v>585</v>
      </c>
      <c r="D2328" s="4">
        <v>0</v>
      </c>
      <c r="E2328" s="4">
        <v>0</v>
      </c>
      <c r="F2328" s="4">
        <v>0</v>
      </c>
      <c r="H2328" s="3">
        <f t="shared" si="35"/>
        <v>0</v>
      </c>
    </row>
    <row r="2329" spans="1:8">
      <c r="A2329" t="s">
        <v>2522</v>
      </c>
      <c r="B2329" t="s">
        <v>2523</v>
      </c>
      <c r="C2329" t="s">
        <v>635</v>
      </c>
      <c r="D2329" s="4">
        <v>0</v>
      </c>
      <c r="E2329" s="4">
        <v>0</v>
      </c>
      <c r="F2329" s="4">
        <v>0</v>
      </c>
      <c r="H2329" s="3">
        <f t="shared" si="35"/>
        <v>0</v>
      </c>
    </row>
    <row r="2330" spans="1:8">
      <c r="A2330" t="s">
        <v>2559</v>
      </c>
      <c r="B2330" t="s">
        <v>2560</v>
      </c>
      <c r="C2330" t="s">
        <v>635</v>
      </c>
      <c r="D2330" s="4">
        <v>0</v>
      </c>
      <c r="E2330" s="4">
        <v>0</v>
      </c>
      <c r="F2330" s="4">
        <v>0</v>
      </c>
      <c r="H2330" s="3">
        <f t="shared" si="35"/>
        <v>0</v>
      </c>
    </row>
    <row r="2331" spans="1:8">
      <c r="A2331" t="s">
        <v>2627</v>
      </c>
      <c r="B2331" t="s">
        <v>2628</v>
      </c>
      <c r="C2331" t="s">
        <v>635</v>
      </c>
      <c r="D2331" s="4">
        <v>0</v>
      </c>
      <c r="E2331" s="4">
        <v>0</v>
      </c>
      <c r="F2331" s="4">
        <v>0</v>
      </c>
      <c r="H2331" s="3">
        <f t="shared" si="35"/>
        <v>0</v>
      </c>
    </row>
    <row r="2332" spans="1:8">
      <c r="A2332" t="s">
        <v>2631</v>
      </c>
      <c r="B2332" t="s">
        <v>2632</v>
      </c>
      <c r="C2332" t="s">
        <v>635</v>
      </c>
      <c r="D2332" s="4">
        <v>0</v>
      </c>
      <c r="E2332" s="4">
        <v>0</v>
      </c>
      <c r="F2332" s="4">
        <v>0</v>
      </c>
      <c r="H2332" s="3">
        <f t="shared" si="35"/>
        <v>0</v>
      </c>
    </row>
    <row r="2333" spans="1:8">
      <c r="A2333" t="s">
        <v>2652</v>
      </c>
      <c r="B2333" t="s">
        <v>2653</v>
      </c>
      <c r="C2333" t="s">
        <v>749</v>
      </c>
      <c r="D2333" s="4">
        <v>0</v>
      </c>
      <c r="E2333" s="4">
        <v>0</v>
      </c>
      <c r="F2333" s="4">
        <v>0</v>
      </c>
      <c r="H2333" s="3">
        <f t="shared" si="35"/>
        <v>0</v>
      </c>
    </row>
    <row r="2334" spans="1:8">
      <c r="A2334" t="s">
        <v>2667</v>
      </c>
      <c r="B2334" t="s">
        <v>2668</v>
      </c>
      <c r="C2334" t="s">
        <v>635</v>
      </c>
      <c r="D2334" s="4">
        <v>0</v>
      </c>
      <c r="E2334" s="4">
        <v>0</v>
      </c>
      <c r="F2334" s="4">
        <v>0</v>
      </c>
      <c r="H2334" s="3">
        <f t="shared" si="35"/>
        <v>0</v>
      </c>
    </row>
    <row r="2335" spans="1:8">
      <c r="A2335" t="s">
        <v>2699</v>
      </c>
      <c r="B2335" t="s">
        <v>2700</v>
      </c>
      <c r="C2335" t="s">
        <v>466</v>
      </c>
      <c r="D2335" s="4">
        <v>0</v>
      </c>
      <c r="E2335" s="4">
        <v>0</v>
      </c>
      <c r="F2335" s="4">
        <v>0</v>
      </c>
      <c r="H2335" s="3">
        <f t="shared" si="35"/>
        <v>0</v>
      </c>
    </row>
    <row r="2336" spans="1:8">
      <c r="A2336" t="s">
        <v>2722</v>
      </c>
      <c r="B2336" t="s">
        <v>2723</v>
      </c>
      <c r="C2336" t="s">
        <v>635</v>
      </c>
      <c r="D2336" s="4">
        <v>0</v>
      </c>
      <c r="E2336" s="4">
        <v>0</v>
      </c>
      <c r="F2336" s="4">
        <v>0</v>
      </c>
      <c r="H2336" s="3">
        <f t="shared" si="35"/>
        <v>0</v>
      </c>
    </row>
    <row r="2337" spans="1:8">
      <c r="A2337" t="s">
        <v>2766</v>
      </c>
      <c r="B2337" t="s">
        <v>2767</v>
      </c>
      <c r="C2337" t="s">
        <v>1001</v>
      </c>
      <c r="D2337" s="4">
        <v>0</v>
      </c>
      <c r="E2337" s="4">
        <v>0</v>
      </c>
      <c r="F2337" s="4">
        <v>0</v>
      </c>
      <c r="H2337" s="3">
        <f t="shared" si="35"/>
        <v>0</v>
      </c>
    </row>
    <row r="2338" spans="1:8">
      <c r="A2338" t="s">
        <v>2816</v>
      </c>
      <c r="B2338" t="s">
        <v>2817</v>
      </c>
      <c r="C2338" t="s">
        <v>635</v>
      </c>
      <c r="D2338" s="4">
        <v>0</v>
      </c>
      <c r="E2338" s="4">
        <v>0</v>
      </c>
      <c r="F2338" s="4">
        <v>0</v>
      </c>
      <c r="H2338" s="3">
        <f t="shared" si="35"/>
        <v>0</v>
      </c>
    </row>
    <row r="2339" spans="1:8">
      <c r="A2339" t="s">
        <v>2839</v>
      </c>
      <c r="B2339" t="s">
        <v>2840</v>
      </c>
      <c r="C2339" t="s">
        <v>635</v>
      </c>
      <c r="D2339" s="4">
        <v>0</v>
      </c>
      <c r="E2339" s="4">
        <v>0</v>
      </c>
      <c r="F2339" s="4">
        <v>0</v>
      </c>
      <c r="H2339" s="3">
        <f t="shared" si="35"/>
        <v>0</v>
      </c>
    </row>
    <row r="2340" spans="1:8">
      <c r="A2340" t="s">
        <v>2848</v>
      </c>
      <c r="B2340" t="s">
        <v>2849</v>
      </c>
      <c r="C2340" t="s">
        <v>635</v>
      </c>
      <c r="D2340" s="4">
        <v>0</v>
      </c>
      <c r="E2340" s="4">
        <v>0</v>
      </c>
      <c r="F2340" s="4">
        <v>0</v>
      </c>
      <c r="H2340" s="3">
        <f t="shared" si="35"/>
        <v>0</v>
      </c>
    </row>
    <row r="2341" spans="1:8">
      <c r="A2341" t="s">
        <v>2851</v>
      </c>
      <c r="B2341" t="s">
        <v>2852</v>
      </c>
      <c r="C2341" t="s">
        <v>635</v>
      </c>
      <c r="D2341" s="4">
        <v>0</v>
      </c>
      <c r="E2341" s="4">
        <v>0</v>
      </c>
      <c r="F2341" s="4">
        <v>0</v>
      </c>
      <c r="H2341" s="3">
        <f t="shared" si="35"/>
        <v>0</v>
      </c>
    </row>
    <row r="2342" spans="1:8">
      <c r="A2342" t="s">
        <v>2861</v>
      </c>
      <c r="B2342" t="s">
        <v>2862</v>
      </c>
      <c r="C2342" t="s">
        <v>635</v>
      </c>
      <c r="D2342" s="4">
        <v>0</v>
      </c>
      <c r="E2342" s="4">
        <v>0</v>
      </c>
      <c r="F2342" s="4">
        <v>0</v>
      </c>
      <c r="H2342" s="3">
        <f t="shared" si="35"/>
        <v>0</v>
      </c>
    </row>
    <row r="2343" spans="1:8">
      <c r="A2343" t="s">
        <v>2904</v>
      </c>
      <c r="B2343" t="s">
        <v>2905</v>
      </c>
      <c r="C2343" t="s">
        <v>466</v>
      </c>
      <c r="D2343" s="4">
        <v>0</v>
      </c>
      <c r="E2343" s="4">
        <v>0</v>
      </c>
      <c r="F2343" s="4">
        <v>0</v>
      </c>
      <c r="H2343" s="3">
        <f t="shared" si="35"/>
        <v>0</v>
      </c>
    </row>
    <row r="2344" spans="1:8">
      <c r="A2344" t="s">
        <v>2922</v>
      </c>
      <c r="B2344" t="s">
        <v>2923</v>
      </c>
      <c r="C2344" t="s">
        <v>466</v>
      </c>
      <c r="D2344" s="4">
        <v>0</v>
      </c>
      <c r="E2344" s="4">
        <v>0</v>
      </c>
      <c r="F2344" s="4">
        <v>0</v>
      </c>
      <c r="H2344" s="3">
        <f t="shared" si="35"/>
        <v>0</v>
      </c>
    </row>
    <row r="2345" spans="1:8">
      <c r="A2345" t="s">
        <v>2931</v>
      </c>
      <c r="B2345" t="s">
        <v>2932</v>
      </c>
      <c r="C2345" t="s">
        <v>635</v>
      </c>
      <c r="D2345" s="4">
        <v>0</v>
      </c>
      <c r="E2345" s="4">
        <v>0</v>
      </c>
      <c r="F2345" s="4">
        <v>0</v>
      </c>
      <c r="H2345" s="3">
        <f t="shared" si="35"/>
        <v>0</v>
      </c>
    </row>
    <row r="2346" spans="1:8">
      <c r="A2346" t="s">
        <v>2950</v>
      </c>
      <c r="B2346" t="s">
        <v>2951</v>
      </c>
      <c r="C2346" t="s">
        <v>1001</v>
      </c>
      <c r="D2346" s="4">
        <v>0</v>
      </c>
      <c r="E2346" s="4">
        <v>0</v>
      </c>
      <c r="F2346" s="4">
        <v>0</v>
      </c>
      <c r="H2346" s="3">
        <f t="shared" si="35"/>
        <v>0</v>
      </c>
    </row>
    <row r="2347" spans="1:8">
      <c r="A2347" t="s">
        <v>2965</v>
      </c>
      <c r="B2347" t="s">
        <v>2966</v>
      </c>
      <c r="C2347" t="s">
        <v>466</v>
      </c>
      <c r="D2347" s="4">
        <v>0</v>
      </c>
      <c r="E2347" s="4">
        <v>0</v>
      </c>
      <c r="F2347" s="4">
        <v>0</v>
      </c>
      <c r="H2347" s="3">
        <f t="shared" si="35"/>
        <v>0</v>
      </c>
    </row>
    <row r="2348" spans="1:8">
      <c r="A2348" t="s">
        <v>3034</v>
      </c>
      <c r="B2348" t="s">
        <v>3035</v>
      </c>
      <c r="C2348" t="s">
        <v>635</v>
      </c>
      <c r="D2348" s="4">
        <v>0</v>
      </c>
      <c r="E2348" s="4">
        <v>0</v>
      </c>
      <c r="F2348" s="4">
        <v>0</v>
      </c>
      <c r="H2348" s="3">
        <f t="shared" si="35"/>
        <v>0</v>
      </c>
    </row>
    <row r="2349" spans="1:8">
      <c r="A2349" t="s">
        <v>3042</v>
      </c>
      <c r="B2349" t="s">
        <v>3043</v>
      </c>
      <c r="C2349" t="s">
        <v>749</v>
      </c>
      <c r="D2349" s="4">
        <v>0</v>
      </c>
      <c r="E2349" s="4">
        <v>0</v>
      </c>
      <c r="F2349" s="4">
        <v>0</v>
      </c>
      <c r="H2349" s="3">
        <f t="shared" si="35"/>
        <v>0</v>
      </c>
    </row>
    <row r="2350" spans="1:8">
      <c r="A2350" t="s">
        <v>1499</v>
      </c>
      <c r="B2350" t="s">
        <v>1500</v>
      </c>
      <c r="C2350" t="s">
        <v>635</v>
      </c>
      <c r="D2350" s="4">
        <v>30800</v>
      </c>
      <c r="E2350" s="4">
        <v>30800</v>
      </c>
      <c r="F2350" s="4">
        <v>61600</v>
      </c>
      <c r="H2350" s="3">
        <f t="shared" si="35"/>
        <v>0</v>
      </c>
    </row>
    <row r="2351" spans="1:8">
      <c r="A2351" t="s">
        <v>1588</v>
      </c>
      <c r="B2351" t="s">
        <v>1589</v>
      </c>
      <c r="C2351" t="s">
        <v>635</v>
      </c>
      <c r="D2351" s="4">
        <v>0</v>
      </c>
      <c r="E2351" s="4">
        <v>0</v>
      </c>
      <c r="F2351" s="4">
        <v>0</v>
      </c>
      <c r="H2351" s="3">
        <f t="shared" si="35"/>
        <v>0</v>
      </c>
    </row>
    <row r="2352" spans="1:8">
      <c r="A2352" t="s">
        <v>1703</v>
      </c>
      <c r="B2352" t="s">
        <v>1704</v>
      </c>
      <c r="C2352" t="s">
        <v>635</v>
      </c>
      <c r="D2352" s="4">
        <v>0</v>
      </c>
      <c r="E2352" s="4">
        <v>0</v>
      </c>
      <c r="F2352" s="4">
        <v>0</v>
      </c>
      <c r="H2352" s="3">
        <f t="shared" si="35"/>
        <v>0</v>
      </c>
    </row>
    <row r="2353" spans="1:8">
      <c r="A2353" t="s">
        <v>1782</v>
      </c>
      <c r="B2353" t="s">
        <v>1783</v>
      </c>
      <c r="C2353" t="s">
        <v>635</v>
      </c>
      <c r="D2353" s="4">
        <v>35800</v>
      </c>
      <c r="E2353" s="4">
        <v>35800</v>
      </c>
      <c r="F2353" s="4">
        <v>71600</v>
      </c>
      <c r="H2353" s="3">
        <f t="shared" si="35"/>
        <v>0</v>
      </c>
    </row>
    <row r="2354" spans="1:8">
      <c r="A2354" t="s">
        <v>1870</v>
      </c>
      <c r="B2354" t="s">
        <v>1871</v>
      </c>
      <c r="C2354" t="s">
        <v>635</v>
      </c>
      <c r="D2354" s="4">
        <v>0</v>
      </c>
      <c r="E2354" s="4">
        <v>0</v>
      </c>
      <c r="F2354" s="4">
        <v>0</v>
      </c>
      <c r="H2354" s="3">
        <f t="shared" si="35"/>
        <v>0</v>
      </c>
    </row>
    <row r="2355" spans="1:8">
      <c r="A2355" t="s">
        <v>1969</v>
      </c>
      <c r="B2355" t="s">
        <v>1970</v>
      </c>
      <c r="C2355" t="s">
        <v>635</v>
      </c>
      <c r="D2355" s="4">
        <v>0</v>
      </c>
      <c r="E2355" s="4">
        <v>0</v>
      </c>
      <c r="F2355" s="4">
        <v>0</v>
      </c>
      <c r="H2355" s="3">
        <f t="shared" si="35"/>
        <v>0</v>
      </c>
    </row>
    <row r="2356" spans="1:8">
      <c r="A2356" t="s">
        <v>2017</v>
      </c>
      <c r="B2356" t="s">
        <v>2018</v>
      </c>
      <c r="C2356" t="s">
        <v>635</v>
      </c>
      <c r="D2356" s="4">
        <v>21900</v>
      </c>
      <c r="E2356" s="4">
        <v>21900</v>
      </c>
      <c r="F2356" s="4">
        <v>43800</v>
      </c>
      <c r="H2356" s="3">
        <f t="shared" si="35"/>
        <v>0</v>
      </c>
    </row>
    <row r="2357" spans="1:8">
      <c r="A2357" t="s">
        <v>2062</v>
      </c>
      <c r="B2357" t="s">
        <v>2063</v>
      </c>
      <c r="C2357" t="s">
        <v>466</v>
      </c>
      <c r="D2357" s="4">
        <v>0</v>
      </c>
      <c r="E2357" s="4">
        <v>0</v>
      </c>
      <c r="F2357" s="4">
        <v>0</v>
      </c>
      <c r="H2357" s="3">
        <f t="shared" si="35"/>
        <v>0</v>
      </c>
    </row>
    <row r="2358" spans="1:8">
      <c r="A2358" t="s">
        <v>2071</v>
      </c>
      <c r="B2358" t="s">
        <v>2072</v>
      </c>
      <c r="C2358" t="s">
        <v>635</v>
      </c>
      <c r="D2358" s="4">
        <v>0</v>
      </c>
      <c r="E2358" s="4">
        <v>0</v>
      </c>
      <c r="F2358" s="4">
        <v>0</v>
      </c>
      <c r="H2358" s="3">
        <f t="shared" si="35"/>
        <v>0</v>
      </c>
    </row>
    <row r="2359" spans="1:8">
      <c r="A2359" t="s">
        <v>2092</v>
      </c>
      <c r="B2359" t="s">
        <v>2093</v>
      </c>
      <c r="C2359" t="s">
        <v>466</v>
      </c>
      <c r="D2359" s="4">
        <v>0</v>
      </c>
      <c r="E2359" s="4">
        <v>0</v>
      </c>
      <c r="F2359" s="4">
        <v>0</v>
      </c>
      <c r="H2359" s="3">
        <f t="shared" ref="H2359:H2422" si="36">+D2359-E2359</f>
        <v>0</v>
      </c>
    </row>
    <row r="2360" spans="1:8">
      <c r="A2360" t="s">
        <v>2140</v>
      </c>
      <c r="B2360" t="s">
        <v>2141</v>
      </c>
      <c r="C2360" t="s">
        <v>635</v>
      </c>
      <c r="D2360" s="4">
        <v>0</v>
      </c>
      <c r="E2360" s="4">
        <v>0</v>
      </c>
      <c r="F2360" s="4">
        <v>0</v>
      </c>
      <c r="H2360" s="3">
        <f t="shared" si="36"/>
        <v>0</v>
      </c>
    </row>
    <row r="2361" spans="1:8">
      <c r="A2361" t="s">
        <v>2238</v>
      </c>
      <c r="B2361" t="s">
        <v>2239</v>
      </c>
      <c r="C2361" t="s">
        <v>635</v>
      </c>
      <c r="D2361" s="4">
        <v>0</v>
      </c>
      <c r="E2361" s="4">
        <v>0</v>
      </c>
      <c r="F2361" s="4">
        <v>0</v>
      </c>
      <c r="H2361" s="3">
        <f t="shared" si="36"/>
        <v>0</v>
      </c>
    </row>
    <row r="2362" spans="1:8">
      <c r="A2362" t="s">
        <v>2333</v>
      </c>
      <c r="B2362" t="s">
        <v>2334</v>
      </c>
      <c r="C2362" t="s">
        <v>635</v>
      </c>
      <c r="D2362" s="4">
        <v>0</v>
      </c>
      <c r="E2362" s="4">
        <v>0</v>
      </c>
      <c r="F2362" s="4">
        <v>0</v>
      </c>
      <c r="H2362" s="3">
        <f t="shared" si="36"/>
        <v>0</v>
      </c>
    </row>
    <row r="2363" spans="1:8">
      <c r="A2363" t="s">
        <v>2404</v>
      </c>
      <c r="B2363" t="s">
        <v>2405</v>
      </c>
      <c r="C2363" t="s">
        <v>635</v>
      </c>
      <c r="D2363" s="4">
        <v>0</v>
      </c>
      <c r="E2363" s="4">
        <v>0</v>
      </c>
      <c r="F2363" s="4">
        <v>0</v>
      </c>
      <c r="H2363" s="3">
        <f t="shared" si="36"/>
        <v>0</v>
      </c>
    </row>
    <row r="2364" spans="1:8">
      <c r="A2364" t="s">
        <v>2406</v>
      </c>
      <c r="B2364" t="s">
        <v>2407</v>
      </c>
      <c r="C2364" t="s">
        <v>635</v>
      </c>
      <c r="D2364" s="4">
        <v>0</v>
      </c>
      <c r="E2364" s="4">
        <v>0</v>
      </c>
      <c r="F2364" s="4">
        <v>0</v>
      </c>
      <c r="H2364" s="3">
        <f t="shared" si="36"/>
        <v>0</v>
      </c>
    </row>
    <row r="2365" spans="1:8">
      <c r="A2365" t="s">
        <v>2429</v>
      </c>
      <c r="B2365" t="s">
        <v>2430</v>
      </c>
      <c r="C2365" t="s">
        <v>466</v>
      </c>
      <c r="D2365" s="4">
        <v>0</v>
      </c>
      <c r="E2365" s="4">
        <v>0</v>
      </c>
      <c r="F2365" s="4">
        <v>0</v>
      </c>
      <c r="H2365" s="3">
        <f t="shared" si="36"/>
        <v>0</v>
      </c>
    </row>
    <row r="2366" spans="1:8">
      <c r="A2366" t="s">
        <v>2456</v>
      </c>
      <c r="B2366" t="s">
        <v>2457</v>
      </c>
      <c r="C2366" t="s">
        <v>466</v>
      </c>
      <c r="D2366" s="4">
        <v>0</v>
      </c>
      <c r="E2366" s="4">
        <v>0</v>
      </c>
      <c r="F2366" s="4">
        <v>0</v>
      </c>
      <c r="H2366" s="3">
        <f t="shared" si="36"/>
        <v>0</v>
      </c>
    </row>
    <row r="2367" spans="1:8">
      <c r="A2367" t="s">
        <v>2469</v>
      </c>
      <c r="B2367" t="s">
        <v>2470</v>
      </c>
      <c r="C2367" t="s">
        <v>466</v>
      </c>
      <c r="D2367" s="4">
        <v>0</v>
      </c>
      <c r="E2367" s="4">
        <v>0</v>
      </c>
      <c r="F2367" s="4">
        <v>0</v>
      </c>
      <c r="H2367" s="3">
        <f t="shared" si="36"/>
        <v>0</v>
      </c>
    </row>
    <row r="2368" spans="1:8">
      <c r="A2368" t="s">
        <v>2492</v>
      </c>
      <c r="B2368" t="s">
        <v>2493</v>
      </c>
      <c r="C2368" t="s">
        <v>635</v>
      </c>
      <c r="D2368" s="4">
        <v>0</v>
      </c>
      <c r="E2368" s="4">
        <v>0</v>
      </c>
      <c r="F2368" s="4">
        <v>0</v>
      </c>
      <c r="H2368" s="3">
        <f t="shared" si="36"/>
        <v>0</v>
      </c>
    </row>
    <row r="2369" spans="1:8">
      <c r="A2369" t="s">
        <v>2519</v>
      </c>
      <c r="B2369" t="s">
        <v>2520</v>
      </c>
      <c r="C2369" t="s">
        <v>635</v>
      </c>
      <c r="D2369" s="4">
        <v>0</v>
      </c>
      <c r="E2369" s="4">
        <v>0</v>
      </c>
      <c r="F2369" s="4">
        <v>0</v>
      </c>
      <c r="H2369" s="3">
        <f t="shared" si="36"/>
        <v>0</v>
      </c>
    </row>
    <row r="2370" spans="1:8">
      <c r="A2370" t="s">
        <v>2533</v>
      </c>
      <c r="B2370" t="s">
        <v>2534</v>
      </c>
      <c r="C2370" t="s">
        <v>466</v>
      </c>
      <c r="D2370" s="4">
        <v>0</v>
      </c>
      <c r="E2370" s="4">
        <v>0</v>
      </c>
      <c r="F2370" s="4">
        <v>0</v>
      </c>
      <c r="H2370" s="3">
        <f t="shared" si="36"/>
        <v>0</v>
      </c>
    </row>
    <row r="2371" spans="1:8">
      <c r="A2371" t="s">
        <v>2545</v>
      </c>
      <c r="B2371" t="s">
        <v>2546</v>
      </c>
      <c r="C2371" t="s">
        <v>635</v>
      </c>
      <c r="D2371" s="4">
        <v>0</v>
      </c>
      <c r="E2371" s="4">
        <v>0</v>
      </c>
      <c r="F2371" s="4">
        <v>0</v>
      </c>
      <c r="H2371" s="3">
        <f t="shared" si="36"/>
        <v>0</v>
      </c>
    </row>
    <row r="2372" spans="1:8">
      <c r="A2372" t="s">
        <v>2669</v>
      </c>
      <c r="B2372" t="s">
        <v>2670</v>
      </c>
      <c r="C2372" t="s">
        <v>635</v>
      </c>
      <c r="D2372" s="4">
        <v>0</v>
      </c>
      <c r="E2372" s="4">
        <v>0</v>
      </c>
      <c r="F2372" s="4">
        <v>0</v>
      </c>
      <c r="H2372" s="3">
        <f t="shared" si="36"/>
        <v>0</v>
      </c>
    </row>
    <row r="2373" spans="1:8">
      <c r="A2373" t="s">
        <v>2676</v>
      </c>
      <c r="B2373" t="s">
        <v>2677</v>
      </c>
      <c r="C2373" t="s">
        <v>466</v>
      </c>
      <c r="D2373" s="4">
        <v>0</v>
      </c>
      <c r="E2373" s="4">
        <v>0</v>
      </c>
      <c r="F2373" s="4">
        <v>0</v>
      </c>
      <c r="H2373" s="3">
        <f t="shared" si="36"/>
        <v>0</v>
      </c>
    </row>
    <row r="2374" spans="1:8">
      <c r="A2374" t="s">
        <v>2685</v>
      </c>
      <c r="B2374" t="s">
        <v>2686</v>
      </c>
      <c r="C2374" t="s">
        <v>635</v>
      </c>
      <c r="D2374" s="4">
        <v>0</v>
      </c>
      <c r="E2374" s="4">
        <v>0</v>
      </c>
      <c r="F2374" s="4">
        <v>0</v>
      </c>
      <c r="H2374" s="3">
        <f t="shared" si="36"/>
        <v>0</v>
      </c>
    </row>
    <row r="2375" spans="1:8">
      <c r="A2375" t="s">
        <v>2733</v>
      </c>
      <c r="B2375" t="s">
        <v>2734</v>
      </c>
      <c r="C2375" t="s">
        <v>635</v>
      </c>
      <c r="D2375" s="4">
        <v>45700</v>
      </c>
      <c r="E2375" s="4">
        <v>45700</v>
      </c>
      <c r="F2375" s="4">
        <v>91400</v>
      </c>
      <c r="H2375" s="3">
        <f t="shared" si="36"/>
        <v>0</v>
      </c>
    </row>
    <row r="2376" spans="1:8">
      <c r="A2376" t="s">
        <v>2857</v>
      </c>
      <c r="B2376" t="s">
        <v>2858</v>
      </c>
      <c r="C2376" t="s">
        <v>635</v>
      </c>
      <c r="D2376" s="4">
        <v>0</v>
      </c>
      <c r="E2376" s="4">
        <v>0</v>
      </c>
      <c r="F2376" s="4">
        <v>0</v>
      </c>
      <c r="H2376" s="3">
        <f t="shared" si="36"/>
        <v>0</v>
      </c>
    </row>
    <row r="2377" spans="1:8">
      <c r="A2377" t="s">
        <v>2867</v>
      </c>
      <c r="B2377" t="s">
        <v>2868</v>
      </c>
      <c r="C2377" t="s">
        <v>635</v>
      </c>
      <c r="D2377" s="4">
        <v>0</v>
      </c>
      <c r="E2377" s="4">
        <v>0</v>
      </c>
      <c r="F2377" s="4">
        <v>0</v>
      </c>
      <c r="H2377" s="3">
        <f t="shared" si="36"/>
        <v>0</v>
      </c>
    </row>
    <row r="2378" spans="1:8">
      <c r="A2378" t="s">
        <v>2900</v>
      </c>
      <c r="B2378" t="s">
        <v>2901</v>
      </c>
      <c r="C2378" t="s">
        <v>635</v>
      </c>
      <c r="D2378" s="4">
        <v>0</v>
      </c>
      <c r="E2378" s="4">
        <v>0</v>
      </c>
      <c r="F2378" s="4">
        <v>0</v>
      </c>
      <c r="H2378" s="3">
        <f t="shared" si="36"/>
        <v>0</v>
      </c>
    </row>
    <row r="2379" spans="1:8">
      <c r="A2379" t="s">
        <v>2919</v>
      </c>
      <c r="B2379" t="s">
        <v>2920</v>
      </c>
      <c r="C2379" t="s">
        <v>635</v>
      </c>
      <c r="D2379" s="4">
        <v>0</v>
      </c>
      <c r="E2379" s="4">
        <v>0</v>
      </c>
      <c r="F2379" s="4">
        <v>0</v>
      </c>
      <c r="H2379" s="3">
        <f t="shared" si="36"/>
        <v>0</v>
      </c>
    </row>
    <row r="2380" spans="1:8">
      <c r="A2380" t="s">
        <v>2933</v>
      </c>
      <c r="B2380" t="s">
        <v>2934</v>
      </c>
      <c r="C2380" t="s">
        <v>635</v>
      </c>
      <c r="D2380" s="4">
        <v>0</v>
      </c>
      <c r="E2380" s="4">
        <v>0</v>
      </c>
      <c r="F2380" s="4">
        <v>0</v>
      </c>
      <c r="H2380" s="3">
        <f t="shared" si="36"/>
        <v>0</v>
      </c>
    </row>
    <row r="2381" spans="1:8">
      <c r="A2381" t="s">
        <v>2974</v>
      </c>
      <c r="B2381" t="s">
        <v>2975</v>
      </c>
      <c r="C2381" t="s">
        <v>635</v>
      </c>
      <c r="D2381" s="4">
        <v>37600</v>
      </c>
      <c r="E2381" s="4">
        <v>37600</v>
      </c>
      <c r="F2381" s="4">
        <v>75200</v>
      </c>
      <c r="H2381" s="3">
        <f t="shared" si="36"/>
        <v>0</v>
      </c>
    </row>
    <row r="2382" spans="1:8">
      <c r="A2382" t="s">
        <v>2980</v>
      </c>
      <c r="B2382" t="s">
        <v>2981</v>
      </c>
      <c r="C2382" t="s">
        <v>635</v>
      </c>
      <c r="D2382" s="4">
        <v>0</v>
      </c>
      <c r="E2382" s="4">
        <v>0</v>
      </c>
      <c r="F2382" s="4">
        <v>0</v>
      </c>
      <c r="H2382" s="3">
        <f t="shared" si="36"/>
        <v>0</v>
      </c>
    </row>
    <row r="2383" spans="1:8">
      <c r="A2383" t="s">
        <v>2995</v>
      </c>
      <c r="B2383" t="s">
        <v>2996</v>
      </c>
      <c r="C2383" t="s">
        <v>635</v>
      </c>
      <c r="D2383" s="4">
        <v>0</v>
      </c>
      <c r="E2383" s="4"/>
      <c r="F2383" s="4">
        <v>0</v>
      </c>
      <c r="H2383" s="3">
        <f t="shared" si="36"/>
        <v>0</v>
      </c>
    </row>
    <row r="2384" spans="1:8">
      <c r="B2384" t="s">
        <v>3068</v>
      </c>
      <c r="C2384" t="s">
        <v>635</v>
      </c>
      <c r="D2384" s="4"/>
      <c r="E2384" s="4">
        <v>0</v>
      </c>
      <c r="F2384" s="4">
        <v>0</v>
      </c>
      <c r="H2384" s="3">
        <f t="shared" si="36"/>
        <v>0</v>
      </c>
    </row>
    <row r="2385" spans="1:8">
      <c r="A2385" t="s">
        <v>3031</v>
      </c>
      <c r="B2385" t="s">
        <v>3032</v>
      </c>
      <c r="C2385" t="s">
        <v>635</v>
      </c>
      <c r="D2385" s="4">
        <v>0</v>
      </c>
      <c r="E2385" s="4">
        <v>0</v>
      </c>
      <c r="F2385" s="4">
        <v>0</v>
      </c>
      <c r="H2385" s="3">
        <f t="shared" si="36"/>
        <v>0</v>
      </c>
    </row>
    <row r="2386" spans="1:8">
      <c r="A2386" t="s">
        <v>1447</v>
      </c>
      <c r="B2386" t="s">
        <v>1448</v>
      </c>
      <c r="C2386" t="s">
        <v>466</v>
      </c>
      <c r="D2386" s="4">
        <v>0</v>
      </c>
      <c r="E2386" s="4">
        <v>0</v>
      </c>
      <c r="F2386" s="4">
        <v>0</v>
      </c>
      <c r="H2386" s="3">
        <f t="shared" si="36"/>
        <v>0</v>
      </c>
    </row>
    <row r="2387" spans="1:8">
      <c r="A2387" t="s">
        <v>1452</v>
      </c>
      <c r="B2387" t="s">
        <v>1453</v>
      </c>
      <c r="C2387" t="s">
        <v>1001</v>
      </c>
      <c r="D2387" s="4">
        <v>0</v>
      </c>
      <c r="E2387" s="4">
        <v>0</v>
      </c>
      <c r="F2387" s="4">
        <v>0</v>
      </c>
      <c r="H2387" s="3">
        <f t="shared" si="36"/>
        <v>0</v>
      </c>
    </row>
    <row r="2388" spans="1:8">
      <c r="A2388" t="s">
        <v>1463</v>
      </c>
      <c r="B2388" t="s">
        <v>1464</v>
      </c>
      <c r="C2388" t="s">
        <v>635</v>
      </c>
      <c r="D2388" s="4">
        <v>0</v>
      </c>
      <c r="E2388" s="4">
        <v>0</v>
      </c>
      <c r="F2388" s="4">
        <v>0</v>
      </c>
      <c r="H2388" s="3">
        <f t="shared" si="36"/>
        <v>0</v>
      </c>
    </row>
    <row r="2389" spans="1:8">
      <c r="A2389" t="s">
        <v>1493</v>
      </c>
      <c r="B2389" t="s">
        <v>1494</v>
      </c>
      <c r="C2389" t="s">
        <v>635</v>
      </c>
      <c r="D2389" s="4">
        <v>0</v>
      </c>
      <c r="E2389" s="4">
        <v>0</v>
      </c>
      <c r="F2389" s="4">
        <v>0</v>
      </c>
      <c r="H2389" s="3">
        <f t="shared" si="36"/>
        <v>0</v>
      </c>
    </row>
    <row r="2390" spans="1:8">
      <c r="A2390" t="s">
        <v>1699</v>
      </c>
      <c r="B2390" t="s">
        <v>1700</v>
      </c>
      <c r="C2390" t="s">
        <v>635</v>
      </c>
      <c r="D2390" s="4">
        <v>0</v>
      </c>
      <c r="E2390" s="4">
        <v>0</v>
      </c>
      <c r="F2390" s="4">
        <v>0</v>
      </c>
      <c r="H2390" s="3">
        <f t="shared" si="36"/>
        <v>0</v>
      </c>
    </row>
    <row r="2391" spans="1:8">
      <c r="A2391" t="s">
        <v>1731</v>
      </c>
      <c r="B2391" t="s">
        <v>1732</v>
      </c>
      <c r="C2391" t="s">
        <v>635</v>
      </c>
      <c r="D2391" s="4">
        <v>0</v>
      </c>
      <c r="E2391" s="4">
        <v>0</v>
      </c>
      <c r="F2391" s="4">
        <v>0</v>
      </c>
      <c r="H2391" s="3">
        <f t="shared" si="36"/>
        <v>0</v>
      </c>
    </row>
    <row r="2392" spans="1:8">
      <c r="A2392" t="s">
        <v>1758</v>
      </c>
      <c r="B2392" t="s">
        <v>1759</v>
      </c>
      <c r="C2392" t="s">
        <v>635</v>
      </c>
      <c r="D2392" s="4">
        <v>0</v>
      </c>
      <c r="E2392" s="4">
        <v>0</v>
      </c>
      <c r="F2392" s="4">
        <v>0</v>
      </c>
      <c r="H2392" s="3">
        <f t="shared" si="36"/>
        <v>0</v>
      </c>
    </row>
    <row r="2393" spans="1:8">
      <c r="A2393" t="s">
        <v>1929</v>
      </c>
      <c r="B2393" t="s">
        <v>1930</v>
      </c>
      <c r="C2393" t="s">
        <v>466</v>
      </c>
      <c r="D2393" s="4">
        <v>0</v>
      </c>
      <c r="E2393" s="4">
        <v>0</v>
      </c>
      <c r="F2393" s="4">
        <v>0</v>
      </c>
      <c r="H2393" s="3">
        <f t="shared" si="36"/>
        <v>0</v>
      </c>
    </row>
    <row r="2394" spans="1:8">
      <c r="A2394" t="s">
        <v>1979</v>
      </c>
      <c r="B2394" t="s">
        <v>1980</v>
      </c>
      <c r="C2394" t="s">
        <v>635</v>
      </c>
      <c r="D2394" s="4">
        <v>0</v>
      </c>
      <c r="E2394" s="4">
        <v>0</v>
      </c>
      <c r="F2394" s="4">
        <v>0</v>
      </c>
      <c r="H2394" s="3">
        <f t="shared" si="36"/>
        <v>0</v>
      </c>
    </row>
    <row r="2395" spans="1:8">
      <c r="A2395" t="s">
        <v>2013</v>
      </c>
      <c r="B2395" t="s">
        <v>2014</v>
      </c>
      <c r="C2395" t="s">
        <v>635</v>
      </c>
      <c r="D2395" s="4">
        <v>0</v>
      </c>
      <c r="E2395" s="4">
        <v>0</v>
      </c>
      <c r="F2395" s="4">
        <v>0</v>
      </c>
      <c r="H2395" s="3">
        <f t="shared" si="36"/>
        <v>0</v>
      </c>
    </row>
    <row r="2396" spans="1:8">
      <c r="A2396" t="s">
        <v>2022</v>
      </c>
      <c r="B2396" t="s">
        <v>2023</v>
      </c>
      <c r="C2396" t="s">
        <v>635</v>
      </c>
      <c r="D2396" s="4">
        <v>0</v>
      </c>
      <c r="E2396" s="4">
        <v>0</v>
      </c>
      <c r="F2396" s="4">
        <v>0</v>
      </c>
      <c r="H2396" s="3">
        <f t="shared" si="36"/>
        <v>0</v>
      </c>
    </row>
    <row r="2397" spans="1:8">
      <c r="A2397" t="s">
        <v>2043</v>
      </c>
      <c r="B2397" t="s">
        <v>2044</v>
      </c>
      <c r="C2397" t="s">
        <v>635</v>
      </c>
      <c r="D2397" s="4">
        <v>0</v>
      </c>
      <c r="E2397" s="4">
        <v>0</v>
      </c>
      <c r="F2397" s="4">
        <v>0</v>
      </c>
      <c r="H2397" s="3">
        <f t="shared" si="36"/>
        <v>0</v>
      </c>
    </row>
    <row r="2398" spans="1:8">
      <c r="A2398" t="s">
        <v>2054</v>
      </c>
      <c r="B2398" t="s">
        <v>2055</v>
      </c>
      <c r="C2398" t="s">
        <v>635</v>
      </c>
      <c r="D2398" s="4">
        <v>0</v>
      </c>
      <c r="E2398" s="4"/>
      <c r="F2398" s="4">
        <v>0</v>
      </c>
      <c r="H2398" s="3">
        <f t="shared" si="36"/>
        <v>0</v>
      </c>
    </row>
    <row r="2399" spans="1:8">
      <c r="C2399" t="s">
        <v>466</v>
      </c>
      <c r="D2399" s="4">
        <v>0</v>
      </c>
      <c r="E2399" s="4"/>
      <c r="F2399" s="4">
        <v>0</v>
      </c>
      <c r="H2399" s="3">
        <f t="shared" si="36"/>
        <v>0</v>
      </c>
    </row>
    <row r="2400" spans="1:8">
      <c r="B2400" t="s">
        <v>3055</v>
      </c>
      <c r="C2400" t="s">
        <v>635</v>
      </c>
      <c r="D2400" s="4"/>
      <c r="E2400" s="4">
        <v>0</v>
      </c>
      <c r="F2400" s="4">
        <v>0</v>
      </c>
      <c r="H2400" s="3">
        <f t="shared" si="36"/>
        <v>0</v>
      </c>
    </row>
    <row r="2401" spans="1:8">
      <c r="C2401" t="s">
        <v>466</v>
      </c>
      <c r="D2401" s="4"/>
      <c r="E2401" s="4">
        <v>0</v>
      </c>
      <c r="F2401" s="4">
        <v>0</v>
      </c>
      <c r="H2401" s="3">
        <f t="shared" si="36"/>
        <v>0</v>
      </c>
    </row>
    <row r="2402" spans="1:8">
      <c r="A2402" t="s">
        <v>2128</v>
      </c>
      <c r="B2402" t="s">
        <v>2129</v>
      </c>
      <c r="C2402" t="s">
        <v>635</v>
      </c>
      <c r="D2402" s="4">
        <v>0</v>
      </c>
      <c r="E2402" s="4">
        <v>0</v>
      </c>
      <c r="F2402" s="4">
        <v>0</v>
      </c>
      <c r="H2402" s="3">
        <f t="shared" si="36"/>
        <v>0</v>
      </c>
    </row>
    <row r="2403" spans="1:8">
      <c r="A2403" t="s">
        <v>2163</v>
      </c>
      <c r="B2403" t="s">
        <v>2164</v>
      </c>
      <c r="C2403" t="s">
        <v>466</v>
      </c>
      <c r="D2403" s="4">
        <v>0</v>
      </c>
      <c r="E2403" s="4">
        <v>0</v>
      </c>
      <c r="F2403" s="4">
        <v>0</v>
      </c>
      <c r="H2403" s="3">
        <f t="shared" si="36"/>
        <v>0</v>
      </c>
    </row>
    <row r="2404" spans="1:8">
      <c r="A2404" t="s">
        <v>2169</v>
      </c>
      <c r="B2404" t="s">
        <v>2170</v>
      </c>
      <c r="C2404" t="s">
        <v>466</v>
      </c>
      <c r="D2404" s="4">
        <v>0</v>
      </c>
      <c r="E2404" s="4">
        <v>0</v>
      </c>
      <c r="F2404" s="4">
        <v>0</v>
      </c>
      <c r="H2404" s="3">
        <f t="shared" si="36"/>
        <v>0</v>
      </c>
    </row>
    <row r="2405" spans="1:8">
      <c r="A2405" t="s">
        <v>2187</v>
      </c>
      <c r="B2405" t="s">
        <v>2188</v>
      </c>
      <c r="C2405" t="s">
        <v>635</v>
      </c>
      <c r="D2405" s="4">
        <v>0</v>
      </c>
      <c r="E2405" s="4">
        <v>0</v>
      </c>
      <c r="F2405" s="4">
        <v>0</v>
      </c>
      <c r="H2405" s="3">
        <f t="shared" si="36"/>
        <v>0</v>
      </c>
    </row>
    <row r="2406" spans="1:8">
      <c r="A2406" t="s">
        <v>2269</v>
      </c>
      <c r="B2406" t="s">
        <v>2270</v>
      </c>
      <c r="C2406" t="s">
        <v>466</v>
      </c>
      <c r="D2406" s="4">
        <v>0</v>
      </c>
      <c r="E2406" s="4">
        <v>0</v>
      </c>
      <c r="F2406" s="4">
        <v>0</v>
      </c>
      <c r="H2406" s="3">
        <f t="shared" si="36"/>
        <v>0</v>
      </c>
    </row>
    <row r="2407" spans="1:8">
      <c r="A2407" t="s">
        <v>2288</v>
      </c>
      <c r="B2407" t="s">
        <v>2289</v>
      </c>
      <c r="C2407" t="s">
        <v>635</v>
      </c>
      <c r="D2407" s="4">
        <v>0</v>
      </c>
      <c r="E2407" s="4">
        <v>0</v>
      </c>
      <c r="F2407" s="4">
        <v>0</v>
      </c>
      <c r="H2407" s="3">
        <f t="shared" si="36"/>
        <v>0</v>
      </c>
    </row>
    <row r="2408" spans="1:8">
      <c r="A2408" t="s">
        <v>2298</v>
      </c>
      <c r="B2408" t="s">
        <v>2299</v>
      </c>
      <c r="C2408" t="s">
        <v>635</v>
      </c>
      <c r="D2408" s="4">
        <v>0</v>
      </c>
      <c r="E2408" s="4">
        <v>0</v>
      </c>
      <c r="F2408" s="4">
        <v>0</v>
      </c>
      <c r="H2408" s="3">
        <f t="shared" si="36"/>
        <v>0</v>
      </c>
    </row>
    <row r="2409" spans="1:8">
      <c r="A2409" t="s">
        <v>2303</v>
      </c>
      <c r="B2409" t="s">
        <v>2304</v>
      </c>
      <c r="C2409" t="s">
        <v>635</v>
      </c>
      <c r="D2409" s="4">
        <v>0</v>
      </c>
      <c r="E2409" s="4">
        <v>0</v>
      </c>
      <c r="F2409" s="4">
        <v>0</v>
      </c>
      <c r="H2409" s="3">
        <f t="shared" si="36"/>
        <v>0</v>
      </c>
    </row>
    <row r="2410" spans="1:8">
      <c r="A2410" t="s">
        <v>2320</v>
      </c>
      <c r="B2410" t="s">
        <v>2321</v>
      </c>
      <c r="C2410" t="s">
        <v>635</v>
      </c>
      <c r="D2410" s="4">
        <v>0</v>
      </c>
      <c r="E2410" s="4">
        <v>0</v>
      </c>
      <c r="F2410" s="4">
        <v>0</v>
      </c>
      <c r="H2410" s="3">
        <f t="shared" si="36"/>
        <v>0</v>
      </c>
    </row>
    <row r="2411" spans="1:8">
      <c r="A2411" t="s">
        <v>2378</v>
      </c>
      <c r="B2411" t="s">
        <v>2379</v>
      </c>
      <c r="C2411" t="s">
        <v>635</v>
      </c>
      <c r="D2411" s="4">
        <v>0</v>
      </c>
      <c r="E2411" s="4">
        <v>0</v>
      </c>
      <c r="F2411" s="4">
        <v>0</v>
      </c>
      <c r="H2411" s="3">
        <f t="shared" si="36"/>
        <v>0</v>
      </c>
    </row>
    <row r="2412" spans="1:8">
      <c r="A2412" t="s">
        <v>2415</v>
      </c>
      <c r="B2412" t="s">
        <v>2416</v>
      </c>
      <c r="C2412" t="s">
        <v>635</v>
      </c>
      <c r="D2412" s="4">
        <v>0</v>
      </c>
      <c r="E2412" s="4">
        <v>0</v>
      </c>
      <c r="F2412" s="4">
        <v>0</v>
      </c>
      <c r="H2412" s="3">
        <f t="shared" si="36"/>
        <v>0</v>
      </c>
    </row>
    <row r="2413" spans="1:8">
      <c r="A2413" t="s">
        <v>2441</v>
      </c>
      <c r="B2413" t="s">
        <v>2442</v>
      </c>
      <c r="C2413" t="s">
        <v>466</v>
      </c>
      <c r="D2413" s="4">
        <v>0</v>
      </c>
      <c r="E2413" s="4">
        <v>0</v>
      </c>
      <c r="F2413" s="4">
        <v>0</v>
      </c>
      <c r="H2413" s="3">
        <f t="shared" si="36"/>
        <v>0</v>
      </c>
    </row>
    <row r="2414" spans="1:8">
      <c r="A2414" t="s">
        <v>2458</v>
      </c>
      <c r="B2414" t="s">
        <v>2459</v>
      </c>
      <c r="C2414" t="s">
        <v>635</v>
      </c>
      <c r="D2414" s="4">
        <v>0</v>
      </c>
      <c r="E2414" s="4">
        <v>0</v>
      </c>
      <c r="F2414" s="4">
        <v>0</v>
      </c>
      <c r="H2414" s="3">
        <f t="shared" si="36"/>
        <v>0</v>
      </c>
    </row>
    <row r="2415" spans="1:8">
      <c r="A2415" t="s">
        <v>2594</v>
      </c>
      <c r="B2415" t="s">
        <v>2595</v>
      </c>
      <c r="C2415" t="s">
        <v>635</v>
      </c>
      <c r="D2415" s="4">
        <v>0</v>
      </c>
      <c r="E2415" s="4">
        <v>0</v>
      </c>
      <c r="F2415" s="4">
        <v>0</v>
      </c>
      <c r="H2415" s="3">
        <f t="shared" si="36"/>
        <v>0</v>
      </c>
    </row>
    <row r="2416" spans="1:8">
      <c r="A2416" t="s">
        <v>2636</v>
      </c>
      <c r="B2416" t="s">
        <v>2637</v>
      </c>
      <c r="C2416" t="s">
        <v>635</v>
      </c>
      <c r="D2416" s="4">
        <v>0</v>
      </c>
      <c r="E2416" s="4">
        <v>0</v>
      </c>
      <c r="F2416" s="4">
        <v>0</v>
      </c>
      <c r="H2416" s="3">
        <f t="shared" si="36"/>
        <v>0</v>
      </c>
    </row>
    <row r="2417" spans="1:8">
      <c r="A2417" t="s">
        <v>2674</v>
      </c>
      <c r="B2417" t="s">
        <v>2675</v>
      </c>
      <c r="C2417" t="s">
        <v>635</v>
      </c>
      <c r="D2417" s="4">
        <v>0</v>
      </c>
      <c r="E2417" s="4">
        <v>0</v>
      </c>
      <c r="F2417" s="4">
        <v>0</v>
      </c>
      <c r="H2417" s="3">
        <f t="shared" si="36"/>
        <v>0</v>
      </c>
    </row>
    <row r="2418" spans="1:8">
      <c r="A2418" t="s">
        <v>2682</v>
      </c>
      <c r="B2418" t="s">
        <v>2683</v>
      </c>
      <c r="C2418" t="s">
        <v>635</v>
      </c>
      <c r="D2418" s="4">
        <v>0</v>
      </c>
      <c r="E2418" s="4">
        <v>0</v>
      </c>
      <c r="F2418" s="4">
        <v>0</v>
      </c>
      <c r="H2418" s="3">
        <f t="shared" si="36"/>
        <v>0</v>
      </c>
    </row>
    <row r="2419" spans="1:8">
      <c r="A2419" t="s">
        <v>2696</v>
      </c>
      <c r="B2419" t="s">
        <v>2697</v>
      </c>
      <c r="C2419" t="s">
        <v>635</v>
      </c>
      <c r="D2419" s="4">
        <v>0</v>
      </c>
      <c r="E2419" s="4">
        <v>0</v>
      </c>
      <c r="F2419" s="4">
        <v>0</v>
      </c>
      <c r="H2419" s="3">
        <f t="shared" si="36"/>
        <v>0</v>
      </c>
    </row>
    <row r="2420" spans="1:8">
      <c r="A2420" t="s">
        <v>2707</v>
      </c>
      <c r="B2420" t="s">
        <v>2708</v>
      </c>
      <c r="C2420" t="s">
        <v>635</v>
      </c>
      <c r="D2420" s="4">
        <v>0</v>
      </c>
      <c r="E2420" s="4">
        <v>0</v>
      </c>
      <c r="F2420" s="4">
        <v>0</v>
      </c>
      <c r="H2420" s="3">
        <f t="shared" si="36"/>
        <v>0</v>
      </c>
    </row>
    <row r="2421" spans="1:8">
      <c r="A2421" t="s">
        <v>2718</v>
      </c>
      <c r="B2421" t="s">
        <v>2719</v>
      </c>
      <c r="C2421" t="s">
        <v>635</v>
      </c>
      <c r="D2421" s="4">
        <v>0</v>
      </c>
      <c r="E2421" s="4">
        <v>0</v>
      </c>
      <c r="F2421" s="4">
        <v>0</v>
      </c>
      <c r="H2421" s="3">
        <f t="shared" si="36"/>
        <v>0</v>
      </c>
    </row>
    <row r="2422" spans="1:8">
      <c r="A2422" t="s">
        <v>2778</v>
      </c>
      <c r="B2422" t="s">
        <v>2779</v>
      </c>
      <c r="C2422" t="s">
        <v>635</v>
      </c>
      <c r="D2422" s="4">
        <v>0</v>
      </c>
      <c r="E2422" s="4">
        <v>0</v>
      </c>
      <c r="F2422" s="4">
        <v>0</v>
      </c>
      <c r="H2422" s="3">
        <f t="shared" si="36"/>
        <v>0</v>
      </c>
    </row>
    <row r="2423" spans="1:8">
      <c r="A2423" t="s">
        <v>2834</v>
      </c>
      <c r="B2423" t="s">
        <v>2835</v>
      </c>
      <c r="C2423" t="s">
        <v>635</v>
      </c>
      <c r="D2423" s="4">
        <v>0</v>
      </c>
      <c r="E2423" s="4">
        <v>0</v>
      </c>
      <c r="F2423" s="4">
        <v>0</v>
      </c>
      <c r="H2423" s="3">
        <f t="shared" ref="H2423:H2486" si="37">+D2423-E2423</f>
        <v>0</v>
      </c>
    </row>
    <row r="2424" spans="1:8">
      <c r="A2424" t="s">
        <v>2863</v>
      </c>
      <c r="B2424" t="s">
        <v>2864</v>
      </c>
      <c r="C2424" t="s">
        <v>635</v>
      </c>
      <c r="D2424" s="4">
        <v>0</v>
      </c>
      <c r="E2424" s="4">
        <v>0</v>
      </c>
      <c r="F2424" s="4">
        <v>0</v>
      </c>
      <c r="H2424" s="3">
        <f t="shared" si="37"/>
        <v>0</v>
      </c>
    </row>
    <row r="2425" spans="1:8">
      <c r="A2425" t="s">
        <v>2915</v>
      </c>
      <c r="B2425" t="s">
        <v>2916</v>
      </c>
      <c r="C2425" t="s">
        <v>635</v>
      </c>
      <c r="D2425" s="4">
        <v>0</v>
      </c>
      <c r="E2425" s="4">
        <v>0</v>
      </c>
      <c r="F2425" s="4">
        <v>0</v>
      </c>
      <c r="H2425" s="3">
        <f t="shared" si="37"/>
        <v>0</v>
      </c>
    </row>
    <row r="2426" spans="1:8">
      <c r="A2426" t="s">
        <v>2925</v>
      </c>
      <c r="B2426" t="s">
        <v>2926</v>
      </c>
      <c r="C2426" t="s">
        <v>635</v>
      </c>
      <c r="D2426" s="4">
        <v>33200</v>
      </c>
      <c r="E2426" s="4">
        <v>33200</v>
      </c>
      <c r="F2426" s="4">
        <v>66400</v>
      </c>
      <c r="H2426" s="3">
        <f t="shared" si="37"/>
        <v>0</v>
      </c>
    </row>
    <row r="2427" spans="1:8">
      <c r="A2427" t="s">
        <v>2936</v>
      </c>
      <c r="B2427" t="s">
        <v>2937</v>
      </c>
      <c r="C2427" t="s">
        <v>635</v>
      </c>
      <c r="D2427" s="4">
        <v>0</v>
      </c>
      <c r="E2427" s="4">
        <v>0</v>
      </c>
      <c r="F2427" s="4">
        <v>0</v>
      </c>
      <c r="H2427" s="3">
        <f t="shared" si="37"/>
        <v>0</v>
      </c>
    </row>
    <row r="2428" spans="1:8">
      <c r="A2428" t="s">
        <v>2947</v>
      </c>
      <c r="B2428" t="s">
        <v>2948</v>
      </c>
      <c r="C2428" t="s">
        <v>635</v>
      </c>
      <c r="D2428" s="4">
        <v>0</v>
      </c>
      <c r="E2428" s="4">
        <v>0</v>
      </c>
      <c r="F2428" s="4">
        <v>0</v>
      </c>
      <c r="H2428" s="3">
        <f t="shared" si="37"/>
        <v>0</v>
      </c>
    </row>
    <row r="2429" spans="1:8">
      <c r="A2429" t="s">
        <v>2967</v>
      </c>
      <c r="B2429" t="s">
        <v>2968</v>
      </c>
      <c r="C2429" t="s">
        <v>635</v>
      </c>
      <c r="D2429" s="4">
        <v>0</v>
      </c>
      <c r="E2429" s="4">
        <v>0</v>
      </c>
      <c r="F2429" s="4">
        <v>0</v>
      </c>
      <c r="H2429" s="3">
        <f t="shared" si="37"/>
        <v>0</v>
      </c>
    </row>
    <row r="2430" spans="1:8">
      <c r="A2430" t="s">
        <v>2982</v>
      </c>
      <c r="B2430" t="s">
        <v>2983</v>
      </c>
      <c r="C2430" t="s">
        <v>635</v>
      </c>
      <c r="D2430" s="4">
        <v>0</v>
      </c>
      <c r="E2430" s="4">
        <v>0</v>
      </c>
      <c r="F2430" s="4">
        <v>0</v>
      </c>
      <c r="H2430" s="3">
        <f t="shared" si="37"/>
        <v>0</v>
      </c>
    </row>
    <row r="2431" spans="1:8">
      <c r="A2431" t="s">
        <v>3020</v>
      </c>
      <c r="B2431" t="s">
        <v>3021</v>
      </c>
      <c r="C2431" t="s">
        <v>635</v>
      </c>
      <c r="D2431" s="4">
        <v>0</v>
      </c>
      <c r="E2431" s="4">
        <v>0</v>
      </c>
      <c r="F2431" s="4">
        <v>0</v>
      </c>
      <c r="H2431" s="3">
        <f t="shared" si="37"/>
        <v>0</v>
      </c>
    </row>
    <row r="2432" spans="1:8">
      <c r="A2432" t="s">
        <v>3023</v>
      </c>
      <c r="B2432" t="s">
        <v>3024</v>
      </c>
      <c r="C2432" t="s">
        <v>635</v>
      </c>
      <c r="D2432" s="4">
        <v>0</v>
      </c>
      <c r="E2432" s="4">
        <v>0</v>
      </c>
      <c r="F2432" s="4">
        <v>0</v>
      </c>
      <c r="H2432" s="3">
        <f t="shared" si="37"/>
        <v>0</v>
      </c>
    </row>
    <row r="2433" spans="1:8">
      <c r="A2433" t="s">
        <v>3028</v>
      </c>
      <c r="B2433" t="s">
        <v>3029</v>
      </c>
      <c r="C2433" t="s">
        <v>635</v>
      </c>
      <c r="D2433" s="4">
        <v>0</v>
      </c>
      <c r="E2433" s="4">
        <v>0</v>
      </c>
      <c r="F2433" s="4">
        <v>0</v>
      </c>
      <c r="H2433" s="3">
        <f t="shared" si="37"/>
        <v>0</v>
      </c>
    </row>
    <row r="2434" spans="1:8">
      <c r="A2434" t="s">
        <v>3044</v>
      </c>
      <c r="B2434" t="s">
        <v>3045</v>
      </c>
      <c r="C2434" t="s">
        <v>635</v>
      </c>
      <c r="D2434" s="4">
        <v>0</v>
      </c>
      <c r="E2434" s="4">
        <v>0</v>
      </c>
      <c r="F2434" s="4">
        <v>0</v>
      </c>
      <c r="H2434" s="3">
        <f t="shared" si="37"/>
        <v>0</v>
      </c>
    </row>
    <row r="2435" spans="1:8">
      <c r="A2435" t="s">
        <v>1660</v>
      </c>
      <c r="B2435" t="s">
        <v>1661</v>
      </c>
      <c r="C2435" t="s">
        <v>635</v>
      </c>
      <c r="D2435" s="4">
        <v>0</v>
      </c>
      <c r="E2435" s="4">
        <v>0</v>
      </c>
      <c r="F2435" s="4">
        <v>0</v>
      </c>
      <c r="H2435" s="3">
        <f t="shared" si="37"/>
        <v>0</v>
      </c>
    </row>
    <row r="2436" spans="1:8">
      <c r="A2436" t="s">
        <v>1686</v>
      </c>
      <c r="B2436" t="s">
        <v>1687</v>
      </c>
      <c r="C2436" t="s">
        <v>635</v>
      </c>
      <c r="D2436" s="4">
        <v>0</v>
      </c>
      <c r="E2436" s="4">
        <v>0</v>
      </c>
      <c r="F2436" s="4">
        <v>0</v>
      </c>
      <c r="H2436" s="3">
        <f t="shared" si="37"/>
        <v>0</v>
      </c>
    </row>
    <row r="2437" spans="1:8">
      <c r="A2437" t="s">
        <v>1851</v>
      </c>
      <c r="B2437" t="s">
        <v>1852</v>
      </c>
      <c r="C2437" t="s">
        <v>635</v>
      </c>
      <c r="D2437" s="4">
        <v>0</v>
      </c>
      <c r="E2437" s="4">
        <v>0</v>
      </c>
      <c r="F2437" s="4">
        <v>0</v>
      </c>
      <c r="H2437" s="3">
        <f t="shared" si="37"/>
        <v>0</v>
      </c>
    </row>
    <row r="2438" spans="1:8">
      <c r="A2438" t="s">
        <v>1862</v>
      </c>
      <c r="B2438" t="s">
        <v>1863</v>
      </c>
      <c r="C2438" t="s">
        <v>635</v>
      </c>
      <c r="D2438" s="4">
        <v>0</v>
      </c>
      <c r="E2438" s="4">
        <v>0</v>
      </c>
      <c r="F2438" s="4">
        <v>0</v>
      </c>
      <c r="H2438" s="3">
        <f t="shared" si="37"/>
        <v>0</v>
      </c>
    </row>
    <row r="2439" spans="1:8">
      <c r="A2439" t="s">
        <v>1962</v>
      </c>
      <c r="B2439" t="s">
        <v>1963</v>
      </c>
      <c r="C2439" t="s">
        <v>635</v>
      </c>
      <c r="D2439" s="4">
        <v>0</v>
      </c>
      <c r="E2439" s="4">
        <v>0</v>
      </c>
      <c r="F2439" s="4">
        <v>0</v>
      </c>
      <c r="H2439" s="3">
        <f t="shared" si="37"/>
        <v>0</v>
      </c>
    </row>
    <row r="2440" spans="1:8">
      <c r="A2440" t="s">
        <v>2000</v>
      </c>
      <c r="B2440" t="s">
        <v>2001</v>
      </c>
      <c r="C2440" t="s">
        <v>635</v>
      </c>
      <c r="D2440" s="4">
        <v>0</v>
      </c>
      <c r="E2440" s="4">
        <v>0</v>
      </c>
      <c r="F2440" s="4">
        <v>0</v>
      </c>
      <c r="H2440" s="3">
        <f t="shared" si="37"/>
        <v>0</v>
      </c>
    </row>
    <row r="2441" spans="1:8">
      <c r="A2441" t="s">
        <v>2006</v>
      </c>
      <c r="B2441" t="s">
        <v>2007</v>
      </c>
      <c r="C2441" t="s">
        <v>635</v>
      </c>
      <c r="D2441" s="4">
        <v>0</v>
      </c>
      <c r="E2441" s="4">
        <v>0</v>
      </c>
      <c r="F2441" s="4">
        <v>0</v>
      </c>
      <c r="H2441" s="3">
        <f t="shared" si="37"/>
        <v>0</v>
      </c>
    </row>
    <row r="2442" spans="1:8">
      <c r="A2442" t="s">
        <v>2067</v>
      </c>
      <c r="B2442" t="s">
        <v>2068</v>
      </c>
      <c r="C2442" t="s">
        <v>635</v>
      </c>
      <c r="D2442" s="4">
        <v>0</v>
      </c>
      <c r="E2442" s="4">
        <v>0</v>
      </c>
      <c r="F2442" s="4">
        <v>0</v>
      </c>
      <c r="H2442" s="3">
        <f t="shared" si="37"/>
        <v>0</v>
      </c>
    </row>
    <row r="2443" spans="1:8">
      <c r="A2443" t="s">
        <v>2291</v>
      </c>
      <c r="B2443" t="s">
        <v>2292</v>
      </c>
      <c r="C2443" t="s">
        <v>635</v>
      </c>
      <c r="D2443" s="4">
        <v>21300</v>
      </c>
      <c r="E2443" s="4">
        <v>21300</v>
      </c>
      <c r="F2443" s="4">
        <v>42600</v>
      </c>
      <c r="H2443" s="3">
        <f t="shared" si="37"/>
        <v>0</v>
      </c>
    </row>
    <row r="2444" spans="1:8">
      <c r="A2444" t="s">
        <v>2307</v>
      </c>
      <c r="B2444" t="s">
        <v>2308</v>
      </c>
      <c r="C2444" t="s">
        <v>635</v>
      </c>
      <c r="D2444" s="4">
        <v>24000</v>
      </c>
      <c r="E2444" s="4">
        <v>24000</v>
      </c>
      <c r="F2444" s="4">
        <v>48000</v>
      </c>
      <c r="H2444" s="3">
        <f t="shared" si="37"/>
        <v>0</v>
      </c>
    </row>
    <row r="2445" spans="1:8">
      <c r="A2445" t="s">
        <v>2782</v>
      </c>
      <c r="B2445" t="s">
        <v>2783</v>
      </c>
      <c r="C2445" t="s">
        <v>635</v>
      </c>
      <c r="D2445" s="4">
        <v>0</v>
      </c>
      <c r="E2445" s="4">
        <v>0</v>
      </c>
      <c r="F2445" s="4">
        <v>0</v>
      </c>
      <c r="H2445" s="3">
        <f t="shared" si="37"/>
        <v>0</v>
      </c>
    </row>
    <row r="2446" spans="1:8">
      <c r="A2446" t="s">
        <v>2958</v>
      </c>
      <c r="B2446" t="s">
        <v>2959</v>
      </c>
      <c r="C2446" t="s">
        <v>635</v>
      </c>
      <c r="D2446" s="4">
        <v>0</v>
      </c>
      <c r="E2446" s="4">
        <v>0</v>
      </c>
      <c r="F2446" s="4">
        <v>0</v>
      </c>
      <c r="H2446" s="3">
        <f t="shared" si="37"/>
        <v>0</v>
      </c>
    </row>
    <row r="2447" spans="1:8">
      <c r="A2447" t="s">
        <v>2970</v>
      </c>
      <c r="B2447" t="s">
        <v>2971</v>
      </c>
      <c r="C2447" t="s">
        <v>635</v>
      </c>
      <c r="D2447" s="4">
        <v>0</v>
      </c>
      <c r="E2447" s="4">
        <v>0</v>
      </c>
      <c r="F2447" s="4">
        <v>0</v>
      </c>
      <c r="H2447" s="3">
        <f t="shared" si="37"/>
        <v>0</v>
      </c>
    </row>
    <row r="2448" spans="1:8">
      <c r="A2448" t="s">
        <v>2047</v>
      </c>
      <c r="B2448" t="s">
        <v>2048</v>
      </c>
      <c r="C2448" t="s">
        <v>635</v>
      </c>
      <c r="D2448" s="4">
        <v>0</v>
      </c>
      <c r="E2448" s="4">
        <v>0</v>
      </c>
      <c r="F2448" s="4">
        <v>0</v>
      </c>
      <c r="H2448" s="3">
        <f t="shared" si="37"/>
        <v>0</v>
      </c>
    </row>
    <row r="2449" spans="1:8">
      <c r="A2449" t="s">
        <v>2050</v>
      </c>
      <c r="B2449" t="s">
        <v>2051</v>
      </c>
      <c r="C2449" t="s">
        <v>635</v>
      </c>
      <c r="D2449" s="4">
        <v>0</v>
      </c>
      <c r="E2449" s="4">
        <v>0</v>
      </c>
      <c r="F2449" s="4">
        <v>0</v>
      </c>
      <c r="H2449" s="3">
        <f t="shared" si="37"/>
        <v>0</v>
      </c>
    </row>
    <row r="2450" spans="1:8">
      <c r="A2450" t="s">
        <v>2344</v>
      </c>
      <c r="B2450" t="s">
        <v>2345</v>
      </c>
      <c r="C2450" t="s">
        <v>635</v>
      </c>
      <c r="D2450" s="4">
        <v>0</v>
      </c>
      <c r="E2450" s="4">
        <v>0</v>
      </c>
      <c r="F2450" s="4">
        <v>0</v>
      </c>
      <c r="H2450" s="3">
        <f t="shared" si="37"/>
        <v>0</v>
      </c>
    </row>
    <row r="2451" spans="1:8">
      <c r="A2451" t="s">
        <v>2647</v>
      </c>
      <c r="B2451" t="s">
        <v>2648</v>
      </c>
      <c r="C2451" t="s">
        <v>635</v>
      </c>
      <c r="D2451" s="4">
        <v>0</v>
      </c>
      <c r="E2451" s="4">
        <v>0</v>
      </c>
      <c r="F2451" s="4">
        <v>0</v>
      </c>
      <c r="H2451" s="3">
        <f t="shared" si="37"/>
        <v>0</v>
      </c>
    </row>
    <row r="2452" spans="1:8">
      <c r="A2452" t="s">
        <v>2649</v>
      </c>
      <c r="B2452" t="s">
        <v>2650</v>
      </c>
      <c r="C2452" t="s">
        <v>635</v>
      </c>
      <c r="D2452" s="4">
        <v>0</v>
      </c>
      <c r="E2452" s="4">
        <v>0</v>
      </c>
      <c r="F2452" s="4">
        <v>0</v>
      </c>
      <c r="H2452" s="3">
        <f t="shared" si="37"/>
        <v>0</v>
      </c>
    </row>
    <row r="2453" spans="1:8">
      <c r="A2453" t="s">
        <v>2688</v>
      </c>
      <c r="B2453" t="s">
        <v>2689</v>
      </c>
      <c r="C2453" t="s">
        <v>635</v>
      </c>
      <c r="D2453" s="4">
        <v>0</v>
      </c>
      <c r="E2453" s="4">
        <v>0</v>
      </c>
      <c r="F2453" s="4">
        <v>0</v>
      </c>
      <c r="H2453" s="3">
        <f t="shared" si="37"/>
        <v>0</v>
      </c>
    </row>
    <row r="2454" spans="1:8">
      <c r="A2454" t="s">
        <v>2703</v>
      </c>
      <c r="B2454" t="s">
        <v>2704</v>
      </c>
      <c r="C2454" t="s">
        <v>635</v>
      </c>
      <c r="D2454" s="4">
        <v>0</v>
      </c>
      <c r="E2454" s="4">
        <v>0</v>
      </c>
      <c r="F2454" s="4">
        <v>0</v>
      </c>
      <c r="H2454" s="3">
        <f t="shared" si="37"/>
        <v>0</v>
      </c>
    </row>
    <row r="2455" spans="1:8">
      <c r="A2455" t="s">
        <v>2793</v>
      </c>
      <c r="B2455" t="s">
        <v>2794</v>
      </c>
      <c r="C2455" t="s">
        <v>466</v>
      </c>
      <c r="D2455" s="4">
        <v>0</v>
      </c>
      <c r="E2455" s="4">
        <v>0</v>
      </c>
      <c r="F2455" s="4">
        <v>0</v>
      </c>
      <c r="H2455" s="3">
        <f t="shared" si="37"/>
        <v>0</v>
      </c>
    </row>
    <row r="2456" spans="1:8">
      <c r="A2456" t="s">
        <v>2797</v>
      </c>
      <c r="B2456" t="s">
        <v>2798</v>
      </c>
      <c r="C2456" t="s">
        <v>635</v>
      </c>
      <c r="D2456" s="4">
        <v>0</v>
      </c>
      <c r="E2456" s="4">
        <v>0</v>
      </c>
      <c r="F2456" s="4">
        <v>0</v>
      </c>
      <c r="H2456" s="3">
        <f t="shared" si="37"/>
        <v>0</v>
      </c>
    </row>
    <row r="2457" spans="1:8">
      <c r="A2457" t="s">
        <v>1432</v>
      </c>
      <c r="B2457" t="s">
        <v>1433</v>
      </c>
      <c r="C2457" t="s">
        <v>635</v>
      </c>
      <c r="D2457" s="4">
        <v>0</v>
      </c>
      <c r="E2457" s="4">
        <v>0</v>
      </c>
      <c r="F2457" s="4">
        <v>0</v>
      </c>
      <c r="H2457" s="3">
        <f t="shared" si="37"/>
        <v>0</v>
      </c>
    </row>
    <row r="2458" spans="1:8">
      <c r="A2458" t="s">
        <v>1457</v>
      </c>
      <c r="B2458" t="s">
        <v>1458</v>
      </c>
      <c r="C2458" t="s">
        <v>635</v>
      </c>
      <c r="D2458" s="4">
        <v>0</v>
      </c>
      <c r="E2458" s="4">
        <v>0</v>
      </c>
      <c r="F2458" s="4">
        <v>0</v>
      </c>
      <c r="H2458" s="3">
        <f t="shared" si="37"/>
        <v>0</v>
      </c>
    </row>
    <row r="2459" spans="1:8">
      <c r="A2459" t="s">
        <v>1618</v>
      </c>
      <c r="B2459" t="s">
        <v>1619</v>
      </c>
      <c r="C2459" t="s">
        <v>635</v>
      </c>
      <c r="D2459" s="4">
        <v>0</v>
      </c>
      <c r="E2459" s="4">
        <v>0</v>
      </c>
      <c r="F2459" s="4">
        <v>0</v>
      </c>
      <c r="H2459" s="3">
        <f t="shared" si="37"/>
        <v>0</v>
      </c>
    </row>
    <row r="2460" spans="1:8">
      <c r="A2460" t="s">
        <v>1690</v>
      </c>
      <c r="B2460" t="s">
        <v>1691</v>
      </c>
      <c r="C2460" t="s">
        <v>635</v>
      </c>
      <c r="D2460" s="4">
        <v>0</v>
      </c>
      <c r="E2460" s="4">
        <v>0</v>
      </c>
      <c r="F2460" s="4">
        <v>0</v>
      </c>
      <c r="H2460" s="3">
        <f t="shared" si="37"/>
        <v>0</v>
      </c>
    </row>
    <row r="2461" spans="1:8">
      <c r="A2461" t="s">
        <v>1726</v>
      </c>
      <c r="B2461" t="s">
        <v>1727</v>
      </c>
      <c r="C2461" t="s">
        <v>635</v>
      </c>
      <c r="D2461" s="4">
        <v>0</v>
      </c>
      <c r="E2461" s="4">
        <v>0</v>
      </c>
      <c r="F2461" s="4">
        <v>0</v>
      </c>
      <c r="H2461" s="3">
        <f t="shared" si="37"/>
        <v>0</v>
      </c>
    </row>
    <row r="2462" spans="1:8">
      <c r="A2462" t="s">
        <v>1778</v>
      </c>
      <c r="B2462" t="s">
        <v>1779</v>
      </c>
      <c r="C2462" t="s">
        <v>466</v>
      </c>
      <c r="D2462" s="4">
        <v>0</v>
      </c>
      <c r="E2462" s="4">
        <v>0</v>
      </c>
      <c r="F2462" s="4">
        <v>0</v>
      </c>
      <c r="H2462" s="3">
        <f t="shared" si="37"/>
        <v>0</v>
      </c>
    </row>
    <row r="2463" spans="1:8">
      <c r="A2463" t="s">
        <v>1787</v>
      </c>
      <c r="B2463" t="s">
        <v>1788</v>
      </c>
      <c r="C2463" t="s">
        <v>635</v>
      </c>
      <c r="D2463" s="4">
        <v>0</v>
      </c>
      <c r="E2463" s="4">
        <v>0</v>
      </c>
      <c r="F2463" s="4">
        <v>0</v>
      </c>
      <c r="H2463" s="3">
        <f t="shared" si="37"/>
        <v>0</v>
      </c>
    </row>
    <row r="2464" spans="1:8">
      <c r="A2464" t="s">
        <v>1794</v>
      </c>
      <c r="B2464" t="s">
        <v>1795</v>
      </c>
      <c r="C2464" t="s">
        <v>635</v>
      </c>
      <c r="D2464" s="4">
        <v>0</v>
      </c>
      <c r="E2464" s="4"/>
      <c r="F2464" s="4">
        <v>0</v>
      </c>
      <c r="H2464" s="3">
        <f t="shared" si="37"/>
        <v>0</v>
      </c>
    </row>
    <row r="2465" spans="1:8">
      <c r="B2465" t="s">
        <v>3051</v>
      </c>
      <c r="C2465" t="s">
        <v>635</v>
      </c>
      <c r="D2465" s="4"/>
      <c r="E2465" s="4">
        <v>0</v>
      </c>
      <c r="F2465" s="4">
        <v>0</v>
      </c>
      <c r="H2465" s="3">
        <f t="shared" si="37"/>
        <v>0</v>
      </c>
    </row>
    <row r="2466" spans="1:8">
      <c r="A2466" t="s">
        <v>1815</v>
      </c>
      <c r="B2466" t="s">
        <v>1816</v>
      </c>
      <c r="C2466" t="s">
        <v>635</v>
      </c>
      <c r="D2466" s="4">
        <v>0</v>
      </c>
      <c r="E2466" s="4">
        <v>0</v>
      </c>
      <c r="F2466" s="4">
        <v>0</v>
      </c>
      <c r="H2466" s="3">
        <f t="shared" si="37"/>
        <v>0</v>
      </c>
    </row>
    <row r="2467" spans="1:8">
      <c r="A2467" t="s">
        <v>1825</v>
      </c>
      <c r="B2467" t="s">
        <v>1826</v>
      </c>
      <c r="C2467" t="s">
        <v>466</v>
      </c>
      <c r="D2467" s="4">
        <v>0</v>
      </c>
      <c r="E2467" s="4">
        <v>0</v>
      </c>
      <c r="F2467" s="4">
        <v>0</v>
      </c>
      <c r="H2467" s="3">
        <f t="shared" si="37"/>
        <v>0</v>
      </c>
    </row>
    <row r="2468" spans="1:8">
      <c r="A2468" t="s">
        <v>1880</v>
      </c>
      <c r="B2468" t="s">
        <v>1881</v>
      </c>
      <c r="C2468" t="s">
        <v>635</v>
      </c>
      <c r="D2468" s="4">
        <v>0</v>
      </c>
      <c r="E2468" s="4">
        <v>0</v>
      </c>
      <c r="F2468" s="4">
        <v>0</v>
      </c>
      <c r="H2468" s="3">
        <f t="shared" si="37"/>
        <v>0</v>
      </c>
    </row>
    <row r="2469" spans="1:8">
      <c r="A2469" t="s">
        <v>1921</v>
      </c>
      <c r="B2469" t="s">
        <v>1922</v>
      </c>
      <c r="C2469" t="s">
        <v>466</v>
      </c>
      <c r="D2469" s="4">
        <v>0</v>
      </c>
      <c r="E2469" s="4">
        <v>0</v>
      </c>
      <c r="F2469" s="4">
        <v>0</v>
      </c>
      <c r="H2469" s="3">
        <f t="shared" si="37"/>
        <v>0</v>
      </c>
    </row>
    <row r="2470" spans="1:8">
      <c r="A2470" t="s">
        <v>1926</v>
      </c>
      <c r="B2470" t="s">
        <v>1927</v>
      </c>
      <c r="C2470" t="s">
        <v>466</v>
      </c>
      <c r="D2470" s="4">
        <v>0</v>
      </c>
      <c r="E2470" s="4">
        <v>0</v>
      </c>
      <c r="F2470" s="4">
        <v>0</v>
      </c>
      <c r="H2470" s="3">
        <f t="shared" si="37"/>
        <v>0</v>
      </c>
    </row>
    <row r="2471" spans="1:8">
      <c r="A2471" t="s">
        <v>2100</v>
      </c>
      <c r="B2471" t="s">
        <v>2101</v>
      </c>
      <c r="C2471" t="s">
        <v>635</v>
      </c>
      <c r="D2471" s="4">
        <v>0</v>
      </c>
      <c r="E2471" s="4">
        <v>0</v>
      </c>
      <c r="F2471" s="4">
        <v>0</v>
      </c>
      <c r="H2471" s="3">
        <f t="shared" si="37"/>
        <v>0</v>
      </c>
    </row>
    <row r="2472" spans="1:8">
      <c r="A2472" t="s">
        <v>2103</v>
      </c>
      <c r="B2472" t="s">
        <v>2104</v>
      </c>
      <c r="C2472" t="s">
        <v>635</v>
      </c>
      <c r="D2472" s="4">
        <v>0</v>
      </c>
      <c r="E2472" s="4">
        <v>0</v>
      </c>
      <c r="F2472" s="4">
        <v>0</v>
      </c>
      <c r="H2472" s="3">
        <f t="shared" si="37"/>
        <v>0</v>
      </c>
    </row>
    <row r="2473" spans="1:8">
      <c r="A2473" t="s">
        <v>2133</v>
      </c>
      <c r="B2473" t="s">
        <v>2134</v>
      </c>
      <c r="C2473" t="s">
        <v>635</v>
      </c>
      <c r="D2473" s="4">
        <v>0</v>
      </c>
      <c r="E2473" s="4">
        <v>0</v>
      </c>
      <c r="F2473" s="4">
        <v>0</v>
      </c>
      <c r="H2473" s="3">
        <f t="shared" si="37"/>
        <v>0</v>
      </c>
    </row>
    <row r="2474" spans="1:8">
      <c r="A2474" t="s">
        <v>2209</v>
      </c>
      <c r="B2474" t="s">
        <v>2210</v>
      </c>
      <c r="C2474" t="s">
        <v>466</v>
      </c>
      <c r="D2474" s="4">
        <v>0</v>
      </c>
      <c r="E2474" s="4"/>
      <c r="F2474" s="4">
        <v>0</v>
      </c>
      <c r="H2474" s="3">
        <f t="shared" si="37"/>
        <v>0</v>
      </c>
    </row>
    <row r="2475" spans="1:8">
      <c r="B2475" t="s">
        <v>3062</v>
      </c>
      <c r="C2475" t="s">
        <v>466</v>
      </c>
      <c r="D2475" s="4"/>
      <c r="E2475" s="4">
        <v>0</v>
      </c>
      <c r="F2475" s="4">
        <v>0</v>
      </c>
      <c r="H2475" s="3">
        <f t="shared" si="37"/>
        <v>0</v>
      </c>
    </row>
    <row r="2476" spans="1:8">
      <c r="A2476" t="s">
        <v>2235</v>
      </c>
      <c r="B2476" t="s">
        <v>2236</v>
      </c>
      <c r="C2476" t="s">
        <v>466</v>
      </c>
      <c r="D2476" s="4">
        <v>0</v>
      </c>
      <c r="E2476" s="4">
        <v>0</v>
      </c>
      <c r="F2476" s="4">
        <v>0</v>
      </c>
      <c r="H2476" s="3">
        <f t="shared" si="37"/>
        <v>0</v>
      </c>
    </row>
    <row r="2477" spans="1:8">
      <c r="A2477" t="s">
        <v>2244</v>
      </c>
      <c r="B2477" t="s">
        <v>2245</v>
      </c>
      <c r="C2477" t="s">
        <v>466</v>
      </c>
      <c r="D2477" s="4">
        <v>0</v>
      </c>
      <c r="E2477" s="4"/>
      <c r="F2477" s="4">
        <v>0</v>
      </c>
      <c r="H2477" s="3">
        <f t="shared" si="37"/>
        <v>0</v>
      </c>
    </row>
    <row r="2478" spans="1:8">
      <c r="B2478" t="s">
        <v>3063</v>
      </c>
      <c r="C2478" t="s">
        <v>466</v>
      </c>
      <c r="D2478" s="4"/>
      <c r="E2478" s="4">
        <v>0</v>
      </c>
      <c r="F2478" s="4">
        <v>0</v>
      </c>
      <c r="H2478" s="3">
        <f t="shared" si="37"/>
        <v>0</v>
      </c>
    </row>
    <row r="2479" spans="1:8">
      <c r="A2479" t="s">
        <v>2248</v>
      </c>
      <c r="B2479" t="s">
        <v>2249</v>
      </c>
      <c r="C2479" t="s">
        <v>466</v>
      </c>
      <c r="D2479" s="4">
        <v>0</v>
      </c>
      <c r="E2479" s="4">
        <v>0</v>
      </c>
      <c r="F2479" s="4">
        <v>0</v>
      </c>
      <c r="H2479" s="3">
        <f t="shared" si="37"/>
        <v>0</v>
      </c>
    </row>
    <row r="2480" spans="1:8">
      <c r="A2480" t="s">
        <v>2252</v>
      </c>
      <c r="B2480" t="s">
        <v>2253</v>
      </c>
      <c r="C2480" t="s">
        <v>466</v>
      </c>
      <c r="D2480" s="4">
        <v>0</v>
      </c>
      <c r="E2480" s="4">
        <v>0</v>
      </c>
      <c r="F2480" s="4">
        <v>0</v>
      </c>
      <c r="H2480" s="3">
        <f t="shared" si="37"/>
        <v>0</v>
      </c>
    </row>
    <row r="2481" spans="1:8">
      <c r="A2481" t="s">
        <v>2256</v>
      </c>
      <c r="B2481" t="s">
        <v>2257</v>
      </c>
      <c r="C2481" t="s">
        <v>466</v>
      </c>
      <c r="D2481" s="4">
        <v>0</v>
      </c>
      <c r="E2481" s="4">
        <v>0</v>
      </c>
      <c r="F2481" s="4">
        <v>0</v>
      </c>
      <c r="H2481" s="3">
        <f t="shared" si="37"/>
        <v>0</v>
      </c>
    </row>
    <row r="2482" spans="1:8">
      <c r="A2482" t="s">
        <v>2261</v>
      </c>
      <c r="B2482" t="s">
        <v>2262</v>
      </c>
      <c r="C2482" t="s">
        <v>466</v>
      </c>
      <c r="D2482" s="4">
        <v>0</v>
      </c>
      <c r="E2482" s="4">
        <v>0</v>
      </c>
      <c r="F2482" s="4">
        <v>0</v>
      </c>
      <c r="H2482" s="3">
        <f t="shared" si="37"/>
        <v>0</v>
      </c>
    </row>
    <row r="2483" spans="1:8">
      <c r="A2483" t="s">
        <v>2282</v>
      </c>
      <c r="B2483" t="s">
        <v>2283</v>
      </c>
      <c r="C2483" t="s">
        <v>466</v>
      </c>
      <c r="D2483" s="4">
        <v>0</v>
      </c>
      <c r="E2483" s="4">
        <v>0</v>
      </c>
      <c r="F2483" s="4">
        <v>0</v>
      </c>
      <c r="H2483" s="3">
        <f t="shared" si="37"/>
        <v>0</v>
      </c>
    </row>
    <row r="2484" spans="1:8">
      <c r="A2484" t="s">
        <v>2362</v>
      </c>
      <c r="B2484" t="s">
        <v>2363</v>
      </c>
      <c r="C2484" t="s">
        <v>466</v>
      </c>
      <c r="D2484" s="4">
        <v>0</v>
      </c>
      <c r="E2484" s="4">
        <v>0</v>
      </c>
      <c r="F2484" s="4">
        <v>0</v>
      </c>
      <c r="H2484" s="3">
        <f t="shared" si="37"/>
        <v>0</v>
      </c>
    </row>
    <row r="2485" spans="1:8">
      <c r="A2485" t="s">
        <v>2411</v>
      </c>
      <c r="B2485" t="s">
        <v>2412</v>
      </c>
      <c r="C2485" t="s">
        <v>635</v>
      </c>
      <c r="D2485" s="4">
        <v>0</v>
      </c>
      <c r="E2485" s="4">
        <v>0</v>
      </c>
      <c r="F2485" s="4">
        <v>0</v>
      </c>
      <c r="H2485" s="3">
        <f t="shared" si="37"/>
        <v>0</v>
      </c>
    </row>
    <row r="2486" spans="1:8">
      <c r="A2486" t="s">
        <v>2418</v>
      </c>
      <c r="B2486" t="s">
        <v>2419</v>
      </c>
      <c r="C2486" t="s">
        <v>466</v>
      </c>
      <c r="D2486" s="4">
        <v>0</v>
      </c>
      <c r="E2486" s="4">
        <v>0</v>
      </c>
      <c r="F2486" s="4">
        <v>0</v>
      </c>
      <c r="H2486" s="3">
        <f t="shared" si="37"/>
        <v>0</v>
      </c>
    </row>
    <row r="2487" spans="1:8">
      <c r="A2487" t="s">
        <v>2425</v>
      </c>
      <c r="B2487" t="s">
        <v>2426</v>
      </c>
      <c r="C2487" t="s">
        <v>466</v>
      </c>
      <c r="D2487" s="4">
        <v>0</v>
      </c>
      <c r="E2487" s="4">
        <v>0</v>
      </c>
      <c r="F2487" s="4">
        <v>0</v>
      </c>
      <c r="H2487" s="3">
        <f t="shared" ref="H2487:H2550" si="38">+D2487-E2487</f>
        <v>0</v>
      </c>
    </row>
    <row r="2488" spans="1:8">
      <c r="A2488" t="s">
        <v>2504</v>
      </c>
      <c r="B2488" t="s">
        <v>2505</v>
      </c>
      <c r="C2488" t="s">
        <v>466</v>
      </c>
      <c r="D2488" s="4">
        <v>0</v>
      </c>
      <c r="E2488" s="4">
        <v>0</v>
      </c>
      <c r="F2488" s="4">
        <v>0</v>
      </c>
      <c r="H2488" s="3">
        <f t="shared" si="38"/>
        <v>0</v>
      </c>
    </row>
    <row r="2489" spans="1:8">
      <c r="A2489" t="s">
        <v>2524</v>
      </c>
      <c r="B2489" t="s">
        <v>2525</v>
      </c>
      <c r="C2489" t="s">
        <v>635</v>
      </c>
      <c r="D2489" s="4">
        <v>0</v>
      </c>
      <c r="E2489" s="4">
        <v>0</v>
      </c>
      <c r="F2489" s="4">
        <v>0</v>
      </c>
      <c r="H2489" s="3">
        <f t="shared" si="38"/>
        <v>0</v>
      </c>
    </row>
    <row r="2490" spans="1:8">
      <c r="A2490" t="s">
        <v>2656</v>
      </c>
      <c r="B2490" t="s">
        <v>2657</v>
      </c>
      <c r="C2490" t="s">
        <v>466</v>
      </c>
      <c r="D2490" s="4">
        <v>0</v>
      </c>
      <c r="E2490" s="4">
        <v>0</v>
      </c>
      <c r="F2490" s="4">
        <v>0</v>
      </c>
      <c r="H2490" s="3">
        <f t="shared" si="38"/>
        <v>0</v>
      </c>
    </row>
    <row r="2491" spans="1:8">
      <c r="A2491" t="s">
        <v>2726</v>
      </c>
      <c r="B2491" t="s">
        <v>2727</v>
      </c>
      <c r="C2491" t="s">
        <v>635</v>
      </c>
      <c r="D2491" s="4">
        <v>0</v>
      </c>
      <c r="E2491" s="4">
        <v>0</v>
      </c>
      <c r="F2491" s="4">
        <v>0</v>
      </c>
      <c r="H2491" s="3">
        <f t="shared" si="38"/>
        <v>0</v>
      </c>
    </row>
    <row r="2492" spans="1:8">
      <c r="A2492" t="s">
        <v>2755</v>
      </c>
      <c r="B2492" t="s">
        <v>2756</v>
      </c>
      <c r="C2492" t="s">
        <v>466</v>
      </c>
      <c r="D2492" s="4">
        <v>0</v>
      </c>
      <c r="E2492" s="4">
        <v>0</v>
      </c>
      <c r="F2492" s="4">
        <v>0</v>
      </c>
      <c r="H2492" s="3">
        <f t="shared" si="38"/>
        <v>0</v>
      </c>
    </row>
    <row r="2493" spans="1:8">
      <c r="A2493" t="s">
        <v>2760</v>
      </c>
      <c r="B2493" t="s">
        <v>2761</v>
      </c>
      <c r="C2493" t="s">
        <v>466</v>
      </c>
      <c r="D2493" s="4">
        <v>0</v>
      </c>
      <c r="E2493" s="4">
        <v>0</v>
      </c>
      <c r="F2493" s="4">
        <v>0</v>
      </c>
      <c r="H2493" s="3">
        <f t="shared" si="38"/>
        <v>0</v>
      </c>
    </row>
    <row r="2494" spans="1:8">
      <c r="A2494" t="s">
        <v>2769</v>
      </c>
      <c r="B2494" t="s">
        <v>2770</v>
      </c>
      <c r="C2494" t="s">
        <v>466</v>
      </c>
      <c r="D2494" s="4">
        <v>0</v>
      </c>
      <c r="E2494" s="4">
        <v>0</v>
      </c>
      <c r="F2494" s="4">
        <v>0</v>
      </c>
      <c r="H2494" s="3">
        <f t="shared" si="38"/>
        <v>0</v>
      </c>
    </row>
    <row r="2495" spans="1:8">
      <c r="A2495" t="s">
        <v>2785</v>
      </c>
      <c r="B2495" t="s">
        <v>2786</v>
      </c>
      <c r="C2495" t="s">
        <v>466</v>
      </c>
      <c r="D2495" s="4">
        <v>0</v>
      </c>
      <c r="E2495" s="4">
        <v>0</v>
      </c>
      <c r="F2495" s="4">
        <v>0</v>
      </c>
      <c r="H2495" s="3">
        <f t="shared" si="38"/>
        <v>0</v>
      </c>
    </row>
    <row r="2496" spans="1:8">
      <c r="A2496" t="s">
        <v>2810</v>
      </c>
      <c r="B2496" t="s">
        <v>2811</v>
      </c>
      <c r="C2496" t="s">
        <v>635</v>
      </c>
      <c r="D2496" s="4">
        <v>0</v>
      </c>
      <c r="E2496" s="4">
        <v>0</v>
      </c>
      <c r="F2496" s="4">
        <v>0</v>
      </c>
      <c r="H2496" s="3">
        <f t="shared" si="38"/>
        <v>0</v>
      </c>
    </row>
    <row r="2497" spans="1:8">
      <c r="A2497" t="s">
        <v>2845</v>
      </c>
      <c r="B2497" t="s">
        <v>2846</v>
      </c>
      <c r="C2497" t="s">
        <v>635</v>
      </c>
      <c r="D2497" s="4">
        <v>0</v>
      </c>
      <c r="E2497" s="4">
        <v>0</v>
      </c>
      <c r="F2497" s="4">
        <v>0</v>
      </c>
      <c r="H2497" s="3">
        <f t="shared" si="38"/>
        <v>0</v>
      </c>
    </row>
    <row r="2498" spans="1:8">
      <c r="A2498" t="s">
        <v>2853</v>
      </c>
      <c r="B2498" t="s">
        <v>2854</v>
      </c>
      <c r="C2498" t="s">
        <v>635</v>
      </c>
      <c r="D2498" s="4">
        <v>0</v>
      </c>
      <c r="E2498" s="4">
        <v>0</v>
      </c>
      <c r="F2498" s="4">
        <v>0</v>
      </c>
      <c r="H2498" s="3">
        <f t="shared" si="38"/>
        <v>0</v>
      </c>
    </row>
    <row r="2499" spans="1:8">
      <c r="A2499" t="s">
        <v>2872</v>
      </c>
      <c r="B2499" t="s">
        <v>2873</v>
      </c>
      <c r="C2499" t="s">
        <v>635</v>
      </c>
      <c r="D2499" s="4">
        <v>0</v>
      </c>
      <c r="E2499" s="4">
        <v>0</v>
      </c>
      <c r="F2499" s="4">
        <v>0</v>
      </c>
      <c r="H2499" s="3">
        <f t="shared" si="38"/>
        <v>0</v>
      </c>
    </row>
    <row r="2500" spans="1:8">
      <c r="A2500" t="s">
        <v>2896</v>
      </c>
      <c r="B2500" t="s">
        <v>2897</v>
      </c>
      <c r="C2500" t="s">
        <v>466</v>
      </c>
      <c r="D2500" s="4">
        <v>0</v>
      </c>
      <c r="E2500" s="4">
        <v>0</v>
      </c>
      <c r="F2500" s="4">
        <v>0</v>
      </c>
      <c r="H2500" s="3">
        <f t="shared" si="38"/>
        <v>0</v>
      </c>
    </row>
    <row r="2501" spans="1:8">
      <c r="A2501" t="s">
        <v>2928</v>
      </c>
      <c r="B2501" t="s">
        <v>2929</v>
      </c>
      <c r="C2501" t="s">
        <v>466</v>
      </c>
      <c r="D2501" s="4">
        <v>0</v>
      </c>
      <c r="E2501" s="4">
        <v>0</v>
      </c>
      <c r="F2501" s="4">
        <v>0</v>
      </c>
      <c r="H2501" s="3">
        <f t="shared" si="38"/>
        <v>0</v>
      </c>
    </row>
    <row r="2502" spans="1:8">
      <c r="A2502" t="s">
        <v>2938</v>
      </c>
      <c r="B2502" t="s">
        <v>2939</v>
      </c>
      <c r="C2502" t="s">
        <v>466</v>
      </c>
      <c r="D2502" s="4">
        <v>0</v>
      </c>
      <c r="E2502" s="4">
        <v>0</v>
      </c>
      <c r="F2502" s="4">
        <v>0</v>
      </c>
      <c r="H2502" s="3">
        <f t="shared" si="38"/>
        <v>0</v>
      </c>
    </row>
    <row r="2503" spans="1:8">
      <c r="A2503" t="s">
        <v>2943</v>
      </c>
      <c r="B2503" t="s">
        <v>2944</v>
      </c>
      <c r="C2503" t="s">
        <v>635</v>
      </c>
      <c r="D2503" s="4">
        <v>0</v>
      </c>
      <c r="E2503" s="4">
        <v>0</v>
      </c>
      <c r="F2503" s="4">
        <v>0</v>
      </c>
      <c r="H2503" s="3">
        <f t="shared" si="38"/>
        <v>0</v>
      </c>
    </row>
    <row r="2504" spans="1:8">
      <c r="A2504" t="s">
        <v>1443</v>
      </c>
      <c r="B2504" t="s">
        <v>1444</v>
      </c>
      <c r="C2504" t="s">
        <v>635</v>
      </c>
      <c r="D2504" s="4">
        <v>0</v>
      </c>
      <c r="E2504" s="4">
        <v>0</v>
      </c>
      <c r="F2504" s="4">
        <v>0</v>
      </c>
      <c r="H2504" s="3">
        <f t="shared" si="38"/>
        <v>0</v>
      </c>
    </row>
    <row r="2505" spans="1:8">
      <c r="A2505" t="s">
        <v>1469</v>
      </c>
      <c r="B2505" t="s">
        <v>1470</v>
      </c>
      <c r="C2505" t="s">
        <v>635</v>
      </c>
      <c r="D2505" s="4">
        <v>0</v>
      </c>
      <c r="E2505" s="4">
        <v>0</v>
      </c>
      <c r="F2505" s="4">
        <v>0</v>
      </c>
      <c r="H2505" s="3">
        <f t="shared" si="38"/>
        <v>0</v>
      </c>
    </row>
    <row r="2506" spans="1:8">
      <c r="A2506" t="s">
        <v>1480</v>
      </c>
      <c r="B2506" t="s">
        <v>1481</v>
      </c>
      <c r="C2506" t="s">
        <v>635</v>
      </c>
      <c r="D2506" s="4">
        <v>0</v>
      </c>
      <c r="E2506" s="4">
        <v>0</v>
      </c>
      <c r="F2506" s="4">
        <v>0</v>
      </c>
      <c r="H2506" s="3">
        <f t="shared" si="38"/>
        <v>0</v>
      </c>
    </row>
    <row r="2507" spans="1:8">
      <c r="A2507" t="s">
        <v>1573</v>
      </c>
      <c r="B2507" t="s">
        <v>1574</v>
      </c>
      <c r="C2507" t="s">
        <v>635</v>
      </c>
      <c r="D2507" s="4">
        <v>0</v>
      </c>
      <c r="E2507" s="4">
        <v>0</v>
      </c>
      <c r="F2507" s="4">
        <v>0</v>
      </c>
      <c r="H2507" s="3">
        <f t="shared" si="38"/>
        <v>0</v>
      </c>
    </row>
    <row r="2508" spans="1:8">
      <c r="A2508" t="s">
        <v>1576</v>
      </c>
      <c r="B2508" t="s">
        <v>1577</v>
      </c>
      <c r="C2508" t="s">
        <v>635</v>
      </c>
      <c r="D2508" s="4">
        <v>0</v>
      </c>
      <c r="E2508" s="4">
        <v>0</v>
      </c>
      <c r="F2508" s="4">
        <v>0</v>
      </c>
      <c r="H2508" s="3">
        <f t="shared" si="38"/>
        <v>0</v>
      </c>
    </row>
    <row r="2509" spans="1:8">
      <c r="A2509" t="s">
        <v>1626</v>
      </c>
      <c r="B2509" t="s">
        <v>1627</v>
      </c>
      <c r="C2509" t="s">
        <v>635</v>
      </c>
      <c r="D2509" s="4">
        <v>0</v>
      </c>
      <c r="E2509" s="4">
        <v>0</v>
      </c>
      <c r="F2509" s="4">
        <v>0</v>
      </c>
      <c r="H2509" s="3">
        <f t="shared" si="38"/>
        <v>0</v>
      </c>
    </row>
    <row r="2510" spans="1:8">
      <c r="A2510" t="s">
        <v>1695</v>
      </c>
      <c r="B2510" t="s">
        <v>1696</v>
      </c>
      <c r="C2510" t="s">
        <v>635</v>
      </c>
      <c r="D2510" s="4">
        <v>0</v>
      </c>
      <c r="E2510" s="4">
        <v>0</v>
      </c>
      <c r="F2510" s="4">
        <v>0</v>
      </c>
      <c r="H2510" s="3">
        <f t="shared" si="38"/>
        <v>0</v>
      </c>
    </row>
    <row r="2511" spans="1:8">
      <c r="A2511" t="s">
        <v>1707</v>
      </c>
      <c r="B2511" t="s">
        <v>1708</v>
      </c>
      <c r="C2511" t="s">
        <v>635</v>
      </c>
      <c r="D2511" s="4">
        <v>0</v>
      </c>
      <c r="E2511" s="4">
        <v>0</v>
      </c>
      <c r="F2511" s="4">
        <v>0</v>
      </c>
      <c r="H2511" s="3">
        <f t="shared" si="38"/>
        <v>0</v>
      </c>
    </row>
    <row r="2512" spans="1:8">
      <c r="A2512" t="s">
        <v>1710</v>
      </c>
      <c r="B2512" t="s">
        <v>1711</v>
      </c>
      <c r="C2512" t="s">
        <v>635</v>
      </c>
      <c r="D2512" s="4">
        <v>0</v>
      </c>
      <c r="E2512" s="4">
        <v>0</v>
      </c>
      <c r="F2512" s="4">
        <v>0</v>
      </c>
      <c r="H2512" s="3">
        <f t="shared" si="38"/>
        <v>0</v>
      </c>
    </row>
    <row r="2513" spans="1:8">
      <c r="A2513" t="s">
        <v>1735</v>
      </c>
      <c r="B2513" t="s">
        <v>1736</v>
      </c>
      <c r="C2513" t="s">
        <v>635</v>
      </c>
      <c r="D2513" s="4">
        <v>0</v>
      </c>
      <c r="E2513" s="4"/>
      <c r="F2513" s="4">
        <v>0</v>
      </c>
      <c r="H2513" s="3">
        <f t="shared" si="38"/>
        <v>0</v>
      </c>
    </row>
    <row r="2514" spans="1:8">
      <c r="B2514" t="s">
        <v>3048</v>
      </c>
      <c r="C2514" t="s">
        <v>635</v>
      </c>
      <c r="D2514" s="4"/>
      <c r="E2514" s="4">
        <v>0</v>
      </c>
      <c r="F2514" s="4">
        <v>0</v>
      </c>
      <c r="H2514" s="3">
        <f t="shared" si="38"/>
        <v>0</v>
      </c>
    </row>
    <row r="2515" spans="1:8">
      <c r="A2515" t="s">
        <v>1739</v>
      </c>
      <c r="B2515" t="s">
        <v>1740</v>
      </c>
      <c r="C2515" t="s">
        <v>635</v>
      </c>
      <c r="D2515" s="4">
        <v>0</v>
      </c>
      <c r="E2515" s="4">
        <v>0</v>
      </c>
      <c r="F2515" s="4">
        <v>0</v>
      </c>
      <c r="H2515" s="3">
        <f t="shared" si="38"/>
        <v>0</v>
      </c>
    </row>
    <row r="2516" spans="1:8">
      <c r="A2516" t="s">
        <v>1754</v>
      </c>
      <c r="B2516" t="s">
        <v>1755</v>
      </c>
      <c r="C2516" t="s">
        <v>635</v>
      </c>
      <c r="D2516" s="4">
        <v>0</v>
      </c>
      <c r="E2516" s="4">
        <v>0</v>
      </c>
      <c r="F2516" s="4">
        <v>0</v>
      </c>
      <c r="H2516" s="3">
        <f t="shared" si="38"/>
        <v>0</v>
      </c>
    </row>
    <row r="2517" spans="1:8">
      <c r="A2517" t="s">
        <v>1799</v>
      </c>
      <c r="B2517" t="s">
        <v>1800</v>
      </c>
      <c r="C2517" t="s">
        <v>635</v>
      </c>
      <c r="D2517" s="4">
        <v>0</v>
      </c>
      <c r="E2517" s="4">
        <v>0</v>
      </c>
      <c r="F2517" s="4">
        <v>0</v>
      </c>
      <c r="H2517" s="3">
        <f t="shared" si="38"/>
        <v>0</v>
      </c>
    </row>
    <row r="2518" spans="1:8">
      <c r="A2518" t="s">
        <v>1807</v>
      </c>
      <c r="B2518" t="s">
        <v>1808</v>
      </c>
      <c r="C2518" t="s">
        <v>635</v>
      </c>
      <c r="D2518" s="4">
        <v>0</v>
      </c>
      <c r="E2518" s="4">
        <v>0</v>
      </c>
      <c r="F2518" s="4">
        <v>0</v>
      </c>
      <c r="H2518" s="3">
        <f t="shared" si="38"/>
        <v>0</v>
      </c>
    </row>
    <row r="2519" spans="1:8">
      <c r="A2519" t="s">
        <v>1828</v>
      </c>
      <c r="B2519" t="s">
        <v>1829</v>
      </c>
      <c r="C2519" t="s">
        <v>466</v>
      </c>
      <c r="D2519" s="4">
        <v>0</v>
      </c>
      <c r="E2519" s="4">
        <v>0</v>
      </c>
      <c r="F2519" s="4">
        <v>0</v>
      </c>
      <c r="H2519" s="3">
        <f t="shared" si="38"/>
        <v>0</v>
      </c>
    </row>
    <row r="2520" spans="1:8">
      <c r="A2520" t="s">
        <v>1835</v>
      </c>
      <c r="B2520" t="s">
        <v>1836</v>
      </c>
      <c r="C2520" t="s">
        <v>635</v>
      </c>
      <c r="D2520" s="4">
        <v>0</v>
      </c>
      <c r="E2520" s="4">
        <v>0</v>
      </c>
      <c r="F2520" s="4">
        <v>0</v>
      </c>
      <c r="H2520" s="3">
        <f t="shared" si="38"/>
        <v>0</v>
      </c>
    </row>
    <row r="2521" spans="1:8">
      <c r="A2521" t="s">
        <v>1838</v>
      </c>
      <c r="B2521" t="s">
        <v>1839</v>
      </c>
      <c r="C2521" t="s">
        <v>635</v>
      </c>
      <c r="D2521" s="4">
        <v>0</v>
      </c>
      <c r="E2521" s="4">
        <v>0</v>
      </c>
      <c r="F2521" s="4">
        <v>0</v>
      </c>
      <c r="H2521" s="3">
        <f t="shared" si="38"/>
        <v>0</v>
      </c>
    </row>
    <row r="2522" spans="1:8">
      <c r="A2522" t="s">
        <v>1894</v>
      </c>
      <c r="B2522" t="s">
        <v>1895</v>
      </c>
      <c r="C2522" t="s">
        <v>635</v>
      </c>
      <c r="D2522" s="4">
        <v>0</v>
      </c>
      <c r="E2522" s="4">
        <v>0</v>
      </c>
      <c r="F2522" s="4">
        <v>0</v>
      </c>
      <c r="H2522" s="3">
        <f t="shared" si="38"/>
        <v>0</v>
      </c>
    </row>
    <row r="2523" spans="1:8">
      <c r="A2523" t="s">
        <v>1917</v>
      </c>
      <c r="B2523" t="s">
        <v>1918</v>
      </c>
      <c r="C2523" t="s">
        <v>466</v>
      </c>
      <c r="D2523" s="4">
        <v>0</v>
      </c>
      <c r="E2523" s="4">
        <v>0</v>
      </c>
      <c r="F2523" s="4">
        <v>0</v>
      </c>
      <c r="H2523" s="3">
        <f t="shared" si="38"/>
        <v>0</v>
      </c>
    </row>
    <row r="2524" spans="1:8">
      <c r="A2524" t="s">
        <v>1944</v>
      </c>
      <c r="B2524" t="s">
        <v>1945</v>
      </c>
      <c r="C2524" t="s">
        <v>466</v>
      </c>
      <c r="D2524" s="4">
        <v>0</v>
      </c>
      <c r="E2524" s="4">
        <v>0</v>
      </c>
      <c r="F2524" s="4">
        <v>0</v>
      </c>
      <c r="H2524" s="3">
        <f t="shared" si="38"/>
        <v>0</v>
      </c>
    </row>
    <row r="2525" spans="1:8">
      <c r="A2525" t="s">
        <v>1950</v>
      </c>
      <c r="B2525" t="s">
        <v>1951</v>
      </c>
      <c r="C2525" t="s">
        <v>635</v>
      </c>
      <c r="D2525" s="4">
        <v>0</v>
      </c>
      <c r="E2525" s="4">
        <v>0</v>
      </c>
      <c r="F2525" s="4">
        <v>0</v>
      </c>
      <c r="H2525" s="3">
        <f t="shared" si="38"/>
        <v>0</v>
      </c>
    </row>
    <row r="2526" spans="1:8">
      <c r="A2526" t="s">
        <v>1982</v>
      </c>
      <c r="B2526" t="s">
        <v>1983</v>
      </c>
      <c r="C2526" t="s">
        <v>635</v>
      </c>
      <c r="D2526" s="4">
        <v>0</v>
      </c>
      <c r="E2526" s="4">
        <v>0</v>
      </c>
      <c r="F2526" s="4">
        <v>0</v>
      </c>
      <c r="H2526" s="3">
        <f t="shared" si="38"/>
        <v>0</v>
      </c>
    </row>
    <row r="2527" spans="1:8">
      <c r="A2527" t="s">
        <v>1989</v>
      </c>
      <c r="B2527" t="s">
        <v>1990</v>
      </c>
      <c r="C2527" t="s">
        <v>635</v>
      </c>
      <c r="D2527" s="4">
        <v>0</v>
      </c>
      <c r="E2527" s="4">
        <v>0</v>
      </c>
      <c r="F2527" s="4">
        <v>0</v>
      </c>
      <c r="H2527" s="3">
        <f t="shared" si="38"/>
        <v>0</v>
      </c>
    </row>
    <row r="2528" spans="1:8">
      <c r="A2528" t="s">
        <v>1992</v>
      </c>
      <c r="B2528" t="s">
        <v>1993</v>
      </c>
      <c r="C2528" t="s">
        <v>635</v>
      </c>
      <c r="D2528" s="4">
        <v>0</v>
      </c>
      <c r="E2528" s="4">
        <v>0</v>
      </c>
      <c r="F2528" s="4">
        <v>0</v>
      </c>
      <c r="H2528" s="3">
        <f t="shared" si="38"/>
        <v>0</v>
      </c>
    </row>
    <row r="2529" spans="1:8">
      <c r="A2529" t="s">
        <v>1997</v>
      </c>
      <c r="B2529" t="s">
        <v>1998</v>
      </c>
      <c r="C2529" t="s">
        <v>635</v>
      </c>
      <c r="D2529" s="4">
        <v>0</v>
      </c>
      <c r="E2529" s="4">
        <v>0</v>
      </c>
      <c r="F2529" s="4">
        <v>0</v>
      </c>
      <c r="H2529" s="3">
        <f t="shared" si="38"/>
        <v>0</v>
      </c>
    </row>
    <row r="2530" spans="1:8">
      <c r="A2530" t="s">
        <v>2032</v>
      </c>
      <c r="B2530" t="s">
        <v>2033</v>
      </c>
      <c r="C2530" t="s">
        <v>635</v>
      </c>
      <c r="D2530" s="4">
        <v>0</v>
      </c>
      <c r="E2530" s="4">
        <v>0</v>
      </c>
      <c r="F2530" s="4">
        <v>0</v>
      </c>
      <c r="H2530" s="3">
        <f t="shared" si="38"/>
        <v>0</v>
      </c>
    </row>
    <row r="2531" spans="1:8">
      <c r="A2531" t="s">
        <v>2038</v>
      </c>
      <c r="B2531" t="s">
        <v>2039</v>
      </c>
      <c r="C2531" t="s">
        <v>635</v>
      </c>
      <c r="D2531" s="4">
        <v>0</v>
      </c>
      <c r="E2531" s="4">
        <v>0</v>
      </c>
      <c r="F2531" s="4">
        <v>0</v>
      </c>
      <c r="H2531" s="3">
        <f t="shared" si="38"/>
        <v>0</v>
      </c>
    </row>
    <row r="2532" spans="1:8">
      <c r="A2532" t="s">
        <v>2059</v>
      </c>
      <c r="B2532" t="s">
        <v>2060</v>
      </c>
      <c r="C2532" t="s">
        <v>466</v>
      </c>
      <c r="D2532" s="4">
        <v>0</v>
      </c>
      <c r="E2532" s="4"/>
      <c r="F2532" s="4">
        <v>0</v>
      </c>
      <c r="H2532" s="3">
        <f t="shared" si="38"/>
        <v>0</v>
      </c>
    </row>
    <row r="2533" spans="1:8">
      <c r="B2533" t="s">
        <v>3056</v>
      </c>
      <c r="C2533" t="s">
        <v>466</v>
      </c>
      <c r="D2533" s="4"/>
      <c r="E2533" s="4">
        <v>0</v>
      </c>
      <c r="F2533" s="4">
        <v>0</v>
      </c>
      <c r="H2533" s="3">
        <f t="shared" si="38"/>
        <v>0</v>
      </c>
    </row>
    <row r="2534" spans="1:8">
      <c r="A2534" t="s">
        <v>2078</v>
      </c>
      <c r="B2534" t="s">
        <v>2079</v>
      </c>
      <c r="C2534" t="s">
        <v>635</v>
      </c>
      <c r="D2534" s="4">
        <v>0</v>
      </c>
      <c r="E2534" s="4">
        <v>0</v>
      </c>
      <c r="F2534" s="4">
        <v>0</v>
      </c>
      <c r="H2534" s="3">
        <f t="shared" si="38"/>
        <v>0</v>
      </c>
    </row>
    <row r="2535" spans="1:8">
      <c r="A2535" t="s">
        <v>2088</v>
      </c>
      <c r="B2535" t="s">
        <v>2089</v>
      </c>
      <c r="C2535" t="s">
        <v>635</v>
      </c>
      <c r="D2535" s="4">
        <v>0</v>
      </c>
      <c r="E2535" s="4">
        <v>0</v>
      </c>
      <c r="F2535" s="4">
        <v>0</v>
      </c>
      <c r="H2535" s="3">
        <f t="shared" si="38"/>
        <v>0</v>
      </c>
    </row>
    <row r="2536" spans="1:8">
      <c r="A2536" t="s">
        <v>2119</v>
      </c>
      <c r="B2536" t="s">
        <v>2120</v>
      </c>
      <c r="C2536" t="s">
        <v>635</v>
      </c>
      <c r="D2536" s="4">
        <v>0</v>
      </c>
      <c r="E2536" s="4">
        <v>0</v>
      </c>
      <c r="F2536" s="4">
        <v>0</v>
      </c>
      <c r="H2536" s="3">
        <f t="shared" si="38"/>
        <v>0</v>
      </c>
    </row>
    <row r="2537" spans="1:8">
      <c r="A2537" t="s">
        <v>2177</v>
      </c>
      <c r="B2537" t="s">
        <v>2178</v>
      </c>
      <c r="C2537" t="s">
        <v>466</v>
      </c>
      <c r="D2537" s="4">
        <v>0</v>
      </c>
      <c r="E2537" s="4">
        <v>0</v>
      </c>
      <c r="F2537" s="4">
        <v>0</v>
      </c>
      <c r="H2537" s="3">
        <f t="shared" si="38"/>
        <v>0</v>
      </c>
    </row>
    <row r="2538" spans="1:8">
      <c r="A2538" t="s">
        <v>2220</v>
      </c>
      <c r="B2538" t="s">
        <v>2221</v>
      </c>
      <c r="C2538" t="s">
        <v>466</v>
      </c>
      <c r="D2538" s="4">
        <v>0</v>
      </c>
      <c r="E2538" s="4">
        <v>0</v>
      </c>
      <c r="F2538" s="4">
        <v>0</v>
      </c>
      <c r="H2538" s="3">
        <f t="shared" si="38"/>
        <v>0</v>
      </c>
    </row>
    <row r="2539" spans="1:8">
      <c r="A2539" t="s">
        <v>2240</v>
      </c>
      <c r="B2539" t="s">
        <v>2241</v>
      </c>
      <c r="C2539" t="s">
        <v>466</v>
      </c>
      <c r="D2539" s="4">
        <v>0</v>
      </c>
      <c r="E2539" s="4">
        <v>0</v>
      </c>
      <c r="F2539" s="4">
        <v>0</v>
      </c>
      <c r="H2539" s="3">
        <f t="shared" si="38"/>
        <v>0</v>
      </c>
    </row>
    <row r="2540" spans="1:8">
      <c r="A2540" t="s">
        <v>2311</v>
      </c>
      <c r="B2540" t="s">
        <v>2312</v>
      </c>
      <c r="C2540" t="s">
        <v>1001</v>
      </c>
      <c r="D2540" s="4">
        <v>0</v>
      </c>
      <c r="E2540" s="4">
        <v>0</v>
      </c>
      <c r="F2540" s="4">
        <v>0</v>
      </c>
      <c r="H2540" s="3">
        <f t="shared" si="38"/>
        <v>0</v>
      </c>
    </row>
    <row r="2541" spans="1:8">
      <c r="A2541" t="s">
        <v>2342</v>
      </c>
      <c r="B2541" t="s">
        <v>2343</v>
      </c>
      <c r="C2541" t="s">
        <v>635</v>
      </c>
      <c r="D2541" s="4">
        <v>0</v>
      </c>
      <c r="E2541" s="4">
        <v>0</v>
      </c>
      <c r="F2541" s="4">
        <v>0</v>
      </c>
      <c r="H2541" s="3">
        <f t="shared" si="38"/>
        <v>0</v>
      </c>
    </row>
    <row r="2542" spans="1:8">
      <c r="A2542" t="s">
        <v>2381</v>
      </c>
      <c r="B2542" t="s">
        <v>2382</v>
      </c>
      <c r="C2542" t="s">
        <v>635</v>
      </c>
      <c r="D2542" s="4">
        <v>0</v>
      </c>
      <c r="E2542" s="4">
        <v>0</v>
      </c>
      <c r="F2542" s="4">
        <v>0</v>
      </c>
      <c r="H2542" s="3">
        <f t="shared" si="38"/>
        <v>0</v>
      </c>
    </row>
    <row r="2543" spans="1:8">
      <c r="A2543" t="s">
        <v>2446</v>
      </c>
      <c r="B2543" t="s">
        <v>2447</v>
      </c>
      <c r="C2543" t="s">
        <v>466</v>
      </c>
      <c r="D2543" s="4">
        <v>0</v>
      </c>
      <c r="E2543" s="4">
        <v>0</v>
      </c>
      <c r="F2543" s="4">
        <v>0</v>
      </c>
      <c r="H2543" s="3">
        <f t="shared" si="38"/>
        <v>0</v>
      </c>
    </row>
    <row r="2544" spans="1:8">
      <c r="A2544" t="s">
        <v>2496</v>
      </c>
      <c r="B2544" t="s">
        <v>2497</v>
      </c>
      <c r="C2544" t="s">
        <v>635</v>
      </c>
      <c r="D2544" s="4">
        <v>0</v>
      </c>
      <c r="E2544" s="4">
        <v>0</v>
      </c>
      <c r="F2544" s="4">
        <v>0</v>
      </c>
      <c r="H2544" s="3">
        <f t="shared" si="38"/>
        <v>0</v>
      </c>
    </row>
    <row r="2545" spans="1:8">
      <c r="A2545" t="s">
        <v>2500</v>
      </c>
      <c r="B2545" t="s">
        <v>2501</v>
      </c>
      <c r="C2545" t="s">
        <v>635</v>
      </c>
      <c r="D2545" s="4">
        <v>0</v>
      </c>
      <c r="E2545" s="4">
        <v>0</v>
      </c>
      <c r="F2545" s="4">
        <v>0</v>
      </c>
      <c r="H2545" s="3">
        <f t="shared" si="38"/>
        <v>0</v>
      </c>
    </row>
    <row r="2546" spans="1:8">
      <c r="A2546" t="s">
        <v>2502</v>
      </c>
      <c r="B2546" t="s">
        <v>2503</v>
      </c>
      <c r="C2546" t="s">
        <v>635</v>
      </c>
      <c r="D2546" s="4">
        <v>0</v>
      </c>
      <c r="E2546" s="4">
        <v>0</v>
      </c>
      <c r="F2546" s="4">
        <v>0</v>
      </c>
      <c r="H2546" s="3">
        <f t="shared" si="38"/>
        <v>0</v>
      </c>
    </row>
    <row r="2547" spans="1:8">
      <c r="A2547" t="s">
        <v>2530</v>
      </c>
      <c r="B2547" t="s">
        <v>2531</v>
      </c>
      <c r="C2547" t="s">
        <v>635</v>
      </c>
      <c r="D2547" s="4">
        <v>0</v>
      </c>
      <c r="E2547" s="4">
        <v>0</v>
      </c>
      <c r="F2547" s="4">
        <v>0</v>
      </c>
      <c r="H2547" s="3">
        <f t="shared" si="38"/>
        <v>0</v>
      </c>
    </row>
    <row r="2548" spans="1:8">
      <c r="A2548" t="s">
        <v>2597</v>
      </c>
      <c r="B2548" t="s">
        <v>2598</v>
      </c>
      <c r="C2548" t="s">
        <v>635</v>
      </c>
      <c r="D2548" s="4">
        <v>0</v>
      </c>
      <c r="E2548" s="4">
        <v>0</v>
      </c>
      <c r="F2548" s="4">
        <v>0</v>
      </c>
      <c r="H2548" s="3">
        <f t="shared" si="38"/>
        <v>0</v>
      </c>
    </row>
    <row r="2549" spans="1:8">
      <c r="A2549" t="s">
        <v>2639</v>
      </c>
      <c r="B2549" t="s">
        <v>2640</v>
      </c>
      <c r="C2549" t="s">
        <v>635</v>
      </c>
      <c r="D2549" s="4">
        <v>0</v>
      </c>
      <c r="E2549" s="4">
        <v>0</v>
      </c>
      <c r="F2549" s="4">
        <v>0</v>
      </c>
      <c r="H2549" s="3">
        <f t="shared" si="38"/>
        <v>0</v>
      </c>
    </row>
    <row r="2550" spans="1:8">
      <c r="A2550" t="s">
        <v>2742</v>
      </c>
      <c r="B2550" t="s">
        <v>2743</v>
      </c>
      <c r="C2550" t="s">
        <v>635</v>
      </c>
      <c r="D2550" s="4">
        <v>0</v>
      </c>
      <c r="E2550" s="4">
        <v>0</v>
      </c>
      <c r="F2550" s="4">
        <v>0</v>
      </c>
      <c r="H2550" s="3">
        <f t="shared" si="38"/>
        <v>0</v>
      </c>
    </row>
    <row r="2551" spans="1:8">
      <c r="A2551" t="s">
        <v>2829</v>
      </c>
      <c r="B2551" t="s">
        <v>2830</v>
      </c>
      <c r="C2551" t="s">
        <v>635</v>
      </c>
      <c r="D2551" s="4">
        <v>0</v>
      </c>
      <c r="E2551" s="4">
        <v>0</v>
      </c>
      <c r="F2551" s="4">
        <v>0</v>
      </c>
      <c r="H2551" s="3">
        <f t="shared" ref="H2551:H2554" si="39">+D2551-E2551</f>
        <v>0</v>
      </c>
    </row>
    <row r="2552" spans="1:8">
      <c r="A2552" t="s">
        <v>2841</v>
      </c>
      <c r="B2552" t="s">
        <v>2842</v>
      </c>
      <c r="C2552" t="s">
        <v>1072</v>
      </c>
      <c r="D2552" s="4">
        <v>0</v>
      </c>
      <c r="E2552" s="4">
        <v>0</v>
      </c>
      <c r="F2552" s="4">
        <v>0</v>
      </c>
      <c r="H2552" s="3">
        <f t="shared" si="39"/>
        <v>0</v>
      </c>
    </row>
    <row r="2553" spans="1:8">
      <c r="A2553" t="s">
        <v>2880</v>
      </c>
      <c r="B2553" t="s">
        <v>2881</v>
      </c>
      <c r="C2553" t="s">
        <v>635</v>
      </c>
      <c r="D2553" s="4">
        <v>0</v>
      </c>
      <c r="E2553" s="4">
        <v>0</v>
      </c>
      <c r="F2553" s="4">
        <v>0</v>
      </c>
      <c r="H2553" s="3">
        <f t="shared" si="39"/>
        <v>0</v>
      </c>
    </row>
    <row r="2554" spans="1:8">
      <c r="A2554" t="s">
        <v>2988</v>
      </c>
      <c r="B2554" t="s">
        <v>2989</v>
      </c>
      <c r="C2554" t="s">
        <v>635</v>
      </c>
      <c r="D2554" s="4">
        <v>0</v>
      </c>
      <c r="E2554" s="4">
        <v>0</v>
      </c>
      <c r="F2554" s="4">
        <v>0</v>
      </c>
      <c r="H2554" s="3">
        <f t="shared" si="39"/>
        <v>0</v>
      </c>
    </row>
    <row r="2555" spans="1:8">
      <c r="A2555" t="s">
        <v>3075</v>
      </c>
      <c r="D2555" s="4">
        <v>4316000</v>
      </c>
      <c r="E2555" s="4">
        <v>4316000</v>
      </c>
      <c r="F2555" s="4">
        <v>8632000</v>
      </c>
    </row>
    <row r="2556" spans="1:8" hidden="1">
      <c r="D2556"/>
      <c r="E2556"/>
      <c r="F2556"/>
    </row>
    <row r="2557" spans="1:8" hidden="1">
      <c r="D2557"/>
      <c r="E2557"/>
      <c r="F2557"/>
    </row>
    <row r="2558" spans="1:8" hidden="1">
      <c r="D2558"/>
      <c r="E2558"/>
      <c r="F2558"/>
    </row>
    <row r="2559" spans="1:8" hidden="1">
      <c r="D2559"/>
      <c r="E2559"/>
      <c r="F2559"/>
    </row>
    <row r="2560" spans="1:8" hidden="1">
      <c r="D2560"/>
      <c r="E2560"/>
      <c r="F2560"/>
    </row>
    <row r="2561" spans="4:6" hidden="1">
      <c r="D2561"/>
      <c r="E2561"/>
      <c r="F2561"/>
    </row>
    <row r="2562" spans="4:6" hidden="1">
      <c r="D2562"/>
      <c r="E2562"/>
      <c r="F2562"/>
    </row>
    <row r="2563" spans="4:6" hidden="1">
      <c r="D2563"/>
      <c r="E2563"/>
      <c r="F2563"/>
    </row>
    <row r="2564" spans="4:6" hidden="1">
      <c r="D2564"/>
      <c r="E2564"/>
      <c r="F2564"/>
    </row>
    <row r="2565" spans="4:6" hidden="1">
      <c r="D2565"/>
      <c r="E2565"/>
      <c r="F2565"/>
    </row>
    <row r="2566" spans="4:6" hidden="1">
      <c r="D2566"/>
      <c r="E2566"/>
      <c r="F2566"/>
    </row>
    <row r="2567" spans="4:6" hidden="1">
      <c r="D2567"/>
      <c r="E2567"/>
      <c r="F2567"/>
    </row>
    <row r="2568" spans="4:6" hidden="1">
      <c r="D2568"/>
      <c r="E2568"/>
      <c r="F2568"/>
    </row>
    <row r="2569" spans="4:6" hidden="1">
      <c r="D2569"/>
      <c r="E2569"/>
      <c r="F2569"/>
    </row>
    <row r="2570" spans="4:6" hidden="1">
      <c r="D2570"/>
      <c r="E2570"/>
      <c r="F2570"/>
    </row>
    <row r="2571" spans="4:6" hidden="1">
      <c r="D2571"/>
      <c r="E2571"/>
      <c r="F2571"/>
    </row>
    <row r="2572" spans="4:6" hidden="1">
      <c r="D2572"/>
      <c r="E2572"/>
      <c r="F2572"/>
    </row>
    <row r="2573" spans="4:6" hidden="1">
      <c r="D2573"/>
      <c r="E2573"/>
      <c r="F2573"/>
    </row>
    <row r="2574" spans="4:6" hidden="1">
      <c r="D2574"/>
      <c r="E2574"/>
      <c r="F2574"/>
    </row>
    <row r="2575" spans="4:6" hidden="1">
      <c r="D2575"/>
      <c r="E2575"/>
      <c r="F2575"/>
    </row>
    <row r="2576" spans="4:6" hidden="1">
      <c r="D2576"/>
      <c r="E2576"/>
      <c r="F2576"/>
    </row>
    <row r="2577" spans="4:6" hidden="1">
      <c r="D2577" s="4"/>
      <c r="E2577" s="4"/>
      <c r="F2577" s="4"/>
    </row>
    <row r="2578" spans="4:6" hidden="1">
      <c r="D2578" s="4"/>
      <c r="E2578" s="4"/>
      <c r="F2578" s="4"/>
    </row>
    <row r="2579" spans="4:6" hidden="1">
      <c r="D2579" s="4"/>
      <c r="E2579" s="4"/>
      <c r="F2579" s="4"/>
    </row>
    <row r="2580" spans="4:6" hidden="1">
      <c r="D2580" s="4"/>
      <c r="E2580" s="4"/>
      <c r="F2580" s="4"/>
    </row>
    <row r="2581" spans="4:6" hidden="1">
      <c r="D2581" s="4"/>
      <c r="E2581" s="4"/>
      <c r="F2581" s="4"/>
    </row>
    <row r="2582" spans="4:6" hidden="1">
      <c r="D2582" s="4"/>
      <c r="E2582" s="4"/>
      <c r="F2582" s="4"/>
    </row>
    <row r="2583" spans="4:6" hidden="1">
      <c r="D2583" s="4"/>
      <c r="E2583" s="4"/>
      <c r="F2583" s="4"/>
    </row>
    <row r="2584" spans="4:6" hidden="1">
      <c r="D2584" s="4"/>
      <c r="E2584" s="4"/>
      <c r="F2584" s="4"/>
    </row>
    <row r="2585" spans="4:6" hidden="1">
      <c r="D2585" s="4"/>
      <c r="E2585" s="4"/>
      <c r="F2585" s="4"/>
    </row>
    <row r="2586" spans="4:6" hidden="1">
      <c r="D2586" s="4"/>
      <c r="E2586" s="4"/>
      <c r="F2586" s="4"/>
    </row>
    <row r="2587" spans="4:6" hidden="1">
      <c r="D2587" s="4"/>
      <c r="E2587" s="4"/>
      <c r="F2587" s="4"/>
    </row>
    <row r="2588" spans="4:6" hidden="1">
      <c r="D2588" s="4"/>
      <c r="E2588" s="4"/>
      <c r="F2588" s="4"/>
    </row>
    <row r="2589" spans="4:6" hidden="1">
      <c r="D2589" s="4"/>
      <c r="E2589" s="4"/>
      <c r="F2589" s="4"/>
    </row>
    <row r="2590" spans="4:6" hidden="1">
      <c r="D2590" s="4"/>
      <c r="E2590" s="4"/>
      <c r="F2590" s="4"/>
    </row>
    <row r="2591" spans="4:6" hidden="1">
      <c r="D2591" s="4"/>
      <c r="E2591" s="4"/>
      <c r="F2591" s="4"/>
    </row>
    <row r="2592" spans="4:6" hidden="1">
      <c r="D2592" s="4"/>
      <c r="E2592" s="4"/>
      <c r="F2592" s="4"/>
    </row>
    <row r="2593" spans="1:8" hidden="1">
      <c r="D2593" s="4"/>
      <c r="E2593" s="4"/>
      <c r="F2593" s="4"/>
    </row>
    <row r="2594" spans="1:8" hidden="1">
      <c r="D2594" s="4"/>
      <c r="E2594" s="4"/>
      <c r="F2594" s="4"/>
    </row>
    <row r="2595" spans="1:8" hidden="1">
      <c r="D2595" s="4"/>
      <c r="E2595" s="4"/>
      <c r="F2595" s="4"/>
    </row>
    <row r="2596" spans="1:8" hidden="1">
      <c r="D2596" s="4"/>
      <c r="E2596" s="4"/>
      <c r="F2596" s="4"/>
    </row>
    <row r="2597" spans="1:8" hidden="1">
      <c r="D2597" s="4"/>
      <c r="E2597" s="4"/>
      <c r="F2597" s="4"/>
    </row>
    <row r="2598" spans="1:8">
      <c r="D2598" s="4"/>
      <c r="E2598" s="4"/>
      <c r="F2598" s="4"/>
    </row>
    <row r="2599" spans="1:8">
      <c r="D2599" s="4"/>
      <c r="E2599" s="4"/>
      <c r="F2599" s="4"/>
    </row>
    <row r="2600" spans="1:8">
      <c r="A2600" s="20" t="s">
        <v>3087</v>
      </c>
      <c r="B2600" s="20"/>
      <c r="C2600" s="20"/>
      <c r="D2600" s="20"/>
      <c r="E2600" s="20"/>
      <c r="F2600" s="20"/>
      <c r="G2600" s="20"/>
      <c r="H2600" s="20"/>
    </row>
    <row r="2601" spans="1:8">
      <c r="A2601" t="s">
        <v>3088</v>
      </c>
      <c r="D2601" s="4" t="s">
        <v>1344</v>
      </c>
      <c r="E2601" s="4"/>
      <c r="F2601" s="4"/>
      <c r="G2601"/>
    </row>
    <row r="2602" spans="1:8">
      <c r="A2602" t="s">
        <v>1346</v>
      </c>
      <c r="B2602" t="s">
        <v>1347</v>
      </c>
      <c r="C2602" t="s">
        <v>1416</v>
      </c>
      <c r="D2602" s="4" t="s">
        <v>1431</v>
      </c>
      <c r="E2602" s="4" t="s">
        <v>3047</v>
      </c>
      <c r="F2602" s="4" t="s">
        <v>3075</v>
      </c>
      <c r="G2602"/>
    </row>
    <row r="2603" spans="1:8">
      <c r="A2603" t="s">
        <v>1485</v>
      </c>
      <c r="B2603" t="s">
        <v>1486</v>
      </c>
      <c r="C2603" t="s">
        <v>466</v>
      </c>
      <c r="D2603" s="4">
        <v>0</v>
      </c>
      <c r="E2603" s="4">
        <v>0</v>
      </c>
      <c r="F2603" s="4">
        <v>0</v>
      </c>
      <c r="G2603"/>
      <c r="H2603" s="3">
        <f>+D2603-E2603</f>
        <v>0</v>
      </c>
    </row>
    <row r="2604" spans="1:8">
      <c r="A2604" t="s">
        <v>1553</v>
      </c>
      <c r="B2604" t="s">
        <v>1554</v>
      </c>
      <c r="C2604" t="s">
        <v>635</v>
      </c>
      <c r="D2604" s="4">
        <v>0</v>
      </c>
      <c r="E2604" s="4">
        <v>0</v>
      </c>
      <c r="F2604" s="4">
        <v>0</v>
      </c>
      <c r="G2604"/>
      <c r="H2604" s="3">
        <f t="shared" ref="H2604:H2667" si="40">+D2604-E2604</f>
        <v>0</v>
      </c>
    </row>
    <row r="2605" spans="1:8">
      <c r="A2605" t="s">
        <v>1567</v>
      </c>
      <c r="B2605" t="s">
        <v>1568</v>
      </c>
      <c r="C2605" t="s">
        <v>585</v>
      </c>
      <c r="D2605" s="4">
        <v>0</v>
      </c>
      <c r="E2605" s="4">
        <v>0</v>
      </c>
      <c r="F2605" s="4">
        <v>0</v>
      </c>
      <c r="G2605"/>
      <c r="H2605" s="3">
        <f t="shared" si="40"/>
        <v>0</v>
      </c>
    </row>
    <row r="2606" spans="1:8">
      <c r="A2606" t="s">
        <v>1580</v>
      </c>
      <c r="B2606" t="s">
        <v>1581</v>
      </c>
      <c r="C2606" t="s">
        <v>635</v>
      </c>
      <c r="D2606" s="4">
        <v>0</v>
      </c>
      <c r="E2606" s="4">
        <v>0</v>
      </c>
      <c r="F2606" s="4">
        <v>0</v>
      </c>
      <c r="G2606"/>
      <c r="H2606" s="3">
        <f t="shared" si="40"/>
        <v>0</v>
      </c>
    </row>
    <row r="2607" spans="1:8">
      <c r="A2607" t="s">
        <v>1585</v>
      </c>
      <c r="B2607" t="s">
        <v>1586</v>
      </c>
      <c r="C2607" t="s">
        <v>635</v>
      </c>
      <c r="D2607" s="4">
        <v>0</v>
      </c>
      <c r="E2607" s="4">
        <v>0</v>
      </c>
      <c r="F2607" s="4">
        <v>0</v>
      </c>
      <c r="G2607"/>
      <c r="H2607" s="3">
        <f t="shared" si="40"/>
        <v>0</v>
      </c>
    </row>
    <row r="2608" spans="1:8">
      <c r="A2608" t="s">
        <v>1594</v>
      </c>
      <c r="B2608" t="s">
        <v>1595</v>
      </c>
      <c r="C2608" t="s">
        <v>635</v>
      </c>
      <c r="D2608" s="4">
        <v>0</v>
      </c>
      <c r="E2608" s="4">
        <v>0</v>
      </c>
      <c r="F2608" s="4">
        <v>0</v>
      </c>
      <c r="G2608"/>
      <c r="H2608" s="3">
        <f t="shared" si="40"/>
        <v>0</v>
      </c>
    </row>
    <row r="2609" spans="1:8">
      <c r="A2609" t="s">
        <v>1599</v>
      </c>
      <c r="B2609" t="s">
        <v>1600</v>
      </c>
      <c r="C2609" t="s">
        <v>635</v>
      </c>
      <c r="D2609" s="4">
        <v>0</v>
      </c>
      <c r="E2609" s="4">
        <v>0</v>
      </c>
      <c r="F2609" s="4">
        <v>0</v>
      </c>
      <c r="G2609"/>
      <c r="H2609" s="3">
        <f t="shared" si="40"/>
        <v>0</v>
      </c>
    </row>
    <row r="2610" spans="1:8">
      <c r="A2610" t="s">
        <v>1604</v>
      </c>
      <c r="B2610" t="s">
        <v>1605</v>
      </c>
      <c r="C2610" t="s">
        <v>635</v>
      </c>
      <c r="D2610" s="4">
        <v>0</v>
      </c>
      <c r="E2610" s="4">
        <v>0</v>
      </c>
      <c r="F2610" s="4">
        <v>0</v>
      </c>
      <c r="G2610"/>
      <c r="H2610" s="3">
        <f t="shared" si="40"/>
        <v>0</v>
      </c>
    </row>
    <row r="2611" spans="1:8">
      <c r="A2611" t="s">
        <v>1609</v>
      </c>
      <c r="B2611" t="s">
        <v>1610</v>
      </c>
      <c r="C2611" t="s">
        <v>635</v>
      </c>
      <c r="D2611" s="4">
        <v>0</v>
      </c>
      <c r="E2611" s="4">
        <v>0</v>
      </c>
      <c r="F2611" s="4">
        <v>0</v>
      </c>
      <c r="G2611"/>
      <c r="H2611" s="3">
        <f t="shared" si="40"/>
        <v>0</v>
      </c>
    </row>
    <row r="2612" spans="1:8">
      <c r="A2612" t="s">
        <v>1614</v>
      </c>
      <c r="B2612" t="s">
        <v>1615</v>
      </c>
      <c r="C2612" t="s">
        <v>635</v>
      </c>
      <c r="D2612" s="4">
        <v>0</v>
      </c>
      <c r="E2612" s="4">
        <v>0</v>
      </c>
      <c r="F2612" s="4">
        <v>0</v>
      </c>
      <c r="G2612"/>
      <c r="H2612" s="3">
        <f t="shared" si="40"/>
        <v>0</v>
      </c>
    </row>
    <row r="2613" spans="1:8">
      <c r="A2613" t="s">
        <v>1622</v>
      </c>
      <c r="B2613" t="s">
        <v>1623</v>
      </c>
      <c r="C2613" t="s">
        <v>635</v>
      </c>
      <c r="D2613" s="4">
        <v>0</v>
      </c>
      <c r="E2613" s="4">
        <v>0</v>
      </c>
      <c r="F2613" s="4">
        <v>0</v>
      </c>
      <c r="G2613"/>
      <c r="H2613" s="3">
        <f t="shared" si="40"/>
        <v>0</v>
      </c>
    </row>
    <row r="2614" spans="1:8">
      <c r="A2614" t="s">
        <v>1632</v>
      </c>
      <c r="B2614" t="s">
        <v>1633</v>
      </c>
      <c r="C2614" t="s">
        <v>635</v>
      </c>
      <c r="D2614" s="4">
        <v>0</v>
      </c>
      <c r="E2614" s="4">
        <v>0</v>
      </c>
      <c r="F2614" s="4">
        <v>0</v>
      </c>
      <c r="G2614"/>
      <c r="H2614" s="3">
        <f t="shared" si="40"/>
        <v>0</v>
      </c>
    </row>
    <row r="2615" spans="1:8">
      <c r="A2615" t="s">
        <v>1645</v>
      </c>
      <c r="B2615" t="s">
        <v>1646</v>
      </c>
      <c r="C2615" t="s">
        <v>635</v>
      </c>
      <c r="D2615" s="4">
        <v>349600</v>
      </c>
      <c r="E2615" s="4">
        <v>349600</v>
      </c>
      <c r="F2615" s="4">
        <v>699200</v>
      </c>
      <c r="G2615"/>
      <c r="H2615" s="3">
        <f t="shared" si="40"/>
        <v>0</v>
      </c>
    </row>
    <row r="2616" spans="1:8">
      <c r="A2616" t="s">
        <v>1663</v>
      </c>
      <c r="B2616" t="s">
        <v>1664</v>
      </c>
      <c r="C2616" t="s">
        <v>635</v>
      </c>
      <c r="D2616" s="4">
        <v>0</v>
      </c>
      <c r="E2616" s="4">
        <v>0</v>
      </c>
      <c r="F2616" s="4">
        <v>0</v>
      </c>
      <c r="G2616"/>
      <c r="H2616" s="3">
        <f t="shared" si="40"/>
        <v>0</v>
      </c>
    </row>
    <row r="2617" spans="1:8">
      <c r="A2617" t="s">
        <v>1667</v>
      </c>
      <c r="B2617" t="s">
        <v>1668</v>
      </c>
      <c r="C2617" t="s">
        <v>635</v>
      </c>
      <c r="D2617" s="4">
        <v>0</v>
      </c>
      <c r="E2617" s="4">
        <v>0</v>
      </c>
      <c r="F2617" s="4">
        <v>0</v>
      </c>
      <c r="G2617"/>
      <c r="H2617" s="3">
        <f t="shared" si="40"/>
        <v>0</v>
      </c>
    </row>
    <row r="2618" spans="1:8">
      <c r="A2618" t="s">
        <v>1671</v>
      </c>
      <c r="B2618" t="s">
        <v>1672</v>
      </c>
      <c r="C2618" t="s">
        <v>635</v>
      </c>
      <c r="D2618" s="4">
        <v>0</v>
      </c>
      <c r="E2618" s="4">
        <v>0</v>
      </c>
      <c r="F2618" s="4">
        <v>0</v>
      </c>
      <c r="G2618"/>
      <c r="H2618" s="3">
        <f t="shared" si="40"/>
        <v>0</v>
      </c>
    </row>
    <row r="2619" spans="1:8">
      <c r="A2619" t="s">
        <v>1675</v>
      </c>
      <c r="B2619" t="s">
        <v>1676</v>
      </c>
      <c r="C2619" t="s">
        <v>635</v>
      </c>
      <c r="D2619" s="4">
        <v>0</v>
      </c>
      <c r="E2619" s="4">
        <v>0</v>
      </c>
      <c r="F2619" s="4">
        <v>0</v>
      </c>
      <c r="G2619"/>
      <c r="H2619" s="3">
        <f t="shared" si="40"/>
        <v>0</v>
      </c>
    </row>
    <row r="2620" spans="1:8">
      <c r="A2620" t="s">
        <v>1681</v>
      </c>
      <c r="B2620" t="s">
        <v>1682</v>
      </c>
      <c r="C2620" t="s">
        <v>635</v>
      </c>
      <c r="D2620" s="4">
        <v>0</v>
      </c>
      <c r="E2620" s="4">
        <v>0</v>
      </c>
      <c r="F2620" s="4">
        <v>0</v>
      </c>
      <c r="G2620"/>
      <c r="H2620" s="3">
        <f t="shared" si="40"/>
        <v>0</v>
      </c>
    </row>
    <row r="2621" spans="1:8">
      <c r="A2621" t="s">
        <v>1714</v>
      </c>
      <c r="B2621" t="s">
        <v>1715</v>
      </c>
      <c r="C2621" t="s">
        <v>635</v>
      </c>
      <c r="D2621" s="4">
        <v>0</v>
      </c>
      <c r="E2621" s="4">
        <v>0</v>
      </c>
      <c r="F2621" s="4">
        <v>0</v>
      </c>
      <c r="G2621"/>
      <c r="H2621" s="3">
        <f t="shared" si="40"/>
        <v>0</v>
      </c>
    </row>
    <row r="2622" spans="1:8">
      <c r="A2622" t="s">
        <v>1717</v>
      </c>
      <c r="B2622" t="s">
        <v>1718</v>
      </c>
      <c r="C2622" t="s">
        <v>635</v>
      </c>
      <c r="D2622" s="4">
        <v>0</v>
      </c>
      <c r="E2622" s="4">
        <v>0</v>
      </c>
      <c r="F2622" s="4">
        <v>0</v>
      </c>
      <c r="G2622"/>
      <c r="H2622" s="3">
        <f t="shared" si="40"/>
        <v>0</v>
      </c>
    </row>
    <row r="2623" spans="1:8">
      <c r="A2623" t="s">
        <v>1744</v>
      </c>
      <c r="B2623" t="s">
        <v>1745</v>
      </c>
      <c r="C2623" t="s">
        <v>635</v>
      </c>
      <c r="D2623" s="4">
        <v>0</v>
      </c>
      <c r="E2623" s="4">
        <v>0</v>
      </c>
      <c r="F2623" s="4">
        <v>0</v>
      </c>
      <c r="G2623"/>
      <c r="H2623" s="3">
        <f t="shared" si="40"/>
        <v>0</v>
      </c>
    </row>
    <row r="2624" spans="1:8">
      <c r="A2624" t="s">
        <v>1746</v>
      </c>
      <c r="B2624" t="s">
        <v>1747</v>
      </c>
      <c r="C2624" t="s">
        <v>635</v>
      </c>
      <c r="D2624" s="4">
        <v>0</v>
      </c>
      <c r="E2624" s="4">
        <v>0</v>
      </c>
      <c r="F2624" s="4">
        <v>0</v>
      </c>
      <c r="G2624"/>
      <c r="H2624" s="3">
        <f t="shared" si="40"/>
        <v>0</v>
      </c>
    </row>
    <row r="2625" spans="1:8">
      <c r="A2625" t="s">
        <v>1751</v>
      </c>
      <c r="B2625" t="s">
        <v>1752</v>
      </c>
      <c r="C2625" t="s">
        <v>635</v>
      </c>
      <c r="D2625" s="4">
        <v>0</v>
      </c>
      <c r="E2625" s="4">
        <v>0</v>
      </c>
      <c r="F2625" s="4">
        <v>0</v>
      </c>
      <c r="G2625"/>
      <c r="H2625" s="3">
        <f t="shared" si="40"/>
        <v>0</v>
      </c>
    </row>
    <row r="2626" spans="1:8">
      <c r="A2626" t="s">
        <v>1767</v>
      </c>
      <c r="B2626" t="s">
        <v>1768</v>
      </c>
      <c r="C2626" t="s">
        <v>635</v>
      </c>
      <c r="D2626" s="4">
        <v>0</v>
      </c>
      <c r="E2626" s="4">
        <v>0</v>
      </c>
      <c r="F2626" s="4">
        <v>0</v>
      </c>
      <c r="G2626"/>
      <c r="H2626" s="3">
        <f t="shared" si="40"/>
        <v>0</v>
      </c>
    </row>
    <row r="2627" spans="1:8">
      <c r="A2627" t="s">
        <v>1804</v>
      </c>
      <c r="B2627" t="s">
        <v>1805</v>
      </c>
      <c r="C2627" t="s">
        <v>635</v>
      </c>
      <c r="D2627" s="4">
        <v>0</v>
      </c>
      <c r="E2627" s="4">
        <v>0</v>
      </c>
      <c r="F2627" s="4">
        <v>0</v>
      </c>
      <c r="G2627"/>
      <c r="H2627" s="3">
        <f t="shared" si="40"/>
        <v>0</v>
      </c>
    </row>
    <row r="2628" spans="1:8">
      <c r="A2628" t="s">
        <v>1865</v>
      </c>
      <c r="B2628" t="s">
        <v>1866</v>
      </c>
      <c r="C2628" t="s">
        <v>635</v>
      </c>
      <c r="D2628" s="4">
        <v>0</v>
      </c>
      <c r="E2628" s="4">
        <v>0</v>
      </c>
      <c r="F2628" s="4">
        <v>0</v>
      </c>
      <c r="G2628"/>
      <c r="H2628" s="3">
        <f t="shared" si="40"/>
        <v>0</v>
      </c>
    </row>
    <row r="2629" spans="1:8">
      <c r="A2629" t="s">
        <v>1884</v>
      </c>
      <c r="B2629" t="s">
        <v>1885</v>
      </c>
      <c r="C2629" t="s">
        <v>635</v>
      </c>
      <c r="D2629" s="4">
        <v>0</v>
      </c>
      <c r="E2629" s="4">
        <v>0</v>
      </c>
      <c r="F2629" s="4">
        <v>0</v>
      </c>
      <c r="G2629"/>
      <c r="H2629" s="3">
        <f t="shared" si="40"/>
        <v>0</v>
      </c>
    </row>
    <row r="2630" spans="1:8">
      <c r="A2630" t="s">
        <v>1939</v>
      </c>
      <c r="B2630" t="s">
        <v>1940</v>
      </c>
      <c r="C2630" t="s">
        <v>635</v>
      </c>
      <c r="D2630" s="4">
        <v>0</v>
      </c>
      <c r="E2630" s="4">
        <v>0</v>
      </c>
      <c r="F2630" s="4">
        <v>0</v>
      </c>
      <c r="G2630"/>
      <c r="H2630" s="3">
        <f t="shared" si="40"/>
        <v>0</v>
      </c>
    </row>
    <row r="2631" spans="1:8">
      <c r="A2631" t="s">
        <v>1954</v>
      </c>
      <c r="B2631" t="s">
        <v>1955</v>
      </c>
      <c r="C2631" t="s">
        <v>635</v>
      </c>
      <c r="D2631" s="4">
        <v>0</v>
      </c>
      <c r="E2631" s="4">
        <v>0</v>
      </c>
      <c r="F2631" s="4">
        <v>0</v>
      </c>
      <c r="G2631"/>
      <c r="H2631" s="3">
        <f t="shared" si="40"/>
        <v>0</v>
      </c>
    </row>
    <row r="2632" spans="1:8">
      <c r="A2632" t="s">
        <v>1958</v>
      </c>
      <c r="B2632" t="s">
        <v>1959</v>
      </c>
      <c r="C2632" t="s">
        <v>635</v>
      </c>
      <c r="D2632" s="4">
        <v>0</v>
      </c>
      <c r="E2632" s="4">
        <v>0</v>
      </c>
      <c r="F2632" s="4">
        <v>0</v>
      </c>
      <c r="G2632"/>
      <c r="H2632" s="3">
        <f t="shared" si="40"/>
        <v>0</v>
      </c>
    </row>
    <row r="2633" spans="1:8">
      <c r="A2633" t="s">
        <v>1966</v>
      </c>
      <c r="B2633" t="s">
        <v>1967</v>
      </c>
      <c r="C2633" t="s">
        <v>466</v>
      </c>
      <c r="D2633" s="4">
        <v>0</v>
      </c>
      <c r="E2633" s="4">
        <v>0</v>
      </c>
      <c r="F2633" s="4">
        <v>0</v>
      </c>
      <c r="G2633"/>
      <c r="H2633" s="3">
        <f t="shared" si="40"/>
        <v>0</v>
      </c>
    </row>
    <row r="2634" spans="1:8">
      <c r="A2634" t="s">
        <v>1985</v>
      </c>
      <c r="B2634" t="s">
        <v>1986</v>
      </c>
      <c r="C2634" t="s">
        <v>635</v>
      </c>
      <c r="D2634" s="4">
        <v>0</v>
      </c>
      <c r="E2634" s="4">
        <v>0</v>
      </c>
      <c r="F2634" s="4">
        <v>0</v>
      </c>
      <c r="G2634"/>
      <c r="H2634" s="3">
        <f t="shared" si="40"/>
        <v>0</v>
      </c>
    </row>
    <row r="2635" spans="1:8">
      <c r="A2635" t="s">
        <v>1995</v>
      </c>
      <c r="B2635" t="s">
        <v>1996</v>
      </c>
      <c r="C2635" t="s">
        <v>635</v>
      </c>
      <c r="D2635" s="4">
        <v>0</v>
      </c>
      <c r="E2635" s="4">
        <v>0</v>
      </c>
      <c r="F2635" s="4">
        <v>0</v>
      </c>
      <c r="G2635"/>
      <c r="H2635" s="3">
        <f t="shared" si="40"/>
        <v>0</v>
      </c>
    </row>
    <row r="2636" spans="1:8">
      <c r="A2636" t="s">
        <v>2027</v>
      </c>
      <c r="B2636" t="s">
        <v>2028</v>
      </c>
      <c r="C2636" t="s">
        <v>635</v>
      </c>
      <c r="D2636" s="4">
        <v>0</v>
      </c>
      <c r="E2636" s="4">
        <v>0</v>
      </c>
      <c r="F2636" s="4">
        <v>0</v>
      </c>
      <c r="G2636"/>
      <c r="H2636" s="3">
        <f t="shared" si="40"/>
        <v>0</v>
      </c>
    </row>
    <row r="2637" spans="1:8">
      <c r="A2637" t="s">
        <v>2075</v>
      </c>
      <c r="B2637" t="s">
        <v>2076</v>
      </c>
      <c r="C2637" t="s">
        <v>635</v>
      </c>
      <c r="D2637" s="4">
        <v>0</v>
      </c>
      <c r="E2637" s="4">
        <v>0</v>
      </c>
      <c r="F2637" s="4">
        <v>0</v>
      </c>
      <c r="G2637"/>
      <c r="H2637" s="3">
        <f t="shared" si="40"/>
        <v>0</v>
      </c>
    </row>
    <row r="2638" spans="1:8">
      <c r="A2638" t="s">
        <v>2084</v>
      </c>
      <c r="B2638" t="s">
        <v>2085</v>
      </c>
      <c r="C2638" t="s">
        <v>635</v>
      </c>
      <c r="D2638" s="4">
        <v>0</v>
      </c>
      <c r="E2638" s="4">
        <v>0</v>
      </c>
      <c r="F2638" s="4">
        <v>0</v>
      </c>
      <c r="G2638"/>
      <c r="H2638" s="3">
        <f t="shared" si="40"/>
        <v>0</v>
      </c>
    </row>
    <row r="2639" spans="1:8">
      <c r="A2639" t="s">
        <v>2106</v>
      </c>
      <c r="B2639" t="s">
        <v>2107</v>
      </c>
      <c r="C2639" t="s">
        <v>635</v>
      </c>
      <c r="D2639" s="4">
        <v>0</v>
      </c>
      <c r="E2639" s="4">
        <v>0</v>
      </c>
      <c r="F2639" s="4">
        <v>0</v>
      </c>
      <c r="G2639"/>
      <c r="H2639" s="3">
        <f t="shared" si="40"/>
        <v>0</v>
      </c>
    </row>
    <row r="2640" spans="1:8">
      <c r="A2640" t="s">
        <v>2160</v>
      </c>
      <c r="B2640" t="s">
        <v>2161</v>
      </c>
      <c r="C2640" t="s">
        <v>466</v>
      </c>
      <c r="D2640" s="4">
        <v>0</v>
      </c>
      <c r="E2640" s="4">
        <v>0</v>
      </c>
      <c r="F2640" s="4">
        <v>0</v>
      </c>
      <c r="G2640"/>
      <c r="H2640" s="3">
        <f t="shared" si="40"/>
        <v>0</v>
      </c>
    </row>
    <row r="2641" spans="1:8">
      <c r="A2641" t="s">
        <v>2206</v>
      </c>
      <c r="B2641" t="s">
        <v>2207</v>
      </c>
      <c r="C2641" t="s">
        <v>466</v>
      </c>
      <c r="D2641" s="4">
        <v>0</v>
      </c>
      <c r="E2641" s="4"/>
      <c r="F2641" s="4">
        <v>0</v>
      </c>
      <c r="G2641"/>
      <c r="H2641" s="3">
        <f t="shared" si="40"/>
        <v>0</v>
      </c>
    </row>
    <row r="2642" spans="1:8">
      <c r="B2642" t="s">
        <v>3060</v>
      </c>
      <c r="C2642" t="s">
        <v>466</v>
      </c>
      <c r="D2642" s="4"/>
      <c r="E2642" s="4">
        <v>0</v>
      </c>
      <c r="F2642" s="4">
        <v>0</v>
      </c>
      <c r="G2642"/>
      <c r="H2642" s="3">
        <f t="shared" si="40"/>
        <v>0</v>
      </c>
    </row>
    <row r="2643" spans="1:8">
      <c r="A2643" t="s">
        <v>2227</v>
      </c>
      <c r="B2643" t="s">
        <v>2228</v>
      </c>
      <c r="C2643" t="s">
        <v>466</v>
      </c>
      <c r="D2643" s="4">
        <v>0</v>
      </c>
      <c r="E2643" s="4">
        <v>0</v>
      </c>
      <c r="F2643" s="4">
        <v>0</v>
      </c>
      <c r="G2643"/>
      <c r="H2643" s="3">
        <f t="shared" si="40"/>
        <v>0</v>
      </c>
    </row>
    <row r="2644" spans="1:8">
      <c r="A2644" t="s">
        <v>2276</v>
      </c>
      <c r="B2644" t="s">
        <v>2277</v>
      </c>
      <c r="C2644" t="s">
        <v>635</v>
      </c>
      <c r="D2644" s="4">
        <v>0</v>
      </c>
      <c r="E2644" s="4">
        <v>0</v>
      </c>
      <c r="F2644" s="4">
        <v>0</v>
      </c>
      <c r="G2644"/>
      <c r="H2644" s="3">
        <f t="shared" si="40"/>
        <v>0</v>
      </c>
    </row>
    <row r="2645" spans="1:8">
      <c r="A2645" t="s">
        <v>2279</v>
      </c>
      <c r="B2645" t="s">
        <v>2280</v>
      </c>
      <c r="C2645" t="s">
        <v>635</v>
      </c>
      <c r="D2645" s="4">
        <v>0</v>
      </c>
      <c r="E2645" s="4">
        <v>0</v>
      </c>
      <c r="F2645" s="4">
        <v>0</v>
      </c>
      <c r="G2645"/>
      <c r="H2645" s="3">
        <f t="shared" si="40"/>
        <v>0</v>
      </c>
    </row>
    <row r="2646" spans="1:8">
      <c r="A2646" t="s">
        <v>2295</v>
      </c>
      <c r="B2646" t="s">
        <v>2296</v>
      </c>
      <c r="C2646" t="s">
        <v>635</v>
      </c>
      <c r="D2646" s="4">
        <v>0</v>
      </c>
      <c r="E2646" s="4">
        <v>0</v>
      </c>
      <c r="F2646" s="4">
        <v>0</v>
      </c>
      <c r="G2646"/>
      <c r="H2646" s="3">
        <f t="shared" si="40"/>
        <v>0</v>
      </c>
    </row>
    <row r="2647" spans="1:8">
      <c r="A2647" t="s">
        <v>2336</v>
      </c>
      <c r="B2647" t="s">
        <v>2337</v>
      </c>
      <c r="C2647" t="s">
        <v>635</v>
      </c>
      <c r="D2647" s="4">
        <v>0</v>
      </c>
      <c r="E2647" s="4">
        <v>0</v>
      </c>
      <c r="F2647" s="4">
        <v>0</v>
      </c>
      <c r="H2647" s="3">
        <f t="shared" si="40"/>
        <v>0</v>
      </c>
    </row>
    <row r="2648" spans="1:8">
      <c r="A2648" t="s">
        <v>2348</v>
      </c>
      <c r="B2648" t="s">
        <v>2349</v>
      </c>
      <c r="C2648" t="s">
        <v>635</v>
      </c>
      <c r="D2648" s="4">
        <v>403300</v>
      </c>
      <c r="E2648" s="4">
        <v>403300</v>
      </c>
      <c r="F2648" s="4">
        <v>806600</v>
      </c>
      <c r="H2648" s="3">
        <f t="shared" si="40"/>
        <v>0</v>
      </c>
    </row>
    <row r="2649" spans="1:8">
      <c r="A2649" t="s">
        <v>2352</v>
      </c>
      <c r="B2649" t="s">
        <v>2353</v>
      </c>
      <c r="C2649" t="s">
        <v>635</v>
      </c>
      <c r="D2649" s="4">
        <v>0</v>
      </c>
      <c r="E2649" s="4">
        <v>0</v>
      </c>
      <c r="F2649" s="4">
        <v>0</v>
      </c>
      <c r="H2649" s="3">
        <f t="shared" si="40"/>
        <v>0</v>
      </c>
    </row>
    <row r="2650" spans="1:8">
      <c r="A2650" t="s">
        <v>2393</v>
      </c>
      <c r="B2650" t="s">
        <v>2394</v>
      </c>
      <c r="C2650" t="s">
        <v>635</v>
      </c>
      <c r="D2650" s="4">
        <v>0</v>
      </c>
      <c r="E2650" s="4">
        <v>0</v>
      </c>
      <c r="F2650" s="4">
        <v>0</v>
      </c>
      <c r="H2650" s="3">
        <f t="shared" si="40"/>
        <v>0</v>
      </c>
    </row>
    <row r="2651" spans="1:8">
      <c r="A2651" t="s">
        <v>2422</v>
      </c>
      <c r="B2651" t="s">
        <v>2423</v>
      </c>
      <c r="C2651" t="s">
        <v>466</v>
      </c>
      <c r="D2651" s="4">
        <v>0</v>
      </c>
      <c r="E2651" s="4">
        <v>0</v>
      </c>
      <c r="F2651" s="4">
        <v>0</v>
      </c>
      <c r="H2651" s="3">
        <f t="shared" si="40"/>
        <v>0</v>
      </c>
    </row>
    <row r="2652" spans="1:8">
      <c r="A2652" t="s">
        <v>2477</v>
      </c>
      <c r="B2652" t="s">
        <v>2478</v>
      </c>
      <c r="C2652" t="s">
        <v>466</v>
      </c>
      <c r="D2652" s="4">
        <v>0</v>
      </c>
      <c r="E2652" s="4">
        <v>0</v>
      </c>
      <c r="F2652" s="4">
        <v>0</v>
      </c>
      <c r="H2652" s="3">
        <f t="shared" si="40"/>
        <v>0</v>
      </c>
    </row>
    <row r="2653" spans="1:8">
      <c r="A2653" t="s">
        <v>2480</v>
      </c>
      <c r="B2653" t="s">
        <v>2481</v>
      </c>
      <c r="C2653" t="s">
        <v>635</v>
      </c>
      <c r="D2653" s="4">
        <v>0</v>
      </c>
      <c r="E2653" s="4">
        <v>0</v>
      </c>
      <c r="F2653" s="4">
        <v>0</v>
      </c>
      <c r="H2653" s="3">
        <f t="shared" si="40"/>
        <v>0</v>
      </c>
    </row>
    <row r="2654" spans="1:8">
      <c r="A2654" t="s">
        <v>2487</v>
      </c>
      <c r="B2654" t="s">
        <v>2488</v>
      </c>
      <c r="C2654" t="s">
        <v>635</v>
      </c>
      <c r="D2654" s="4">
        <v>0</v>
      </c>
      <c r="E2654" s="4">
        <v>0</v>
      </c>
      <c r="F2654" s="4">
        <v>0</v>
      </c>
      <c r="H2654" s="3">
        <f t="shared" si="40"/>
        <v>0</v>
      </c>
    </row>
    <row r="2655" spans="1:8">
      <c r="A2655" t="s">
        <v>2508</v>
      </c>
      <c r="B2655" t="s">
        <v>2509</v>
      </c>
      <c r="C2655" t="s">
        <v>635</v>
      </c>
      <c r="D2655" s="4">
        <v>0</v>
      </c>
      <c r="E2655" s="4">
        <v>0</v>
      </c>
      <c r="F2655" s="4">
        <v>0</v>
      </c>
      <c r="H2655" s="3">
        <f t="shared" si="40"/>
        <v>0</v>
      </c>
    </row>
    <row r="2656" spans="1:8">
      <c r="A2656" t="s">
        <v>2513</v>
      </c>
      <c r="B2656" t="s">
        <v>2514</v>
      </c>
      <c r="C2656" t="s">
        <v>635</v>
      </c>
      <c r="D2656" s="4">
        <v>0</v>
      </c>
      <c r="E2656" s="4">
        <v>0</v>
      </c>
      <c r="F2656" s="4">
        <v>0</v>
      </c>
      <c r="H2656" s="3">
        <f t="shared" si="40"/>
        <v>0</v>
      </c>
    </row>
    <row r="2657" spans="1:8">
      <c r="A2657" t="s">
        <v>2515</v>
      </c>
      <c r="B2657" t="s">
        <v>2516</v>
      </c>
      <c r="C2657" t="s">
        <v>635</v>
      </c>
      <c r="D2657" s="4">
        <v>0</v>
      </c>
      <c r="E2657" s="4">
        <v>0</v>
      </c>
      <c r="F2657" s="4">
        <v>0</v>
      </c>
      <c r="H2657" s="3">
        <f t="shared" si="40"/>
        <v>0</v>
      </c>
    </row>
    <row r="2658" spans="1:8">
      <c r="A2658" t="s">
        <v>2527</v>
      </c>
      <c r="B2658" t="s">
        <v>2528</v>
      </c>
      <c r="C2658" t="s">
        <v>635</v>
      </c>
      <c r="D2658" s="4">
        <v>197200</v>
      </c>
      <c r="E2658" s="4">
        <v>197200</v>
      </c>
      <c r="F2658" s="4">
        <v>394400</v>
      </c>
      <c r="H2658" s="3">
        <f t="shared" si="40"/>
        <v>0</v>
      </c>
    </row>
    <row r="2659" spans="1:8">
      <c r="A2659" t="s">
        <v>2536</v>
      </c>
      <c r="B2659" t="s">
        <v>2537</v>
      </c>
      <c r="C2659" t="s">
        <v>466</v>
      </c>
      <c r="D2659" s="4">
        <v>0</v>
      </c>
      <c r="E2659" s="4">
        <v>0</v>
      </c>
      <c r="F2659" s="4">
        <v>0</v>
      </c>
      <c r="H2659" s="3">
        <f t="shared" si="40"/>
        <v>0</v>
      </c>
    </row>
    <row r="2660" spans="1:8">
      <c r="A2660" t="s">
        <v>2550</v>
      </c>
      <c r="B2660" t="s">
        <v>2551</v>
      </c>
      <c r="C2660" t="s">
        <v>635</v>
      </c>
      <c r="D2660" s="4">
        <v>0</v>
      </c>
      <c r="E2660" s="4">
        <v>0</v>
      </c>
      <c r="F2660" s="4">
        <v>0</v>
      </c>
      <c r="H2660" s="3">
        <f t="shared" si="40"/>
        <v>0</v>
      </c>
    </row>
    <row r="2661" spans="1:8">
      <c r="A2661" t="s">
        <v>2555</v>
      </c>
      <c r="B2661" t="s">
        <v>2556</v>
      </c>
      <c r="C2661" t="s">
        <v>635</v>
      </c>
      <c r="D2661" s="4">
        <v>0</v>
      </c>
      <c r="E2661" s="4">
        <v>0</v>
      </c>
      <c r="F2661" s="4">
        <v>0</v>
      </c>
      <c r="H2661" s="3">
        <f t="shared" si="40"/>
        <v>0</v>
      </c>
    </row>
    <row r="2662" spans="1:8">
      <c r="A2662" t="s">
        <v>2562</v>
      </c>
      <c r="B2662" t="s">
        <v>2563</v>
      </c>
      <c r="C2662" t="s">
        <v>635</v>
      </c>
      <c r="D2662" s="4">
        <v>506500</v>
      </c>
      <c r="E2662" s="4">
        <v>506500</v>
      </c>
      <c r="F2662" s="4">
        <v>1013000</v>
      </c>
      <c r="H2662" s="3">
        <f t="shared" si="40"/>
        <v>0</v>
      </c>
    </row>
    <row r="2663" spans="1:8">
      <c r="A2663" t="s">
        <v>2566</v>
      </c>
      <c r="B2663" t="s">
        <v>2567</v>
      </c>
      <c r="C2663" t="s">
        <v>635</v>
      </c>
      <c r="D2663" s="4">
        <v>0</v>
      </c>
      <c r="E2663" s="4">
        <v>0</v>
      </c>
      <c r="F2663" s="4">
        <v>0</v>
      </c>
      <c r="H2663" s="3">
        <f t="shared" si="40"/>
        <v>0</v>
      </c>
    </row>
    <row r="2664" spans="1:8">
      <c r="A2664" t="s">
        <v>2570</v>
      </c>
      <c r="B2664" t="s">
        <v>2571</v>
      </c>
      <c r="C2664" t="s">
        <v>635</v>
      </c>
      <c r="D2664" s="4">
        <v>0</v>
      </c>
      <c r="E2664" s="4">
        <v>0</v>
      </c>
      <c r="F2664" s="4">
        <v>0</v>
      </c>
      <c r="H2664" s="3">
        <f t="shared" si="40"/>
        <v>0</v>
      </c>
    </row>
    <row r="2665" spans="1:8">
      <c r="A2665" t="s">
        <v>2574</v>
      </c>
      <c r="B2665" t="s">
        <v>2575</v>
      </c>
      <c r="C2665" t="s">
        <v>635</v>
      </c>
      <c r="D2665" s="4">
        <v>0</v>
      </c>
      <c r="E2665" s="4">
        <v>0</v>
      </c>
      <c r="F2665" s="4">
        <v>0</v>
      </c>
      <c r="H2665" s="3">
        <f t="shared" si="40"/>
        <v>0</v>
      </c>
    </row>
    <row r="2666" spans="1:8">
      <c r="A2666" t="s">
        <v>2578</v>
      </c>
      <c r="B2666" t="s">
        <v>2579</v>
      </c>
      <c r="C2666" t="s">
        <v>635</v>
      </c>
      <c r="D2666" s="4">
        <v>0</v>
      </c>
      <c r="E2666" s="4">
        <v>0</v>
      </c>
      <c r="F2666" s="4">
        <v>0</v>
      </c>
      <c r="H2666" s="3">
        <f t="shared" si="40"/>
        <v>0</v>
      </c>
    </row>
    <row r="2667" spans="1:8">
      <c r="A2667" t="s">
        <v>2582</v>
      </c>
      <c r="B2667" t="s">
        <v>2583</v>
      </c>
      <c r="C2667" t="s">
        <v>635</v>
      </c>
      <c r="D2667" s="4">
        <v>0</v>
      </c>
      <c r="E2667" s="4">
        <v>0</v>
      </c>
      <c r="F2667" s="4">
        <v>0</v>
      </c>
      <c r="H2667" s="3">
        <f t="shared" si="40"/>
        <v>0</v>
      </c>
    </row>
    <row r="2668" spans="1:8">
      <c r="A2668" t="s">
        <v>2586</v>
      </c>
      <c r="B2668" t="s">
        <v>2587</v>
      </c>
      <c r="C2668" t="s">
        <v>635</v>
      </c>
      <c r="D2668" s="4">
        <v>0</v>
      </c>
      <c r="E2668" s="4">
        <v>0</v>
      </c>
      <c r="F2668" s="4">
        <v>0</v>
      </c>
      <c r="H2668" s="3">
        <f t="shared" ref="H2668:H2731" si="41">+D2668-E2668</f>
        <v>0</v>
      </c>
    </row>
    <row r="2669" spans="1:8">
      <c r="A2669" t="s">
        <v>2602</v>
      </c>
      <c r="B2669" t="s">
        <v>2603</v>
      </c>
      <c r="C2669" t="s">
        <v>635</v>
      </c>
      <c r="D2669" s="4">
        <v>0</v>
      </c>
      <c r="E2669" s="4">
        <v>0</v>
      </c>
      <c r="F2669" s="4">
        <v>0</v>
      </c>
      <c r="H2669" s="3">
        <f t="shared" si="41"/>
        <v>0</v>
      </c>
    </row>
    <row r="2670" spans="1:8">
      <c r="A2670" t="s">
        <v>2605</v>
      </c>
      <c r="B2670" t="s">
        <v>2606</v>
      </c>
      <c r="C2670" t="s">
        <v>635</v>
      </c>
      <c r="D2670" s="4">
        <v>0</v>
      </c>
      <c r="E2670" s="4">
        <v>0</v>
      </c>
      <c r="F2670" s="4">
        <v>0</v>
      </c>
      <c r="H2670" s="3">
        <f t="shared" si="41"/>
        <v>0</v>
      </c>
    </row>
    <row r="2671" spans="1:8">
      <c r="A2671" t="s">
        <v>2609</v>
      </c>
      <c r="B2671" t="s">
        <v>2610</v>
      </c>
      <c r="C2671" t="s">
        <v>635</v>
      </c>
      <c r="D2671" s="4">
        <v>0</v>
      </c>
      <c r="E2671" s="4">
        <v>0</v>
      </c>
      <c r="F2671" s="4">
        <v>0</v>
      </c>
      <c r="H2671" s="3">
        <f t="shared" si="41"/>
        <v>0</v>
      </c>
    </row>
    <row r="2672" spans="1:8">
      <c r="A2672" t="s">
        <v>2619</v>
      </c>
      <c r="B2672" t="s">
        <v>2620</v>
      </c>
      <c r="C2672" t="s">
        <v>635</v>
      </c>
      <c r="D2672" s="4">
        <v>0</v>
      </c>
      <c r="E2672" s="4">
        <v>0</v>
      </c>
      <c r="F2672" s="4">
        <v>0</v>
      </c>
      <c r="H2672" s="3">
        <f t="shared" si="41"/>
        <v>0</v>
      </c>
    </row>
    <row r="2673" spans="1:8">
      <c r="A2673" t="s">
        <v>2624</v>
      </c>
      <c r="B2673" t="s">
        <v>2625</v>
      </c>
      <c r="C2673" t="s">
        <v>635</v>
      </c>
      <c r="D2673" s="4">
        <v>0</v>
      </c>
      <c r="E2673" s="4">
        <v>0</v>
      </c>
      <c r="F2673" s="4">
        <v>0</v>
      </c>
      <c r="H2673" s="3">
        <f t="shared" si="41"/>
        <v>0</v>
      </c>
    </row>
    <row r="2674" spans="1:8">
      <c r="A2674" t="s">
        <v>2672</v>
      </c>
      <c r="B2674" t="s">
        <v>2673</v>
      </c>
      <c r="C2674" t="s">
        <v>635</v>
      </c>
      <c r="D2674" s="4">
        <v>0</v>
      </c>
      <c r="E2674" s="4">
        <v>0</v>
      </c>
      <c r="F2674" s="4">
        <v>0</v>
      </c>
      <c r="H2674" s="3">
        <f t="shared" si="41"/>
        <v>0</v>
      </c>
    </row>
    <row r="2675" spans="1:8">
      <c r="A2675" t="s">
        <v>2679</v>
      </c>
      <c r="B2675" t="s">
        <v>2680</v>
      </c>
      <c r="C2675" t="s">
        <v>635</v>
      </c>
      <c r="D2675" s="4">
        <v>0</v>
      </c>
      <c r="E2675" s="4">
        <v>0</v>
      </c>
      <c r="F2675" s="4">
        <v>0</v>
      </c>
      <c r="H2675" s="3">
        <f t="shared" si="41"/>
        <v>0</v>
      </c>
    </row>
    <row r="2676" spans="1:8">
      <c r="A2676" t="s">
        <v>2692</v>
      </c>
      <c r="B2676" t="s">
        <v>2693</v>
      </c>
      <c r="C2676" t="s">
        <v>1001</v>
      </c>
      <c r="D2676" s="4">
        <v>0</v>
      </c>
      <c r="E2676" s="4">
        <v>0</v>
      </c>
      <c r="F2676" s="4">
        <v>0</v>
      </c>
      <c r="H2676" s="3">
        <f t="shared" si="41"/>
        <v>0</v>
      </c>
    </row>
    <row r="2677" spans="1:8">
      <c r="A2677" t="s">
        <v>2730</v>
      </c>
      <c r="B2677" t="s">
        <v>2731</v>
      </c>
      <c r="C2677" t="s">
        <v>635</v>
      </c>
      <c r="D2677" s="4">
        <v>519000</v>
      </c>
      <c r="E2677" s="4">
        <v>519000</v>
      </c>
      <c r="F2677" s="4">
        <v>1038000</v>
      </c>
      <c r="H2677" s="3">
        <f t="shared" si="41"/>
        <v>0</v>
      </c>
    </row>
    <row r="2678" spans="1:8">
      <c r="A2678" t="s">
        <v>2736</v>
      </c>
      <c r="B2678" t="s">
        <v>2737</v>
      </c>
      <c r="C2678" t="s">
        <v>635</v>
      </c>
      <c r="D2678" s="4">
        <v>0</v>
      </c>
      <c r="E2678" s="4">
        <v>0</v>
      </c>
      <c r="F2678" s="4">
        <v>0</v>
      </c>
      <c r="H2678" s="3">
        <f t="shared" si="41"/>
        <v>0</v>
      </c>
    </row>
    <row r="2679" spans="1:8">
      <c r="A2679" t="s">
        <v>2752</v>
      </c>
      <c r="B2679" t="s">
        <v>2753</v>
      </c>
      <c r="C2679" t="s">
        <v>635</v>
      </c>
      <c r="D2679" s="4">
        <v>0</v>
      </c>
      <c r="E2679" s="4">
        <v>0</v>
      </c>
      <c r="F2679" s="4">
        <v>0</v>
      </c>
      <c r="H2679" s="3">
        <f t="shared" si="41"/>
        <v>0</v>
      </c>
    </row>
    <row r="2680" spans="1:8">
      <c r="A2680" t="s">
        <v>2772</v>
      </c>
      <c r="B2680" t="s">
        <v>2773</v>
      </c>
      <c r="C2680" t="s">
        <v>635</v>
      </c>
      <c r="D2680" s="4">
        <v>217900</v>
      </c>
      <c r="E2680" s="4">
        <v>217900</v>
      </c>
      <c r="F2680" s="4">
        <v>435800</v>
      </c>
      <c r="H2680" s="3">
        <f t="shared" si="41"/>
        <v>0</v>
      </c>
    </row>
    <row r="2681" spans="1:8">
      <c r="A2681" t="s">
        <v>2795</v>
      </c>
      <c r="B2681" t="s">
        <v>2796</v>
      </c>
      <c r="C2681" t="s">
        <v>635</v>
      </c>
      <c r="D2681" s="4">
        <v>0</v>
      </c>
      <c r="E2681" s="4">
        <v>0</v>
      </c>
      <c r="F2681" s="4">
        <v>0</v>
      </c>
      <c r="H2681" s="3">
        <f t="shared" si="41"/>
        <v>0</v>
      </c>
    </row>
    <row r="2682" spans="1:8">
      <c r="A2682" t="s">
        <v>2801</v>
      </c>
      <c r="B2682" t="s">
        <v>2802</v>
      </c>
      <c r="C2682" t="s">
        <v>635</v>
      </c>
      <c r="D2682" s="4">
        <v>0</v>
      </c>
      <c r="E2682" s="4">
        <v>0</v>
      </c>
      <c r="F2682" s="4">
        <v>0</v>
      </c>
      <c r="H2682" s="3">
        <f t="shared" si="41"/>
        <v>0</v>
      </c>
    </row>
    <row r="2683" spans="1:8">
      <c r="A2683" t="s">
        <v>2803</v>
      </c>
      <c r="B2683" t="s">
        <v>2804</v>
      </c>
      <c r="C2683" t="s">
        <v>635</v>
      </c>
      <c r="D2683" s="4">
        <v>0</v>
      </c>
      <c r="E2683" s="4">
        <v>0</v>
      </c>
      <c r="F2683" s="4">
        <v>0</v>
      </c>
      <c r="H2683" s="3">
        <f t="shared" si="41"/>
        <v>0</v>
      </c>
    </row>
    <row r="2684" spans="1:8">
      <c r="A2684" t="s">
        <v>2805</v>
      </c>
      <c r="B2684" t="s">
        <v>2806</v>
      </c>
      <c r="C2684" t="s">
        <v>635</v>
      </c>
      <c r="D2684" s="4">
        <v>506500</v>
      </c>
      <c r="E2684" s="4">
        <v>506500</v>
      </c>
      <c r="F2684" s="4">
        <v>1013000</v>
      </c>
      <c r="H2684" s="3">
        <f t="shared" si="41"/>
        <v>0</v>
      </c>
    </row>
    <row r="2685" spans="1:8">
      <c r="A2685" t="s">
        <v>2808</v>
      </c>
      <c r="B2685" t="s">
        <v>2809</v>
      </c>
      <c r="C2685" t="s">
        <v>635</v>
      </c>
      <c r="D2685" s="4">
        <v>519000</v>
      </c>
      <c r="E2685" s="4">
        <v>519000</v>
      </c>
      <c r="F2685" s="4">
        <v>1038000</v>
      </c>
      <c r="H2685" s="3">
        <f t="shared" si="41"/>
        <v>0</v>
      </c>
    </row>
    <row r="2686" spans="1:8">
      <c r="A2686" t="s">
        <v>2824</v>
      </c>
      <c r="B2686" t="s">
        <v>2825</v>
      </c>
      <c r="C2686" t="s">
        <v>635</v>
      </c>
      <c r="D2686" s="4">
        <v>220200</v>
      </c>
      <c r="E2686" s="4">
        <v>220200</v>
      </c>
      <c r="F2686" s="4">
        <v>440400</v>
      </c>
      <c r="H2686" s="3">
        <f t="shared" si="41"/>
        <v>0</v>
      </c>
    </row>
    <row r="2687" spans="1:8">
      <c r="A2687" t="s">
        <v>2827</v>
      </c>
      <c r="B2687" t="s">
        <v>2828</v>
      </c>
      <c r="C2687" t="s">
        <v>635</v>
      </c>
      <c r="D2687" s="4">
        <v>0</v>
      </c>
      <c r="E2687" s="4">
        <v>0</v>
      </c>
      <c r="F2687" s="4">
        <v>0</v>
      </c>
      <c r="H2687" s="3">
        <f t="shared" si="41"/>
        <v>0</v>
      </c>
    </row>
    <row r="2688" spans="1:8">
      <c r="A2688" t="s">
        <v>2832</v>
      </c>
      <c r="B2688" t="s">
        <v>2833</v>
      </c>
      <c r="C2688" t="s">
        <v>635</v>
      </c>
      <c r="D2688" s="4">
        <v>0</v>
      </c>
      <c r="E2688" s="4">
        <v>0</v>
      </c>
      <c r="F2688" s="4">
        <v>0</v>
      </c>
      <c r="H2688" s="3">
        <f t="shared" si="41"/>
        <v>0</v>
      </c>
    </row>
    <row r="2689" spans="1:8">
      <c r="A2689" t="s">
        <v>2836</v>
      </c>
      <c r="B2689" t="s">
        <v>2837</v>
      </c>
      <c r="C2689" t="s">
        <v>635</v>
      </c>
      <c r="D2689" s="4">
        <v>872700</v>
      </c>
      <c r="E2689" s="4">
        <v>872700</v>
      </c>
      <c r="F2689" s="4">
        <v>1745400</v>
      </c>
      <c r="H2689" s="3">
        <f t="shared" si="41"/>
        <v>0</v>
      </c>
    </row>
    <row r="2690" spans="1:8">
      <c r="A2690" t="s">
        <v>2875</v>
      </c>
      <c r="B2690" t="s">
        <v>2876</v>
      </c>
      <c r="C2690" t="s">
        <v>635</v>
      </c>
      <c r="D2690" s="4">
        <v>250600</v>
      </c>
      <c r="E2690" s="4">
        <v>250600</v>
      </c>
      <c r="F2690" s="4">
        <v>501200</v>
      </c>
      <c r="H2690" s="3">
        <f t="shared" si="41"/>
        <v>0</v>
      </c>
    </row>
    <row r="2691" spans="1:8">
      <c r="A2691" t="s">
        <v>2883</v>
      </c>
      <c r="B2691" t="s">
        <v>2884</v>
      </c>
      <c r="C2691" t="s">
        <v>635</v>
      </c>
      <c r="D2691" s="4">
        <v>0</v>
      </c>
      <c r="E2691" s="4">
        <v>0</v>
      </c>
      <c r="F2691" s="4">
        <v>0</v>
      </c>
      <c r="H2691" s="3">
        <f t="shared" si="41"/>
        <v>0</v>
      </c>
    </row>
    <row r="2692" spans="1:8">
      <c r="A2692" t="s">
        <v>2885</v>
      </c>
      <c r="B2692" t="s">
        <v>2886</v>
      </c>
      <c r="C2692" t="s">
        <v>635</v>
      </c>
      <c r="D2692" s="4">
        <v>0</v>
      </c>
      <c r="E2692" s="4">
        <v>0</v>
      </c>
      <c r="F2692" s="4">
        <v>0</v>
      </c>
      <c r="H2692" s="3">
        <f t="shared" si="41"/>
        <v>0</v>
      </c>
    </row>
    <row r="2693" spans="1:8">
      <c r="A2693" t="s">
        <v>2888</v>
      </c>
      <c r="B2693" t="s">
        <v>2889</v>
      </c>
      <c r="C2693" t="s">
        <v>466</v>
      </c>
      <c r="D2693" s="4">
        <v>0</v>
      </c>
      <c r="E2693" s="4">
        <v>0</v>
      </c>
      <c r="F2693" s="4">
        <v>0</v>
      </c>
      <c r="H2693" s="3">
        <f t="shared" si="41"/>
        <v>0</v>
      </c>
    </row>
    <row r="2694" spans="1:8">
      <c r="A2694" t="s">
        <v>2945</v>
      </c>
      <c r="B2694" t="s">
        <v>2946</v>
      </c>
      <c r="C2694" t="s">
        <v>749</v>
      </c>
      <c r="D2694" s="4">
        <v>0</v>
      </c>
      <c r="E2694" s="4">
        <v>0</v>
      </c>
      <c r="F2694" s="4">
        <v>0</v>
      </c>
      <c r="H2694" s="3">
        <f t="shared" si="41"/>
        <v>0</v>
      </c>
    </row>
    <row r="2695" spans="1:8">
      <c r="A2695" t="s">
        <v>2952</v>
      </c>
      <c r="B2695" t="s">
        <v>2953</v>
      </c>
      <c r="C2695" t="s">
        <v>635</v>
      </c>
      <c r="D2695" s="4">
        <v>506500</v>
      </c>
      <c r="E2695" s="4">
        <v>506500</v>
      </c>
      <c r="F2695" s="4">
        <v>1013000</v>
      </c>
      <c r="H2695" s="3">
        <f t="shared" si="41"/>
        <v>0</v>
      </c>
    </row>
    <row r="2696" spans="1:8">
      <c r="A2696" t="s">
        <v>2954</v>
      </c>
      <c r="B2696" t="s">
        <v>2955</v>
      </c>
      <c r="C2696" t="s">
        <v>466</v>
      </c>
      <c r="D2696" s="4">
        <v>0</v>
      </c>
      <c r="E2696" s="4">
        <v>0</v>
      </c>
      <c r="F2696" s="4">
        <v>0</v>
      </c>
      <c r="H2696" s="3">
        <f t="shared" si="41"/>
        <v>0</v>
      </c>
    </row>
    <row r="2697" spans="1:8">
      <c r="A2697" t="s">
        <v>2962</v>
      </c>
      <c r="B2697" t="s">
        <v>2963</v>
      </c>
      <c r="C2697" t="s">
        <v>635</v>
      </c>
      <c r="D2697" s="4">
        <v>0</v>
      </c>
      <c r="E2697" s="4">
        <v>0</v>
      </c>
      <c r="F2697" s="4">
        <v>0</v>
      </c>
      <c r="H2697" s="3">
        <f t="shared" si="41"/>
        <v>0</v>
      </c>
    </row>
    <row r="2698" spans="1:8">
      <c r="A2698" t="s">
        <v>2977</v>
      </c>
      <c r="B2698" t="s">
        <v>2978</v>
      </c>
      <c r="C2698" t="s">
        <v>466</v>
      </c>
      <c r="D2698" s="4">
        <v>0</v>
      </c>
      <c r="E2698" s="4">
        <v>0</v>
      </c>
      <c r="F2698" s="4">
        <v>0</v>
      </c>
      <c r="H2698" s="3">
        <f t="shared" si="41"/>
        <v>0</v>
      </c>
    </row>
    <row r="2699" spans="1:8">
      <c r="A2699" t="s">
        <v>2984</v>
      </c>
      <c r="B2699" t="s">
        <v>2985</v>
      </c>
      <c r="C2699" t="s">
        <v>635</v>
      </c>
      <c r="D2699" s="4">
        <v>0</v>
      </c>
      <c r="E2699" s="4">
        <v>0</v>
      </c>
      <c r="F2699" s="4">
        <v>0</v>
      </c>
      <c r="H2699" s="3">
        <f t="shared" si="41"/>
        <v>0</v>
      </c>
    </row>
    <row r="2700" spans="1:8">
      <c r="A2700" t="s">
        <v>2991</v>
      </c>
      <c r="B2700" t="s">
        <v>2992</v>
      </c>
      <c r="C2700" t="s">
        <v>635</v>
      </c>
      <c r="D2700" s="4">
        <v>0</v>
      </c>
      <c r="E2700" s="4">
        <v>0</v>
      </c>
      <c r="F2700" s="4">
        <v>0</v>
      </c>
      <c r="H2700" s="3">
        <f t="shared" si="41"/>
        <v>0</v>
      </c>
    </row>
    <row r="2701" spans="1:8">
      <c r="A2701" t="s">
        <v>2997</v>
      </c>
      <c r="B2701" t="s">
        <v>2998</v>
      </c>
      <c r="C2701" t="s">
        <v>749</v>
      </c>
      <c r="D2701" s="4">
        <v>291900</v>
      </c>
      <c r="E2701" s="4">
        <v>291900</v>
      </c>
      <c r="F2701" s="4">
        <v>583800</v>
      </c>
      <c r="H2701" s="3">
        <f t="shared" si="41"/>
        <v>0</v>
      </c>
    </row>
    <row r="2702" spans="1:8">
      <c r="A2702" t="s">
        <v>3000</v>
      </c>
      <c r="B2702" t="s">
        <v>3001</v>
      </c>
      <c r="C2702" t="s">
        <v>635</v>
      </c>
      <c r="D2702" s="4">
        <v>0</v>
      </c>
      <c r="E2702" s="4">
        <v>0</v>
      </c>
      <c r="F2702" s="4">
        <v>0</v>
      </c>
      <c r="H2702" s="3">
        <f t="shared" si="41"/>
        <v>0</v>
      </c>
    </row>
    <row r="2703" spans="1:8">
      <c r="A2703" t="s">
        <v>3010</v>
      </c>
      <c r="B2703" t="s">
        <v>3011</v>
      </c>
      <c r="C2703" t="s">
        <v>635</v>
      </c>
      <c r="D2703" s="4">
        <v>0</v>
      </c>
      <c r="E2703" s="4">
        <v>0</v>
      </c>
      <c r="F2703" s="4">
        <v>0</v>
      </c>
      <c r="H2703" s="3">
        <f t="shared" si="41"/>
        <v>0</v>
      </c>
    </row>
    <row r="2704" spans="1:8">
      <c r="A2704" t="s">
        <v>3016</v>
      </c>
      <c r="B2704" t="s">
        <v>3017</v>
      </c>
      <c r="C2704" t="s">
        <v>635</v>
      </c>
      <c r="D2704" s="4">
        <v>0</v>
      </c>
      <c r="E2704" s="4">
        <v>0</v>
      </c>
      <c r="F2704" s="4">
        <v>0</v>
      </c>
      <c r="H2704" s="3">
        <f t="shared" si="41"/>
        <v>0</v>
      </c>
    </row>
    <row r="2705" spans="1:8">
      <c r="A2705" t="s">
        <v>3026</v>
      </c>
      <c r="B2705" t="s">
        <v>3027</v>
      </c>
      <c r="C2705" t="s">
        <v>635</v>
      </c>
      <c r="D2705" s="4">
        <v>506500</v>
      </c>
      <c r="E2705" s="4">
        <v>506500</v>
      </c>
      <c r="F2705" s="4">
        <v>1013000</v>
      </c>
      <c r="H2705" s="3">
        <f t="shared" si="41"/>
        <v>0</v>
      </c>
    </row>
    <row r="2706" spans="1:8">
      <c r="A2706" t="s">
        <v>3039</v>
      </c>
      <c r="B2706" t="s">
        <v>3040</v>
      </c>
      <c r="C2706" t="s">
        <v>749</v>
      </c>
      <c r="D2706" s="4">
        <v>0</v>
      </c>
      <c r="E2706" s="4">
        <v>0</v>
      </c>
      <c r="F2706" s="4">
        <v>0</v>
      </c>
      <c r="H2706" s="3">
        <f t="shared" si="41"/>
        <v>0</v>
      </c>
    </row>
    <row r="2707" spans="1:8">
      <c r="A2707" t="s">
        <v>1504</v>
      </c>
      <c r="B2707" t="s">
        <v>1505</v>
      </c>
      <c r="C2707" t="s">
        <v>466</v>
      </c>
      <c r="D2707" s="4">
        <v>0</v>
      </c>
      <c r="E2707" s="4">
        <v>0</v>
      </c>
      <c r="F2707" s="4">
        <v>0</v>
      </c>
      <c r="H2707" s="3">
        <f t="shared" si="41"/>
        <v>0</v>
      </c>
    </row>
    <row r="2708" spans="1:8">
      <c r="A2708" t="s">
        <v>1655</v>
      </c>
      <c r="B2708" t="s">
        <v>1656</v>
      </c>
      <c r="C2708" t="s">
        <v>635</v>
      </c>
      <c r="D2708" s="4">
        <v>0</v>
      </c>
      <c r="E2708" s="4">
        <v>0</v>
      </c>
      <c r="F2708" s="4">
        <v>0</v>
      </c>
      <c r="H2708" s="3">
        <f t="shared" si="41"/>
        <v>0</v>
      </c>
    </row>
    <row r="2709" spans="1:8">
      <c r="A2709" t="s">
        <v>2113</v>
      </c>
      <c r="B2709" t="s">
        <v>2114</v>
      </c>
      <c r="C2709" t="s">
        <v>635</v>
      </c>
      <c r="D2709" s="4">
        <v>0</v>
      </c>
      <c r="E2709" s="4">
        <v>0</v>
      </c>
      <c r="F2709" s="4">
        <v>0</v>
      </c>
      <c r="H2709" s="3">
        <f t="shared" si="41"/>
        <v>0</v>
      </c>
    </row>
    <row r="2710" spans="1:8">
      <c r="A2710" t="s">
        <v>2145</v>
      </c>
      <c r="B2710" t="s">
        <v>2146</v>
      </c>
      <c r="C2710" t="s">
        <v>635</v>
      </c>
      <c r="D2710" s="4">
        <v>0</v>
      </c>
      <c r="E2710" s="4">
        <v>0</v>
      </c>
      <c r="F2710" s="4">
        <v>0</v>
      </c>
      <c r="H2710" s="3">
        <f t="shared" si="41"/>
        <v>0</v>
      </c>
    </row>
    <row r="2711" spans="1:8">
      <c r="A2711" t="s">
        <v>2149</v>
      </c>
      <c r="B2711" t="s">
        <v>2150</v>
      </c>
      <c r="C2711" t="s">
        <v>466</v>
      </c>
      <c r="D2711" s="4">
        <v>0</v>
      </c>
      <c r="E2711" s="4">
        <v>0</v>
      </c>
      <c r="F2711" s="4">
        <v>0</v>
      </c>
      <c r="H2711" s="3">
        <f t="shared" si="41"/>
        <v>0</v>
      </c>
    </row>
    <row r="2712" spans="1:8">
      <c r="A2712" t="s">
        <v>2156</v>
      </c>
      <c r="B2712" t="s">
        <v>2157</v>
      </c>
      <c r="C2712" t="s">
        <v>466</v>
      </c>
      <c r="D2712" s="4">
        <v>0</v>
      </c>
      <c r="E2712" s="4">
        <v>0</v>
      </c>
      <c r="F2712" s="4">
        <v>0</v>
      </c>
      <c r="H2712" s="3">
        <f t="shared" si="41"/>
        <v>0</v>
      </c>
    </row>
    <row r="2713" spans="1:8">
      <c r="A2713" t="s">
        <v>2265</v>
      </c>
      <c r="B2713" t="s">
        <v>2266</v>
      </c>
      <c r="C2713" t="s">
        <v>466</v>
      </c>
      <c r="D2713" s="4">
        <v>0</v>
      </c>
      <c r="E2713" s="4">
        <v>0</v>
      </c>
      <c r="F2713" s="4">
        <v>0</v>
      </c>
      <c r="H2713" s="3">
        <f t="shared" si="41"/>
        <v>0</v>
      </c>
    </row>
    <row r="2714" spans="1:8">
      <c r="A2714" t="s">
        <v>2390</v>
      </c>
      <c r="B2714" t="s">
        <v>2391</v>
      </c>
      <c r="C2714" t="s">
        <v>635</v>
      </c>
      <c r="D2714" s="4">
        <v>0</v>
      </c>
      <c r="E2714" s="4">
        <v>0</v>
      </c>
      <c r="F2714" s="4">
        <v>0</v>
      </c>
      <c r="H2714" s="3">
        <f t="shared" si="41"/>
        <v>0</v>
      </c>
    </row>
    <row r="2715" spans="1:8">
      <c r="A2715" t="s">
        <v>2431</v>
      </c>
      <c r="B2715" t="s">
        <v>2432</v>
      </c>
      <c r="C2715" t="s">
        <v>635</v>
      </c>
      <c r="D2715" s="4">
        <v>0</v>
      </c>
      <c r="E2715" s="4">
        <v>0</v>
      </c>
      <c r="F2715" s="4">
        <v>0</v>
      </c>
      <c r="H2715" s="3">
        <f t="shared" si="41"/>
        <v>0</v>
      </c>
    </row>
    <row r="2716" spans="1:8">
      <c r="A2716" t="s">
        <v>2484</v>
      </c>
      <c r="B2716" t="s">
        <v>2485</v>
      </c>
      <c r="C2716" t="s">
        <v>635</v>
      </c>
      <c r="D2716" s="4">
        <v>0</v>
      </c>
      <c r="E2716" s="4">
        <v>0</v>
      </c>
      <c r="F2716" s="4">
        <v>0</v>
      </c>
      <c r="H2716" s="3">
        <f t="shared" si="41"/>
        <v>0</v>
      </c>
    </row>
    <row r="2717" spans="1:8">
      <c r="A2717" t="s">
        <v>2714</v>
      </c>
      <c r="B2717" t="s">
        <v>2715</v>
      </c>
      <c r="C2717" t="s">
        <v>466</v>
      </c>
      <c r="D2717" s="4">
        <v>0</v>
      </c>
      <c r="E2717" s="4">
        <v>0</v>
      </c>
      <c r="F2717" s="4">
        <v>0</v>
      </c>
      <c r="H2717" s="3">
        <f t="shared" si="41"/>
        <v>0</v>
      </c>
    </row>
    <row r="2718" spans="1:8">
      <c r="A2718" t="s">
        <v>2812</v>
      </c>
      <c r="B2718" t="s">
        <v>2813</v>
      </c>
      <c r="C2718" t="s">
        <v>635</v>
      </c>
      <c r="D2718" s="4">
        <v>0</v>
      </c>
      <c r="E2718" s="4">
        <v>0</v>
      </c>
      <c r="F2718" s="4">
        <v>0</v>
      </c>
      <c r="H2718" s="3">
        <f t="shared" si="41"/>
        <v>0</v>
      </c>
    </row>
    <row r="2719" spans="1:8">
      <c r="A2719" t="s">
        <v>1509</v>
      </c>
      <c r="B2719" t="s">
        <v>1510</v>
      </c>
      <c r="C2719" t="s">
        <v>466</v>
      </c>
      <c r="D2719" s="4">
        <v>0</v>
      </c>
      <c r="E2719" s="4">
        <v>0</v>
      </c>
      <c r="F2719" s="4">
        <v>0</v>
      </c>
      <c r="H2719" s="3">
        <f t="shared" si="41"/>
        <v>0</v>
      </c>
    </row>
    <row r="2720" spans="1:8">
      <c r="A2720" t="s">
        <v>2152</v>
      </c>
      <c r="B2720" t="s">
        <v>2153</v>
      </c>
      <c r="C2720" t="s">
        <v>466</v>
      </c>
      <c r="D2720" s="4">
        <v>0</v>
      </c>
      <c r="E2720" s="4">
        <v>0</v>
      </c>
      <c r="F2720" s="4">
        <v>0</v>
      </c>
      <c r="H2720" s="3">
        <f t="shared" si="41"/>
        <v>0</v>
      </c>
    </row>
    <row r="2721" spans="1:8">
      <c r="A2721" t="s">
        <v>2191</v>
      </c>
      <c r="B2721" t="s">
        <v>2192</v>
      </c>
      <c r="C2721" t="s">
        <v>466</v>
      </c>
      <c r="D2721" s="4">
        <v>0</v>
      </c>
      <c r="E2721" s="4">
        <v>0</v>
      </c>
      <c r="F2721" s="4">
        <v>0</v>
      </c>
      <c r="H2721" s="3">
        <f t="shared" si="41"/>
        <v>0</v>
      </c>
    </row>
    <row r="2722" spans="1:8">
      <c r="A2722" t="s">
        <v>2195</v>
      </c>
      <c r="B2722" t="s">
        <v>2196</v>
      </c>
      <c r="C2722" t="s">
        <v>466</v>
      </c>
      <c r="D2722" s="4">
        <v>0</v>
      </c>
      <c r="E2722" s="4">
        <v>0</v>
      </c>
      <c r="F2722" s="4">
        <v>0</v>
      </c>
      <c r="H2722" s="3">
        <f t="shared" si="41"/>
        <v>0</v>
      </c>
    </row>
    <row r="2723" spans="1:8">
      <c r="A2723" t="s">
        <v>2203</v>
      </c>
      <c r="B2723" t="s">
        <v>2204</v>
      </c>
      <c r="C2723" t="s">
        <v>466</v>
      </c>
      <c r="D2723" s="4">
        <v>0</v>
      </c>
      <c r="E2723" s="4">
        <v>0</v>
      </c>
      <c r="F2723" s="4">
        <v>0</v>
      </c>
      <c r="H2723" s="3">
        <f t="shared" si="41"/>
        <v>0</v>
      </c>
    </row>
    <row r="2724" spans="1:8">
      <c r="A2724" t="s">
        <v>2213</v>
      </c>
      <c r="B2724" t="s">
        <v>2214</v>
      </c>
      <c r="C2724" t="s">
        <v>466</v>
      </c>
      <c r="D2724" s="4">
        <v>0</v>
      </c>
      <c r="E2724" s="4">
        <v>0</v>
      </c>
      <c r="F2724" s="4">
        <v>0</v>
      </c>
      <c r="H2724" s="3">
        <f t="shared" si="41"/>
        <v>0</v>
      </c>
    </row>
    <row r="2725" spans="1:8">
      <c r="A2725" t="s">
        <v>2224</v>
      </c>
      <c r="B2725" t="s">
        <v>2225</v>
      </c>
      <c r="C2725" t="s">
        <v>466</v>
      </c>
      <c r="D2725" s="4">
        <v>0</v>
      </c>
      <c r="E2725" s="4">
        <v>0</v>
      </c>
      <c r="F2725" s="4">
        <v>0</v>
      </c>
      <c r="H2725" s="3">
        <f t="shared" si="41"/>
        <v>0</v>
      </c>
    </row>
    <row r="2726" spans="1:8">
      <c r="A2726" t="s">
        <v>2272</v>
      </c>
      <c r="B2726" t="s">
        <v>2273</v>
      </c>
      <c r="C2726" t="s">
        <v>466</v>
      </c>
      <c r="D2726" s="4">
        <v>0</v>
      </c>
      <c r="E2726" s="4">
        <v>0</v>
      </c>
      <c r="F2726" s="4">
        <v>0</v>
      </c>
      <c r="H2726" s="3">
        <f t="shared" si="41"/>
        <v>0</v>
      </c>
    </row>
    <row r="2727" spans="1:8">
      <c r="A2727" t="s">
        <v>2434</v>
      </c>
      <c r="B2727" t="s">
        <v>2435</v>
      </c>
      <c r="C2727" t="s">
        <v>635</v>
      </c>
      <c r="D2727" s="4">
        <v>0</v>
      </c>
      <c r="E2727" s="4">
        <v>0</v>
      </c>
      <c r="F2727" s="4">
        <v>0</v>
      </c>
      <c r="H2727" s="3">
        <f t="shared" si="41"/>
        <v>0</v>
      </c>
    </row>
    <row r="2728" spans="1:8">
      <c r="A2728" t="s">
        <v>2462</v>
      </c>
      <c r="B2728" t="s">
        <v>2463</v>
      </c>
      <c r="C2728" t="s">
        <v>466</v>
      </c>
      <c r="D2728" s="4">
        <v>0</v>
      </c>
      <c r="E2728" s="4">
        <v>0</v>
      </c>
      <c r="F2728" s="4">
        <v>0</v>
      </c>
      <c r="H2728" s="3">
        <f t="shared" si="41"/>
        <v>0</v>
      </c>
    </row>
    <row r="2729" spans="1:8">
      <c r="A2729" t="s">
        <v>2473</v>
      </c>
      <c r="B2729" t="s">
        <v>2474</v>
      </c>
      <c r="C2729" t="s">
        <v>466</v>
      </c>
      <c r="D2729" s="4">
        <v>0</v>
      </c>
      <c r="E2729" s="4">
        <v>0</v>
      </c>
      <c r="F2729" s="4">
        <v>0</v>
      </c>
      <c r="H2729" s="3">
        <f t="shared" si="41"/>
        <v>0</v>
      </c>
    </row>
    <row r="2730" spans="1:8">
      <c r="A2730" t="s">
        <v>2747</v>
      </c>
      <c r="B2730" t="s">
        <v>2748</v>
      </c>
      <c r="C2730" t="s">
        <v>466</v>
      </c>
      <c r="D2730" s="4">
        <v>0</v>
      </c>
      <c r="E2730" s="4">
        <v>0</v>
      </c>
      <c r="F2730" s="4">
        <v>0</v>
      </c>
      <c r="H2730" s="3">
        <f t="shared" si="41"/>
        <v>0</v>
      </c>
    </row>
    <row r="2731" spans="1:8">
      <c r="A2731" t="s">
        <v>2820</v>
      </c>
      <c r="B2731" t="s">
        <v>2821</v>
      </c>
      <c r="C2731" t="s">
        <v>466</v>
      </c>
      <c r="D2731" s="4">
        <v>0</v>
      </c>
      <c r="E2731" s="4">
        <v>0</v>
      </c>
      <c r="F2731" s="4">
        <v>0</v>
      </c>
      <c r="H2731" s="3">
        <f t="shared" si="41"/>
        <v>0</v>
      </c>
    </row>
    <row r="2732" spans="1:8">
      <c r="A2732" t="s">
        <v>2877</v>
      </c>
      <c r="B2732" t="s">
        <v>2878</v>
      </c>
      <c r="C2732" t="s">
        <v>635</v>
      </c>
      <c r="D2732" s="4">
        <v>0</v>
      </c>
      <c r="E2732" s="4">
        <v>0</v>
      </c>
      <c r="F2732" s="4">
        <v>0</v>
      </c>
      <c r="H2732" s="3">
        <f t="shared" ref="H2732:H2795" si="42">+D2732-E2732</f>
        <v>0</v>
      </c>
    </row>
    <row r="2733" spans="1:8">
      <c r="A2733" t="s">
        <v>1533</v>
      </c>
      <c r="B2733" t="s">
        <v>1534</v>
      </c>
      <c r="C2733" t="s">
        <v>466</v>
      </c>
      <c r="D2733" s="4">
        <v>0</v>
      </c>
      <c r="E2733" s="4">
        <v>0</v>
      </c>
      <c r="F2733" s="4">
        <v>0</v>
      </c>
      <c r="H2733" s="3">
        <f t="shared" si="42"/>
        <v>0</v>
      </c>
    </row>
    <row r="2734" spans="1:8">
      <c r="A2734" t="s">
        <v>1538</v>
      </c>
      <c r="B2734" t="s">
        <v>1539</v>
      </c>
      <c r="C2734" t="s">
        <v>466</v>
      </c>
      <c r="D2734" s="4">
        <v>0</v>
      </c>
      <c r="E2734" s="4">
        <v>0</v>
      </c>
      <c r="F2734" s="4">
        <v>0</v>
      </c>
      <c r="H2734" s="3">
        <f t="shared" si="42"/>
        <v>0</v>
      </c>
    </row>
    <row r="2735" spans="1:8">
      <c r="A2735" t="s">
        <v>1559</v>
      </c>
      <c r="B2735" t="s">
        <v>1560</v>
      </c>
      <c r="C2735" t="s">
        <v>466</v>
      </c>
      <c r="D2735" s="4">
        <v>0</v>
      </c>
      <c r="E2735" s="4">
        <v>0</v>
      </c>
      <c r="F2735" s="4">
        <v>0</v>
      </c>
      <c r="H2735" s="3">
        <f t="shared" si="42"/>
        <v>0</v>
      </c>
    </row>
    <row r="2736" spans="1:8">
      <c r="A2736" t="s">
        <v>1641</v>
      </c>
      <c r="B2736" t="s">
        <v>1642</v>
      </c>
      <c r="C2736" t="s">
        <v>466</v>
      </c>
      <c r="D2736" s="4">
        <v>0</v>
      </c>
      <c r="E2736" s="4">
        <v>0</v>
      </c>
      <c r="F2736" s="4">
        <v>0</v>
      </c>
      <c r="H2736" s="3">
        <f t="shared" si="42"/>
        <v>0</v>
      </c>
    </row>
    <row r="2737" spans="1:8">
      <c r="A2737" t="s">
        <v>1820</v>
      </c>
      <c r="B2737" t="s">
        <v>1821</v>
      </c>
      <c r="C2737" t="s">
        <v>466</v>
      </c>
      <c r="D2737" s="4">
        <v>0</v>
      </c>
      <c r="E2737" s="4">
        <v>0</v>
      </c>
      <c r="F2737" s="4">
        <v>0</v>
      </c>
      <c r="H2737" s="3">
        <f t="shared" si="42"/>
        <v>0</v>
      </c>
    </row>
    <row r="2738" spans="1:8">
      <c r="A2738" t="s">
        <v>1831</v>
      </c>
      <c r="B2738" t="s">
        <v>1832</v>
      </c>
      <c r="C2738" t="s">
        <v>466</v>
      </c>
      <c r="D2738" s="4">
        <v>0</v>
      </c>
      <c r="E2738" s="4">
        <v>0</v>
      </c>
      <c r="F2738" s="4">
        <v>0</v>
      </c>
      <c r="H2738" s="3">
        <f t="shared" si="42"/>
        <v>0</v>
      </c>
    </row>
    <row r="2739" spans="1:8">
      <c r="A2739" t="s">
        <v>1934</v>
      </c>
      <c r="B2739" t="s">
        <v>1935</v>
      </c>
      <c r="C2739" t="s">
        <v>466</v>
      </c>
      <c r="D2739" s="4">
        <v>0</v>
      </c>
      <c r="E2739" s="4">
        <v>0</v>
      </c>
      <c r="F2739" s="4">
        <v>0</v>
      </c>
      <c r="H2739" s="3">
        <f t="shared" si="42"/>
        <v>0</v>
      </c>
    </row>
    <row r="2740" spans="1:8">
      <c r="A2740" t="s">
        <v>2173</v>
      </c>
      <c r="B2740" t="s">
        <v>2174</v>
      </c>
      <c r="C2740" t="s">
        <v>466</v>
      </c>
      <c r="D2740" s="4">
        <v>0</v>
      </c>
      <c r="E2740" s="4"/>
      <c r="F2740" s="4">
        <v>0</v>
      </c>
      <c r="H2740" s="3">
        <f t="shared" si="42"/>
        <v>0</v>
      </c>
    </row>
    <row r="2741" spans="1:8">
      <c r="B2741" t="s">
        <v>3058</v>
      </c>
      <c r="C2741" t="s">
        <v>466</v>
      </c>
      <c r="D2741" s="4"/>
      <c r="E2741" s="4">
        <v>0</v>
      </c>
      <c r="F2741" s="4">
        <v>0</v>
      </c>
      <c r="H2741" s="3">
        <f t="shared" si="42"/>
        <v>0</v>
      </c>
    </row>
    <row r="2742" spans="1:8">
      <c r="A2742" t="s">
        <v>2184</v>
      </c>
      <c r="B2742" t="s">
        <v>2185</v>
      </c>
      <c r="C2742" t="s">
        <v>466</v>
      </c>
      <c r="D2742" s="4">
        <v>0</v>
      </c>
      <c r="E2742" s="4">
        <v>0</v>
      </c>
      <c r="F2742" s="4">
        <v>0</v>
      </c>
      <c r="H2742" s="3">
        <f t="shared" si="42"/>
        <v>0</v>
      </c>
    </row>
    <row r="2743" spans="1:8">
      <c r="A2743" t="s">
        <v>2360</v>
      </c>
      <c r="B2743" t="s">
        <v>2361</v>
      </c>
      <c r="C2743" t="s">
        <v>466</v>
      </c>
      <c r="D2743" s="4">
        <v>0</v>
      </c>
      <c r="E2743" s="4">
        <v>0</v>
      </c>
      <c r="F2743" s="4">
        <v>0</v>
      </c>
      <c r="H2743" s="3">
        <f t="shared" si="42"/>
        <v>0</v>
      </c>
    </row>
    <row r="2744" spans="1:8">
      <c r="A2744" t="s">
        <v>2371</v>
      </c>
      <c r="B2744" t="s">
        <v>2372</v>
      </c>
      <c r="C2744" t="s">
        <v>466</v>
      </c>
      <c r="D2744" s="4">
        <v>0</v>
      </c>
      <c r="E2744" s="4">
        <v>0</v>
      </c>
      <c r="F2744" s="4">
        <v>0</v>
      </c>
      <c r="H2744" s="3">
        <f t="shared" si="42"/>
        <v>0</v>
      </c>
    </row>
    <row r="2745" spans="1:8">
      <c r="A2745" t="s">
        <v>2376</v>
      </c>
      <c r="B2745" t="s">
        <v>2377</v>
      </c>
      <c r="C2745" t="s">
        <v>466</v>
      </c>
      <c r="D2745" s="4">
        <v>0</v>
      </c>
      <c r="E2745" s="4">
        <v>0</v>
      </c>
      <c r="F2745" s="4">
        <v>0</v>
      </c>
      <c r="H2745" s="3">
        <f t="shared" si="42"/>
        <v>0</v>
      </c>
    </row>
    <row r="2746" spans="1:8">
      <c r="A2746" t="s">
        <v>2384</v>
      </c>
      <c r="B2746" t="s">
        <v>2385</v>
      </c>
      <c r="C2746" t="s">
        <v>466</v>
      </c>
      <c r="D2746" s="4">
        <v>0</v>
      </c>
      <c r="E2746" s="4">
        <v>0</v>
      </c>
      <c r="F2746" s="4">
        <v>0</v>
      </c>
      <c r="H2746" s="3">
        <f t="shared" si="42"/>
        <v>0</v>
      </c>
    </row>
    <row r="2747" spans="1:8">
      <c r="A2747" t="s">
        <v>2388</v>
      </c>
      <c r="B2747" t="s">
        <v>2389</v>
      </c>
      <c r="C2747" t="s">
        <v>466</v>
      </c>
      <c r="D2747" s="4">
        <v>0</v>
      </c>
      <c r="E2747" s="4">
        <v>0</v>
      </c>
      <c r="F2747" s="4">
        <v>0</v>
      </c>
      <c r="H2747" s="3">
        <f t="shared" si="42"/>
        <v>0</v>
      </c>
    </row>
    <row r="2748" spans="1:8">
      <c r="A2748" t="s">
        <v>2401</v>
      </c>
      <c r="B2748" t="s">
        <v>2402</v>
      </c>
      <c r="C2748" t="s">
        <v>466</v>
      </c>
      <c r="D2748" s="4">
        <v>0</v>
      </c>
      <c r="E2748" s="4">
        <v>0</v>
      </c>
      <c r="F2748" s="4">
        <v>0</v>
      </c>
      <c r="H2748" s="3">
        <f t="shared" si="42"/>
        <v>0</v>
      </c>
    </row>
    <row r="2749" spans="1:8">
      <c r="A2749" t="s">
        <v>2466</v>
      </c>
      <c r="B2749" t="s">
        <v>2467</v>
      </c>
      <c r="C2749" t="s">
        <v>466</v>
      </c>
      <c r="D2749" s="4">
        <v>0</v>
      </c>
      <c r="E2749" s="4">
        <v>0</v>
      </c>
      <c r="F2749" s="4">
        <v>0</v>
      </c>
      <c r="H2749" s="3">
        <f t="shared" si="42"/>
        <v>0</v>
      </c>
    </row>
    <row r="2750" spans="1:8">
      <c r="A2750" t="s">
        <v>2542</v>
      </c>
      <c r="B2750" t="s">
        <v>2543</v>
      </c>
      <c r="C2750" t="s">
        <v>466</v>
      </c>
      <c r="D2750" s="4">
        <v>0</v>
      </c>
      <c r="E2750" s="4">
        <v>0</v>
      </c>
      <c r="F2750" s="4">
        <v>0</v>
      </c>
      <c r="H2750" s="3">
        <f t="shared" si="42"/>
        <v>0</v>
      </c>
    </row>
    <row r="2751" spans="1:8">
      <c r="A2751" t="s">
        <v>2589</v>
      </c>
      <c r="B2751" t="s">
        <v>2590</v>
      </c>
      <c r="C2751" t="s">
        <v>466</v>
      </c>
      <c r="D2751" s="4">
        <v>0</v>
      </c>
      <c r="E2751" s="4">
        <v>0</v>
      </c>
      <c r="F2751" s="4">
        <v>0</v>
      </c>
      <c r="H2751" s="3">
        <f t="shared" si="42"/>
        <v>0</v>
      </c>
    </row>
    <row r="2752" spans="1:8">
      <c r="A2752" t="s">
        <v>2912</v>
      </c>
      <c r="B2752" t="s">
        <v>2913</v>
      </c>
      <c r="C2752" t="s">
        <v>466</v>
      </c>
      <c r="D2752" s="4">
        <v>0</v>
      </c>
      <c r="E2752" s="4">
        <v>0</v>
      </c>
      <c r="F2752" s="4">
        <v>0</v>
      </c>
      <c r="H2752" s="3">
        <f t="shared" si="42"/>
        <v>0</v>
      </c>
    </row>
    <row r="2753" spans="1:8">
      <c r="A2753" t="s">
        <v>3012</v>
      </c>
      <c r="B2753" t="s">
        <v>3013</v>
      </c>
      <c r="C2753" t="s">
        <v>635</v>
      </c>
      <c r="D2753" s="4">
        <v>0</v>
      </c>
      <c r="E2753" s="4">
        <v>0</v>
      </c>
      <c r="F2753" s="4">
        <v>0</v>
      </c>
      <c r="H2753" s="3">
        <f t="shared" si="42"/>
        <v>0</v>
      </c>
    </row>
    <row r="2754" spans="1:8">
      <c r="A2754" t="s">
        <v>1564</v>
      </c>
      <c r="B2754" t="s">
        <v>1565</v>
      </c>
      <c r="C2754" t="s">
        <v>466</v>
      </c>
      <c r="D2754" s="4">
        <v>0</v>
      </c>
      <c r="E2754" s="4">
        <v>0</v>
      </c>
      <c r="F2754" s="4">
        <v>0</v>
      </c>
      <c r="H2754" s="3">
        <f t="shared" si="42"/>
        <v>0</v>
      </c>
    </row>
    <row r="2755" spans="1:8">
      <c r="A2755" t="s">
        <v>1946</v>
      </c>
      <c r="B2755" t="s">
        <v>1947</v>
      </c>
      <c r="C2755" t="s">
        <v>466</v>
      </c>
      <c r="D2755" s="4">
        <v>0</v>
      </c>
      <c r="E2755" s="4">
        <v>0</v>
      </c>
      <c r="F2755" s="4">
        <v>0</v>
      </c>
      <c r="H2755" s="3">
        <f t="shared" si="42"/>
        <v>0</v>
      </c>
    </row>
    <row r="2756" spans="1:8">
      <c r="A2756" t="s">
        <v>2166</v>
      </c>
      <c r="B2756" t="s">
        <v>2167</v>
      </c>
      <c r="C2756" t="s">
        <v>466</v>
      </c>
      <c r="D2756" s="4">
        <v>0</v>
      </c>
      <c r="E2756" s="4">
        <v>0</v>
      </c>
      <c r="F2756" s="4">
        <v>0</v>
      </c>
      <c r="H2756" s="3">
        <f t="shared" si="42"/>
        <v>0</v>
      </c>
    </row>
    <row r="2757" spans="1:8">
      <c r="A2757" t="s">
        <v>2216</v>
      </c>
      <c r="B2757" t="s">
        <v>2217</v>
      </c>
      <c r="C2757" t="s">
        <v>466</v>
      </c>
      <c r="D2757" s="4">
        <v>0</v>
      </c>
      <c r="E2757" s="4">
        <v>0</v>
      </c>
      <c r="F2757" s="4">
        <v>0</v>
      </c>
      <c r="H2757" s="3">
        <f t="shared" si="42"/>
        <v>0</v>
      </c>
    </row>
    <row r="2758" spans="1:8">
      <c r="A2758" t="s">
        <v>2327</v>
      </c>
      <c r="B2758" t="s">
        <v>2328</v>
      </c>
      <c r="C2758" t="s">
        <v>635</v>
      </c>
      <c r="D2758" s="4">
        <v>0</v>
      </c>
      <c r="E2758" s="4">
        <v>0</v>
      </c>
      <c r="F2758" s="4">
        <v>0</v>
      </c>
      <c r="H2758" s="3">
        <f t="shared" si="42"/>
        <v>0</v>
      </c>
    </row>
    <row r="2759" spans="1:8">
      <c r="A2759" t="s">
        <v>3069</v>
      </c>
      <c r="B2759" t="s">
        <v>3070</v>
      </c>
      <c r="C2759" t="s">
        <v>25</v>
      </c>
      <c r="D2759" s="4"/>
      <c r="E2759" s="4">
        <v>0</v>
      </c>
      <c r="F2759" s="4">
        <v>0</v>
      </c>
      <c r="H2759" s="3">
        <f t="shared" si="42"/>
        <v>0</v>
      </c>
    </row>
    <row r="2760" spans="1:8">
      <c r="A2760" t="s">
        <v>1475</v>
      </c>
      <c r="B2760" t="s">
        <v>1476</v>
      </c>
      <c r="C2760" t="s">
        <v>466</v>
      </c>
      <c r="D2760" s="4">
        <v>0</v>
      </c>
      <c r="E2760" s="4">
        <v>0</v>
      </c>
      <c r="F2760" s="4">
        <v>0</v>
      </c>
      <c r="H2760" s="3">
        <f t="shared" si="42"/>
        <v>0</v>
      </c>
    </row>
    <row r="2761" spans="1:8">
      <c r="A2761" t="s">
        <v>1520</v>
      </c>
      <c r="B2761" t="s">
        <v>1521</v>
      </c>
      <c r="C2761" t="s">
        <v>466</v>
      </c>
      <c r="D2761" s="4">
        <v>0</v>
      </c>
      <c r="E2761" s="4">
        <v>0</v>
      </c>
      <c r="F2761" s="4">
        <v>0</v>
      </c>
      <c r="H2761" s="3">
        <f t="shared" si="42"/>
        <v>0</v>
      </c>
    </row>
    <row r="2762" spans="1:8">
      <c r="A2762" t="s">
        <v>1524</v>
      </c>
      <c r="B2762" t="s">
        <v>1525</v>
      </c>
      <c r="C2762" t="s">
        <v>466</v>
      </c>
      <c r="D2762" s="4">
        <v>0</v>
      </c>
      <c r="E2762" s="4">
        <v>0</v>
      </c>
      <c r="F2762" s="4">
        <v>0</v>
      </c>
      <c r="H2762" s="3">
        <f t="shared" si="42"/>
        <v>0</v>
      </c>
    </row>
    <row r="2763" spans="1:8">
      <c r="A2763" t="s">
        <v>1528</v>
      </c>
      <c r="B2763" t="s">
        <v>1529</v>
      </c>
      <c r="C2763" t="s">
        <v>466</v>
      </c>
      <c r="D2763" s="4">
        <v>0</v>
      </c>
      <c r="E2763" s="4">
        <v>0</v>
      </c>
      <c r="F2763" s="4">
        <v>0</v>
      </c>
      <c r="H2763" s="3">
        <f t="shared" si="42"/>
        <v>0</v>
      </c>
    </row>
    <row r="2764" spans="1:8">
      <c r="A2764" t="s">
        <v>1544</v>
      </c>
      <c r="B2764" t="s">
        <v>1545</v>
      </c>
      <c r="C2764" t="s">
        <v>466</v>
      </c>
      <c r="D2764" s="4">
        <v>0</v>
      </c>
      <c r="E2764" s="4">
        <v>0</v>
      </c>
      <c r="F2764" s="4">
        <v>0</v>
      </c>
      <c r="H2764" s="3">
        <f t="shared" si="42"/>
        <v>0</v>
      </c>
    </row>
    <row r="2765" spans="1:8">
      <c r="A2765" t="s">
        <v>1549</v>
      </c>
      <c r="B2765" t="s">
        <v>1550</v>
      </c>
      <c r="C2765" t="s">
        <v>466</v>
      </c>
      <c r="D2765" s="4">
        <v>0</v>
      </c>
      <c r="E2765" s="4">
        <v>0</v>
      </c>
      <c r="F2765" s="4">
        <v>0</v>
      </c>
      <c r="H2765" s="3">
        <f t="shared" si="42"/>
        <v>0</v>
      </c>
    </row>
    <row r="2766" spans="1:8">
      <c r="A2766" t="s">
        <v>1774</v>
      </c>
      <c r="B2766" t="s">
        <v>1775</v>
      </c>
      <c r="C2766" t="s">
        <v>466</v>
      </c>
      <c r="D2766" s="4">
        <v>0</v>
      </c>
      <c r="E2766" s="4">
        <v>0</v>
      </c>
      <c r="F2766" s="4">
        <v>0</v>
      </c>
      <c r="H2766" s="3">
        <f t="shared" si="42"/>
        <v>0</v>
      </c>
    </row>
    <row r="2767" spans="1:8">
      <c r="A2767" t="s">
        <v>1841</v>
      </c>
      <c r="B2767" t="s">
        <v>1842</v>
      </c>
      <c r="C2767" t="s">
        <v>466</v>
      </c>
      <c r="D2767" s="4">
        <v>0</v>
      </c>
      <c r="E2767" s="4">
        <v>0</v>
      </c>
      <c r="F2767" s="4">
        <v>0</v>
      </c>
      <c r="H2767" s="3">
        <f t="shared" si="42"/>
        <v>0</v>
      </c>
    </row>
    <row r="2768" spans="1:8">
      <c r="A2768" t="s">
        <v>1846</v>
      </c>
      <c r="B2768" t="s">
        <v>1847</v>
      </c>
      <c r="C2768" t="s">
        <v>466</v>
      </c>
      <c r="D2768" s="4">
        <v>0</v>
      </c>
      <c r="E2768" s="4">
        <v>0</v>
      </c>
      <c r="F2768" s="4">
        <v>0</v>
      </c>
      <c r="H2768" s="3">
        <f t="shared" si="42"/>
        <v>0</v>
      </c>
    </row>
    <row r="2769" spans="1:8">
      <c r="A2769" t="s">
        <v>1889</v>
      </c>
      <c r="B2769" t="s">
        <v>1890</v>
      </c>
      <c r="C2769" t="s">
        <v>466</v>
      </c>
      <c r="D2769" s="4">
        <v>0</v>
      </c>
      <c r="E2769" s="4">
        <v>0</v>
      </c>
      <c r="F2769" s="4">
        <v>0</v>
      </c>
      <c r="H2769" s="3">
        <f t="shared" si="42"/>
        <v>0</v>
      </c>
    </row>
    <row r="2770" spans="1:8">
      <c r="A2770" t="s">
        <v>1898</v>
      </c>
      <c r="B2770" t="s">
        <v>1899</v>
      </c>
      <c r="C2770" t="s">
        <v>635</v>
      </c>
      <c r="D2770" s="4">
        <v>0</v>
      </c>
      <c r="E2770" s="4">
        <v>0</v>
      </c>
      <c r="F2770" s="4">
        <v>0</v>
      </c>
      <c r="H2770" s="3">
        <f t="shared" si="42"/>
        <v>0</v>
      </c>
    </row>
    <row r="2771" spans="1:8">
      <c r="A2771" t="s">
        <v>2003</v>
      </c>
      <c r="B2771" t="s">
        <v>2004</v>
      </c>
      <c r="C2771" t="s">
        <v>635</v>
      </c>
      <c r="D2771" s="4">
        <v>0</v>
      </c>
      <c r="E2771" s="4">
        <v>0</v>
      </c>
      <c r="F2771" s="4">
        <v>0</v>
      </c>
      <c r="H2771" s="3">
        <f t="shared" si="42"/>
        <v>0</v>
      </c>
    </row>
    <row r="2772" spans="1:8">
      <c r="A2772" t="s">
        <v>2200</v>
      </c>
      <c r="B2772" t="s">
        <v>2201</v>
      </c>
      <c r="C2772" t="s">
        <v>466</v>
      </c>
      <c r="D2772" s="4">
        <v>0</v>
      </c>
      <c r="E2772" s="4">
        <v>0</v>
      </c>
      <c r="F2772" s="4">
        <v>0</v>
      </c>
      <c r="H2772" s="3">
        <f t="shared" si="42"/>
        <v>0</v>
      </c>
    </row>
    <row r="2773" spans="1:8">
      <c r="A2773" t="s">
        <v>2231</v>
      </c>
      <c r="B2773" t="s">
        <v>2232</v>
      </c>
      <c r="C2773" t="s">
        <v>466</v>
      </c>
      <c r="D2773" s="4">
        <v>0</v>
      </c>
      <c r="E2773" s="4">
        <v>0</v>
      </c>
      <c r="F2773" s="4">
        <v>0</v>
      </c>
      <c r="H2773" s="3">
        <f t="shared" si="42"/>
        <v>0</v>
      </c>
    </row>
    <row r="2774" spans="1:8">
      <c r="A2774" t="s">
        <v>2300</v>
      </c>
      <c r="B2774" t="s">
        <v>2301</v>
      </c>
      <c r="C2774" t="s">
        <v>635</v>
      </c>
      <c r="D2774" s="4">
        <v>0</v>
      </c>
      <c r="E2774" s="4">
        <v>0</v>
      </c>
      <c r="F2774" s="4">
        <v>0</v>
      </c>
      <c r="H2774" s="3">
        <f t="shared" si="42"/>
        <v>0</v>
      </c>
    </row>
    <row r="2775" spans="1:8">
      <c r="A2775" t="s">
        <v>2317</v>
      </c>
      <c r="B2775" t="s">
        <v>2318</v>
      </c>
      <c r="C2775" t="s">
        <v>635</v>
      </c>
      <c r="D2775" s="4">
        <v>0</v>
      </c>
      <c r="E2775" s="4">
        <v>0</v>
      </c>
      <c r="F2775" s="4">
        <v>0</v>
      </c>
      <c r="H2775" s="3">
        <f t="shared" si="42"/>
        <v>0</v>
      </c>
    </row>
    <row r="2776" spans="1:8">
      <c r="A2776" t="s">
        <v>2324</v>
      </c>
      <c r="B2776" t="s">
        <v>2325</v>
      </c>
      <c r="C2776" t="s">
        <v>635</v>
      </c>
      <c r="D2776" s="4">
        <v>0</v>
      </c>
      <c r="E2776" s="4">
        <v>0</v>
      </c>
      <c r="F2776" s="4">
        <v>0</v>
      </c>
      <c r="H2776" s="3">
        <f t="shared" si="42"/>
        <v>0</v>
      </c>
    </row>
    <row r="2777" spans="1:8">
      <c r="A2777" t="s">
        <v>2330</v>
      </c>
      <c r="B2777" t="s">
        <v>2331</v>
      </c>
      <c r="C2777" t="s">
        <v>635</v>
      </c>
      <c r="D2777" s="4">
        <v>0</v>
      </c>
      <c r="E2777" s="4">
        <v>0</v>
      </c>
      <c r="F2777" s="4">
        <v>0</v>
      </c>
      <c r="H2777" s="3">
        <f t="shared" si="42"/>
        <v>0</v>
      </c>
    </row>
    <row r="2778" spans="1:8">
      <c r="A2778" t="s">
        <v>2357</v>
      </c>
      <c r="B2778" t="s">
        <v>2358</v>
      </c>
      <c r="C2778" t="s">
        <v>466</v>
      </c>
      <c r="D2778" s="4">
        <v>0</v>
      </c>
      <c r="E2778" s="4">
        <v>0</v>
      </c>
      <c r="F2778" s="4">
        <v>0</v>
      </c>
      <c r="H2778" s="3">
        <f t="shared" si="42"/>
        <v>0</v>
      </c>
    </row>
    <row r="2779" spans="1:8">
      <c r="A2779" t="s">
        <v>2365</v>
      </c>
      <c r="B2779" t="s">
        <v>2366</v>
      </c>
      <c r="C2779" t="s">
        <v>466</v>
      </c>
      <c r="D2779" s="4">
        <v>0</v>
      </c>
      <c r="E2779" s="4">
        <v>0</v>
      </c>
      <c r="F2779" s="4">
        <v>0</v>
      </c>
      <c r="H2779" s="3">
        <f t="shared" si="42"/>
        <v>0</v>
      </c>
    </row>
    <row r="2780" spans="1:8">
      <c r="A2780" t="s">
        <v>2367</v>
      </c>
      <c r="B2780" t="s">
        <v>2368</v>
      </c>
      <c r="C2780" t="s">
        <v>466</v>
      </c>
      <c r="D2780" s="4">
        <v>0</v>
      </c>
      <c r="E2780" s="4">
        <v>0</v>
      </c>
      <c r="F2780" s="4">
        <v>0</v>
      </c>
      <c r="H2780" s="3">
        <f t="shared" si="42"/>
        <v>0</v>
      </c>
    </row>
    <row r="2781" spans="1:8">
      <c r="A2781" t="s">
        <v>2444</v>
      </c>
      <c r="B2781" t="s">
        <v>2445</v>
      </c>
      <c r="C2781" t="s">
        <v>466</v>
      </c>
      <c r="D2781" s="4">
        <v>0</v>
      </c>
      <c r="E2781" s="4">
        <v>0</v>
      </c>
      <c r="F2781" s="4">
        <v>0</v>
      </c>
      <c r="H2781" s="3">
        <f t="shared" si="42"/>
        <v>0</v>
      </c>
    </row>
    <row r="2782" spans="1:8">
      <c r="A2782" t="s">
        <v>2451</v>
      </c>
      <c r="B2782" t="s">
        <v>2452</v>
      </c>
      <c r="C2782" t="s">
        <v>466</v>
      </c>
      <c r="D2782" s="4">
        <v>0</v>
      </c>
      <c r="E2782" s="4">
        <v>0</v>
      </c>
      <c r="F2782" s="4">
        <v>0</v>
      </c>
      <c r="H2782" s="3">
        <f t="shared" si="42"/>
        <v>0</v>
      </c>
    </row>
    <row r="2783" spans="1:8">
      <c r="A2783" t="s">
        <v>2453</v>
      </c>
      <c r="B2783" t="s">
        <v>2454</v>
      </c>
      <c r="C2783" t="s">
        <v>635</v>
      </c>
      <c r="D2783" s="4">
        <v>0</v>
      </c>
      <c r="E2783" s="4">
        <v>0</v>
      </c>
      <c r="F2783" s="4">
        <v>0</v>
      </c>
      <c r="H2783" s="3">
        <f t="shared" si="42"/>
        <v>0</v>
      </c>
    </row>
    <row r="2784" spans="1:8">
      <c r="A2784" t="s">
        <v>2643</v>
      </c>
      <c r="B2784" t="s">
        <v>2644</v>
      </c>
      <c r="C2784" t="s">
        <v>466</v>
      </c>
      <c r="D2784" s="4">
        <v>0</v>
      </c>
      <c r="E2784" s="4">
        <v>0</v>
      </c>
      <c r="F2784" s="4">
        <v>0</v>
      </c>
      <c r="H2784" s="3">
        <f t="shared" si="42"/>
        <v>0</v>
      </c>
    </row>
    <row r="2785" spans="1:8">
      <c r="A2785" t="s">
        <v>2663</v>
      </c>
      <c r="B2785" t="s">
        <v>2664</v>
      </c>
      <c r="C2785" t="s">
        <v>635</v>
      </c>
      <c r="D2785" s="4">
        <v>0</v>
      </c>
      <c r="E2785" s="4">
        <v>0</v>
      </c>
      <c r="F2785" s="4">
        <v>0</v>
      </c>
      <c r="H2785" s="3">
        <f t="shared" si="42"/>
        <v>0</v>
      </c>
    </row>
    <row r="2786" spans="1:8">
      <c r="A2786" t="s">
        <v>2705</v>
      </c>
      <c r="B2786" t="s">
        <v>2706</v>
      </c>
      <c r="C2786" t="s">
        <v>466</v>
      </c>
      <c r="D2786" s="4">
        <v>0</v>
      </c>
      <c r="E2786" s="4">
        <v>0</v>
      </c>
      <c r="F2786" s="4">
        <v>0</v>
      </c>
      <c r="H2786" s="3">
        <f t="shared" si="42"/>
        <v>0</v>
      </c>
    </row>
    <row r="2787" spans="1:8">
      <c r="A2787" t="s">
        <v>2739</v>
      </c>
      <c r="B2787" t="s">
        <v>2740</v>
      </c>
      <c r="C2787" t="s">
        <v>466</v>
      </c>
      <c r="D2787" s="4">
        <v>0</v>
      </c>
      <c r="E2787" s="4">
        <v>0</v>
      </c>
      <c r="F2787" s="4">
        <v>0</v>
      </c>
      <c r="H2787" s="3">
        <f t="shared" si="42"/>
        <v>0</v>
      </c>
    </row>
    <row r="2788" spans="1:8">
      <c r="A2788" t="s">
        <v>2749</v>
      </c>
      <c r="B2788" t="s">
        <v>2750</v>
      </c>
      <c r="C2788" t="s">
        <v>466</v>
      </c>
      <c r="D2788" s="4">
        <v>0</v>
      </c>
      <c r="E2788" s="4">
        <v>0</v>
      </c>
      <c r="F2788" s="4">
        <v>0</v>
      </c>
      <c r="H2788" s="3">
        <f t="shared" si="42"/>
        <v>0</v>
      </c>
    </row>
    <row r="2789" spans="1:8">
      <c r="A2789" t="s">
        <v>2763</v>
      </c>
      <c r="B2789" t="s">
        <v>2764</v>
      </c>
      <c r="C2789" t="s">
        <v>466</v>
      </c>
      <c r="D2789" s="4">
        <v>0</v>
      </c>
      <c r="E2789" s="4">
        <v>0</v>
      </c>
      <c r="F2789" s="4">
        <v>0</v>
      </c>
      <c r="H2789" s="3">
        <f t="shared" si="42"/>
        <v>0</v>
      </c>
    </row>
    <row r="2790" spans="1:8">
      <c r="A2790" t="s">
        <v>2775</v>
      </c>
      <c r="B2790" t="s">
        <v>2776</v>
      </c>
      <c r="C2790" t="s">
        <v>466</v>
      </c>
      <c r="D2790" s="4">
        <v>0</v>
      </c>
      <c r="E2790" s="4">
        <v>0</v>
      </c>
      <c r="F2790" s="4">
        <v>0</v>
      </c>
      <c r="H2790" s="3">
        <f t="shared" si="42"/>
        <v>0</v>
      </c>
    </row>
    <row r="2791" spans="1:8">
      <c r="A2791" t="s">
        <v>2893</v>
      </c>
      <c r="B2791" t="s">
        <v>2894</v>
      </c>
      <c r="C2791" t="s">
        <v>635</v>
      </c>
      <c r="D2791" s="4">
        <v>0</v>
      </c>
      <c r="E2791" s="4">
        <v>0</v>
      </c>
      <c r="F2791" s="4">
        <v>0</v>
      </c>
      <c r="H2791" s="3">
        <f t="shared" si="42"/>
        <v>0</v>
      </c>
    </row>
    <row r="2792" spans="1:8">
      <c r="A2792" t="s">
        <v>2909</v>
      </c>
      <c r="B2792" t="s">
        <v>2910</v>
      </c>
      <c r="C2792" t="s">
        <v>635</v>
      </c>
      <c r="D2792" s="4">
        <v>0</v>
      </c>
      <c r="E2792" s="4">
        <v>0</v>
      </c>
      <c r="F2792" s="4">
        <v>0</v>
      </c>
      <c r="H2792" s="3">
        <f t="shared" si="42"/>
        <v>0</v>
      </c>
    </row>
    <row r="2793" spans="1:8">
      <c r="A2793" t="s">
        <v>3005</v>
      </c>
      <c r="B2793" t="s">
        <v>3006</v>
      </c>
      <c r="C2793" t="s">
        <v>635</v>
      </c>
      <c r="D2793" s="4">
        <v>0</v>
      </c>
      <c r="E2793" s="4">
        <v>0</v>
      </c>
      <c r="F2793" s="4">
        <v>0</v>
      </c>
      <c r="H2793" s="3">
        <f t="shared" si="42"/>
        <v>0</v>
      </c>
    </row>
    <row r="2794" spans="1:8">
      <c r="A2794" t="s">
        <v>1651</v>
      </c>
      <c r="B2794" t="s">
        <v>1652</v>
      </c>
      <c r="C2794" t="s">
        <v>635</v>
      </c>
      <c r="D2794" s="4">
        <v>0</v>
      </c>
      <c r="E2794" s="4">
        <v>0</v>
      </c>
      <c r="F2794" s="4">
        <v>0</v>
      </c>
      <c r="H2794" s="3">
        <f t="shared" si="42"/>
        <v>0</v>
      </c>
    </row>
    <row r="2795" spans="1:8">
      <c r="A2795" t="s">
        <v>1762</v>
      </c>
      <c r="B2795" t="s">
        <v>1763</v>
      </c>
      <c r="C2795" t="s">
        <v>635</v>
      </c>
      <c r="D2795" s="4">
        <v>0</v>
      </c>
      <c r="E2795" s="4"/>
      <c r="F2795" s="4">
        <v>0</v>
      </c>
      <c r="H2795" s="3">
        <f t="shared" si="42"/>
        <v>0</v>
      </c>
    </row>
    <row r="2796" spans="1:8">
      <c r="B2796" t="s">
        <v>3050</v>
      </c>
      <c r="C2796" t="s">
        <v>635</v>
      </c>
      <c r="D2796" s="4"/>
      <c r="E2796" s="4">
        <v>0</v>
      </c>
      <c r="F2796" s="4">
        <v>0</v>
      </c>
      <c r="H2796" s="3">
        <f t="shared" ref="H2796:H2859" si="43">+D2796-E2796</f>
        <v>0</v>
      </c>
    </row>
    <row r="2797" spans="1:8">
      <c r="A2797" t="s">
        <v>1855</v>
      </c>
      <c r="B2797" t="s">
        <v>1856</v>
      </c>
      <c r="C2797" t="s">
        <v>635</v>
      </c>
      <c r="D2797" s="4">
        <v>0</v>
      </c>
      <c r="E2797" s="4">
        <v>0</v>
      </c>
      <c r="F2797" s="4">
        <v>0</v>
      </c>
      <c r="H2797" s="3">
        <f t="shared" si="43"/>
        <v>0</v>
      </c>
    </row>
    <row r="2798" spans="1:8">
      <c r="A2798" t="s">
        <v>1860</v>
      </c>
      <c r="B2798" t="s">
        <v>1861</v>
      </c>
      <c r="C2798" t="s">
        <v>635</v>
      </c>
      <c r="D2798" s="4">
        <v>0</v>
      </c>
      <c r="E2798" s="4">
        <v>0</v>
      </c>
      <c r="F2798" s="4">
        <v>0</v>
      </c>
      <c r="H2798" s="3">
        <f t="shared" si="43"/>
        <v>0</v>
      </c>
    </row>
    <row r="2799" spans="1:8">
      <c r="A2799" t="s">
        <v>1877</v>
      </c>
      <c r="B2799" t="s">
        <v>1878</v>
      </c>
      <c r="C2799" t="s">
        <v>635</v>
      </c>
      <c r="D2799" s="4">
        <v>0</v>
      </c>
      <c r="E2799" s="4">
        <v>0</v>
      </c>
      <c r="F2799" s="4">
        <v>0</v>
      </c>
      <c r="H2799" s="3">
        <f t="shared" si="43"/>
        <v>0</v>
      </c>
    </row>
    <row r="2800" spans="1:8">
      <c r="A2800" t="s">
        <v>2057</v>
      </c>
      <c r="B2800" t="s">
        <v>2058</v>
      </c>
      <c r="C2800" t="s">
        <v>466</v>
      </c>
      <c r="D2800" s="4">
        <v>0</v>
      </c>
      <c r="E2800" s="4">
        <v>0</v>
      </c>
      <c r="F2800" s="4">
        <v>0</v>
      </c>
      <c r="H2800" s="3">
        <f t="shared" si="43"/>
        <v>0</v>
      </c>
    </row>
    <row r="2801" spans="1:8">
      <c r="A2801" t="s">
        <v>2599</v>
      </c>
      <c r="B2801" t="s">
        <v>2600</v>
      </c>
      <c r="C2801" t="s">
        <v>635</v>
      </c>
      <c r="D2801" s="4">
        <v>0</v>
      </c>
      <c r="E2801" s="4">
        <v>0</v>
      </c>
      <c r="F2801" s="4">
        <v>0</v>
      </c>
      <c r="H2801" s="3">
        <f t="shared" si="43"/>
        <v>0</v>
      </c>
    </row>
    <row r="2802" spans="1:8">
      <c r="A2802" t="s">
        <v>2615</v>
      </c>
      <c r="B2802" t="s">
        <v>3065</v>
      </c>
      <c r="C2802" t="s">
        <v>635</v>
      </c>
      <c r="D2802" s="4"/>
      <c r="E2802" s="4">
        <v>0</v>
      </c>
      <c r="F2802" s="4">
        <v>0</v>
      </c>
      <c r="H2802" s="3">
        <f t="shared" si="43"/>
        <v>0</v>
      </c>
    </row>
    <row r="2803" spans="1:8">
      <c r="B2803" t="s">
        <v>2616</v>
      </c>
      <c r="C2803" t="s">
        <v>635</v>
      </c>
      <c r="D2803" s="4">
        <v>0</v>
      </c>
      <c r="E2803" s="4"/>
      <c r="F2803" s="4">
        <v>0</v>
      </c>
      <c r="H2803" s="3">
        <f t="shared" si="43"/>
        <v>0</v>
      </c>
    </row>
    <row r="2804" spans="1:8">
      <c r="A2804" t="s">
        <v>2659</v>
      </c>
      <c r="B2804" t="s">
        <v>2660</v>
      </c>
      <c r="C2804" t="s">
        <v>466</v>
      </c>
      <c r="D2804" s="4">
        <v>0</v>
      </c>
      <c r="E2804" s="4">
        <v>0</v>
      </c>
      <c r="F2804" s="4">
        <v>0</v>
      </c>
      <c r="H2804" s="3">
        <f t="shared" si="43"/>
        <v>0</v>
      </c>
    </row>
    <row r="2805" spans="1:8">
      <c r="A2805" t="s">
        <v>2711</v>
      </c>
      <c r="B2805" t="s">
        <v>2712</v>
      </c>
      <c r="C2805" t="s">
        <v>1001</v>
      </c>
      <c r="D2805" s="4">
        <v>0</v>
      </c>
      <c r="E2805" s="4">
        <v>0</v>
      </c>
      <c r="F2805" s="4">
        <v>0</v>
      </c>
      <c r="H2805" s="3">
        <f t="shared" si="43"/>
        <v>0</v>
      </c>
    </row>
    <row r="2806" spans="1:8">
      <c r="A2806" t="s">
        <v>2790</v>
      </c>
      <c r="B2806" t="s">
        <v>2791</v>
      </c>
      <c r="C2806" t="s">
        <v>635</v>
      </c>
      <c r="D2806" s="4">
        <v>54300</v>
      </c>
      <c r="E2806" s="4">
        <v>54300</v>
      </c>
      <c r="F2806" s="4">
        <v>108600</v>
      </c>
      <c r="H2806" s="3">
        <f t="shared" si="43"/>
        <v>0</v>
      </c>
    </row>
    <row r="2807" spans="1:8">
      <c r="A2807" t="s">
        <v>3037</v>
      </c>
      <c r="B2807" t="s">
        <v>3038</v>
      </c>
      <c r="C2807" t="s">
        <v>635</v>
      </c>
      <c r="D2807" s="4">
        <v>99900</v>
      </c>
      <c r="E2807" s="4">
        <v>99900</v>
      </c>
      <c r="F2807" s="4">
        <v>199800</v>
      </c>
      <c r="H2807" s="3">
        <f t="shared" si="43"/>
        <v>0</v>
      </c>
    </row>
    <row r="2808" spans="1:8">
      <c r="A2808" t="s">
        <v>1514</v>
      </c>
      <c r="B2808" t="s">
        <v>1515</v>
      </c>
      <c r="C2808" t="s">
        <v>635</v>
      </c>
      <c r="D2808" s="4">
        <v>0</v>
      </c>
      <c r="E2808" s="4">
        <v>0</v>
      </c>
      <c r="F2808" s="4">
        <v>0</v>
      </c>
      <c r="H2808" s="3">
        <f t="shared" si="43"/>
        <v>0</v>
      </c>
    </row>
    <row r="2809" spans="1:8">
      <c r="A2809" t="s">
        <v>1636</v>
      </c>
      <c r="B2809" t="s">
        <v>1637</v>
      </c>
      <c r="C2809" t="s">
        <v>635</v>
      </c>
      <c r="D2809" s="4">
        <v>0</v>
      </c>
      <c r="E2809" s="4">
        <v>0</v>
      </c>
      <c r="F2809" s="4">
        <v>0</v>
      </c>
      <c r="H2809" s="3">
        <f t="shared" si="43"/>
        <v>0</v>
      </c>
    </row>
    <row r="2810" spans="1:8">
      <c r="A2810" t="s">
        <v>1720</v>
      </c>
      <c r="B2810" t="s">
        <v>1721</v>
      </c>
      <c r="C2810" t="s">
        <v>635</v>
      </c>
      <c r="D2810" s="4">
        <v>0</v>
      </c>
      <c r="E2810" s="4">
        <v>0</v>
      </c>
      <c r="F2810" s="4">
        <v>0</v>
      </c>
      <c r="H2810" s="3">
        <f t="shared" si="43"/>
        <v>0</v>
      </c>
    </row>
    <row r="2811" spans="1:8">
      <c r="A2811" t="s">
        <v>1791</v>
      </c>
      <c r="B2811" t="s">
        <v>1792</v>
      </c>
      <c r="C2811" t="s">
        <v>466</v>
      </c>
      <c r="D2811" s="4">
        <v>0</v>
      </c>
      <c r="E2811" s="4">
        <v>0</v>
      </c>
      <c r="F2811" s="4">
        <v>0</v>
      </c>
      <c r="H2811" s="3">
        <f t="shared" si="43"/>
        <v>0</v>
      </c>
    </row>
    <row r="2812" spans="1:8">
      <c r="A2812" t="s">
        <v>1810</v>
      </c>
      <c r="B2812" t="s">
        <v>1811</v>
      </c>
      <c r="C2812" t="s">
        <v>635</v>
      </c>
      <c r="D2812" s="4">
        <v>0</v>
      </c>
      <c r="E2812" s="4">
        <v>0</v>
      </c>
      <c r="F2812" s="4">
        <v>0</v>
      </c>
      <c r="H2812" s="3">
        <f t="shared" si="43"/>
        <v>0</v>
      </c>
    </row>
    <row r="2813" spans="1:8">
      <c r="A2813" t="s">
        <v>1874</v>
      </c>
      <c r="B2813" t="s">
        <v>1875</v>
      </c>
      <c r="C2813" t="s">
        <v>635</v>
      </c>
      <c r="D2813" s="4">
        <v>0</v>
      </c>
      <c r="E2813" s="4">
        <v>0</v>
      </c>
      <c r="F2813" s="4">
        <v>0</v>
      </c>
      <c r="H2813" s="3">
        <f t="shared" si="43"/>
        <v>0</v>
      </c>
    </row>
    <row r="2814" spans="1:8">
      <c r="A2814" t="s">
        <v>1902</v>
      </c>
      <c r="B2814" t="s">
        <v>1903</v>
      </c>
      <c r="C2814" t="s">
        <v>635</v>
      </c>
      <c r="D2814" s="4">
        <v>0</v>
      </c>
      <c r="E2814" s="4">
        <v>0</v>
      </c>
      <c r="F2814" s="4">
        <v>0</v>
      </c>
      <c r="H2814" s="3">
        <f t="shared" si="43"/>
        <v>0</v>
      </c>
    </row>
    <row r="2815" spans="1:8">
      <c r="A2815" t="s">
        <v>1907</v>
      </c>
      <c r="B2815" t="s">
        <v>1908</v>
      </c>
      <c r="C2815" t="s">
        <v>635</v>
      </c>
      <c r="D2815" s="4">
        <v>0</v>
      </c>
      <c r="E2815" s="4">
        <v>0</v>
      </c>
      <c r="F2815" s="4">
        <v>0</v>
      </c>
      <c r="H2815" s="3">
        <f t="shared" si="43"/>
        <v>0</v>
      </c>
    </row>
    <row r="2816" spans="1:8">
      <c r="A2816" t="s">
        <v>1911</v>
      </c>
      <c r="B2816" t="s">
        <v>1912</v>
      </c>
      <c r="C2816" t="s">
        <v>635</v>
      </c>
      <c r="D2816" s="4">
        <v>0</v>
      </c>
      <c r="E2816" s="4">
        <v>0</v>
      </c>
      <c r="F2816" s="4">
        <v>0</v>
      </c>
      <c r="H2816" s="3">
        <f t="shared" si="43"/>
        <v>0</v>
      </c>
    </row>
    <row r="2817" spans="1:8">
      <c r="A2817" t="s">
        <v>1974</v>
      </c>
      <c r="B2817" t="s">
        <v>1975</v>
      </c>
      <c r="C2817" t="s">
        <v>635</v>
      </c>
      <c r="D2817" s="4">
        <v>0</v>
      </c>
      <c r="E2817" s="4">
        <v>0</v>
      </c>
      <c r="F2817" s="4">
        <v>0</v>
      </c>
      <c r="H2817" s="3">
        <f t="shared" si="43"/>
        <v>0</v>
      </c>
    </row>
    <row r="2818" spans="1:8">
      <c r="A2818" t="s">
        <v>2009</v>
      </c>
      <c r="B2818" t="s">
        <v>2010</v>
      </c>
      <c r="C2818" t="s">
        <v>635</v>
      </c>
      <c r="D2818" s="4">
        <v>0</v>
      </c>
      <c r="E2818" s="4"/>
      <c r="F2818" s="4">
        <v>0</v>
      </c>
      <c r="H2818" s="3">
        <f t="shared" si="43"/>
        <v>0</v>
      </c>
    </row>
    <row r="2819" spans="1:8">
      <c r="B2819" t="s">
        <v>3053</v>
      </c>
      <c r="C2819" t="s">
        <v>635</v>
      </c>
      <c r="D2819" s="4"/>
      <c r="E2819" s="4">
        <v>0</v>
      </c>
      <c r="F2819" s="4">
        <v>0</v>
      </c>
      <c r="H2819" s="3">
        <f t="shared" si="43"/>
        <v>0</v>
      </c>
    </row>
    <row r="2820" spans="1:8">
      <c r="A2820" t="s">
        <v>2097</v>
      </c>
      <c r="B2820" t="s">
        <v>2098</v>
      </c>
      <c r="C2820" t="s">
        <v>635</v>
      </c>
      <c r="D2820" s="4">
        <v>0</v>
      </c>
      <c r="E2820" s="4">
        <v>0</v>
      </c>
      <c r="F2820" s="4">
        <v>0</v>
      </c>
      <c r="H2820" s="3">
        <f t="shared" si="43"/>
        <v>0</v>
      </c>
    </row>
    <row r="2821" spans="1:8">
      <c r="A2821" t="s">
        <v>2111</v>
      </c>
      <c r="B2821" t="s">
        <v>2112</v>
      </c>
      <c r="C2821" t="s">
        <v>635</v>
      </c>
      <c r="D2821" s="4">
        <v>0</v>
      </c>
      <c r="E2821" s="4">
        <v>0</v>
      </c>
      <c r="F2821" s="4">
        <v>0</v>
      </c>
      <c r="H2821" s="3">
        <f t="shared" si="43"/>
        <v>0</v>
      </c>
    </row>
    <row r="2822" spans="1:8">
      <c r="A2822" t="s">
        <v>2122</v>
      </c>
      <c r="B2822" t="s">
        <v>2123</v>
      </c>
      <c r="C2822" t="s">
        <v>635</v>
      </c>
      <c r="D2822" s="4">
        <v>0</v>
      </c>
      <c r="E2822" s="4">
        <v>0</v>
      </c>
      <c r="F2822" s="4">
        <v>0</v>
      </c>
      <c r="H2822" s="3">
        <f t="shared" si="43"/>
        <v>0</v>
      </c>
    </row>
    <row r="2823" spans="1:8">
      <c r="A2823" t="s">
        <v>2137</v>
      </c>
      <c r="B2823" t="s">
        <v>2138</v>
      </c>
      <c r="C2823" t="s">
        <v>635</v>
      </c>
      <c r="D2823" s="4">
        <v>0</v>
      </c>
      <c r="E2823" s="4">
        <v>0</v>
      </c>
      <c r="F2823" s="4">
        <v>0</v>
      </c>
      <c r="H2823" s="3">
        <f t="shared" si="43"/>
        <v>0</v>
      </c>
    </row>
    <row r="2824" spans="1:8">
      <c r="A2824" t="s">
        <v>2180</v>
      </c>
      <c r="B2824" t="s">
        <v>2181</v>
      </c>
      <c r="C2824" t="s">
        <v>635</v>
      </c>
      <c r="D2824" s="4">
        <v>0</v>
      </c>
      <c r="E2824" s="4">
        <v>0</v>
      </c>
      <c r="F2824" s="4">
        <v>0</v>
      </c>
      <c r="H2824" s="3">
        <f t="shared" si="43"/>
        <v>0</v>
      </c>
    </row>
    <row r="2825" spans="1:8">
      <c r="A2825" t="s">
        <v>2285</v>
      </c>
      <c r="B2825" t="s">
        <v>2286</v>
      </c>
      <c r="C2825" t="s">
        <v>635</v>
      </c>
      <c r="D2825" s="4">
        <v>0</v>
      </c>
      <c r="E2825" s="4">
        <v>0</v>
      </c>
      <c r="F2825" s="4">
        <v>0</v>
      </c>
      <c r="H2825" s="3">
        <f t="shared" si="43"/>
        <v>0</v>
      </c>
    </row>
    <row r="2826" spans="1:8">
      <c r="A2826" t="s">
        <v>2314</v>
      </c>
      <c r="B2826" t="s">
        <v>2315</v>
      </c>
      <c r="C2826" t="s">
        <v>635</v>
      </c>
      <c r="D2826" s="4">
        <v>76400</v>
      </c>
      <c r="E2826" s="4">
        <v>76400</v>
      </c>
      <c r="F2826" s="4">
        <v>152800</v>
      </c>
      <c r="H2826" s="3">
        <f t="shared" si="43"/>
        <v>0</v>
      </c>
    </row>
    <row r="2827" spans="1:8">
      <c r="A2827" t="s">
        <v>2397</v>
      </c>
      <c r="B2827" t="s">
        <v>2398</v>
      </c>
      <c r="C2827" t="s">
        <v>635</v>
      </c>
      <c r="D2827" s="4">
        <v>0</v>
      </c>
      <c r="E2827" s="4">
        <v>0</v>
      </c>
      <c r="F2827" s="4">
        <v>0</v>
      </c>
      <c r="H2827" s="3">
        <f t="shared" si="43"/>
        <v>0</v>
      </c>
    </row>
    <row r="2828" spans="1:8">
      <c r="A2828" t="s">
        <v>2408</v>
      </c>
      <c r="B2828" t="s">
        <v>2409</v>
      </c>
      <c r="C2828" t="s">
        <v>635</v>
      </c>
      <c r="D2828" s="4">
        <v>0</v>
      </c>
      <c r="E2828" s="4">
        <v>0</v>
      </c>
      <c r="F2828" s="4">
        <v>0</v>
      </c>
      <c r="H2828" s="3">
        <f t="shared" si="43"/>
        <v>0</v>
      </c>
    </row>
    <row r="2829" spans="1:8">
      <c r="A2829" t="s">
        <v>2438</v>
      </c>
      <c r="B2829" t="s">
        <v>2439</v>
      </c>
      <c r="C2829" t="s">
        <v>585</v>
      </c>
      <c r="D2829" s="4">
        <v>0</v>
      </c>
      <c r="E2829" s="4">
        <v>0</v>
      </c>
      <c r="F2829" s="4">
        <v>0</v>
      </c>
      <c r="H2829" s="3">
        <f t="shared" si="43"/>
        <v>0</v>
      </c>
    </row>
    <row r="2830" spans="1:8">
      <c r="A2830" t="s">
        <v>2522</v>
      </c>
      <c r="B2830" t="s">
        <v>2523</v>
      </c>
      <c r="C2830" t="s">
        <v>635</v>
      </c>
      <c r="D2830" s="4">
        <v>0</v>
      </c>
      <c r="E2830" s="4">
        <v>0</v>
      </c>
      <c r="F2830" s="4">
        <v>0</v>
      </c>
      <c r="H2830" s="3">
        <f t="shared" si="43"/>
        <v>0</v>
      </c>
    </row>
    <row r="2831" spans="1:8">
      <c r="A2831" t="s">
        <v>2559</v>
      </c>
      <c r="B2831" t="s">
        <v>2560</v>
      </c>
      <c r="C2831" t="s">
        <v>635</v>
      </c>
      <c r="D2831" s="4">
        <v>0</v>
      </c>
      <c r="E2831" s="4">
        <v>0</v>
      </c>
      <c r="F2831" s="4">
        <v>0</v>
      </c>
      <c r="H2831" s="3">
        <f t="shared" si="43"/>
        <v>0</v>
      </c>
    </row>
    <row r="2832" spans="1:8">
      <c r="A2832" t="s">
        <v>2627</v>
      </c>
      <c r="B2832" t="s">
        <v>2628</v>
      </c>
      <c r="C2832" t="s">
        <v>635</v>
      </c>
      <c r="D2832" s="4">
        <v>0</v>
      </c>
      <c r="E2832" s="4">
        <v>0</v>
      </c>
      <c r="F2832" s="4">
        <v>0</v>
      </c>
      <c r="H2832" s="3">
        <f t="shared" si="43"/>
        <v>0</v>
      </c>
    </row>
    <row r="2833" spans="1:8">
      <c r="A2833" t="s">
        <v>2631</v>
      </c>
      <c r="B2833" t="s">
        <v>2632</v>
      </c>
      <c r="C2833" t="s">
        <v>635</v>
      </c>
      <c r="D2833" s="4">
        <v>0</v>
      </c>
      <c r="E2833" s="4">
        <v>0</v>
      </c>
      <c r="F2833" s="4">
        <v>0</v>
      </c>
      <c r="H2833" s="3">
        <f t="shared" si="43"/>
        <v>0</v>
      </c>
    </row>
    <row r="2834" spans="1:8">
      <c r="A2834" t="s">
        <v>2652</v>
      </c>
      <c r="B2834" t="s">
        <v>2653</v>
      </c>
      <c r="C2834" t="s">
        <v>749</v>
      </c>
      <c r="D2834" s="4">
        <v>0</v>
      </c>
      <c r="E2834" s="4">
        <v>0</v>
      </c>
      <c r="F2834" s="4">
        <v>0</v>
      </c>
      <c r="H2834" s="3">
        <f t="shared" si="43"/>
        <v>0</v>
      </c>
    </row>
    <row r="2835" spans="1:8">
      <c r="A2835" t="s">
        <v>2667</v>
      </c>
      <c r="B2835" t="s">
        <v>2668</v>
      </c>
      <c r="C2835" t="s">
        <v>635</v>
      </c>
      <c r="D2835" s="4">
        <v>0</v>
      </c>
      <c r="E2835" s="4">
        <v>0</v>
      </c>
      <c r="F2835" s="4">
        <v>0</v>
      </c>
      <c r="H2835" s="3">
        <f t="shared" si="43"/>
        <v>0</v>
      </c>
    </row>
    <row r="2836" spans="1:8">
      <c r="A2836" t="s">
        <v>2699</v>
      </c>
      <c r="B2836" t="s">
        <v>2700</v>
      </c>
      <c r="C2836" t="s">
        <v>466</v>
      </c>
      <c r="D2836" s="4">
        <v>0</v>
      </c>
      <c r="E2836" s="4">
        <v>0</v>
      </c>
      <c r="F2836" s="4">
        <v>0</v>
      </c>
      <c r="H2836" s="3">
        <f t="shared" si="43"/>
        <v>0</v>
      </c>
    </row>
    <row r="2837" spans="1:8">
      <c r="A2837" t="s">
        <v>2722</v>
      </c>
      <c r="B2837" t="s">
        <v>2723</v>
      </c>
      <c r="C2837" t="s">
        <v>635</v>
      </c>
      <c r="D2837" s="4">
        <v>0</v>
      </c>
      <c r="E2837" s="4">
        <v>0</v>
      </c>
      <c r="F2837" s="4">
        <v>0</v>
      </c>
      <c r="H2837" s="3">
        <f t="shared" si="43"/>
        <v>0</v>
      </c>
    </row>
    <row r="2838" spans="1:8">
      <c r="A2838" t="s">
        <v>2766</v>
      </c>
      <c r="B2838" t="s">
        <v>2767</v>
      </c>
      <c r="C2838" t="s">
        <v>1001</v>
      </c>
      <c r="D2838" s="4">
        <v>0</v>
      </c>
      <c r="E2838" s="4">
        <v>0</v>
      </c>
      <c r="F2838" s="4">
        <v>0</v>
      </c>
      <c r="H2838" s="3">
        <f t="shared" si="43"/>
        <v>0</v>
      </c>
    </row>
    <row r="2839" spans="1:8">
      <c r="A2839" t="s">
        <v>2816</v>
      </c>
      <c r="B2839" t="s">
        <v>2817</v>
      </c>
      <c r="C2839" t="s">
        <v>635</v>
      </c>
      <c r="D2839" s="4">
        <v>0</v>
      </c>
      <c r="E2839" s="4">
        <v>0</v>
      </c>
      <c r="F2839" s="4">
        <v>0</v>
      </c>
      <c r="H2839" s="3">
        <f t="shared" si="43"/>
        <v>0</v>
      </c>
    </row>
    <row r="2840" spans="1:8">
      <c r="A2840" t="s">
        <v>2839</v>
      </c>
      <c r="B2840" t="s">
        <v>2840</v>
      </c>
      <c r="C2840" t="s">
        <v>635</v>
      </c>
      <c r="D2840" s="4">
        <v>0</v>
      </c>
      <c r="E2840" s="4">
        <v>0</v>
      </c>
      <c r="F2840" s="4">
        <v>0</v>
      </c>
      <c r="H2840" s="3">
        <f t="shared" si="43"/>
        <v>0</v>
      </c>
    </row>
    <row r="2841" spans="1:8">
      <c r="A2841" t="s">
        <v>2848</v>
      </c>
      <c r="B2841" t="s">
        <v>2849</v>
      </c>
      <c r="C2841" t="s">
        <v>635</v>
      </c>
      <c r="D2841" s="4">
        <v>0</v>
      </c>
      <c r="E2841" s="4">
        <v>0</v>
      </c>
      <c r="F2841" s="4">
        <v>0</v>
      </c>
      <c r="H2841" s="3">
        <f t="shared" si="43"/>
        <v>0</v>
      </c>
    </row>
    <row r="2842" spans="1:8">
      <c r="A2842" t="s">
        <v>2851</v>
      </c>
      <c r="B2842" t="s">
        <v>2852</v>
      </c>
      <c r="C2842" t="s">
        <v>635</v>
      </c>
      <c r="D2842" s="4">
        <v>0</v>
      </c>
      <c r="E2842" s="4">
        <v>0</v>
      </c>
      <c r="F2842" s="4">
        <v>0</v>
      </c>
      <c r="H2842" s="3">
        <f t="shared" si="43"/>
        <v>0</v>
      </c>
    </row>
    <row r="2843" spans="1:8">
      <c r="A2843" t="s">
        <v>2861</v>
      </c>
      <c r="B2843" t="s">
        <v>2862</v>
      </c>
      <c r="C2843" t="s">
        <v>635</v>
      </c>
      <c r="D2843" s="4">
        <v>0</v>
      </c>
      <c r="E2843" s="4">
        <v>0</v>
      </c>
      <c r="F2843" s="4">
        <v>0</v>
      </c>
      <c r="H2843" s="3">
        <f t="shared" si="43"/>
        <v>0</v>
      </c>
    </row>
    <row r="2844" spans="1:8">
      <c r="A2844" t="s">
        <v>2904</v>
      </c>
      <c r="B2844" t="s">
        <v>2905</v>
      </c>
      <c r="C2844" t="s">
        <v>466</v>
      </c>
      <c r="D2844" s="4">
        <v>0</v>
      </c>
      <c r="E2844" s="4">
        <v>0</v>
      </c>
      <c r="F2844" s="4">
        <v>0</v>
      </c>
      <c r="H2844" s="3">
        <f t="shared" si="43"/>
        <v>0</v>
      </c>
    </row>
    <row r="2845" spans="1:8">
      <c r="A2845" t="s">
        <v>2922</v>
      </c>
      <c r="B2845" t="s">
        <v>2923</v>
      </c>
      <c r="C2845" t="s">
        <v>466</v>
      </c>
      <c r="D2845" s="4">
        <v>0</v>
      </c>
      <c r="E2845" s="4">
        <v>0</v>
      </c>
      <c r="F2845" s="4">
        <v>0</v>
      </c>
      <c r="H2845" s="3">
        <f t="shared" si="43"/>
        <v>0</v>
      </c>
    </row>
    <row r="2846" spans="1:8">
      <c r="A2846" t="s">
        <v>2931</v>
      </c>
      <c r="B2846" t="s">
        <v>2932</v>
      </c>
      <c r="C2846" t="s">
        <v>635</v>
      </c>
      <c r="D2846" s="4">
        <v>0</v>
      </c>
      <c r="E2846" s="4">
        <v>0</v>
      </c>
      <c r="F2846" s="4">
        <v>0</v>
      </c>
      <c r="H2846" s="3">
        <f t="shared" si="43"/>
        <v>0</v>
      </c>
    </row>
    <row r="2847" spans="1:8">
      <c r="A2847" t="s">
        <v>2950</v>
      </c>
      <c r="B2847" t="s">
        <v>2951</v>
      </c>
      <c r="C2847" t="s">
        <v>1001</v>
      </c>
      <c r="D2847" s="4">
        <v>0</v>
      </c>
      <c r="E2847" s="4">
        <v>0</v>
      </c>
      <c r="F2847" s="4">
        <v>0</v>
      </c>
      <c r="H2847" s="3">
        <f t="shared" si="43"/>
        <v>0</v>
      </c>
    </row>
    <row r="2848" spans="1:8">
      <c r="A2848" t="s">
        <v>2965</v>
      </c>
      <c r="B2848" t="s">
        <v>2966</v>
      </c>
      <c r="C2848" t="s">
        <v>466</v>
      </c>
      <c r="D2848" s="4">
        <v>0</v>
      </c>
      <c r="E2848" s="4">
        <v>0</v>
      </c>
      <c r="F2848" s="4">
        <v>0</v>
      </c>
      <c r="H2848" s="3">
        <f t="shared" si="43"/>
        <v>0</v>
      </c>
    </row>
    <row r="2849" spans="1:8">
      <c r="A2849" t="s">
        <v>3034</v>
      </c>
      <c r="B2849" t="s">
        <v>3035</v>
      </c>
      <c r="C2849" t="s">
        <v>635</v>
      </c>
      <c r="D2849" s="4">
        <v>0</v>
      </c>
      <c r="E2849" s="4">
        <v>0</v>
      </c>
      <c r="F2849" s="4">
        <v>0</v>
      </c>
      <c r="H2849" s="3">
        <f t="shared" si="43"/>
        <v>0</v>
      </c>
    </row>
    <row r="2850" spans="1:8">
      <c r="A2850" t="s">
        <v>3042</v>
      </c>
      <c r="B2850" t="s">
        <v>3043</v>
      </c>
      <c r="C2850" t="s">
        <v>749</v>
      </c>
      <c r="D2850" s="4">
        <v>0</v>
      </c>
      <c r="E2850" s="4">
        <v>0</v>
      </c>
      <c r="F2850" s="4">
        <v>0</v>
      </c>
      <c r="H2850" s="3">
        <f t="shared" si="43"/>
        <v>0</v>
      </c>
    </row>
    <row r="2851" spans="1:8">
      <c r="A2851" t="s">
        <v>1499</v>
      </c>
      <c r="B2851" t="s">
        <v>1500</v>
      </c>
      <c r="C2851" t="s">
        <v>635</v>
      </c>
      <c r="D2851" s="4">
        <v>46100</v>
      </c>
      <c r="E2851" s="4">
        <v>46100</v>
      </c>
      <c r="F2851" s="4">
        <v>92200</v>
      </c>
      <c r="H2851" s="3">
        <f t="shared" si="43"/>
        <v>0</v>
      </c>
    </row>
    <row r="2852" spans="1:8">
      <c r="A2852" t="s">
        <v>1588</v>
      </c>
      <c r="B2852" t="s">
        <v>1589</v>
      </c>
      <c r="C2852" t="s">
        <v>635</v>
      </c>
      <c r="D2852" s="4">
        <v>0</v>
      </c>
      <c r="E2852" s="4">
        <v>0</v>
      </c>
      <c r="F2852" s="4">
        <v>0</v>
      </c>
      <c r="H2852" s="3">
        <f t="shared" si="43"/>
        <v>0</v>
      </c>
    </row>
    <row r="2853" spans="1:8">
      <c r="A2853" t="s">
        <v>1703</v>
      </c>
      <c r="B2853" t="s">
        <v>1704</v>
      </c>
      <c r="C2853" t="s">
        <v>635</v>
      </c>
      <c r="D2853" s="4">
        <v>0</v>
      </c>
      <c r="E2853" s="4">
        <v>0</v>
      </c>
      <c r="F2853" s="4">
        <v>0</v>
      </c>
      <c r="H2853" s="3">
        <f t="shared" si="43"/>
        <v>0</v>
      </c>
    </row>
    <row r="2854" spans="1:8">
      <c r="A2854" t="s">
        <v>1782</v>
      </c>
      <c r="B2854" t="s">
        <v>1783</v>
      </c>
      <c r="C2854" t="s">
        <v>635</v>
      </c>
      <c r="D2854" s="4">
        <v>53700</v>
      </c>
      <c r="E2854" s="4">
        <v>53700</v>
      </c>
      <c r="F2854" s="4">
        <v>107400</v>
      </c>
      <c r="H2854" s="3">
        <f t="shared" si="43"/>
        <v>0</v>
      </c>
    </row>
    <row r="2855" spans="1:8">
      <c r="A2855" t="s">
        <v>1870</v>
      </c>
      <c r="B2855" t="s">
        <v>1871</v>
      </c>
      <c r="C2855" t="s">
        <v>635</v>
      </c>
      <c r="D2855" s="4">
        <v>0</v>
      </c>
      <c r="E2855" s="4">
        <v>0</v>
      </c>
      <c r="F2855" s="4">
        <v>0</v>
      </c>
      <c r="H2855" s="3">
        <f t="shared" si="43"/>
        <v>0</v>
      </c>
    </row>
    <row r="2856" spans="1:8">
      <c r="A2856" t="s">
        <v>1969</v>
      </c>
      <c r="B2856" t="s">
        <v>1970</v>
      </c>
      <c r="C2856" t="s">
        <v>635</v>
      </c>
      <c r="D2856" s="4">
        <v>0</v>
      </c>
      <c r="E2856" s="4">
        <v>0</v>
      </c>
      <c r="F2856" s="4">
        <v>0</v>
      </c>
      <c r="H2856" s="3">
        <f t="shared" si="43"/>
        <v>0</v>
      </c>
    </row>
    <row r="2857" spans="1:8">
      <c r="A2857" t="s">
        <v>2017</v>
      </c>
      <c r="B2857" t="s">
        <v>2018</v>
      </c>
      <c r="C2857" t="s">
        <v>635</v>
      </c>
      <c r="D2857" s="4">
        <v>32900</v>
      </c>
      <c r="E2857" s="4">
        <v>32900</v>
      </c>
      <c r="F2857" s="4">
        <v>65800</v>
      </c>
      <c r="H2857" s="3">
        <f t="shared" si="43"/>
        <v>0</v>
      </c>
    </row>
    <row r="2858" spans="1:8">
      <c r="A2858" t="s">
        <v>2062</v>
      </c>
      <c r="B2858" t="s">
        <v>2063</v>
      </c>
      <c r="C2858" t="s">
        <v>466</v>
      </c>
      <c r="D2858" s="4">
        <v>0</v>
      </c>
      <c r="E2858" s="4">
        <v>0</v>
      </c>
      <c r="F2858" s="4">
        <v>0</v>
      </c>
      <c r="H2858" s="3">
        <f t="shared" si="43"/>
        <v>0</v>
      </c>
    </row>
    <row r="2859" spans="1:8">
      <c r="A2859" t="s">
        <v>2071</v>
      </c>
      <c r="B2859" t="s">
        <v>2072</v>
      </c>
      <c r="C2859" t="s">
        <v>635</v>
      </c>
      <c r="D2859" s="4">
        <v>0</v>
      </c>
      <c r="E2859" s="4">
        <v>0</v>
      </c>
      <c r="F2859" s="4">
        <v>0</v>
      </c>
      <c r="H2859" s="3">
        <f t="shared" si="43"/>
        <v>0</v>
      </c>
    </row>
    <row r="2860" spans="1:8">
      <c r="A2860" t="s">
        <v>2092</v>
      </c>
      <c r="B2860" t="s">
        <v>2093</v>
      </c>
      <c r="C2860" t="s">
        <v>466</v>
      </c>
      <c r="D2860" s="4">
        <v>0</v>
      </c>
      <c r="E2860" s="4">
        <v>0</v>
      </c>
      <c r="F2860" s="4">
        <v>0</v>
      </c>
      <c r="H2860" s="3">
        <f t="shared" ref="H2860:H2923" si="44">+D2860-E2860</f>
        <v>0</v>
      </c>
    </row>
    <row r="2861" spans="1:8">
      <c r="A2861" t="s">
        <v>2140</v>
      </c>
      <c r="B2861" t="s">
        <v>2141</v>
      </c>
      <c r="C2861" t="s">
        <v>635</v>
      </c>
      <c r="D2861" s="4">
        <v>0</v>
      </c>
      <c r="E2861" s="4">
        <v>0</v>
      </c>
      <c r="F2861" s="4">
        <v>0</v>
      </c>
      <c r="H2861" s="3">
        <f t="shared" si="44"/>
        <v>0</v>
      </c>
    </row>
    <row r="2862" spans="1:8">
      <c r="A2862" t="s">
        <v>2238</v>
      </c>
      <c r="B2862" t="s">
        <v>2239</v>
      </c>
      <c r="C2862" t="s">
        <v>635</v>
      </c>
      <c r="D2862" s="4">
        <v>0</v>
      </c>
      <c r="E2862" s="4">
        <v>0</v>
      </c>
      <c r="F2862" s="4">
        <v>0</v>
      </c>
      <c r="H2862" s="3">
        <f t="shared" si="44"/>
        <v>0</v>
      </c>
    </row>
    <row r="2863" spans="1:8">
      <c r="A2863" t="s">
        <v>2333</v>
      </c>
      <c r="B2863" t="s">
        <v>2334</v>
      </c>
      <c r="C2863" t="s">
        <v>635</v>
      </c>
      <c r="D2863" s="4">
        <v>0</v>
      </c>
      <c r="E2863" s="4">
        <v>0</v>
      </c>
      <c r="F2863" s="4">
        <v>0</v>
      </c>
      <c r="H2863" s="3">
        <f t="shared" si="44"/>
        <v>0</v>
      </c>
    </row>
    <row r="2864" spans="1:8">
      <c r="A2864" t="s">
        <v>2404</v>
      </c>
      <c r="B2864" t="s">
        <v>2405</v>
      </c>
      <c r="C2864" t="s">
        <v>635</v>
      </c>
      <c r="D2864" s="4">
        <v>0</v>
      </c>
      <c r="E2864" s="4">
        <v>0</v>
      </c>
      <c r="F2864" s="4">
        <v>0</v>
      </c>
      <c r="H2864" s="3">
        <f t="shared" si="44"/>
        <v>0</v>
      </c>
    </row>
    <row r="2865" spans="1:8">
      <c r="A2865" t="s">
        <v>2406</v>
      </c>
      <c r="B2865" t="s">
        <v>2407</v>
      </c>
      <c r="C2865" t="s">
        <v>635</v>
      </c>
      <c r="D2865" s="4">
        <v>0</v>
      </c>
      <c r="E2865" s="4">
        <v>0</v>
      </c>
      <c r="F2865" s="4">
        <v>0</v>
      </c>
      <c r="H2865" s="3">
        <f t="shared" si="44"/>
        <v>0</v>
      </c>
    </row>
    <row r="2866" spans="1:8">
      <c r="A2866" t="s">
        <v>2429</v>
      </c>
      <c r="B2866" t="s">
        <v>2430</v>
      </c>
      <c r="C2866" t="s">
        <v>466</v>
      </c>
      <c r="D2866" s="4">
        <v>0</v>
      </c>
      <c r="E2866" s="4">
        <v>0</v>
      </c>
      <c r="F2866" s="4">
        <v>0</v>
      </c>
      <c r="H2866" s="3">
        <f t="shared" si="44"/>
        <v>0</v>
      </c>
    </row>
    <row r="2867" spans="1:8">
      <c r="A2867" t="s">
        <v>2456</v>
      </c>
      <c r="B2867" t="s">
        <v>2457</v>
      </c>
      <c r="C2867" t="s">
        <v>466</v>
      </c>
      <c r="D2867" s="4">
        <v>0</v>
      </c>
      <c r="E2867" s="4">
        <v>0</v>
      </c>
      <c r="F2867" s="4">
        <v>0</v>
      </c>
      <c r="H2867" s="3">
        <f t="shared" si="44"/>
        <v>0</v>
      </c>
    </row>
    <row r="2868" spans="1:8">
      <c r="A2868" t="s">
        <v>2469</v>
      </c>
      <c r="B2868" t="s">
        <v>2470</v>
      </c>
      <c r="C2868" t="s">
        <v>466</v>
      </c>
      <c r="D2868" s="4">
        <v>0</v>
      </c>
      <c r="E2868" s="4">
        <v>0</v>
      </c>
      <c r="F2868" s="4">
        <v>0</v>
      </c>
      <c r="H2868" s="3">
        <f t="shared" si="44"/>
        <v>0</v>
      </c>
    </row>
    <row r="2869" spans="1:8">
      <c r="A2869" t="s">
        <v>2492</v>
      </c>
      <c r="B2869" t="s">
        <v>2493</v>
      </c>
      <c r="C2869" t="s">
        <v>635</v>
      </c>
      <c r="D2869" s="4">
        <v>0</v>
      </c>
      <c r="E2869" s="4">
        <v>0</v>
      </c>
      <c r="F2869" s="4">
        <v>0</v>
      </c>
      <c r="H2869" s="3">
        <f t="shared" si="44"/>
        <v>0</v>
      </c>
    </row>
    <row r="2870" spans="1:8">
      <c r="A2870" t="s">
        <v>2519</v>
      </c>
      <c r="B2870" t="s">
        <v>2520</v>
      </c>
      <c r="C2870" t="s">
        <v>635</v>
      </c>
      <c r="D2870" s="4">
        <v>0</v>
      </c>
      <c r="E2870" s="4">
        <v>0</v>
      </c>
      <c r="F2870" s="4">
        <v>0</v>
      </c>
      <c r="H2870" s="3">
        <f t="shared" si="44"/>
        <v>0</v>
      </c>
    </row>
    <row r="2871" spans="1:8">
      <c r="A2871" t="s">
        <v>2533</v>
      </c>
      <c r="B2871" t="s">
        <v>2534</v>
      </c>
      <c r="C2871" t="s">
        <v>466</v>
      </c>
      <c r="D2871" s="4">
        <v>0</v>
      </c>
      <c r="E2871" s="4">
        <v>0</v>
      </c>
      <c r="F2871" s="4">
        <v>0</v>
      </c>
      <c r="H2871" s="3">
        <f t="shared" si="44"/>
        <v>0</v>
      </c>
    </row>
    <row r="2872" spans="1:8">
      <c r="A2872" t="s">
        <v>2545</v>
      </c>
      <c r="B2872" t="s">
        <v>2546</v>
      </c>
      <c r="C2872" t="s">
        <v>635</v>
      </c>
      <c r="D2872" s="4">
        <v>0</v>
      </c>
      <c r="E2872" s="4">
        <v>0</v>
      </c>
      <c r="F2872" s="4">
        <v>0</v>
      </c>
      <c r="H2872" s="3">
        <f t="shared" si="44"/>
        <v>0</v>
      </c>
    </row>
    <row r="2873" spans="1:8">
      <c r="A2873" t="s">
        <v>2669</v>
      </c>
      <c r="B2873" t="s">
        <v>2670</v>
      </c>
      <c r="C2873" t="s">
        <v>635</v>
      </c>
      <c r="D2873" s="4">
        <v>0</v>
      </c>
      <c r="E2873" s="4">
        <v>0</v>
      </c>
      <c r="F2873" s="4">
        <v>0</v>
      </c>
      <c r="H2873" s="3">
        <f t="shared" si="44"/>
        <v>0</v>
      </c>
    </row>
    <row r="2874" spans="1:8">
      <c r="A2874" t="s">
        <v>2676</v>
      </c>
      <c r="B2874" t="s">
        <v>2677</v>
      </c>
      <c r="C2874" t="s">
        <v>466</v>
      </c>
      <c r="D2874" s="4">
        <v>0</v>
      </c>
      <c r="E2874" s="4">
        <v>0</v>
      </c>
      <c r="F2874" s="4">
        <v>0</v>
      </c>
      <c r="H2874" s="3">
        <f t="shared" si="44"/>
        <v>0</v>
      </c>
    </row>
    <row r="2875" spans="1:8">
      <c r="A2875" t="s">
        <v>2685</v>
      </c>
      <c r="B2875" t="s">
        <v>2686</v>
      </c>
      <c r="C2875" t="s">
        <v>635</v>
      </c>
      <c r="D2875" s="4">
        <v>0</v>
      </c>
      <c r="E2875" s="4">
        <v>0</v>
      </c>
      <c r="F2875" s="4">
        <v>0</v>
      </c>
      <c r="H2875" s="3">
        <f t="shared" si="44"/>
        <v>0</v>
      </c>
    </row>
    <row r="2876" spans="1:8">
      <c r="A2876" t="s">
        <v>2733</v>
      </c>
      <c r="B2876" t="s">
        <v>2734</v>
      </c>
      <c r="C2876" t="s">
        <v>635</v>
      </c>
      <c r="D2876" s="4">
        <v>68500</v>
      </c>
      <c r="E2876" s="4">
        <v>68500</v>
      </c>
      <c r="F2876" s="4">
        <v>137000</v>
      </c>
      <c r="H2876" s="3">
        <f t="shared" si="44"/>
        <v>0</v>
      </c>
    </row>
    <row r="2877" spans="1:8">
      <c r="A2877" t="s">
        <v>2857</v>
      </c>
      <c r="B2877" t="s">
        <v>2858</v>
      </c>
      <c r="C2877" t="s">
        <v>635</v>
      </c>
      <c r="D2877" s="4">
        <v>0</v>
      </c>
      <c r="E2877" s="4">
        <v>0</v>
      </c>
      <c r="F2877" s="4">
        <v>0</v>
      </c>
      <c r="H2877" s="3">
        <f t="shared" si="44"/>
        <v>0</v>
      </c>
    </row>
    <row r="2878" spans="1:8">
      <c r="A2878" t="s">
        <v>2867</v>
      </c>
      <c r="B2878" t="s">
        <v>2868</v>
      </c>
      <c r="C2878" t="s">
        <v>635</v>
      </c>
      <c r="D2878" s="4">
        <v>0</v>
      </c>
      <c r="E2878" s="4">
        <v>0</v>
      </c>
      <c r="F2878" s="4">
        <v>0</v>
      </c>
      <c r="H2878" s="3">
        <f t="shared" si="44"/>
        <v>0</v>
      </c>
    </row>
    <row r="2879" spans="1:8">
      <c r="A2879" t="s">
        <v>2900</v>
      </c>
      <c r="B2879" t="s">
        <v>2901</v>
      </c>
      <c r="C2879" t="s">
        <v>635</v>
      </c>
      <c r="D2879" s="4">
        <v>0</v>
      </c>
      <c r="E2879" s="4">
        <v>0</v>
      </c>
      <c r="F2879" s="4">
        <v>0</v>
      </c>
      <c r="H2879" s="3">
        <f t="shared" si="44"/>
        <v>0</v>
      </c>
    </row>
    <row r="2880" spans="1:8">
      <c r="A2880" t="s">
        <v>2919</v>
      </c>
      <c r="B2880" t="s">
        <v>2920</v>
      </c>
      <c r="C2880" t="s">
        <v>635</v>
      </c>
      <c r="D2880" s="4">
        <v>0</v>
      </c>
      <c r="E2880" s="4">
        <v>0</v>
      </c>
      <c r="F2880" s="4">
        <v>0</v>
      </c>
      <c r="H2880" s="3">
        <f t="shared" si="44"/>
        <v>0</v>
      </c>
    </row>
    <row r="2881" spans="1:8">
      <c r="A2881" t="s">
        <v>2933</v>
      </c>
      <c r="B2881" t="s">
        <v>2934</v>
      </c>
      <c r="C2881" t="s">
        <v>635</v>
      </c>
      <c r="D2881" s="4">
        <v>0</v>
      </c>
      <c r="E2881" s="4">
        <v>0</v>
      </c>
      <c r="F2881" s="4">
        <v>0</v>
      </c>
      <c r="H2881" s="3">
        <f t="shared" si="44"/>
        <v>0</v>
      </c>
    </row>
    <row r="2882" spans="1:8">
      <c r="A2882" t="s">
        <v>2974</v>
      </c>
      <c r="B2882" t="s">
        <v>2975</v>
      </c>
      <c r="C2882" t="s">
        <v>635</v>
      </c>
      <c r="D2882" s="4">
        <v>56300</v>
      </c>
      <c r="E2882" s="4">
        <v>56300</v>
      </c>
      <c r="F2882" s="4">
        <v>112600</v>
      </c>
      <c r="H2882" s="3">
        <f t="shared" si="44"/>
        <v>0</v>
      </c>
    </row>
    <row r="2883" spans="1:8">
      <c r="A2883" t="s">
        <v>2980</v>
      </c>
      <c r="B2883" t="s">
        <v>2981</v>
      </c>
      <c r="C2883" t="s">
        <v>635</v>
      </c>
      <c r="D2883" s="4">
        <v>0</v>
      </c>
      <c r="E2883" s="4">
        <v>0</v>
      </c>
      <c r="F2883" s="4">
        <v>0</v>
      </c>
      <c r="H2883" s="3">
        <f t="shared" si="44"/>
        <v>0</v>
      </c>
    </row>
    <row r="2884" spans="1:8">
      <c r="A2884" t="s">
        <v>2995</v>
      </c>
      <c r="B2884" t="s">
        <v>2996</v>
      </c>
      <c r="C2884" t="s">
        <v>635</v>
      </c>
      <c r="D2884" s="4">
        <v>0</v>
      </c>
      <c r="E2884" s="4"/>
      <c r="F2884" s="4">
        <v>0</v>
      </c>
      <c r="H2884" s="3">
        <f t="shared" si="44"/>
        <v>0</v>
      </c>
    </row>
    <row r="2885" spans="1:8">
      <c r="B2885" t="s">
        <v>3068</v>
      </c>
      <c r="C2885" t="s">
        <v>635</v>
      </c>
      <c r="D2885" s="4"/>
      <c r="E2885" s="4">
        <v>0</v>
      </c>
      <c r="F2885" s="4">
        <v>0</v>
      </c>
      <c r="H2885" s="3">
        <f t="shared" si="44"/>
        <v>0</v>
      </c>
    </row>
    <row r="2886" spans="1:8">
      <c r="A2886" t="s">
        <v>3031</v>
      </c>
      <c r="B2886" t="s">
        <v>3032</v>
      </c>
      <c r="C2886" t="s">
        <v>635</v>
      </c>
      <c r="D2886" s="4">
        <v>0</v>
      </c>
      <c r="E2886" s="4">
        <v>0</v>
      </c>
      <c r="F2886" s="4">
        <v>0</v>
      </c>
      <c r="H2886" s="3">
        <f t="shared" si="44"/>
        <v>0</v>
      </c>
    </row>
    <row r="2887" spans="1:8">
      <c r="A2887" t="s">
        <v>1447</v>
      </c>
      <c r="B2887" t="s">
        <v>1448</v>
      </c>
      <c r="C2887" t="s">
        <v>466</v>
      </c>
      <c r="D2887" s="4">
        <v>0</v>
      </c>
      <c r="E2887" s="4">
        <v>0</v>
      </c>
      <c r="F2887" s="4">
        <v>0</v>
      </c>
      <c r="H2887" s="3">
        <f t="shared" si="44"/>
        <v>0</v>
      </c>
    </row>
    <row r="2888" spans="1:8">
      <c r="A2888" t="s">
        <v>1452</v>
      </c>
      <c r="B2888" t="s">
        <v>1453</v>
      </c>
      <c r="C2888" t="s">
        <v>1001</v>
      </c>
      <c r="D2888" s="4">
        <v>0</v>
      </c>
      <c r="E2888" s="4">
        <v>0</v>
      </c>
      <c r="F2888" s="4">
        <v>0</v>
      </c>
      <c r="H2888" s="3">
        <f t="shared" si="44"/>
        <v>0</v>
      </c>
    </row>
    <row r="2889" spans="1:8">
      <c r="A2889" t="s">
        <v>1463</v>
      </c>
      <c r="B2889" t="s">
        <v>1464</v>
      </c>
      <c r="C2889" t="s">
        <v>635</v>
      </c>
      <c r="D2889" s="4">
        <v>0</v>
      </c>
      <c r="E2889" s="4">
        <v>0</v>
      </c>
      <c r="F2889" s="4">
        <v>0</v>
      </c>
      <c r="H2889" s="3">
        <f t="shared" si="44"/>
        <v>0</v>
      </c>
    </row>
    <row r="2890" spans="1:8">
      <c r="A2890" t="s">
        <v>1493</v>
      </c>
      <c r="B2890" t="s">
        <v>1494</v>
      </c>
      <c r="C2890" t="s">
        <v>635</v>
      </c>
      <c r="D2890" s="4">
        <v>0</v>
      </c>
      <c r="E2890" s="4">
        <v>0</v>
      </c>
      <c r="F2890" s="4">
        <v>0</v>
      </c>
      <c r="H2890" s="3">
        <f t="shared" si="44"/>
        <v>0</v>
      </c>
    </row>
    <row r="2891" spans="1:8">
      <c r="A2891" t="s">
        <v>1699</v>
      </c>
      <c r="B2891" t="s">
        <v>1700</v>
      </c>
      <c r="C2891" t="s">
        <v>635</v>
      </c>
      <c r="D2891" s="4">
        <v>0</v>
      </c>
      <c r="E2891" s="4">
        <v>0</v>
      </c>
      <c r="F2891" s="4">
        <v>0</v>
      </c>
      <c r="H2891" s="3">
        <f t="shared" si="44"/>
        <v>0</v>
      </c>
    </row>
    <row r="2892" spans="1:8">
      <c r="A2892" t="s">
        <v>1731</v>
      </c>
      <c r="B2892" t="s">
        <v>1732</v>
      </c>
      <c r="C2892" t="s">
        <v>635</v>
      </c>
      <c r="D2892" s="4">
        <v>0</v>
      </c>
      <c r="E2892" s="4">
        <v>0</v>
      </c>
      <c r="F2892" s="4">
        <v>0</v>
      </c>
      <c r="H2892" s="3">
        <f t="shared" si="44"/>
        <v>0</v>
      </c>
    </row>
    <row r="2893" spans="1:8">
      <c r="A2893" t="s">
        <v>1758</v>
      </c>
      <c r="B2893" t="s">
        <v>1759</v>
      </c>
      <c r="C2893" t="s">
        <v>635</v>
      </c>
      <c r="D2893" s="4">
        <v>0</v>
      </c>
      <c r="E2893" s="4">
        <v>0</v>
      </c>
      <c r="F2893" s="4">
        <v>0</v>
      </c>
      <c r="H2893" s="3">
        <f t="shared" si="44"/>
        <v>0</v>
      </c>
    </row>
    <row r="2894" spans="1:8">
      <c r="A2894" t="s">
        <v>1929</v>
      </c>
      <c r="B2894" t="s">
        <v>1930</v>
      </c>
      <c r="C2894" t="s">
        <v>466</v>
      </c>
      <c r="D2894" s="4">
        <v>0</v>
      </c>
      <c r="E2894" s="4">
        <v>0</v>
      </c>
      <c r="F2894" s="4">
        <v>0</v>
      </c>
      <c r="H2894" s="3">
        <f t="shared" si="44"/>
        <v>0</v>
      </c>
    </row>
    <row r="2895" spans="1:8">
      <c r="A2895" t="s">
        <v>1979</v>
      </c>
      <c r="B2895" t="s">
        <v>1980</v>
      </c>
      <c r="C2895" t="s">
        <v>635</v>
      </c>
      <c r="D2895" s="4">
        <v>0</v>
      </c>
      <c r="E2895" s="4">
        <v>0</v>
      </c>
      <c r="F2895" s="4">
        <v>0</v>
      </c>
      <c r="H2895" s="3">
        <f t="shared" si="44"/>
        <v>0</v>
      </c>
    </row>
    <row r="2896" spans="1:8">
      <c r="A2896" t="s">
        <v>2013</v>
      </c>
      <c r="B2896" t="s">
        <v>2014</v>
      </c>
      <c r="C2896" t="s">
        <v>635</v>
      </c>
      <c r="D2896" s="4">
        <v>0</v>
      </c>
      <c r="E2896" s="4">
        <v>0</v>
      </c>
      <c r="F2896" s="4">
        <v>0</v>
      </c>
      <c r="H2896" s="3">
        <f t="shared" si="44"/>
        <v>0</v>
      </c>
    </row>
    <row r="2897" spans="1:8">
      <c r="A2897" t="s">
        <v>2022</v>
      </c>
      <c r="B2897" t="s">
        <v>2023</v>
      </c>
      <c r="C2897" t="s">
        <v>635</v>
      </c>
      <c r="D2897" s="4">
        <v>0</v>
      </c>
      <c r="E2897" s="4">
        <v>0</v>
      </c>
      <c r="F2897" s="4">
        <v>0</v>
      </c>
      <c r="H2897" s="3">
        <f t="shared" si="44"/>
        <v>0</v>
      </c>
    </row>
    <row r="2898" spans="1:8">
      <c r="A2898" t="s">
        <v>2043</v>
      </c>
      <c r="B2898" t="s">
        <v>2044</v>
      </c>
      <c r="C2898" t="s">
        <v>635</v>
      </c>
      <c r="D2898" s="4">
        <v>0</v>
      </c>
      <c r="E2898" s="4">
        <v>0</v>
      </c>
      <c r="F2898" s="4">
        <v>0</v>
      </c>
      <c r="H2898" s="3">
        <f t="shared" si="44"/>
        <v>0</v>
      </c>
    </row>
    <row r="2899" spans="1:8">
      <c r="A2899" t="s">
        <v>2054</v>
      </c>
      <c r="B2899" t="s">
        <v>2055</v>
      </c>
      <c r="C2899" t="s">
        <v>635</v>
      </c>
      <c r="D2899" s="4">
        <v>0</v>
      </c>
      <c r="E2899" s="4"/>
      <c r="F2899" s="4">
        <v>0</v>
      </c>
      <c r="H2899" s="3">
        <f t="shared" si="44"/>
        <v>0</v>
      </c>
    </row>
    <row r="2900" spans="1:8">
      <c r="C2900" t="s">
        <v>466</v>
      </c>
      <c r="D2900" s="4">
        <v>0</v>
      </c>
      <c r="E2900" s="4"/>
      <c r="F2900" s="4">
        <v>0</v>
      </c>
      <c r="H2900" s="3">
        <f t="shared" si="44"/>
        <v>0</v>
      </c>
    </row>
    <row r="2901" spans="1:8">
      <c r="B2901" t="s">
        <v>3055</v>
      </c>
      <c r="C2901" t="s">
        <v>635</v>
      </c>
      <c r="D2901" s="4"/>
      <c r="E2901" s="4">
        <v>0</v>
      </c>
      <c r="F2901" s="4">
        <v>0</v>
      </c>
      <c r="H2901" s="3">
        <f t="shared" si="44"/>
        <v>0</v>
      </c>
    </row>
    <row r="2902" spans="1:8">
      <c r="C2902" t="s">
        <v>466</v>
      </c>
      <c r="D2902" s="4"/>
      <c r="E2902" s="4">
        <v>0</v>
      </c>
      <c r="F2902" s="4">
        <v>0</v>
      </c>
      <c r="H2902" s="3">
        <f t="shared" si="44"/>
        <v>0</v>
      </c>
    </row>
    <row r="2903" spans="1:8">
      <c r="A2903" t="s">
        <v>2128</v>
      </c>
      <c r="B2903" t="s">
        <v>2129</v>
      </c>
      <c r="C2903" t="s">
        <v>635</v>
      </c>
      <c r="D2903" s="4">
        <v>0</v>
      </c>
      <c r="E2903" s="4">
        <v>0</v>
      </c>
      <c r="F2903" s="4">
        <v>0</v>
      </c>
      <c r="H2903" s="3">
        <f t="shared" si="44"/>
        <v>0</v>
      </c>
    </row>
    <row r="2904" spans="1:8">
      <c r="A2904" t="s">
        <v>2163</v>
      </c>
      <c r="B2904" t="s">
        <v>2164</v>
      </c>
      <c r="C2904" t="s">
        <v>466</v>
      </c>
      <c r="D2904" s="4">
        <v>0</v>
      </c>
      <c r="E2904" s="4">
        <v>0</v>
      </c>
      <c r="F2904" s="4">
        <v>0</v>
      </c>
      <c r="H2904" s="3">
        <f t="shared" si="44"/>
        <v>0</v>
      </c>
    </row>
    <row r="2905" spans="1:8">
      <c r="A2905" t="s">
        <v>2169</v>
      </c>
      <c r="B2905" t="s">
        <v>2170</v>
      </c>
      <c r="C2905" t="s">
        <v>466</v>
      </c>
      <c r="D2905" s="4">
        <v>0</v>
      </c>
      <c r="E2905" s="4">
        <v>0</v>
      </c>
      <c r="F2905" s="4">
        <v>0</v>
      </c>
      <c r="H2905" s="3">
        <f t="shared" si="44"/>
        <v>0</v>
      </c>
    </row>
    <row r="2906" spans="1:8">
      <c r="A2906" t="s">
        <v>2187</v>
      </c>
      <c r="B2906" t="s">
        <v>2188</v>
      </c>
      <c r="C2906" t="s">
        <v>635</v>
      </c>
      <c r="D2906" s="4">
        <v>0</v>
      </c>
      <c r="E2906" s="4">
        <v>0</v>
      </c>
      <c r="F2906" s="4">
        <v>0</v>
      </c>
      <c r="H2906" s="3">
        <f t="shared" si="44"/>
        <v>0</v>
      </c>
    </row>
    <row r="2907" spans="1:8">
      <c r="A2907" t="s">
        <v>2269</v>
      </c>
      <c r="B2907" t="s">
        <v>2270</v>
      </c>
      <c r="C2907" t="s">
        <v>466</v>
      </c>
      <c r="D2907" s="4">
        <v>0</v>
      </c>
      <c r="E2907" s="4">
        <v>0</v>
      </c>
      <c r="F2907" s="4">
        <v>0</v>
      </c>
      <c r="H2907" s="3">
        <f t="shared" si="44"/>
        <v>0</v>
      </c>
    </row>
    <row r="2908" spans="1:8">
      <c r="A2908" t="s">
        <v>2288</v>
      </c>
      <c r="B2908" t="s">
        <v>2289</v>
      </c>
      <c r="C2908" t="s">
        <v>635</v>
      </c>
      <c r="D2908" s="4">
        <v>0</v>
      </c>
      <c r="E2908" s="4">
        <v>0</v>
      </c>
      <c r="F2908" s="4">
        <v>0</v>
      </c>
      <c r="H2908" s="3">
        <f t="shared" si="44"/>
        <v>0</v>
      </c>
    </row>
    <row r="2909" spans="1:8">
      <c r="A2909" t="s">
        <v>2298</v>
      </c>
      <c r="B2909" t="s">
        <v>2299</v>
      </c>
      <c r="C2909" t="s">
        <v>635</v>
      </c>
      <c r="D2909" s="4">
        <v>0</v>
      </c>
      <c r="E2909" s="4">
        <v>0</v>
      </c>
      <c r="F2909" s="4">
        <v>0</v>
      </c>
      <c r="H2909" s="3">
        <f t="shared" si="44"/>
        <v>0</v>
      </c>
    </row>
    <row r="2910" spans="1:8">
      <c r="A2910" t="s">
        <v>2303</v>
      </c>
      <c r="B2910" t="s">
        <v>2304</v>
      </c>
      <c r="C2910" t="s">
        <v>635</v>
      </c>
      <c r="D2910" s="4">
        <v>0</v>
      </c>
      <c r="E2910" s="4">
        <v>0</v>
      </c>
      <c r="F2910" s="4">
        <v>0</v>
      </c>
      <c r="H2910" s="3">
        <f t="shared" si="44"/>
        <v>0</v>
      </c>
    </row>
    <row r="2911" spans="1:8">
      <c r="A2911" t="s">
        <v>2320</v>
      </c>
      <c r="B2911" t="s">
        <v>2321</v>
      </c>
      <c r="C2911" t="s">
        <v>635</v>
      </c>
      <c r="D2911" s="4">
        <v>0</v>
      </c>
      <c r="E2911" s="4">
        <v>0</v>
      </c>
      <c r="F2911" s="4">
        <v>0</v>
      </c>
      <c r="H2911" s="3">
        <f t="shared" si="44"/>
        <v>0</v>
      </c>
    </row>
    <row r="2912" spans="1:8">
      <c r="A2912" t="s">
        <v>2378</v>
      </c>
      <c r="B2912" t="s">
        <v>2379</v>
      </c>
      <c r="C2912" t="s">
        <v>635</v>
      </c>
      <c r="D2912" s="4">
        <v>0</v>
      </c>
      <c r="E2912" s="4">
        <v>0</v>
      </c>
      <c r="F2912" s="4">
        <v>0</v>
      </c>
      <c r="H2912" s="3">
        <f t="shared" si="44"/>
        <v>0</v>
      </c>
    </row>
    <row r="2913" spans="1:8">
      <c r="A2913" t="s">
        <v>2415</v>
      </c>
      <c r="B2913" t="s">
        <v>2416</v>
      </c>
      <c r="C2913" t="s">
        <v>635</v>
      </c>
      <c r="D2913" s="4">
        <v>0</v>
      </c>
      <c r="E2913" s="4">
        <v>0</v>
      </c>
      <c r="F2913" s="4">
        <v>0</v>
      </c>
      <c r="H2913" s="3">
        <f t="shared" si="44"/>
        <v>0</v>
      </c>
    </row>
    <row r="2914" spans="1:8">
      <c r="A2914" t="s">
        <v>2441</v>
      </c>
      <c r="B2914" t="s">
        <v>2442</v>
      </c>
      <c r="C2914" t="s">
        <v>466</v>
      </c>
      <c r="D2914" s="4">
        <v>0</v>
      </c>
      <c r="E2914" s="4">
        <v>0</v>
      </c>
      <c r="F2914" s="4">
        <v>0</v>
      </c>
      <c r="H2914" s="3">
        <f t="shared" si="44"/>
        <v>0</v>
      </c>
    </row>
    <row r="2915" spans="1:8">
      <c r="A2915" t="s">
        <v>2458</v>
      </c>
      <c r="B2915" t="s">
        <v>2459</v>
      </c>
      <c r="C2915" t="s">
        <v>635</v>
      </c>
      <c r="D2915" s="4">
        <v>0</v>
      </c>
      <c r="E2915" s="4">
        <v>0</v>
      </c>
      <c r="F2915" s="4">
        <v>0</v>
      </c>
      <c r="H2915" s="3">
        <f t="shared" si="44"/>
        <v>0</v>
      </c>
    </row>
    <row r="2916" spans="1:8">
      <c r="A2916" t="s">
        <v>2594</v>
      </c>
      <c r="B2916" t="s">
        <v>2595</v>
      </c>
      <c r="C2916" t="s">
        <v>635</v>
      </c>
      <c r="D2916" s="4">
        <v>0</v>
      </c>
      <c r="E2916" s="4">
        <v>0</v>
      </c>
      <c r="F2916" s="4">
        <v>0</v>
      </c>
      <c r="H2916" s="3">
        <f t="shared" si="44"/>
        <v>0</v>
      </c>
    </row>
    <row r="2917" spans="1:8">
      <c r="A2917" t="s">
        <v>2636</v>
      </c>
      <c r="B2917" t="s">
        <v>2637</v>
      </c>
      <c r="C2917" t="s">
        <v>635</v>
      </c>
      <c r="D2917" s="4">
        <v>0</v>
      </c>
      <c r="E2917" s="4">
        <v>0</v>
      </c>
      <c r="F2917" s="4">
        <v>0</v>
      </c>
      <c r="H2917" s="3">
        <f t="shared" si="44"/>
        <v>0</v>
      </c>
    </row>
    <row r="2918" spans="1:8">
      <c r="A2918" t="s">
        <v>2674</v>
      </c>
      <c r="B2918" t="s">
        <v>2675</v>
      </c>
      <c r="C2918" t="s">
        <v>635</v>
      </c>
      <c r="D2918" s="4">
        <v>0</v>
      </c>
      <c r="E2918" s="4">
        <v>0</v>
      </c>
      <c r="F2918" s="4">
        <v>0</v>
      </c>
      <c r="H2918" s="3">
        <f t="shared" si="44"/>
        <v>0</v>
      </c>
    </row>
    <row r="2919" spans="1:8">
      <c r="A2919" t="s">
        <v>2682</v>
      </c>
      <c r="B2919" t="s">
        <v>2683</v>
      </c>
      <c r="C2919" t="s">
        <v>635</v>
      </c>
      <c r="D2919" s="4">
        <v>0</v>
      </c>
      <c r="E2919" s="4">
        <v>0</v>
      </c>
      <c r="F2919" s="4">
        <v>0</v>
      </c>
      <c r="H2919" s="3">
        <f t="shared" si="44"/>
        <v>0</v>
      </c>
    </row>
    <row r="2920" spans="1:8">
      <c r="A2920" t="s">
        <v>2696</v>
      </c>
      <c r="B2920" t="s">
        <v>2697</v>
      </c>
      <c r="C2920" t="s">
        <v>635</v>
      </c>
      <c r="D2920" s="4">
        <v>0</v>
      </c>
      <c r="E2920" s="4">
        <v>0</v>
      </c>
      <c r="F2920" s="4">
        <v>0</v>
      </c>
      <c r="H2920" s="3">
        <f t="shared" si="44"/>
        <v>0</v>
      </c>
    </row>
    <row r="2921" spans="1:8">
      <c r="A2921" t="s">
        <v>2707</v>
      </c>
      <c r="B2921" t="s">
        <v>2708</v>
      </c>
      <c r="C2921" t="s">
        <v>635</v>
      </c>
      <c r="D2921" s="4">
        <v>0</v>
      </c>
      <c r="E2921" s="4">
        <v>0</v>
      </c>
      <c r="F2921" s="4">
        <v>0</v>
      </c>
      <c r="H2921" s="3">
        <f t="shared" si="44"/>
        <v>0</v>
      </c>
    </row>
    <row r="2922" spans="1:8">
      <c r="A2922" t="s">
        <v>2718</v>
      </c>
      <c r="B2922" t="s">
        <v>2719</v>
      </c>
      <c r="C2922" t="s">
        <v>635</v>
      </c>
      <c r="D2922" s="4">
        <v>0</v>
      </c>
      <c r="E2922" s="4">
        <v>0</v>
      </c>
      <c r="F2922" s="4">
        <v>0</v>
      </c>
      <c r="H2922" s="3">
        <f t="shared" si="44"/>
        <v>0</v>
      </c>
    </row>
    <row r="2923" spans="1:8">
      <c r="A2923" t="s">
        <v>2778</v>
      </c>
      <c r="B2923" t="s">
        <v>2779</v>
      </c>
      <c r="C2923" t="s">
        <v>635</v>
      </c>
      <c r="D2923" s="4">
        <v>0</v>
      </c>
      <c r="E2923" s="4">
        <v>0</v>
      </c>
      <c r="F2923" s="4">
        <v>0</v>
      </c>
      <c r="H2923" s="3">
        <f t="shared" si="44"/>
        <v>0</v>
      </c>
    </row>
    <row r="2924" spans="1:8">
      <c r="A2924" t="s">
        <v>2834</v>
      </c>
      <c r="B2924" t="s">
        <v>2835</v>
      </c>
      <c r="C2924" t="s">
        <v>635</v>
      </c>
      <c r="D2924" s="4">
        <v>0</v>
      </c>
      <c r="E2924" s="4">
        <v>0</v>
      </c>
      <c r="F2924" s="4">
        <v>0</v>
      </c>
      <c r="H2924" s="3">
        <f t="shared" ref="H2924:H2987" si="45">+D2924-E2924</f>
        <v>0</v>
      </c>
    </row>
    <row r="2925" spans="1:8">
      <c r="A2925" t="s">
        <v>2863</v>
      </c>
      <c r="B2925" t="s">
        <v>2864</v>
      </c>
      <c r="C2925" t="s">
        <v>635</v>
      </c>
      <c r="D2925" s="4">
        <v>0</v>
      </c>
      <c r="E2925" s="4">
        <v>0</v>
      </c>
      <c r="F2925" s="4">
        <v>0</v>
      </c>
      <c r="H2925" s="3">
        <f t="shared" si="45"/>
        <v>0</v>
      </c>
    </row>
    <row r="2926" spans="1:8">
      <c r="A2926" t="s">
        <v>2915</v>
      </c>
      <c r="B2926" t="s">
        <v>2916</v>
      </c>
      <c r="C2926" t="s">
        <v>635</v>
      </c>
      <c r="D2926" s="4">
        <v>0</v>
      </c>
      <c r="E2926" s="4">
        <v>0</v>
      </c>
      <c r="F2926" s="4">
        <v>0</v>
      </c>
      <c r="H2926" s="3">
        <f t="shared" si="45"/>
        <v>0</v>
      </c>
    </row>
    <row r="2927" spans="1:8">
      <c r="A2927" t="s">
        <v>2925</v>
      </c>
      <c r="B2927" t="s">
        <v>2926</v>
      </c>
      <c r="C2927" t="s">
        <v>635</v>
      </c>
      <c r="D2927" s="4">
        <v>49800</v>
      </c>
      <c r="E2927" s="4">
        <v>49800</v>
      </c>
      <c r="F2927" s="4">
        <v>99600</v>
      </c>
      <c r="H2927" s="3">
        <f t="shared" si="45"/>
        <v>0</v>
      </c>
    </row>
    <row r="2928" spans="1:8">
      <c r="A2928" t="s">
        <v>2936</v>
      </c>
      <c r="B2928" t="s">
        <v>2937</v>
      </c>
      <c r="C2928" t="s">
        <v>635</v>
      </c>
      <c r="D2928" s="4">
        <v>0</v>
      </c>
      <c r="E2928" s="4">
        <v>0</v>
      </c>
      <c r="F2928" s="4">
        <v>0</v>
      </c>
      <c r="H2928" s="3">
        <f t="shared" si="45"/>
        <v>0</v>
      </c>
    </row>
    <row r="2929" spans="1:8">
      <c r="A2929" t="s">
        <v>2947</v>
      </c>
      <c r="B2929" t="s">
        <v>2948</v>
      </c>
      <c r="C2929" t="s">
        <v>635</v>
      </c>
      <c r="D2929" s="4">
        <v>0</v>
      </c>
      <c r="E2929" s="4">
        <v>0</v>
      </c>
      <c r="F2929" s="4">
        <v>0</v>
      </c>
      <c r="H2929" s="3">
        <f t="shared" si="45"/>
        <v>0</v>
      </c>
    </row>
    <row r="2930" spans="1:8">
      <c r="A2930" t="s">
        <v>2967</v>
      </c>
      <c r="B2930" t="s">
        <v>2968</v>
      </c>
      <c r="C2930" t="s">
        <v>635</v>
      </c>
      <c r="D2930" s="4">
        <v>0</v>
      </c>
      <c r="E2930" s="4">
        <v>0</v>
      </c>
      <c r="F2930" s="4">
        <v>0</v>
      </c>
      <c r="H2930" s="3">
        <f t="shared" si="45"/>
        <v>0</v>
      </c>
    </row>
    <row r="2931" spans="1:8">
      <c r="A2931" t="s">
        <v>2982</v>
      </c>
      <c r="B2931" t="s">
        <v>2983</v>
      </c>
      <c r="C2931" t="s">
        <v>635</v>
      </c>
      <c r="D2931" s="4">
        <v>0</v>
      </c>
      <c r="E2931" s="4">
        <v>0</v>
      </c>
      <c r="F2931" s="4">
        <v>0</v>
      </c>
      <c r="H2931" s="3">
        <f t="shared" si="45"/>
        <v>0</v>
      </c>
    </row>
    <row r="2932" spans="1:8">
      <c r="A2932" t="s">
        <v>3020</v>
      </c>
      <c r="B2932" t="s">
        <v>3021</v>
      </c>
      <c r="C2932" t="s">
        <v>635</v>
      </c>
      <c r="D2932" s="4">
        <v>0</v>
      </c>
      <c r="E2932" s="4">
        <v>0</v>
      </c>
      <c r="F2932" s="4">
        <v>0</v>
      </c>
      <c r="H2932" s="3">
        <f t="shared" si="45"/>
        <v>0</v>
      </c>
    </row>
    <row r="2933" spans="1:8">
      <c r="A2933" t="s">
        <v>3023</v>
      </c>
      <c r="B2933" t="s">
        <v>3024</v>
      </c>
      <c r="C2933" t="s">
        <v>635</v>
      </c>
      <c r="D2933" s="4">
        <v>0</v>
      </c>
      <c r="E2933" s="4">
        <v>0</v>
      </c>
      <c r="F2933" s="4">
        <v>0</v>
      </c>
      <c r="H2933" s="3">
        <f t="shared" si="45"/>
        <v>0</v>
      </c>
    </row>
    <row r="2934" spans="1:8">
      <c r="A2934" t="s">
        <v>3028</v>
      </c>
      <c r="B2934" t="s">
        <v>3029</v>
      </c>
      <c r="C2934" t="s">
        <v>635</v>
      </c>
      <c r="D2934" s="4">
        <v>0</v>
      </c>
      <c r="E2934" s="4">
        <v>0</v>
      </c>
      <c r="F2934" s="4">
        <v>0</v>
      </c>
      <c r="H2934" s="3">
        <f t="shared" si="45"/>
        <v>0</v>
      </c>
    </row>
    <row r="2935" spans="1:8">
      <c r="A2935" t="s">
        <v>3044</v>
      </c>
      <c r="B2935" t="s">
        <v>3045</v>
      </c>
      <c r="C2935" t="s">
        <v>635</v>
      </c>
      <c r="D2935" s="4">
        <v>0</v>
      </c>
      <c r="E2935" s="4">
        <v>0</v>
      </c>
      <c r="F2935" s="4">
        <v>0</v>
      </c>
      <c r="H2935" s="3">
        <f t="shared" si="45"/>
        <v>0</v>
      </c>
    </row>
    <row r="2936" spans="1:8">
      <c r="A2936" t="s">
        <v>1660</v>
      </c>
      <c r="B2936" t="s">
        <v>1661</v>
      </c>
      <c r="C2936" t="s">
        <v>635</v>
      </c>
      <c r="D2936" s="4">
        <v>0</v>
      </c>
      <c r="E2936" s="4">
        <v>0</v>
      </c>
      <c r="F2936" s="4">
        <v>0</v>
      </c>
      <c r="H2936" s="3">
        <f t="shared" si="45"/>
        <v>0</v>
      </c>
    </row>
    <row r="2937" spans="1:8">
      <c r="A2937" t="s">
        <v>1686</v>
      </c>
      <c r="B2937" t="s">
        <v>1687</v>
      </c>
      <c r="C2937" t="s">
        <v>635</v>
      </c>
      <c r="D2937" s="4">
        <v>0</v>
      </c>
      <c r="E2937" s="4">
        <v>0</v>
      </c>
      <c r="F2937" s="4">
        <v>0</v>
      </c>
      <c r="H2937" s="3">
        <f t="shared" si="45"/>
        <v>0</v>
      </c>
    </row>
    <row r="2938" spans="1:8">
      <c r="A2938" t="s">
        <v>1851</v>
      </c>
      <c r="B2938" t="s">
        <v>1852</v>
      </c>
      <c r="C2938" t="s">
        <v>635</v>
      </c>
      <c r="D2938" s="4">
        <v>0</v>
      </c>
      <c r="E2938" s="4">
        <v>0</v>
      </c>
      <c r="F2938" s="4">
        <v>0</v>
      </c>
      <c r="H2938" s="3">
        <f t="shared" si="45"/>
        <v>0</v>
      </c>
    </row>
    <row r="2939" spans="1:8">
      <c r="A2939" t="s">
        <v>1862</v>
      </c>
      <c r="B2939" t="s">
        <v>1863</v>
      </c>
      <c r="C2939" t="s">
        <v>635</v>
      </c>
      <c r="D2939" s="4">
        <v>0</v>
      </c>
      <c r="E2939" s="4">
        <v>0</v>
      </c>
      <c r="F2939" s="4">
        <v>0</v>
      </c>
      <c r="H2939" s="3">
        <f t="shared" si="45"/>
        <v>0</v>
      </c>
    </row>
    <row r="2940" spans="1:8">
      <c r="A2940" t="s">
        <v>1962</v>
      </c>
      <c r="B2940" t="s">
        <v>1963</v>
      </c>
      <c r="C2940" t="s">
        <v>635</v>
      </c>
      <c r="D2940" s="4">
        <v>0</v>
      </c>
      <c r="E2940" s="4">
        <v>0</v>
      </c>
      <c r="F2940" s="4">
        <v>0</v>
      </c>
      <c r="H2940" s="3">
        <f t="shared" si="45"/>
        <v>0</v>
      </c>
    </row>
    <row r="2941" spans="1:8">
      <c r="A2941" t="s">
        <v>2000</v>
      </c>
      <c r="B2941" t="s">
        <v>2001</v>
      </c>
      <c r="C2941" t="s">
        <v>635</v>
      </c>
      <c r="D2941" s="4">
        <v>0</v>
      </c>
      <c r="E2941" s="4">
        <v>0</v>
      </c>
      <c r="F2941" s="4">
        <v>0</v>
      </c>
      <c r="H2941" s="3">
        <f t="shared" si="45"/>
        <v>0</v>
      </c>
    </row>
    <row r="2942" spans="1:8">
      <c r="A2942" t="s">
        <v>2006</v>
      </c>
      <c r="B2942" t="s">
        <v>2007</v>
      </c>
      <c r="C2942" t="s">
        <v>635</v>
      </c>
      <c r="D2942" s="4">
        <v>0</v>
      </c>
      <c r="E2942" s="4">
        <v>0</v>
      </c>
      <c r="F2942" s="4">
        <v>0</v>
      </c>
      <c r="H2942" s="3">
        <f t="shared" si="45"/>
        <v>0</v>
      </c>
    </row>
    <row r="2943" spans="1:8">
      <c r="A2943" t="s">
        <v>2067</v>
      </c>
      <c r="B2943" t="s">
        <v>2068</v>
      </c>
      <c r="C2943" t="s">
        <v>635</v>
      </c>
      <c r="D2943" s="4">
        <v>0</v>
      </c>
      <c r="E2943" s="4">
        <v>0</v>
      </c>
      <c r="F2943" s="4">
        <v>0</v>
      </c>
      <c r="H2943" s="3">
        <f t="shared" si="45"/>
        <v>0</v>
      </c>
    </row>
    <row r="2944" spans="1:8">
      <c r="A2944" t="s">
        <v>2291</v>
      </c>
      <c r="B2944" t="s">
        <v>2292</v>
      </c>
      <c r="C2944" t="s">
        <v>635</v>
      </c>
      <c r="D2944" s="4">
        <v>31900</v>
      </c>
      <c r="E2944" s="4">
        <v>31900</v>
      </c>
      <c r="F2944" s="4">
        <v>63800</v>
      </c>
      <c r="H2944" s="3">
        <f t="shared" si="45"/>
        <v>0</v>
      </c>
    </row>
    <row r="2945" spans="1:8">
      <c r="A2945" t="s">
        <v>2307</v>
      </c>
      <c r="B2945" t="s">
        <v>2308</v>
      </c>
      <c r="C2945" t="s">
        <v>635</v>
      </c>
      <c r="D2945" s="4">
        <v>36000</v>
      </c>
      <c r="E2945" s="4">
        <v>36000</v>
      </c>
      <c r="F2945" s="4">
        <v>72000</v>
      </c>
      <c r="H2945" s="3">
        <f t="shared" si="45"/>
        <v>0</v>
      </c>
    </row>
    <row r="2946" spans="1:8">
      <c r="A2946" t="s">
        <v>2782</v>
      </c>
      <c r="B2946" t="s">
        <v>2783</v>
      </c>
      <c r="C2946" t="s">
        <v>635</v>
      </c>
      <c r="D2946" s="4">
        <v>0</v>
      </c>
      <c r="E2946" s="4">
        <v>0</v>
      </c>
      <c r="F2946" s="4">
        <v>0</v>
      </c>
      <c r="H2946" s="3">
        <f t="shared" si="45"/>
        <v>0</v>
      </c>
    </row>
    <row r="2947" spans="1:8">
      <c r="A2947" t="s">
        <v>2958</v>
      </c>
      <c r="B2947" t="s">
        <v>2959</v>
      </c>
      <c r="C2947" t="s">
        <v>635</v>
      </c>
      <c r="D2947" s="4">
        <v>0</v>
      </c>
      <c r="E2947" s="4">
        <v>0</v>
      </c>
      <c r="F2947" s="4">
        <v>0</v>
      </c>
      <c r="H2947" s="3">
        <f t="shared" si="45"/>
        <v>0</v>
      </c>
    </row>
    <row r="2948" spans="1:8">
      <c r="A2948" t="s">
        <v>2970</v>
      </c>
      <c r="B2948" t="s">
        <v>2971</v>
      </c>
      <c r="C2948" t="s">
        <v>635</v>
      </c>
      <c r="D2948" s="4">
        <v>0</v>
      </c>
      <c r="E2948" s="4">
        <v>0</v>
      </c>
      <c r="F2948" s="4">
        <v>0</v>
      </c>
      <c r="H2948" s="3">
        <f t="shared" si="45"/>
        <v>0</v>
      </c>
    </row>
    <row r="2949" spans="1:8">
      <c r="A2949" t="s">
        <v>2047</v>
      </c>
      <c r="B2949" t="s">
        <v>2048</v>
      </c>
      <c r="C2949" t="s">
        <v>635</v>
      </c>
      <c r="D2949" s="4">
        <v>0</v>
      </c>
      <c r="E2949" s="4">
        <v>0</v>
      </c>
      <c r="F2949" s="4">
        <v>0</v>
      </c>
      <c r="H2949" s="3">
        <f t="shared" si="45"/>
        <v>0</v>
      </c>
    </row>
    <row r="2950" spans="1:8">
      <c r="A2950" t="s">
        <v>2050</v>
      </c>
      <c r="B2950" t="s">
        <v>2051</v>
      </c>
      <c r="C2950" t="s">
        <v>635</v>
      </c>
      <c r="D2950" s="4">
        <v>0</v>
      </c>
      <c r="E2950" s="4">
        <v>0</v>
      </c>
      <c r="F2950" s="4">
        <v>0</v>
      </c>
      <c r="H2950" s="3">
        <f t="shared" si="45"/>
        <v>0</v>
      </c>
    </row>
    <row r="2951" spans="1:8">
      <c r="A2951" t="s">
        <v>2344</v>
      </c>
      <c r="B2951" t="s">
        <v>2345</v>
      </c>
      <c r="C2951" t="s">
        <v>635</v>
      </c>
      <c r="D2951" s="4">
        <v>0</v>
      </c>
      <c r="E2951" s="4">
        <v>0</v>
      </c>
      <c r="F2951" s="4">
        <v>0</v>
      </c>
      <c r="H2951" s="3">
        <f t="shared" si="45"/>
        <v>0</v>
      </c>
    </row>
    <row r="2952" spans="1:8">
      <c r="A2952" t="s">
        <v>2647</v>
      </c>
      <c r="B2952" t="s">
        <v>2648</v>
      </c>
      <c r="C2952" t="s">
        <v>635</v>
      </c>
      <c r="D2952" s="4">
        <v>0</v>
      </c>
      <c r="E2952" s="4">
        <v>0</v>
      </c>
      <c r="F2952" s="4">
        <v>0</v>
      </c>
      <c r="H2952" s="3">
        <f t="shared" si="45"/>
        <v>0</v>
      </c>
    </row>
    <row r="2953" spans="1:8">
      <c r="A2953" t="s">
        <v>2649</v>
      </c>
      <c r="B2953" t="s">
        <v>2650</v>
      </c>
      <c r="C2953" t="s">
        <v>635</v>
      </c>
      <c r="D2953" s="4">
        <v>0</v>
      </c>
      <c r="E2953" s="4">
        <v>0</v>
      </c>
      <c r="F2953" s="4">
        <v>0</v>
      </c>
      <c r="H2953" s="3">
        <f t="shared" si="45"/>
        <v>0</v>
      </c>
    </row>
    <row r="2954" spans="1:8">
      <c r="A2954" t="s">
        <v>2688</v>
      </c>
      <c r="B2954" t="s">
        <v>2689</v>
      </c>
      <c r="C2954" t="s">
        <v>635</v>
      </c>
      <c r="D2954" s="4">
        <v>0</v>
      </c>
      <c r="E2954" s="4">
        <v>0</v>
      </c>
      <c r="F2954" s="4">
        <v>0</v>
      </c>
      <c r="H2954" s="3">
        <f t="shared" si="45"/>
        <v>0</v>
      </c>
    </row>
    <row r="2955" spans="1:8">
      <c r="A2955" t="s">
        <v>2703</v>
      </c>
      <c r="B2955" t="s">
        <v>2704</v>
      </c>
      <c r="C2955" t="s">
        <v>635</v>
      </c>
      <c r="D2955" s="4">
        <v>0</v>
      </c>
      <c r="E2955" s="4">
        <v>0</v>
      </c>
      <c r="F2955" s="4">
        <v>0</v>
      </c>
      <c r="H2955" s="3">
        <f t="shared" si="45"/>
        <v>0</v>
      </c>
    </row>
    <row r="2956" spans="1:8">
      <c r="A2956" t="s">
        <v>2793</v>
      </c>
      <c r="B2956" t="s">
        <v>2794</v>
      </c>
      <c r="C2956" t="s">
        <v>466</v>
      </c>
      <c r="D2956" s="4">
        <v>0</v>
      </c>
      <c r="E2956" s="4">
        <v>0</v>
      </c>
      <c r="F2956" s="4">
        <v>0</v>
      </c>
      <c r="H2956" s="3">
        <f t="shared" si="45"/>
        <v>0</v>
      </c>
    </row>
    <row r="2957" spans="1:8">
      <c r="A2957" t="s">
        <v>2797</v>
      </c>
      <c r="B2957" t="s">
        <v>2798</v>
      </c>
      <c r="C2957" t="s">
        <v>635</v>
      </c>
      <c r="D2957" s="4">
        <v>0</v>
      </c>
      <c r="E2957" s="4">
        <v>0</v>
      </c>
      <c r="F2957" s="4">
        <v>0</v>
      </c>
      <c r="H2957" s="3">
        <f t="shared" si="45"/>
        <v>0</v>
      </c>
    </row>
    <row r="2958" spans="1:8">
      <c r="A2958" t="s">
        <v>1432</v>
      </c>
      <c r="B2958" t="s">
        <v>1433</v>
      </c>
      <c r="C2958" t="s">
        <v>635</v>
      </c>
      <c r="D2958" s="4">
        <v>0</v>
      </c>
      <c r="E2958" s="4">
        <v>0</v>
      </c>
      <c r="F2958" s="4">
        <v>0</v>
      </c>
      <c r="H2958" s="3">
        <f t="shared" si="45"/>
        <v>0</v>
      </c>
    </row>
    <row r="2959" spans="1:8">
      <c r="A2959" t="s">
        <v>1457</v>
      </c>
      <c r="B2959" t="s">
        <v>1458</v>
      </c>
      <c r="C2959" t="s">
        <v>635</v>
      </c>
      <c r="D2959" s="4">
        <v>0</v>
      </c>
      <c r="E2959" s="4">
        <v>0</v>
      </c>
      <c r="F2959" s="4">
        <v>0</v>
      </c>
      <c r="H2959" s="3">
        <f t="shared" si="45"/>
        <v>0</v>
      </c>
    </row>
    <row r="2960" spans="1:8">
      <c r="A2960" t="s">
        <v>1618</v>
      </c>
      <c r="B2960" t="s">
        <v>1619</v>
      </c>
      <c r="C2960" t="s">
        <v>635</v>
      </c>
      <c r="D2960" s="4">
        <v>0</v>
      </c>
      <c r="E2960" s="4">
        <v>0</v>
      </c>
      <c r="F2960" s="4">
        <v>0</v>
      </c>
      <c r="H2960" s="3">
        <f t="shared" si="45"/>
        <v>0</v>
      </c>
    </row>
    <row r="2961" spans="1:8">
      <c r="A2961" t="s">
        <v>1690</v>
      </c>
      <c r="B2961" t="s">
        <v>1691</v>
      </c>
      <c r="C2961" t="s">
        <v>635</v>
      </c>
      <c r="D2961" s="4">
        <v>0</v>
      </c>
      <c r="E2961" s="4">
        <v>0</v>
      </c>
      <c r="F2961" s="4">
        <v>0</v>
      </c>
      <c r="H2961" s="3">
        <f t="shared" si="45"/>
        <v>0</v>
      </c>
    </row>
    <row r="2962" spans="1:8">
      <c r="A2962" t="s">
        <v>1726</v>
      </c>
      <c r="B2962" t="s">
        <v>1727</v>
      </c>
      <c r="C2962" t="s">
        <v>635</v>
      </c>
      <c r="D2962" s="4">
        <v>0</v>
      </c>
      <c r="E2962" s="4">
        <v>0</v>
      </c>
      <c r="F2962" s="4">
        <v>0</v>
      </c>
      <c r="H2962" s="3">
        <f t="shared" si="45"/>
        <v>0</v>
      </c>
    </row>
    <row r="2963" spans="1:8">
      <c r="A2963" t="s">
        <v>1778</v>
      </c>
      <c r="B2963" t="s">
        <v>1779</v>
      </c>
      <c r="C2963" t="s">
        <v>466</v>
      </c>
      <c r="D2963" s="4">
        <v>0</v>
      </c>
      <c r="E2963" s="4">
        <v>0</v>
      </c>
      <c r="F2963" s="4">
        <v>0</v>
      </c>
      <c r="H2963" s="3">
        <f t="shared" si="45"/>
        <v>0</v>
      </c>
    </row>
    <row r="2964" spans="1:8">
      <c r="A2964" t="s">
        <v>1787</v>
      </c>
      <c r="B2964" t="s">
        <v>1788</v>
      </c>
      <c r="C2964" t="s">
        <v>635</v>
      </c>
      <c r="D2964" s="4">
        <v>0</v>
      </c>
      <c r="E2964" s="4">
        <v>0</v>
      </c>
      <c r="F2964" s="4">
        <v>0</v>
      </c>
      <c r="H2964" s="3">
        <f t="shared" si="45"/>
        <v>0</v>
      </c>
    </row>
    <row r="2965" spans="1:8">
      <c r="A2965" t="s">
        <v>1794</v>
      </c>
      <c r="B2965" t="s">
        <v>1795</v>
      </c>
      <c r="C2965" t="s">
        <v>635</v>
      </c>
      <c r="D2965" s="4">
        <v>0</v>
      </c>
      <c r="E2965" s="4"/>
      <c r="F2965" s="4">
        <v>0</v>
      </c>
      <c r="H2965" s="3">
        <f t="shared" si="45"/>
        <v>0</v>
      </c>
    </row>
    <row r="2966" spans="1:8">
      <c r="B2966" t="s">
        <v>3051</v>
      </c>
      <c r="C2966" t="s">
        <v>635</v>
      </c>
      <c r="D2966" s="4"/>
      <c r="E2966" s="4">
        <v>0</v>
      </c>
      <c r="F2966" s="4">
        <v>0</v>
      </c>
      <c r="H2966" s="3">
        <f t="shared" si="45"/>
        <v>0</v>
      </c>
    </row>
    <row r="2967" spans="1:8">
      <c r="A2967" t="s">
        <v>1815</v>
      </c>
      <c r="B2967" t="s">
        <v>1816</v>
      </c>
      <c r="C2967" t="s">
        <v>635</v>
      </c>
      <c r="D2967" s="4">
        <v>0</v>
      </c>
      <c r="E2967" s="4">
        <v>0</v>
      </c>
      <c r="F2967" s="4">
        <v>0</v>
      </c>
      <c r="H2967" s="3">
        <f t="shared" si="45"/>
        <v>0</v>
      </c>
    </row>
    <row r="2968" spans="1:8">
      <c r="A2968" t="s">
        <v>1825</v>
      </c>
      <c r="B2968" t="s">
        <v>1826</v>
      </c>
      <c r="C2968" t="s">
        <v>466</v>
      </c>
      <c r="D2968" s="4">
        <v>0</v>
      </c>
      <c r="E2968" s="4">
        <v>0</v>
      </c>
      <c r="F2968" s="4">
        <v>0</v>
      </c>
      <c r="H2968" s="3">
        <f t="shared" si="45"/>
        <v>0</v>
      </c>
    </row>
    <row r="2969" spans="1:8">
      <c r="A2969" t="s">
        <v>1880</v>
      </c>
      <c r="B2969" t="s">
        <v>1881</v>
      </c>
      <c r="C2969" t="s">
        <v>635</v>
      </c>
      <c r="D2969" s="4">
        <v>0</v>
      </c>
      <c r="E2969" s="4">
        <v>0</v>
      </c>
      <c r="F2969" s="4">
        <v>0</v>
      </c>
      <c r="H2969" s="3">
        <f t="shared" si="45"/>
        <v>0</v>
      </c>
    </row>
    <row r="2970" spans="1:8">
      <c r="A2970" t="s">
        <v>1921</v>
      </c>
      <c r="B2970" t="s">
        <v>1922</v>
      </c>
      <c r="C2970" t="s">
        <v>466</v>
      </c>
      <c r="D2970" s="4">
        <v>0</v>
      </c>
      <c r="E2970" s="4">
        <v>0</v>
      </c>
      <c r="F2970" s="4">
        <v>0</v>
      </c>
      <c r="H2970" s="3">
        <f t="shared" si="45"/>
        <v>0</v>
      </c>
    </row>
    <row r="2971" spans="1:8">
      <c r="A2971" t="s">
        <v>1926</v>
      </c>
      <c r="B2971" t="s">
        <v>1927</v>
      </c>
      <c r="C2971" t="s">
        <v>466</v>
      </c>
      <c r="D2971" s="4">
        <v>0</v>
      </c>
      <c r="E2971" s="4">
        <v>0</v>
      </c>
      <c r="F2971" s="4">
        <v>0</v>
      </c>
      <c r="H2971" s="3">
        <f t="shared" si="45"/>
        <v>0</v>
      </c>
    </row>
    <row r="2972" spans="1:8">
      <c r="A2972" t="s">
        <v>2100</v>
      </c>
      <c r="B2972" t="s">
        <v>2101</v>
      </c>
      <c r="C2972" t="s">
        <v>635</v>
      </c>
      <c r="D2972" s="4">
        <v>0</v>
      </c>
      <c r="E2972" s="4">
        <v>0</v>
      </c>
      <c r="F2972" s="4">
        <v>0</v>
      </c>
      <c r="H2972" s="3">
        <f t="shared" si="45"/>
        <v>0</v>
      </c>
    </row>
    <row r="2973" spans="1:8">
      <c r="A2973" t="s">
        <v>2103</v>
      </c>
      <c r="B2973" t="s">
        <v>2104</v>
      </c>
      <c r="C2973" t="s">
        <v>635</v>
      </c>
      <c r="D2973" s="4">
        <v>0</v>
      </c>
      <c r="E2973" s="4">
        <v>0</v>
      </c>
      <c r="F2973" s="4">
        <v>0</v>
      </c>
      <c r="H2973" s="3">
        <f t="shared" si="45"/>
        <v>0</v>
      </c>
    </row>
    <row r="2974" spans="1:8">
      <c r="A2974" t="s">
        <v>2133</v>
      </c>
      <c r="B2974" t="s">
        <v>2134</v>
      </c>
      <c r="C2974" t="s">
        <v>635</v>
      </c>
      <c r="D2974" s="4">
        <v>0</v>
      </c>
      <c r="E2974" s="4">
        <v>0</v>
      </c>
      <c r="F2974" s="4">
        <v>0</v>
      </c>
      <c r="H2974" s="3">
        <f t="shared" si="45"/>
        <v>0</v>
      </c>
    </row>
    <row r="2975" spans="1:8">
      <c r="A2975" t="s">
        <v>2209</v>
      </c>
      <c r="B2975" t="s">
        <v>2210</v>
      </c>
      <c r="C2975" t="s">
        <v>466</v>
      </c>
      <c r="D2975" s="4">
        <v>0</v>
      </c>
      <c r="E2975" s="4"/>
      <c r="F2975" s="4">
        <v>0</v>
      </c>
      <c r="H2975" s="3">
        <f t="shared" si="45"/>
        <v>0</v>
      </c>
    </row>
    <row r="2976" spans="1:8">
      <c r="B2976" t="s">
        <v>3062</v>
      </c>
      <c r="C2976" t="s">
        <v>466</v>
      </c>
      <c r="D2976" s="4"/>
      <c r="E2976" s="4">
        <v>0</v>
      </c>
      <c r="F2976" s="4">
        <v>0</v>
      </c>
      <c r="H2976" s="3">
        <f t="shared" si="45"/>
        <v>0</v>
      </c>
    </row>
    <row r="2977" spans="1:8">
      <c r="A2977" t="s">
        <v>2235</v>
      </c>
      <c r="B2977" t="s">
        <v>2236</v>
      </c>
      <c r="C2977" t="s">
        <v>466</v>
      </c>
      <c r="D2977" s="4">
        <v>0</v>
      </c>
      <c r="E2977" s="4">
        <v>0</v>
      </c>
      <c r="F2977" s="4">
        <v>0</v>
      </c>
      <c r="H2977" s="3">
        <f t="shared" si="45"/>
        <v>0</v>
      </c>
    </row>
    <row r="2978" spans="1:8">
      <c r="A2978" t="s">
        <v>2244</v>
      </c>
      <c r="B2978" t="s">
        <v>2245</v>
      </c>
      <c r="C2978" t="s">
        <v>466</v>
      </c>
      <c r="D2978" s="4">
        <v>0</v>
      </c>
      <c r="E2978" s="4"/>
      <c r="F2978" s="4">
        <v>0</v>
      </c>
      <c r="H2978" s="3">
        <f t="shared" si="45"/>
        <v>0</v>
      </c>
    </row>
    <row r="2979" spans="1:8">
      <c r="B2979" t="s">
        <v>3063</v>
      </c>
      <c r="C2979" t="s">
        <v>466</v>
      </c>
      <c r="D2979" s="4"/>
      <c r="E2979" s="4">
        <v>0</v>
      </c>
      <c r="F2979" s="4">
        <v>0</v>
      </c>
      <c r="H2979" s="3">
        <f t="shared" si="45"/>
        <v>0</v>
      </c>
    </row>
    <row r="2980" spans="1:8">
      <c r="A2980" t="s">
        <v>2248</v>
      </c>
      <c r="B2980" t="s">
        <v>2249</v>
      </c>
      <c r="C2980" t="s">
        <v>466</v>
      </c>
      <c r="D2980" s="4">
        <v>0</v>
      </c>
      <c r="E2980" s="4">
        <v>0</v>
      </c>
      <c r="F2980" s="4">
        <v>0</v>
      </c>
      <c r="H2980" s="3">
        <f t="shared" si="45"/>
        <v>0</v>
      </c>
    </row>
    <row r="2981" spans="1:8">
      <c r="A2981" t="s">
        <v>2252</v>
      </c>
      <c r="B2981" t="s">
        <v>2253</v>
      </c>
      <c r="C2981" t="s">
        <v>466</v>
      </c>
      <c r="D2981" s="4">
        <v>0</v>
      </c>
      <c r="E2981" s="4">
        <v>0</v>
      </c>
      <c r="F2981" s="4">
        <v>0</v>
      </c>
      <c r="H2981" s="3">
        <f t="shared" si="45"/>
        <v>0</v>
      </c>
    </row>
    <row r="2982" spans="1:8">
      <c r="A2982" t="s">
        <v>2256</v>
      </c>
      <c r="B2982" t="s">
        <v>2257</v>
      </c>
      <c r="C2982" t="s">
        <v>466</v>
      </c>
      <c r="D2982" s="4">
        <v>0</v>
      </c>
      <c r="E2982" s="4">
        <v>0</v>
      </c>
      <c r="F2982" s="4">
        <v>0</v>
      </c>
      <c r="H2982" s="3">
        <f t="shared" si="45"/>
        <v>0</v>
      </c>
    </row>
    <row r="2983" spans="1:8">
      <c r="A2983" t="s">
        <v>2261</v>
      </c>
      <c r="B2983" t="s">
        <v>2262</v>
      </c>
      <c r="C2983" t="s">
        <v>466</v>
      </c>
      <c r="D2983" s="4">
        <v>0</v>
      </c>
      <c r="E2983" s="4">
        <v>0</v>
      </c>
      <c r="F2983" s="4">
        <v>0</v>
      </c>
      <c r="H2983" s="3">
        <f t="shared" si="45"/>
        <v>0</v>
      </c>
    </row>
    <row r="2984" spans="1:8">
      <c r="A2984" t="s">
        <v>2282</v>
      </c>
      <c r="B2984" t="s">
        <v>2283</v>
      </c>
      <c r="C2984" t="s">
        <v>466</v>
      </c>
      <c r="D2984" s="4">
        <v>0</v>
      </c>
      <c r="E2984" s="4">
        <v>0</v>
      </c>
      <c r="F2984" s="4">
        <v>0</v>
      </c>
      <c r="H2984" s="3">
        <f t="shared" si="45"/>
        <v>0</v>
      </c>
    </row>
    <row r="2985" spans="1:8">
      <c r="A2985" t="s">
        <v>2362</v>
      </c>
      <c r="B2985" t="s">
        <v>2363</v>
      </c>
      <c r="C2985" t="s">
        <v>466</v>
      </c>
      <c r="D2985" s="4">
        <v>0</v>
      </c>
      <c r="E2985" s="4">
        <v>0</v>
      </c>
      <c r="F2985" s="4">
        <v>0</v>
      </c>
      <c r="H2985" s="3">
        <f t="shared" si="45"/>
        <v>0</v>
      </c>
    </row>
    <row r="2986" spans="1:8">
      <c r="A2986" t="s">
        <v>2411</v>
      </c>
      <c r="B2986" t="s">
        <v>2412</v>
      </c>
      <c r="C2986" t="s">
        <v>635</v>
      </c>
      <c r="D2986" s="4">
        <v>0</v>
      </c>
      <c r="E2986" s="4">
        <v>0</v>
      </c>
      <c r="F2986" s="4">
        <v>0</v>
      </c>
      <c r="H2986" s="3">
        <f t="shared" si="45"/>
        <v>0</v>
      </c>
    </row>
    <row r="2987" spans="1:8">
      <c r="A2987" t="s">
        <v>2418</v>
      </c>
      <c r="B2987" t="s">
        <v>2419</v>
      </c>
      <c r="C2987" t="s">
        <v>466</v>
      </c>
      <c r="D2987" s="4">
        <v>0</v>
      </c>
      <c r="E2987" s="4">
        <v>0</v>
      </c>
      <c r="F2987" s="4">
        <v>0</v>
      </c>
      <c r="H2987" s="3">
        <f t="shared" si="45"/>
        <v>0</v>
      </c>
    </row>
    <row r="2988" spans="1:8">
      <c r="A2988" t="s">
        <v>2425</v>
      </c>
      <c r="B2988" t="s">
        <v>2426</v>
      </c>
      <c r="C2988" t="s">
        <v>466</v>
      </c>
      <c r="D2988" s="4">
        <v>0</v>
      </c>
      <c r="E2988" s="4">
        <v>0</v>
      </c>
      <c r="F2988" s="4">
        <v>0</v>
      </c>
      <c r="H2988" s="3">
        <f t="shared" ref="H2988:H3051" si="46">+D2988-E2988</f>
        <v>0</v>
      </c>
    </row>
    <row r="2989" spans="1:8">
      <c r="A2989" t="s">
        <v>2504</v>
      </c>
      <c r="B2989" t="s">
        <v>2505</v>
      </c>
      <c r="C2989" t="s">
        <v>466</v>
      </c>
      <c r="D2989" s="4">
        <v>0</v>
      </c>
      <c r="E2989" s="4">
        <v>0</v>
      </c>
      <c r="F2989" s="4">
        <v>0</v>
      </c>
      <c r="H2989" s="3">
        <f t="shared" si="46"/>
        <v>0</v>
      </c>
    </row>
    <row r="2990" spans="1:8">
      <c r="A2990" t="s">
        <v>2524</v>
      </c>
      <c r="B2990" t="s">
        <v>2525</v>
      </c>
      <c r="C2990" t="s">
        <v>635</v>
      </c>
      <c r="D2990" s="4">
        <v>0</v>
      </c>
      <c r="E2990" s="4">
        <v>0</v>
      </c>
      <c r="F2990" s="4">
        <v>0</v>
      </c>
      <c r="H2990" s="3">
        <f t="shared" si="46"/>
        <v>0</v>
      </c>
    </row>
    <row r="2991" spans="1:8">
      <c r="A2991" t="s">
        <v>2656</v>
      </c>
      <c r="B2991" t="s">
        <v>2657</v>
      </c>
      <c r="C2991" t="s">
        <v>466</v>
      </c>
      <c r="D2991" s="4">
        <v>0</v>
      </c>
      <c r="E2991" s="4">
        <v>0</v>
      </c>
      <c r="F2991" s="4">
        <v>0</v>
      </c>
      <c r="H2991" s="3">
        <f t="shared" si="46"/>
        <v>0</v>
      </c>
    </row>
    <row r="2992" spans="1:8">
      <c r="A2992" t="s">
        <v>2726</v>
      </c>
      <c r="B2992" t="s">
        <v>2727</v>
      </c>
      <c r="C2992" t="s">
        <v>635</v>
      </c>
      <c r="D2992" s="4">
        <v>0</v>
      </c>
      <c r="E2992" s="4">
        <v>0</v>
      </c>
      <c r="F2992" s="4">
        <v>0</v>
      </c>
      <c r="H2992" s="3">
        <f t="shared" si="46"/>
        <v>0</v>
      </c>
    </row>
    <row r="2993" spans="1:8">
      <c r="A2993" t="s">
        <v>2755</v>
      </c>
      <c r="B2993" t="s">
        <v>2756</v>
      </c>
      <c r="C2993" t="s">
        <v>466</v>
      </c>
      <c r="D2993" s="4">
        <v>0</v>
      </c>
      <c r="E2993" s="4">
        <v>0</v>
      </c>
      <c r="F2993" s="4">
        <v>0</v>
      </c>
      <c r="G2993" s="3">
        <f>+D2993-E2993</f>
        <v>0</v>
      </c>
      <c r="H2993" s="3">
        <f t="shared" si="46"/>
        <v>0</v>
      </c>
    </row>
    <row r="2994" spans="1:8">
      <c r="A2994" t="s">
        <v>2760</v>
      </c>
      <c r="B2994" t="s">
        <v>2761</v>
      </c>
      <c r="C2994" t="s">
        <v>466</v>
      </c>
      <c r="D2994" s="4">
        <v>0</v>
      </c>
      <c r="E2994" s="4">
        <v>0</v>
      </c>
      <c r="F2994" s="4">
        <v>0</v>
      </c>
      <c r="H2994" s="3">
        <f t="shared" si="46"/>
        <v>0</v>
      </c>
    </row>
    <row r="2995" spans="1:8">
      <c r="A2995" t="s">
        <v>2769</v>
      </c>
      <c r="B2995" t="s">
        <v>2770</v>
      </c>
      <c r="C2995" t="s">
        <v>466</v>
      </c>
      <c r="D2995" s="4">
        <v>0</v>
      </c>
      <c r="E2995" s="4">
        <v>0</v>
      </c>
      <c r="F2995" s="4">
        <v>0</v>
      </c>
      <c r="H2995" s="3">
        <f t="shared" si="46"/>
        <v>0</v>
      </c>
    </row>
    <row r="2996" spans="1:8">
      <c r="A2996" t="s">
        <v>2785</v>
      </c>
      <c r="B2996" t="s">
        <v>2786</v>
      </c>
      <c r="C2996" t="s">
        <v>466</v>
      </c>
      <c r="D2996" s="4">
        <v>0</v>
      </c>
      <c r="E2996" s="4">
        <v>0</v>
      </c>
      <c r="F2996" s="4">
        <v>0</v>
      </c>
      <c r="H2996" s="3">
        <f t="shared" si="46"/>
        <v>0</v>
      </c>
    </row>
    <row r="2997" spans="1:8">
      <c r="A2997" t="s">
        <v>2810</v>
      </c>
      <c r="B2997" t="s">
        <v>2811</v>
      </c>
      <c r="C2997" t="s">
        <v>635</v>
      </c>
      <c r="D2997" s="4">
        <v>0</v>
      </c>
      <c r="E2997" s="4">
        <v>0</v>
      </c>
      <c r="F2997" s="4">
        <v>0</v>
      </c>
      <c r="H2997" s="3">
        <f t="shared" si="46"/>
        <v>0</v>
      </c>
    </row>
    <row r="2998" spans="1:8">
      <c r="A2998" t="s">
        <v>2845</v>
      </c>
      <c r="B2998" t="s">
        <v>2846</v>
      </c>
      <c r="C2998" t="s">
        <v>635</v>
      </c>
      <c r="D2998" s="4">
        <v>0</v>
      </c>
      <c r="E2998" s="4">
        <v>0</v>
      </c>
      <c r="F2998" s="4">
        <v>0</v>
      </c>
      <c r="H2998" s="3">
        <f t="shared" si="46"/>
        <v>0</v>
      </c>
    </row>
    <row r="2999" spans="1:8">
      <c r="A2999" t="s">
        <v>2853</v>
      </c>
      <c r="B2999" t="s">
        <v>2854</v>
      </c>
      <c r="C2999" t="s">
        <v>635</v>
      </c>
      <c r="D2999" s="4">
        <v>0</v>
      </c>
      <c r="E2999" s="4">
        <v>0</v>
      </c>
      <c r="F2999" s="4">
        <v>0</v>
      </c>
      <c r="H2999" s="3">
        <f t="shared" si="46"/>
        <v>0</v>
      </c>
    </row>
    <row r="3000" spans="1:8">
      <c r="A3000" t="s">
        <v>2872</v>
      </c>
      <c r="B3000" t="s">
        <v>2873</v>
      </c>
      <c r="C3000" t="s">
        <v>635</v>
      </c>
      <c r="D3000" s="4">
        <v>0</v>
      </c>
      <c r="E3000" s="4">
        <v>0</v>
      </c>
      <c r="F3000" s="4">
        <v>0</v>
      </c>
      <c r="H3000" s="3">
        <f t="shared" si="46"/>
        <v>0</v>
      </c>
    </row>
    <row r="3001" spans="1:8">
      <c r="A3001" t="s">
        <v>2896</v>
      </c>
      <c r="B3001" t="s">
        <v>2897</v>
      </c>
      <c r="C3001" t="s">
        <v>466</v>
      </c>
      <c r="D3001" s="4">
        <v>0</v>
      </c>
      <c r="E3001" s="4">
        <v>0</v>
      </c>
      <c r="F3001" s="4">
        <v>0</v>
      </c>
      <c r="H3001" s="3">
        <f t="shared" si="46"/>
        <v>0</v>
      </c>
    </row>
    <row r="3002" spans="1:8">
      <c r="A3002" t="s">
        <v>2928</v>
      </c>
      <c r="B3002" t="s">
        <v>2929</v>
      </c>
      <c r="C3002" t="s">
        <v>466</v>
      </c>
      <c r="D3002" s="4">
        <v>0</v>
      </c>
      <c r="E3002" s="4">
        <v>0</v>
      </c>
      <c r="F3002" s="4">
        <v>0</v>
      </c>
      <c r="H3002" s="3">
        <f t="shared" si="46"/>
        <v>0</v>
      </c>
    </row>
    <row r="3003" spans="1:8">
      <c r="A3003" t="s">
        <v>2938</v>
      </c>
      <c r="B3003" t="s">
        <v>2939</v>
      </c>
      <c r="C3003" t="s">
        <v>466</v>
      </c>
      <c r="D3003" s="4">
        <v>0</v>
      </c>
      <c r="E3003" s="4">
        <v>0</v>
      </c>
      <c r="F3003" s="4">
        <v>0</v>
      </c>
      <c r="H3003" s="3">
        <f t="shared" si="46"/>
        <v>0</v>
      </c>
    </row>
    <row r="3004" spans="1:8">
      <c r="A3004" t="s">
        <v>2943</v>
      </c>
      <c r="B3004" t="s">
        <v>2944</v>
      </c>
      <c r="C3004" t="s">
        <v>635</v>
      </c>
      <c r="D3004" s="4">
        <v>0</v>
      </c>
      <c r="E3004" s="4">
        <v>0</v>
      </c>
      <c r="F3004" s="4">
        <v>0</v>
      </c>
      <c r="H3004" s="3">
        <f t="shared" si="46"/>
        <v>0</v>
      </c>
    </row>
    <row r="3005" spans="1:8">
      <c r="A3005" t="s">
        <v>1443</v>
      </c>
      <c r="B3005" t="s">
        <v>1444</v>
      </c>
      <c r="C3005" t="s">
        <v>635</v>
      </c>
      <c r="D3005" s="4">
        <v>0</v>
      </c>
      <c r="E3005" s="4">
        <v>0</v>
      </c>
      <c r="F3005" s="4">
        <v>0</v>
      </c>
      <c r="H3005" s="3">
        <f t="shared" si="46"/>
        <v>0</v>
      </c>
    </row>
    <row r="3006" spans="1:8">
      <c r="A3006" t="s">
        <v>1469</v>
      </c>
      <c r="B3006" t="s">
        <v>1470</v>
      </c>
      <c r="C3006" t="s">
        <v>635</v>
      </c>
      <c r="D3006" s="4">
        <v>0</v>
      </c>
      <c r="E3006" s="4">
        <v>0</v>
      </c>
      <c r="F3006" s="4">
        <v>0</v>
      </c>
      <c r="H3006" s="3">
        <f t="shared" si="46"/>
        <v>0</v>
      </c>
    </row>
    <row r="3007" spans="1:8">
      <c r="A3007" t="s">
        <v>1480</v>
      </c>
      <c r="B3007" t="s">
        <v>1481</v>
      </c>
      <c r="C3007" t="s">
        <v>635</v>
      </c>
      <c r="D3007" s="4">
        <v>0</v>
      </c>
      <c r="E3007" s="4">
        <v>0</v>
      </c>
      <c r="F3007" s="4">
        <v>0</v>
      </c>
      <c r="H3007" s="3">
        <f t="shared" si="46"/>
        <v>0</v>
      </c>
    </row>
    <row r="3008" spans="1:8">
      <c r="A3008" t="s">
        <v>1573</v>
      </c>
      <c r="B3008" t="s">
        <v>1574</v>
      </c>
      <c r="C3008" t="s">
        <v>635</v>
      </c>
      <c r="D3008" s="4">
        <v>0</v>
      </c>
      <c r="E3008" s="4">
        <v>0</v>
      </c>
      <c r="F3008" s="4">
        <v>0</v>
      </c>
      <c r="H3008" s="3">
        <f t="shared" si="46"/>
        <v>0</v>
      </c>
    </row>
    <row r="3009" spans="1:8">
      <c r="A3009" t="s">
        <v>1576</v>
      </c>
      <c r="B3009" t="s">
        <v>1577</v>
      </c>
      <c r="C3009" t="s">
        <v>635</v>
      </c>
      <c r="D3009" s="4">
        <v>0</v>
      </c>
      <c r="E3009" s="4">
        <v>0</v>
      </c>
      <c r="F3009" s="4">
        <v>0</v>
      </c>
      <c r="H3009" s="3">
        <f t="shared" si="46"/>
        <v>0</v>
      </c>
    </row>
    <row r="3010" spans="1:8">
      <c r="A3010" t="s">
        <v>1626</v>
      </c>
      <c r="B3010" t="s">
        <v>1627</v>
      </c>
      <c r="C3010" t="s">
        <v>635</v>
      </c>
      <c r="D3010" s="4">
        <v>0</v>
      </c>
      <c r="E3010" s="4">
        <v>0</v>
      </c>
      <c r="F3010" s="4">
        <v>0</v>
      </c>
      <c r="H3010" s="3">
        <f t="shared" si="46"/>
        <v>0</v>
      </c>
    </row>
    <row r="3011" spans="1:8">
      <c r="A3011" t="s">
        <v>1695</v>
      </c>
      <c r="B3011" t="s">
        <v>1696</v>
      </c>
      <c r="C3011" t="s">
        <v>635</v>
      </c>
      <c r="D3011" s="4">
        <v>0</v>
      </c>
      <c r="E3011" s="4">
        <v>0</v>
      </c>
      <c r="F3011" s="4">
        <v>0</v>
      </c>
      <c r="H3011" s="3">
        <f t="shared" si="46"/>
        <v>0</v>
      </c>
    </row>
    <row r="3012" spans="1:8">
      <c r="A3012" t="s">
        <v>1707</v>
      </c>
      <c r="B3012" t="s">
        <v>1708</v>
      </c>
      <c r="C3012" t="s">
        <v>635</v>
      </c>
      <c r="D3012" s="4">
        <v>0</v>
      </c>
      <c r="E3012" s="4">
        <v>0</v>
      </c>
      <c r="F3012" s="4">
        <v>0</v>
      </c>
      <c r="H3012" s="3">
        <f t="shared" si="46"/>
        <v>0</v>
      </c>
    </row>
    <row r="3013" spans="1:8">
      <c r="A3013" t="s">
        <v>1710</v>
      </c>
      <c r="B3013" t="s">
        <v>1711</v>
      </c>
      <c r="C3013" t="s">
        <v>635</v>
      </c>
      <c r="D3013" s="4">
        <v>0</v>
      </c>
      <c r="E3013" s="4">
        <v>0</v>
      </c>
      <c r="F3013" s="4">
        <v>0</v>
      </c>
      <c r="H3013" s="3">
        <f t="shared" si="46"/>
        <v>0</v>
      </c>
    </row>
    <row r="3014" spans="1:8">
      <c r="A3014" t="s">
        <v>1735</v>
      </c>
      <c r="B3014" t="s">
        <v>1736</v>
      </c>
      <c r="C3014" t="s">
        <v>635</v>
      </c>
      <c r="D3014" s="4">
        <v>0</v>
      </c>
      <c r="E3014" s="4"/>
      <c r="F3014" s="4">
        <v>0</v>
      </c>
      <c r="H3014" s="3">
        <f t="shared" si="46"/>
        <v>0</v>
      </c>
    </row>
    <row r="3015" spans="1:8">
      <c r="B3015" t="s">
        <v>3048</v>
      </c>
      <c r="C3015" t="s">
        <v>635</v>
      </c>
      <c r="D3015" s="4"/>
      <c r="E3015" s="4">
        <v>0</v>
      </c>
      <c r="F3015" s="4">
        <v>0</v>
      </c>
      <c r="H3015" s="3">
        <f t="shared" si="46"/>
        <v>0</v>
      </c>
    </row>
    <row r="3016" spans="1:8">
      <c r="A3016" t="s">
        <v>1739</v>
      </c>
      <c r="B3016" t="s">
        <v>1740</v>
      </c>
      <c r="C3016" t="s">
        <v>635</v>
      </c>
      <c r="D3016" s="4">
        <v>0</v>
      </c>
      <c r="E3016" s="4">
        <v>0</v>
      </c>
      <c r="F3016" s="4">
        <v>0</v>
      </c>
      <c r="H3016" s="3">
        <f t="shared" si="46"/>
        <v>0</v>
      </c>
    </row>
    <row r="3017" spans="1:8">
      <c r="A3017" t="s">
        <v>1754</v>
      </c>
      <c r="B3017" t="s">
        <v>1755</v>
      </c>
      <c r="C3017" t="s">
        <v>635</v>
      </c>
      <c r="D3017" s="4">
        <v>0</v>
      </c>
      <c r="E3017" s="4">
        <v>0</v>
      </c>
      <c r="F3017" s="4">
        <v>0</v>
      </c>
      <c r="H3017" s="3">
        <f t="shared" si="46"/>
        <v>0</v>
      </c>
    </row>
    <row r="3018" spans="1:8">
      <c r="A3018" t="s">
        <v>1799</v>
      </c>
      <c r="B3018" t="s">
        <v>1800</v>
      </c>
      <c r="C3018" t="s">
        <v>635</v>
      </c>
      <c r="D3018" s="4">
        <v>0</v>
      </c>
      <c r="E3018" s="4">
        <v>0</v>
      </c>
      <c r="F3018" s="4">
        <v>0</v>
      </c>
      <c r="H3018" s="3">
        <f t="shared" si="46"/>
        <v>0</v>
      </c>
    </row>
    <row r="3019" spans="1:8">
      <c r="A3019" t="s">
        <v>1807</v>
      </c>
      <c r="B3019" t="s">
        <v>1808</v>
      </c>
      <c r="C3019" t="s">
        <v>635</v>
      </c>
      <c r="D3019" s="4">
        <v>0</v>
      </c>
      <c r="E3019" s="4">
        <v>0</v>
      </c>
      <c r="F3019" s="4">
        <v>0</v>
      </c>
      <c r="H3019" s="3">
        <f t="shared" si="46"/>
        <v>0</v>
      </c>
    </row>
    <row r="3020" spans="1:8">
      <c r="A3020" t="s">
        <v>1828</v>
      </c>
      <c r="B3020" t="s">
        <v>1829</v>
      </c>
      <c r="C3020" t="s">
        <v>466</v>
      </c>
      <c r="D3020" s="4">
        <v>0</v>
      </c>
      <c r="E3020" s="4">
        <v>0</v>
      </c>
      <c r="F3020" s="4">
        <v>0</v>
      </c>
      <c r="H3020" s="3">
        <f t="shared" si="46"/>
        <v>0</v>
      </c>
    </row>
    <row r="3021" spans="1:8">
      <c r="A3021" t="s">
        <v>1835</v>
      </c>
      <c r="B3021" t="s">
        <v>1836</v>
      </c>
      <c r="C3021" t="s">
        <v>635</v>
      </c>
      <c r="D3021" s="4">
        <v>0</v>
      </c>
      <c r="E3021" s="4">
        <v>0</v>
      </c>
      <c r="F3021" s="4">
        <v>0</v>
      </c>
      <c r="H3021" s="3">
        <f t="shared" si="46"/>
        <v>0</v>
      </c>
    </row>
    <row r="3022" spans="1:8">
      <c r="A3022" t="s">
        <v>1838</v>
      </c>
      <c r="B3022" t="s">
        <v>1839</v>
      </c>
      <c r="C3022" t="s">
        <v>635</v>
      </c>
      <c r="D3022" s="4">
        <v>0</v>
      </c>
      <c r="E3022" s="4">
        <v>0</v>
      </c>
      <c r="F3022" s="4">
        <v>0</v>
      </c>
      <c r="H3022" s="3">
        <f t="shared" si="46"/>
        <v>0</v>
      </c>
    </row>
    <row r="3023" spans="1:8">
      <c r="A3023" t="s">
        <v>1894</v>
      </c>
      <c r="B3023" t="s">
        <v>1895</v>
      </c>
      <c r="C3023" t="s">
        <v>635</v>
      </c>
      <c r="D3023" s="4">
        <v>0</v>
      </c>
      <c r="E3023" s="4">
        <v>0</v>
      </c>
      <c r="F3023" s="4">
        <v>0</v>
      </c>
      <c r="H3023" s="3">
        <f t="shared" si="46"/>
        <v>0</v>
      </c>
    </row>
    <row r="3024" spans="1:8">
      <c r="A3024" t="s">
        <v>1917</v>
      </c>
      <c r="B3024" t="s">
        <v>1918</v>
      </c>
      <c r="C3024" t="s">
        <v>466</v>
      </c>
      <c r="D3024" s="4">
        <v>0</v>
      </c>
      <c r="E3024" s="4">
        <v>0</v>
      </c>
      <c r="F3024" s="4">
        <v>0</v>
      </c>
      <c r="H3024" s="3">
        <f t="shared" si="46"/>
        <v>0</v>
      </c>
    </row>
    <row r="3025" spans="1:8">
      <c r="A3025" t="s">
        <v>1944</v>
      </c>
      <c r="B3025" t="s">
        <v>1945</v>
      </c>
      <c r="C3025" t="s">
        <v>466</v>
      </c>
      <c r="D3025" s="4">
        <v>0</v>
      </c>
      <c r="E3025" s="4">
        <v>0</v>
      </c>
      <c r="F3025" s="4">
        <v>0</v>
      </c>
      <c r="H3025" s="3">
        <f t="shared" si="46"/>
        <v>0</v>
      </c>
    </row>
    <row r="3026" spans="1:8">
      <c r="A3026" t="s">
        <v>1950</v>
      </c>
      <c r="B3026" t="s">
        <v>1951</v>
      </c>
      <c r="C3026" t="s">
        <v>635</v>
      </c>
      <c r="D3026" s="4">
        <v>0</v>
      </c>
      <c r="E3026" s="4">
        <v>0</v>
      </c>
      <c r="F3026" s="4">
        <v>0</v>
      </c>
      <c r="H3026" s="3">
        <f t="shared" si="46"/>
        <v>0</v>
      </c>
    </row>
    <row r="3027" spans="1:8">
      <c r="A3027" t="s">
        <v>1982</v>
      </c>
      <c r="B3027" t="s">
        <v>1983</v>
      </c>
      <c r="C3027" t="s">
        <v>635</v>
      </c>
      <c r="D3027" s="4">
        <v>0</v>
      </c>
      <c r="E3027" s="4">
        <v>0</v>
      </c>
      <c r="F3027" s="4">
        <v>0</v>
      </c>
      <c r="H3027" s="3">
        <f t="shared" si="46"/>
        <v>0</v>
      </c>
    </row>
    <row r="3028" spans="1:8">
      <c r="A3028" t="s">
        <v>1989</v>
      </c>
      <c r="B3028" t="s">
        <v>1990</v>
      </c>
      <c r="C3028" t="s">
        <v>635</v>
      </c>
      <c r="D3028" s="4">
        <v>0</v>
      </c>
      <c r="E3028" s="4">
        <v>0</v>
      </c>
      <c r="F3028" s="4">
        <v>0</v>
      </c>
      <c r="H3028" s="3">
        <f t="shared" si="46"/>
        <v>0</v>
      </c>
    </row>
    <row r="3029" spans="1:8">
      <c r="A3029" t="s">
        <v>1992</v>
      </c>
      <c r="B3029" t="s">
        <v>1993</v>
      </c>
      <c r="C3029" t="s">
        <v>635</v>
      </c>
      <c r="D3029" s="4">
        <v>0</v>
      </c>
      <c r="E3029" s="4">
        <v>0</v>
      </c>
      <c r="F3029" s="4">
        <v>0</v>
      </c>
      <c r="H3029" s="3">
        <f t="shared" si="46"/>
        <v>0</v>
      </c>
    </row>
    <row r="3030" spans="1:8">
      <c r="A3030" t="s">
        <v>1997</v>
      </c>
      <c r="B3030" t="s">
        <v>1998</v>
      </c>
      <c r="C3030" t="s">
        <v>635</v>
      </c>
      <c r="D3030" s="4">
        <v>0</v>
      </c>
      <c r="E3030" s="4">
        <v>0</v>
      </c>
      <c r="F3030" s="4">
        <v>0</v>
      </c>
      <c r="H3030" s="3">
        <f t="shared" si="46"/>
        <v>0</v>
      </c>
    </row>
    <row r="3031" spans="1:8">
      <c r="A3031" t="s">
        <v>2032</v>
      </c>
      <c r="B3031" t="s">
        <v>2033</v>
      </c>
      <c r="C3031" t="s">
        <v>635</v>
      </c>
      <c r="D3031" s="4">
        <v>0</v>
      </c>
      <c r="E3031" s="4">
        <v>0</v>
      </c>
      <c r="F3031" s="4">
        <v>0</v>
      </c>
      <c r="H3031" s="3">
        <f t="shared" si="46"/>
        <v>0</v>
      </c>
    </row>
    <row r="3032" spans="1:8">
      <c r="A3032" t="s">
        <v>2038</v>
      </c>
      <c r="B3032" t="s">
        <v>2039</v>
      </c>
      <c r="C3032" t="s">
        <v>635</v>
      </c>
      <c r="D3032" s="4">
        <v>0</v>
      </c>
      <c r="E3032" s="4">
        <v>0</v>
      </c>
      <c r="F3032" s="4">
        <v>0</v>
      </c>
      <c r="H3032" s="3">
        <f t="shared" si="46"/>
        <v>0</v>
      </c>
    </row>
    <row r="3033" spans="1:8">
      <c r="A3033" t="s">
        <v>2059</v>
      </c>
      <c r="B3033" t="s">
        <v>2060</v>
      </c>
      <c r="C3033" t="s">
        <v>466</v>
      </c>
      <c r="D3033" s="4">
        <v>0</v>
      </c>
      <c r="E3033" s="4"/>
      <c r="F3033" s="4">
        <v>0</v>
      </c>
      <c r="H3033" s="3">
        <f t="shared" si="46"/>
        <v>0</v>
      </c>
    </row>
    <row r="3034" spans="1:8">
      <c r="B3034" t="s">
        <v>3056</v>
      </c>
      <c r="C3034" t="s">
        <v>466</v>
      </c>
      <c r="D3034" s="4"/>
      <c r="E3034" s="4">
        <v>0</v>
      </c>
      <c r="F3034" s="4">
        <v>0</v>
      </c>
      <c r="H3034" s="3">
        <f t="shared" si="46"/>
        <v>0</v>
      </c>
    </row>
    <row r="3035" spans="1:8">
      <c r="A3035" t="s">
        <v>2078</v>
      </c>
      <c r="B3035" t="s">
        <v>2079</v>
      </c>
      <c r="C3035" t="s">
        <v>635</v>
      </c>
      <c r="D3035" s="4">
        <v>0</v>
      </c>
      <c r="E3035" s="4">
        <v>0</v>
      </c>
      <c r="F3035" s="4">
        <v>0</v>
      </c>
      <c r="H3035" s="3">
        <f t="shared" si="46"/>
        <v>0</v>
      </c>
    </row>
    <row r="3036" spans="1:8">
      <c r="A3036" t="s">
        <v>2088</v>
      </c>
      <c r="B3036" t="s">
        <v>2089</v>
      </c>
      <c r="C3036" t="s">
        <v>635</v>
      </c>
      <c r="D3036" s="4">
        <v>0</v>
      </c>
      <c r="E3036" s="4">
        <v>0</v>
      </c>
      <c r="F3036" s="4">
        <v>0</v>
      </c>
      <c r="H3036" s="3">
        <f t="shared" si="46"/>
        <v>0</v>
      </c>
    </row>
    <row r="3037" spans="1:8">
      <c r="A3037" t="s">
        <v>2119</v>
      </c>
      <c r="B3037" t="s">
        <v>2120</v>
      </c>
      <c r="C3037" t="s">
        <v>635</v>
      </c>
      <c r="D3037" s="4">
        <v>0</v>
      </c>
      <c r="E3037" s="4">
        <v>0</v>
      </c>
      <c r="F3037" s="4">
        <v>0</v>
      </c>
      <c r="H3037" s="3">
        <f t="shared" si="46"/>
        <v>0</v>
      </c>
    </row>
    <row r="3038" spans="1:8">
      <c r="A3038" t="s">
        <v>2177</v>
      </c>
      <c r="B3038" t="s">
        <v>2178</v>
      </c>
      <c r="C3038" t="s">
        <v>466</v>
      </c>
      <c r="D3038" s="4">
        <v>0</v>
      </c>
      <c r="E3038" s="4">
        <v>0</v>
      </c>
      <c r="F3038" s="4">
        <v>0</v>
      </c>
      <c r="H3038" s="3">
        <f t="shared" si="46"/>
        <v>0</v>
      </c>
    </row>
    <row r="3039" spans="1:8">
      <c r="A3039" t="s">
        <v>2220</v>
      </c>
      <c r="B3039" t="s">
        <v>2221</v>
      </c>
      <c r="C3039" t="s">
        <v>466</v>
      </c>
      <c r="D3039" s="4">
        <v>0</v>
      </c>
      <c r="E3039" s="4">
        <v>0</v>
      </c>
      <c r="F3039" s="4">
        <v>0</v>
      </c>
      <c r="H3039" s="3">
        <f t="shared" si="46"/>
        <v>0</v>
      </c>
    </row>
    <row r="3040" spans="1:8">
      <c r="A3040" t="s">
        <v>2240</v>
      </c>
      <c r="B3040" t="s">
        <v>2241</v>
      </c>
      <c r="C3040" t="s">
        <v>466</v>
      </c>
      <c r="D3040" s="4">
        <v>0</v>
      </c>
      <c r="E3040" s="4">
        <v>0</v>
      </c>
      <c r="F3040" s="4">
        <v>0</v>
      </c>
      <c r="H3040" s="3">
        <f t="shared" si="46"/>
        <v>0</v>
      </c>
    </row>
    <row r="3041" spans="1:8">
      <c r="A3041" t="s">
        <v>2311</v>
      </c>
      <c r="B3041" t="s">
        <v>2312</v>
      </c>
      <c r="C3041" t="s">
        <v>1001</v>
      </c>
      <c r="D3041" s="4">
        <v>0</v>
      </c>
      <c r="E3041" s="4">
        <v>0</v>
      </c>
      <c r="F3041" s="4">
        <v>0</v>
      </c>
      <c r="H3041" s="3">
        <f t="shared" si="46"/>
        <v>0</v>
      </c>
    </row>
    <row r="3042" spans="1:8">
      <c r="A3042" t="s">
        <v>2342</v>
      </c>
      <c r="B3042" t="s">
        <v>2343</v>
      </c>
      <c r="C3042" t="s">
        <v>635</v>
      </c>
      <c r="D3042" s="4">
        <v>0</v>
      </c>
      <c r="E3042" s="4">
        <v>0</v>
      </c>
      <c r="F3042" s="4">
        <v>0</v>
      </c>
      <c r="H3042" s="3">
        <f t="shared" si="46"/>
        <v>0</v>
      </c>
    </row>
    <row r="3043" spans="1:8">
      <c r="A3043" t="s">
        <v>2381</v>
      </c>
      <c r="B3043" t="s">
        <v>2382</v>
      </c>
      <c r="C3043" t="s">
        <v>635</v>
      </c>
      <c r="D3043" s="4">
        <v>0</v>
      </c>
      <c r="E3043" s="4">
        <v>0</v>
      </c>
      <c r="F3043" s="4">
        <v>0</v>
      </c>
      <c r="H3043" s="3">
        <f t="shared" si="46"/>
        <v>0</v>
      </c>
    </row>
    <row r="3044" spans="1:8">
      <c r="A3044" t="s">
        <v>2446</v>
      </c>
      <c r="B3044" t="s">
        <v>2447</v>
      </c>
      <c r="C3044" t="s">
        <v>466</v>
      </c>
      <c r="D3044" s="4">
        <v>0</v>
      </c>
      <c r="E3044" s="4">
        <v>0</v>
      </c>
      <c r="F3044" s="4">
        <v>0</v>
      </c>
      <c r="H3044" s="3">
        <f t="shared" si="46"/>
        <v>0</v>
      </c>
    </row>
    <row r="3045" spans="1:8">
      <c r="A3045" t="s">
        <v>2496</v>
      </c>
      <c r="B3045" t="s">
        <v>2497</v>
      </c>
      <c r="C3045" t="s">
        <v>635</v>
      </c>
      <c r="D3045" s="4">
        <v>0</v>
      </c>
      <c r="E3045" s="4">
        <v>0</v>
      </c>
      <c r="F3045" s="4">
        <v>0</v>
      </c>
      <c r="H3045" s="3">
        <f t="shared" si="46"/>
        <v>0</v>
      </c>
    </row>
    <row r="3046" spans="1:8">
      <c r="A3046" t="s">
        <v>2500</v>
      </c>
      <c r="B3046" t="s">
        <v>2501</v>
      </c>
      <c r="C3046" t="s">
        <v>635</v>
      </c>
      <c r="D3046" s="4">
        <v>0</v>
      </c>
      <c r="E3046" s="4">
        <v>0</v>
      </c>
      <c r="F3046" s="4">
        <v>0</v>
      </c>
      <c r="H3046" s="3">
        <f t="shared" si="46"/>
        <v>0</v>
      </c>
    </row>
    <row r="3047" spans="1:8">
      <c r="A3047" t="s">
        <v>2502</v>
      </c>
      <c r="B3047" t="s">
        <v>2503</v>
      </c>
      <c r="C3047" t="s">
        <v>635</v>
      </c>
      <c r="D3047" s="4">
        <v>0</v>
      </c>
      <c r="E3047" s="4">
        <v>0</v>
      </c>
      <c r="F3047" s="4">
        <v>0</v>
      </c>
      <c r="H3047" s="3">
        <f t="shared" si="46"/>
        <v>0</v>
      </c>
    </row>
    <row r="3048" spans="1:8">
      <c r="A3048" t="s">
        <v>2530</v>
      </c>
      <c r="B3048" t="s">
        <v>2531</v>
      </c>
      <c r="C3048" t="s">
        <v>635</v>
      </c>
      <c r="D3048" s="4">
        <v>0</v>
      </c>
      <c r="E3048" s="4">
        <v>0</v>
      </c>
      <c r="F3048" s="4">
        <v>0</v>
      </c>
      <c r="H3048" s="3">
        <f t="shared" si="46"/>
        <v>0</v>
      </c>
    </row>
    <row r="3049" spans="1:8">
      <c r="A3049" t="s">
        <v>2597</v>
      </c>
      <c r="B3049" t="s">
        <v>2598</v>
      </c>
      <c r="C3049" t="s">
        <v>635</v>
      </c>
      <c r="D3049" s="4">
        <v>0</v>
      </c>
      <c r="E3049" s="4">
        <v>0</v>
      </c>
      <c r="F3049" s="4">
        <v>0</v>
      </c>
      <c r="H3049" s="3">
        <f t="shared" si="46"/>
        <v>0</v>
      </c>
    </row>
    <row r="3050" spans="1:8">
      <c r="A3050" t="s">
        <v>2639</v>
      </c>
      <c r="B3050" t="s">
        <v>2640</v>
      </c>
      <c r="C3050" t="s">
        <v>635</v>
      </c>
      <c r="D3050" s="4">
        <v>0</v>
      </c>
      <c r="E3050" s="4">
        <v>0</v>
      </c>
      <c r="F3050" s="4">
        <v>0</v>
      </c>
      <c r="H3050" s="3">
        <f t="shared" si="46"/>
        <v>0</v>
      </c>
    </row>
    <row r="3051" spans="1:8">
      <c r="A3051" t="s">
        <v>2742</v>
      </c>
      <c r="B3051" t="s">
        <v>2743</v>
      </c>
      <c r="C3051" t="s">
        <v>635</v>
      </c>
      <c r="D3051" s="4">
        <v>0</v>
      </c>
      <c r="E3051" s="4">
        <v>0</v>
      </c>
      <c r="F3051" s="4">
        <v>0</v>
      </c>
      <c r="H3051" s="3">
        <f t="shared" si="46"/>
        <v>0</v>
      </c>
    </row>
    <row r="3052" spans="1:8">
      <c r="A3052" t="s">
        <v>2829</v>
      </c>
      <c r="B3052" t="s">
        <v>2830</v>
      </c>
      <c r="C3052" t="s">
        <v>635</v>
      </c>
      <c r="D3052" s="4">
        <v>0</v>
      </c>
      <c r="E3052" s="4">
        <v>0</v>
      </c>
      <c r="F3052" s="4">
        <v>0</v>
      </c>
      <c r="H3052" s="3">
        <f t="shared" ref="H3052:H3055" si="47">+D3052-E3052</f>
        <v>0</v>
      </c>
    </row>
    <row r="3053" spans="1:8">
      <c r="A3053" t="s">
        <v>2841</v>
      </c>
      <c r="B3053" t="s">
        <v>2842</v>
      </c>
      <c r="C3053" t="s">
        <v>1072</v>
      </c>
      <c r="D3053" s="4">
        <v>0</v>
      </c>
      <c r="E3053" s="4">
        <v>0</v>
      </c>
      <c r="F3053" s="4">
        <v>0</v>
      </c>
      <c r="H3053" s="3">
        <f t="shared" si="47"/>
        <v>0</v>
      </c>
    </row>
    <row r="3054" spans="1:8">
      <c r="A3054" t="s">
        <v>2880</v>
      </c>
      <c r="B3054" t="s">
        <v>2881</v>
      </c>
      <c r="C3054" t="s">
        <v>635</v>
      </c>
      <c r="D3054" s="4">
        <v>0</v>
      </c>
      <c r="E3054" s="4">
        <v>0</v>
      </c>
      <c r="F3054" s="4">
        <v>0</v>
      </c>
      <c r="H3054" s="3">
        <f t="shared" si="47"/>
        <v>0</v>
      </c>
    </row>
    <row r="3055" spans="1:8">
      <c r="A3055" t="s">
        <v>2988</v>
      </c>
      <c r="B3055" t="s">
        <v>2989</v>
      </c>
      <c r="C3055" t="s">
        <v>635</v>
      </c>
      <c r="D3055" s="4">
        <v>0</v>
      </c>
      <c r="E3055" s="4">
        <v>0</v>
      </c>
      <c r="F3055" s="4">
        <v>0</v>
      </c>
      <c r="H3055" s="3">
        <f t="shared" si="47"/>
        <v>0</v>
      </c>
    </row>
    <row r="3056" spans="1:8">
      <c r="A3056" t="s">
        <v>3075</v>
      </c>
      <c r="D3056" s="4">
        <v>6473200</v>
      </c>
      <c r="E3056" s="4">
        <v>6473200</v>
      </c>
      <c r="F3056" s="4">
        <v>12946400</v>
      </c>
    </row>
    <row r="3057" spans="5:5">
      <c r="E3057" s="3">
        <f>+E3053+E3054+E3055-E3052</f>
        <v>0</v>
      </c>
    </row>
  </sheetData>
  <autoFilter ref="H2602:H3057" xr:uid="{9436A75A-C6EC-4162-87D8-B5A898DA96DC}"/>
  <mergeCells count="6">
    <mergeCell ref="A2600:H2600"/>
    <mergeCell ref="A1562:H1562"/>
    <mergeCell ref="A2:H2"/>
    <mergeCell ref="A535:H535"/>
    <mergeCell ref="A1040:H1040"/>
    <mergeCell ref="A2099:H2099"/>
  </mergeCells>
  <conditionalFormatting sqref="A29:A519">
    <cfRule type="duplicateValues" dxfId="5" priority="5"/>
  </conditionalFormatting>
  <conditionalFormatting sqref="A538:A999">
    <cfRule type="duplicateValues" dxfId="4" priority="3"/>
  </conditionalFormatting>
  <conditionalFormatting sqref="A1042:A1488">
    <cfRule type="duplicateValues" dxfId="3" priority="1"/>
  </conditionalFormatting>
  <conditionalFormatting sqref="A1057:A1497">
    <cfRule type="duplicateValues" dxfId="2" priority="2"/>
  </conditionalFormatting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6824-B9EB-4116-A1F1-67F35CE4B1DC}">
  <dimension ref="A1:M33"/>
  <sheetViews>
    <sheetView zoomScaleNormal="100" workbookViewId="0">
      <selection activeCell="F2" sqref="F2"/>
    </sheetView>
  </sheetViews>
  <sheetFormatPr defaultColWidth="11.42578125" defaultRowHeight="15"/>
  <cols>
    <col min="1" max="1" width="7.7109375" bestFit="1" customWidth="1"/>
    <col min="2" max="2" width="13.42578125" bestFit="1" customWidth="1"/>
    <col min="3" max="3" width="35" bestFit="1" customWidth="1"/>
    <col min="4" max="4" width="17.85546875" bestFit="1" customWidth="1"/>
    <col min="5" max="5" width="16.85546875" bestFit="1" customWidth="1"/>
    <col min="6" max="6" width="15.85546875" bestFit="1" customWidth="1"/>
    <col min="7" max="7" width="14.85546875" bestFit="1" customWidth="1"/>
    <col min="8" max="8" width="9.7109375" style="12" bestFit="1" customWidth="1"/>
    <col min="9" max="9" width="33.28515625" bestFit="1" customWidth="1"/>
  </cols>
  <sheetData>
    <row r="1" spans="1:13">
      <c r="A1" s="8" t="s">
        <v>3089</v>
      </c>
      <c r="B1" s="8" t="s">
        <v>3090</v>
      </c>
      <c r="C1" s="8" t="s">
        <v>3091</v>
      </c>
      <c r="D1" s="8" t="s">
        <v>3092</v>
      </c>
      <c r="E1" s="8" t="s">
        <v>3093</v>
      </c>
      <c r="F1" s="8" t="s">
        <v>3094</v>
      </c>
      <c r="G1" s="8" t="s">
        <v>3095</v>
      </c>
      <c r="H1" s="11" t="s">
        <v>3096</v>
      </c>
      <c r="I1" s="8" t="s">
        <v>3097</v>
      </c>
    </row>
    <row r="2" spans="1:13">
      <c r="A2" s="9" t="s">
        <v>3098</v>
      </c>
      <c r="B2" s="10" t="s">
        <v>1632</v>
      </c>
      <c r="C2" s="10" t="s">
        <v>1633</v>
      </c>
      <c r="D2" s="10" t="s">
        <v>317</v>
      </c>
      <c r="E2" s="9" t="s">
        <v>317</v>
      </c>
      <c r="F2" s="5">
        <f>1980700+58201</f>
        <v>2038901</v>
      </c>
      <c r="G2" s="5">
        <v>2178700</v>
      </c>
      <c r="H2" s="6">
        <f t="shared" ref="H2:H12" si="0">+G2-F2</f>
        <v>139799</v>
      </c>
      <c r="I2" s="9" t="str">
        <f t="shared" ref="I2:I6" si="1">(IF(H2&gt;0,"AJUSTE POR MAYOR VALOR PAGADO",IF(H2&lt;0,"AJUSTE POR MENOR VALOR PAGADO","CRUCE DE ENTIDADES")))</f>
        <v>AJUSTE POR MAYOR VALOR PAGADO</v>
      </c>
      <c r="K2">
        <f>SUMIFS(Hoja1!I:I,Hoja1!B:B,"PENSION",Hoja1!D:D,Ajuste!B2)</f>
        <v>0</v>
      </c>
    </row>
    <row r="3" spans="1:13">
      <c r="A3" s="9" t="s">
        <v>3098</v>
      </c>
      <c r="B3" s="10" t="s">
        <v>1751</v>
      </c>
      <c r="C3" s="10" t="s">
        <v>1752</v>
      </c>
      <c r="D3" s="10" t="s">
        <v>185</v>
      </c>
      <c r="E3" s="9" t="s">
        <v>185</v>
      </c>
      <c r="F3" s="5">
        <v>579400</v>
      </c>
      <c r="G3" s="5">
        <v>582500</v>
      </c>
      <c r="H3" s="6">
        <f t="shared" si="0"/>
        <v>3100</v>
      </c>
      <c r="I3" s="9" t="str">
        <f t="shared" si="1"/>
        <v>AJUSTE POR MAYOR VALOR PAGADO</v>
      </c>
      <c r="K3">
        <f>SUMIFS(Hoja1!I:I,Hoja1!B:B,"PENSION",Hoja1!D:D,Ajuste!B3)</f>
        <v>0</v>
      </c>
    </row>
    <row r="4" spans="1:13">
      <c r="A4" s="9" t="s">
        <v>3098</v>
      </c>
      <c r="B4" s="10" t="s">
        <v>1767</v>
      </c>
      <c r="C4" s="10" t="s">
        <v>1768</v>
      </c>
      <c r="D4" s="10" t="s">
        <v>356</v>
      </c>
      <c r="E4" s="9" t="s">
        <v>356</v>
      </c>
      <c r="F4" s="5">
        <v>302300</v>
      </c>
      <c r="G4" s="5">
        <v>305000</v>
      </c>
      <c r="H4" s="6">
        <f t="shared" si="0"/>
        <v>2700</v>
      </c>
      <c r="I4" s="9" t="str">
        <f t="shared" si="1"/>
        <v>AJUSTE POR MAYOR VALOR PAGADO</v>
      </c>
      <c r="K4">
        <f>SUMIFS(Hoja1!I:I,Hoja1!B:B,"PENSION",Hoja1!D:D,Ajuste!B4)</f>
        <v>0</v>
      </c>
    </row>
    <row r="5" spans="1:13">
      <c r="A5" s="9" t="s">
        <v>3098</v>
      </c>
      <c r="B5" s="10" t="s">
        <v>2027</v>
      </c>
      <c r="C5" s="10" t="s">
        <v>2028</v>
      </c>
      <c r="D5" s="10" t="s">
        <v>185</v>
      </c>
      <c r="E5" s="9" t="s">
        <v>185</v>
      </c>
      <c r="F5" s="5">
        <f>1021700-1560</f>
        <v>1020140</v>
      </c>
      <c r="G5" s="5">
        <v>1015400</v>
      </c>
      <c r="H5" s="6">
        <f t="shared" si="0"/>
        <v>-4740</v>
      </c>
      <c r="I5" s="9" t="str">
        <f t="shared" si="1"/>
        <v>AJUSTE POR MENOR VALOR PAGADO</v>
      </c>
      <c r="K5">
        <f>SUMIFS(Hoja1!I:I,Hoja1!B:B,"PENSION",Hoja1!D:D,Ajuste!B5)</f>
        <v>0</v>
      </c>
    </row>
    <row r="6" spans="1:13">
      <c r="A6" s="9" t="s">
        <v>3098</v>
      </c>
      <c r="B6" s="10" t="s">
        <v>2106</v>
      </c>
      <c r="C6" s="10" t="s">
        <v>2107</v>
      </c>
      <c r="D6" s="10" t="s">
        <v>317</v>
      </c>
      <c r="E6" s="9" t="s">
        <v>317</v>
      </c>
      <c r="F6" s="5">
        <f>1457100+2500</f>
        <v>1459600</v>
      </c>
      <c r="G6" s="5">
        <v>1467700</v>
      </c>
      <c r="H6" s="6">
        <f t="shared" si="0"/>
        <v>8100</v>
      </c>
      <c r="I6" s="9" t="str">
        <f t="shared" si="1"/>
        <v>AJUSTE POR MAYOR VALOR PAGADO</v>
      </c>
      <c r="K6">
        <f>SUMIFS(Hoja1!I:I,Hoja1!B:B,"PENSION",Hoja1!D:D,Ajuste!B6)</f>
        <v>0</v>
      </c>
    </row>
    <row r="7" spans="1:13">
      <c r="A7" s="9" t="s">
        <v>3098</v>
      </c>
      <c r="B7" s="10" t="s">
        <v>2508</v>
      </c>
      <c r="C7" s="10" t="s">
        <v>2509</v>
      </c>
      <c r="D7" s="10" t="s">
        <v>185</v>
      </c>
      <c r="E7" s="9" t="s">
        <v>185</v>
      </c>
      <c r="F7" s="5">
        <f>1309100-5686</f>
        <v>1303414</v>
      </c>
      <c r="G7" s="5">
        <v>1290500</v>
      </c>
      <c r="H7" s="6">
        <f t="shared" si="0"/>
        <v>-12914</v>
      </c>
      <c r="I7" s="9" t="str">
        <f t="shared" ref="I7:I12" si="2">(IF(H7&gt;0,"AJUSTE POR MAYOR VALOR PAGADO",IF(H7&lt;0,"AJUSTE POR MENOR VALOR PAGADO","CRUCE DE ENTIDADES")))</f>
        <v>AJUSTE POR MENOR VALOR PAGADO</v>
      </c>
      <c r="K7">
        <f>SUMIFS(Hoja1!I:I,Hoja1!B:B,"PENSION",Hoja1!D:D,Ajuste!B7)</f>
        <v>0</v>
      </c>
    </row>
    <row r="8" spans="1:13">
      <c r="A8" s="9" t="s">
        <v>3098</v>
      </c>
      <c r="B8" s="10" t="s">
        <v>2672</v>
      </c>
      <c r="C8" s="10" t="s">
        <v>2673</v>
      </c>
      <c r="D8" s="10" t="s">
        <v>185</v>
      </c>
      <c r="E8" s="9" t="s">
        <v>185</v>
      </c>
      <c r="F8" s="5">
        <f>589800-2400</f>
        <v>587400</v>
      </c>
      <c r="G8" s="5">
        <v>580200</v>
      </c>
      <c r="H8" s="6">
        <f t="shared" si="0"/>
        <v>-7200</v>
      </c>
      <c r="I8" s="9" t="str">
        <f t="shared" si="2"/>
        <v>AJUSTE POR MENOR VALOR PAGADO</v>
      </c>
      <c r="K8">
        <f>SUMIFS(Hoja1!I:I,Hoja1!B:B,"PENSION",Hoja1!D:D,Ajuste!B8)</f>
        <v>0</v>
      </c>
    </row>
    <row r="9" spans="1:13">
      <c r="A9" s="9" t="s">
        <v>3098</v>
      </c>
      <c r="B9" s="10" t="s">
        <v>2824</v>
      </c>
      <c r="C9" s="10" t="s">
        <v>2825</v>
      </c>
      <c r="D9" s="10" t="s">
        <v>317</v>
      </c>
      <c r="E9" s="9" t="s">
        <v>317</v>
      </c>
      <c r="F9" s="5">
        <v>2736300</v>
      </c>
      <c r="G9" s="5">
        <v>2733500</v>
      </c>
      <c r="H9" s="6">
        <f t="shared" si="0"/>
        <v>-2800</v>
      </c>
      <c r="I9" s="9" t="str">
        <f t="shared" si="2"/>
        <v>AJUSTE POR MENOR VALOR PAGADO</v>
      </c>
      <c r="K9">
        <f>SUMIFS(Hoja1!I:I,Hoja1!B:B,"PENSION",Hoja1!D:D,Ajuste!B9)</f>
        <v>0</v>
      </c>
    </row>
    <row r="10" spans="1:13">
      <c r="A10" s="9" t="s">
        <v>3098</v>
      </c>
      <c r="B10" s="10" t="s">
        <v>2984</v>
      </c>
      <c r="C10" s="10" t="s">
        <v>2985</v>
      </c>
      <c r="D10" s="10" t="s">
        <v>185</v>
      </c>
      <c r="E10" s="9" t="s">
        <v>185</v>
      </c>
      <c r="F10" s="5">
        <f>1302800+127564</f>
        <v>1430364</v>
      </c>
      <c r="G10" s="5">
        <v>1736900</v>
      </c>
      <c r="H10" s="6">
        <f t="shared" si="0"/>
        <v>306536</v>
      </c>
      <c r="I10" s="9" t="str">
        <f t="shared" si="2"/>
        <v>AJUSTE POR MAYOR VALOR PAGADO</v>
      </c>
      <c r="K10">
        <f>SUMIFS(Hoja1!I:I,Hoja1!B:B,"PENSION",Hoja1!D:D,Ajuste!B10)</f>
        <v>0</v>
      </c>
    </row>
    <row r="11" spans="1:13">
      <c r="A11" s="9" t="s">
        <v>3098</v>
      </c>
      <c r="B11" s="10" t="s">
        <v>2991</v>
      </c>
      <c r="C11" s="10" t="s">
        <v>2992</v>
      </c>
      <c r="D11" s="10" t="s">
        <v>185</v>
      </c>
      <c r="E11" s="9" t="s">
        <v>185</v>
      </c>
      <c r="F11" s="5">
        <f>1433300-3745</f>
        <v>1429555</v>
      </c>
      <c r="G11" s="5">
        <v>1421500</v>
      </c>
      <c r="H11" s="6">
        <f t="shared" si="0"/>
        <v>-8055</v>
      </c>
      <c r="I11" s="9" t="str">
        <f t="shared" si="2"/>
        <v>AJUSTE POR MENOR VALOR PAGADO</v>
      </c>
      <c r="K11">
        <f>SUMIFS(Hoja1!I:I,Hoja1!B:B,"PENSION",Hoja1!D:D,Ajuste!B11)</f>
        <v>0</v>
      </c>
    </row>
    <row r="12" spans="1:13">
      <c r="A12" s="9" t="s">
        <v>3098</v>
      </c>
      <c r="B12" s="10" t="s">
        <v>2317</v>
      </c>
      <c r="C12" s="10" t="s">
        <v>2318</v>
      </c>
      <c r="D12" s="10" t="s">
        <v>185</v>
      </c>
      <c r="E12" s="9" t="s">
        <v>185</v>
      </c>
      <c r="F12" s="5">
        <f>239900-59967</f>
        <v>179933</v>
      </c>
      <c r="G12" s="5">
        <v>0</v>
      </c>
      <c r="H12" s="6">
        <f t="shared" si="0"/>
        <v>-179933</v>
      </c>
      <c r="I12" s="9" t="str">
        <f t="shared" si="2"/>
        <v>AJUSTE POR MENOR VALOR PAGADO</v>
      </c>
      <c r="K12">
        <f>SUMIFS(Hoja1!I:I,Hoja1!B:B,"PENSION",Hoja1!D:D,Ajuste!B12)</f>
        <v>0</v>
      </c>
    </row>
    <row r="13" spans="1:13">
      <c r="A13" s="9" t="s">
        <v>3098</v>
      </c>
      <c r="B13" s="10" t="s">
        <v>2054</v>
      </c>
      <c r="C13" s="10" t="s">
        <v>3055</v>
      </c>
      <c r="D13" s="10" t="s">
        <v>356</v>
      </c>
      <c r="E13" s="9" t="s">
        <v>356</v>
      </c>
      <c r="F13" s="5">
        <v>358900</v>
      </c>
      <c r="G13" s="5">
        <v>357200</v>
      </c>
      <c r="H13" s="6">
        <f t="shared" ref="H13:H15" si="3">+G13-F13</f>
        <v>-1700</v>
      </c>
      <c r="I13" s="9" t="str">
        <f t="shared" ref="I13:I15" si="4">(IF(H13&gt;0,"AJUSTE POR MAYOR VALOR PAGADO",IF(H13&lt;0,"AJUSTE POR MENOR VALOR PAGADO","CRUCE DE ENTIDADES")))</f>
        <v>AJUSTE POR MENOR VALOR PAGADO</v>
      </c>
      <c r="K13">
        <f>SUMIFS(Hoja1!I:I,Hoja1!B:B,"PENSION",Hoja1!D:D,Ajuste!B13)</f>
        <v>0</v>
      </c>
    </row>
    <row r="14" spans="1:13">
      <c r="A14" s="9" t="s">
        <v>3098</v>
      </c>
      <c r="B14" s="10" t="s">
        <v>1735</v>
      </c>
      <c r="C14" s="10" t="s">
        <v>1736</v>
      </c>
      <c r="D14" s="10" t="s">
        <v>317</v>
      </c>
      <c r="E14" s="9" t="s">
        <v>317</v>
      </c>
      <c r="F14" s="5">
        <f>46700+3200</f>
        <v>49900</v>
      </c>
      <c r="G14" s="5">
        <v>59400</v>
      </c>
      <c r="H14" s="6">
        <f t="shared" si="3"/>
        <v>9500</v>
      </c>
      <c r="I14" s="9" t="str">
        <f t="shared" si="4"/>
        <v>AJUSTE POR MAYOR VALOR PAGADO</v>
      </c>
      <c r="K14">
        <f>SUMIFS(Hoja1!I:I,Hoja1!B:B,"PENSION",Hoja1!D:D,Ajuste!B14)</f>
        <v>0</v>
      </c>
    </row>
    <row r="15" spans="1:13">
      <c r="A15" s="9" t="s">
        <v>3098</v>
      </c>
      <c r="B15" s="10" t="s">
        <v>2446</v>
      </c>
      <c r="C15" s="10" t="s">
        <v>2447</v>
      </c>
      <c r="D15" s="10" t="s">
        <v>317</v>
      </c>
      <c r="E15" s="9" t="s">
        <v>185</v>
      </c>
      <c r="F15" s="5">
        <v>78200</v>
      </c>
      <c r="G15" s="5">
        <v>78200</v>
      </c>
      <c r="H15" s="6">
        <f t="shared" si="3"/>
        <v>0</v>
      </c>
      <c r="I15" s="9" t="str">
        <f t="shared" si="4"/>
        <v>CRUCE DE ENTIDADES</v>
      </c>
      <c r="K15">
        <f>SUMIFS(Hoja1!I:I,Hoja1!B:B,"PENSION",Hoja1!D:D,Ajuste!B15)</f>
        <v>0</v>
      </c>
    </row>
    <row r="16" spans="1:13">
      <c r="A16" s="9" t="s">
        <v>3099</v>
      </c>
      <c r="B16" s="10" t="s">
        <v>1751</v>
      </c>
      <c r="C16" s="10" t="s">
        <v>1752</v>
      </c>
      <c r="D16" s="10" t="s">
        <v>1071</v>
      </c>
      <c r="E16" s="9" t="s">
        <v>1071</v>
      </c>
      <c r="F16" s="5">
        <v>145000</v>
      </c>
      <c r="G16" s="5">
        <v>145700</v>
      </c>
      <c r="H16" s="6">
        <f t="shared" ref="H16:H23" si="5">+G16-F16</f>
        <v>700</v>
      </c>
      <c r="I16" s="9" t="str">
        <f t="shared" ref="I16:I23" si="6">(IF(H16&gt;0,"AJUSTE POR MAYOR VALOR PAGADO",IF(H16&lt;0,"AJUSTE POR MENOR VALOR PAGADO","CRUCE DE ENTIDADES")))</f>
        <v>AJUSTE POR MAYOR VALOR PAGADO</v>
      </c>
      <c r="K16">
        <f>SUMIFS(Hoja1!I:I,Hoja1!B:B,"salud",Hoja1!D:D,Ajuste!B16)</f>
        <v>0</v>
      </c>
      <c r="M16" s="15"/>
    </row>
    <row r="17" spans="1:13">
      <c r="A17" s="9" t="s">
        <v>3099</v>
      </c>
      <c r="B17" s="10" t="s">
        <v>1767</v>
      </c>
      <c r="C17" s="10" t="s">
        <v>1768</v>
      </c>
      <c r="D17" s="10" t="s">
        <v>885</v>
      </c>
      <c r="E17" s="9" t="s">
        <v>885</v>
      </c>
      <c r="F17" s="5">
        <v>75600</v>
      </c>
      <c r="G17" s="5">
        <v>76300</v>
      </c>
      <c r="H17" s="6">
        <f t="shared" si="5"/>
        <v>700</v>
      </c>
      <c r="I17" s="9" t="str">
        <f t="shared" si="6"/>
        <v>AJUSTE POR MAYOR VALOR PAGADO</v>
      </c>
      <c r="K17">
        <f>SUMIFS(Hoja1!I:I,Hoja1!B:B,"salud",Hoja1!D:D,Ajuste!B17)</f>
        <v>0</v>
      </c>
      <c r="M17" s="15"/>
    </row>
    <row r="18" spans="1:13">
      <c r="A18" s="9" t="s">
        <v>3099</v>
      </c>
      <c r="B18" s="10" t="s">
        <v>2027</v>
      </c>
      <c r="C18" s="10" t="s">
        <v>2028</v>
      </c>
      <c r="D18" s="10" t="s">
        <v>885</v>
      </c>
      <c r="E18" s="9" t="s">
        <v>885</v>
      </c>
      <c r="F18" s="5">
        <f>255500-1600</f>
        <v>253900</v>
      </c>
      <c r="G18" s="5">
        <v>254000</v>
      </c>
      <c r="H18" s="6">
        <f t="shared" si="5"/>
        <v>100</v>
      </c>
      <c r="I18" s="9" t="str">
        <f t="shared" si="6"/>
        <v>AJUSTE POR MAYOR VALOR PAGADO</v>
      </c>
      <c r="K18">
        <f>SUMIFS(Hoja1!I:I,Hoja1!B:B,"salud",Hoja1!D:D,Ajuste!B18)</f>
        <v>-1600</v>
      </c>
      <c r="M18" s="15"/>
    </row>
    <row r="19" spans="1:13">
      <c r="A19" s="9" t="s">
        <v>3099</v>
      </c>
      <c r="B19" s="10" t="s">
        <v>2508</v>
      </c>
      <c r="C19" s="10" t="s">
        <v>2509</v>
      </c>
      <c r="D19" s="10" t="s">
        <v>635</v>
      </c>
      <c r="E19" s="9" t="s">
        <v>635</v>
      </c>
      <c r="F19" s="5">
        <f>308100-4500</f>
        <v>303600</v>
      </c>
      <c r="G19" s="5">
        <v>303700</v>
      </c>
      <c r="H19" s="6">
        <f t="shared" si="5"/>
        <v>100</v>
      </c>
      <c r="I19" s="9" t="str">
        <f t="shared" si="6"/>
        <v>AJUSTE POR MAYOR VALOR PAGADO</v>
      </c>
      <c r="K19">
        <f>SUMIFS(Hoja1!I:I,Hoja1!B:B,"salud",Hoja1!D:D,Ajuste!B19)</f>
        <v>-4500</v>
      </c>
      <c r="M19" s="15"/>
    </row>
    <row r="20" spans="1:13">
      <c r="A20" s="9" t="s">
        <v>3099</v>
      </c>
      <c r="B20" s="10" t="s">
        <v>2513</v>
      </c>
      <c r="C20" s="10" t="s">
        <v>2514</v>
      </c>
      <c r="D20" s="10" t="s">
        <v>833</v>
      </c>
      <c r="E20" s="9" t="s">
        <v>1064</v>
      </c>
      <c r="F20" s="5">
        <v>117900</v>
      </c>
      <c r="G20" s="5">
        <v>117900</v>
      </c>
      <c r="H20" s="6">
        <f t="shared" si="5"/>
        <v>0</v>
      </c>
      <c r="I20" s="9" t="str">
        <f t="shared" si="6"/>
        <v>CRUCE DE ENTIDADES</v>
      </c>
      <c r="K20">
        <f>SUMIFS(Hoja1!I:I,Hoja1!B:B,"salud",Hoja1!D:D,Ajuste!B20)</f>
        <v>0</v>
      </c>
      <c r="M20" s="15"/>
    </row>
    <row r="21" spans="1:13">
      <c r="A21" s="9" t="s">
        <v>3099</v>
      </c>
      <c r="B21" s="10" t="s">
        <v>2824</v>
      </c>
      <c r="C21" s="10" t="s">
        <v>2825</v>
      </c>
      <c r="D21" s="10" t="s">
        <v>1071</v>
      </c>
      <c r="E21" s="9" t="s">
        <v>1071</v>
      </c>
      <c r="F21" s="5">
        <v>2011700</v>
      </c>
      <c r="G21" s="5">
        <v>2009600</v>
      </c>
      <c r="H21" s="6">
        <f t="shared" si="5"/>
        <v>-2100</v>
      </c>
      <c r="I21" s="9" t="str">
        <f t="shared" si="6"/>
        <v>AJUSTE POR MENOR VALOR PAGADO</v>
      </c>
      <c r="K21">
        <f>SUMIFS(Hoja1!I:I,Hoja1!B:B,"salud",Hoja1!D:D,Ajuste!B21)</f>
        <v>0</v>
      </c>
      <c r="M21" s="15"/>
    </row>
    <row r="22" spans="1:13">
      <c r="A22" s="9" t="s">
        <v>3099</v>
      </c>
      <c r="B22" s="10" t="s">
        <v>2991</v>
      </c>
      <c r="C22" s="10" t="s">
        <v>2992</v>
      </c>
      <c r="D22" s="10" t="s">
        <v>1071</v>
      </c>
      <c r="E22" s="9" t="s">
        <v>1071</v>
      </c>
      <c r="F22" s="5">
        <f>337200-2800</f>
        <v>334400</v>
      </c>
      <c r="G22" s="5">
        <v>334500</v>
      </c>
      <c r="H22" s="6">
        <f t="shared" si="5"/>
        <v>100</v>
      </c>
      <c r="I22" s="9" t="str">
        <f t="shared" si="6"/>
        <v>AJUSTE POR MAYOR VALOR PAGADO</v>
      </c>
      <c r="K22">
        <f>SUMIFS(Hoja1!I:I,Hoja1!B:B,"salud",Hoja1!D:D,Ajuste!B22)</f>
        <v>-2800</v>
      </c>
      <c r="M22" s="15"/>
    </row>
    <row r="23" spans="1:13">
      <c r="A23" s="9" t="s">
        <v>3099</v>
      </c>
      <c r="B23" s="10" t="s">
        <v>1782</v>
      </c>
      <c r="C23" s="10" t="s">
        <v>1783</v>
      </c>
      <c r="D23" s="10" t="s">
        <v>1000</v>
      </c>
      <c r="E23" s="9" t="s">
        <v>1000</v>
      </c>
      <c r="F23" s="5">
        <v>133000</v>
      </c>
      <c r="G23" s="5">
        <v>148200</v>
      </c>
      <c r="H23" s="6">
        <f t="shared" si="5"/>
        <v>15200</v>
      </c>
      <c r="I23" s="9" t="str">
        <f t="shared" si="6"/>
        <v>AJUSTE POR MAYOR VALOR PAGADO</v>
      </c>
      <c r="K23">
        <f>SUMIFS(Hoja1!I:I,Hoja1!B:B,"salud",Hoja1!D:D,Ajuste!B23)</f>
        <v>0</v>
      </c>
      <c r="M23" s="15"/>
    </row>
    <row r="24" spans="1:13">
      <c r="A24" s="9" t="s">
        <v>3080</v>
      </c>
      <c r="B24" s="10" t="s">
        <v>1632</v>
      </c>
      <c r="C24" s="10" t="s">
        <v>1633</v>
      </c>
      <c r="D24" s="10" t="s">
        <v>189</v>
      </c>
      <c r="E24" s="9" t="s">
        <v>189</v>
      </c>
      <c r="F24" s="5">
        <v>810900</v>
      </c>
      <c r="G24" s="5">
        <v>892000</v>
      </c>
      <c r="H24" s="6">
        <f t="shared" ref="H24:H30" si="7">+G24-F24</f>
        <v>81100</v>
      </c>
      <c r="I24" s="9" t="str">
        <f t="shared" ref="I24:I30" si="8">(IF(H24&gt;0,"AJUSTE POR MAYOR VALOR PAGADO",IF(H24&lt;0,"AJUSTE POR MENOR VALOR PAGADO","CRUCE DE ENTIDADES")))</f>
        <v>AJUSTE POR MAYOR VALOR PAGADO</v>
      </c>
    </row>
    <row r="25" spans="1:13">
      <c r="A25" s="9" t="s">
        <v>3080</v>
      </c>
      <c r="B25" s="10" t="s">
        <v>1751</v>
      </c>
      <c r="C25" s="10" t="s">
        <v>1752</v>
      </c>
      <c r="D25" s="10" t="s">
        <v>189</v>
      </c>
      <c r="E25" s="9" t="s">
        <v>189</v>
      </c>
      <c r="F25" s="5">
        <v>16700</v>
      </c>
      <c r="G25" s="5">
        <v>16800</v>
      </c>
      <c r="H25" s="6">
        <f t="shared" si="7"/>
        <v>100</v>
      </c>
      <c r="I25" s="9" t="str">
        <f t="shared" si="8"/>
        <v>AJUSTE POR MAYOR VALOR PAGADO</v>
      </c>
    </row>
    <row r="26" spans="1:13">
      <c r="A26" s="9" t="s">
        <v>3080</v>
      </c>
      <c r="B26" s="10" t="s">
        <v>2672</v>
      </c>
      <c r="C26" s="10" t="s">
        <v>2673</v>
      </c>
      <c r="D26" s="10" t="s">
        <v>189</v>
      </c>
      <c r="E26" s="9" t="s">
        <v>189</v>
      </c>
      <c r="F26" s="5">
        <v>256600</v>
      </c>
      <c r="G26" s="5">
        <v>252400</v>
      </c>
      <c r="H26" s="6">
        <f t="shared" si="7"/>
        <v>-4200</v>
      </c>
      <c r="I26" s="9" t="str">
        <f t="shared" si="8"/>
        <v>AJUSTE POR MENOR VALOR PAGADO</v>
      </c>
    </row>
    <row r="27" spans="1:13">
      <c r="A27" s="9" t="s">
        <v>3080</v>
      </c>
      <c r="B27" s="10" t="s">
        <v>2984</v>
      </c>
      <c r="C27" s="10" t="s">
        <v>2985</v>
      </c>
      <c r="D27" s="10" t="s">
        <v>189</v>
      </c>
      <c r="E27" s="9" t="s">
        <v>189</v>
      </c>
      <c r="F27" s="5">
        <v>533300</v>
      </c>
      <c r="G27" s="5">
        <v>711100</v>
      </c>
      <c r="H27" s="6">
        <f t="shared" si="7"/>
        <v>177800</v>
      </c>
      <c r="I27" s="9" t="str">
        <f t="shared" si="8"/>
        <v>AJUSTE POR MAYOR VALOR PAGADO</v>
      </c>
    </row>
    <row r="28" spans="1:13">
      <c r="A28" s="9" t="s">
        <v>3080</v>
      </c>
      <c r="B28" s="10" t="s">
        <v>2317</v>
      </c>
      <c r="C28" s="10" t="s">
        <v>2318</v>
      </c>
      <c r="D28" s="10" t="s">
        <v>189</v>
      </c>
      <c r="E28" s="9" t="s">
        <v>189</v>
      </c>
      <c r="F28" s="5">
        <v>186500</v>
      </c>
      <c r="G28" s="5">
        <v>186400</v>
      </c>
      <c r="H28" s="6">
        <f t="shared" si="7"/>
        <v>-100</v>
      </c>
      <c r="I28" s="9" t="str">
        <f t="shared" si="8"/>
        <v>AJUSTE POR MENOR VALOR PAGADO</v>
      </c>
    </row>
    <row r="29" spans="1:13">
      <c r="A29" s="9" t="s">
        <v>3080</v>
      </c>
      <c r="B29" s="10" t="s">
        <v>2054</v>
      </c>
      <c r="C29" s="10" t="s">
        <v>2055</v>
      </c>
      <c r="D29" s="10" t="s">
        <v>189</v>
      </c>
      <c r="E29" s="9" t="s">
        <v>189</v>
      </c>
      <c r="F29" s="5">
        <v>156200</v>
      </c>
      <c r="G29" s="5">
        <v>155400</v>
      </c>
      <c r="H29" s="6">
        <f t="shared" si="7"/>
        <v>-800</v>
      </c>
      <c r="I29" s="9" t="str">
        <f t="shared" si="8"/>
        <v>AJUSTE POR MENOR VALOR PAGADO</v>
      </c>
    </row>
    <row r="30" spans="1:13">
      <c r="A30" s="9" t="s">
        <v>3080</v>
      </c>
      <c r="B30" s="10" t="s">
        <v>1735</v>
      </c>
      <c r="C30" s="10" t="s">
        <v>1736</v>
      </c>
      <c r="D30" s="10" t="s">
        <v>189</v>
      </c>
      <c r="E30" s="9" t="s">
        <v>189</v>
      </c>
      <c r="F30" s="5">
        <v>20400</v>
      </c>
      <c r="G30" s="5">
        <v>15500</v>
      </c>
      <c r="H30" s="6">
        <f t="shared" si="7"/>
        <v>-4900</v>
      </c>
      <c r="I30" s="9" t="str">
        <f t="shared" si="8"/>
        <v>AJUSTE POR MENOR VALOR PAGADO</v>
      </c>
    </row>
    <row r="31" spans="1:13">
      <c r="A31" s="9" t="s">
        <v>3083</v>
      </c>
      <c r="B31" s="10" t="s">
        <v>1632</v>
      </c>
      <c r="C31" s="10" t="s">
        <v>1633</v>
      </c>
      <c r="D31" s="10" t="s">
        <v>635</v>
      </c>
      <c r="E31" s="9" t="s">
        <v>635</v>
      </c>
      <c r="F31" s="5">
        <v>419500</v>
      </c>
      <c r="G31" s="5">
        <v>466100</v>
      </c>
      <c r="H31" s="6">
        <f t="shared" ref="H31:H33" si="9">+G31-F31</f>
        <v>46600</v>
      </c>
      <c r="I31" s="9" t="str">
        <f t="shared" ref="I31:I33" si="10">(IF(H31&gt;0,"AJUSTE POR MAYOR VALOR PAGADO",IF(H31&lt;0,"AJUSTE POR MENOR VALOR PAGADO","CRUCE DE ENTIDADES")))</f>
        <v>AJUSTE POR MAYOR VALOR PAGADO</v>
      </c>
    </row>
    <row r="32" spans="1:13">
      <c r="A32" s="9" t="s">
        <v>3083</v>
      </c>
      <c r="B32" s="10" t="s">
        <v>1751</v>
      </c>
      <c r="C32" s="10" t="s">
        <v>1752</v>
      </c>
      <c r="D32" s="10" t="s">
        <v>635</v>
      </c>
      <c r="E32" s="9" t="s">
        <v>635</v>
      </c>
      <c r="F32" s="5">
        <v>145000</v>
      </c>
      <c r="G32" s="5">
        <v>146500</v>
      </c>
      <c r="H32" s="6">
        <f t="shared" si="9"/>
        <v>1500</v>
      </c>
      <c r="I32" s="9" t="str">
        <f t="shared" si="10"/>
        <v>AJUSTE POR MAYOR VALOR PAGADO</v>
      </c>
    </row>
    <row r="33" spans="1:9">
      <c r="A33" s="9" t="s">
        <v>3083</v>
      </c>
      <c r="B33" s="10" t="s">
        <v>2984</v>
      </c>
      <c r="C33" s="10" t="s">
        <v>2985</v>
      </c>
      <c r="D33" s="10" t="s">
        <v>635</v>
      </c>
      <c r="E33" s="9" t="s">
        <v>635</v>
      </c>
      <c r="F33" s="5">
        <v>204400</v>
      </c>
      <c r="G33" s="5">
        <v>306500</v>
      </c>
      <c r="H33" s="6">
        <f t="shared" si="9"/>
        <v>102100</v>
      </c>
      <c r="I33" s="9" t="str">
        <f t="shared" si="10"/>
        <v>AJUSTE POR MAYOR VALOR PAGADO</v>
      </c>
    </row>
  </sheetData>
  <autoFilter ref="A1:I33" xr:uid="{183E6824-B9EB-4116-A1F1-67F35CE4B1DC}"/>
  <conditionalFormatting sqref="B16:B23">
    <cfRule type="duplicateValues" dxfId="1" priority="15"/>
  </conditionalFormatting>
  <conditionalFormatting sqref="B24:B30">
    <cfRule type="duplicateValues" dxfId="0" priority="17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8138-64AA-4D35-8ACC-F78D51E67669}">
  <dimension ref="A1:J105"/>
  <sheetViews>
    <sheetView tabSelected="1" workbookViewId="0">
      <selection activeCell="B5" sqref="B5"/>
    </sheetView>
  </sheetViews>
  <sheetFormatPr defaultColWidth="11.42578125" defaultRowHeight="15"/>
  <cols>
    <col min="1" max="1" width="10.7109375" bestFit="1" customWidth="1"/>
    <col min="2" max="2" width="19.140625" bestFit="1" customWidth="1"/>
    <col min="3" max="3" width="16.42578125" bestFit="1" customWidth="1"/>
    <col min="4" max="4" width="19.85546875" bestFit="1" customWidth="1"/>
    <col min="5" max="5" width="23.28515625" bestFit="1" customWidth="1"/>
    <col min="6" max="6" width="19.85546875" bestFit="1" customWidth="1"/>
    <col min="7" max="7" width="16.7109375" bestFit="1" customWidth="1"/>
    <col min="8" max="8" width="18.7109375" bestFit="1" customWidth="1"/>
  </cols>
  <sheetData>
    <row r="1" spans="1:9">
      <c r="A1" t="s">
        <v>3100</v>
      </c>
      <c r="B1" t="s">
        <v>3101</v>
      </c>
      <c r="C1" t="s">
        <v>3102</v>
      </c>
      <c r="D1" t="s">
        <v>3103</v>
      </c>
      <c r="E1" t="s">
        <v>3104</v>
      </c>
      <c r="F1" t="s">
        <v>3105</v>
      </c>
      <c r="G1" t="s">
        <v>3106</v>
      </c>
      <c r="H1" t="s">
        <v>3107</v>
      </c>
    </row>
    <row r="2" spans="1:9">
      <c r="A2" s="17" t="s">
        <v>3108</v>
      </c>
      <c r="B2" s="17" t="s">
        <v>3099</v>
      </c>
      <c r="C2" s="18">
        <v>-46600</v>
      </c>
      <c r="D2" s="17" t="s">
        <v>1632</v>
      </c>
      <c r="E2" s="17" t="s">
        <v>3109</v>
      </c>
      <c r="F2" s="17" t="s">
        <v>3110</v>
      </c>
      <c r="G2" s="17" t="s">
        <v>1634</v>
      </c>
      <c r="H2" s="17" t="s">
        <v>1635</v>
      </c>
      <c r="I2">
        <f t="shared" ref="I2:I33" si="0">+C2*-1</f>
        <v>46600</v>
      </c>
    </row>
    <row r="3" spans="1:9">
      <c r="A3" s="17" t="s">
        <v>3108</v>
      </c>
      <c r="B3" s="17" t="s">
        <v>3099</v>
      </c>
      <c r="C3" s="18">
        <v>4500</v>
      </c>
      <c r="D3" s="17" t="s">
        <v>2508</v>
      </c>
      <c r="E3" s="17" t="s">
        <v>3111</v>
      </c>
      <c r="F3" s="17" t="s">
        <v>3112</v>
      </c>
      <c r="G3" s="17" t="s">
        <v>1606</v>
      </c>
      <c r="H3" s="17" t="s">
        <v>2510</v>
      </c>
      <c r="I3">
        <f t="shared" si="0"/>
        <v>-4500</v>
      </c>
    </row>
    <row r="4" spans="1:9">
      <c r="A4" s="17" t="s">
        <v>3108</v>
      </c>
      <c r="B4" s="17" t="s">
        <v>3099</v>
      </c>
      <c r="C4" s="18">
        <v>-102200</v>
      </c>
      <c r="D4" s="17" t="s">
        <v>2984</v>
      </c>
      <c r="E4" s="17" t="s">
        <v>3113</v>
      </c>
      <c r="F4" s="17" t="s">
        <v>2987</v>
      </c>
      <c r="G4" s="17" t="s">
        <v>1620</v>
      </c>
      <c r="H4" s="17" t="s">
        <v>2986</v>
      </c>
      <c r="I4">
        <f t="shared" si="0"/>
        <v>102200</v>
      </c>
    </row>
    <row r="5" spans="1:9">
      <c r="A5" s="17" t="s">
        <v>3108</v>
      </c>
      <c r="B5" s="17" t="s">
        <v>3099</v>
      </c>
      <c r="C5" s="18">
        <v>2800</v>
      </c>
      <c r="D5" s="17" t="s">
        <v>2991</v>
      </c>
      <c r="E5" s="17" t="s">
        <v>3114</v>
      </c>
      <c r="F5" s="17" t="s">
        <v>3115</v>
      </c>
      <c r="G5" s="17" t="s">
        <v>1886</v>
      </c>
      <c r="H5" s="17" t="s">
        <v>2993</v>
      </c>
      <c r="I5">
        <f t="shared" si="0"/>
        <v>-2800</v>
      </c>
    </row>
    <row r="6" spans="1:9">
      <c r="A6" s="17" t="s">
        <v>3108</v>
      </c>
      <c r="B6" s="17" t="s">
        <v>3099</v>
      </c>
      <c r="C6" s="18">
        <v>1600</v>
      </c>
      <c r="D6" s="17" t="s">
        <v>2027</v>
      </c>
      <c r="E6" s="17" t="s">
        <v>3116</v>
      </c>
      <c r="F6" s="17" t="s">
        <v>3117</v>
      </c>
      <c r="G6" s="17" t="s">
        <v>2029</v>
      </c>
      <c r="H6" s="17" t="s">
        <v>1923</v>
      </c>
      <c r="I6">
        <f t="shared" si="0"/>
        <v>-1600</v>
      </c>
    </row>
    <row r="7" spans="1:9">
      <c r="A7" s="17" t="s">
        <v>3108</v>
      </c>
      <c r="B7" s="17" t="s">
        <v>3099</v>
      </c>
      <c r="C7" s="18">
        <v>-2500</v>
      </c>
      <c r="D7" s="17" t="s">
        <v>2106</v>
      </c>
      <c r="E7" s="17" t="s">
        <v>3118</v>
      </c>
      <c r="F7" s="17" t="s">
        <v>3119</v>
      </c>
      <c r="G7" s="17" t="s">
        <v>1972</v>
      </c>
      <c r="H7" s="17" t="s">
        <v>2108</v>
      </c>
      <c r="I7">
        <f t="shared" si="0"/>
        <v>2500</v>
      </c>
    </row>
    <row r="8" spans="1:9">
      <c r="A8" s="17" t="s">
        <v>3108</v>
      </c>
      <c r="B8" s="17" t="s">
        <v>3099</v>
      </c>
      <c r="C8" s="18">
        <v>2400</v>
      </c>
      <c r="D8" s="17" t="s">
        <v>2672</v>
      </c>
      <c r="E8" s="17" t="s">
        <v>3120</v>
      </c>
      <c r="F8" s="17" t="s">
        <v>3121</v>
      </c>
      <c r="G8" s="17" t="s">
        <v>2395</v>
      </c>
      <c r="H8" s="17" t="s">
        <v>1435</v>
      </c>
      <c r="I8">
        <f t="shared" si="0"/>
        <v>-2400</v>
      </c>
    </row>
    <row r="9" spans="1:9">
      <c r="A9" s="17" t="s">
        <v>3108</v>
      </c>
      <c r="B9" s="17" t="s">
        <v>3099</v>
      </c>
      <c r="C9" s="18">
        <v>2800</v>
      </c>
      <c r="D9" s="17" t="s">
        <v>1735</v>
      </c>
      <c r="E9" s="17" t="s">
        <v>3122</v>
      </c>
      <c r="F9" s="17" t="s">
        <v>3123</v>
      </c>
      <c r="G9" s="17" t="s">
        <v>1551</v>
      </c>
      <c r="H9" s="17" t="s">
        <v>1737</v>
      </c>
      <c r="I9">
        <f t="shared" si="0"/>
        <v>-2800</v>
      </c>
    </row>
    <row r="10" spans="1:9">
      <c r="A10" s="17" t="s">
        <v>3108</v>
      </c>
      <c r="B10" s="17" t="s">
        <v>3099</v>
      </c>
      <c r="C10" s="18">
        <v>-6000</v>
      </c>
      <c r="D10" s="17" t="s">
        <v>1735</v>
      </c>
      <c r="E10" s="17" t="s">
        <v>3122</v>
      </c>
      <c r="F10" s="17" t="s">
        <v>3123</v>
      </c>
      <c r="G10" s="17" t="s">
        <v>1551</v>
      </c>
      <c r="H10" s="17" t="s">
        <v>1737</v>
      </c>
      <c r="I10">
        <f t="shared" si="0"/>
        <v>6000</v>
      </c>
    </row>
    <row r="11" spans="1:9">
      <c r="A11" s="17" t="s">
        <v>3124</v>
      </c>
      <c r="B11" s="17" t="s">
        <v>3098</v>
      </c>
      <c r="C11" s="19">
        <v>-46601</v>
      </c>
      <c r="D11" s="17" t="s">
        <v>1632</v>
      </c>
      <c r="E11" s="17" t="s">
        <v>3109</v>
      </c>
      <c r="F11" s="17" t="s">
        <v>3110</v>
      </c>
      <c r="G11" s="17" t="s">
        <v>1634</v>
      </c>
      <c r="H11" s="17" t="s">
        <v>1635</v>
      </c>
      <c r="I11">
        <f t="shared" si="0"/>
        <v>46601</v>
      </c>
    </row>
    <row r="12" spans="1:9">
      <c r="A12" s="17" t="s">
        <v>3124</v>
      </c>
      <c r="B12" s="17" t="s">
        <v>3098</v>
      </c>
      <c r="C12" s="19">
        <v>4386</v>
      </c>
      <c r="D12" s="17" t="s">
        <v>2508</v>
      </c>
      <c r="E12" s="17" t="s">
        <v>3111</v>
      </c>
      <c r="F12" s="17" t="s">
        <v>3112</v>
      </c>
      <c r="G12" s="17" t="s">
        <v>1606</v>
      </c>
      <c r="H12" s="17" t="s">
        <v>2510</v>
      </c>
      <c r="I12">
        <f t="shared" si="0"/>
        <v>-4386</v>
      </c>
    </row>
    <row r="13" spans="1:9">
      <c r="A13" s="17" t="s">
        <v>3124</v>
      </c>
      <c r="B13" s="17" t="s">
        <v>3098</v>
      </c>
      <c r="C13" s="19">
        <v>-102164</v>
      </c>
      <c r="D13" s="17" t="s">
        <v>2984</v>
      </c>
      <c r="E13" s="17" t="s">
        <v>3113</v>
      </c>
      <c r="F13" s="17" t="s">
        <v>2987</v>
      </c>
      <c r="G13" s="17" t="s">
        <v>1620</v>
      </c>
      <c r="H13" s="17" t="s">
        <v>2986</v>
      </c>
      <c r="I13">
        <f t="shared" si="0"/>
        <v>102164</v>
      </c>
    </row>
    <row r="14" spans="1:9">
      <c r="A14" s="17" t="s">
        <v>3124</v>
      </c>
      <c r="B14" s="17" t="s">
        <v>3098</v>
      </c>
      <c r="C14" s="19">
        <v>2745</v>
      </c>
      <c r="D14" s="17" t="s">
        <v>2991</v>
      </c>
      <c r="E14" s="17" t="s">
        <v>3114</v>
      </c>
      <c r="F14" s="17" t="s">
        <v>3115</v>
      </c>
      <c r="G14" s="17" t="s">
        <v>1886</v>
      </c>
      <c r="H14" s="17" t="s">
        <v>2993</v>
      </c>
      <c r="I14">
        <f t="shared" si="0"/>
        <v>-2745</v>
      </c>
    </row>
    <row r="15" spans="1:9">
      <c r="A15" s="17" t="s">
        <v>3124</v>
      </c>
      <c r="B15" s="17" t="s">
        <v>3098</v>
      </c>
      <c r="C15" s="19">
        <v>1560</v>
      </c>
      <c r="D15" s="17" t="s">
        <v>2027</v>
      </c>
      <c r="E15" s="17" t="s">
        <v>3116</v>
      </c>
      <c r="F15" s="17" t="s">
        <v>3117</v>
      </c>
      <c r="G15" s="17" t="s">
        <v>2029</v>
      </c>
      <c r="H15" s="17" t="s">
        <v>1923</v>
      </c>
      <c r="I15">
        <f t="shared" si="0"/>
        <v>-1560</v>
      </c>
    </row>
    <row r="16" spans="1:9">
      <c r="A16" s="17" t="s">
        <v>3124</v>
      </c>
      <c r="B16" s="17" t="s">
        <v>3098</v>
      </c>
      <c r="C16" s="19">
        <v>-2500</v>
      </c>
      <c r="D16" s="17" t="s">
        <v>2106</v>
      </c>
      <c r="E16" s="17" t="s">
        <v>3118</v>
      </c>
      <c r="F16" s="17" t="s">
        <v>3119</v>
      </c>
      <c r="G16" s="17" t="s">
        <v>1972</v>
      </c>
      <c r="H16" s="17" t="s">
        <v>2108</v>
      </c>
      <c r="I16">
        <f t="shared" si="0"/>
        <v>2500</v>
      </c>
    </row>
    <row r="17" spans="1:9">
      <c r="A17" s="17" t="s">
        <v>3124</v>
      </c>
      <c r="B17" s="17" t="s">
        <v>3098</v>
      </c>
      <c r="C17" s="19">
        <v>2400</v>
      </c>
      <c r="D17" s="17" t="s">
        <v>2672</v>
      </c>
      <c r="E17" s="17" t="s">
        <v>3120</v>
      </c>
      <c r="F17" s="17" t="s">
        <v>3121</v>
      </c>
      <c r="G17" s="17" t="s">
        <v>2395</v>
      </c>
      <c r="H17" s="17" t="s">
        <v>1435</v>
      </c>
      <c r="I17">
        <f t="shared" si="0"/>
        <v>-2400</v>
      </c>
    </row>
    <row r="18" spans="1:9">
      <c r="A18" s="17" t="s">
        <v>3124</v>
      </c>
      <c r="B18" s="17" t="s">
        <v>3098</v>
      </c>
      <c r="C18" s="19">
        <v>59967</v>
      </c>
      <c r="D18" s="17" t="s">
        <v>2317</v>
      </c>
      <c r="E18" s="17" t="s">
        <v>3125</v>
      </c>
      <c r="F18" s="17" t="s">
        <v>2319</v>
      </c>
      <c r="G18" s="17" t="s">
        <v>2250</v>
      </c>
      <c r="H18" s="17" t="s">
        <v>1628</v>
      </c>
      <c r="I18">
        <f t="shared" si="0"/>
        <v>-59967</v>
      </c>
    </row>
    <row r="19" spans="1:9">
      <c r="A19" s="17" t="s">
        <v>3124</v>
      </c>
      <c r="B19" s="17" t="s">
        <v>3098</v>
      </c>
      <c r="C19" s="19">
        <v>-6000</v>
      </c>
      <c r="D19" s="17" t="s">
        <v>1735</v>
      </c>
      <c r="E19" s="17" t="s">
        <v>3122</v>
      </c>
      <c r="F19" s="17" t="s">
        <v>3123</v>
      </c>
      <c r="G19" s="17" t="s">
        <v>1551</v>
      </c>
      <c r="H19" s="17" t="s">
        <v>1737</v>
      </c>
      <c r="I19">
        <f t="shared" si="0"/>
        <v>6000</v>
      </c>
    </row>
    <row r="20" spans="1:9">
      <c r="A20" s="17" t="s">
        <v>3124</v>
      </c>
      <c r="B20" s="17" t="s">
        <v>3098</v>
      </c>
      <c r="C20" s="19">
        <v>2800</v>
      </c>
      <c r="D20" s="17" t="s">
        <v>1735</v>
      </c>
      <c r="E20" s="17" t="s">
        <v>3122</v>
      </c>
      <c r="F20" s="17" t="s">
        <v>3123</v>
      </c>
      <c r="G20" s="17" t="s">
        <v>1551</v>
      </c>
      <c r="H20" s="17" t="s">
        <v>1737</v>
      </c>
      <c r="I20">
        <f t="shared" si="0"/>
        <v>-2800</v>
      </c>
    </row>
    <row r="21" spans="1:9">
      <c r="A21" s="17" t="s">
        <v>3126</v>
      </c>
      <c r="B21" s="17" t="s">
        <v>3098</v>
      </c>
      <c r="C21" s="19">
        <v>-11600</v>
      </c>
      <c r="D21" s="17" t="s">
        <v>1632</v>
      </c>
      <c r="E21" s="17" t="s">
        <v>3109</v>
      </c>
      <c r="F21" s="17" t="s">
        <v>3110</v>
      </c>
      <c r="G21" s="17" t="s">
        <v>1634</v>
      </c>
      <c r="H21" s="17" t="s">
        <v>1635</v>
      </c>
      <c r="I21">
        <f t="shared" si="0"/>
        <v>11600</v>
      </c>
    </row>
    <row r="22" spans="1:9">
      <c r="A22" s="17" t="s">
        <v>3126</v>
      </c>
      <c r="B22" s="17" t="s">
        <v>3098</v>
      </c>
      <c r="C22" s="19">
        <v>1300</v>
      </c>
      <c r="D22" s="17" t="s">
        <v>2508</v>
      </c>
      <c r="E22" s="17" t="s">
        <v>3111</v>
      </c>
      <c r="F22" s="17" t="s">
        <v>3112</v>
      </c>
      <c r="G22" s="17" t="s">
        <v>1606</v>
      </c>
      <c r="H22" s="17" t="s">
        <v>2510</v>
      </c>
      <c r="I22">
        <f t="shared" si="0"/>
        <v>-1300</v>
      </c>
    </row>
    <row r="23" spans="1:9">
      <c r="A23" s="17" t="s">
        <v>3126</v>
      </c>
      <c r="B23" s="17" t="s">
        <v>3098</v>
      </c>
      <c r="C23" s="19">
        <v>-25400</v>
      </c>
      <c r="D23" s="17" t="s">
        <v>2984</v>
      </c>
      <c r="E23" s="17" t="s">
        <v>3113</v>
      </c>
      <c r="F23" s="17" t="s">
        <v>2987</v>
      </c>
      <c r="G23" s="17" t="s">
        <v>1620</v>
      </c>
      <c r="H23" s="17" t="s">
        <v>2986</v>
      </c>
      <c r="I23">
        <f t="shared" si="0"/>
        <v>25400</v>
      </c>
    </row>
    <row r="24" spans="1:9">
      <c r="A24" s="17" t="s">
        <v>3126</v>
      </c>
      <c r="B24" s="17" t="s">
        <v>3098</v>
      </c>
      <c r="C24" s="19">
        <v>1000</v>
      </c>
      <c r="D24" s="17" t="s">
        <v>2991</v>
      </c>
      <c r="E24" s="17" t="s">
        <v>3114</v>
      </c>
      <c r="F24" s="17" t="s">
        <v>3115</v>
      </c>
      <c r="G24" s="17" t="s">
        <v>1886</v>
      </c>
      <c r="H24" s="17" t="s">
        <v>2993</v>
      </c>
      <c r="I24">
        <f t="shared" si="0"/>
        <v>-1000</v>
      </c>
    </row>
    <row r="25" spans="1:9">
      <c r="I25">
        <f t="shared" si="0"/>
        <v>0</v>
      </c>
    </row>
    <row r="26" spans="1:9">
      <c r="I26">
        <f t="shared" si="0"/>
        <v>0</v>
      </c>
    </row>
    <row r="27" spans="1:9">
      <c r="I27">
        <f t="shared" si="0"/>
        <v>0</v>
      </c>
    </row>
    <row r="28" spans="1:9">
      <c r="I28">
        <f t="shared" si="0"/>
        <v>0</v>
      </c>
    </row>
    <row r="29" spans="1:9">
      <c r="I29">
        <f t="shared" si="0"/>
        <v>0</v>
      </c>
    </row>
    <row r="30" spans="1:9">
      <c r="I30">
        <f t="shared" si="0"/>
        <v>0</v>
      </c>
    </row>
    <row r="31" spans="1:9">
      <c r="I31">
        <f t="shared" si="0"/>
        <v>0</v>
      </c>
    </row>
    <row r="32" spans="1:9">
      <c r="I32">
        <f t="shared" si="0"/>
        <v>0</v>
      </c>
    </row>
    <row r="33" spans="9:10">
      <c r="I33">
        <f t="shared" si="0"/>
        <v>0</v>
      </c>
    </row>
    <row r="34" spans="9:10">
      <c r="I34">
        <f t="shared" ref="I34:I65" si="1">+C34*-1</f>
        <v>0</v>
      </c>
    </row>
    <row r="35" spans="9:10">
      <c r="I35">
        <f t="shared" si="1"/>
        <v>0</v>
      </c>
    </row>
    <row r="36" spans="9:10">
      <c r="I36">
        <f t="shared" si="1"/>
        <v>0</v>
      </c>
    </row>
    <row r="37" spans="9:10">
      <c r="I37">
        <f t="shared" si="1"/>
        <v>0</v>
      </c>
    </row>
    <row r="38" spans="9:10">
      <c r="I38">
        <f t="shared" si="1"/>
        <v>0</v>
      </c>
    </row>
    <row r="39" spans="9:10">
      <c r="I39">
        <f t="shared" si="1"/>
        <v>0</v>
      </c>
    </row>
    <row r="40" spans="9:10">
      <c r="I40">
        <f t="shared" si="1"/>
        <v>0</v>
      </c>
    </row>
    <row r="41" spans="9:10">
      <c r="I41">
        <f t="shared" si="1"/>
        <v>0</v>
      </c>
    </row>
    <row r="42" spans="9:10">
      <c r="I42">
        <f t="shared" si="1"/>
        <v>0</v>
      </c>
    </row>
    <row r="43" spans="9:10">
      <c r="I43">
        <f t="shared" si="1"/>
        <v>0</v>
      </c>
    </row>
    <row r="44" spans="9:10">
      <c r="I44">
        <f t="shared" si="1"/>
        <v>0</v>
      </c>
    </row>
    <row r="45" spans="9:10">
      <c r="I45">
        <f t="shared" si="1"/>
        <v>0</v>
      </c>
    </row>
    <row r="46" spans="9:10">
      <c r="I46">
        <f t="shared" si="1"/>
        <v>0</v>
      </c>
      <c r="J46" t="e">
        <f>+VLOOKUP(D46,Ajuste!$B$1:$K$15,12,0)</f>
        <v>#N/A</v>
      </c>
    </row>
    <row r="47" spans="9:10">
      <c r="I47">
        <f t="shared" si="1"/>
        <v>0</v>
      </c>
      <c r="J47" t="e">
        <f>+VLOOKUP(D47,Ajuste!$B$1:$K$15,12,0)</f>
        <v>#N/A</v>
      </c>
    </row>
    <row r="48" spans="9:10">
      <c r="I48">
        <f t="shared" si="1"/>
        <v>0</v>
      </c>
      <c r="J48" t="e">
        <f>+VLOOKUP(D48,Ajuste!$B$1:$K$15,12,0)</f>
        <v>#N/A</v>
      </c>
    </row>
    <row r="49" spans="9:10">
      <c r="I49">
        <f t="shared" si="1"/>
        <v>0</v>
      </c>
      <c r="J49" t="e">
        <f>+VLOOKUP(D49,Ajuste!$B$1:$K$15,12,0)</f>
        <v>#N/A</v>
      </c>
    </row>
    <row r="50" spans="9:10">
      <c r="I50">
        <f t="shared" si="1"/>
        <v>0</v>
      </c>
      <c r="J50" t="e">
        <f>+VLOOKUP(D50,Ajuste!$B$1:$K$15,12,0)</f>
        <v>#N/A</v>
      </c>
    </row>
    <row r="51" spans="9:10">
      <c r="I51">
        <f t="shared" si="1"/>
        <v>0</v>
      </c>
      <c r="J51" t="e">
        <f>+VLOOKUP(D51,Ajuste!$B$1:$K$15,12,0)</f>
        <v>#N/A</v>
      </c>
    </row>
    <row r="52" spans="9:10">
      <c r="I52">
        <f t="shared" si="1"/>
        <v>0</v>
      </c>
      <c r="J52" t="e">
        <f>+VLOOKUP(D52,Ajuste!$B$1:$K$15,12,0)</f>
        <v>#N/A</v>
      </c>
    </row>
    <row r="53" spans="9:10">
      <c r="I53">
        <f t="shared" si="1"/>
        <v>0</v>
      </c>
      <c r="J53" t="e">
        <f>+VLOOKUP(D53,Ajuste!$B$1:$K$15,12,0)</f>
        <v>#N/A</v>
      </c>
    </row>
    <row r="54" spans="9:10">
      <c r="I54">
        <f t="shared" si="1"/>
        <v>0</v>
      </c>
      <c r="J54" t="e">
        <f>+VLOOKUP(D54,Ajuste!$B$1:$K$15,12,0)</f>
        <v>#N/A</v>
      </c>
    </row>
    <row r="55" spans="9:10">
      <c r="I55">
        <f t="shared" si="1"/>
        <v>0</v>
      </c>
      <c r="J55" t="e">
        <f>+VLOOKUP(D55,Ajuste!$B$1:$K$15,12,0)</f>
        <v>#N/A</v>
      </c>
    </row>
    <row r="56" spans="9:10">
      <c r="I56">
        <f t="shared" si="1"/>
        <v>0</v>
      </c>
      <c r="J56" t="e">
        <f>+VLOOKUP(D56,Ajuste!$B$1:$K$15,12,0)</f>
        <v>#N/A</v>
      </c>
    </row>
    <row r="57" spans="9:10">
      <c r="I57">
        <f t="shared" si="1"/>
        <v>0</v>
      </c>
      <c r="J57" t="e">
        <f>+VLOOKUP(D57,Ajuste!$B$1:$K$15,12,0)</f>
        <v>#N/A</v>
      </c>
    </row>
    <row r="58" spans="9:10">
      <c r="I58">
        <f t="shared" si="1"/>
        <v>0</v>
      </c>
      <c r="J58" t="e">
        <f>+VLOOKUP(D58,Ajuste!$B$1:$K$15,12,0)</f>
        <v>#N/A</v>
      </c>
    </row>
    <row r="59" spans="9:10">
      <c r="I59">
        <f t="shared" si="1"/>
        <v>0</v>
      </c>
      <c r="J59" t="e">
        <f>+VLOOKUP(D59,Ajuste!$B$1:$K$15,12,0)</f>
        <v>#N/A</v>
      </c>
    </row>
    <row r="60" spans="9:10">
      <c r="I60">
        <f t="shared" si="1"/>
        <v>0</v>
      </c>
      <c r="J60" t="e">
        <f>+VLOOKUP(D60,Ajuste!$B$1:$K$15,12,0)</f>
        <v>#N/A</v>
      </c>
    </row>
    <row r="61" spans="9:10">
      <c r="I61">
        <f t="shared" si="1"/>
        <v>0</v>
      </c>
      <c r="J61" t="e">
        <f>+VLOOKUP(D61,Ajuste!$B$1:$K$15,12,0)</f>
        <v>#N/A</v>
      </c>
    </row>
    <row r="62" spans="9:10">
      <c r="I62">
        <f t="shared" si="1"/>
        <v>0</v>
      </c>
      <c r="J62" t="e">
        <f>+VLOOKUP(D62,Ajuste!$B$1:$K$15,12,0)</f>
        <v>#N/A</v>
      </c>
    </row>
    <row r="63" spans="9:10">
      <c r="I63">
        <f t="shared" si="1"/>
        <v>0</v>
      </c>
      <c r="J63" t="e">
        <f>+VLOOKUP(D63,Ajuste!$B$1:$K$15,12,0)</f>
        <v>#N/A</v>
      </c>
    </row>
    <row r="64" spans="9:10">
      <c r="I64">
        <f t="shared" si="1"/>
        <v>0</v>
      </c>
      <c r="J64" t="e">
        <f>+VLOOKUP(D64,Ajuste!$B$1:$K$15,12,0)</f>
        <v>#N/A</v>
      </c>
    </row>
    <row r="65" spans="9:10">
      <c r="I65">
        <f t="shared" si="1"/>
        <v>0</v>
      </c>
      <c r="J65" t="e">
        <f>+VLOOKUP(D65,Ajuste!$B$1:$K$15,12,0)</f>
        <v>#N/A</v>
      </c>
    </row>
    <row r="66" spans="9:10">
      <c r="I66">
        <f t="shared" ref="I66:I101" si="2">+C66*-1</f>
        <v>0</v>
      </c>
      <c r="J66" t="e">
        <f>+VLOOKUP(D66,Ajuste!$B$1:$K$15,12,0)</f>
        <v>#N/A</v>
      </c>
    </row>
    <row r="67" spans="9:10">
      <c r="I67">
        <f t="shared" si="2"/>
        <v>0</v>
      </c>
      <c r="J67" t="e">
        <f>+VLOOKUP(D67,Ajuste!$B$1:$K$15,12,0)</f>
        <v>#N/A</v>
      </c>
    </row>
    <row r="68" spans="9:10">
      <c r="I68">
        <f t="shared" si="2"/>
        <v>0</v>
      </c>
      <c r="J68" t="e">
        <f>+VLOOKUP(D68,Ajuste!$B$1:$K$15,12,0)</f>
        <v>#N/A</v>
      </c>
    </row>
    <row r="69" spans="9:10">
      <c r="I69">
        <f t="shared" si="2"/>
        <v>0</v>
      </c>
      <c r="J69" t="e">
        <f>+VLOOKUP(D69,Ajuste!$B$1:$K$15,12,0)</f>
        <v>#N/A</v>
      </c>
    </row>
    <row r="70" spans="9:10">
      <c r="I70">
        <f t="shared" si="2"/>
        <v>0</v>
      </c>
      <c r="J70" t="e">
        <f>+VLOOKUP(D70,Ajuste!$B$1:$K$15,12,0)</f>
        <v>#N/A</v>
      </c>
    </row>
    <row r="71" spans="9:10">
      <c r="I71">
        <f t="shared" si="2"/>
        <v>0</v>
      </c>
      <c r="J71" t="e">
        <f>+VLOOKUP(D71,Ajuste!$B$1:$K$15,12,0)</f>
        <v>#N/A</v>
      </c>
    </row>
    <row r="72" spans="9:10">
      <c r="I72">
        <f t="shared" si="2"/>
        <v>0</v>
      </c>
      <c r="J72" t="e">
        <f>+VLOOKUP(D72,Ajuste!$B$1:$K$15,12,0)</f>
        <v>#N/A</v>
      </c>
    </row>
    <row r="73" spans="9:10">
      <c r="I73">
        <f t="shared" si="2"/>
        <v>0</v>
      </c>
      <c r="J73" t="e">
        <f>+VLOOKUP(D73,Ajuste!$B$1:$K$15,12,0)</f>
        <v>#N/A</v>
      </c>
    </row>
    <row r="74" spans="9:10">
      <c r="I74">
        <f t="shared" si="2"/>
        <v>0</v>
      </c>
      <c r="J74" t="e">
        <f>+VLOOKUP(D74,Ajuste!$B$1:$K$15,12,0)</f>
        <v>#N/A</v>
      </c>
    </row>
    <row r="75" spans="9:10">
      <c r="I75">
        <f t="shared" si="2"/>
        <v>0</v>
      </c>
      <c r="J75" t="e">
        <f>+VLOOKUP(D75,Ajuste!$B$1:$K$15,12,0)</f>
        <v>#N/A</v>
      </c>
    </row>
    <row r="76" spans="9:10">
      <c r="I76">
        <f t="shared" si="2"/>
        <v>0</v>
      </c>
      <c r="J76" t="e">
        <f>+VLOOKUP(D76,Ajuste!$B$1:$K$15,12,0)</f>
        <v>#N/A</v>
      </c>
    </row>
    <row r="77" spans="9:10">
      <c r="I77">
        <f t="shared" si="2"/>
        <v>0</v>
      </c>
      <c r="J77" t="e">
        <f>+VLOOKUP(D77,Ajuste!$B$1:$K$15,12,0)</f>
        <v>#N/A</v>
      </c>
    </row>
    <row r="78" spans="9:10">
      <c r="I78">
        <f t="shared" si="2"/>
        <v>0</v>
      </c>
      <c r="J78" t="e">
        <f>+VLOOKUP(D78,Ajuste!$B$1:$K$15,12,0)</f>
        <v>#N/A</v>
      </c>
    </row>
    <row r="79" spans="9:10">
      <c r="I79">
        <f t="shared" si="2"/>
        <v>0</v>
      </c>
      <c r="J79" t="e">
        <f>+VLOOKUP(D79,Ajuste!$B$1:$K$15,12,0)</f>
        <v>#N/A</v>
      </c>
    </row>
    <row r="80" spans="9:10">
      <c r="I80">
        <f t="shared" si="2"/>
        <v>0</v>
      </c>
      <c r="J80" t="e">
        <f>+VLOOKUP(D80,Ajuste!$B$1:$K$15,12,0)</f>
        <v>#N/A</v>
      </c>
    </row>
    <row r="81" spans="9:10">
      <c r="I81">
        <f t="shared" si="2"/>
        <v>0</v>
      </c>
      <c r="J81" t="e">
        <f>+VLOOKUP(D81,Ajuste!$B$1:$K$15,12,0)</f>
        <v>#N/A</v>
      </c>
    </row>
    <row r="82" spans="9:10">
      <c r="I82">
        <f t="shared" si="2"/>
        <v>0</v>
      </c>
      <c r="J82" t="e">
        <f>+VLOOKUP(D82,Ajuste!$B$1:$K$15,12,0)</f>
        <v>#N/A</v>
      </c>
    </row>
    <row r="83" spans="9:10">
      <c r="I83">
        <f t="shared" si="2"/>
        <v>0</v>
      </c>
      <c r="J83" t="e">
        <f>+VLOOKUP(D83,Ajuste!$B$1:$K$15,12,0)</f>
        <v>#N/A</v>
      </c>
    </row>
    <row r="84" spans="9:10">
      <c r="I84">
        <f t="shared" si="2"/>
        <v>0</v>
      </c>
      <c r="J84" t="e">
        <f>+VLOOKUP(D84,Ajuste!$B$1:$K$15,12,0)</f>
        <v>#N/A</v>
      </c>
    </row>
    <row r="85" spans="9:10">
      <c r="I85">
        <f t="shared" si="2"/>
        <v>0</v>
      </c>
      <c r="J85" t="e">
        <f>+VLOOKUP(D85,Ajuste!$B$1:$K$15,12,0)</f>
        <v>#N/A</v>
      </c>
    </row>
    <row r="86" spans="9:10">
      <c r="I86">
        <f t="shared" si="2"/>
        <v>0</v>
      </c>
      <c r="J86" t="e">
        <f>+VLOOKUP(D86,Ajuste!$B$1:$K$15,12,0)</f>
        <v>#N/A</v>
      </c>
    </row>
    <row r="87" spans="9:10">
      <c r="I87">
        <f t="shared" si="2"/>
        <v>0</v>
      </c>
      <c r="J87" t="e">
        <f>+VLOOKUP(D87,Ajuste!$B$1:$K$15,12,0)</f>
        <v>#N/A</v>
      </c>
    </row>
    <row r="88" spans="9:10">
      <c r="I88">
        <f t="shared" si="2"/>
        <v>0</v>
      </c>
      <c r="J88" t="e">
        <f>+VLOOKUP(D88,Ajuste!$B$1:$K$15,12,0)</f>
        <v>#N/A</v>
      </c>
    </row>
    <row r="89" spans="9:10">
      <c r="I89">
        <f t="shared" si="2"/>
        <v>0</v>
      </c>
      <c r="J89" t="e">
        <f>+VLOOKUP(D89,Ajuste!$B$1:$K$15,12,0)</f>
        <v>#N/A</v>
      </c>
    </row>
    <row r="90" spans="9:10">
      <c r="I90">
        <f t="shared" si="2"/>
        <v>0</v>
      </c>
      <c r="J90" t="e">
        <f>+VLOOKUP(D90,Ajuste!$B$1:$K$15,12,0)</f>
        <v>#N/A</v>
      </c>
    </row>
    <row r="91" spans="9:10">
      <c r="I91">
        <f t="shared" si="2"/>
        <v>0</v>
      </c>
      <c r="J91" t="e">
        <f>+VLOOKUP(D91,Ajuste!$B$1:$K$15,12,0)</f>
        <v>#N/A</v>
      </c>
    </row>
    <row r="92" spans="9:10">
      <c r="I92">
        <f t="shared" si="2"/>
        <v>0</v>
      </c>
      <c r="J92" t="e">
        <f>+VLOOKUP(D92,Ajuste!$B$1:$K$15,12,0)</f>
        <v>#N/A</v>
      </c>
    </row>
    <row r="93" spans="9:10">
      <c r="I93">
        <f t="shared" si="2"/>
        <v>0</v>
      </c>
      <c r="J93" t="e">
        <f>+VLOOKUP(D93,Ajuste!$B$1:$K$15,12,0)</f>
        <v>#N/A</v>
      </c>
    </row>
    <row r="94" spans="9:10">
      <c r="I94">
        <f t="shared" si="2"/>
        <v>0</v>
      </c>
      <c r="J94" t="e">
        <f>+VLOOKUP(D94,Ajuste!$B$1:$K$15,12,0)</f>
        <v>#N/A</v>
      </c>
    </row>
    <row r="95" spans="9:10">
      <c r="I95">
        <f t="shared" si="2"/>
        <v>0</v>
      </c>
      <c r="J95" t="e">
        <f>+VLOOKUP(D95,Ajuste!$B$1:$K$15,12,0)</f>
        <v>#N/A</v>
      </c>
    </row>
    <row r="96" spans="9:10">
      <c r="I96">
        <f t="shared" si="2"/>
        <v>0</v>
      </c>
      <c r="J96" t="e">
        <f>+VLOOKUP(D96,Ajuste!$B$1:$K$15,12,0)</f>
        <v>#N/A</v>
      </c>
    </row>
    <row r="97" spans="9:10">
      <c r="I97">
        <f t="shared" si="2"/>
        <v>0</v>
      </c>
      <c r="J97" t="e">
        <f>+VLOOKUP(D97,Ajuste!$B$1:$K$15,12,0)</f>
        <v>#N/A</v>
      </c>
    </row>
    <row r="98" spans="9:10">
      <c r="I98">
        <f t="shared" si="2"/>
        <v>0</v>
      </c>
      <c r="J98" t="e">
        <f>+VLOOKUP(D98,Ajuste!$B$1:$K$15,12,0)</f>
        <v>#N/A</v>
      </c>
    </row>
    <row r="99" spans="9:10">
      <c r="I99">
        <f t="shared" si="2"/>
        <v>0</v>
      </c>
      <c r="J99" t="e">
        <f>+VLOOKUP(D99,Ajuste!$B$1:$K$15,12,0)</f>
        <v>#N/A</v>
      </c>
    </row>
    <row r="100" spans="9:10">
      <c r="I100">
        <f t="shared" si="2"/>
        <v>0</v>
      </c>
      <c r="J100" t="e">
        <f>+VLOOKUP(D100,Ajuste!$B$1:$K$15,12,0)</f>
        <v>#N/A</v>
      </c>
    </row>
    <row r="101" spans="9:10">
      <c r="I101">
        <f t="shared" si="2"/>
        <v>0</v>
      </c>
      <c r="J101" t="e">
        <f>+VLOOKUP(D101,Ajuste!$B$1:$K$15,12,0)</f>
        <v>#N/A</v>
      </c>
    </row>
    <row r="103" spans="9:10">
      <c r="I103">
        <v>370500</v>
      </c>
    </row>
    <row r="104" spans="9:10">
      <c r="I104">
        <f>+I11+I12+I13+I14+I15+I16+I17+I18+I19+I20+I21+I22+I23+I24</f>
        <v>118107</v>
      </c>
    </row>
    <row r="105" spans="9:10">
      <c r="I105">
        <f>+I103-I104</f>
        <v>252393</v>
      </c>
    </row>
  </sheetData>
  <autoFilter ref="A1:J101" xr:uid="{6C338138-64AA-4D35-8ACC-F78D51E67669}"/>
  <sortState xmlns:xlrd2="http://schemas.microsoft.com/office/spreadsheetml/2017/richdata2" ref="A2:I101">
    <sortCondition ref="A2:A10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EC02-AD14-45CB-9A14-170B5C775B86}">
  <dimension ref="A1:I17"/>
  <sheetViews>
    <sheetView workbookViewId="0">
      <selection activeCell="C17" sqref="C17"/>
    </sheetView>
  </sheetViews>
  <sheetFormatPr defaultColWidth="11.42578125" defaultRowHeight="15"/>
  <cols>
    <col min="1" max="1" width="10.7109375" bestFit="1" customWidth="1"/>
    <col min="2" max="2" width="20.140625" bestFit="1" customWidth="1"/>
    <col min="3" max="3" width="16.42578125" bestFit="1" customWidth="1"/>
    <col min="4" max="4" width="19.85546875" bestFit="1" customWidth="1"/>
    <col min="5" max="5" width="23.28515625" bestFit="1" customWidth="1"/>
    <col min="6" max="6" width="17.7109375" bestFit="1" customWidth="1"/>
    <col min="7" max="7" width="16.7109375" bestFit="1" customWidth="1"/>
    <col min="8" max="8" width="18.7109375" bestFit="1" customWidth="1"/>
  </cols>
  <sheetData>
    <row r="1" spans="1:9">
      <c r="A1" t="s">
        <v>3100</v>
      </c>
      <c r="B1" t="s">
        <v>3101</v>
      </c>
      <c r="C1" t="s">
        <v>3102</v>
      </c>
      <c r="D1" t="s">
        <v>3103</v>
      </c>
      <c r="E1" t="s">
        <v>3104</v>
      </c>
      <c r="F1" t="s">
        <v>3105</v>
      </c>
      <c r="G1" t="s">
        <v>3106</v>
      </c>
      <c r="H1" t="s">
        <v>3107</v>
      </c>
    </row>
    <row r="2" spans="1:9" s="13" customFormat="1">
      <c r="A2" s="13" t="s">
        <v>3108</v>
      </c>
      <c r="B2" s="13" t="s">
        <v>3127</v>
      </c>
      <c r="C2" s="13">
        <v>-1850</v>
      </c>
      <c r="D2" s="13" t="s">
        <v>2736</v>
      </c>
      <c r="E2" s="13" t="s">
        <v>3128</v>
      </c>
      <c r="F2" s="13" t="s">
        <v>3129</v>
      </c>
      <c r="G2" s="13" t="s">
        <v>449</v>
      </c>
      <c r="H2" s="13" t="s">
        <v>1482</v>
      </c>
      <c r="I2" s="13">
        <f>+C2*-1</f>
        <v>1850</v>
      </c>
    </row>
    <row r="3" spans="1:9" s="14" customFormat="1">
      <c r="A3" s="14" t="s">
        <v>3124</v>
      </c>
      <c r="B3" s="14" t="s">
        <v>3130</v>
      </c>
      <c r="C3" s="14">
        <v>-1824</v>
      </c>
      <c r="D3" s="14" t="s">
        <v>2736</v>
      </c>
      <c r="E3" s="14" t="s">
        <v>3128</v>
      </c>
      <c r="F3" s="14" t="s">
        <v>3129</v>
      </c>
      <c r="G3" s="14" t="s">
        <v>449</v>
      </c>
      <c r="H3" s="14" t="s">
        <v>1482</v>
      </c>
    </row>
    <row r="4" spans="1:9" s="13" customFormat="1">
      <c r="A4" s="13" t="s">
        <v>3108</v>
      </c>
      <c r="B4" s="13" t="s">
        <v>3127</v>
      </c>
      <c r="C4" s="13">
        <v>-38700</v>
      </c>
      <c r="D4" s="13" t="s">
        <v>2692</v>
      </c>
      <c r="E4" s="13" t="s">
        <v>3131</v>
      </c>
      <c r="F4" s="13" t="s">
        <v>3132</v>
      </c>
      <c r="G4" s="13" t="s">
        <v>1753</v>
      </c>
      <c r="H4" s="13" t="s">
        <v>2694</v>
      </c>
      <c r="I4" s="13">
        <f>+C4*-1</f>
        <v>38700</v>
      </c>
    </row>
    <row r="5" spans="1:9" s="14" customFormat="1">
      <c r="A5" s="14" t="s">
        <v>3124</v>
      </c>
      <c r="B5" s="14" t="s">
        <v>3130</v>
      </c>
      <c r="C5" s="14">
        <v>-38682</v>
      </c>
      <c r="D5" s="14" t="s">
        <v>2692</v>
      </c>
      <c r="E5" s="14" t="s">
        <v>3131</v>
      </c>
      <c r="F5" s="14" t="s">
        <v>3132</v>
      </c>
      <c r="G5" s="14" t="s">
        <v>1753</v>
      </c>
      <c r="H5" s="14" t="s">
        <v>2694</v>
      </c>
    </row>
    <row r="6" spans="1:9" s="13" customFormat="1">
      <c r="A6" s="13" t="s">
        <v>3108</v>
      </c>
      <c r="B6" s="13" t="s">
        <v>3127</v>
      </c>
      <c r="C6" s="13">
        <v>-1800</v>
      </c>
      <c r="D6" s="13" t="s">
        <v>2772</v>
      </c>
      <c r="E6" s="13" t="s">
        <v>3133</v>
      </c>
      <c r="F6" s="13" t="s">
        <v>3134</v>
      </c>
      <c r="G6" s="13" t="s">
        <v>2011</v>
      </c>
      <c r="H6" s="13" t="s">
        <v>2774</v>
      </c>
      <c r="I6" s="13">
        <f>+C6*-1</f>
        <v>1800</v>
      </c>
    </row>
    <row r="7" spans="1:9" s="14" customFormat="1">
      <c r="A7" s="14" t="s">
        <v>3124</v>
      </c>
      <c r="B7" s="14" t="s">
        <v>3130</v>
      </c>
      <c r="C7" s="14">
        <v>-1871</v>
      </c>
      <c r="D7" s="14" t="s">
        <v>2772</v>
      </c>
      <c r="E7" s="14" t="s">
        <v>3133</v>
      </c>
      <c r="F7" s="14" t="s">
        <v>3134</v>
      </c>
      <c r="G7" s="14" t="s">
        <v>2011</v>
      </c>
      <c r="H7" s="14" t="s">
        <v>2774</v>
      </c>
    </row>
    <row r="8" spans="1:9" s="13" customFormat="1">
      <c r="A8" s="13" t="s">
        <v>3108</v>
      </c>
      <c r="B8" s="13" t="s">
        <v>3127</v>
      </c>
      <c r="C8" s="13">
        <v>-6700</v>
      </c>
      <c r="D8" s="13" t="s">
        <v>1744</v>
      </c>
      <c r="E8" s="13" t="s">
        <v>3135</v>
      </c>
      <c r="F8" s="13" t="s">
        <v>3136</v>
      </c>
      <c r="G8" s="13" t="s">
        <v>1102</v>
      </c>
      <c r="H8" s="13" t="s">
        <v>763</v>
      </c>
      <c r="I8" s="13">
        <f>+C8*-1</f>
        <v>6700</v>
      </c>
    </row>
    <row r="9" spans="1:9" s="14" customFormat="1">
      <c r="A9" s="14" t="s">
        <v>3124</v>
      </c>
      <c r="B9" s="14" t="s">
        <v>3130</v>
      </c>
      <c r="C9" s="14">
        <v>-6695</v>
      </c>
      <c r="D9" s="14" t="s">
        <v>1744</v>
      </c>
      <c r="E9" s="14" t="s">
        <v>3135</v>
      </c>
      <c r="F9" s="14" t="s">
        <v>3136</v>
      </c>
      <c r="G9" s="14" t="s">
        <v>1102</v>
      </c>
      <c r="H9" s="14" t="s">
        <v>763</v>
      </c>
    </row>
    <row r="10" spans="1:9" s="13" customFormat="1">
      <c r="A10" s="13" t="s">
        <v>3108</v>
      </c>
      <c r="B10" s="13" t="s">
        <v>3127</v>
      </c>
      <c r="C10" s="13">
        <v>-1800</v>
      </c>
      <c r="D10" s="13" t="s">
        <v>2527</v>
      </c>
      <c r="E10" s="13" t="s">
        <v>3137</v>
      </c>
      <c r="F10" s="13" t="s">
        <v>1673</v>
      </c>
      <c r="G10" s="13" t="s">
        <v>2529</v>
      </c>
      <c r="H10" s="13" t="s">
        <v>1741</v>
      </c>
      <c r="I10" s="13">
        <f>+C10*-1</f>
        <v>1800</v>
      </c>
    </row>
    <row r="11" spans="1:9" s="14" customFormat="1">
      <c r="A11" s="14" t="s">
        <v>3124</v>
      </c>
      <c r="B11" s="14" t="s">
        <v>3130</v>
      </c>
      <c r="C11" s="14">
        <v>-1800</v>
      </c>
      <c r="D11" s="14" t="s">
        <v>2527</v>
      </c>
      <c r="E11" s="14" t="s">
        <v>3137</v>
      </c>
      <c r="F11" s="14" t="s">
        <v>1673</v>
      </c>
      <c r="G11" s="14" t="s">
        <v>2529</v>
      </c>
      <c r="H11" s="14" t="s">
        <v>1741</v>
      </c>
    </row>
    <row r="12" spans="1:9" s="13" customFormat="1">
      <c r="A12" s="13" t="s">
        <v>3108</v>
      </c>
      <c r="B12" s="13" t="s">
        <v>3127</v>
      </c>
      <c r="C12" s="13">
        <v>-2500</v>
      </c>
      <c r="D12" s="13" t="s">
        <v>1939</v>
      </c>
      <c r="E12" s="13" t="s">
        <v>3138</v>
      </c>
      <c r="F12" s="13" t="s">
        <v>3139</v>
      </c>
      <c r="G12" s="13" t="s">
        <v>1941</v>
      </c>
      <c r="H12" s="13" t="s">
        <v>1942</v>
      </c>
      <c r="I12" s="13">
        <f>+C12*-1</f>
        <v>2500</v>
      </c>
    </row>
    <row r="13" spans="1:9" s="14" customFormat="1">
      <c r="A13" s="14" t="s">
        <v>3124</v>
      </c>
      <c r="B13" s="14" t="s">
        <v>3130</v>
      </c>
      <c r="C13" s="14">
        <v>-2448</v>
      </c>
      <c r="D13" s="14" t="s">
        <v>1939</v>
      </c>
      <c r="E13" s="14" t="s">
        <v>3138</v>
      </c>
      <c r="F13" s="14" t="s">
        <v>3139</v>
      </c>
      <c r="G13" s="14" t="s">
        <v>1941</v>
      </c>
      <c r="H13" s="14" t="s">
        <v>1942</v>
      </c>
    </row>
    <row r="14" spans="1:9" s="14" customFormat="1">
      <c r="A14" s="14" t="s">
        <v>3126</v>
      </c>
      <c r="B14" s="14" t="s">
        <v>3140</v>
      </c>
      <c r="C14" s="14">
        <v>-6800</v>
      </c>
      <c r="D14" s="14" t="s">
        <v>2536</v>
      </c>
      <c r="E14" s="14" t="s">
        <v>3141</v>
      </c>
      <c r="F14" s="14" t="s">
        <v>3142</v>
      </c>
      <c r="G14" s="14" t="s">
        <v>2538</v>
      </c>
      <c r="H14" s="14" t="s">
        <v>2539</v>
      </c>
    </row>
    <row r="16" spans="1:9">
      <c r="C16">
        <f>SUM(C2:C15)</f>
        <v>-113470</v>
      </c>
    </row>
    <row r="17" spans="3:3">
      <c r="C17">
        <f>+C16*-1</f>
        <v>113470</v>
      </c>
    </row>
  </sheetData>
  <autoFilter ref="A1:H14" xr:uid="{CD1BEC02-AD14-45CB-9A14-170B5C775B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Nominacol</dc:creator>
  <cp:keywords/>
  <dc:description/>
  <cp:lastModifiedBy/>
  <cp:revision/>
  <dcterms:created xsi:type="dcterms:W3CDTF">2022-10-19T17:47:00Z</dcterms:created>
  <dcterms:modified xsi:type="dcterms:W3CDTF">2026-04-06T15:31:11Z</dcterms:modified>
  <cp:category/>
  <cp:contentStatus/>
</cp:coreProperties>
</file>